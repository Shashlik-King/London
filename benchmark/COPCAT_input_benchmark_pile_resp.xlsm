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_branch\COPCATPlaxis\benchmark\"/>
    </mc:Choice>
  </mc:AlternateContent>
  <xr:revisionPtr revIDLastSave="0" documentId="13_ncr:1_{48726A32-82AA-4276-AC64-0D2A1C3424DA}" xr6:coauthVersionLast="46" xr6:coauthVersionMax="46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benchmark" sheetId="229" r:id="rId5"/>
    <sheet name="Switch_options_hidden" sheetId="227" r:id="rId6"/>
    <sheet name="BoundParameters_HiddenSheetSAND" sheetId="133" state="hidden" r:id="rId7"/>
    <sheet name="BoundParameters_HiddenSheetCLAY" sheetId="128" state="hidden" r:id="rId8"/>
  </sheets>
  <definedNames>
    <definedName name="ExternalData_1" localSheetId="2" hidden="1">'Table Output'!$A$1:$BQ$8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K68" i="125"/>
  <c r="L68" i="125"/>
  <c r="M68" i="125"/>
  <c r="N68" i="125"/>
  <c r="O68" i="125"/>
  <c r="P68" i="125"/>
  <c r="Q68" i="125"/>
  <c r="R68" i="125"/>
  <c r="S68" i="125"/>
  <c r="J68" i="125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J31" i="125"/>
  <c r="K31" i="125"/>
  <c r="P31" i="125"/>
  <c r="Q31" i="125"/>
  <c r="R31" i="125"/>
  <c r="L31" i="125"/>
  <c r="M31" i="125"/>
  <c r="N31" i="125"/>
  <c r="O31" i="125"/>
  <c r="S31" i="125"/>
  <c r="K32" i="125"/>
  <c r="L32" i="125"/>
  <c r="M32" i="125"/>
  <c r="N32" i="125"/>
  <c r="O32" i="125"/>
  <c r="R32" i="125"/>
  <c r="S32" i="125"/>
  <c r="P32" i="125"/>
  <c r="Q32" i="125"/>
  <c r="J32" i="125"/>
  <c r="I64" i="125"/>
  <c r="I33" i="125"/>
  <c r="AL33" i="125" s="1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AB30" i="125" l="1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M64" i="125"/>
  <c r="K64" i="125"/>
  <c r="N64" i="125"/>
  <c r="O64" i="125"/>
  <c r="J64" i="125"/>
  <c r="P64" i="125"/>
  <c r="Q64" i="125"/>
  <c r="R64" i="125"/>
  <c r="S64" i="125"/>
  <c r="L64" i="125"/>
  <c r="P65" i="125"/>
  <c r="Q65" i="125"/>
  <c r="L65" i="125"/>
  <c r="R65" i="125"/>
  <c r="S65" i="125"/>
  <c r="J65" i="125"/>
  <c r="K65" i="125"/>
  <c r="N65" i="125"/>
  <c r="M65" i="125"/>
  <c r="O65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R28" i="125"/>
  <c r="L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S28" i="125"/>
  <c r="K28" i="125"/>
  <c r="Q28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P28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O28" i="125"/>
  <c r="M28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N28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J28" i="125"/>
  <c r="J26" i="125"/>
  <c r="K26" i="125"/>
  <c r="L26" i="125"/>
  <c r="M26" i="125"/>
  <c r="N26" i="125"/>
  <c r="O26" i="125"/>
  <c r="S26" i="125"/>
  <c r="P26" i="125"/>
  <c r="Q26" i="125"/>
  <c r="R26" i="125"/>
  <c r="N33" i="125"/>
  <c r="M33" i="125"/>
  <c r="O33" i="125"/>
  <c r="P33" i="125"/>
  <c r="Q33" i="125"/>
  <c r="R33" i="125"/>
  <c r="K33" i="125"/>
  <c r="L33" i="125"/>
  <c r="S33" i="125"/>
  <c r="J33" i="125"/>
  <c r="P34" i="125"/>
  <c r="Q34" i="125"/>
  <c r="M34" i="125"/>
  <c r="R34" i="125"/>
  <c r="J34" i="125"/>
  <c r="N34" i="125"/>
  <c r="S34" i="125"/>
  <c r="L34" i="125"/>
  <c r="K34" i="125"/>
  <c r="O34" i="125"/>
  <c r="N29" i="125"/>
  <c r="O29" i="125"/>
  <c r="P29" i="125"/>
  <c r="Q29" i="125"/>
  <c r="R29" i="125"/>
  <c r="S29" i="125"/>
  <c r="L29" i="125"/>
  <c r="J29" i="125"/>
  <c r="M29" i="125"/>
  <c r="K29" i="125"/>
  <c r="J25" i="125"/>
  <c r="K25" i="125"/>
  <c r="L25" i="125"/>
  <c r="R25" i="125"/>
  <c r="M25" i="125"/>
  <c r="P25" i="125"/>
  <c r="S25" i="125"/>
  <c r="N25" i="125"/>
  <c r="Q25" i="125"/>
  <c r="O25" i="125"/>
  <c r="S30" i="125"/>
  <c r="J30" i="125"/>
  <c r="P30" i="125"/>
  <c r="Q30" i="125"/>
  <c r="K30" i="125"/>
  <c r="R30" i="125"/>
  <c r="L30" i="125"/>
  <c r="M30" i="125"/>
  <c r="N30" i="125"/>
  <c r="O30" i="125"/>
  <c r="L27" i="125"/>
  <c r="M27" i="125"/>
  <c r="N27" i="125"/>
  <c r="O27" i="125"/>
  <c r="P27" i="125"/>
  <c r="Q27" i="125"/>
  <c r="R27" i="125"/>
  <c r="J27" i="125"/>
  <c r="K27" i="125"/>
  <c r="S27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100" i="125" l="1"/>
  <c r="K100" i="125"/>
  <c r="L100" i="125"/>
  <c r="R100" i="125"/>
  <c r="M100" i="125"/>
  <c r="N100" i="125"/>
  <c r="O100" i="125"/>
  <c r="P100" i="125"/>
  <c r="Q100" i="125"/>
  <c r="S100" i="125"/>
  <c r="S99" i="125"/>
  <c r="K99" i="125"/>
  <c r="O99" i="125"/>
  <c r="L99" i="125"/>
  <c r="Q99" i="125"/>
  <c r="M99" i="125"/>
  <c r="N99" i="125"/>
  <c r="P99" i="125"/>
  <c r="R99" i="125"/>
  <c r="J99" i="125"/>
  <c r="K63" i="125"/>
  <c r="J63" i="125"/>
  <c r="L63" i="125"/>
  <c r="M63" i="125"/>
  <c r="N63" i="125"/>
  <c r="O63" i="125"/>
  <c r="P63" i="125"/>
  <c r="R63" i="125"/>
  <c r="Q63" i="125"/>
  <c r="S63" i="125"/>
  <c r="M67" i="125"/>
  <c r="N67" i="125"/>
  <c r="O67" i="125"/>
  <c r="P67" i="125"/>
  <c r="Q67" i="125"/>
  <c r="R67" i="125"/>
  <c r="S67" i="125"/>
  <c r="K67" i="125"/>
  <c r="J67" i="125"/>
  <c r="L67" i="125"/>
  <c r="S61" i="125"/>
  <c r="J61" i="125"/>
  <c r="K61" i="125"/>
  <c r="L61" i="125"/>
  <c r="M61" i="125"/>
  <c r="Q61" i="125"/>
  <c r="N61" i="125"/>
  <c r="O61" i="125"/>
  <c r="P61" i="125"/>
  <c r="R61" i="125"/>
  <c r="I101" i="125"/>
  <c r="K66" i="125"/>
  <c r="L66" i="125"/>
  <c r="M66" i="125"/>
  <c r="N66" i="125"/>
  <c r="O66" i="125"/>
  <c r="P66" i="125"/>
  <c r="Q66" i="125"/>
  <c r="R66" i="125"/>
  <c r="J66" i="125"/>
  <c r="S66" i="125"/>
  <c r="K62" i="125"/>
  <c r="L62" i="125"/>
  <c r="M62" i="125"/>
  <c r="N62" i="125"/>
  <c r="J62" i="125"/>
  <c r="O62" i="125"/>
  <c r="P62" i="125"/>
  <c r="Q62" i="125"/>
  <c r="R62" i="125"/>
  <c r="S62" i="125"/>
  <c r="P60" i="125"/>
  <c r="Q60" i="125"/>
  <c r="R60" i="125"/>
  <c r="J60" i="125"/>
  <c r="N60" i="125"/>
  <c r="S60" i="125"/>
  <c r="K60" i="125"/>
  <c r="L60" i="125"/>
  <c r="M60" i="125"/>
  <c r="O60" i="125"/>
  <c r="I96" i="125"/>
  <c r="J58" i="125"/>
  <c r="K58" i="125"/>
  <c r="L58" i="125"/>
  <c r="M58" i="125"/>
  <c r="N58" i="125"/>
  <c r="O58" i="125"/>
  <c r="P58" i="125"/>
  <c r="Q58" i="125"/>
  <c r="R58" i="125"/>
  <c r="S58" i="125"/>
  <c r="M59" i="125"/>
  <c r="N59" i="125"/>
  <c r="J59" i="125"/>
  <c r="K59" i="125"/>
  <c r="O59" i="125"/>
  <c r="P59" i="125"/>
  <c r="Q59" i="125"/>
  <c r="R59" i="125"/>
  <c r="S59" i="125"/>
  <c r="L59" i="125"/>
  <c r="I93" i="125"/>
  <c r="I102" i="125"/>
  <c r="I94" i="125"/>
  <c r="I95" i="125"/>
  <c r="I97" i="125"/>
  <c r="I98" i="125"/>
  <c r="P98" i="125" l="1"/>
  <c r="Q98" i="125"/>
  <c r="R98" i="125"/>
  <c r="S98" i="125"/>
  <c r="L98" i="125"/>
  <c r="N98" i="125"/>
  <c r="K98" i="125"/>
  <c r="M98" i="125"/>
  <c r="J98" i="125"/>
  <c r="O98" i="125"/>
  <c r="K101" i="125"/>
  <c r="L101" i="125"/>
  <c r="M101" i="125"/>
  <c r="N101" i="125"/>
  <c r="O101" i="125"/>
  <c r="P101" i="125"/>
  <c r="Q101" i="125"/>
  <c r="R101" i="125"/>
  <c r="S101" i="125"/>
  <c r="J101" i="125"/>
  <c r="K97" i="125"/>
  <c r="L97" i="125"/>
  <c r="M97" i="125"/>
  <c r="N97" i="125"/>
  <c r="O97" i="125"/>
  <c r="P97" i="125"/>
  <c r="Q97" i="125"/>
  <c r="J97" i="125"/>
  <c r="R97" i="125"/>
  <c r="S97" i="125"/>
  <c r="P95" i="125"/>
  <c r="Q95" i="125"/>
  <c r="R95" i="125"/>
  <c r="N95" i="125"/>
  <c r="S95" i="125"/>
  <c r="J95" i="125"/>
  <c r="K95" i="125"/>
  <c r="L95" i="125"/>
  <c r="M95" i="125"/>
  <c r="O95" i="125"/>
  <c r="S96" i="125"/>
  <c r="K96" i="125"/>
  <c r="L96" i="125"/>
  <c r="M96" i="125"/>
  <c r="J96" i="125"/>
  <c r="Q96" i="125"/>
  <c r="N96" i="125"/>
  <c r="O96" i="125"/>
  <c r="P96" i="125"/>
  <c r="R96" i="125"/>
  <c r="M94" i="125"/>
  <c r="N94" i="125"/>
  <c r="O94" i="125"/>
  <c r="P94" i="125"/>
  <c r="Q94" i="125"/>
  <c r="J94" i="125"/>
  <c r="R94" i="125"/>
  <c r="S94" i="125"/>
  <c r="K94" i="125"/>
  <c r="L94" i="125"/>
  <c r="M102" i="125"/>
  <c r="J102" i="125"/>
  <c r="K102" i="125"/>
  <c r="N102" i="125"/>
  <c r="O102" i="125"/>
  <c r="P102" i="125"/>
  <c r="Q102" i="125"/>
  <c r="R102" i="125"/>
  <c r="S102" i="125"/>
  <c r="L102" i="125"/>
  <c r="K93" i="125"/>
  <c r="L93" i="125"/>
  <c r="M93" i="125"/>
  <c r="J93" i="125"/>
  <c r="N93" i="125"/>
  <c r="O93" i="125"/>
  <c r="P93" i="125"/>
  <c r="Q93" i="125"/>
  <c r="R93" i="125"/>
  <c r="S93" i="125"/>
  <c r="AO4" i="125" l="1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S17" i="125" s="1"/>
  <c r="G17" i="125"/>
  <c r="F17" i="125"/>
  <c r="I14" i="125"/>
  <c r="F14" i="125"/>
  <c r="G14" i="125"/>
  <c r="G10" i="125"/>
  <c r="F10" i="125"/>
  <c r="F18" i="125"/>
  <c r="G18" i="125"/>
  <c r="I23" i="125"/>
  <c r="K23" i="125" s="1"/>
  <c r="G23" i="125"/>
  <c r="F23" i="125"/>
  <c r="G9" i="125"/>
  <c r="F9" i="125"/>
  <c r="I16" i="125"/>
  <c r="I49" i="125" s="1"/>
  <c r="F16" i="125"/>
  <c r="G16" i="125"/>
  <c r="I5" i="125"/>
  <c r="I38" i="125" s="1"/>
  <c r="F5" i="125"/>
  <c r="G5" i="125"/>
  <c r="E24" i="125"/>
  <c r="F24" i="125"/>
  <c r="G24" i="125"/>
  <c r="I11" i="125"/>
  <c r="I44" i="125" s="1"/>
  <c r="G11" i="125"/>
  <c r="F11" i="125"/>
  <c r="E20" i="125"/>
  <c r="F20" i="125"/>
  <c r="G20" i="125"/>
  <c r="G8" i="125"/>
  <c r="F8" i="125"/>
  <c r="I6" i="125"/>
  <c r="I39" i="125" s="1"/>
  <c r="I74" i="125" s="1"/>
  <c r="F6" i="125"/>
  <c r="G6" i="125"/>
  <c r="F15" i="125"/>
  <c r="G15" i="125"/>
  <c r="F13" i="125"/>
  <c r="G13" i="125"/>
  <c r="I12" i="125"/>
  <c r="I45" i="125" s="1"/>
  <c r="F12" i="125"/>
  <c r="G12" i="125"/>
  <c r="E22" i="125"/>
  <c r="F22" i="125"/>
  <c r="G22" i="125"/>
  <c r="I19" i="125"/>
  <c r="J19" i="125" s="1"/>
  <c r="G19" i="125"/>
  <c r="F19" i="125"/>
  <c r="I7" i="125"/>
  <c r="I40" i="125" s="1"/>
  <c r="G7" i="125"/>
  <c r="F7" i="125"/>
  <c r="I4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M16" i="125" s="1"/>
  <c r="I20" i="125"/>
  <c r="I24" i="125"/>
  <c r="E14" i="125"/>
  <c r="E7" i="125"/>
  <c r="E23" i="125"/>
  <c r="I22" i="125"/>
  <c r="E6" i="125"/>
  <c r="E5" i="125"/>
  <c r="M17" i="125" l="1"/>
  <c r="P17" i="125"/>
  <c r="K17" i="125"/>
  <c r="N17" i="125"/>
  <c r="L17" i="125"/>
  <c r="R17" i="125"/>
  <c r="I50" i="125"/>
  <c r="S50" i="125" s="1"/>
  <c r="Q17" i="125"/>
  <c r="O17" i="125"/>
  <c r="J17" i="125"/>
  <c r="M23" i="125"/>
  <c r="J23" i="125"/>
  <c r="R19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Q19" i="125"/>
  <c r="N19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O19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L23" i="125"/>
  <c r="M19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P19" i="125"/>
  <c r="I56" i="125"/>
  <c r="I91" i="125" s="1"/>
  <c r="R23" i="125"/>
  <c r="K19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S23" i="125"/>
  <c r="Q23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P23" i="125"/>
  <c r="L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O23" i="125"/>
  <c r="S19" i="125"/>
  <c r="I82" i="125"/>
  <c r="N23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M6" i="125"/>
  <c r="M7" i="125"/>
  <c r="M12" i="125"/>
  <c r="M5" i="125"/>
  <c r="M11" i="125"/>
  <c r="M14" i="125"/>
  <c r="M21" i="125"/>
  <c r="N21" i="125"/>
  <c r="O21" i="125"/>
  <c r="J21" i="125"/>
  <c r="P21" i="125"/>
  <c r="Q21" i="125"/>
  <c r="R21" i="125"/>
  <c r="S21" i="125"/>
  <c r="K21" i="125"/>
  <c r="L21" i="125"/>
  <c r="O22" i="125"/>
  <c r="P22" i="125"/>
  <c r="Q22" i="125"/>
  <c r="N22" i="125"/>
  <c r="R22" i="125"/>
  <c r="L22" i="125"/>
  <c r="M22" i="125"/>
  <c r="S22" i="125"/>
  <c r="K22" i="125"/>
  <c r="J22" i="125"/>
  <c r="M9" i="125"/>
  <c r="I79" i="125"/>
  <c r="M10" i="125"/>
  <c r="M15" i="125"/>
  <c r="S24" i="125"/>
  <c r="N24" i="125"/>
  <c r="O24" i="125"/>
  <c r="Q24" i="125"/>
  <c r="J24" i="125"/>
  <c r="K24" i="125"/>
  <c r="L24" i="125"/>
  <c r="R24" i="125"/>
  <c r="M24" i="125"/>
  <c r="P24" i="125"/>
  <c r="P18" i="125"/>
  <c r="Q18" i="125"/>
  <c r="R18" i="125"/>
  <c r="S18" i="125"/>
  <c r="N18" i="125"/>
  <c r="J18" i="125"/>
  <c r="K18" i="125"/>
  <c r="O18" i="125"/>
  <c r="L18" i="125"/>
  <c r="M18" i="125"/>
  <c r="K20" i="125"/>
  <c r="L20" i="125"/>
  <c r="M20" i="125"/>
  <c r="N20" i="125"/>
  <c r="S20" i="125"/>
  <c r="J20" i="125"/>
  <c r="O20" i="125"/>
  <c r="P20" i="125"/>
  <c r="Q20" i="125"/>
  <c r="R20" i="125"/>
  <c r="I85" i="125"/>
  <c r="M8" i="125"/>
  <c r="I80" i="125"/>
  <c r="M13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R50" i="125" l="1"/>
  <c r="J50" i="125"/>
  <c r="Q50" i="125"/>
  <c r="P50" i="125"/>
  <c r="O50" i="125"/>
  <c r="N50" i="125"/>
  <c r="M50" i="125"/>
  <c r="K50" i="125"/>
  <c r="L50" i="125"/>
  <c r="P52" i="125"/>
  <c r="Q52" i="125"/>
  <c r="R52" i="125"/>
  <c r="S52" i="125"/>
  <c r="N52" i="125"/>
  <c r="J52" i="125"/>
  <c r="K52" i="125"/>
  <c r="L52" i="125"/>
  <c r="M52" i="125"/>
  <c r="O52" i="125"/>
  <c r="I87" i="125"/>
  <c r="K54" i="125"/>
  <c r="L54" i="125"/>
  <c r="M54" i="125"/>
  <c r="N54" i="125"/>
  <c r="O54" i="125"/>
  <c r="P54" i="125"/>
  <c r="Q54" i="125"/>
  <c r="R54" i="125"/>
  <c r="J54" i="125"/>
  <c r="S54" i="125"/>
  <c r="I92" i="125"/>
  <c r="S57" i="125"/>
  <c r="K57" i="125"/>
  <c r="L57" i="125"/>
  <c r="M57" i="125"/>
  <c r="N57" i="125"/>
  <c r="O57" i="125"/>
  <c r="P57" i="125"/>
  <c r="R57" i="125"/>
  <c r="J57" i="125"/>
  <c r="Q57" i="125"/>
  <c r="S53" i="125"/>
  <c r="K53" i="125"/>
  <c r="L53" i="125"/>
  <c r="M53" i="125"/>
  <c r="N53" i="125"/>
  <c r="J53" i="125"/>
  <c r="O53" i="125"/>
  <c r="Q53" i="125"/>
  <c r="P53" i="125"/>
  <c r="R53" i="125"/>
  <c r="P56" i="125"/>
  <c r="N56" i="125"/>
  <c r="Q56" i="125"/>
  <c r="R56" i="125"/>
  <c r="S56" i="125"/>
  <c r="K56" i="125"/>
  <c r="L56" i="125"/>
  <c r="M56" i="125"/>
  <c r="O56" i="125"/>
  <c r="J56" i="125"/>
  <c r="K85" i="125"/>
  <c r="L85" i="125"/>
  <c r="M85" i="125"/>
  <c r="N85" i="125"/>
  <c r="O85" i="125"/>
  <c r="P85" i="125"/>
  <c r="Q85" i="125"/>
  <c r="J85" i="125"/>
  <c r="R85" i="125"/>
  <c r="S85" i="125"/>
  <c r="P91" i="125"/>
  <c r="N91" i="125"/>
  <c r="Q91" i="125"/>
  <c r="J91" i="125"/>
  <c r="R91" i="125"/>
  <c r="S91" i="125"/>
  <c r="K91" i="125"/>
  <c r="L91" i="125"/>
  <c r="M91" i="125"/>
  <c r="O91" i="125"/>
  <c r="M51" i="125"/>
  <c r="N51" i="125"/>
  <c r="O51" i="125"/>
  <c r="P51" i="125"/>
  <c r="Q51" i="125"/>
  <c r="R51" i="125"/>
  <c r="J51" i="125"/>
  <c r="S51" i="125"/>
  <c r="K51" i="125"/>
  <c r="L51" i="125"/>
  <c r="M55" i="125"/>
  <c r="N55" i="125"/>
  <c r="O55" i="125"/>
  <c r="P55" i="125"/>
  <c r="K55" i="125"/>
  <c r="Q55" i="125"/>
  <c r="R55" i="125"/>
  <c r="S55" i="125"/>
  <c r="J55" i="125"/>
  <c r="L55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S88" i="125" l="1"/>
  <c r="Q88" i="125"/>
  <c r="J88" i="125"/>
  <c r="K88" i="125"/>
  <c r="L88" i="125"/>
  <c r="M88" i="125"/>
  <c r="N88" i="125"/>
  <c r="O88" i="125"/>
  <c r="P88" i="125"/>
  <c r="R88" i="125"/>
  <c r="M86" i="125"/>
  <c r="N86" i="125"/>
  <c r="O86" i="125"/>
  <c r="P86" i="125"/>
  <c r="Q86" i="125"/>
  <c r="R86" i="125"/>
  <c r="K86" i="125"/>
  <c r="S86" i="125"/>
  <c r="J86" i="125"/>
  <c r="L86" i="125"/>
  <c r="P87" i="125"/>
  <c r="Q87" i="125"/>
  <c r="R87" i="125"/>
  <c r="S87" i="125"/>
  <c r="N87" i="125"/>
  <c r="K87" i="125"/>
  <c r="L87" i="125"/>
  <c r="M87" i="125"/>
  <c r="J87" i="125"/>
  <c r="O87" i="125"/>
  <c r="S92" i="125"/>
  <c r="J92" i="125"/>
  <c r="K92" i="125"/>
  <c r="L92" i="125"/>
  <c r="M92" i="125"/>
  <c r="N92" i="125"/>
  <c r="O92" i="125"/>
  <c r="Q92" i="125"/>
  <c r="P92" i="125"/>
  <c r="R92" i="125"/>
  <c r="K89" i="125"/>
  <c r="L89" i="125"/>
  <c r="M89" i="125"/>
  <c r="N89" i="125"/>
  <c r="O89" i="125"/>
  <c r="P89" i="125"/>
  <c r="Q89" i="125"/>
  <c r="R89" i="125"/>
  <c r="S89" i="125"/>
  <c r="J89" i="125"/>
  <c r="M90" i="125"/>
  <c r="J90" i="125"/>
  <c r="N90" i="125"/>
  <c r="O90" i="125"/>
  <c r="P90" i="125"/>
  <c r="Q90" i="125"/>
  <c r="R90" i="125"/>
  <c r="S90" i="125"/>
  <c r="L90" i="125"/>
  <c r="K90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U14" i="125"/>
  <c r="U10" i="125"/>
  <c r="U7" i="125"/>
  <c r="U5" i="125"/>
  <c r="U9" i="125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J16" i="125"/>
  <c r="J7" i="125"/>
  <c r="J11" i="125"/>
  <c r="J14" i="125"/>
  <c r="J5" i="125"/>
  <c r="J12" i="125"/>
  <c r="J6" i="125"/>
  <c r="J15" i="125"/>
  <c r="J10" i="125"/>
  <c r="J8" i="125"/>
  <c r="J9" i="125"/>
  <c r="J13" i="125"/>
  <c r="S5" i="125"/>
  <c r="S14" i="125"/>
  <c r="S7" i="125"/>
  <c r="S16" i="125"/>
  <c r="S11" i="125"/>
  <c r="S12" i="125"/>
  <c r="S6" i="125"/>
  <c r="S10" i="125"/>
  <c r="S8" i="125"/>
  <c r="S13" i="125"/>
  <c r="S9" i="125"/>
  <c r="S15" i="125"/>
  <c r="R14" i="125"/>
  <c r="R7" i="125"/>
  <c r="R12" i="125"/>
  <c r="R6" i="125"/>
  <c r="R16" i="125"/>
  <c r="R5" i="125"/>
  <c r="R11" i="125"/>
  <c r="R15" i="125"/>
  <c r="R10" i="125"/>
  <c r="R13" i="125"/>
  <c r="R8" i="125"/>
  <c r="R9" i="125"/>
  <c r="K12" i="125"/>
  <c r="K14" i="125"/>
  <c r="K5" i="125"/>
  <c r="K11" i="125"/>
  <c r="K7" i="125"/>
  <c r="K16" i="125"/>
  <c r="K6" i="125"/>
  <c r="K13" i="125"/>
  <c r="K9" i="125"/>
  <c r="K10" i="125"/>
  <c r="K8" i="125"/>
  <c r="K15" i="125"/>
  <c r="Q5" i="125"/>
  <c r="Q11" i="125"/>
  <c r="Q6" i="125"/>
  <c r="Q7" i="125"/>
  <c r="Q12" i="125"/>
  <c r="Q14" i="125"/>
  <c r="Q16" i="125"/>
  <c r="Q15" i="125"/>
  <c r="Q9" i="125"/>
  <c r="Q8" i="125"/>
  <c r="Q13" i="125"/>
  <c r="Q10" i="125"/>
  <c r="P7" i="125"/>
  <c r="P6" i="125"/>
  <c r="P12" i="125"/>
  <c r="P16" i="125"/>
  <c r="P5" i="125"/>
  <c r="P14" i="125"/>
  <c r="P11" i="125"/>
  <c r="P10" i="125"/>
  <c r="P13" i="125"/>
  <c r="P9" i="125"/>
  <c r="P8" i="125"/>
  <c r="P15" i="125"/>
  <c r="O12" i="125"/>
  <c r="O6" i="125"/>
  <c r="O5" i="125"/>
  <c r="O16" i="125"/>
  <c r="O7" i="125"/>
  <c r="O14" i="125"/>
  <c r="O11" i="125"/>
  <c r="O13" i="125"/>
  <c r="O15" i="125"/>
  <c r="O9" i="125"/>
  <c r="O10" i="125"/>
  <c r="O8" i="125"/>
  <c r="N6" i="125"/>
  <c r="N12" i="125"/>
  <c r="N5" i="125"/>
  <c r="N16" i="125"/>
  <c r="N14" i="125"/>
  <c r="N11" i="125"/>
  <c r="N7" i="125"/>
  <c r="N13" i="125"/>
  <c r="N9" i="125"/>
  <c r="N8" i="125"/>
  <c r="N10" i="125"/>
  <c r="N15" i="125"/>
  <c r="L6" i="125"/>
  <c r="L16" i="125"/>
  <c r="L11" i="125"/>
  <c r="L14" i="125"/>
  <c r="L5" i="125"/>
  <c r="L7" i="125"/>
  <c r="L12" i="125"/>
  <c r="L9" i="125"/>
  <c r="L10" i="125"/>
  <c r="L8" i="125"/>
  <c r="L13" i="125"/>
  <c r="L1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R39" i="125" l="1"/>
  <c r="R44" i="125"/>
  <c r="R38" i="125"/>
  <c r="R47" i="125"/>
  <c r="R74" i="125"/>
  <c r="R40" i="125"/>
  <c r="R45" i="125"/>
  <c r="R49" i="125"/>
  <c r="R43" i="125"/>
  <c r="R46" i="125"/>
  <c r="R80" i="125"/>
  <c r="R75" i="125"/>
  <c r="R42" i="125"/>
  <c r="R79" i="125"/>
  <c r="R84" i="125"/>
  <c r="R82" i="125"/>
  <c r="R41" i="125"/>
  <c r="R48" i="125"/>
  <c r="R76" i="125"/>
  <c r="R81" i="125"/>
  <c r="R83" i="125"/>
  <c r="R78" i="125"/>
  <c r="R77" i="125"/>
  <c r="P39" i="125"/>
  <c r="P38" i="125"/>
  <c r="P74" i="125"/>
  <c r="P40" i="125"/>
  <c r="P44" i="125"/>
  <c r="P45" i="125"/>
  <c r="P47" i="125"/>
  <c r="P49" i="125"/>
  <c r="P48" i="125"/>
  <c r="P80" i="125"/>
  <c r="P84" i="125"/>
  <c r="P41" i="125"/>
  <c r="P79" i="125"/>
  <c r="P82" i="125"/>
  <c r="P43" i="125"/>
  <c r="P75" i="125"/>
  <c r="P46" i="125"/>
  <c r="P42" i="125"/>
  <c r="P83" i="125"/>
  <c r="P77" i="125"/>
  <c r="P76" i="125"/>
  <c r="P81" i="125"/>
  <c r="P78" i="125"/>
  <c r="O74" i="125"/>
  <c r="O38" i="125"/>
  <c r="O44" i="125"/>
  <c r="O45" i="125"/>
  <c r="O47" i="125"/>
  <c r="O49" i="125"/>
  <c r="O40" i="125"/>
  <c r="O39" i="125"/>
  <c r="O84" i="125"/>
  <c r="O75" i="125"/>
  <c r="O82" i="125"/>
  <c r="O48" i="125"/>
  <c r="O41" i="125"/>
  <c r="O79" i="125"/>
  <c r="O43" i="125"/>
  <c r="O42" i="125"/>
  <c r="O80" i="125"/>
  <c r="O46" i="125"/>
  <c r="O83" i="125"/>
  <c r="O77" i="125"/>
  <c r="O76" i="125"/>
  <c r="O81" i="125"/>
  <c r="O78" i="125"/>
  <c r="S74" i="125"/>
  <c r="S38" i="125"/>
  <c r="S47" i="125"/>
  <c r="S49" i="125"/>
  <c r="S40" i="125"/>
  <c r="S44" i="125"/>
  <c r="S45" i="125"/>
  <c r="S39" i="125"/>
  <c r="S84" i="125"/>
  <c r="S46" i="125"/>
  <c r="S75" i="125"/>
  <c r="S42" i="125"/>
  <c r="S80" i="125"/>
  <c r="S82" i="125"/>
  <c r="S79" i="125"/>
  <c r="S41" i="125"/>
  <c r="S43" i="125"/>
  <c r="S48" i="125"/>
  <c r="S83" i="125"/>
  <c r="S76" i="125"/>
  <c r="S81" i="125"/>
  <c r="S78" i="125"/>
  <c r="S77" i="125"/>
  <c r="Q39" i="125"/>
  <c r="Q38" i="125"/>
  <c r="Q47" i="125"/>
  <c r="Q74" i="125"/>
  <c r="Q40" i="125"/>
  <c r="Q44" i="125"/>
  <c r="Q49" i="125"/>
  <c r="Q45" i="125"/>
  <c r="Q80" i="125"/>
  <c r="Q75" i="125"/>
  <c r="Q41" i="125"/>
  <c r="Q82" i="125"/>
  <c r="Q46" i="125"/>
  <c r="Q84" i="125"/>
  <c r="Q79" i="125"/>
  <c r="Q48" i="125"/>
  <c r="Q42" i="125"/>
  <c r="Q43" i="125"/>
  <c r="Q83" i="125"/>
  <c r="Q77" i="125"/>
  <c r="Q76" i="125"/>
  <c r="Q78" i="125"/>
  <c r="Q81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O73" i="125"/>
  <c r="P73" i="125"/>
  <c r="Q73" i="125"/>
  <c r="R73" i="125"/>
  <c r="S73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  <c r="J84" i="125" l="1"/>
  <c r="J49" i="125"/>
  <c r="M49" i="125"/>
  <c r="M84" i="125"/>
  <c r="K84" i="125"/>
  <c r="K49" i="125"/>
  <c r="L49" i="125"/>
  <c r="L84" i="125"/>
  <c r="N49" i="125"/>
  <c r="N84" i="125"/>
  <c r="J80" i="125" l="1"/>
  <c r="J45" i="125"/>
  <c r="K81" i="125"/>
  <c r="K46" i="125"/>
  <c r="M45" i="125"/>
  <c r="M80" i="125"/>
  <c r="M79" i="125"/>
  <c r="M44" i="125"/>
  <c r="L79" i="125"/>
  <c r="L44" i="125"/>
  <c r="N79" i="125"/>
  <c r="N44" i="125"/>
  <c r="K39" i="125"/>
  <c r="K74" i="125"/>
  <c r="M81" i="125"/>
  <c r="M46" i="125"/>
  <c r="M41" i="125"/>
  <c r="M76" i="125"/>
  <c r="K75" i="125"/>
  <c r="K40" i="125"/>
  <c r="L81" i="125"/>
  <c r="L46" i="125"/>
  <c r="N46" i="125"/>
  <c r="N81" i="125"/>
  <c r="K82" i="125"/>
  <c r="K47" i="125"/>
  <c r="J75" i="125"/>
  <c r="J40" i="125"/>
  <c r="L41" i="125"/>
  <c r="L76" i="125"/>
  <c r="N41" i="125"/>
  <c r="N76" i="125"/>
  <c r="J47" i="125"/>
  <c r="J82" i="125"/>
  <c r="K79" i="125"/>
  <c r="K44" i="125"/>
  <c r="M48" i="125"/>
  <c r="M83" i="125"/>
  <c r="L75" i="125"/>
  <c r="L40" i="125"/>
  <c r="N40" i="125"/>
  <c r="N75" i="125"/>
  <c r="M78" i="125"/>
  <c r="M43" i="125"/>
  <c r="L73" i="125"/>
  <c r="L38" i="125"/>
  <c r="N73" i="125"/>
  <c r="N38" i="125"/>
  <c r="J42" i="125"/>
  <c r="J77" i="125"/>
  <c r="L83" i="125"/>
  <c r="L48" i="125"/>
  <c r="N48" i="125"/>
  <c r="N83" i="125"/>
  <c r="J38" i="125"/>
  <c r="J73" i="125"/>
  <c r="M73" i="125"/>
  <c r="M38" i="125"/>
  <c r="J78" i="125"/>
  <c r="J43" i="125"/>
  <c r="L43" i="125"/>
  <c r="L78" i="125"/>
  <c r="N78" i="125"/>
  <c r="N43" i="125"/>
  <c r="J79" i="125"/>
  <c r="J44" i="125"/>
  <c r="K73" i="125"/>
  <c r="K38" i="125"/>
  <c r="M74" i="125"/>
  <c r="M39" i="125"/>
  <c r="K48" i="125"/>
  <c r="K83" i="125"/>
  <c r="J76" i="125"/>
  <c r="J41" i="125"/>
  <c r="L42" i="125"/>
  <c r="L77" i="125"/>
  <c r="N77" i="125"/>
  <c r="N42" i="125"/>
  <c r="K77" i="125"/>
  <c r="K42" i="125"/>
  <c r="M77" i="125"/>
  <c r="M42" i="125"/>
  <c r="L45" i="125"/>
  <c r="L80" i="125"/>
  <c r="N45" i="125"/>
  <c r="N80" i="125"/>
  <c r="K80" i="125"/>
  <c r="K45" i="125"/>
  <c r="K76" i="125"/>
  <c r="K41" i="125"/>
  <c r="J46" i="125"/>
  <c r="J81" i="125"/>
  <c r="J83" i="125"/>
  <c r="J48" i="125"/>
  <c r="K78" i="125"/>
  <c r="K43" i="125"/>
  <c r="L47" i="125"/>
  <c r="L82" i="125"/>
  <c r="N82" i="125"/>
  <c r="N47" i="125"/>
  <c r="M82" i="125"/>
  <c r="M47" i="125"/>
  <c r="J39" i="125"/>
  <c r="J74" i="125"/>
  <c r="M75" i="125"/>
  <c r="M40" i="125"/>
  <c r="L39" i="125"/>
  <c r="L74" i="125"/>
  <c r="N74" i="125"/>
  <c r="N39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6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<sst xmlns="http://schemas.openxmlformats.org/spreadsheetml/2006/main" count="1119" uniqueCount="438">
  <si>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</si>
  <si>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</si>
  <si>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</si>
  <si>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</si>
  <si>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</si>
  <si>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</si>
  <si>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</si>
  <si>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</si>
  <si>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</si>
  <si>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</si>
  <si>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</si>
  <si>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</si>
  <si>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</si>
  <si>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</si>
  <si>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</si>
  <si>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</si>
  <si>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</si>
  <si>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</si>
  <si>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</si>
  <si>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</si>
  <si>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</si>
  <si>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</si>
  <si>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</si>
  <si>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</si>
  <si>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</si>
  <si>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</si>
  <si>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</si>
  <si>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</si>
  <si>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</si>
  <si>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</si>
  <si>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</si>
  <si>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</si>
  <si>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</si>
  <si>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</si>
  <si>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</si>
  <si>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</si>
  <si>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</si>
  <si>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</si>
  <si>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</si>
  <si>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</si>
  <si>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</si>
  <si>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</si>
  <si>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</si>
  <si>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</si>
  <si>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</si>
  <si>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</si>
  <si>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</si>
  <si>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</si>
  <si>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</si>
  <si>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</si>
  <si>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</si>
  <si>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</si>
  <si>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</si>
  <si>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</si>
  <si>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</si>
  <si>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</si>
  <si>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</si>
  <si>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</si>
  <si>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</si>
  <si>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</si>
  <si>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</si>
  <si>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</si>
  <si>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</si>
  <si>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</si>
  <si>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</si>
  <si>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</si>
  <si>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</si>
  <si>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</si>
  <si>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</si>
  <si>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</si>
  <si>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</si>
  <si>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</si>
  <si>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</si>
  <si>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</si>
  <si>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</si>
  <si>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</si>
  <si>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</si>
  <si>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</si>
  <si>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</si>
  <si>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</si>
  <si>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</si>
  <si>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</si>
  <si>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</si>
  <si>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</si>
  <si>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</si>
  <si>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</si>
  <si>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</si>
  <si>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</si>
  <si>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</si>
  <si>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</si>
  <si>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</si>
  <si>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</si>
  <si>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</si>
  <si>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</si>
  <si>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</si>
  <si>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</si>
  <si>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</si>
  <si>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</si>
  <si>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</si>
  <si>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</si>
  <si>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</si>
  <si>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</si>
  <si>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</si>
  <si>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</si>
  <si>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</si>
  <si>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</si>
  <si>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</si>
  <si>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</si>
  <si>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</si>
  <si>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</si>
  <si>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</si>
  <si>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</si>
  <si>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</si>
  <si>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</si>
  <si>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</si>
  <si>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</si>
  <si>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</si>
  <si>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</si>
  <si>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</si>
  <si>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</si>
  <si>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</si>
  <si>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</si>
  <si>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</si>
  <si>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</si>
  <si>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</si>
  <si>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</si>
  <si>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</si>
  <si>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</si>
  <si>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</si>
  <si>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</si>
  <si>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</si>
  <si>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</si>
  <si>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</si>
  <si>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</si>
  <si>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</si>
  <si>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</si>
  <si>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</si>
  <si>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</si>
  <si>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</si>
  <si>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</si>
  <si>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</si>
  <si>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</si>
  <si>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</si>
  <si>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</si>
  <si>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</si>
  <si>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</si>
  <si>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</si>
  <si>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</si>
  <si>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</si>
  <si>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</si>
  <si>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</si>
  <si>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</si>
  <si>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</si>
  <si>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</si>
  <si>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</si>
  <si>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</si>
  <si>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</si>
  <si>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</si>
  <si>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</si>
  <si>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</si>
  <si>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</si>
  <si>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</si>
  <si>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</si>
  <si>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</si>
  <si>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</si>
  <si>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</si>
  <si>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</si>
  <si>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</si>
  <si>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</si>
  <si>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</si>
  <si>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</si>
  <si>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</si>
  <si>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</si>
  <si>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</si>
  <si>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</si>
  <si>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</si>
  <si>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</si>
  <si>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</si>
  <si>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</si>
  <si>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</si>
  <si>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</si>
  <si>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</si>
  <si>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</si>
  <si>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</si>
  <si>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</si>
  <si>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</si>
  <si>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</si>
  <si>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</si>
  <si>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</si>
  <si>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</si>
  <si>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</si>
  <si>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</si>
  <si>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</si>
  <si>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</si>
  <si>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</si>
  <si>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</si>
  <si>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</si>
  <si>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</si>
  <si>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</si>
  <si>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</si>
  <si>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</si>
  <si>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</si>
  <si>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</si>
  <si>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</si>
  <si>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</si>
  <si>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</si>
  <si>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</si>
  <si>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</si>
  <si>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</si>
  <si>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</si>
  <si>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</si>
  <si>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</si>
  <si>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</si>
  <si>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</si>
  <si>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</si>
  <si>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</si>
  <si>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</si>
  <si>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</si>
  <si>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</si>
  <si>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</si>
  <si>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</si>
  <si>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</si>
  <si>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</si>
  <si>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</si>
  <si>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</si>
  <si>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</si>
  <si>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</si>
  <si>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</si>
  <si>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</si>
  <si>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</si>
  <si>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</si>
  <si>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</si>
  <si>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</si>
  <si>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</si>
  <si>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</si>
  <si>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</si>
  <si>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</si>
  <si>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</si>
  <si>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</si>
  <si>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</si>
  <si>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</si>
  <si>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</si>
  <si>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</si>
  <si>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</si>
  <si>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</si>
  <si>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</si>
  <si>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</si>
  <si>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</si>
  <si>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</si>
  <si>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</si>
  <si>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</si>
  <si>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</si>
  <si>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</si>
  <si>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</si>
  <si>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</si>
  <si>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</si>
  <si>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</si>
  <si>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</si>
  <si>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</si>
  <si>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</si>
  <si>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</si>
  <si>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</si>
  <si>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</si>
  <si>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</si>
  <si>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</si>
  <si>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</si>
  <si>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</si>
  <si>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</si>
  <si>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</si>
  <si>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</si>
  <si>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</si>
  <si>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</si>
  <si>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</si>
  <si>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</si>
  <si>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</si>
  <si>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</si>
  <si>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</si>
  <si>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</si>
  <si>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</si>
  <si>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</si>
  <si>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</si>
  <si>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</si>
  <si>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</si>
  <si>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</si>
  <si>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</si>
  <si>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</si>
  <si>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</si>
  <si>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</si>
  <si>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</si>
  <si>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</si>
  <si>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</si>
  <si>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</si>
  <si>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</si>
  <si>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</si>
  <si>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</si>
  <si>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</si>
  <si>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</si>
  <si>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</si>
  <si>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</si>
  <si>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</si>
  <si>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</si>
  <si>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</si>
  <si>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</si>
  <si>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</si>
  <si>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</si>
  <si>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</si>
  <si>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</si>
  <si>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</si>
  <si>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</si>
  <si>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</si>
  <si>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</si>
  <si>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</si>
  <si>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</si>
  <si>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</si>
  <si>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</si>
  <si>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</si>
  <si>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</si>
  <si>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</si>
  <si>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</si>
  <si>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</si>
  <si>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</si>
  <si>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</si>
  <si>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</si>
  <si>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</si>
  <si>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</si>
  <si>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</si>
  <si>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</si>
  <si>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</si>
  <si>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</si>
  <si>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</si>
  <si>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</si>
  <si>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</si>
  <si>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</si>
  <si>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</si>
  <si>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</si>
  <si>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</si>
  <si>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</si>
  <si>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</si>
  <si>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</si>
  <si>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</si>
  <si>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</si>
  <si>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</si>
  <si>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</si>
  <si>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</si>
  <si>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</si>
  <si>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</si>
  <si>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</si>
  <si>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</si>
  <si>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</si>
  <si>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</si>
  <si>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</si>
  <si>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</si>
  <si>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</si>
  <si>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</si>
  <si>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</si>
  <si>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</si>
  <si>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</si>
  <si>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</si>
  <si>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</si>
  <si>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</si>
  <si>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</si>
  <si>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</si>
  <si>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</si>
  <si>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</si>
  <si>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</si>
  <si>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</si>
  <si>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</si>
  <si>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</si>
  <si>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</si>
  <si>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</si>
  <si>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</si>
  <si>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</si>
  <si>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</si>
  <si>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</si>
  <si>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</si>
  <si>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</si>
  <si>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</si>
  <si>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</si>
  <si>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</si>
  <si>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</si>
  <si>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</si>
  <si>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</si>
  <si>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</si>
  <si>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</si>
  <si>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</si>
  <si>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</si>
  <si>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</si>
  <si>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</si>
  <si>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</si>
  <si>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</si>
  <si>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</si>
  <si>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</si>
  <si>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</si>
  <si>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</si>
  <si>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</si>
  <si>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</si>
  <si>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</si>
  <si>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</si>
  <si>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</si>
  <si>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</si>
  <si>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</si>
  <si>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</si>
  <si>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</si>
  <si>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</si>
  <si>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</si>
  <si>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</si>
  <si>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</si>
  <si>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</si>
  <si>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</si>
  <si>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</si>
  <si>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</si>
  <si>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</si>
  <si>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</si>
  <si>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</si>
  <si>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</si>
  <si>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</si>
  <si>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</si>
  <si>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</si>
  <si>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</si>
  <si>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</si>
  <si>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</si>
  <si>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</si>
  <si>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</si>
  <si>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</si>
  <si>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</si>
  <si>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</si>
  <si>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</si>
  <si>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</si>
  <si>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Loc_69_Clay_4</t>
  </si>
  <si>
    <t>Loc_69_Clay_5</t>
  </si>
  <si>
    <t>Loc_69_Sand_6</t>
  </si>
  <si>
    <t>Exchange sheet</t>
  </si>
  <si>
    <t>notes</t>
  </si>
  <si>
    <t>soil_type</t>
  </si>
  <si>
    <t>On/Off</t>
  </si>
  <si>
    <t>Stiff clay from PISA papers</t>
  </si>
  <si>
    <t>correlation with_Dr</t>
  </si>
  <si>
    <t>benchmark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</si>
</sst>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9" fillId="5" borderId="0" applyNumberFormat="0" applyBorder="0" applyAlignment="0" applyProtection="0"/>
    <xf numFmtId="0" fontId="17" fillId="0" borderId="0"/>
    <xf numFmtId="0" fontId="10" fillId="0" borderId="0"/>
    <xf numFmtId="0" fontId="7" fillId="0" borderId="0"/>
    <xf numFmtId="0" fontId="28" fillId="0" borderId="0"/>
    <xf numFmtId="0" fontId="4" fillId="0" borderId="0"/>
  </cellStyleXfs>
  <cellXfs count="140">
    <xf numFmtId="0" fontId="0" fillId="0" borderId="0" xfId="0"/>
    <xf numFmtId="0" fontId="18" fillId="0" borderId="0" xfId="0" applyFont="1"/>
    <xf numFmtId="0" fontId="17" fillId="0" borderId="0" xfId="2"/>
    <xf numFmtId="0" fontId="22" fillId="9" borderId="5" xfId="2" applyFont="1" applyFill="1" applyBorder="1"/>
    <xf numFmtId="0" fontId="22" fillId="9" borderId="6" xfId="2" applyFont="1" applyFill="1" applyBorder="1"/>
    <xf numFmtId="0" fontId="20" fillId="10" borderId="7" xfId="2" applyFont="1" applyFill="1" applyBorder="1"/>
    <xf numFmtId="2" fontId="20" fillId="0" borderId="2" xfId="2" applyNumberFormat="1" applyFont="1" applyBorder="1"/>
    <xf numFmtId="0" fontId="17" fillId="2" borderId="0" xfId="2" applyFill="1"/>
    <xf numFmtId="0" fontId="20" fillId="11" borderId="8" xfId="2" applyFont="1" applyFill="1" applyBorder="1"/>
    <xf numFmtId="0" fontId="22" fillId="9" borderId="9" xfId="2" applyFont="1" applyFill="1" applyBorder="1"/>
    <xf numFmtId="0" fontId="22" fillId="9" borderId="10" xfId="2" applyFont="1" applyFill="1" applyBorder="1"/>
    <xf numFmtId="0" fontId="17" fillId="10" borderId="0" xfId="2" applyFill="1" applyBorder="1"/>
    <xf numFmtId="0" fontId="17" fillId="7" borderId="0" xfId="2" applyFill="1"/>
    <xf numFmtId="0" fontId="17" fillId="11" borderId="12" xfId="2" applyFill="1" applyBorder="1"/>
    <xf numFmtId="0" fontId="22" fillId="9" borderId="14" xfId="2" applyFont="1" applyFill="1" applyBorder="1"/>
    <xf numFmtId="0" fontId="22" fillId="9" borderId="15" xfId="2" applyFont="1" applyFill="1" applyBorder="1"/>
    <xf numFmtId="0" fontId="17" fillId="10" borderId="12" xfId="2" applyFill="1" applyBorder="1"/>
    <xf numFmtId="0" fontId="22" fillId="9" borderId="16" xfId="2" applyFont="1" applyFill="1" applyBorder="1"/>
    <xf numFmtId="0" fontId="22" fillId="9" borderId="17" xfId="2" applyFont="1" applyFill="1" applyBorder="1"/>
    <xf numFmtId="0" fontId="21" fillId="12" borderId="2" xfId="2" applyFont="1" applyFill="1" applyBorder="1" applyAlignment="1">
      <alignment horizontal="center"/>
    </xf>
    <xf numFmtId="0" fontId="21" fillId="12" borderId="3" xfId="2" applyFont="1" applyFill="1" applyBorder="1" applyAlignment="1">
      <alignment horizontal="center"/>
    </xf>
    <xf numFmtId="0" fontId="22" fillId="13" borderId="6" xfId="2" applyFont="1" applyFill="1" applyBorder="1"/>
    <xf numFmtId="0" fontId="22" fillId="3" borderId="5" xfId="2" applyFont="1" applyFill="1" applyBorder="1"/>
    <xf numFmtId="0" fontId="22" fillId="3" borderId="6" xfId="2" applyFont="1" applyFill="1" applyBorder="1"/>
    <xf numFmtId="0" fontId="22" fillId="3" borderId="9" xfId="2" applyFont="1" applyFill="1" applyBorder="1"/>
    <xf numFmtId="0" fontId="22" fillId="3" borderId="10" xfId="2" applyFont="1" applyFill="1" applyBorder="1"/>
    <xf numFmtId="0" fontId="22" fillId="3" borderId="14" xfId="2" applyFont="1" applyFill="1" applyBorder="1"/>
    <xf numFmtId="0" fontId="22" fillId="3" borderId="15" xfId="2" applyFont="1" applyFill="1" applyBorder="1"/>
    <xf numFmtId="0" fontId="17" fillId="4" borderId="0" xfId="2" applyFill="1"/>
    <xf numFmtId="0" fontId="22" fillId="3" borderId="16" xfId="2" applyFont="1" applyFill="1" applyBorder="1"/>
    <xf numFmtId="0" fontId="22" fillId="3" borderId="17" xfId="2" applyFont="1" applyFill="1" applyBorder="1"/>
    <xf numFmtId="0" fontId="20" fillId="10" borderId="8" xfId="2" applyFont="1" applyFill="1" applyBorder="1"/>
    <xf numFmtId="0" fontId="20" fillId="10" borderId="2" xfId="2" applyFont="1" applyFill="1" applyBorder="1"/>
    <xf numFmtId="0" fontId="17" fillId="10" borderId="13" xfId="2" applyFill="1" applyBorder="1"/>
    <xf numFmtId="0" fontId="17" fillId="10" borderId="1" xfId="2" applyFill="1" applyBorder="1"/>
    <xf numFmtId="0" fontId="17" fillId="10" borderId="19" xfId="2" applyFill="1" applyBorder="1"/>
    <xf numFmtId="0" fontId="17" fillId="10" borderId="20" xfId="2" applyFill="1" applyBorder="1"/>
    <xf numFmtId="0" fontId="20" fillId="0" borderId="16" xfId="2" applyFont="1" applyBorder="1"/>
    <xf numFmtId="0" fontId="17" fillId="0" borderId="0" xfId="2" applyBorder="1"/>
    <xf numFmtId="0" fontId="17" fillId="0" borderId="0" xfId="2" applyAlignment="1"/>
    <xf numFmtId="0" fontId="21" fillId="14" borderId="2" xfId="2" applyFont="1" applyFill="1" applyBorder="1" applyAlignment="1">
      <alignment horizontal="center"/>
    </xf>
    <xf numFmtId="0" fontId="21" fillId="14" borderId="3" xfId="2" applyFont="1" applyFill="1" applyBorder="1" applyAlignment="1">
      <alignment horizontal="center"/>
    </xf>
    <xf numFmtId="0" fontId="17" fillId="2" borderId="7" xfId="2" applyFill="1" applyBorder="1"/>
    <xf numFmtId="0" fontId="16" fillId="0" borderId="0" xfId="2" applyFont="1"/>
    <xf numFmtId="0" fontId="17" fillId="15" borderId="0" xfId="2" applyFill="1"/>
    <xf numFmtId="0" fontId="15" fillId="0" borderId="0" xfId="2" applyFont="1"/>
    <xf numFmtId="0" fontId="14" fillId="0" borderId="0" xfId="2" applyFont="1"/>
    <xf numFmtId="2" fontId="20" fillId="10" borderId="2" xfId="2" applyNumberFormat="1" applyFont="1" applyFill="1" applyBorder="1"/>
    <xf numFmtId="0" fontId="17" fillId="16" borderId="0" xfId="2" applyFill="1"/>
    <xf numFmtId="0" fontId="14" fillId="17" borderId="0" xfId="2" applyFont="1" applyFill="1"/>
    <xf numFmtId="0" fontId="17" fillId="17" borderId="0" xfId="2" applyFill="1"/>
    <xf numFmtId="0" fontId="17" fillId="18" borderId="0" xfId="2" applyFill="1"/>
    <xf numFmtId="0" fontId="22" fillId="13" borderId="10" xfId="2" applyFont="1" applyFill="1" applyBorder="1"/>
    <xf numFmtId="0" fontId="22" fillId="13" borderId="17" xfId="2" applyFont="1" applyFill="1" applyBorder="1"/>
    <xf numFmtId="0" fontId="13" fillId="0" borderId="0" xfId="2" applyFont="1"/>
    <xf numFmtId="0" fontId="23" fillId="0" borderId="0" xfId="0" applyFont="1"/>
    <xf numFmtId="0" fontId="13" fillId="0" borderId="0" xfId="2" applyFont="1" applyFill="1" applyBorder="1"/>
    <xf numFmtId="0" fontId="12" fillId="0" borderId="0" xfId="2" applyFont="1" applyFill="1" applyBorder="1"/>
    <xf numFmtId="0" fontId="11" fillId="0" borderId="0" xfId="2" applyFont="1"/>
    <xf numFmtId="0" fontId="9" fillId="0" borderId="0" xfId="2" applyFont="1"/>
    <xf numFmtId="0" fontId="20" fillId="20" borderId="20" xfId="2" applyFont="1" applyFill="1" applyBorder="1"/>
    <xf numFmtId="0" fontId="8" fillId="0" borderId="0" xfId="2" applyFont="1"/>
    <xf numFmtId="0" fontId="18" fillId="0" borderId="22" xfId="0" applyFont="1" applyBorder="1" applyAlignment="1">
      <alignment horizontal="right" vertical="center" wrapText="1"/>
    </xf>
    <xf numFmtId="11" fontId="18" fillId="0" borderId="22" xfId="0" applyNumberFormat="1" applyFont="1" applyBorder="1" applyAlignment="1">
      <alignment horizontal="right" vertical="center" wrapText="1"/>
    </xf>
    <xf numFmtId="0" fontId="26" fillId="0" borderId="22" xfId="0" applyFont="1" applyBorder="1" applyAlignment="1">
      <alignment horizontal="right" vertical="center" wrapText="1"/>
    </xf>
    <xf numFmtId="0" fontId="26" fillId="0" borderId="0" xfId="0" applyFont="1" applyBorder="1" applyAlignment="1">
      <alignment horizontal="right" vertical="center" wrapText="1"/>
    </xf>
    <xf numFmtId="11" fontId="17" fillId="0" borderId="0" xfId="2" applyNumberFormat="1"/>
    <xf numFmtId="11" fontId="26" fillId="0" borderId="22" xfId="0" applyNumberFormat="1" applyFont="1" applyBorder="1" applyAlignment="1">
      <alignment horizontal="right" vertical="center" wrapText="1"/>
    </xf>
    <xf numFmtId="0" fontId="6" fillId="22" borderId="25" xfId="2" applyFont="1" applyFill="1" applyBorder="1"/>
    <xf numFmtId="0" fontId="17" fillId="22" borderId="26" xfId="2" applyFill="1" applyBorder="1"/>
    <xf numFmtId="0" fontId="6" fillId="22" borderId="27" xfId="2" applyFont="1" applyFill="1" applyBorder="1"/>
    <xf numFmtId="0" fontId="17" fillId="22" borderId="28" xfId="2" applyFill="1" applyBorder="1"/>
    <xf numFmtId="0" fontId="5" fillId="10" borderId="0" xfId="2" applyFont="1" applyFill="1" applyBorder="1"/>
    <xf numFmtId="11" fontId="26" fillId="0" borderId="0" xfId="0" applyNumberFormat="1" applyFont="1" applyBorder="1" applyAlignment="1">
      <alignment horizontal="right" vertical="center" wrapText="1"/>
    </xf>
    <xf numFmtId="3" fontId="17" fillId="0" borderId="0" xfId="2" applyNumberFormat="1"/>
    <xf numFmtId="3" fontId="26" fillId="0" borderId="0" xfId="0" applyNumberFormat="1" applyFont="1" applyBorder="1" applyAlignment="1">
      <alignment horizontal="right" vertical="center" wrapText="1"/>
    </xf>
    <xf numFmtId="2" fontId="17" fillId="0" borderId="0" xfId="2" applyNumberFormat="1"/>
    <xf numFmtId="0" fontId="0" fillId="0" borderId="0" xfId="0" applyNumberFormat="1"/>
    <xf numFmtId="0" fontId="2" fillId="0" borderId="0" xfId="2" applyFont="1"/>
    <xf numFmtId="0" fontId="27" fillId="21" borderId="29" xfId="0" applyFont="1" applyFill="1" applyBorder="1" applyAlignment="1">
      <alignment vertical="center" wrapText="1"/>
    </xf>
    <xf numFmtId="0" fontId="25" fillId="21" borderId="29" xfId="0" applyFont="1" applyFill="1" applyBorder="1" applyAlignment="1">
      <alignment horizontal="right" vertical="center" wrapText="1"/>
    </xf>
    <xf numFmtId="0" fontId="17" fillId="0" borderId="30" xfId="2" applyBorder="1"/>
    <xf numFmtId="0" fontId="3" fillId="0" borderId="31" xfId="2" applyFont="1" applyBorder="1"/>
    <xf numFmtId="0" fontId="3" fillId="0" borderId="32" xfId="2" applyFont="1" applyBorder="1"/>
    <xf numFmtId="0" fontId="3" fillId="0" borderId="23" xfId="2" applyFont="1" applyBorder="1"/>
    <xf numFmtId="0" fontId="17" fillId="0" borderId="33" xfId="2" applyBorder="1"/>
    <xf numFmtId="0" fontId="17" fillId="0" borderId="23" xfId="2" applyBorder="1"/>
    <xf numFmtId="0" fontId="17" fillId="0" borderId="11" xfId="2" applyBorder="1"/>
    <xf numFmtId="0" fontId="17" fillId="13" borderId="11" xfId="2" applyFill="1" applyBorder="1"/>
    <xf numFmtId="0" fontId="19" fillId="5" borderId="21" xfId="1" applyBorder="1"/>
    <xf numFmtId="0" fontId="17" fillId="13" borderId="0" xfId="2" applyFill="1" applyBorder="1"/>
    <xf numFmtId="0" fontId="19" fillId="5" borderId="13" xfId="1" applyBorder="1"/>
    <xf numFmtId="0" fontId="19" fillId="5" borderId="0" xfId="1" applyBorder="1"/>
    <xf numFmtId="0" fontId="17" fillId="0" borderId="1" xfId="2" applyBorder="1"/>
    <xf numFmtId="0" fontId="17" fillId="13" borderId="1" xfId="2" applyFill="1" applyBorder="1"/>
    <xf numFmtId="0" fontId="19" fillId="5" borderId="1" xfId="1" applyBorder="1"/>
    <xf numFmtId="0" fontId="19" fillId="5" borderId="19" xfId="1" applyBorder="1"/>
    <xf numFmtId="0" fontId="20" fillId="0" borderId="19" xfId="2" applyFont="1" applyBorder="1"/>
    <xf numFmtId="0" fontId="20" fillId="0" borderId="17" xfId="2" applyFont="1" applyBorder="1"/>
    <xf numFmtId="0" fontId="20" fillId="0" borderId="2" xfId="2" applyFont="1" applyBorder="1"/>
    <xf numFmtId="0" fontId="20" fillId="0" borderId="8" xfId="2" applyFont="1" applyBorder="1" applyAlignment="1"/>
    <xf numFmtId="0" fontId="20" fillId="0" borderId="3" xfId="2" applyFont="1" applyBorder="1" applyAlignment="1"/>
    <xf numFmtId="0" fontId="20" fillId="20" borderId="0" xfId="2" applyFont="1" applyFill="1"/>
    <xf numFmtId="0" fontId="28" fillId="0" borderId="0" xfId="5"/>
    <xf numFmtId="0" fontId="18" fillId="0" borderId="0" xfId="5" quotePrefix="1" applyFont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vertical="center"/>
    </xf>
    <xf numFmtId="0" fontId="1" fillId="0" borderId="0" xfId="2" applyFont="1"/>
    <xf numFmtId="16" fontId="22" fillId="3" borderId="10" xfId="2" applyNumberFormat="1" applyFont="1" applyFill="1" applyBorder="1" applyAlignment="1">
      <alignment horizontal="right"/>
    </xf>
    <xf numFmtId="0" fontId="22" fillId="3" borderId="10" xfId="2" applyFont="1" applyFill="1" applyBorder="1" applyAlignment="1">
      <alignment horizontal="right"/>
    </xf>
    <xf numFmtId="0" fontId="1" fillId="0" borderId="0" xfId="2" applyFont="1" applyBorder="1"/>
    <xf numFmtId="0" fontId="1" fillId="0" borderId="31" xfId="2" applyFont="1" applyBorder="1"/>
    <xf numFmtId="2" fontId="20" fillId="0" borderId="8" xfId="2" applyNumberFormat="1" applyFont="1" applyBorder="1"/>
    <xf numFmtId="0" fontId="20" fillId="10" borderId="20" xfId="2" applyFont="1" applyFill="1" applyBorder="1"/>
    <xf numFmtId="0" fontId="20" fillId="10" borderId="11" xfId="2" applyFont="1" applyFill="1" applyBorder="1"/>
    <xf numFmtId="0" fontId="20" fillId="10" borderId="21" xfId="2" applyFont="1" applyFill="1" applyBorder="1"/>
    <xf numFmtId="0" fontId="5" fillId="10" borderId="11" xfId="2" applyFont="1" applyFill="1" applyBorder="1"/>
    <xf numFmtId="0" fontId="17" fillId="10" borderId="11" xfId="2" applyFill="1" applyBorder="1"/>
    <xf numFmtId="0" fontId="17" fillId="10" borderId="21" xfId="2" applyFill="1" applyBorder="1"/>
    <xf numFmtId="0" fontId="17" fillId="10" borderId="7" xfId="2" applyFill="1" applyBorder="1"/>
    <xf numFmtId="0" fontId="17" fillId="10" borderId="17" xfId="2" applyFill="1" applyBorder="1"/>
    <xf numFmtId="0" fontId="20" fillId="7" borderId="2" xfId="2" applyFont="1" applyFill="1" applyBorder="1" applyAlignment="1">
      <alignment horizontal="center"/>
    </xf>
    <xf numFmtId="0" fontId="20" fillId="7" borderId="4" xfId="2" applyFont="1" applyFill="1" applyBorder="1" applyAlignment="1">
      <alignment horizontal="center"/>
    </xf>
    <xf numFmtId="0" fontId="20" fillId="7" borderId="3" xfId="2" applyFont="1" applyFill="1" applyBorder="1" applyAlignment="1">
      <alignment horizontal="center"/>
    </xf>
    <xf numFmtId="0" fontId="21" fillId="6" borderId="2" xfId="2" applyFont="1" applyFill="1" applyBorder="1" applyAlignment="1">
      <alignment horizontal="center"/>
    </xf>
    <xf numFmtId="0" fontId="21" fillId="6" borderId="3" xfId="2" applyFont="1" applyFill="1" applyBorder="1" applyAlignment="1">
      <alignment horizontal="center"/>
    </xf>
    <xf numFmtId="0" fontId="20" fillId="8" borderId="2" xfId="2" applyFont="1" applyFill="1" applyBorder="1" applyAlignment="1">
      <alignment horizontal="center"/>
    </xf>
    <xf numFmtId="0" fontId="20" fillId="8" borderId="4" xfId="2" applyFont="1" applyFill="1" applyBorder="1" applyAlignment="1">
      <alignment horizontal="center"/>
    </xf>
    <xf numFmtId="0" fontId="20" fillId="8" borderId="3" xfId="2" applyFont="1" applyFill="1" applyBorder="1" applyAlignment="1">
      <alignment horizontal="center"/>
    </xf>
    <xf numFmtId="0" fontId="6" fillId="22" borderId="24" xfId="2" applyFont="1" applyFill="1" applyBorder="1" applyAlignment="1">
      <alignment horizontal="center"/>
    </xf>
    <xf numFmtId="0" fontId="17" fillId="0" borderId="20" xfId="2" applyBorder="1" applyAlignment="1">
      <alignment horizontal="center"/>
    </xf>
    <xf numFmtId="0" fontId="17" fillId="0" borderId="21" xfId="2" applyBorder="1" applyAlignment="1">
      <alignment horizontal="center"/>
    </xf>
    <xf numFmtId="0" fontId="17" fillId="0" borderId="16" xfId="2" applyBorder="1" applyAlignment="1">
      <alignment horizontal="center"/>
    </xf>
    <xf numFmtId="0" fontId="17" fillId="0" borderId="19" xfId="2" applyBorder="1" applyAlignment="1">
      <alignment horizontal="center"/>
    </xf>
    <xf numFmtId="0" fontId="17" fillId="19" borderId="20" xfId="2" applyFill="1" applyBorder="1" applyAlignment="1">
      <alignment horizontal="center" vertical="center"/>
    </xf>
    <xf numFmtId="0" fontId="17" fillId="19" borderId="18" xfId="2" applyFill="1" applyBorder="1" applyAlignment="1">
      <alignment horizontal="center" vertical="center"/>
    </xf>
    <xf numFmtId="0" fontId="17" fillId="19" borderId="16" xfId="2" applyFill="1" applyBorder="1" applyAlignment="1">
      <alignment horizontal="center" vertical="center"/>
    </xf>
    <xf numFmtId="0" fontId="17" fillId="0" borderId="20" xfId="2" applyBorder="1" applyAlignment="1">
      <alignment horizontal="center" vertical="center"/>
    </xf>
    <xf numFmtId="0" fontId="17" fillId="0" borderId="18" xfId="2" applyBorder="1" applyAlignment="1">
      <alignment horizontal="center" vertical="center"/>
    </xf>
    <xf numFmtId="0" fontId="17" fillId="0" borderId="16" xfId="2" applyBorder="1" applyAlignment="1">
      <alignment horizontal="center" vertic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6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65" headerRowBorderDxfId="64" tableBorderDxfId="63" totalsRowBorderDxfId="62">
  <autoFilter ref="E3:H36" xr:uid="{959DA9F9-400D-4E84-A65C-F78F8C4FDFBF}"/>
  <tableColumns count="4">
    <tableColumn id="1" xr3:uid="{C71BB3DE-C7A3-40FB-833B-63BF72AA888D}" name="Base Case " dataDxfId="61" dataCellStyle="Normal 2"/>
    <tableColumn id="2" xr3:uid="{7A77F484-DAB4-4361-85D9-C2C76229D64F}" name="Project name" dataDxfId="60" dataCellStyle="Normal 2"/>
    <tableColumn id="3" xr3:uid="{CA0234AE-9297-42A2-838A-5321E59C661B}" name="Revision" dataDxfId="59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58"/>
    <tableColumn id="2" xr3:uid="{D3F255F2-2A86-4157-9656-81F9A8679A3F}" uniqueName="2" name="project" queryTableFieldId="2" dataDxfId="57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56"/>
    <tableColumn id="2" xr3:uid="{0352DEE9-A2F6-4B8A-8599-04C147D10F35}" uniqueName="2" name="project" queryTableFieldId="2" dataDxfId="55"/>
    <tableColumn id="3" xr3:uid="{BF6C5043-F72C-4AE8-9579-515A96C3E5DA}" uniqueName="3" name="rev" queryTableFieldId="3"/>
    <tableColumn id="4" xr3:uid="{555920D1-D4C3-4246-B1CC-654778957766}" uniqueName="4" name="notes" queryTableFieldId="4" dataDxfId="54"/>
    <tableColumn id="5" xr3:uid="{3C8B1387-C128-40BC-85BE-2A2258FF5090}" uniqueName="5" name="soil_type" queryTableFieldId="71" dataDxfId="53"/>
    <tableColumn id="6" xr3:uid="{B120AA35-A36C-4373-9DD8-C12E4ADEA753}" uniqueName="6" name="y_u_F" queryTableFieldId="6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/>
    <tableColumn id="22" xr3:uid="{DDF2E8CC-8F90-4165-A9DD-0C0446BC0AE9}" uniqueName="22" name="tetam_u_F" queryTableFieldId="22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/>
    <tableColumn id="38" xr3:uid="{AE0DC746-D8B2-43F4-92F2-2255EDBA42E9}" uniqueName="38" name="yB_u_F" queryTableFieldId="38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/>
    <tableColumn id="54" xr3:uid="{F50B2D1F-8054-4D43-9D9F-605E7F01705A}" uniqueName="54" name="tetaMb_u_F" queryTableFieldId="54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tabSelected="1" zoomScaleNormal="100" workbookViewId="0">
      <selection activeCell="C21" sqref="C21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24" t="s">
        <v>77</v>
      </c>
      <c r="C2" s="125"/>
      <c r="I2" s="121" t="s">
        <v>78</v>
      </c>
      <c r="J2" s="122"/>
      <c r="K2" s="122"/>
      <c r="L2" s="122"/>
      <c r="M2" s="122"/>
      <c r="N2" s="122"/>
      <c r="O2" s="122"/>
      <c r="P2" s="122"/>
      <c r="Q2" s="122"/>
      <c r="R2" s="122"/>
      <c r="S2" s="123"/>
      <c r="AL2" s="126" t="s">
        <v>79</v>
      </c>
      <c r="AM2" s="127"/>
      <c r="AN2" s="127"/>
      <c r="AO2" s="127"/>
      <c r="AP2" s="127"/>
      <c r="AQ2" s="127"/>
      <c r="AR2" s="127"/>
      <c r="AS2" s="127"/>
      <c r="AT2" s="127"/>
      <c r="AU2" s="128"/>
    </row>
    <row r="3" spans="2:47" ht="13.5" customHeight="1" thickBot="1" x14ac:dyDescent="0.2">
      <c r="B3" s="3" t="s">
        <v>80</v>
      </c>
      <c r="C3" s="4" t="s">
        <v>187</v>
      </c>
      <c r="E3" s="81" t="s">
        <v>82</v>
      </c>
      <c r="F3" s="82" t="s">
        <v>245</v>
      </c>
      <c r="G3" s="83" t="s">
        <v>246</v>
      </c>
      <c r="H3" s="111" t="s">
        <v>419</v>
      </c>
      <c r="I3" s="79" t="s">
        <v>83</v>
      </c>
      <c r="J3" s="6" t="s">
        <v>84</v>
      </c>
      <c r="K3" s="6" t="s">
        <v>139</v>
      </c>
      <c r="L3" s="6" t="s">
        <v>86</v>
      </c>
      <c r="M3" s="6" t="s">
        <v>142</v>
      </c>
      <c r="N3" s="6" t="s">
        <v>140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197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187</v>
      </c>
      <c r="E4" s="84" t="s">
        <v>390</v>
      </c>
      <c r="F4" s="84" t="s">
        <v>252</v>
      </c>
      <c r="G4" s="85">
        <v>0</v>
      </c>
      <c r="H4" s="110" t="s">
        <v>420</v>
      </c>
      <c r="I4" s="80">
        <v>1</v>
      </c>
      <c r="P4" s="65"/>
      <c r="Q4" s="65"/>
      <c r="R4" s="65"/>
      <c r="S4" s="65"/>
      <c r="T4" s="2">
        <v>1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2" thickBot="1" x14ac:dyDescent="0.2">
      <c r="B5" s="14" t="s">
        <v>109</v>
      </c>
      <c r="C5" s="15" t="s">
        <v>110</v>
      </c>
      <c r="E5" s="84" t="s">
        <v>359</v>
      </c>
      <c r="F5" s="84" t="s">
        <v>252</v>
      </c>
      <c r="G5" s="85">
        <v>1</v>
      </c>
      <c r="H5" s="110" t="s">
        <v>421</v>
      </c>
      <c r="I5" s="80">
        <v>2</v>
      </c>
      <c r="P5" s="65"/>
      <c r="Q5" s="65"/>
      <c r="R5" s="65"/>
      <c r="S5" s="65"/>
      <c r="T5" s="2">
        <v>1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2" thickBot="1" x14ac:dyDescent="0.2">
      <c r="B6" s="9" t="s">
        <v>111</v>
      </c>
      <c r="C6" s="10" t="s">
        <v>112</v>
      </c>
      <c r="E6" s="84" t="s">
        <v>338</v>
      </c>
      <c r="F6" s="84" t="s">
        <v>252</v>
      </c>
      <c r="G6" s="85">
        <v>1</v>
      </c>
      <c r="H6" s="110" t="s">
        <v>422</v>
      </c>
      <c r="I6" s="80">
        <v>3</v>
      </c>
      <c r="P6" s="65"/>
      <c r="Q6" s="65"/>
      <c r="R6" s="65"/>
      <c r="S6" s="65"/>
      <c r="T6" s="2">
        <v>1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2" thickBot="1" x14ac:dyDescent="0.2">
      <c r="B7" s="9" t="s">
        <v>113</v>
      </c>
      <c r="C7" s="10" t="s">
        <v>217</v>
      </c>
      <c r="E7" s="84" t="s">
        <v>351</v>
      </c>
      <c r="F7" s="84" t="s">
        <v>252</v>
      </c>
      <c r="G7" s="85">
        <v>1</v>
      </c>
      <c r="H7" s="110" t="s">
        <v>423</v>
      </c>
      <c r="I7" s="80">
        <v>4</v>
      </c>
      <c r="P7" s="65"/>
      <c r="Q7" s="65"/>
      <c r="R7" s="65"/>
      <c r="S7" s="65"/>
      <c r="T7" s="2">
        <v>1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2" thickBot="1" x14ac:dyDescent="0.2">
      <c r="B8" s="9" t="s">
        <v>114</v>
      </c>
      <c r="C8" s="10" t="s">
        <v>115</v>
      </c>
      <c r="E8" s="84" t="s">
        <v>363</v>
      </c>
      <c r="F8" s="84" t="s">
        <v>252</v>
      </c>
      <c r="G8" s="85">
        <v>1</v>
      </c>
      <c r="H8" s="110" t="s">
        <v>424</v>
      </c>
      <c r="I8" s="80">
        <v>5</v>
      </c>
      <c r="P8" s="65"/>
      <c r="Q8" s="65"/>
      <c r="R8" s="65"/>
      <c r="S8" s="65"/>
      <c r="T8" s="2">
        <v>1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2" thickBot="1" x14ac:dyDescent="0.2">
      <c r="B9" s="17" t="s">
        <v>116</v>
      </c>
      <c r="C9" s="18" t="s">
        <v>117</v>
      </c>
      <c r="E9" s="84" t="s">
        <v>341</v>
      </c>
      <c r="F9" s="84" t="s">
        <v>252</v>
      </c>
      <c r="G9" s="85">
        <v>1</v>
      </c>
      <c r="H9" s="110" t="s">
        <v>425</v>
      </c>
      <c r="I9" s="80">
        <v>6</v>
      </c>
      <c r="P9" s="65"/>
      <c r="Q9" s="65"/>
      <c r="R9" s="65"/>
      <c r="S9" s="65"/>
      <c r="T9" s="2">
        <v>1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84" t="s">
        <v>390</v>
      </c>
      <c r="F10" s="84" t="s">
        <v>252</v>
      </c>
      <c r="G10" s="85">
        <v>0</v>
      </c>
      <c r="H10" s="110" t="s">
        <v>426</v>
      </c>
      <c r="I10" s="80">
        <v>7</v>
      </c>
      <c r="P10" s="65"/>
      <c r="Q10" s="65"/>
      <c r="R10" s="65"/>
      <c r="S10" s="65"/>
      <c r="T10" s="2">
        <v>1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2" thickBot="1" x14ac:dyDescent="0.2">
      <c r="B11" s="124" t="s">
        <v>388</v>
      </c>
      <c r="C11" s="125"/>
      <c r="E11" s="84" t="s">
        <v>365</v>
      </c>
      <c r="F11" s="84" t="s">
        <v>252</v>
      </c>
      <c r="G11" s="85">
        <v>1</v>
      </c>
      <c r="H11" s="110" t="s">
        <v>427</v>
      </c>
      <c r="I11" s="80">
        <v>8</v>
      </c>
      <c r="P11" s="65"/>
      <c r="Q11" s="65"/>
      <c r="R11" s="65"/>
      <c r="S11" s="65"/>
      <c r="T11" s="2">
        <v>1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2" thickBot="1" x14ac:dyDescent="0.2">
      <c r="B12" s="4" t="s">
        <v>198</v>
      </c>
      <c r="C12" s="4" t="s">
        <v>187</v>
      </c>
      <c r="E12" s="84" t="s">
        <v>365</v>
      </c>
      <c r="F12" s="84" t="s">
        <v>252</v>
      </c>
      <c r="G12" s="85">
        <v>1</v>
      </c>
      <c r="H12" s="110" t="s">
        <v>428</v>
      </c>
      <c r="I12" s="80">
        <v>9</v>
      </c>
      <c r="P12" s="65"/>
      <c r="Q12" s="65"/>
      <c r="R12" s="65"/>
      <c r="S12" s="65"/>
      <c r="T12" s="2">
        <v>1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2" thickBot="1" x14ac:dyDescent="0.2">
      <c r="B13" s="10" t="s">
        <v>199</v>
      </c>
      <c r="C13" s="10" t="s">
        <v>187</v>
      </c>
      <c r="E13" s="84" t="s">
        <v>365</v>
      </c>
      <c r="F13" s="84" t="s">
        <v>252</v>
      </c>
      <c r="G13" s="85">
        <v>1</v>
      </c>
      <c r="H13" s="110" t="s">
        <v>429</v>
      </c>
      <c r="I13" s="80">
        <v>10</v>
      </c>
      <c r="P13" s="65"/>
      <c r="Q13" s="65"/>
      <c r="R13" s="65"/>
      <c r="S13" s="65"/>
      <c r="T13" s="2">
        <v>1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200</v>
      </c>
      <c r="C14" s="18" t="s">
        <v>187</v>
      </c>
      <c r="E14" s="86" t="s">
        <v>390</v>
      </c>
      <c r="F14" s="84" t="s">
        <v>252</v>
      </c>
      <c r="G14" s="85">
        <v>0</v>
      </c>
      <c r="H14" s="110" t="s">
        <v>430</v>
      </c>
      <c r="I14" s="80">
        <v>11</v>
      </c>
      <c r="P14" s="65"/>
      <c r="Q14" s="65"/>
      <c r="R14" s="65"/>
      <c r="S14" s="65"/>
      <c r="T14" s="2">
        <v>1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T15" s="2">
        <v>1</v>
      </c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437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188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196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29" t="s">
        <v>204</v>
      </c>
      <c r="C23" s="129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202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203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29" t="s">
        <v>205</v>
      </c>
      <c r="C27" s="129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202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203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22" t="s">
        <v>132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p_u_1</v>
      </c>
      <c r="L37" s="114" t="str">
        <f t="shared" si="1"/>
        <v>k_p_1</v>
      </c>
      <c r="M37" s="114" t="str">
        <f>M3</f>
        <v>n_p_1</v>
      </c>
      <c r="N37" s="114" t="str">
        <f t="shared" si="1"/>
        <v>k_p_2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201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192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389</v>
      </c>
      <c r="C52" s="4" t="s">
        <v>81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397</v>
      </c>
      <c r="C53" s="4" t="s">
        <v>187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245</v>
      </c>
      <c r="C54" s="4" t="s">
        <v>418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417</v>
      </c>
      <c r="C55" s="4">
        <v>11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21" t="s">
        <v>133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p_u_1</v>
      </c>
      <c r="L72" s="47" t="str">
        <f t="shared" si="3"/>
        <v>k_p_1</v>
      </c>
      <c r="M72" s="47" t="str">
        <f>M$3</f>
        <v>n_p_1</v>
      </c>
      <c r="N72" s="47" t="str">
        <f t="shared" si="3"/>
        <v>k_p_2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/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4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19" xr:uid="{421D5546-CAAC-4445-A494-937B3E666FB2}">
      <formula1>"p-y, m-t, Hb, Mb"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ACF57B2-64E1-4475-B72F-B4796B42F9D6}">
          <x14:formula1>
            <xm:f>Exchange!$X$41:$X$43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AM3:AU3 U36:AA36 J3:S3 U33:AD33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E4:E36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topLeftCell="A52" workbookViewId="0">
      <selection activeCell="A73" sqref="A73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391</v>
      </c>
      <c r="B1" t="s">
        <v>392</v>
      </c>
      <c r="C1" t="s">
        <v>247</v>
      </c>
    </row>
    <row r="2" spans="1:3" x14ac:dyDescent="0.25">
      <c r="A2" s="77" t="s">
        <v>393</v>
      </c>
      <c r="B2" s="77" t="s">
        <v>252</v>
      </c>
      <c r="C2">
        <v>0</v>
      </c>
    </row>
    <row r="3" spans="1:3" x14ac:dyDescent="0.25">
      <c r="A3" s="77" t="s">
        <v>394</v>
      </c>
      <c r="B3" s="77" t="s">
        <v>265</v>
      </c>
      <c r="C3">
        <v>1</v>
      </c>
    </row>
    <row r="4" spans="1:3" x14ac:dyDescent="0.25">
      <c r="A4" s="77" t="s">
        <v>390</v>
      </c>
      <c r="B4" s="77" t="s">
        <v>252</v>
      </c>
      <c r="C4">
        <v>0</v>
      </c>
    </row>
    <row r="5" spans="1:3" x14ac:dyDescent="0.25">
      <c r="A5" s="77" t="s">
        <v>223</v>
      </c>
      <c r="B5" s="77" t="s">
        <v>266</v>
      </c>
      <c r="C5">
        <v>1</v>
      </c>
    </row>
    <row r="6" spans="1:3" x14ac:dyDescent="0.25">
      <c r="A6" s="77" t="s">
        <v>224</v>
      </c>
      <c r="B6" s="77" t="s">
        <v>266</v>
      </c>
      <c r="C6">
        <v>1</v>
      </c>
    </row>
    <row r="7" spans="1:3" x14ac:dyDescent="0.25">
      <c r="A7" s="77" t="s">
        <v>225</v>
      </c>
      <c r="B7" s="77" t="s">
        <v>266</v>
      </c>
      <c r="C7">
        <v>1</v>
      </c>
    </row>
    <row r="8" spans="1:3" x14ac:dyDescent="0.25">
      <c r="A8" s="77" t="s">
        <v>221</v>
      </c>
      <c r="B8" s="77" t="s">
        <v>266</v>
      </c>
      <c r="C8">
        <v>1</v>
      </c>
    </row>
    <row r="9" spans="1:3" x14ac:dyDescent="0.25">
      <c r="A9" s="77" t="s">
        <v>226</v>
      </c>
      <c r="B9" s="77" t="s">
        <v>266</v>
      </c>
      <c r="C9">
        <v>1</v>
      </c>
    </row>
    <row r="10" spans="1:3" x14ac:dyDescent="0.25">
      <c r="A10" s="77" t="s">
        <v>227</v>
      </c>
      <c r="B10" s="77" t="s">
        <v>266</v>
      </c>
      <c r="C10">
        <v>1</v>
      </c>
    </row>
    <row r="11" spans="1:3" x14ac:dyDescent="0.25">
      <c r="A11" s="77" t="s">
        <v>228</v>
      </c>
      <c r="B11" s="77" t="s">
        <v>266</v>
      </c>
      <c r="C11">
        <v>1</v>
      </c>
    </row>
    <row r="12" spans="1:3" x14ac:dyDescent="0.25">
      <c r="A12" s="77" t="s">
        <v>229</v>
      </c>
      <c r="B12" s="77" t="s">
        <v>266</v>
      </c>
      <c r="C12">
        <v>1</v>
      </c>
    </row>
    <row r="13" spans="1:3" x14ac:dyDescent="0.25">
      <c r="A13" s="77" t="s">
        <v>230</v>
      </c>
      <c r="B13" s="77" t="s">
        <v>266</v>
      </c>
      <c r="C13">
        <v>1</v>
      </c>
    </row>
    <row r="14" spans="1:3" x14ac:dyDescent="0.25">
      <c r="A14" s="77" t="s">
        <v>231</v>
      </c>
      <c r="B14" s="77" t="s">
        <v>266</v>
      </c>
      <c r="C14">
        <v>1</v>
      </c>
    </row>
    <row r="15" spans="1:3" x14ac:dyDescent="0.25">
      <c r="A15" s="77" t="s">
        <v>232</v>
      </c>
      <c r="B15" s="77" t="s">
        <v>266</v>
      </c>
      <c r="C15">
        <v>1</v>
      </c>
    </row>
    <row r="16" spans="1:3" x14ac:dyDescent="0.25">
      <c r="A16" s="77" t="s">
        <v>233</v>
      </c>
      <c r="B16" s="77" t="s">
        <v>266</v>
      </c>
      <c r="C16">
        <v>1</v>
      </c>
    </row>
    <row r="17" spans="1:3" x14ac:dyDescent="0.25">
      <c r="A17" s="77" t="s">
        <v>234</v>
      </c>
      <c r="B17" s="77" t="s">
        <v>266</v>
      </c>
      <c r="C17">
        <v>1</v>
      </c>
    </row>
    <row r="18" spans="1:3" x14ac:dyDescent="0.25">
      <c r="A18" s="77" t="s">
        <v>222</v>
      </c>
      <c r="B18" s="77" t="s">
        <v>266</v>
      </c>
      <c r="C18">
        <v>1</v>
      </c>
    </row>
    <row r="19" spans="1:3" x14ac:dyDescent="0.25">
      <c r="A19" s="77" t="s">
        <v>267</v>
      </c>
      <c r="B19" s="77" t="s">
        <v>266</v>
      </c>
      <c r="C19">
        <v>1</v>
      </c>
    </row>
    <row r="20" spans="1:3" x14ac:dyDescent="0.25">
      <c r="A20" s="77" t="s">
        <v>253</v>
      </c>
      <c r="B20" s="77" t="s">
        <v>266</v>
      </c>
      <c r="C20">
        <v>1</v>
      </c>
    </row>
    <row r="21" spans="1:3" x14ac:dyDescent="0.25">
      <c r="A21" s="77" t="s">
        <v>254</v>
      </c>
      <c r="B21" s="77" t="s">
        <v>266</v>
      </c>
      <c r="C21">
        <v>1</v>
      </c>
    </row>
    <row r="22" spans="1:3" x14ac:dyDescent="0.25">
      <c r="A22" s="77" t="s">
        <v>255</v>
      </c>
      <c r="B22" s="77" t="s">
        <v>266</v>
      </c>
      <c r="C22">
        <v>1</v>
      </c>
    </row>
    <row r="23" spans="1:3" x14ac:dyDescent="0.25">
      <c r="A23" s="77" t="s">
        <v>256</v>
      </c>
      <c r="B23" s="77" t="s">
        <v>266</v>
      </c>
      <c r="C23">
        <v>1</v>
      </c>
    </row>
    <row r="24" spans="1:3" x14ac:dyDescent="0.25">
      <c r="A24" s="77" t="s">
        <v>257</v>
      </c>
      <c r="B24" s="77" t="s">
        <v>266</v>
      </c>
      <c r="C24">
        <v>1</v>
      </c>
    </row>
    <row r="25" spans="1:3" x14ac:dyDescent="0.25">
      <c r="A25" s="77" t="s">
        <v>268</v>
      </c>
      <c r="B25" s="77" t="s">
        <v>266</v>
      </c>
      <c r="C25">
        <v>1</v>
      </c>
    </row>
    <row r="26" spans="1:3" x14ac:dyDescent="0.25">
      <c r="A26" s="77" t="s">
        <v>258</v>
      </c>
      <c r="B26" s="77" t="s">
        <v>266</v>
      </c>
      <c r="C26">
        <v>1</v>
      </c>
    </row>
    <row r="27" spans="1:3" x14ac:dyDescent="0.25">
      <c r="A27" s="77" t="s">
        <v>259</v>
      </c>
      <c r="B27" s="77" t="s">
        <v>266</v>
      </c>
      <c r="C27">
        <v>1</v>
      </c>
    </row>
    <row r="28" spans="1:3" x14ac:dyDescent="0.25">
      <c r="A28" s="77" t="s">
        <v>260</v>
      </c>
      <c r="B28" s="77" t="s">
        <v>266</v>
      </c>
      <c r="C28">
        <v>1</v>
      </c>
    </row>
    <row r="29" spans="1:3" x14ac:dyDescent="0.25">
      <c r="A29" s="77" t="s">
        <v>261</v>
      </c>
      <c r="B29" s="77" t="s">
        <v>266</v>
      </c>
      <c r="C29">
        <v>1</v>
      </c>
    </row>
    <row r="30" spans="1:3" x14ac:dyDescent="0.25">
      <c r="A30" s="77" t="s">
        <v>262</v>
      </c>
      <c r="B30" s="77" t="s">
        <v>266</v>
      </c>
      <c r="C30">
        <v>1</v>
      </c>
    </row>
    <row r="31" spans="1:3" x14ac:dyDescent="0.25">
      <c r="A31" s="77" t="s">
        <v>263</v>
      </c>
      <c r="B31" s="77" t="s">
        <v>266</v>
      </c>
      <c r="C31">
        <v>1</v>
      </c>
    </row>
    <row r="32" spans="1:3" x14ac:dyDescent="0.25">
      <c r="A32" s="77" t="s">
        <v>264</v>
      </c>
      <c r="B32" s="77" t="s">
        <v>266</v>
      </c>
      <c r="C32">
        <v>1</v>
      </c>
    </row>
    <row r="33" spans="1:3" x14ac:dyDescent="0.25">
      <c r="A33" s="77" t="s">
        <v>269</v>
      </c>
      <c r="B33" s="77" t="s">
        <v>266</v>
      </c>
      <c r="C33">
        <v>1</v>
      </c>
    </row>
    <row r="34" spans="1:3" x14ac:dyDescent="0.25">
      <c r="A34" s="77" t="s">
        <v>270</v>
      </c>
      <c r="B34" s="77" t="s">
        <v>266</v>
      </c>
      <c r="C34">
        <v>1</v>
      </c>
    </row>
    <row r="35" spans="1:3" x14ac:dyDescent="0.25">
      <c r="A35" s="77" t="s">
        <v>271</v>
      </c>
      <c r="B35" s="77" t="s">
        <v>266</v>
      </c>
      <c r="C35">
        <v>1</v>
      </c>
    </row>
    <row r="36" spans="1:3" x14ac:dyDescent="0.25">
      <c r="A36" s="77" t="s">
        <v>272</v>
      </c>
      <c r="B36" s="77" t="s">
        <v>266</v>
      </c>
      <c r="C36">
        <v>1</v>
      </c>
    </row>
    <row r="37" spans="1:3" x14ac:dyDescent="0.25">
      <c r="A37" s="77" t="s">
        <v>273</v>
      </c>
      <c r="B37" s="77" t="s">
        <v>266</v>
      </c>
      <c r="C37">
        <v>1</v>
      </c>
    </row>
    <row r="38" spans="1:3" x14ac:dyDescent="0.25">
      <c r="A38" s="77" t="s">
        <v>274</v>
      </c>
      <c r="B38" s="77" t="s">
        <v>266</v>
      </c>
      <c r="C38">
        <v>1</v>
      </c>
    </row>
    <row r="39" spans="1:3" x14ac:dyDescent="0.25">
      <c r="A39" s="77" t="s">
        <v>275</v>
      </c>
      <c r="B39" s="77" t="s">
        <v>266</v>
      </c>
      <c r="C39">
        <v>1</v>
      </c>
    </row>
    <row r="40" spans="1:3" x14ac:dyDescent="0.25">
      <c r="A40" s="77" t="s">
        <v>276</v>
      </c>
      <c r="B40" s="77" t="s">
        <v>266</v>
      </c>
      <c r="C40">
        <v>1</v>
      </c>
    </row>
    <row r="41" spans="1:3" x14ac:dyDescent="0.25">
      <c r="A41" s="77" t="s">
        <v>277</v>
      </c>
      <c r="B41" s="77" t="s">
        <v>266</v>
      </c>
      <c r="C41">
        <v>1</v>
      </c>
    </row>
    <row r="42" spans="1:3" x14ac:dyDescent="0.25">
      <c r="A42" s="77" t="s">
        <v>278</v>
      </c>
      <c r="B42" s="77" t="s">
        <v>266</v>
      </c>
      <c r="C42">
        <v>1</v>
      </c>
    </row>
    <row r="43" spans="1:3" x14ac:dyDescent="0.25">
      <c r="A43" s="77" t="s">
        <v>279</v>
      </c>
      <c r="B43" s="77" t="s">
        <v>266</v>
      </c>
      <c r="C43">
        <v>1</v>
      </c>
    </row>
    <row r="44" spans="1:3" x14ac:dyDescent="0.25">
      <c r="A44" s="77" t="s">
        <v>280</v>
      </c>
      <c r="B44" s="77" t="s">
        <v>266</v>
      </c>
      <c r="C44">
        <v>1</v>
      </c>
    </row>
    <row r="45" spans="1:3" x14ac:dyDescent="0.25">
      <c r="A45" s="77" t="s">
        <v>281</v>
      </c>
      <c r="B45" s="77" t="s">
        <v>266</v>
      </c>
      <c r="C45">
        <v>1</v>
      </c>
    </row>
    <row r="46" spans="1:3" x14ac:dyDescent="0.25">
      <c r="A46" s="77" t="s">
        <v>282</v>
      </c>
      <c r="B46" s="77" t="s">
        <v>266</v>
      </c>
      <c r="C46">
        <v>1</v>
      </c>
    </row>
    <row r="47" spans="1:3" x14ac:dyDescent="0.25">
      <c r="A47" s="77" t="s">
        <v>239</v>
      </c>
      <c r="B47" s="77" t="s">
        <v>266</v>
      </c>
      <c r="C47">
        <v>1</v>
      </c>
    </row>
    <row r="48" spans="1:3" x14ac:dyDescent="0.25">
      <c r="A48" s="77" t="s">
        <v>242</v>
      </c>
      <c r="B48" s="77" t="s">
        <v>266</v>
      </c>
      <c r="C48">
        <v>1</v>
      </c>
    </row>
    <row r="49" spans="1:3" x14ac:dyDescent="0.25">
      <c r="A49" s="77" t="s">
        <v>240</v>
      </c>
      <c r="B49" s="77" t="s">
        <v>266</v>
      </c>
      <c r="C49">
        <v>1</v>
      </c>
    </row>
    <row r="50" spans="1:3" x14ac:dyDescent="0.25">
      <c r="A50" s="77" t="s">
        <v>241</v>
      </c>
      <c r="B50" s="77" t="s">
        <v>266</v>
      </c>
      <c r="C50">
        <v>1</v>
      </c>
    </row>
    <row r="51" spans="1:3" x14ac:dyDescent="0.25">
      <c r="A51" s="77" t="s">
        <v>244</v>
      </c>
      <c r="B51" s="77" t="s">
        <v>266</v>
      </c>
      <c r="C51">
        <v>1</v>
      </c>
    </row>
    <row r="52" spans="1:3" x14ac:dyDescent="0.25">
      <c r="A52" s="77" t="s">
        <v>243</v>
      </c>
      <c r="B52" s="77" t="s">
        <v>266</v>
      </c>
      <c r="C52">
        <v>1</v>
      </c>
    </row>
    <row r="53" spans="1:3" x14ac:dyDescent="0.25">
      <c r="A53" s="77" t="s">
        <v>235</v>
      </c>
      <c r="B53" s="77" t="s">
        <v>266</v>
      </c>
      <c r="C53">
        <v>1</v>
      </c>
    </row>
    <row r="54" spans="1:3" x14ac:dyDescent="0.25">
      <c r="A54" s="77" t="s">
        <v>236</v>
      </c>
      <c r="B54" s="77" t="s">
        <v>266</v>
      </c>
      <c r="C54">
        <v>1</v>
      </c>
    </row>
    <row r="55" spans="1:3" x14ac:dyDescent="0.25">
      <c r="A55" s="77" t="s">
        <v>237</v>
      </c>
      <c r="B55" s="77" t="s">
        <v>266</v>
      </c>
      <c r="C55">
        <v>1</v>
      </c>
    </row>
    <row r="56" spans="1:3" x14ac:dyDescent="0.25">
      <c r="A56" s="77" t="s">
        <v>238</v>
      </c>
      <c r="B56" s="77" t="s">
        <v>266</v>
      </c>
      <c r="C56">
        <v>1</v>
      </c>
    </row>
    <row r="57" spans="1:3" x14ac:dyDescent="0.25">
      <c r="A57" s="77" t="s">
        <v>208</v>
      </c>
      <c r="B57" s="77" t="s">
        <v>266</v>
      </c>
      <c r="C57">
        <v>1</v>
      </c>
    </row>
    <row r="58" spans="1:3" x14ac:dyDescent="0.25">
      <c r="A58" s="77" t="s">
        <v>209</v>
      </c>
      <c r="B58" s="77" t="s">
        <v>266</v>
      </c>
      <c r="C58">
        <v>1</v>
      </c>
    </row>
    <row r="59" spans="1:3" x14ac:dyDescent="0.25">
      <c r="A59" s="77" t="s">
        <v>210</v>
      </c>
      <c r="B59" s="77" t="s">
        <v>266</v>
      </c>
      <c r="C59">
        <v>1</v>
      </c>
    </row>
    <row r="60" spans="1:3" x14ac:dyDescent="0.25">
      <c r="A60" s="77" t="s">
        <v>211</v>
      </c>
      <c r="B60" s="77" t="s">
        <v>266</v>
      </c>
      <c r="C60">
        <v>1</v>
      </c>
    </row>
    <row r="61" spans="1:3" x14ac:dyDescent="0.25">
      <c r="A61" s="77" t="s">
        <v>212</v>
      </c>
      <c r="B61" s="77" t="s">
        <v>266</v>
      </c>
      <c r="C61">
        <v>1</v>
      </c>
    </row>
    <row r="62" spans="1:3" x14ac:dyDescent="0.25">
      <c r="A62" s="77" t="s">
        <v>213</v>
      </c>
      <c r="B62" s="77" t="s">
        <v>266</v>
      </c>
      <c r="C62">
        <v>1</v>
      </c>
    </row>
    <row r="63" spans="1:3" x14ac:dyDescent="0.25">
      <c r="A63" s="77" t="s">
        <v>214</v>
      </c>
      <c r="B63" s="77" t="s">
        <v>266</v>
      </c>
      <c r="C63">
        <v>1</v>
      </c>
    </row>
    <row r="64" spans="1:3" x14ac:dyDescent="0.25">
      <c r="A64" s="77" t="s">
        <v>215</v>
      </c>
      <c r="B64" s="77" t="s">
        <v>266</v>
      </c>
      <c r="C64">
        <v>1</v>
      </c>
    </row>
    <row r="65" spans="1:3" x14ac:dyDescent="0.25">
      <c r="A65" s="77" t="s">
        <v>216</v>
      </c>
      <c r="B65" s="77" t="s">
        <v>266</v>
      </c>
      <c r="C65">
        <v>1</v>
      </c>
    </row>
    <row r="66" spans="1:3" x14ac:dyDescent="0.25">
      <c r="A66" s="77" t="s">
        <v>206</v>
      </c>
      <c r="B66" s="77" t="s">
        <v>266</v>
      </c>
      <c r="C66">
        <v>1</v>
      </c>
    </row>
    <row r="67" spans="1:3" x14ac:dyDescent="0.25">
      <c r="A67" s="77" t="s">
        <v>207</v>
      </c>
      <c r="B67" s="77" t="s">
        <v>266</v>
      </c>
      <c r="C67">
        <v>1</v>
      </c>
    </row>
    <row r="68" spans="1:3" x14ac:dyDescent="0.25">
      <c r="A68" s="77" t="s">
        <v>395</v>
      </c>
      <c r="B68" s="77" t="s">
        <v>265</v>
      </c>
      <c r="C68">
        <v>1</v>
      </c>
    </row>
    <row r="69" spans="1:3" x14ac:dyDescent="0.25">
      <c r="A69" s="77" t="s">
        <v>420</v>
      </c>
      <c r="B69" s="77" t="s">
        <v>418</v>
      </c>
      <c r="C69">
        <v>10</v>
      </c>
    </row>
    <row r="70" spans="1:3" x14ac:dyDescent="0.25">
      <c r="A70" s="77" t="s">
        <v>420</v>
      </c>
      <c r="B70" s="77" t="s">
        <v>418</v>
      </c>
      <c r="C70">
        <v>11</v>
      </c>
    </row>
    <row r="71" spans="1:3" x14ac:dyDescent="0.25">
      <c r="A71" s="77" t="s">
        <v>426</v>
      </c>
      <c r="B71" s="77" t="s">
        <v>418</v>
      </c>
      <c r="C71">
        <v>10</v>
      </c>
    </row>
    <row r="72" spans="1:3" x14ac:dyDescent="0.25">
      <c r="A72" s="77" t="s">
        <v>426</v>
      </c>
      <c r="B72" s="77" t="s">
        <v>418</v>
      </c>
      <c r="C72">
        <v>11</v>
      </c>
    </row>
    <row r="73" spans="1:3" x14ac:dyDescent="0.25">
      <c r="A73" s="77" t="s">
        <v>427</v>
      </c>
      <c r="B73" s="77" t="s">
        <v>418</v>
      </c>
      <c r="C73">
        <v>10</v>
      </c>
    </row>
    <row r="74" spans="1:3" x14ac:dyDescent="0.25">
      <c r="A74" s="77" t="s">
        <v>427</v>
      </c>
      <c r="B74" s="77" t="s">
        <v>418</v>
      </c>
      <c r="C74">
        <v>11</v>
      </c>
    </row>
    <row r="75" spans="1:3" x14ac:dyDescent="0.25">
      <c r="A75" s="77" t="s">
        <v>421</v>
      </c>
      <c r="B75" s="77" t="s">
        <v>418</v>
      </c>
      <c r="C75">
        <v>10</v>
      </c>
    </row>
    <row r="76" spans="1:3" x14ac:dyDescent="0.25">
      <c r="A76" s="77" t="s">
        <v>421</v>
      </c>
      <c r="B76" s="77" t="s">
        <v>418</v>
      </c>
      <c r="C76">
        <v>11</v>
      </c>
    </row>
    <row r="77" spans="1:3" x14ac:dyDescent="0.25">
      <c r="A77" s="77" t="s">
        <v>422</v>
      </c>
      <c r="B77" s="77" t="s">
        <v>418</v>
      </c>
      <c r="C77">
        <v>10</v>
      </c>
    </row>
    <row r="78" spans="1:3" x14ac:dyDescent="0.25">
      <c r="A78" s="77" t="s">
        <v>422</v>
      </c>
      <c r="B78" s="77" t="s">
        <v>418</v>
      </c>
      <c r="C78">
        <v>11</v>
      </c>
    </row>
    <row r="79" spans="1:3" x14ac:dyDescent="0.25">
      <c r="A79" s="77" t="s">
        <v>423</v>
      </c>
      <c r="B79" s="77" t="s">
        <v>418</v>
      </c>
      <c r="C79">
        <v>10</v>
      </c>
    </row>
    <row r="80" spans="1:3" x14ac:dyDescent="0.25">
      <c r="A80" s="77" t="s">
        <v>423</v>
      </c>
      <c r="B80" s="77" t="s">
        <v>418</v>
      </c>
      <c r="C80">
        <v>11</v>
      </c>
    </row>
    <row r="81" spans="1:3" x14ac:dyDescent="0.25">
      <c r="A81" s="77" t="s">
        <v>424</v>
      </c>
      <c r="B81" s="77" t="s">
        <v>418</v>
      </c>
      <c r="C81">
        <v>10</v>
      </c>
    </row>
    <row r="82" spans="1:3" x14ac:dyDescent="0.25">
      <c r="A82" s="77" t="s">
        <v>424</v>
      </c>
      <c r="B82" s="77" t="s">
        <v>418</v>
      </c>
      <c r="C82">
        <v>11</v>
      </c>
    </row>
    <row r="83" spans="1:3" x14ac:dyDescent="0.25">
      <c r="A83" s="77" t="s">
        <v>425</v>
      </c>
      <c r="B83" s="77" t="s">
        <v>418</v>
      </c>
      <c r="C83">
        <v>10</v>
      </c>
    </row>
    <row r="84" spans="1:3" x14ac:dyDescent="0.25">
      <c r="A84" s="77" t="s">
        <v>425</v>
      </c>
      <c r="B84" s="77" t="s">
        <v>418</v>
      </c>
      <c r="C84">
        <v>11</v>
      </c>
    </row>
    <row r="85" spans="1:3" x14ac:dyDescent="0.25">
      <c r="A85" s="77" t="s">
        <v>283</v>
      </c>
      <c r="B85" s="77" t="s">
        <v>284</v>
      </c>
      <c r="C85">
        <v>0</v>
      </c>
    </row>
    <row r="86" spans="1:3" x14ac:dyDescent="0.25">
      <c r="A86" s="77" t="s">
        <v>285</v>
      </c>
      <c r="B86" s="77" t="s">
        <v>284</v>
      </c>
      <c r="C86">
        <v>0</v>
      </c>
    </row>
    <row r="87" spans="1:3" x14ac:dyDescent="0.25">
      <c r="A87" s="77" t="s">
        <v>195</v>
      </c>
      <c r="B87" s="77" t="s">
        <v>284</v>
      </c>
      <c r="C87">
        <v>0</v>
      </c>
    </row>
    <row r="88" spans="1:3" x14ac:dyDescent="0.25">
      <c r="A88" s="77" t="s">
        <v>194</v>
      </c>
      <c r="B88" s="77" t="s">
        <v>284</v>
      </c>
      <c r="C88">
        <v>0</v>
      </c>
    </row>
    <row r="89" spans="1:3" x14ac:dyDescent="0.25">
      <c r="A89" s="77" t="s">
        <v>286</v>
      </c>
      <c r="B89" s="77" t="s">
        <v>252</v>
      </c>
      <c r="C89">
        <v>1</v>
      </c>
    </row>
    <row r="90" spans="1:3" x14ac:dyDescent="0.25">
      <c r="A90" s="77" t="s">
        <v>287</v>
      </c>
      <c r="B90" s="77" t="s">
        <v>252</v>
      </c>
      <c r="C90">
        <v>1</v>
      </c>
    </row>
    <row r="91" spans="1:3" x14ac:dyDescent="0.25">
      <c r="A91" s="77" t="s">
        <v>288</v>
      </c>
      <c r="B91" s="77" t="s">
        <v>252</v>
      </c>
      <c r="C91">
        <v>1</v>
      </c>
    </row>
    <row r="92" spans="1:3" x14ac:dyDescent="0.25">
      <c r="A92" s="77" t="s">
        <v>289</v>
      </c>
      <c r="B92" s="77" t="s">
        <v>252</v>
      </c>
      <c r="C92">
        <v>1</v>
      </c>
    </row>
    <row r="93" spans="1:3" x14ac:dyDescent="0.25">
      <c r="A93" s="77" t="s">
        <v>290</v>
      </c>
      <c r="B93" s="77" t="s">
        <v>252</v>
      </c>
      <c r="C93">
        <v>1</v>
      </c>
    </row>
    <row r="94" spans="1:3" x14ac:dyDescent="0.25">
      <c r="A94" s="77" t="s">
        <v>291</v>
      </c>
      <c r="B94" s="77" t="s">
        <v>252</v>
      </c>
      <c r="C94">
        <v>1</v>
      </c>
    </row>
    <row r="95" spans="1:3" x14ac:dyDescent="0.25">
      <c r="A95" s="77" t="s">
        <v>292</v>
      </c>
      <c r="B95" s="77" t="s">
        <v>252</v>
      </c>
      <c r="C95">
        <v>1</v>
      </c>
    </row>
    <row r="96" spans="1:3" x14ac:dyDescent="0.25">
      <c r="A96" s="77" t="s">
        <v>293</v>
      </c>
      <c r="B96" s="77" t="s">
        <v>252</v>
      </c>
      <c r="C96">
        <v>1</v>
      </c>
    </row>
    <row r="97" spans="1:3" x14ac:dyDescent="0.25">
      <c r="A97" s="77" t="s">
        <v>294</v>
      </c>
      <c r="B97" s="77" t="s">
        <v>252</v>
      </c>
      <c r="C97">
        <v>1</v>
      </c>
    </row>
    <row r="98" spans="1:3" x14ac:dyDescent="0.25">
      <c r="A98" s="77" t="s">
        <v>295</v>
      </c>
      <c r="B98" s="77" t="s">
        <v>252</v>
      </c>
      <c r="C98">
        <v>1</v>
      </c>
    </row>
    <row r="99" spans="1:3" x14ac:dyDescent="0.25">
      <c r="A99" s="77" t="s">
        <v>296</v>
      </c>
      <c r="B99" s="77" t="s">
        <v>252</v>
      </c>
      <c r="C99">
        <v>1</v>
      </c>
    </row>
    <row r="100" spans="1:3" x14ac:dyDescent="0.25">
      <c r="A100" s="77" t="s">
        <v>297</v>
      </c>
      <c r="B100" s="77" t="s">
        <v>252</v>
      </c>
      <c r="C100">
        <v>1</v>
      </c>
    </row>
    <row r="101" spans="1:3" x14ac:dyDescent="0.25">
      <c r="A101" s="77" t="s">
        <v>298</v>
      </c>
      <c r="B101" s="77" t="s">
        <v>252</v>
      </c>
      <c r="C101">
        <v>1</v>
      </c>
    </row>
    <row r="102" spans="1:3" x14ac:dyDescent="0.25">
      <c r="A102" s="77" t="s">
        <v>299</v>
      </c>
      <c r="B102" s="77" t="s">
        <v>252</v>
      </c>
      <c r="C102">
        <v>1</v>
      </c>
    </row>
    <row r="103" spans="1:3" x14ac:dyDescent="0.25">
      <c r="A103" s="77" t="s">
        <v>300</v>
      </c>
      <c r="B103" s="77" t="s">
        <v>252</v>
      </c>
      <c r="C103">
        <v>1</v>
      </c>
    </row>
    <row r="104" spans="1:3" x14ac:dyDescent="0.25">
      <c r="A104" s="77" t="s">
        <v>301</v>
      </c>
      <c r="B104" s="77" t="s">
        <v>252</v>
      </c>
      <c r="C104">
        <v>1</v>
      </c>
    </row>
    <row r="105" spans="1:3" x14ac:dyDescent="0.25">
      <c r="A105" s="77" t="s">
        <v>302</v>
      </c>
      <c r="B105" s="77" t="s">
        <v>252</v>
      </c>
      <c r="C105">
        <v>1</v>
      </c>
    </row>
    <row r="106" spans="1:3" x14ac:dyDescent="0.25">
      <c r="A106" s="77" t="s">
        <v>303</v>
      </c>
      <c r="B106" s="77" t="s">
        <v>252</v>
      </c>
      <c r="C106">
        <v>1</v>
      </c>
    </row>
    <row r="107" spans="1:3" x14ac:dyDescent="0.25">
      <c r="A107" s="77" t="s">
        <v>304</v>
      </c>
      <c r="B107" s="77" t="s">
        <v>252</v>
      </c>
      <c r="C107">
        <v>1</v>
      </c>
    </row>
    <row r="108" spans="1:3" x14ac:dyDescent="0.25">
      <c r="A108" s="77" t="s">
        <v>305</v>
      </c>
      <c r="B108" s="77" t="s">
        <v>252</v>
      </c>
      <c r="C108">
        <v>1</v>
      </c>
    </row>
    <row r="109" spans="1:3" x14ac:dyDescent="0.25">
      <c r="A109" s="77" t="s">
        <v>306</v>
      </c>
      <c r="B109" s="77" t="s">
        <v>252</v>
      </c>
      <c r="C109">
        <v>1</v>
      </c>
    </row>
    <row r="110" spans="1:3" x14ac:dyDescent="0.25">
      <c r="A110" s="77" t="s">
        <v>307</v>
      </c>
      <c r="B110" s="77" t="s">
        <v>252</v>
      </c>
      <c r="C110">
        <v>1</v>
      </c>
    </row>
    <row r="111" spans="1:3" x14ac:dyDescent="0.25">
      <c r="A111" s="77" t="s">
        <v>308</v>
      </c>
      <c r="B111" s="77" t="s">
        <v>252</v>
      </c>
      <c r="C111">
        <v>1</v>
      </c>
    </row>
    <row r="112" spans="1:3" x14ac:dyDescent="0.25">
      <c r="A112" s="77" t="s">
        <v>309</v>
      </c>
      <c r="B112" s="77" t="s">
        <v>252</v>
      </c>
      <c r="C112">
        <v>1</v>
      </c>
    </row>
    <row r="113" spans="1:3" x14ac:dyDescent="0.25">
      <c r="A113" s="77" t="s">
        <v>310</v>
      </c>
      <c r="B113" s="77" t="s">
        <v>252</v>
      </c>
      <c r="C113">
        <v>1</v>
      </c>
    </row>
    <row r="114" spans="1:3" x14ac:dyDescent="0.25">
      <c r="A114" s="77" t="s">
        <v>311</v>
      </c>
      <c r="B114" s="77" t="s">
        <v>252</v>
      </c>
      <c r="C114">
        <v>1</v>
      </c>
    </row>
    <row r="115" spans="1:3" x14ac:dyDescent="0.25">
      <c r="A115" s="77" t="s">
        <v>312</v>
      </c>
      <c r="B115" s="77" t="s">
        <v>252</v>
      </c>
      <c r="C115">
        <v>1</v>
      </c>
    </row>
    <row r="116" spans="1:3" x14ac:dyDescent="0.25">
      <c r="A116" s="77" t="s">
        <v>313</v>
      </c>
      <c r="B116" s="77" t="s">
        <v>252</v>
      </c>
      <c r="C116">
        <v>1</v>
      </c>
    </row>
    <row r="117" spans="1:3" x14ac:dyDescent="0.25">
      <c r="A117" s="77" t="s">
        <v>314</v>
      </c>
      <c r="B117" s="77" t="s">
        <v>252</v>
      </c>
      <c r="C117">
        <v>1</v>
      </c>
    </row>
    <row r="118" spans="1:3" x14ac:dyDescent="0.25">
      <c r="A118" s="77" t="s">
        <v>315</v>
      </c>
      <c r="B118" s="77" t="s">
        <v>252</v>
      </c>
      <c r="C118">
        <v>1</v>
      </c>
    </row>
    <row r="119" spans="1:3" x14ac:dyDescent="0.25">
      <c r="A119" s="77" t="s">
        <v>316</v>
      </c>
      <c r="B119" s="77" t="s">
        <v>252</v>
      </c>
      <c r="C119">
        <v>1</v>
      </c>
    </row>
    <row r="120" spans="1:3" x14ac:dyDescent="0.25">
      <c r="A120" s="77" t="s">
        <v>317</v>
      </c>
      <c r="B120" s="77" t="s">
        <v>252</v>
      </c>
      <c r="C120">
        <v>1</v>
      </c>
    </row>
    <row r="121" spans="1:3" x14ac:dyDescent="0.25">
      <c r="A121" s="77" t="s">
        <v>318</v>
      </c>
      <c r="B121" s="77" t="s">
        <v>252</v>
      </c>
      <c r="C121">
        <v>1</v>
      </c>
    </row>
    <row r="122" spans="1:3" x14ac:dyDescent="0.25">
      <c r="A122" s="77" t="s">
        <v>319</v>
      </c>
      <c r="B122" s="77" t="s">
        <v>252</v>
      </c>
      <c r="C122">
        <v>1</v>
      </c>
    </row>
    <row r="123" spans="1:3" x14ac:dyDescent="0.25">
      <c r="A123" s="77" t="s">
        <v>320</v>
      </c>
      <c r="B123" s="77" t="s">
        <v>252</v>
      </c>
      <c r="C123">
        <v>1</v>
      </c>
    </row>
    <row r="124" spans="1:3" x14ac:dyDescent="0.25">
      <c r="A124" s="77" t="s">
        <v>321</v>
      </c>
      <c r="B124" s="77" t="s">
        <v>252</v>
      </c>
      <c r="C124">
        <v>1</v>
      </c>
    </row>
    <row r="125" spans="1:3" x14ac:dyDescent="0.25">
      <c r="A125" s="77" t="s">
        <v>322</v>
      </c>
      <c r="B125" s="77" t="s">
        <v>252</v>
      </c>
      <c r="C125">
        <v>1</v>
      </c>
    </row>
    <row r="126" spans="1:3" x14ac:dyDescent="0.25">
      <c r="A126" s="77" t="s">
        <v>323</v>
      </c>
      <c r="B126" s="77" t="s">
        <v>252</v>
      </c>
      <c r="C126">
        <v>1</v>
      </c>
    </row>
    <row r="127" spans="1:3" x14ac:dyDescent="0.25">
      <c r="A127" s="77" t="s">
        <v>324</v>
      </c>
      <c r="B127" s="77" t="s">
        <v>252</v>
      </c>
      <c r="C127">
        <v>1</v>
      </c>
    </row>
    <row r="128" spans="1:3" x14ac:dyDescent="0.25">
      <c r="A128" s="77" t="s">
        <v>325</v>
      </c>
      <c r="B128" s="77" t="s">
        <v>252</v>
      </c>
      <c r="C128">
        <v>1</v>
      </c>
    </row>
    <row r="129" spans="1:3" x14ac:dyDescent="0.25">
      <c r="A129" s="77" t="s">
        <v>326</v>
      </c>
      <c r="B129" s="77" t="s">
        <v>252</v>
      </c>
      <c r="C129">
        <v>1</v>
      </c>
    </row>
    <row r="130" spans="1:3" x14ac:dyDescent="0.25">
      <c r="A130" s="77" t="s">
        <v>327</v>
      </c>
      <c r="B130" s="77" t="s">
        <v>252</v>
      </c>
      <c r="C130">
        <v>1</v>
      </c>
    </row>
    <row r="131" spans="1:3" x14ac:dyDescent="0.25">
      <c r="A131" s="77" t="s">
        <v>328</v>
      </c>
      <c r="B131" s="77" t="s">
        <v>252</v>
      </c>
      <c r="C131">
        <v>1</v>
      </c>
    </row>
    <row r="132" spans="1:3" x14ac:dyDescent="0.25">
      <c r="A132" s="77" t="s">
        <v>329</v>
      </c>
      <c r="B132" s="77" t="s">
        <v>252</v>
      </c>
      <c r="C132">
        <v>1</v>
      </c>
    </row>
    <row r="133" spans="1:3" x14ac:dyDescent="0.25">
      <c r="A133" s="77" t="s">
        <v>330</v>
      </c>
      <c r="B133" s="77" t="s">
        <v>252</v>
      </c>
      <c r="C133">
        <v>1</v>
      </c>
    </row>
    <row r="134" spans="1:3" x14ac:dyDescent="0.25">
      <c r="A134" s="77" t="s">
        <v>331</v>
      </c>
      <c r="B134" s="77" t="s">
        <v>252</v>
      </c>
      <c r="C134">
        <v>1</v>
      </c>
    </row>
    <row r="135" spans="1:3" x14ac:dyDescent="0.25">
      <c r="A135" s="77" t="s">
        <v>332</v>
      </c>
      <c r="B135" s="77" t="s">
        <v>252</v>
      </c>
      <c r="C135">
        <v>1</v>
      </c>
    </row>
    <row r="136" spans="1:3" x14ac:dyDescent="0.25">
      <c r="A136" s="77" t="s">
        <v>333</v>
      </c>
      <c r="B136" s="77" t="s">
        <v>252</v>
      </c>
      <c r="C136">
        <v>1</v>
      </c>
    </row>
    <row r="137" spans="1:3" x14ac:dyDescent="0.25">
      <c r="A137" s="77" t="s">
        <v>334</v>
      </c>
      <c r="B137" s="77" t="s">
        <v>252</v>
      </c>
      <c r="C137">
        <v>1</v>
      </c>
    </row>
    <row r="138" spans="1:3" x14ac:dyDescent="0.25">
      <c r="A138" s="77" t="s">
        <v>335</v>
      </c>
      <c r="B138" s="77" t="s">
        <v>252</v>
      </c>
      <c r="C138">
        <v>1</v>
      </c>
    </row>
    <row r="139" spans="1:3" x14ac:dyDescent="0.25">
      <c r="A139" s="77" t="s">
        <v>336</v>
      </c>
      <c r="B139" s="77" t="s">
        <v>252</v>
      </c>
      <c r="C139">
        <v>1</v>
      </c>
    </row>
    <row r="140" spans="1:3" x14ac:dyDescent="0.25">
      <c r="A140" s="77" t="s">
        <v>337</v>
      </c>
      <c r="B140" s="77" t="s">
        <v>252</v>
      </c>
      <c r="C140">
        <v>1</v>
      </c>
    </row>
    <row r="141" spans="1:3" x14ac:dyDescent="0.25">
      <c r="A141" s="77" t="s">
        <v>338</v>
      </c>
      <c r="B141" s="77" t="s">
        <v>252</v>
      </c>
      <c r="C141">
        <v>1</v>
      </c>
    </row>
    <row r="142" spans="1:3" x14ac:dyDescent="0.25">
      <c r="A142" s="77" t="s">
        <v>339</v>
      </c>
      <c r="B142" s="77" t="s">
        <v>252</v>
      </c>
      <c r="C142">
        <v>1</v>
      </c>
    </row>
    <row r="143" spans="1:3" x14ac:dyDescent="0.25">
      <c r="A143" s="77" t="s">
        <v>340</v>
      </c>
      <c r="B143" s="77" t="s">
        <v>252</v>
      </c>
      <c r="C143">
        <v>1</v>
      </c>
    </row>
    <row r="144" spans="1:3" x14ac:dyDescent="0.25">
      <c r="A144" s="77" t="s">
        <v>341</v>
      </c>
      <c r="B144" s="77" t="s">
        <v>252</v>
      </c>
      <c r="C144">
        <v>1</v>
      </c>
    </row>
    <row r="145" spans="1:3" x14ac:dyDescent="0.25">
      <c r="A145" s="77" t="s">
        <v>342</v>
      </c>
      <c r="B145" s="77" t="s">
        <v>252</v>
      </c>
      <c r="C145">
        <v>1</v>
      </c>
    </row>
    <row r="146" spans="1:3" x14ac:dyDescent="0.25">
      <c r="A146" s="77" t="s">
        <v>343</v>
      </c>
      <c r="B146" s="77" t="s">
        <v>252</v>
      </c>
      <c r="C146">
        <v>1</v>
      </c>
    </row>
    <row r="147" spans="1:3" x14ac:dyDescent="0.25">
      <c r="A147" s="77" t="s">
        <v>344</v>
      </c>
      <c r="B147" s="77" t="s">
        <v>252</v>
      </c>
      <c r="C147">
        <v>1</v>
      </c>
    </row>
    <row r="148" spans="1:3" x14ac:dyDescent="0.25">
      <c r="A148" s="77" t="s">
        <v>345</v>
      </c>
      <c r="B148" s="77" t="s">
        <v>252</v>
      </c>
      <c r="C148">
        <v>1</v>
      </c>
    </row>
    <row r="149" spans="1:3" x14ac:dyDescent="0.25">
      <c r="A149" s="77" t="s">
        <v>346</v>
      </c>
      <c r="B149" s="77" t="s">
        <v>252</v>
      </c>
      <c r="C149">
        <v>1</v>
      </c>
    </row>
    <row r="150" spans="1:3" x14ac:dyDescent="0.25">
      <c r="A150" s="77" t="s">
        <v>347</v>
      </c>
      <c r="B150" s="77" t="s">
        <v>252</v>
      </c>
      <c r="C150">
        <v>1</v>
      </c>
    </row>
    <row r="151" spans="1:3" x14ac:dyDescent="0.25">
      <c r="A151" s="77" t="s">
        <v>348</v>
      </c>
      <c r="B151" s="77" t="s">
        <v>252</v>
      </c>
      <c r="C151">
        <v>1</v>
      </c>
    </row>
    <row r="152" spans="1:3" x14ac:dyDescent="0.25">
      <c r="A152" s="77" t="s">
        <v>349</v>
      </c>
      <c r="B152" s="77" t="s">
        <v>252</v>
      </c>
      <c r="C152">
        <v>1</v>
      </c>
    </row>
    <row r="153" spans="1:3" x14ac:dyDescent="0.25">
      <c r="A153" s="77" t="s">
        <v>350</v>
      </c>
      <c r="B153" s="77" t="s">
        <v>252</v>
      </c>
      <c r="C153">
        <v>1</v>
      </c>
    </row>
    <row r="154" spans="1:3" x14ac:dyDescent="0.25">
      <c r="A154" s="77" t="s">
        <v>351</v>
      </c>
      <c r="B154" s="77" t="s">
        <v>252</v>
      </c>
      <c r="C154">
        <v>1</v>
      </c>
    </row>
    <row r="155" spans="1:3" x14ac:dyDescent="0.25">
      <c r="A155" s="77" t="s">
        <v>352</v>
      </c>
      <c r="B155" s="77" t="s">
        <v>252</v>
      </c>
      <c r="C155">
        <v>1</v>
      </c>
    </row>
    <row r="156" spans="1:3" x14ac:dyDescent="0.25">
      <c r="A156" s="77" t="s">
        <v>353</v>
      </c>
      <c r="B156" s="77" t="s">
        <v>252</v>
      </c>
      <c r="C156">
        <v>1</v>
      </c>
    </row>
    <row r="157" spans="1:3" x14ac:dyDescent="0.25">
      <c r="A157" s="77" t="s">
        <v>354</v>
      </c>
      <c r="B157" s="77" t="s">
        <v>252</v>
      </c>
      <c r="C157">
        <v>1</v>
      </c>
    </row>
    <row r="158" spans="1:3" x14ac:dyDescent="0.25">
      <c r="A158" s="77" t="s">
        <v>355</v>
      </c>
      <c r="B158" s="77" t="s">
        <v>252</v>
      </c>
      <c r="C158">
        <v>1</v>
      </c>
    </row>
    <row r="159" spans="1:3" x14ac:dyDescent="0.25">
      <c r="A159" s="77" t="s">
        <v>356</v>
      </c>
      <c r="B159" s="77" t="s">
        <v>252</v>
      </c>
      <c r="C159">
        <v>1</v>
      </c>
    </row>
    <row r="160" spans="1:3" x14ac:dyDescent="0.25">
      <c r="A160" s="77" t="s">
        <v>357</v>
      </c>
      <c r="B160" s="77" t="s">
        <v>252</v>
      </c>
      <c r="C160">
        <v>1</v>
      </c>
    </row>
    <row r="161" spans="1:3" x14ac:dyDescent="0.25">
      <c r="A161" s="77" t="s">
        <v>358</v>
      </c>
      <c r="B161" s="77" t="s">
        <v>252</v>
      </c>
      <c r="C161">
        <v>1</v>
      </c>
    </row>
    <row r="162" spans="1:3" x14ac:dyDescent="0.25">
      <c r="A162" s="77" t="s">
        <v>359</v>
      </c>
      <c r="B162" s="77" t="s">
        <v>252</v>
      </c>
      <c r="C162">
        <v>1</v>
      </c>
    </row>
    <row r="163" spans="1:3" x14ac:dyDescent="0.25">
      <c r="A163" s="77" t="s">
        <v>360</v>
      </c>
      <c r="B163" s="77" t="s">
        <v>252</v>
      </c>
      <c r="C163">
        <v>1</v>
      </c>
    </row>
    <row r="164" spans="1:3" x14ac:dyDescent="0.25">
      <c r="A164" s="77" t="s">
        <v>361</v>
      </c>
      <c r="B164" s="77" t="s">
        <v>252</v>
      </c>
      <c r="C164">
        <v>1</v>
      </c>
    </row>
    <row r="165" spans="1:3" x14ac:dyDescent="0.25">
      <c r="A165" s="77" t="s">
        <v>362</v>
      </c>
      <c r="B165" s="77" t="s">
        <v>252</v>
      </c>
      <c r="C165">
        <v>1</v>
      </c>
    </row>
    <row r="166" spans="1:3" x14ac:dyDescent="0.25">
      <c r="A166" s="77" t="s">
        <v>363</v>
      </c>
      <c r="B166" s="77" t="s">
        <v>252</v>
      </c>
      <c r="C166">
        <v>1</v>
      </c>
    </row>
    <row r="167" spans="1:3" x14ac:dyDescent="0.25">
      <c r="A167" s="77" t="s">
        <v>364</v>
      </c>
      <c r="B167" s="77" t="s">
        <v>252</v>
      </c>
      <c r="C167">
        <v>1</v>
      </c>
    </row>
    <row r="168" spans="1:3" x14ac:dyDescent="0.25">
      <c r="A168" s="77" t="s">
        <v>365</v>
      </c>
      <c r="B168" s="77" t="s">
        <v>252</v>
      </c>
      <c r="C168">
        <v>1</v>
      </c>
    </row>
    <row r="169" spans="1:3" x14ac:dyDescent="0.25">
      <c r="A169" s="77" t="s">
        <v>366</v>
      </c>
      <c r="B169" s="77" t="s">
        <v>252</v>
      </c>
      <c r="C169">
        <v>1</v>
      </c>
    </row>
    <row r="170" spans="1:3" x14ac:dyDescent="0.25">
      <c r="A170" s="77" t="s">
        <v>367</v>
      </c>
      <c r="B170" s="77" t="s">
        <v>252</v>
      </c>
      <c r="C170">
        <v>1</v>
      </c>
    </row>
    <row r="171" spans="1:3" x14ac:dyDescent="0.25">
      <c r="A171" s="77" t="s">
        <v>368</v>
      </c>
      <c r="B171" s="77" t="s">
        <v>252</v>
      </c>
      <c r="C171">
        <v>1</v>
      </c>
    </row>
    <row r="172" spans="1:3" x14ac:dyDescent="0.25">
      <c r="A172" s="77" t="s">
        <v>369</v>
      </c>
      <c r="B172" s="77" t="s">
        <v>252</v>
      </c>
      <c r="C172">
        <v>1</v>
      </c>
    </row>
    <row r="173" spans="1:3" x14ac:dyDescent="0.25">
      <c r="A173" s="77" t="s">
        <v>370</v>
      </c>
      <c r="B173" s="77" t="s">
        <v>252</v>
      </c>
      <c r="C173">
        <v>1</v>
      </c>
    </row>
    <row r="174" spans="1:3" x14ac:dyDescent="0.25">
      <c r="A174" s="77" t="s">
        <v>371</v>
      </c>
      <c r="B174" s="77" t="s">
        <v>252</v>
      </c>
      <c r="C174">
        <v>1</v>
      </c>
    </row>
    <row r="175" spans="1:3" x14ac:dyDescent="0.25">
      <c r="A175" s="77" t="s">
        <v>372</v>
      </c>
      <c r="B175" s="77" t="s">
        <v>252</v>
      </c>
      <c r="C175">
        <v>1</v>
      </c>
    </row>
    <row r="176" spans="1:3" x14ac:dyDescent="0.25">
      <c r="A176" s="77" t="s">
        <v>373</v>
      </c>
      <c r="B176" s="77" t="s">
        <v>252</v>
      </c>
      <c r="C176">
        <v>1</v>
      </c>
    </row>
    <row r="177" spans="1:3" x14ac:dyDescent="0.25">
      <c r="A177" s="77" t="s">
        <v>374</v>
      </c>
      <c r="B177" s="77" t="s">
        <v>252</v>
      </c>
      <c r="C177">
        <v>1</v>
      </c>
    </row>
    <row r="178" spans="1:3" x14ac:dyDescent="0.25">
      <c r="A178" s="77" t="s">
        <v>375</v>
      </c>
      <c r="B178" s="77" t="s">
        <v>252</v>
      </c>
      <c r="C178">
        <v>1</v>
      </c>
    </row>
    <row r="179" spans="1:3" x14ac:dyDescent="0.25">
      <c r="A179" s="77" t="s">
        <v>376</v>
      </c>
      <c r="B179" s="77" t="s">
        <v>252</v>
      </c>
      <c r="C179">
        <v>1</v>
      </c>
    </row>
    <row r="180" spans="1:3" x14ac:dyDescent="0.25">
      <c r="A180" s="77" t="s">
        <v>377</v>
      </c>
      <c r="B180" s="77" t="s">
        <v>252</v>
      </c>
      <c r="C180">
        <v>1</v>
      </c>
    </row>
    <row r="181" spans="1:3" x14ac:dyDescent="0.25">
      <c r="A181" s="77" t="s">
        <v>378</v>
      </c>
      <c r="B181" s="77" t="s">
        <v>252</v>
      </c>
      <c r="C181">
        <v>1</v>
      </c>
    </row>
    <row r="182" spans="1:3" x14ac:dyDescent="0.25">
      <c r="A182" s="77" t="s">
        <v>379</v>
      </c>
      <c r="B182" s="77" t="s">
        <v>252</v>
      </c>
      <c r="C182">
        <v>1</v>
      </c>
    </row>
    <row r="183" spans="1:3" x14ac:dyDescent="0.25">
      <c r="A183" s="77" t="s">
        <v>380</v>
      </c>
      <c r="B183" s="77" t="s">
        <v>252</v>
      </c>
      <c r="C183">
        <v>1</v>
      </c>
    </row>
    <row r="184" spans="1:3" x14ac:dyDescent="0.25">
      <c r="A184" s="77" t="s">
        <v>381</v>
      </c>
      <c r="B184" s="77" t="s">
        <v>252</v>
      </c>
      <c r="C184">
        <v>1</v>
      </c>
    </row>
    <row r="185" spans="1:3" x14ac:dyDescent="0.25">
      <c r="A185" s="77" t="s">
        <v>382</v>
      </c>
      <c r="B185" s="77" t="s">
        <v>252</v>
      </c>
      <c r="C185">
        <v>1</v>
      </c>
    </row>
    <row r="186" spans="1:3" x14ac:dyDescent="0.25">
      <c r="A186" s="77" t="s">
        <v>383</v>
      </c>
      <c r="B186" s="77" t="s">
        <v>252</v>
      </c>
      <c r="C186">
        <v>1</v>
      </c>
    </row>
    <row r="187" spans="1:3" x14ac:dyDescent="0.25">
      <c r="A187" s="77" t="s">
        <v>384</v>
      </c>
      <c r="B187" s="77" t="s">
        <v>252</v>
      </c>
      <c r="C187">
        <v>1</v>
      </c>
    </row>
    <row r="188" spans="1:3" x14ac:dyDescent="0.25">
      <c r="A188" s="77" t="s">
        <v>385</v>
      </c>
      <c r="B188" s="77" t="s">
        <v>252</v>
      </c>
      <c r="C188">
        <v>1</v>
      </c>
    </row>
    <row r="189" spans="1:3" x14ac:dyDescent="0.25">
      <c r="A189" s="77" t="s">
        <v>396</v>
      </c>
      <c r="B189" s="77" t="s">
        <v>265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/>
  </sheetViews>
  <sheetFormatPr defaultRowHeight="15" x14ac:dyDescent="0.25"/>
  <cols>
    <col min="1" max="1" width="13.140625" bestFit="1" customWidth="1"/>
    <col min="2" max="2" width="10" bestFit="1" customWidth="1"/>
    <col min="3" max="3" width="6.5703125" bestFit="1" customWidth="1"/>
    <col min="4" max="4" width="24.570312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5" width="8.7109375" bestFit="1" customWidth="1"/>
    <col min="16" max="16" width="10" bestFit="1" customWidth="1"/>
    <col min="17" max="18" width="8.7109375" bestFit="1" customWidth="1"/>
    <col min="19" max="19" width="11.140625" bestFit="1" customWidth="1"/>
    <col min="20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39" width="10.5703125" bestFit="1" customWidth="1"/>
    <col min="40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10.5703125" bestFit="1" customWidth="1"/>
    <col min="48" max="50" width="9" bestFit="1" customWidth="1"/>
    <col min="51" max="51" width="11.7109375" bestFit="1" customWidth="1"/>
    <col min="52" max="52" width="10" bestFit="1" customWidth="1"/>
    <col min="53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59" width="11.7109375" bestFit="1" customWidth="1"/>
    <col min="60" max="61" width="10.7109375" bestFit="1" customWidth="1"/>
    <col min="62" max="62" width="10.42578125" bestFit="1" customWidth="1"/>
    <col min="63" max="66" width="10.5703125" bestFit="1" customWidth="1"/>
    <col min="67" max="68" width="10.7109375" bestFit="1" customWidth="1"/>
    <col min="69" max="69" width="10.7109375" customWidth="1"/>
    <col min="70" max="70" width="10.7109375" bestFit="1" customWidth="1"/>
    <col min="71" max="71" width="10.28515625" bestFit="1" customWidth="1"/>
  </cols>
  <sheetData>
    <row r="1" spans="1:69" x14ac:dyDescent="0.25">
      <c r="A1" t="s">
        <v>391</v>
      </c>
      <c r="B1" t="s">
        <v>392</v>
      </c>
      <c r="C1" t="s">
        <v>247</v>
      </c>
      <c r="D1" t="s">
        <v>432</v>
      </c>
      <c r="E1" t="s">
        <v>433</v>
      </c>
      <c r="F1" t="s">
        <v>92</v>
      </c>
      <c r="G1" t="s">
        <v>84</v>
      </c>
      <c r="H1" t="s">
        <v>137</v>
      </c>
      <c r="I1" t="s">
        <v>138</v>
      </c>
      <c r="J1" t="s">
        <v>248</v>
      </c>
      <c r="K1" t="s">
        <v>249</v>
      </c>
      <c r="L1" t="s">
        <v>250</v>
      </c>
      <c r="M1" t="s">
        <v>251</v>
      </c>
      <c r="N1" t="s">
        <v>94</v>
      </c>
      <c r="O1" t="s">
        <v>86</v>
      </c>
      <c r="P1" t="s">
        <v>140</v>
      </c>
      <c r="Q1" t="s">
        <v>141</v>
      </c>
      <c r="R1" t="s">
        <v>95</v>
      </c>
      <c r="S1" t="s">
        <v>142</v>
      </c>
      <c r="T1" t="s">
        <v>143</v>
      </c>
      <c r="U1" t="s">
        <v>144</v>
      </c>
      <c r="V1" t="s">
        <v>96</v>
      </c>
      <c r="W1" t="s">
        <v>88</v>
      </c>
      <c r="X1" t="s">
        <v>145</v>
      </c>
      <c r="Y1" t="s">
        <v>90</v>
      </c>
      <c r="Z1" t="s">
        <v>97</v>
      </c>
      <c r="AA1" t="s">
        <v>146</v>
      </c>
      <c r="AB1" t="s">
        <v>147</v>
      </c>
      <c r="AC1" t="s">
        <v>148</v>
      </c>
      <c r="AD1" t="s">
        <v>98</v>
      </c>
      <c r="AE1" t="s">
        <v>149</v>
      </c>
      <c r="AF1" t="s">
        <v>150</v>
      </c>
      <c r="AG1" t="s">
        <v>151</v>
      </c>
      <c r="AH1" t="s">
        <v>99</v>
      </c>
      <c r="AI1" t="s">
        <v>152</v>
      </c>
      <c r="AJ1" t="s">
        <v>153</v>
      </c>
      <c r="AK1" t="s">
        <v>155</v>
      </c>
      <c r="AL1" t="s">
        <v>100</v>
      </c>
      <c r="AM1" t="s">
        <v>91</v>
      </c>
      <c r="AN1" t="s">
        <v>156</v>
      </c>
      <c r="AO1" t="s">
        <v>157</v>
      </c>
      <c r="AP1" t="s">
        <v>101</v>
      </c>
      <c r="AQ1" t="s">
        <v>158</v>
      </c>
      <c r="AR1" t="s">
        <v>159</v>
      </c>
      <c r="AS1" t="s">
        <v>160</v>
      </c>
      <c r="AT1" t="s">
        <v>102</v>
      </c>
      <c r="AU1" t="s">
        <v>161</v>
      </c>
      <c r="AV1" t="s">
        <v>162</v>
      </c>
      <c r="AW1" t="s">
        <v>163</v>
      </c>
      <c r="AX1" t="s">
        <v>103</v>
      </c>
      <c r="AY1" t="s">
        <v>164</v>
      </c>
      <c r="AZ1" t="s">
        <v>165</v>
      </c>
      <c r="BA1" t="s">
        <v>166</v>
      </c>
      <c r="BB1" t="s">
        <v>104</v>
      </c>
      <c r="BC1" t="s">
        <v>167</v>
      </c>
      <c r="BD1" t="s">
        <v>168</v>
      </c>
      <c r="BE1" t="s">
        <v>169</v>
      </c>
      <c r="BF1" t="s">
        <v>105</v>
      </c>
      <c r="BG1" t="s">
        <v>170</v>
      </c>
      <c r="BH1" t="s">
        <v>171</v>
      </c>
      <c r="BI1" t="s">
        <v>172</v>
      </c>
      <c r="BJ1" t="s">
        <v>106</v>
      </c>
      <c r="BK1" t="s">
        <v>89</v>
      </c>
      <c r="BL1" t="s">
        <v>173</v>
      </c>
      <c r="BM1" t="s">
        <v>174</v>
      </c>
      <c r="BN1" t="s">
        <v>107</v>
      </c>
      <c r="BO1" t="s">
        <v>175</v>
      </c>
      <c r="BP1" t="s">
        <v>176</v>
      </c>
      <c r="BQ1" t="s">
        <v>177</v>
      </c>
    </row>
    <row r="2" spans="1:69" x14ac:dyDescent="0.25">
      <c r="A2" s="77" t="s">
        <v>390</v>
      </c>
      <c r="B2" s="77" t="s">
        <v>252</v>
      </c>
      <c r="C2">
        <v>0</v>
      </c>
      <c r="D2" s="77" t="s">
        <v>435</v>
      </c>
      <c r="E2" s="77" t="s">
        <v>387</v>
      </c>
      <c r="F2">
        <v>0</v>
      </c>
      <c r="G2">
        <v>200</v>
      </c>
      <c r="H2">
        <v>0</v>
      </c>
      <c r="I2">
        <v>0</v>
      </c>
      <c r="J2">
        <v>2</v>
      </c>
      <c r="K2">
        <v>10.210000000000001</v>
      </c>
      <c r="L2">
        <v>-7.22</v>
      </c>
      <c r="M2">
        <v>-0.33</v>
      </c>
      <c r="N2">
        <v>1</v>
      </c>
      <c r="O2">
        <v>-1.1000000000000001</v>
      </c>
      <c r="P2">
        <v>8.1199999999999992</v>
      </c>
      <c r="Q2">
        <v>0</v>
      </c>
      <c r="R2">
        <v>1</v>
      </c>
      <c r="S2">
        <v>-0.05</v>
      </c>
      <c r="T2">
        <v>0.92</v>
      </c>
      <c r="U2">
        <v>0</v>
      </c>
      <c r="V2">
        <v>0</v>
      </c>
      <c r="W2">
        <v>10</v>
      </c>
      <c r="X2">
        <v>0</v>
      </c>
      <c r="Y2">
        <v>0</v>
      </c>
      <c r="Z2">
        <v>1</v>
      </c>
      <c r="AA2">
        <v>-0.04</v>
      </c>
      <c r="AB2">
        <v>0.38</v>
      </c>
      <c r="AC2">
        <v>0</v>
      </c>
      <c r="AD2">
        <v>1</v>
      </c>
      <c r="AE2">
        <v>-0.11</v>
      </c>
      <c r="AF2">
        <v>0.97</v>
      </c>
      <c r="AG2">
        <v>0</v>
      </c>
      <c r="AH2">
        <v>0</v>
      </c>
      <c r="AI2">
        <v>1E-4</v>
      </c>
      <c r="AJ2">
        <v>0</v>
      </c>
      <c r="AK2">
        <v>0</v>
      </c>
      <c r="AL2">
        <v>0</v>
      </c>
      <c r="AM2">
        <v>300</v>
      </c>
      <c r="AN2">
        <v>0</v>
      </c>
      <c r="AO2">
        <v>0</v>
      </c>
      <c r="AP2">
        <v>1</v>
      </c>
      <c r="AQ2">
        <v>7.0000000000000007E-2</v>
      </c>
      <c r="AR2">
        <v>0.6</v>
      </c>
      <c r="AS2">
        <v>0</v>
      </c>
      <c r="AT2">
        <v>1</v>
      </c>
      <c r="AU2">
        <v>-0.32</v>
      </c>
      <c r="AV2">
        <v>2.56</v>
      </c>
      <c r="AW2">
        <v>0</v>
      </c>
      <c r="AX2">
        <v>1</v>
      </c>
      <c r="AY2">
        <v>-0.03</v>
      </c>
      <c r="AZ2">
        <v>0.74</v>
      </c>
      <c r="BA2">
        <v>0</v>
      </c>
      <c r="BB2">
        <v>0</v>
      </c>
      <c r="BC2">
        <v>200</v>
      </c>
      <c r="BD2">
        <v>0</v>
      </c>
      <c r="BE2">
        <v>0</v>
      </c>
      <c r="BF2">
        <v>1</v>
      </c>
      <c r="BG2">
        <v>-0.08</v>
      </c>
      <c r="BH2">
        <v>0.65</v>
      </c>
      <c r="BI2">
        <v>0</v>
      </c>
      <c r="BJ2">
        <v>1</v>
      </c>
      <c r="BK2">
        <v>-3.0000000000000001E-3</v>
      </c>
      <c r="BL2">
        <v>0.2</v>
      </c>
      <c r="BM2">
        <v>0</v>
      </c>
      <c r="BN2">
        <v>1</v>
      </c>
      <c r="BO2">
        <v>-0.16</v>
      </c>
      <c r="BP2">
        <v>1.01</v>
      </c>
      <c r="BQ2">
        <v>0</v>
      </c>
    </row>
    <row r="3" spans="1:69" x14ac:dyDescent="0.25">
      <c r="A3" s="77" t="s">
        <v>338</v>
      </c>
      <c r="B3" s="77" t="s">
        <v>252</v>
      </c>
      <c r="C3">
        <v>1</v>
      </c>
      <c r="D3" s="77" t="s">
        <v>436</v>
      </c>
      <c r="E3" s="77" t="s">
        <v>386</v>
      </c>
      <c r="F3">
        <v>0</v>
      </c>
      <c r="G3">
        <v>94.5184</v>
      </c>
      <c r="H3">
        <v>0</v>
      </c>
      <c r="I3">
        <v>0</v>
      </c>
      <c r="J3">
        <v>1</v>
      </c>
      <c r="K3">
        <v>-4.6464999999999996</v>
      </c>
      <c r="L3">
        <v>14.8651</v>
      </c>
      <c r="M3">
        <v>0</v>
      </c>
      <c r="N3">
        <v>1</v>
      </c>
      <c r="O3">
        <v>-0.91779999999999995</v>
      </c>
      <c r="P3">
        <v>8.3390079999999998</v>
      </c>
      <c r="Q3">
        <v>0</v>
      </c>
      <c r="R3">
        <v>0</v>
      </c>
      <c r="S3">
        <v>0.95168079999999999</v>
      </c>
      <c r="T3">
        <v>0</v>
      </c>
      <c r="U3">
        <v>0</v>
      </c>
      <c r="V3">
        <v>0</v>
      </c>
      <c r="W3">
        <v>20</v>
      </c>
      <c r="X3">
        <v>0</v>
      </c>
      <c r="Y3">
        <v>0</v>
      </c>
      <c r="Z3">
        <v>1</v>
      </c>
      <c r="AA3">
        <v>-8.5835999999999996E-2</v>
      </c>
      <c r="AB3">
        <v>0.26050000000000001</v>
      </c>
      <c r="AC3">
        <v>0</v>
      </c>
      <c r="AD3">
        <v>0</v>
      </c>
      <c r="AE3">
        <v>17</v>
      </c>
      <c r="AF3">
        <v>0</v>
      </c>
      <c r="AG3">
        <v>0</v>
      </c>
      <c r="AH3">
        <v>0</v>
      </c>
      <c r="AI3">
        <v>1E-4</v>
      </c>
      <c r="AJ3">
        <v>0</v>
      </c>
      <c r="AK3">
        <v>0</v>
      </c>
      <c r="AL3">
        <v>1</v>
      </c>
      <c r="AM3">
        <v>-0.22350800000000001</v>
      </c>
      <c r="AN3">
        <v>2.12948</v>
      </c>
      <c r="AO3">
        <v>0</v>
      </c>
      <c r="AP3">
        <v>1</v>
      </c>
      <c r="AQ3">
        <v>-5.0056000000000003E-2</v>
      </c>
      <c r="AR3">
        <v>0.547296</v>
      </c>
      <c r="AS3">
        <v>0</v>
      </c>
      <c r="AT3">
        <v>1</v>
      </c>
      <c r="AU3">
        <v>-0.24832099999999999</v>
      </c>
      <c r="AV3">
        <v>4.8334000000000001</v>
      </c>
      <c r="AW3">
        <v>0</v>
      </c>
      <c r="AX3">
        <v>1</v>
      </c>
      <c r="AY3">
        <v>-3.4234000000000001E-2</v>
      </c>
      <c r="AZ3">
        <v>0.54632400000000003</v>
      </c>
      <c r="BA3">
        <v>0</v>
      </c>
      <c r="BB3">
        <v>0</v>
      </c>
      <c r="BC3">
        <v>44.89</v>
      </c>
      <c r="BD3">
        <v>0</v>
      </c>
      <c r="BE3">
        <v>0</v>
      </c>
      <c r="BF3">
        <v>1</v>
      </c>
      <c r="BG3">
        <v>-3.0649599999999999E-2</v>
      </c>
      <c r="BH3">
        <v>0.30757000000000001</v>
      </c>
      <c r="BI3">
        <v>0</v>
      </c>
      <c r="BJ3">
        <v>0</v>
      </c>
      <c r="BK3">
        <v>0.35149999999999998</v>
      </c>
      <c r="BL3">
        <v>0</v>
      </c>
      <c r="BM3">
        <v>0</v>
      </c>
      <c r="BN3">
        <v>0</v>
      </c>
      <c r="BO3">
        <v>0.57921599999999995</v>
      </c>
      <c r="BP3">
        <v>0</v>
      </c>
      <c r="BQ3">
        <v>0</v>
      </c>
    </row>
    <row r="4" spans="1:69" x14ac:dyDescent="0.25">
      <c r="A4" s="77" t="s">
        <v>341</v>
      </c>
      <c r="B4" s="77" t="s">
        <v>252</v>
      </c>
      <c r="C4">
        <v>1</v>
      </c>
      <c r="D4" s="77" t="s">
        <v>436</v>
      </c>
      <c r="E4" s="77" t="s">
        <v>386</v>
      </c>
      <c r="F4">
        <v>0</v>
      </c>
      <c r="G4">
        <v>91.755099999999999</v>
      </c>
      <c r="H4">
        <v>0</v>
      </c>
      <c r="I4">
        <v>0</v>
      </c>
      <c r="J4">
        <v>1</v>
      </c>
      <c r="K4">
        <v>-4.9135</v>
      </c>
      <c r="L4">
        <v>15.6418</v>
      </c>
      <c r="M4">
        <v>0</v>
      </c>
      <c r="N4">
        <v>1</v>
      </c>
      <c r="O4">
        <v>-0.91779999999999995</v>
      </c>
      <c r="P4">
        <v>8.3180619999999994</v>
      </c>
      <c r="Q4">
        <v>0</v>
      </c>
      <c r="R4">
        <v>0</v>
      </c>
      <c r="S4">
        <v>0.95353869999999996</v>
      </c>
      <c r="T4">
        <v>0</v>
      </c>
      <c r="U4">
        <v>0</v>
      </c>
      <c r="V4">
        <v>0</v>
      </c>
      <c r="W4">
        <v>20</v>
      </c>
      <c r="X4">
        <v>0</v>
      </c>
      <c r="Y4">
        <v>0</v>
      </c>
      <c r="Z4">
        <v>1</v>
      </c>
      <c r="AA4">
        <v>-7.9779000000000003E-2</v>
      </c>
      <c r="AB4">
        <v>0.26050000000000001</v>
      </c>
      <c r="AC4">
        <v>0</v>
      </c>
      <c r="AD4">
        <v>0</v>
      </c>
      <c r="AE4">
        <v>17</v>
      </c>
      <c r="AF4">
        <v>0</v>
      </c>
      <c r="AG4">
        <v>0</v>
      </c>
      <c r="AH4">
        <v>0</v>
      </c>
      <c r="AI4">
        <v>1E-4</v>
      </c>
      <c r="AJ4">
        <v>0</v>
      </c>
      <c r="AK4">
        <v>0</v>
      </c>
      <c r="AL4">
        <v>1</v>
      </c>
      <c r="AM4">
        <v>-0.244562</v>
      </c>
      <c r="AN4">
        <v>2.21597</v>
      </c>
      <c r="AO4">
        <v>0</v>
      </c>
      <c r="AP4">
        <v>1</v>
      </c>
      <c r="AQ4">
        <v>-5.4873999999999999E-2</v>
      </c>
      <c r="AR4">
        <v>0.57128400000000001</v>
      </c>
      <c r="AS4">
        <v>0</v>
      </c>
      <c r="AT4">
        <v>1</v>
      </c>
      <c r="AU4">
        <v>-0.26119700000000001</v>
      </c>
      <c r="AV4">
        <v>4.7438500000000001</v>
      </c>
      <c r="AW4">
        <v>0</v>
      </c>
      <c r="AX4">
        <v>1</v>
      </c>
      <c r="AY4">
        <v>-3.63355E-2</v>
      </c>
      <c r="AZ4">
        <v>0.57024600000000003</v>
      </c>
      <c r="BA4">
        <v>0</v>
      </c>
      <c r="BB4">
        <v>0</v>
      </c>
      <c r="BC4">
        <v>44.89</v>
      </c>
      <c r="BD4">
        <v>0</v>
      </c>
      <c r="BE4">
        <v>0</v>
      </c>
      <c r="BF4">
        <v>1</v>
      </c>
      <c r="BG4">
        <v>-3.33619E-2</v>
      </c>
      <c r="BH4">
        <v>0.31869999999999998</v>
      </c>
      <c r="BI4">
        <v>0</v>
      </c>
      <c r="BJ4">
        <v>0</v>
      </c>
      <c r="BK4">
        <v>0.35149999999999998</v>
      </c>
      <c r="BL4">
        <v>0</v>
      </c>
      <c r="BM4">
        <v>0</v>
      </c>
      <c r="BN4">
        <v>0</v>
      </c>
      <c r="BO4">
        <v>0.59417399999999998</v>
      </c>
      <c r="BP4">
        <v>0</v>
      </c>
      <c r="BQ4">
        <v>0</v>
      </c>
    </row>
    <row r="5" spans="1:69" x14ac:dyDescent="0.25">
      <c r="A5" s="77" t="s">
        <v>351</v>
      </c>
      <c r="B5" s="77" t="s">
        <v>252</v>
      </c>
      <c r="C5">
        <v>1</v>
      </c>
      <c r="D5" s="77" t="s">
        <v>436</v>
      </c>
      <c r="E5" s="77" t="s">
        <v>386</v>
      </c>
      <c r="F5">
        <v>0</v>
      </c>
      <c r="G5">
        <v>83.465199999999996</v>
      </c>
      <c r="H5">
        <v>0</v>
      </c>
      <c r="I5">
        <v>0</v>
      </c>
      <c r="J5">
        <v>1</v>
      </c>
      <c r="K5">
        <v>-5.7145000000000001</v>
      </c>
      <c r="L5">
        <v>17.971900000000002</v>
      </c>
      <c r="M5">
        <v>0</v>
      </c>
      <c r="N5">
        <v>1</v>
      </c>
      <c r="O5">
        <v>-0.91779999999999995</v>
      </c>
      <c r="P5">
        <v>8.2552240000000001</v>
      </c>
      <c r="Q5">
        <v>0</v>
      </c>
      <c r="R5">
        <v>0</v>
      </c>
      <c r="S5">
        <v>0.95911239999999998</v>
      </c>
      <c r="T5">
        <v>0</v>
      </c>
      <c r="U5">
        <v>0</v>
      </c>
      <c r="V5">
        <v>0</v>
      </c>
      <c r="W5">
        <v>20</v>
      </c>
      <c r="X5">
        <v>0</v>
      </c>
      <c r="Y5">
        <v>0</v>
      </c>
      <c r="Z5">
        <v>1</v>
      </c>
      <c r="AA5">
        <v>-6.1608000000000003E-2</v>
      </c>
      <c r="AB5">
        <v>0.26050000000000001</v>
      </c>
      <c r="AC5">
        <v>0</v>
      </c>
      <c r="AD5">
        <v>0</v>
      </c>
      <c r="AE5">
        <v>17</v>
      </c>
      <c r="AF5">
        <v>0</v>
      </c>
      <c r="AG5">
        <v>0</v>
      </c>
      <c r="AH5">
        <v>0</v>
      </c>
      <c r="AI5">
        <v>1E-4</v>
      </c>
      <c r="AJ5">
        <v>0</v>
      </c>
      <c r="AK5">
        <v>0</v>
      </c>
      <c r="AL5">
        <v>1</v>
      </c>
      <c r="AM5">
        <v>-0.307724</v>
      </c>
      <c r="AN5">
        <v>2.4754399999999999</v>
      </c>
      <c r="AO5">
        <v>0</v>
      </c>
      <c r="AP5">
        <v>1</v>
      </c>
      <c r="AQ5">
        <v>-6.9328000000000001E-2</v>
      </c>
      <c r="AR5">
        <v>0.64324800000000004</v>
      </c>
      <c r="AS5">
        <v>0</v>
      </c>
      <c r="AT5">
        <v>1</v>
      </c>
      <c r="AU5">
        <v>-0.29982500000000001</v>
      </c>
      <c r="AV5">
        <v>4.4752000000000001</v>
      </c>
      <c r="AW5">
        <v>0</v>
      </c>
      <c r="AX5">
        <v>1</v>
      </c>
      <c r="AY5">
        <v>-4.2639999999999997E-2</v>
      </c>
      <c r="AZ5">
        <v>0.64201200000000003</v>
      </c>
      <c r="BA5">
        <v>0</v>
      </c>
      <c r="BB5">
        <v>0</v>
      </c>
      <c r="BC5">
        <v>44.89</v>
      </c>
      <c r="BD5">
        <v>0</v>
      </c>
      <c r="BE5">
        <v>0</v>
      </c>
      <c r="BF5">
        <v>1</v>
      </c>
      <c r="BG5">
        <v>-4.1498800000000002E-2</v>
      </c>
      <c r="BH5">
        <v>0.35209000000000001</v>
      </c>
      <c r="BI5">
        <v>0</v>
      </c>
      <c r="BJ5">
        <v>0</v>
      </c>
      <c r="BK5">
        <v>0.35149999999999998</v>
      </c>
      <c r="BL5">
        <v>0</v>
      </c>
      <c r="BM5">
        <v>0</v>
      </c>
      <c r="BN5">
        <v>0</v>
      </c>
      <c r="BO5">
        <v>0.63904799999999995</v>
      </c>
      <c r="BP5">
        <v>0</v>
      </c>
      <c r="BQ5">
        <v>0</v>
      </c>
    </row>
    <row r="6" spans="1:69" x14ac:dyDescent="0.25">
      <c r="A6" s="77" t="s">
        <v>359</v>
      </c>
      <c r="B6" s="77" t="s">
        <v>252</v>
      </c>
      <c r="C6">
        <v>1</v>
      </c>
      <c r="D6" s="77" t="s">
        <v>436</v>
      </c>
      <c r="E6" s="77" t="s">
        <v>386</v>
      </c>
      <c r="F6">
        <v>0</v>
      </c>
      <c r="G6">
        <v>77.017499999999998</v>
      </c>
      <c r="H6">
        <v>0</v>
      </c>
      <c r="I6">
        <v>0</v>
      </c>
      <c r="J6">
        <v>1</v>
      </c>
      <c r="K6">
        <v>-6.3375000000000004</v>
      </c>
      <c r="L6">
        <v>19.784199999999998</v>
      </c>
      <c r="M6">
        <v>0</v>
      </c>
      <c r="N6">
        <v>1</v>
      </c>
      <c r="O6">
        <v>-0.91779999999999995</v>
      </c>
      <c r="P6">
        <v>8.2063500000000005</v>
      </c>
      <c r="Q6">
        <v>0</v>
      </c>
      <c r="R6">
        <v>0</v>
      </c>
      <c r="S6">
        <v>0.96344750000000001</v>
      </c>
      <c r="T6">
        <v>0</v>
      </c>
      <c r="U6">
        <v>0</v>
      </c>
      <c r="V6">
        <v>0</v>
      </c>
      <c r="W6">
        <v>20</v>
      </c>
      <c r="X6">
        <v>0</v>
      </c>
      <c r="Y6">
        <v>0</v>
      </c>
      <c r="Z6">
        <v>1</v>
      </c>
      <c r="AA6">
        <v>-4.7475000000000003E-2</v>
      </c>
      <c r="AB6">
        <v>0.26050000000000001</v>
      </c>
      <c r="AC6">
        <v>0</v>
      </c>
      <c r="AD6">
        <v>0</v>
      </c>
      <c r="AE6">
        <v>17</v>
      </c>
      <c r="AF6">
        <v>0</v>
      </c>
      <c r="AG6">
        <v>0</v>
      </c>
      <c r="AH6">
        <v>0</v>
      </c>
      <c r="AI6">
        <v>1E-4</v>
      </c>
      <c r="AJ6">
        <v>0</v>
      </c>
      <c r="AK6">
        <v>0</v>
      </c>
      <c r="AL6">
        <v>1</v>
      </c>
      <c r="AM6">
        <v>-0.35685</v>
      </c>
      <c r="AN6">
        <v>2.6772499999999999</v>
      </c>
      <c r="AO6">
        <v>0</v>
      </c>
      <c r="AP6">
        <v>1</v>
      </c>
      <c r="AQ6">
        <v>-8.0570000000000003E-2</v>
      </c>
      <c r="AR6">
        <v>0.69921999999999995</v>
      </c>
      <c r="AS6">
        <v>0</v>
      </c>
      <c r="AT6">
        <v>1</v>
      </c>
      <c r="AU6">
        <v>-0.32986900000000002</v>
      </c>
      <c r="AV6">
        <v>4.2662500000000003</v>
      </c>
      <c r="AW6">
        <v>0</v>
      </c>
      <c r="AX6">
        <v>1</v>
      </c>
      <c r="AY6">
        <v>-4.7543500000000002E-2</v>
      </c>
      <c r="AZ6">
        <v>0.69782999999999995</v>
      </c>
      <c r="BA6">
        <v>0</v>
      </c>
      <c r="BB6">
        <v>0</v>
      </c>
      <c r="BC6">
        <v>44.89</v>
      </c>
      <c r="BD6">
        <v>0</v>
      </c>
      <c r="BE6">
        <v>0</v>
      </c>
      <c r="BF6">
        <v>1</v>
      </c>
      <c r="BG6">
        <v>-4.7827500000000002E-2</v>
      </c>
      <c r="BH6">
        <v>0.37806000000000001</v>
      </c>
      <c r="BI6">
        <v>0</v>
      </c>
      <c r="BJ6">
        <v>0</v>
      </c>
      <c r="BK6">
        <v>0.35149999999999998</v>
      </c>
      <c r="BL6">
        <v>0</v>
      </c>
      <c r="BM6">
        <v>0</v>
      </c>
      <c r="BN6">
        <v>0</v>
      </c>
      <c r="BO6">
        <v>0.67395000000000005</v>
      </c>
      <c r="BP6">
        <v>0</v>
      </c>
      <c r="BQ6">
        <v>0</v>
      </c>
    </row>
    <row r="7" spans="1:69" x14ac:dyDescent="0.25">
      <c r="A7" s="77" t="s">
        <v>363</v>
      </c>
      <c r="B7" s="77" t="s">
        <v>252</v>
      </c>
      <c r="C7">
        <v>1</v>
      </c>
      <c r="D7" s="77" t="s">
        <v>436</v>
      </c>
      <c r="E7" s="77" t="s">
        <v>386</v>
      </c>
      <c r="F7">
        <v>0</v>
      </c>
      <c r="G7">
        <v>73.333100000000002</v>
      </c>
      <c r="H7">
        <v>0</v>
      </c>
      <c r="I7">
        <v>0</v>
      </c>
      <c r="J7">
        <v>1</v>
      </c>
      <c r="K7">
        <v>-6.6935000000000002</v>
      </c>
      <c r="L7">
        <v>20.819800000000001</v>
      </c>
      <c r="M7">
        <v>0</v>
      </c>
      <c r="N7">
        <v>1</v>
      </c>
      <c r="O7">
        <v>-0.91779999999999995</v>
      </c>
      <c r="P7">
        <v>8.1784219999999994</v>
      </c>
      <c r="Q7">
        <v>0</v>
      </c>
      <c r="R7">
        <v>0</v>
      </c>
      <c r="S7">
        <v>0.96592469999999997</v>
      </c>
      <c r="T7">
        <v>0</v>
      </c>
      <c r="U7">
        <v>0</v>
      </c>
      <c r="V7">
        <v>0</v>
      </c>
      <c r="W7">
        <v>20</v>
      </c>
      <c r="X7">
        <v>0</v>
      </c>
      <c r="Y7">
        <v>0</v>
      </c>
      <c r="Z7">
        <v>1</v>
      </c>
      <c r="AA7">
        <v>-3.9399000000000003E-2</v>
      </c>
      <c r="AB7">
        <v>0.26050000000000001</v>
      </c>
      <c r="AC7">
        <v>0</v>
      </c>
      <c r="AD7">
        <v>0</v>
      </c>
      <c r="AE7">
        <v>17</v>
      </c>
      <c r="AF7">
        <v>0</v>
      </c>
      <c r="AG7">
        <v>0</v>
      </c>
      <c r="AH7">
        <v>0</v>
      </c>
      <c r="AI7">
        <v>1E-4</v>
      </c>
      <c r="AJ7">
        <v>0</v>
      </c>
      <c r="AK7">
        <v>0</v>
      </c>
      <c r="AL7">
        <v>1</v>
      </c>
      <c r="AM7">
        <v>-0.38492199999999999</v>
      </c>
      <c r="AN7">
        <v>2.79257</v>
      </c>
      <c r="AO7">
        <v>0</v>
      </c>
      <c r="AP7">
        <v>1</v>
      </c>
      <c r="AQ7">
        <v>-8.6994000000000002E-2</v>
      </c>
      <c r="AR7">
        <v>0.73120399999999997</v>
      </c>
      <c r="AS7">
        <v>0</v>
      </c>
      <c r="AT7">
        <v>1</v>
      </c>
      <c r="AU7">
        <v>-0.34703699999999998</v>
      </c>
      <c r="AV7">
        <v>4.1468499999999997</v>
      </c>
      <c r="AW7">
        <v>0</v>
      </c>
      <c r="AX7">
        <v>1</v>
      </c>
      <c r="AY7">
        <v>-5.0345500000000001E-2</v>
      </c>
      <c r="AZ7">
        <v>0.72972599999999999</v>
      </c>
      <c r="BA7">
        <v>0</v>
      </c>
      <c r="BB7">
        <v>0</v>
      </c>
      <c r="BC7">
        <v>44.89</v>
      </c>
      <c r="BD7">
        <v>0</v>
      </c>
      <c r="BE7">
        <v>0</v>
      </c>
      <c r="BF7">
        <v>1</v>
      </c>
      <c r="BG7">
        <v>-5.1443900000000001E-2</v>
      </c>
      <c r="BH7">
        <v>0.39290000000000003</v>
      </c>
      <c r="BI7">
        <v>0</v>
      </c>
      <c r="BJ7">
        <v>0</v>
      </c>
      <c r="BK7">
        <v>0.35149999999999998</v>
      </c>
      <c r="BL7">
        <v>0</v>
      </c>
      <c r="BM7">
        <v>0</v>
      </c>
      <c r="BN7">
        <v>0</v>
      </c>
      <c r="BO7">
        <v>0.69389400000000001</v>
      </c>
      <c r="BP7">
        <v>0</v>
      </c>
      <c r="BQ7">
        <v>0</v>
      </c>
    </row>
    <row r="8" spans="1:69" x14ac:dyDescent="0.25">
      <c r="A8" s="77" t="s">
        <v>365</v>
      </c>
      <c r="B8" s="77" t="s">
        <v>252</v>
      </c>
      <c r="C8">
        <v>1</v>
      </c>
      <c r="D8" s="77" t="s">
        <v>436</v>
      </c>
      <c r="E8" s="77" t="s">
        <v>386</v>
      </c>
      <c r="F8">
        <v>0</v>
      </c>
      <c r="G8">
        <v>72.412000000000006</v>
      </c>
      <c r="H8">
        <v>0</v>
      </c>
      <c r="I8">
        <v>0</v>
      </c>
      <c r="J8">
        <v>1</v>
      </c>
      <c r="K8">
        <v>-6.7824999999999998</v>
      </c>
      <c r="L8">
        <v>21.078700000000001</v>
      </c>
      <c r="M8">
        <v>0</v>
      </c>
      <c r="N8">
        <v>1</v>
      </c>
      <c r="O8">
        <v>-0.91779999999999995</v>
      </c>
      <c r="P8">
        <v>8.1714400000000005</v>
      </c>
      <c r="Q8">
        <v>0</v>
      </c>
      <c r="R8">
        <v>0</v>
      </c>
      <c r="S8">
        <v>0.96654399999999996</v>
      </c>
      <c r="T8">
        <v>0</v>
      </c>
      <c r="U8">
        <v>0</v>
      </c>
      <c r="V8">
        <v>0</v>
      </c>
      <c r="W8">
        <v>20</v>
      </c>
      <c r="X8">
        <v>0</v>
      </c>
      <c r="Y8">
        <v>0</v>
      </c>
      <c r="Z8">
        <v>1</v>
      </c>
      <c r="AA8">
        <v>-3.7379999999999997E-2</v>
      </c>
      <c r="AB8">
        <v>0.26050000000000001</v>
      </c>
      <c r="AC8">
        <v>0</v>
      </c>
      <c r="AD8">
        <v>0</v>
      </c>
      <c r="AE8">
        <v>17</v>
      </c>
      <c r="AF8">
        <v>0</v>
      </c>
      <c r="AG8">
        <v>0</v>
      </c>
      <c r="AH8">
        <v>0</v>
      </c>
      <c r="AI8">
        <v>1E-4</v>
      </c>
      <c r="AJ8">
        <v>0</v>
      </c>
      <c r="AK8">
        <v>0</v>
      </c>
      <c r="AL8">
        <v>1</v>
      </c>
      <c r="AM8">
        <v>-0.39194000000000001</v>
      </c>
      <c r="AN8">
        <v>2.8214000000000001</v>
      </c>
      <c r="AO8">
        <v>0</v>
      </c>
      <c r="AP8">
        <v>1</v>
      </c>
      <c r="AQ8">
        <v>-8.8599999999999998E-2</v>
      </c>
      <c r="AR8">
        <v>0.73919999999999997</v>
      </c>
      <c r="AS8">
        <v>0</v>
      </c>
      <c r="AT8">
        <v>1</v>
      </c>
      <c r="AU8">
        <v>-0.351329</v>
      </c>
      <c r="AV8">
        <v>4.117</v>
      </c>
      <c r="AW8">
        <v>0</v>
      </c>
      <c r="AX8">
        <v>1</v>
      </c>
      <c r="AY8">
        <v>-5.1046000000000001E-2</v>
      </c>
      <c r="AZ8">
        <v>0.73770000000000002</v>
      </c>
      <c r="BA8">
        <v>0</v>
      </c>
      <c r="BB8">
        <v>0</v>
      </c>
      <c r="BC8">
        <v>44.89</v>
      </c>
      <c r="BD8">
        <v>0</v>
      </c>
      <c r="BE8">
        <v>0</v>
      </c>
      <c r="BF8">
        <v>1</v>
      </c>
      <c r="BG8">
        <v>-5.2347999999999999E-2</v>
      </c>
      <c r="BH8">
        <v>0.39661000000000002</v>
      </c>
      <c r="BI8">
        <v>0</v>
      </c>
      <c r="BJ8">
        <v>0</v>
      </c>
      <c r="BK8">
        <v>0.35149999999999998</v>
      </c>
      <c r="BL8">
        <v>0</v>
      </c>
      <c r="BM8">
        <v>0</v>
      </c>
      <c r="BN8">
        <v>0</v>
      </c>
      <c r="BO8">
        <v>0.69887999999999995</v>
      </c>
      <c r="BP8">
        <v>0</v>
      </c>
      <c r="BQ8">
        <v>0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zoomScale="85" zoomScaleNormal="85" workbookViewId="0">
      <selection activeCell="J13" sqref="J13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431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0</v>
      </c>
      <c r="I3" s="121" t="s">
        <v>78</v>
      </c>
      <c r="J3" s="122"/>
      <c r="K3" s="122"/>
      <c r="L3" s="122"/>
      <c r="M3" s="122"/>
      <c r="N3" s="122"/>
      <c r="O3" s="122"/>
      <c r="P3" s="122"/>
      <c r="Q3" s="122"/>
      <c r="R3" s="122"/>
      <c r="S3" s="123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0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p_u_1</v>
      </c>
      <c r="L4" s="60" t="str">
        <f>IF('Control Panel'!L$3="NONE","",'Control Panel'!L$3)</f>
        <v>k_p_1</v>
      </c>
      <c r="M4" s="60" t="str">
        <f>IF('Control Panel'!M$3="NONE","",'Control Panel'!M$3)</f>
        <v>n_p_1</v>
      </c>
      <c r="N4" s="60" t="str">
        <f>IF('Control Panel'!N$3="NONE","",'Control Panel'!N$3)</f>
        <v>k_p_2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>Cowden_Clay</v>
      </c>
      <c r="F5" s="2" t="str">
        <f>IF(T5=1,IF('Control Panel'!F4="","",'Control Panel'!F4),"")</f>
        <v>PISA</v>
      </c>
      <c r="G5" s="2">
        <f>IF(T5=1,IF('Control Panel'!G4="","",'Control Panel'!G4),"")</f>
        <v>0</v>
      </c>
      <c r="H5" s="2" t="str">
        <f>IF(T5=1,IF('Control Panel'!H4="","",'Control Panel'!H4),"")</f>
        <v>Loc_69_Clay_1</v>
      </c>
      <c r="I5" s="42">
        <f>IF(T5=1,IF('Control Panel'!I4="","",'Control Panel'!I4),"")</f>
        <v>1</v>
      </c>
      <c r="J5" s="36">
        <f>IF($I5="","",IF(J$4="","",IF('Control Panel'!J4="",VLOOKUP($E5,'Table Output'!$A$2:$BR$1048576,MATCH(J$4,'Table Output'!$A$1:$BQ$1,0),),'Control Panel'!J4)))</f>
        <v>200</v>
      </c>
      <c r="K5" s="36">
        <f>IF($I5="","",IF(K$4="","",IF('Control Panel'!K4="",VLOOKUP($E5,'Table Output'!$A$2:$BR$1048576,MATCH(K$4,'Table Output'!$A$1:$BQ$1,0),),'Control Panel'!K4)))</f>
        <v>10.210000000000001</v>
      </c>
      <c r="L5" s="36">
        <f>IF($I5="","",IF(L$4="","",IF('Control Panel'!L4="",VLOOKUP($E5,'Table Output'!$A$2:$BR$1048576,MATCH(L$4,'Table Output'!$A$1:$BQ$1,0),),'Control Panel'!L4)))</f>
        <v>-1.1000000000000001</v>
      </c>
      <c r="M5" s="36">
        <f>IF($I5="","",IF(M$4="","",IF('Control Panel'!M4="",VLOOKUP($E5,'Table Output'!$A$2:$BR$1048576,MATCH(M$4,'Table Output'!$A$1:$BQ$1,0),),'Control Panel'!M4)))</f>
        <v>-0.05</v>
      </c>
      <c r="N5" s="36">
        <f>IF($I5="","",IF(N$4="","",IF('Control Panel'!N4="",VLOOKUP($E5,'Table Output'!$A$2:$BR$1048576,MATCH(N$4,'Table Output'!$A$1:$BQ$1,0),),'Control Panel'!N4)))</f>
        <v>8.1199999999999992</v>
      </c>
      <c r="O5" s="36" t="str">
        <f>IF($I5="","",IF(O$4="","",IF('Control Panel'!O4="",VLOOKUP($E5,'Table Output'!$A$2:$BR$1048576,MATCH(O$4,'Table Output'!$A$1:$BQ$1,0),),'Control Panel'!O4)))</f>
        <v/>
      </c>
      <c r="P5" s="36" t="str">
        <f>IF($I5="","",IF(P$4="","",IF('Control Panel'!P4="",VLOOKUP($E5,'Table Output'!$A$2:$BR$1048576,MATCH(P$4,'Table Output'!$A$1:$BQ$1,0),),'Control Panel'!P4)))</f>
        <v/>
      </c>
      <c r="Q5" s="36" t="str">
        <f>IF($I5="","",IF(Q$4="","",IF('Control Panel'!Q4="",VLOOKUP($E5,'Table Output'!$A$2:$BR$1048576,MATCH(Q$4,'Table Output'!$A$1:$BQ$1,0),),'Control Panel'!Q4)))</f>
        <v/>
      </c>
      <c r="R5" s="36" t="str">
        <f>IF($I5="","",IF(R$4="","",IF('Control Panel'!R4="",VLOOKUP($E5,'Table Output'!$A$2:$BR$1048576,MATCH(R$4,'Table Output'!$A$1:$BQ$1,0),),'Control Panel'!R4)))</f>
        <v/>
      </c>
      <c r="S5" s="36" t="str">
        <f>IF($I5="","",IF(S$4="","",IF('Control Panel'!S4="",VLOOKUP($E5,'Table Output'!$A$2:$BR$1048576,MATCH(S$4,'Table Output'!$A$1:$BQ$1,0),),'Control Panel'!S4)))</f>
        <v/>
      </c>
      <c r="T5" s="2">
        <f>IF('Control Panel'!T4="","",'Control Panel'!T4)</f>
        <v>1</v>
      </c>
      <c r="U5" s="36">
        <f>IF($I5="","",IF('Control Panel'!U4="",VLOOKUP($E5,'Table Output'!$A$2:$BR$99998,MATCH(U$4,'Table Output'!$A$1:$BQ$1,0),),'Control Panel'!U4))</f>
        <v>0</v>
      </c>
      <c r="V5" s="36">
        <f>IF($I5="","",IF('Control Panel'!V4="",VLOOKUP($E5,'Table Output'!$A$2:$BR$99998,MATCH(V$4,'Table Output'!$A$1:$BQ$1,0),),'Control Panel'!V4))</f>
        <v>2</v>
      </c>
      <c r="W5" s="36">
        <f>IF($I5="","",IF('Control Panel'!W4="",VLOOKUP($E5,'Table Output'!$A$2:$BR$99998,MATCH(W$4,'Table Output'!$A$1:$BQ$1,0),),'Control Panel'!W4))</f>
        <v>1</v>
      </c>
      <c r="X5" s="36">
        <f>IF($I5="","",IF('Control Panel'!X4="",VLOOKUP($E5,'Table Output'!$A$2:$BR$99998,MATCH(X$4,'Table Output'!$A$1:$BQ$1,0),),'Control Panel'!X4))</f>
        <v>1</v>
      </c>
      <c r="Y5" s="36">
        <f>IF($I5="","",IF('Control Panel'!Y4="",VLOOKUP($E5,'Table Output'!$A$2:$BR$99998,MATCH(Y$4,'Table Output'!$A$1:$BQ$1,0),),'Control Panel'!Y4))</f>
        <v>0</v>
      </c>
      <c r="Z5" s="36">
        <f>IF($I5="","",IF('Control Panel'!Z4="",VLOOKUP($E5,'Table Output'!$A$2:$BR$99998,MATCH(Z$4,'Table Output'!$A$1:$BQ$1,0),),'Control Panel'!Z4))</f>
        <v>1</v>
      </c>
      <c r="AA5" s="36">
        <f>IF($I5="","",IF('Control Panel'!AA4="",VLOOKUP($E5,'Table Output'!$A$2:$BR$99998,MATCH(AA$4,'Table Output'!$A$1:$BQ$1,0),),'Control Panel'!AA4))</f>
        <v>1</v>
      </c>
      <c r="AB5" s="36">
        <f>IF($I5="","",IF('Control Panel'!AB4="",VLOOKUP($E5,'Table Output'!$A$2:$BR$99998,MATCH(AB$4,'Table Output'!$A$1:$BQ$1,0),),'Control Panel'!AB4))</f>
        <v>0</v>
      </c>
      <c r="AC5" s="36">
        <f>IF($I5="","",IF('Control Panel'!AC4="",VLOOKUP($E5,'Table Output'!$A$2:$BR$99998,MATCH(AC$4,'Table Output'!$A$1:$BQ$1,0),),'Control Panel'!AC4))</f>
        <v>0</v>
      </c>
      <c r="AD5" s="36">
        <f>IF($I5="","",IF('Control Panel'!AD4="",VLOOKUP($E5,'Table Output'!$A$2:$BR$99998,MATCH(AD$4,'Table Output'!$A$1:$BQ$1,0),),'Control Panel'!AD4))</f>
        <v>1</v>
      </c>
      <c r="AE5" s="36">
        <f>IF($I5="","",IF('Control Panel'!AE4="",VLOOKUP($E5,'Table Output'!$A$2:$BR$99998,MATCH(AE$4,'Table Output'!$A$1:$BQ$1,0),),'Control Panel'!AE4))</f>
        <v>1</v>
      </c>
      <c r="AF5" s="36">
        <f>IF($I5="","",IF('Control Panel'!AF4="",VLOOKUP($E5,'Table Output'!$A$2:$BR$99998,MATCH(AF$4,'Table Output'!$A$1:$BQ$1,0),),'Control Panel'!AF4))</f>
        <v>1</v>
      </c>
      <c r="AG5" s="36">
        <f>IF($I5="","",IF('Control Panel'!AG4="",VLOOKUP($E5,'Table Output'!$A$2:$BR$99998,MATCH(AG$4,'Table Output'!$A$1:$BQ$1,0),),'Control Panel'!AG4))</f>
        <v>0</v>
      </c>
      <c r="AH5" s="36">
        <f>IF($I5="","",IF('Control Panel'!AH4="",VLOOKUP($E5,'Table Output'!$A$2:$BR$99998,MATCH(AH$4,'Table Output'!$A$1:$BQ$1,0),),'Control Panel'!AH4))</f>
        <v>1</v>
      </c>
      <c r="AI5" s="36">
        <f>IF($I5="","",IF('Control Panel'!AI4="",VLOOKUP($E5,'Table Output'!$A$2:$BR$99998,MATCH(AI$4,'Table Output'!$A$1:$BQ$1,0),),'Control Panel'!AI4))</f>
        <v>1</v>
      </c>
      <c r="AJ5" s="36">
        <f>IF($I5="","",IF('Control Panel'!AJ4="",VLOOKUP($E5,'Table Output'!$A$2:$BR$99998,MATCH(AJ$4,'Table Output'!$A$1:$BQ$1,0),),'Control Panel'!AJ4))</f>
        <v>1</v>
      </c>
      <c r="AL5" s="51">
        <f>I5</f>
        <v>1</v>
      </c>
      <c r="AM5" s="48">
        <f>IF(AM$4="","",IF($I5="","",IF('Control Panel'!AM4="",VLOOKUP($E5,'Table Output'!$A$2:$BR$99998,MATCH(AM$4,'Table Output'!$A$1:$BQ$1,0),FALSE),'Control Panel'!AM4)))</f>
        <v>1</v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>Sand_75</v>
      </c>
      <c r="F6" s="2" t="str">
        <f>IF(T6=1,IF('Control Panel'!F5="","",'Control Panel'!F5),"")</f>
        <v>PISA</v>
      </c>
      <c r="G6" s="2">
        <f>IF(T6=1,IF('Control Panel'!G5="","",'Control Panel'!G5),"")</f>
        <v>1</v>
      </c>
      <c r="H6" s="2" t="str">
        <f>IF(T6=1,IF('Control Panel'!H5="","",'Control Panel'!H5),"")</f>
        <v>Loc_69_Sand_1</v>
      </c>
      <c r="I6" s="42">
        <f>IF(T6=1,IF('Control Panel'!I5="","",'Control Panel'!I5),"")</f>
        <v>2</v>
      </c>
      <c r="J6" s="36">
        <f>IF($I6="","",IF(J$4="","",IF('Control Panel'!J5="",VLOOKUP($E6,'Table Output'!$A$2:$BR$1048576,MATCH(J$4,'Table Output'!$A$1:$BQ$1,0),),'Control Panel'!J5)))</f>
        <v>77.017499999999998</v>
      </c>
      <c r="K6" s="36">
        <f>IF($I6="","",IF(K$4="","",IF('Control Panel'!K5="",VLOOKUP($E6,'Table Output'!$A$2:$BR$1048576,MATCH(K$4,'Table Output'!$A$1:$BQ$1,0),),'Control Panel'!K5)))</f>
        <v>-6.3375000000000004</v>
      </c>
      <c r="L6" s="36">
        <f>IF($I6="","",IF(L$4="","",IF('Control Panel'!L5="",VLOOKUP($E6,'Table Output'!$A$2:$BR$1048576,MATCH(L$4,'Table Output'!$A$1:$BQ$1,0),),'Control Panel'!L5)))</f>
        <v>-0.91779999999999995</v>
      </c>
      <c r="M6" s="36">
        <f>IF($I6="","",IF(M$4="","",IF('Control Panel'!M5="",VLOOKUP($E6,'Table Output'!$A$2:$BR$1048576,MATCH(M$4,'Table Output'!$A$1:$BQ$1,0),),'Control Panel'!M5)))</f>
        <v>0.96344750000000001</v>
      </c>
      <c r="N6" s="36">
        <f>IF($I6="","",IF(N$4="","",IF('Control Panel'!N5="",VLOOKUP($E6,'Table Output'!$A$2:$BR$1048576,MATCH(N$4,'Table Output'!$A$1:$BQ$1,0),),'Control Panel'!N5)))</f>
        <v>8.2063500000000005</v>
      </c>
      <c r="O6" s="36" t="str">
        <f>IF($I6="","",IF(O$4="","",IF('Control Panel'!O5="",VLOOKUP($E6,'Table Output'!$A$2:$BR$1048576,MATCH(O$4,'Table Output'!$A$1:$BQ$1,0),),'Control Panel'!O5)))</f>
        <v/>
      </c>
      <c r="P6" s="36" t="str">
        <f>IF($I6="","",IF(P$4="","",IF('Control Panel'!P5="",VLOOKUP($E6,'Table Output'!$A$2:$BR$1048576,MATCH(P$4,'Table Output'!$A$1:$BQ$1,0),),'Control Panel'!P5)))</f>
        <v/>
      </c>
      <c r="Q6" s="36" t="str">
        <f>IF($I6="","",IF(Q$4="","",IF('Control Panel'!Q5="",VLOOKUP($E6,'Table Output'!$A$2:$BR$1048576,MATCH(Q$4,'Table Output'!$A$1:$BQ$1,0),),'Control Panel'!Q5)))</f>
        <v/>
      </c>
      <c r="R6" s="36" t="str">
        <f>IF($I6="","",IF(R$4="","",IF('Control Panel'!R5="",VLOOKUP($E6,'Table Output'!$A$2:$BR$1048576,MATCH(R$4,'Table Output'!$A$1:$BQ$1,0),),'Control Panel'!R5)))</f>
        <v/>
      </c>
      <c r="S6" s="36" t="str">
        <f>IF($I6="","",IF(S$4="","",IF('Control Panel'!S5="",VLOOKUP($E6,'Table Output'!$A$2:$BR$1048576,MATCH(S$4,'Table Output'!$A$1:$BQ$1,0),),'Control Panel'!S5)))</f>
        <v/>
      </c>
      <c r="T6" s="2">
        <f>IF('Control Panel'!T5="","",'Control Panel'!T5)</f>
        <v>1</v>
      </c>
      <c r="U6" s="36">
        <f>IF($I6="","",IF('Control Panel'!U5="",VLOOKUP($E6,'Table Output'!$A$2:$BR$99998,MATCH(U$4,'Table Output'!$A$1:$BQ$1,0),),'Control Panel'!U5))</f>
        <v>0</v>
      </c>
      <c r="V6" s="36">
        <f>IF($I6="","",IF('Control Panel'!V5="",VLOOKUP($E6,'Table Output'!$A$2:$BR$99998,MATCH(V$4,'Table Output'!$A$1:$BQ$1,0),),'Control Panel'!V5))</f>
        <v>1</v>
      </c>
      <c r="W6" s="36">
        <f>IF($I6="","",IF('Control Panel'!W5="",VLOOKUP($E6,'Table Output'!$A$2:$BR$99998,MATCH(W$4,'Table Output'!$A$1:$BQ$1,0),),'Control Panel'!W5))</f>
        <v>1</v>
      </c>
      <c r="X6" s="36">
        <f>IF($I6="","",IF('Control Panel'!X5="",VLOOKUP($E6,'Table Output'!$A$2:$BR$99998,MATCH(X$4,'Table Output'!$A$1:$BQ$1,0),),'Control Panel'!X5))</f>
        <v>0</v>
      </c>
      <c r="Y6" s="36">
        <f>IF($I6="","",IF('Control Panel'!Y5="",VLOOKUP($E6,'Table Output'!$A$2:$BR$99998,MATCH(Y$4,'Table Output'!$A$1:$BQ$1,0),),'Control Panel'!Y5))</f>
        <v>0</v>
      </c>
      <c r="Z6" s="36">
        <f>IF($I6="","",IF('Control Panel'!Z5="",VLOOKUP($E6,'Table Output'!$A$2:$BR$99998,MATCH(Z$4,'Table Output'!$A$1:$BQ$1,0),),'Control Panel'!Z5))</f>
        <v>1</v>
      </c>
      <c r="AA6" s="36">
        <f>IF($I6="","",IF('Control Panel'!AA5="",VLOOKUP($E6,'Table Output'!$A$2:$BR$99998,MATCH(AA$4,'Table Output'!$A$1:$BQ$1,0),),'Control Panel'!AA5))</f>
        <v>0</v>
      </c>
      <c r="AB6" s="36">
        <f>IF($I6="","",IF('Control Panel'!AB5="",VLOOKUP($E6,'Table Output'!$A$2:$BR$99998,MATCH(AB$4,'Table Output'!$A$1:$BQ$1,0),),'Control Panel'!AB5))</f>
        <v>0</v>
      </c>
      <c r="AC6" s="36">
        <f>IF($I6="","",IF('Control Panel'!AC5="",VLOOKUP($E6,'Table Output'!$A$2:$BR$99998,MATCH(AC$4,'Table Output'!$A$1:$BQ$1,0),),'Control Panel'!AC5))</f>
        <v>1</v>
      </c>
      <c r="AD6" s="36">
        <f>IF($I6="","",IF('Control Panel'!AD5="",VLOOKUP($E6,'Table Output'!$A$2:$BR$99998,MATCH(AD$4,'Table Output'!$A$1:$BQ$1,0),),'Control Panel'!AD5))</f>
        <v>1</v>
      </c>
      <c r="AE6" s="36">
        <f>IF($I6="","",IF('Control Panel'!AE5="",VLOOKUP($E6,'Table Output'!$A$2:$BR$99998,MATCH(AE$4,'Table Output'!$A$1:$BQ$1,0),),'Control Panel'!AE5))</f>
        <v>1</v>
      </c>
      <c r="AF6" s="36">
        <f>IF($I6="","",IF('Control Panel'!AF5="",VLOOKUP($E6,'Table Output'!$A$2:$BR$99998,MATCH(AF$4,'Table Output'!$A$1:$BQ$1,0),),'Control Panel'!AF5))</f>
        <v>1</v>
      </c>
      <c r="AG6" s="36">
        <f>IF($I6="","",IF('Control Panel'!AG5="",VLOOKUP($E6,'Table Output'!$A$2:$BR$99998,MATCH(AG$4,'Table Output'!$A$1:$BQ$1,0),),'Control Panel'!AG5))</f>
        <v>0</v>
      </c>
      <c r="AH6" s="36">
        <f>IF($I6="","",IF('Control Panel'!AH5="",VLOOKUP($E6,'Table Output'!$A$2:$BR$99998,MATCH(AH$4,'Table Output'!$A$1:$BQ$1,0),),'Control Panel'!AH5))</f>
        <v>1</v>
      </c>
      <c r="AI6" s="36">
        <f>IF($I6="","",IF('Control Panel'!AI5="",VLOOKUP($E6,'Table Output'!$A$2:$BR$99998,MATCH(AI$4,'Table Output'!$A$1:$BQ$1,0),),'Control Panel'!AI5))</f>
        <v>0</v>
      </c>
      <c r="AJ6" s="36">
        <f>IF($I6="","",IF('Control Panel'!AJ5="",VLOOKUP($E6,'Table Output'!$A$2:$BR$99998,MATCH(AJ$4,'Table Output'!$A$1:$BQ$1,0),),'Control Panel'!AJ5))</f>
        <v>0</v>
      </c>
      <c r="AL6" s="51">
        <f t="shared" ref="AL6:AL24" si="0">I6</f>
        <v>2</v>
      </c>
      <c r="AM6" s="48">
        <f>IF(AM$4="","",IF($I6="","",IF('Control Panel'!AM5="",VLOOKUP($E6,'Table Output'!$A$2:$BR$99998,MATCH(AM$4,'Table Output'!$A$1:$BQ$1,0),FALSE),'Control Panel'!AM5)))</f>
        <v>1</v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>Sand_56</v>
      </c>
      <c r="F7" s="2" t="str">
        <f>IF(T7=1,IF('Control Panel'!F6="","",'Control Panel'!F6),"")</f>
        <v>PISA</v>
      </c>
      <c r="G7" s="2">
        <f>IF(T7=1,IF('Control Panel'!G6="","",'Control Panel'!G6),"")</f>
        <v>1</v>
      </c>
      <c r="H7" s="2" t="str">
        <f>IF(T7=1,IF('Control Panel'!H6="","",'Control Panel'!H6),"")</f>
        <v>Loc_69_Sand_2</v>
      </c>
      <c r="I7" s="42">
        <f>IF(T7=1,IF('Control Panel'!I6="","",'Control Panel'!I6),"")</f>
        <v>3</v>
      </c>
      <c r="J7" s="36">
        <f>IF($I7="","",IF(J$4="","",IF('Control Panel'!J6="",VLOOKUP($E7,'Table Output'!$A$2:$BR$1048576,MATCH(J$4,'Table Output'!$A$1:$BQ$1,0),),'Control Panel'!J6)))</f>
        <v>94.5184</v>
      </c>
      <c r="K7" s="36">
        <f>IF($I7="","",IF(K$4="","",IF('Control Panel'!K6="",VLOOKUP($E7,'Table Output'!$A$2:$BR$1048576,MATCH(K$4,'Table Output'!$A$1:$BQ$1,0),),'Control Panel'!K6)))</f>
        <v>-4.6464999999999996</v>
      </c>
      <c r="L7" s="36">
        <f>IF($I7="","",IF(L$4="","",IF('Control Panel'!L6="",VLOOKUP($E7,'Table Output'!$A$2:$BR$1048576,MATCH(L$4,'Table Output'!$A$1:$BQ$1,0),),'Control Panel'!L6)))</f>
        <v>-0.91779999999999995</v>
      </c>
      <c r="M7" s="36">
        <f>IF($I7="","",IF(M$4="","",IF('Control Panel'!M6="",VLOOKUP($E7,'Table Output'!$A$2:$BR$1048576,MATCH(M$4,'Table Output'!$A$1:$BQ$1,0),),'Control Panel'!M6)))</f>
        <v>0.95168079999999999</v>
      </c>
      <c r="N7" s="36">
        <f>IF($I7="","",IF(N$4="","",IF('Control Panel'!N6="",VLOOKUP($E7,'Table Output'!$A$2:$BR$1048576,MATCH(N$4,'Table Output'!$A$1:$BQ$1,0),),'Control Panel'!N6)))</f>
        <v>8.3390079999999998</v>
      </c>
      <c r="O7" s="36" t="str">
        <f>IF($I7="","",IF(O$4="","",IF('Control Panel'!O6="",VLOOKUP($E7,'Table Output'!$A$2:$BR$1048576,MATCH(O$4,'Table Output'!$A$1:$BQ$1,0),),'Control Panel'!O6)))</f>
        <v/>
      </c>
      <c r="P7" s="36" t="str">
        <f>IF($I7="","",IF(P$4="","",IF('Control Panel'!P6="",VLOOKUP($E7,'Table Output'!$A$2:$BR$1048576,MATCH(P$4,'Table Output'!$A$1:$BQ$1,0),),'Control Panel'!P6)))</f>
        <v/>
      </c>
      <c r="Q7" s="36" t="str">
        <f>IF($I7="","",IF(Q$4="","",IF('Control Panel'!Q6="",VLOOKUP($E7,'Table Output'!$A$2:$BR$1048576,MATCH(Q$4,'Table Output'!$A$1:$BQ$1,0),),'Control Panel'!Q6)))</f>
        <v/>
      </c>
      <c r="R7" s="36" t="str">
        <f>IF($I7="","",IF(R$4="","",IF('Control Panel'!R6="",VLOOKUP($E7,'Table Output'!$A$2:$BR$1048576,MATCH(R$4,'Table Output'!$A$1:$BQ$1,0),),'Control Panel'!R6)))</f>
        <v/>
      </c>
      <c r="S7" s="36" t="str">
        <f>IF($I7="","",IF(S$4="","",IF('Control Panel'!S6="",VLOOKUP($E7,'Table Output'!$A$2:$BR$1048576,MATCH(S$4,'Table Output'!$A$1:$BQ$1,0),),'Control Panel'!S6)))</f>
        <v/>
      </c>
      <c r="T7" s="2">
        <f>IF('Control Panel'!T6="","",'Control Panel'!T6)</f>
        <v>1</v>
      </c>
      <c r="U7" s="36">
        <f>IF($I7="","",IF('Control Panel'!U6="",VLOOKUP($E7,'Table Output'!$A$2:$BR$99998,MATCH(U$4,'Table Output'!$A$1:$BQ$1,0),),'Control Panel'!U6))</f>
        <v>0</v>
      </c>
      <c r="V7" s="36">
        <f>IF($I7="","",IF('Control Panel'!V6="",VLOOKUP($E7,'Table Output'!$A$2:$BR$99998,MATCH(V$4,'Table Output'!$A$1:$BQ$1,0),),'Control Panel'!V6))</f>
        <v>1</v>
      </c>
      <c r="W7" s="36">
        <f>IF($I7="","",IF('Control Panel'!W6="",VLOOKUP($E7,'Table Output'!$A$2:$BR$99998,MATCH(W$4,'Table Output'!$A$1:$BQ$1,0),),'Control Panel'!W6))</f>
        <v>1</v>
      </c>
      <c r="X7" s="36">
        <f>IF($I7="","",IF('Control Panel'!X6="",VLOOKUP($E7,'Table Output'!$A$2:$BR$99998,MATCH(X$4,'Table Output'!$A$1:$BQ$1,0),),'Control Panel'!X6))</f>
        <v>0</v>
      </c>
      <c r="Y7" s="36">
        <f>IF($I7="","",IF('Control Panel'!Y6="",VLOOKUP($E7,'Table Output'!$A$2:$BR$99998,MATCH(Y$4,'Table Output'!$A$1:$BQ$1,0),),'Control Panel'!Y6))</f>
        <v>0</v>
      </c>
      <c r="Z7" s="36">
        <f>IF($I7="","",IF('Control Panel'!Z6="",VLOOKUP($E7,'Table Output'!$A$2:$BR$99998,MATCH(Z$4,'Table Output'!$A$1:$BQ$1,0),),'Control Panel'!Z6))</f>
        <v>1</v>
      </c>
      <c r="AA7" s="36">
        <f>IF($I7="","",IF('Control Panel'!AA6="",VLOOKUP($E7,'Table Output'!$A$2:$BR$99998,MATCH(AA$4,'Table Output'!$A$1:$BQ$1,0),),'Control Panel'!AA6))</f>
        <v>0</v>
      </c>
      <c r="AB7" s="36">
        <f>IF($I7="","",IF('Control Panel'!AB6="",VLOOKUP($E7,'Table Output'!$A$2:$BR$99998,MATCH(AB$4,'Table Output'!$A$1:$BQ$1,0),),'Control Panel'!AB6))</f>
        <v>0</v>
      </c>
      <c r="AC7" s="36">
        <f>IF($I7="","",IF('Control Panel'!AC6="",VLOOKUP($E7,'Table Output'!$A$2:$BR$99998,MATCH(AC$4,'Table Output'!$A$1:$BQ$1,0),),'Control Panel'!AC6))</f>
        <v>1</v>
      </c>
      <c r="AD7" s="36">
        <f>IF($I7="","",IF('Control Panel'!AD6="",VLOOKUP($E7,'Table Output'!$A$2:$BR$99998,MATCH(AD$4,'Table Output'!$A$1:$BQ$1,0),),'Control Panel'!AD6))</f>
        <v>1</v>
      </c>
      <c r="AE7" s="36">
        <f>IF($I7="","",IF('Control Panel'!AE6="",VLOOKUP($E7,'Table Output'!$A$2:$BR$99998,MATCH(AE$4,'Table Output'!$A$1:$BQ$1,0),),'Control Panel'!AE6))</f>
        <v>1</v>
      </c>
      <c r="AF7" s="36">
        <f>IF($I7="","",IF('Control Panel'!AF6="",VLOOKUP($E7,'Table Output'!$A$2:$BR$99998,MATCH(AF$4,'Table Output'!$A$1:$BQ$1,0),),'Control Panel'!AF6))</f>
        <v>1</v>
      </c>
      <c r="AG7" s="36">
        <f>IF($I7="","",IF('Control Panel'!AG6="",VLOOKUP($E7,'Table Output'!$A$2:$BR$99998,MATCH(AG$4,'Table Output'!$A$1:$BQ$1,0),),'Control Panel'!AG6))</f>
        <v>0</v>
      </c>
      <c r="AH7" s="36">
        <f>IF($I7="","",IF('Control Panel'!AH6="",VLOOKUP($E7,'Table Output'!$A$2:$BR$99998,MATCH(AH$4,'Table Output'!$A$1:$BQ$1,0),),'Control Panel'!AH6))</f>
        <v>1</v>
      </c>
      <c r="AI7" s="36">
        <f>IF($I7="","",IF('Control Panel'!AI6="",VLOOKUP($E7,'Table Output'!$A$2:$BR$99998,MATCH(AI$4,'Table Output'!$A$1:$BQ$1,0),),'Control Panel'!AI6))</f>
        <v>0</v>
      </c>
      <c r="AJ7" s="36">
        <f>IF($I7="","",IF('Control Panel'!AJ6="",VLOOKUP($E7,'Table Output'!$A$2:$BR$99998,MATCH(AJ$4,'Table Output'!$A$1:$BQ$1,0),),'Control Panel'!AJ6))</f>
        <v>0</v>
      </c>
      <c r="AL7" s="51">
        <f t="shared" si="0"/>
        <v>3</v>
      </c>
      <c r="AM7" s="48">
        <f>IF(AM$4="","",IF($I7="","",IF('Control Panel'!AM6="",VLOOKUP($E7,'Table Output'!$A$2:$BR$99998,MATCH(AM$4,'Table Output'!$A$1:$BQ$1,0),FALSE),'Control Panel'!AM6)))</f>
        <v>1</v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>Sand_68</v>
      </c>
      <c r="F8" s="2" t="str">
        <f>IF(T8=1,IF('Control Panel'!F7="","",'Control Panel'!F7),"")</f>
        <v>PISA</v>
      </c>
      <c r="G8" s="2">
        <f>IF(T8=1,IF('Control Panel'!G7="","",'Control Panel'!G7),"")</f>
        <v>1</v>
      </c>
      <c r="H8" s="2" t="str">
        <f>IF(T8=1,IF('Control Panel'!H7="","",'Control Panel'!H7),"")</f>
        <v>Loc_69_Sand_3</v>
      </c>
      <c r="I8" s="42">
        <f>IF(T8=1,IF('Control Panel'!I7="","",'Control Panel'!I7),"")</f>
        <v>4</v>
      </c>
      <c r="J8" s="36">
        <f>IF($I8="","",IF(J$4="","",IF('Control Panel'!J7="",VLOOKUP($E8,'Table Output'!$A$2:$BR$1048576,MATCH(J$4,'Table Output'!$A$1:$BQ$1,0),),'Control Panel'!J7)))</f>
        <v>83.465199999999996</v>
      </c>
      <c r="K8" s="36">
        <f>IF($I8="","",IF(K$4="","",IF('Control Panel'!K7="",VLOOKUP($E8,'Table Output'!$A$2:$BR$1048576,MATCH(K$4,'Table Output'!$A$1:$BQ$1,0),),'Control Panel'!K7)))</f>
        <v>-5.7145000000000001</v>
      </c>
      <c r="L8" s="36">
        <f>IF($I8="","",IF(L$4="","",IF('Control Panel'!L7="",VLOOKUP($E8,'Table Output'!$A$2:$BR$1048576,MATCH(L$4,'Table Output'!$A$1:$BQ$1,0),),'Control Panel'!L7)))</f>
        <v>-0.91779999999999995</v>
      </c>
      <c r="M8" s="36">
        <f>IF($I8="","",IF(M$4="","",IF('Control Panel'!M7="",VLOOKUP($E8,'Table Output'!$A$2:$BR$1048576,MATCH(M$4,'Table Output'!$A$1:$BQ$1,0),),'Control Panel'!M7)))</f>
        <v>0.95911239999999998</v>
      </c>
      <c r="N8" s="36">
        <f>IF($I8="","",IF(N$4="","",IF('Control Panel'!N7="",VLOOKUP($E8,'Table Output'!$A$2:$BR$1048576,MATCH(N$4,'Table Output'!$A$1:$BQ$1,0),),'Control Panel'!N7)))</f>
        <v>8.2552240000000001</v>
      </c>
      <c r="O8" s="36" t="str">
        <f>IF($I8="","",IF(O$4="","",IF('Control Panel'!O7="",VLOOKUP($E8,'Table Output'!$A$2:$BR$1048576,MATCH(O$4,'Table Output'!$A$1:$BQ$1,0),),'Control Panel'!O7)))</f>
        <v/>
      </c>
      <c r="P8" s="36" t="str">
        <f>IF($I8="","",IF(P$4="","",IF('Control Panel'!P7="",VLOOKUP($E8,'Table Output'!$A$2:$BR$1048576,MATCH(P$4,'Table Output'!$A$1:$BQ$1,0),),'Control Panel'!P7)))</f>
        <v/>
      </c>
      <c r="Q8" s="36" t="str">
        <f>IF($I8="","",IF(Q$4="","",IF('Control Panel'!Q7="",VLOOKUP($E8,'Table Output'!$A$2:$BR$1048576,MATCH(Q$4,'Table Output'!$A$1:$BQ$1,0),),'Control Panel'!Q7)))</f>
        <v/>
      </c>
      <c r="R8" s="36" t="str">
        <f>IF($I8="","",IF(R$4="","",IF('Control Panel'!R7="",VLOOKUP($E8,'Table Output'!$A$2:$BR$1048576,MATCH(R$4,'Table Output'!$A$1:$BQ$1,0),),'Control Panel'!R7)))</f>
        <v/>
      </c>
      <c r="S8" s="36" t="str">
        <f>IF($I8="","",IF(S$4="","",IF('Control Panel'!S7="",VLOOKUP($E8,'Table Output'!$A$2:$BR$1048576,MATCH(S$4,'Table Output'!$A$1:$BQ$1,0),),'Control Panel'!S7)))</f>
        <v/>
      </c>
      <c r="T8" s="2">
        <f>IF('Control Panel'!T7="","",'Control Panel'!T7)</f>
        <v>1</v>
      </c>
      <c r="U8" s="36">
        <f>IF($I8="","",IF('Control Panel'!U7="",VLOOKUP($E8,'Table Output'!$A$2:$BR$99998,MATCH(U$4,'Table Output'!$A$1:$BQ$1,0),),'Control Panel'!U7))</f>
        <v>0</v>
      </c>
      <c r="V8" s="36">
        <f>IF($I8="","",IF('Control Panel'!V7="",VLOOKUP($E8,'Table Output'!$A$2:$BR$99998,MATCH(V$4,'Table Output'!$A$1:$BQ$1,0),),'Control Panel'!V7))</f>
        <v>1</v>
      </c>
      <c r="W8" s="36">
        <f>IF($I8="","",IF('Control Panel'!W7="",VLOOKUP($E8,'Table Output'!$A$2:$BR$99998,MATCH(W$4,'Table Output'!$A$1:$BQ$1,0),),'Control Panel'!W7))</f>
        <v>1</v>
      </c>
      <c r="X8" s="36">
        <f>IF($I8="","",IF('Control Panel'!X7="",VLOOKUP($E8,'Table Output'!$A$2:$BR$99998,MATCH(X$4,'Table Output'!$A$1:$BQ$1,0),),'Control Panel'!X7))</f>
        <v>0</v>
      </c>
      <c r="Y8" s="36">
        <f>IF($I8="","",IF('Control Panel'!Y7="",VLOOKUP($E8,'Table Output'!$A$2:$BR$99998,MATCH(Y$4,'Table Output'!$A$1:$BQ$1,0),),'Control Panel'!Y7))</f>
        <v>0</v>
      </c>
      <c r="Z8" s="36">
        <f>IF($I8="","",IF('Control Panel'!Z7="",VLOOKUP($E8,'Table Output'!$A$2:$BR$99998,MATCH(Z$4,'Table Output'!$A$1:$BQ$1,0),),'Control Panel'!Z7))</f>
        <v>1</v>
      </c>
      <c r="AA8" s="36">
        <f>IF($I8="","",IF('Control Panel'!AA7="",VLOOKUP($E8,'Table Output'!$A$2:$BR$99998,MATCH(AA$4,'Table Output'!$A$1:$BQ$1,0),),'Control Panel'!AA7))</f>
        <v>0</v>
      </c>
      <c r="AB8" s="36">
        <f>IF($I8="","",IF('Control Panel'!AB7="",VLOOKUP($E8,'Table Output'!$A$2:$BR$99998,MATCH(AB$4,'Table Output'!$A$1:$BQ$1,0),),'Control Panel'!AB7))</f>
        <v>0</v>
      </c>
      <c r="AC8" s="36">
        <f>IF($I8="","",IF('Control Panel'!AC7="",VLOOKUP($E8,'Table Output'!$A$2:$BR$99998,MATCH(AC$4,'Table Output'!$A$1:$BQ$1,0),),'Control Panel'!AC7))</f>
        <v>1</v>
      </c>
      <c r="AD8" s="36">
        <f>IF($I8="","",IF('Control Panel'!AD7="",VLOOKUP($E8,'Table Output'!$A$2:$BR$99998,MATCH(AD$4,'Table Output'!$A$1:$BQ$1,0),),'Control Panel'!AD7))</f>
        <v>1</v>
      </c>
      <c r="AE8" s="36">
        <f>IF($I8="","",IF('Control Panel'!AE7="",VLOOKUP($E8,'Table Output'!$A$2:$BR$99998,MATCH(AE$4,'Table Output'!$A$1:$BQ$1,0),),'Control Panel'!AE7))</f>
        <v>1</v>
      </c>
      <c r="AF8" s="36">
        <f>IF($I8="","",IF('Control Panel'!AF7="",VLOOKUP($E8,'Table Output'!$A$2:$BR$99998,MATCH(AF$4,'Table Output'!$A$1:$BQ$1,0),),'Control Panel'!AF7))</f>
        <v>1</v>
      </c>
      <c r="AG8" s="36">
        <f>IF($I8="","",IF('Control Panel'!AG7="",VLOOKUP($E8,'Table Output'!$A$2:$BR$99998,MATCH(AG$4,'Table Output'!$A$1:$BQ$1,0),),'Control Panel'!AG7))</f>
        <v>0</v>
      </c>
      <c r="AH8" s="36">
        <f>IF($I8="","",IF('Control Panel'!AH7="",VLOOKUP($E8,'Table Output'!$A$2:$BR$99998,MATCH(AH$4,'Table Output'!$A$1:$BQ$1,0),),'Control Panel'!AH7))</f>
        <v>1</v>
      </c>
      <c r="AI8" s="36">
        <f>IF($I8="","",IF('Control Panel'!AI7="",VLOOKUP($E8,'Table Output'!$A$2:$BR$99998,MATCH(AI$4,'Table Output'!$A$1:$BQ$1,0),),'Control Panel'!AI7))</f>
        <v>0</v>
      </c>
      <c r="AJ8" s="36">
        <f>IF($I8="","",IF('Control Panel'!AJ7="",VLOOKUP($E8,'Table Output'!$A$2:$BR$99998,MATCH(AJ$4,'Table Output'!$A$1:$BQ$1,0),),'Control Panel'!AJ7))</f>
        <v>0</v>
      </c>
      <c r="AL8" s="51">
        <f t="shared" si="0"/>
        <v>4</v>
      </c>
      <c r="AM8" s="48">
        <f>IF(AM$4="","",IF($I8="","",IF('Control Panel'!AM7="",VLOOKUP($E8,'Table Output'!$A$2:$BR$99998,MATCH(AM$4,'Table Output'!$A$1:$BQ$1,0),FALSE),'Control Panel'!AM7)))</f>
        <v>1</v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>Sand_79</v>
      </c>
      <c r="F9" s="2" t="str">
        <f>IF(T9=1,IF('Control Panel'!F8="","",'Control Panel'!F8),"")</f>
        <v>PISA</v>
      </c>
      <c r="G9" s="2">
        <f>IF(T9=1,IF('Control Panel'!G8="","",'Control Panel'!G8),"")</f>
        <v>1</v>
      </c>
      <c r="H9" s="2" t="str">
        <f>IF(T9=1,IF('Control Panel'!H8="","",'Control Panel'!H8),"")</f>
        <v>Loc_69_Sand_4</v>
      </c>
      <c r="I9" s="42">
        <f>IF(T9=1,IF('Control Panel'!I8="","",'Control Panel'!I8),"")</f>
        <v>5</v>
      </c>
      <c r="J9" s="36">
        <f>IF($I9="","",IF(J$4="","",IF('Control Panel'!J8="",VLOOKUP($E9,'Table Output'!$A$2:$BR$1048576,MATCH(J$4,'Table Output'!$A$1:$BQ$1,0),),'Control Panel'!J8)))</f>
        <v>73.333100000000002</v>
      </c>
      <c r="K9" s="36">
        <f>IF($I9="","",IF(K$4="","",IF('Control Panel'!K8="",VLOOKUP($E9,'Table Output'!$A$2:$BR$1048576,MATCH(K$4,'Table Output'!$A$1:$BQ$1,0),),'Control Panel'!K8)))</f>
        <v>-6.6935000000000002</v>
      </c>
      <c r="L9" s="36">
        <f>IF($I9="","",IF(L$4="","",IF('Control Panel'!L8="",VLOOKUP($E9,'Table Output'!$A$2:$BR$1048576,MATCH(L$4,'Table Output'!$A$1:$BQ$1,0),),'Control Panel'!L8)))</f>
        <v>-0.91779999999999995</v>
      </c>
      <c r="M9" s="36">
        <f>IF($I9="","",IF(M$4="","",IF('Control Panel'!M8="",VLOOKUP($E9,'Table Output'!$A$2:$BR$1048576,MATCH(M$4,'Table Output'!$A$1:$BQ$1,0),),'Control Panel'!M8)))</f>
        <v>0.96592469999999997</v>
      </c>
      <c r="N9" s="36">
        <f>IF($I9="","",IF(N$4="","",IF('Control Panel'!N8="",VLOOKUP($E9,'Table Output'!$A$2:$BR$1048576,MATCH(N$4,'Table Output'!$A$1:$BQ$1,0),),'Control Panel'!N8)))</f>
        <v>8.1784219999999994</v>
      </c>
      <c r="O9" s="36" t="str">
        <f>IF($I9="","",IF(O$4="","",IF('Control Panel'!O8="",VLOOKUP($E9,'Table Output'!$A$2:$BR$1048576,MATCH(O$4,'Table Output'!$A$1:$BQ$1,0),),'Control Panel'!O8)))</f>
        <v/>
      </c>
      <c r="P9" s="36" t="str">
        <f>IF($I9="","",IF(P$4="","",IF('Control Panel'!P8="",VLOOKUP($E9,'Table Output'!$A$2:$BR$1048576,MATCH(P$4,'Table Output'!$A$1:$BQ$1,0),),'Control Panel'!P8)))</f>
        <v/>
      </c>
      <c r="Q9" s="36" t="str">
        <f>IF($I9="","",IF(Q$4="","",IF('Control Panel'!Q8="",VLOOKUP($E9,'Table Output'!$A$2:$BR$1048576,MATCH(Q$4,'Table Output'!$A$1:$BQ$1,0),),'Control Panel'!Q8)))</f>
        <v/>
      </c>
      <c r="R9" s="36" t="str">
        <f>IF($I9="","",IF(R$4="","",IF('Control Panel'!R8="",VLOOKUP($E9,'Table Output'!$A$2:$BR$1048576,MATCH(R$4,'Table Output'!$A$1:$BQ$1,0),),'Control Panel'!R8)))</f>
        <v/>
      </c>
      <c r="S9" s="36" t="str">
        <f>IF($I9="","",IF(S$4="","",IF('Control Panel'!S8="",VLOOKUP($E9,'Table Output'!$A$2:$BR$1048576,MATCH(S$4,'Table Output'!$A$1:$BQ$1,0),),'Control Panel'!S8)))</f>
        <v/>
      </c>
      <c r="T9" s="2">
        <f>IF('Control Panel'!T8="","",'Control Panel'!T8)</f>
        <v>1</v>
      </c>
      <c r="U9" s="36">
        <f>IF($I9="","",IF('Control Panel'!U8="",VLOOKUP($E9,'Table Output'!$A$2:$BR$99998,MATCH(U$4,'Table Output'!$A$1:$BQ$1,0),),'Control Panel'!U8))</f>
        <v>0</v>
      </c>
      <c r="V9" s="36">
        <f>IF($I9="","",IF('Control Panel'!V8="",VLOOKUP($E9,'Table Output'!$A$2:$BR$99998,MATCH(V$4,'Table Output'!$A$1:$BQ$1,0),),'Control Panel'!V8))</f>
        <v>1</v>
      </c>
      <c r="W9" s="36">
        <f>IF($I9="","",IF('Control Panel'!W8="",VLOOKUP($E9,'Table Output'!$A$2:$BR$99998,MATCH(W$4,'Table Output'!$A$1:$BQ$1,0),),'Control Panel'!W8))</f>
        <v>1</v>
      </c>
      <c r="X9" s="36">
        <f>IF($I9="","",IF('Control Panel'!X8="",VLOOKUP($E9,'Table Output'!$A$2:$BR$99998,MATCH(X$4,'Table Output'!$A$1:$BQ$1,0),),'Control Panel'!X8))</f>
        <v>0</v>
      </c>
      <c r="Y9" s="36">
        <f>IF($I9="","",IF('Control Panel'!Y8="",VLOOKUP($E9,'Table Output'!$A$2:$BR$99998,MATCH(Y$4,'Table Output'!$A$1:$BQ$1,0),),'Control Panel'!Y8))</f>
        <v>0</v>
      </c>
      <c r="Z9" s="36">
        <f>IF($I9="","",IF('Control Panel'!Z8="",VLOOKUP($E9,'Table Output'!$A$2:$BR$99998,MATCH(Z$4,'Table Output'!$A$1:$BQ$1,0),),'Control Panel'!Z8))</f>
        <v>1</v>
      </c>
      <c r="AA9" s="36">
        <f>IF($I9="","",IF('Control Panel'!AA8="",VLOOKUP($E9,'Table Output'!$A$2:$BR$99998,MATCH(AA$4,'Table Output'!$A$1:$BQ$1,0),),'Control Panel'!AA8))</f>
        <v>0</v>
      </c>
      <c r="AB9" s="36">
        <f>IF($I9="","",IF('Control Panel'!AB8="",VLOOKUP($E9,'Table Output'!$A$2:$BR$99998,MATCH(AB$4,'Table Output'!$A$1:$BQ$1,0),),'Control Panel'!AB8))</f>
        <v>0</v>
      </c>
      <c r="AC9" s="36">
        <f>IF($I9="","",IF('Control Panel'!AC8="",VLOOKUP($E9,'Table Output'!$A$2:$BR$99998,MATCH(AC$4,'Table Output'!$A$1:$BQ$1,0),),'Control Panel'!AC8))</f>
        <v>1</v>
      </c>
      <c r="AD9" s="36">
        <f>IF($I9="","",IF('Control Panel'!AD8="",VLOOKUP($E9,'Table Output'!$A$2:$BR$99998,MATCH(AD$4,'Table Output'!$A$1:$BQ$1,0),),'Control Panel'!AD8))</f>
        <v>1</v>
      </c>
      <c r="AE9" s="36">
        <f>IF($I9="","",IF('Control Panel'!AE8="",VLOOKUP($E9,'Table Output'!$A$2:$BR$99998,MATCH(AE$4,'Table Output'!$A$1:$BQ$1,0),),'Control Panel'!AE8))</f>
        <v>1</v>
      </c>
      <c r="AF9" s="36">
        <f>IF($I9="","",IF('Control Panel'!AF8="",VLOOKUP($E9,'Table Output'!$A$2:$BR$99998,MATCH(AF$4,'Table Output'!$A$1:$BQ$1,0),),'Control Panel'!AF8))</f>
        <v>1</v>
      </c>
      <c r="AG9" s="36">
        <f>IF($I9="","",IF('Control Panel'!AG8="",VLOOKUP($E9,'Table Output'!$A$2:$BR$99998,MATCH(AG$4,'Table Output'!$A$1:$BQ$1,0),),'Control Panel'!AG8))</f>
        <v>0</v>
      </c>
      <c r="AH9" s="36">
        <f>IF($I9="","",IF('Control Panel'!AH8="",VLOOKUP($E9,'Table Output'!$A$2:$BR$99998,MATCH(AH$4,'Table Output'!$A$1:$BQ$1,0),),'Control Panel'!AH8))</f>
        <v>1</v>
      </c>
      <c r="AI9" s="36">
        <f>IF($I9="","",IF('Control Panel'!AI8="",VLOOKUP($E9,'Table Output'!$A$2:$BR$99998,MATCH(AI$4,'Table Output'!$A$1:$BQ$1,0),),'Control Panel'!AI8))</f>
        <v>0</v>
      </c>
      <c r="AJ9" s="36">
        <f>IF($I9="","",IF('Control Panel'!AJ8="",VLOOKUP($E9,'Table Output'!$A$2:$BR$99998,MATCH(AJ$4,'Table Output'!$A$1:$BQ$1,0),),'Control Panel'!AJ8))</f>
        <v>0</v>
      </c>
      <c r="AL9" s="51">
        <f t="shared" si="0"/>
        <v>5</v>
      </c>
      <c r="AM9" s="48">
        <f>IF(AM$4="","",IF($I9="","",IF('Control Panel'!AM8="",VLOOKUP($E9,'Table Output'!$A$2:$BR$99998,MATCH(AM$4,'Table Output'!$A$1:$BQ$1,0),FALSE),'Control Panel'!AM8)))</f>
        <v>1</v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>Sand_59</v>
      </c>
      <c r="F10" s="2" t="str">
        <f>IF(T10=1,IF('Control Panel'!F9="","",'Control Panel'!F9),"")</f>
        <v>PISA</v>
      </c>
      <c r="G10" s="2">
        <f>IF(T10=1,IF('Control Panel'!G9="","",'Control Panel'!G9),"")</f>
        <v>1</v>
      </c>
      <c r="H10" s="2" t="str">
        <f>IF(T10=1,IF('Control Panel'!H9="","",'Control Panel'!H9),"")</f>
        <v>Loc_69_Sand_5</v>
      </c>
      <c r="I10" s="42">
        <f>IF(T10=1,IF('Control Panel'!I9="","",'Control Panel'!I9),"")</f>
        <v>6</v>
      </c>
      <c r="J10" s="36">
        <f>IF($I10="","",IF(J$4="","",IF('Control Panel'!J9="",VLOOKUP($E10,'Table Output'!$A$2:$BR$1048576,MATCH(J$4,'Table Output'!$A$1:$BQ$1,0),),'Control Panel'!J9)))</f>
        <v>91.755099999999999</v>
      </c>
      <c r="K10" s="36">
        <f>IF($I10="","",IF(K$4="","",IF('Control Panel'!K9="",VLOOKUP($E10,'Table Output'!$A$2:$BR$1048576,MATCH(K$4,'Table Output'!$A$1:$BQ$1,0),),'Control Panel'!K9)))</f>
        <v>-4.9135</v>
      </c>
      <c r="L10" s="36">
        <f>IF($I10="","",IF(L$4="","",IF('Control Panel'!L9="",VLOOKUP($E10,'Table Output'!$A$2:$BR$1048576,MATCH(L$4,'Table Output'!$A$1:$BQ$1,0),),'Control Panel'!L9)))</f>
        <v>-0.91779999999999995</v>
      </c>
      <c r="M10" s="36">
        <f>IF($I10="","",IF(M$4="","",IF('Control Panel'!M9="",VLOOKUP($E10,'Table Output'!$A$2:$BR$1048576,MATCH(M$4,'Table Output'!$A$1:$BQ$1,0),),'Control Panel'!M9)))</f>
        <v>0.95353869999999996</v>
      </c>
      <c r="N10" s="36">
        <f>IF($I10="","",IF(N$4="","",IF('Control Panel'!N9="",VLOOKUP($E10,'Table Output'!$A$2:$BR$1048576,MATCH(N$4,'Table Output'!$A$1:$BQ$1,0),),'Control Panel'!N9)))</f>
        <v>8.3180619999999994</v>
      </c>
      <c r="O10" s="36" t="str">
        <f>IF($I10="","",IF(O$4="","",IF('Control Panel'!O9="",VLOOKUP($E10,'Table Output'!$A$2:$BR$1048576,MATCH(O$4,'Table Output'!$A$1:$BQ$1,0),),'Control Panel'!O9)))</f>
        <v/>
      </c>
      <c r="P10" s="36" t="str">
        <f>IF($I10="","",IF(P$4="","",IF('Control Panel'!P9="",VLOOKUP($E10,'Table Output'!$A$2:$BR$1048576,MATCH(P$4,'Table Output'!$A$1:$BQ$1,0),),'Control Panel'!P9)))</f>
        <v/>
      </c>
      <c r="Q10" s="36" t="str">
        <f>IF($I10="","",IF(Q$4="","",IF('Control Panel'!Q9="",VLOOKUP($E10,'Table Output'!$A$2:$BR$1048576,MATCH(Q$4,'Table Output'!$A$1:$BQ$1,0),),'Control Panel'!Q9)))</f>
        <v/>
      </c>
      <c r="R10" s="36" t="str">
        <f>IF($I10="","",IF(R$4="","",IF('Control Panel'!R9="",VLOOKUP($E10,'Table Output'!$A$2:$BR$1048576,MATCH(R$4,'Table Output'!$A$1:$BQ$1,0),),'Control Panel'!R9)))</f>
        <v/>
      </c>
      <c r="S10" s="36" t="str">
        <f>IF($I10="","",IF(S$4="","",IF('Control Panel'!S9="",VLOOKUP($E10,'Table Output'!$A$2:$BR$1048576,MATCH(S$4,'Table Output'!$A$1:$BQ$1,0),),'Control Panel'!S9)))</f>
        <v/>
      </c>
      <c r="T10" s="2">
        <f>IF('Control Panel'!T9="","",'Control Panel'!T9)</f>
        <v>1</v>
      </c>
      <c r="U10" s="36">
        <f>IF($I10="","",IF('Control Panel'!U9="",VLOOKUP($E10,'Table Output'!$A$2:$BR$99998,MATCH(U$4,'Table Output'!$A$1:$BQ$1,0),),'Control Panel'!U9))</f>
        <v>0</v>
      </c>
      <c r="V10" s="36">
        <f>IF($I10="","",IF('Control Panel'!V9="",VLOOKUP($E10,'Table Output'!$A$2:$BR$99998,MATCH(V$4,'Table Output'!$A$1:$BQ$1,0),),'Control Panel'!V9))</f>
        <v>1</v>
      </c>
      <c r="W10" s="36">
        <f>IF($I10="","",IF('Control Panel'!W9="",VLOOKUP($E10,'Table Output'!$A$2:$BR$99998,MATCH(W$4,'Table Output'!$A$1:$BQ$1,0),),'Control Panel'!W9))</f>
        <v>1</v>
      </c>
      <c r="X10" s="36">
        <f>IF($I10="","",IF('Control Panel'!X9="",VLOOKUP($E10,'Table Output'!$A$2:$BR$99998,MATCH(X$4,'Table Output'!$A$1:$BQ$1,0),),'Control Panel'!X9))</f>
        <v>0</v>
      </c>
      <c r="Y10" s="36">
        <f>IF($I10="","",IF('Control Panel'!Y9="",VLOOKUP($E10,'Table Output'!$A$2:$BR$99998,MATCH(Y$4,'Table Output'!$A$1:$BQ$1,0),),'Control Panel'!Y9))</f>
        <v>0</v>
      </c>
      <c r="Z10" s="36">
        <f>IF($I10="","",IF('Control Panel'!Z9="",VLOOKUP($E10,'Table Output'!$A$2:$BR$99998,MATCH(Z$4,'Table Output'!$A$1:$BQ$1,0),),'Control Panel'!Z9))</f>
        <v>1</v>
      </c>
      <c r="AA10" s="36">
        <f>IF($I10="","",IF('Control Panel'!AA9="",VLOOKUP($E10,'Table Output'!$A$2:$BR$99998,MATCH(AA$4,'Table Output'!$A$1:$BQ$1,0),),'Control Panel'!AA9))</f>
        <v>0</v>
      </c>
      <c r="AB10" s="36">
        <f>IF($I10="","",IF('Control Panel'!AB9="",VLOOKUP($E10,'Table Output'!$A$2:$BR$99998,MATCH(AB$4,'Table Output'!$A$1:$BQ$1,0),),'Control Panel'!AB9))</f>
        <v>0</v>
      </c>
      <c r="AC10" s="36">
        <f>IF($I10="","",IF('Control Panel'!AC9="",VLOOKUP($E10,'Table Output'!$A$2:$BR$99998,MATCH(AC$4,'Table Output'!$A$1:$BQ$1,0),),'Control Panel'!AC9))</f>
        <v>1</v>
      </c>
      <c r="AD10" s="36">
        <f>IF($I10="","",IF('Control Panel'!AD9="",VLOOKUP($E10,'Table Output'!$A$2:$BR$99998,MATCH(AD$4,'Table Output'!$A$1:$BQ$1,0),),'Control Panel'!AD9))</f>
        <v>1</v>
      </c>
      <c r="AE10" s="36">
        <f>IF($I10="","",IF('Control Panel'!AE9="",VLOOKUP($E10,'Table Output'!$A$2:$BR$99998,MATCH(AE$4,'Table Output'!$A$1:$BQ$1,0),),'Control Panel'!AE9))</f>
        <v>1</v>
      </c>
      <c r="AF10" s="36">
        <f>IF($I10="","",IF('Control Panel'!AF9="",VLOOKUP($E10,'Table Output'!$A$2:$BR$99998,MATCH(AF$4,'Table Output'!$A$1:$BQ$1,0),),'Control Panel'!AF9))</f>
        <v>1</v>
      </c>
      <c r="AG10" s="36">
        <f>IF($I10="","",IF('Control Panel'!AG9="",VLOOKUP($E10,'Table Output'!$A$2:$BR$99998,MATCH(AG$4,'Table Output'!$A$1:$BQ$1,0),),'Control Panel'!AG9))</f>
        <v>0</v>
      </c>
      <c r="AH10" s="36">
        <f>IF($I10="","",IF('Control Panel'!AH9="",VLOOKUP($E10,'Table Output'!$A$2:$BR$99998,MATCH(AH$4,'Table Output'!$A$1:$BQ$1,0),),'Control Panel'!AH9))</f>
        <v>1</v>
      </c>
      <c r="AI10" s="36">
        <f>IF($I10="","",IF('Control Panel'!AI9="",VLOOKUP($E10,'Table Output'!$A$2:$BR$99998,MATCH(AI$4,'Table Output'!$A$1:$BQ$1,0),),'Control Panel'!AI9))</f>
        <v>0</v>
      </c>
      <c r="AJ10" s="36">
        <f>IF($I10="","",IF('Control Panel'!AJ9="",VLOOKUP($E10,'Table Output'!$A$2:$BR$99998,MATCH(AJ$4,'Table Output'!$A$1:$BQ$1,0),),'Control Panel'!AJ9))</f>
        <v>0</v>
      </c>
      <c r="AL10" s="51">
        <f t="shared" si="0"/>
        <v>6</v>
      </c>
      <c r="AM10" s="48">
        <f>IF(AM$4="","",IF($I10="","",IF('Control Panel'!AM9="",VLOOKUP($E10,'Table Output'!$A$2:$BR$99998,MATCH(AM$4,'Table Output'!$A$1:$BQ$1,0),FALSE),'Control Panel'!AM9)))</f>
        <v>1</v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>Cowden_Clay</v>
      </c>
      <c r="F11" s="2" t="str">
        <f>IF(T11=1,IF('Control Panel'!F10="","",'Control Panel'!F10),"")</f>
        <v>PISA</v>
      </c>
      <c r="G11" s="2">
        <f>IF(T11=1,IF('Control Panel'!G10="","",'Control Panel'!G10),"")</f>
        <v>0</v>
      </c>
      <c r="H11" s="2" t="str">
        <f>IF(T11=1,IF('Control Panel'!H10="","",'Control Panel'!H10),"")</f>
        <v>Loc_69_Clay_2</v>
      </c>
      <c r="I11" s="42">
        <f>IF(T11=1,IF('Control Panel'!I10="","",'Control Panel'!I10),"")</f>
        <v>7</v>
      </c>
      <c r="J11" s="36">
        <f>IF($I11="","",IF(J$4="","",IF('Control Panel'!J10="",VLOOKUP($E11,'Table Output'!$A$2:$BR$1048576,MATCH(J$4,'Table Output'!$A$1:$BQ$1,0),),'Control Panel'!J10)))</f>
        <v>200</v>
      </c>
      <c r="K11" s="36">
        <f>IF($I11="","",IF(K$4="","",IF('Control Panel'!K10="",VLOOKUP($E11,'Table Output'!$A$2:$BR$1048576,MATCH(K$4,'Table Output'!$A$1:$BQ$1,0),),'Control Panel'!K10)))</f>
        <v>10.210000000000001</v>
      </c>
      <c r="L11" s="36">
        <f>IF($I11="","",IF(L$4="","",IF('Control Panel'!L10="",VLOOKUP($E11,'Table Output'!$A$2:$BR$1048576,MATCH(L$4,'Table Output'!$A$1:$BQ$1,0),),'Control Panel'!L10)))</f>
        <v>-1.1000000000000001</v>
      </c>
      <c r="M11" s="36">
        <f>IF($I11="","",IF(M$4="","",IF('Control Panel'!M10="",VLOOKUP($E11,'Table Output'!$A$2:$BR$1048576,MATCH(M$4,'Table Output'!$A$1:$BQ$1,0),),'Control Panel'!M10)))</f>
        <v>-0.05</v>
      </c>
      <c r="N11" s="36">
        <f>IF($I11="","",IF(N$4="","",IF('Control Panel'!N10="",VLOOKUP($E11,'Table Output'!$A$2:$BR$1048576,MATCH(N$4,'Table Output'!$A$1:$BQ$1,0),),'Control Panel'!N10)))</f>
        <v>8.1199999999999992</v>
      </c>
      <c r="O11" s="36" t="str">
        <f>IF($I11="","",IF(O$4="","",IF('Control Panel'!O10="",VLOOKUP($E11,'Table Output'!$A$2:$BR$1048576,MATCH(O$4,'Table Output'!$A$1:$BQ$1,0),),'Control Panel'!O10)))</f>
        <v/>
      </c>
      <c r="P11" s="36" t="str">
        <f>IF($I11="","",IF(P$4="","",IF('Control Panel'!P10="",VLOOKUP($E11,'Table Output'!$A$2:$BR$1048576,MATCH(P$4,'Table Output'!$A$1:$BQ$1,0),),'Control Panel'!P10)))</f>
        <v/>
      </c>
      <c r="Q11" s="36" t="str">
        <f>IF($I11="","",IF(Q$4="","",IF('Control Panel'!Q10="",VLOOKUP($E11,'Table Output'!$A$2:$BR$1048576,MATCH(Q$4,'Table Output'!$A$1:$BQ$1,0),),'Control Panel'!Q10)))</f>
        <v/>
      </c>
      <c r="R11" s="36" t="str">
        <f>IF($I11="","",IF(R$4="","",IF('Control Panel'!R10="",VLOOKUP($E11,'Table Output'!$A$2:$BR$1048576,MATCH(R$4,'Table Output'!$A$1:$BQ$1,0),),'Control Panel'!R10)))</f>
        <v/>
      </c>
      <c r="S11" s="36" t="str">
        <f>IF($I11="","",IF(S$4="","",IF('Control Panel'!S10="",VLOOKUP($E11,'Table Output'!$A$2:$BR$1048576,MATCH(S$4,'Table Output'!$A$1:$BQ$1,0),),'Control Panel'!S10)))</f>
        <v/>
      </c>
      <c r="T11" s="2">
        <f>IF('Control Panel'!T10="","",'Control Panel'!T10)</f>
        <v>1</v>
      </c>
      <c r="U11" s="36">
        <f>IF($I11="","",IF('Control Panel'!U10="",VLOOKUP($E11,'Table Output'!$A$2:$BR$99998,MATCH(U$4,'Table Output'!$A$1:$BQ$1,0),),'Control Panel'!U10))</f>
        <v>0</v>
      </c>
      <c r="V11" s="36">
        <f>IF($I11="","",IF('Control Panel'!V10="",VLOOKUP($E11,'Table Output'!$A$2:$BR$99998,MATCH(V$4,'Table Output'!$A$1:$BQ$1,0),),'Control Panel'!V10))</f>
        <v>2</v>
      </c>
      <c r="W11" s="36">
        <f>IF($I11="","",IF('Control Panel'!W10="",VLOOKUP($E11,'Table Output'!$A$2:$BR$99998,MATCH(W$4,'Table Output'!$A$1:$BQ$1,0),),'Control Panel'!W10))</f>
        <v>1</v>
      </c>
      <c r="X11" s="36">
        <f>IF($I11="","",IF('Control Panel'!X10="",VLOOKUP($E11,'Table Output'!$A$2:$BR$99998,MATCH(X$4,'Table Output'!$A$1:$BQ$1,0),),'Control Panel'!X10))</f>
        <v>1</v>
      </c>
      <c r="Y11" s="36">
        <f>IF($I11="","",IF('Control Panel'!Y10="",VLOOKUP($E11,'Table Output'!$A$2:$BR$99998,MATCH(Y$4,'Table Output'!$A$1:$BQ$1,0),),'Control Panel'!Y10))</f>
        <v>0</v>
      </c>
      <c r="Z11" s="36">
        <f>IF($I11="","",IF('Control Panel'!Z10="",VLOOKUP($E11,'Table Output'!$A$2:$BR$99998,MATCH(Z$4,'Table Output'!$A$1:$BQ$1,0),),'Control Panel'!Z10))</f>
        <v>1</v>
      </c>
      <c r="AA11" s="36">
        <f>IF($I11="","",IF('Control Panel'!AA10="",VLOOKUP($E11,'Table Output'!$A$2:$BR$99998,MATCH(AA$4,'Table Output'!$A$1:$BQ$1,0),),'Control Panel'!AA10))</f>
        <v>1</v>
      </c>
      <c r="AB11" s="36">
        <f>IF($I11="","",IF('Control Panel'!AB10="",VLOOKUP($E11,'Table Output'!$A$2:$BR$99998,MATCH(AB$4,'Table Output'!$A$1:$BQ$1,0),),'Control Panel'!AB10))</f>
        <v>0</v>
      </c>
      <c r="AC11" s="36">
        <f>IF($I11="","",IF('Control Panel'!AC10="",VLOOKUP($E11,'Table Output'!$A$2:$BR$99998,MATCH(AC$4,'Table Output'!$A$1:$BQ$1,0),),'Control Panel'!AC10))</f>
        <v>0</v>
      </c>
      <c r="AD11" s="36">
        <f>IF($I11="","",IF('Control Panel'!AD10="",VLOOKUP($E11,'Table Output'!$A$2:$BR$99998,MATCH(AD$4,'Table Output'!$A$1:$BQ$1,0),),'Control Panel'!AD10))</f>
        <v>1</v>
      </c>
      <c r="AE11" s="36">
        <f>IF($I11="","",IF('Control Panel'!AE10="",VLOOKUP($E11,'Table Output'!$A$2:$BR$99998,MATCH(AE$4,'Table Output'!$A$1:$BQ$1,0),),'Control Panel'!AE10))</f>
        <v>1</v>
      </c>
      <c r="AF11" s="36">
        <f>IF($I11="","",IF('Control Panel'!AF10="",VLOOKUP($E11,'Table Output'!$A$2:$BR$99998,MATCH(AF$4,'Table Output'!$A$1:$BQ$1,0),),'Control Panel'!AF10))</f>
        <v>1</v>
      </c>
      <c r="AG11" s="36">
        <f>IF($I11="","",IF('Control Panel'!AG10="",VLOOKUP($E11,'Table Output'!$A$2:$BR$99998,MATCH(AG$4,'Table Output'!$A$1:$BQ$1,0),),'Control Panel'!AG10))</f>
        <v>0</v>
      </c>
      <c r="AH11" s="36">
        <f>IF($I11="","",IF('Control Panel'!AH10="",VLOOKUP($E11,'Table Output'!$A$2:$BR$99998,MATCH(AH$4,'Table Output'!$A$1:$BQ$1,0),),'Control Panel'!AH10))</f>
        <v>1</v>
      </c>
      <c r="AI11" s="36">
        <f>IF($I11="","",IF('Control Panel'!AI10="",VLOOKUP($E11,'Table Output'!$A$2:$BR$99998,MATCH(AI$4,'Table Output'!$A$1:$BQ$1,0),),'Control Panel'!AI10))</f>
        <v>1</v>
      </c>
      <c r="AJ11" s="36">
        <f>IF($I11="","",IF('Control Panel'!AJ10="",VLOOKUP($E11,'Table Output'!$A$2:$BR$99998,MATCH(AJ$4,'Table Output'!$A$1:$BQ$1,0),),'Control Panel'!AJ10))</f>
        <v>1</v>
      </c>
      <c r="AL11" s="51">
        <f t="shared" si="0"/>
        <v>7</v>
      </c>
      <c r="AM11" s="48">
        <f>IF(AM$4="","",IF($I11="","",IF('Control Panel'!AM10="",VLOOKUP($E11,'Table Output'!$A$2:$BR$99998,MATCH(AM$4,'Table Output'!$A$1:$BQ$1,0),FALSE),'Control Panel'!AM10)))</f>
        <v>1</v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>Sand_80</v>
      </c>
      <c r="F12" s="2" t="str">
        <f>IF(T12=1,IF('Control Panel'!F11="","",'Control Panel'!F11),"")</f>
        <v>PISA</v>
      </c>
      <c r="G12" s="2">
        <f>IF(T12=1,IF('Control Panel'!G11="","",'Control Panel'!G11),"")</f>
        <v>1</v>
      </c>
      <c r="H12" s="2" t="str">
        <f>IF(T12=1,IF('Control Panel'!H11="","",'Control Panel'!H11),"")</f>
        <v>Loc_69_Clay_3</v>
      </c>
      <c r="I12" s="42">
        <f>IF(T12=1,IF('Control Panel'!I11="","",'Control Panel'!I11),"")</f>
        <v>8</v>
      </c>
      <c r="J12" s="36">
        <f>IF($I12="","",IF(J$4="","",IF('Control Panel'!J11="",VLOOKUP($E12,'Table Output'!$A$2:$BR$1048576,MATCH(J$4,'Table Output'!$A$1:$BQ$1,0),),'Control Panel'!J11)))</f>
        <v>72.412000000000006</v>
      </c>
      <c r="K12" s="36">
        <f>IF($I12="","",IF(K$4="","",IF('Control Panel'!K11="",VLOOKUP($E12,'Table Output'!$A$2:$BR$1048576,MATCH(K$4,'Table Output'!$A$1:$BQ$1,0),),'Control Panel'!K11)))</f>
        <v>-6.7824999999999998</v>
      </c>
      <c r="L12" s="36">
        <f>IF($I12="","",IF(L$4="","",IF('Control Panel'!L11="",VLOOKUP($E12,'Table Output'!$A$2:$BR$1048576,MATCH(L$4,'Table Output'!$A$1:$BQ$1,0),),'Control Panel'!L11)))</f>
        <v>-0.91779999999999995</v>
      </c>
      <c r="M12" s="36">
        <f>IF($I12="","",IF(M$4="","",IF('Control Panel'!M11="",VLOOKUP($E12,'Table Output'!$A$2:$BR$1048576,MATCH(M$4,'Table Output'!$A$1:$BQ$1,0),),'Control Panel'!M11)))</f>
        <v>0.96654399999999996</v>
      </c>
      <c r="N12" s="36">
        <f>IF($I12="","",IF(N$4="","",IF('Control Panel'!N11="",VLOOKUP($E12,'Table Output'!$A$2:$BR$1048576,MATCH(N$4,'Table Output'!$A$1:$BQ$1,0),),'Control Panel'!N11)))</f>
        <v>8.1714400000000005</v>
      </c>
      <c r="O12" s="36" t="str">
        <f>IF($I12="","",IF(O$4="","",IF('Control Panel'!O11="",VLOOKUP($E12,'Table Output'!$A$2:$BR$1048576,MATCH(O$4,'Table Output'!$A$1:$BQ$1,0),),'Control Panel'!O11)))</f>
        <v/>
      </c>
      <c r="P12" s="36" t="str">
        <f>IF($I12="","",IF(P$4="","",IF('Control Panel'!P11="",VLOOKUP($E12,'Table Output'!$A$2:$BR$1048576,MATCH(P$4,'Table Output'!$A$1:$BQ$1,0),),'Control Panel'!P11)))</f>
        <v/>
      </c>
      <c r="Q12" s="36" t="str">
        <f>IF($I12="","",IF(Q$4="","",IF('Control Panel'!Q11="",VLOOKUP($E12,'Table Output'!$A$2:$BR$1048576,MATCH(Q$4,'Table Output'!$A$1:$BQ$1,0),),'Control Panel'!Q11)))</f>
        <v/>
      </c>
      <c r="R12" s="36" t="str">
        <f>IF($I12="","",IF(R$4="","",IF('Control Panel'!R11="",VLOOKUP($E12,'Table Output'!$A$2:$BR$1048576,MATCH(R$4,'Table Output'!$A$1:$BQ$1,0),),'Control Panel'!R11)))</f>
        <v/>
      </c>
      <c r="S12" s="36" t="str">
        <f>IF($I12="","",IF(S$4="","",IF('Control Panel'!S11="",VLOOKUP($E12,'Table Output'!$A$2:$BR$1048576,MATCH(S$4,'Table Output'!$A$1:$BQ$1,0),),'Control Panel'!S11)))</f>
        <v/>
      </c>
      <c r="T12" s="2">
        <f>IF('Control Panel'!T11="","",'Control Panel'!T11)</f>
        <v>1</v>
      </c>
      <c r="U12" s="36">
        <f>IF($I12="","",IF('Control Panel'!U11="",VLOOKUP($E12,'Table Output'!$A$2:$BR$99998,MATCH(U$4,'Table Output'!$A$1:$BQ$1,0),),'Control Panel'!U11))</f>
        <v>0</v>
      </c>
      <c r="V12" s="36">
        <f>IF($I12="","",IF('Control Panel'!V11="",VLOOKUP($E12,'Table Output'!$A$2:$BR$99998,MATCH(V$4,'Table Output'!$A$1:$BQ$1,0),),'Control Panel'!V11))</f>
        <v>1</v>
      </c>
      <c r="W12" s="36">
        <f>IF($I12="","",IF('Control Panel'!W11="",VLOOKUP($E12,'Table Output'!$A$2:$BR$99998,MATCH(W$4,'Table Output'!$A$1:$BQ$1,0),),'Control Panel'!W11))</f>
        <v>1</v>
      </c>
      <c r="X12" s="36">
        <f>IF($I12="","",IF('Control Panel'!X11="",VLOOKUP($E12,'Table Output'!$A$2:$BR$99998,MATCH(X$4,'Table Output'!$A$1:$BQ$1,0),),'Control Panel'!X11))</f>
        <v>0</v>
      </c>
      <c r="Y12" s="36">
        <f>IF($I12="","",IF('Control Panel'!Y11="",VLOOKUP($E12,'Table Output'!$A$2:$BR$99998,MATCH(Y$4,'Table Output'!$A$1:$BQ$1,0),),'Control Panel'!Y11))</f>
        <v>0</v>
      </c>
      <c r="Z12" s="36">
        <f>IF($I12="","",IF('Control Panel'!Z11="",VLOOKUP($E12,'Table Output'!$A$2:$BR$99998,MATCH(Z$4,'Table Output'!$A$1:$BQ$1,0),),'Control Panel'!Z11))</f>
        <v>1</v>
      </c>
      <c r="AA12" s="36">
        <f>IF($I12="","",IF('Control Panel'!AA11="",VLOOKUP($E12,'Table Output'!$A$2:$BR$99998,MATCH(AA$4,'Table Output'!$A$1:$BQ$1,0),),'Control Panel'!AA11))</f>
        <v>0</v>
      </c>
      <c r="AB12" s="36">
        <f>IF($I12="","",IF('Control Panel'!AB11="",VLOOKUP($E12,'Table Output'!$A$2:$BR$99998,MATCH(AB$4,'Table Output'!$A$1:$BQ$1,0),),'Control Panel'!AB11))</f>
        <v>0</v>
      </c>
      <c r="AC12" s="36">
        <f>IF($I12="","",IF('Control Panel'!AC11="",VLOOKUP($E12,'Table Output'!$A$2:$BR$99998,MATCH(AC$4,'Table Output'!$A$1:$BQ$1,0),),'Control Panel'!AC11))</f>
        <v>1</v>
      </c>
      <c r="AD12" s="36">
        <f>IF($I12="","",IF('Control Panel'!AD11="",VLOOKUP($E12,'Table Output'!$A$2:$BR$99998,MATCH(AD$4,'Table Output'!$A$1:$BQ$1,0),),'Control Panel'!AD11))</f>
        <v>1</v>
      </c>
      <c r="AE12" s="36">
        <f>IF($I12="","",IF('Control Panel'!AE11="",VLOOKUP($E12,'Table Output'!$A$2:$BR$99998,MATCH(AE$4,'Table Output'!$A$1:$BQ$1,0),),'Control Panel'!AE11))</f>
        <v>1</v>
      </c>
      <c r="AF12" s="36">
        <f>IF($I12="","",IF('Control Panel'!AF11="",VLOOKUP($E12,'Table Output'!$A$2:$BR$99998,MATCH(AF$4,'Table Output'!$A$1:$BQ$1,0),),'Control Panel'!AF11))</f>
        <v>1</v>
      </c>
      <c r="AG12" s="36">
        <f>IF($I12="","",IF('Control Panel'!AG11="",VLOOKUP($E12,'Table Output'!$A$2:$BR$99998,MATCH(AG$4,'Table Output'!$A$1:$BQ$1,0),),'Control Panel'!AG11))</f>
        <v>0</v>
      </c>
      <c r="AH12" s="36">
        <f>IF($I12="","",IF('Control Panel'!AH11="",VLOOKUP($E12,'Table Output'!$A$2:$BR$99998,MATCH(AH$4,'Table Output'!$A$1:$BQ$1,0),),'Control Panel'!AH11))</f>
        <v>1</v>
      </c>
      <c r="AI12" s="36">
        <f>IF($I12="","",IF('Control Panel'!AI11="",VLOOKUP($E12,'Table Output'!$A$2:$BR$99998,MATCH(AI$4,'Table Output'!$A$1:$BQ$1,0),),'Control Panel'!AI11))</f>
        <v>0</v>
      </c>
      <c r="AJ12" s="36">
        <f>IF($I12="","",IF('Control Panel'!AJ11="",VLOOKUP($E12,'Table Output'!$A$2:$BR$99998,MATCH(AJ$4,'Table Output'!$A$1:$BQ$1,0),),'Control Panel'!AJ11))</f>
        <v>0</v>
      </c>
      <c r="AL12" s="51">
        <f t="shared" si="0"/>
        <v>8</v>
      </c>
      <c r="AM12" s="48">
        <f>IF(AM$4="","",IF($I12="","",IF('Control Panel'!AM11="",VLOOKUP($E12,'Table Output'!$A$2:$BR$99998,MATCH(AM$4,'Table Output'!$A$1:$BQ$1,0),FALSE),'Control Panel'!AM11)))</f>
        <v>1</v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>Sand_80</v>
      </c>
      <c r="F13" s="2" t="str">
        <f>IF(T13=1,IF('Control Panel'!F12="","",'Control Panel'!F12),"")</f>
        <v>PISA</v>
      </c>
      <c r="G13" s="2">
        <f>IF(T13=1,IF('Control Panel'!G12="","",'Control Panel'!G12),"")</f>
        <v>1</v>
      </c>
      <c r="H13" s="2" t="str">
        <f>IF(T13=1,IF('Control Panel'!H12="","",'Control Panel'!H12),"")</f>
        <v>Loc_69_Clay_4</v>
      </c>
      <c r="I13" s="42">
        <f>IF(T13=1,IF('Control Panel'!I12="","",'Control Panel'!I12),"")</f>
        <v>9</v>
      </c>
      <c r="J13" s="36">
        <f>IF($I13="","",IF(J$4="","",IF('Control Panel'!J12="",VLOOKUP($E13,'Table Output'!$A$2:$BR$1048576,MATCH(J$4,'Table Output'!$A$1:$BQ$1,0),),'Control Panel'!J12)))</f>
        <v>72.412000000000006</v>
      </c>
      <c r="K13" s="36">
        <f>IF($I13="","",IF(K$4="","",IF('Control Panel'!K12="",VLOOKUP($E13,'Table Output'!$A$2:$BR$1048576,MATCH(K$4,'Table Output'!$A$1:$BQ$1,0),),'Control Panel'!K12)))</f>
        <v>-6.7824999999999998</v>
      </c>
      <c r="L13" s="36">
        <f>IF($I13="","",IF(L$4="","",IF('Control Panel'!L12="",VLOOKUP($E13,'Table Output'!$A$2:$BR$1048576,MATCH(L$4,'Table Output'!$A$1:$BQ$1,0),),'Control Panel'!L12)))</f>
        <v>-0.91779999999999995</v>
      </c>
      <c r="M13" s="36">
        <f>IF($I13="","",IF(M$4="","",IF('Control Panel'!M12="",VLOOKUP($E13,'Table Output'!$A$2:$BR$1048576,MATCH(M$4,'Table Output'!$A$1:$BQ$1,0),),'Control Panel'!M12)))</f>
        <v>0.96654399999999996</v>
      </c>
      <c r="N13" s="36">
        <f>IF($I13="","",IF(N$4="","",IF('Control Panel'!N12="",VLOOKUP($E13,'Table Output'!$A$2:$BR$1048576,MATCH(N$4,'Table Output'!$A$1:$BQ$1,0),),'Control Panel'!N12)))</f>
        <v>8.1714400000000005</v>
      </c>
      <c r="O13" s="36" t="str">
        <f>IF($I13="","",IF(O$4="","",IF('Control Panel'!O12="",VLOOKUP($E13,'Table Output'!$A$2:$BR$1048576,MATCH(O$4,'Table Output'!$A$1:$BQ$1,0),),'Control Panel'!O12)))</f>
        <v/>
      </c>
      <c r="P13" s="36" t="str">
        <f>IF($I13="","",IF(P$4="","",IF('Control Panel'!P12="",VLOOKUP($E13,'Table Output'!$A$2:$BR$1048576,MATCH(P$4,'Table Output'!$A$1:$BQ$1,0),),'Control Panel'!P12)))</f>
        <v/>
      </c>
      <c r="Q13" s="36" t="str">
        <f>IF($I13="","",IF(Q$4="","",IF('Control Panel'!Q12="",VLOOKUP($E13,'Table Output'!$A$2:$BR$1048576,MATCH(Q$4,'Table Output'!$A$1:$BQ$1,0),),'Control Panel'!Q12)))</f>
        <v/>
      </c>
      <c r="R13" s="36" t="str">
        <f>IF($I13="","",IF(R$4="","",IF('Control Panel'!R12="",VLOOKUP($E13,'Table Output'!$A$2:$BR$1048576,MATCH(R$4,'Table Output'!$A$1:$BQ$1,0),),'Control Panel'!R12)))</f>
        <v/>
      </c>
      <c r="S13" s="36" t="str">
        <f>IF($I13="","",IF(S$4="","",IF('Control Panel'!S12="",VLOOKUP($E13,'Table Output'!$A$2:$BR$1048576,MATCH(S$4,'Table Output'!$A$1:$BQ$1,0),),'Control Panel'!S12)))</f>
        <v/>
      </c>
      <c r="T13" s="2">
        <f>IF('Control Panel'!T12="","",'Control Panel'!T12)</f>
        <v>1</v>
      </c>
      <c r="U13" s="36">
        <f>IF($I13="","",IF('Control Panel'!U12="",VLOOKUP($E13,'Table Output'!$A$2:$BR$99998,MATCH(U$4,'Table Output'!$A$1:$BQ$1,0),),'Control Panel'!U12))</f>
        <v>0</v>
      </c>
      <c r="V13" s="36">
        <f>IF($I13="","",IF('Control Panel'!V12="",VLOOKUP($E13,'Table Output'!$A$2:$BR$99998,MATCH(V$4,'Table Output'!$A$1:$BQ$1,0),),'Control Panel'!V12))</f>
        <v>1</v>
      </c>
      <c r="W13" s="36">
        <f>IF($I13="","",IF('Control Panel'!W12="",VLOOKUP($E13,'Table Output'!$A$2:$BR$99998,MATCH(W$4,'Table Output'!$A$1:$BQ$1,0),),'Control Panel'!W12))</f>
        <v>1</v>
      </c>
      <c r="X13" s="36">
        <f>IF($I13="","",IF('Control Panel'!X12="",VLOOKUP($E13,'Table Output'!$A$2:$BR$99998,MATCH(X$4,'Table Output'!$A$1:$BQ$1,0),),'Control Panel'!X12))</f>
        <v>0</v>
      </c>
      <c r="Y13" s="36">
        <f>IF($I13="","",IF('Control Panel'!Y12="",VLOOKUP($E13,'Table Output'!$A$2:$BR$99998,MATCH(Y$4,'Table Output'!$A$1:$BQ$1,0),),'Control Panel'!Y12))</f>
        <v>0</v>
      </c>
      <c r="Z13" s="36">
        <f>IF($I13="","",IF('Control Panel'!Z12="",VLOOKUP($E13,'Table Output'!$A$2:$BR$99998,MATCH(Z$4,'Table Output'!$A$1:$BQ$1,0),),'Control Panel'!Z12))</f>
        <v>1</v>
      </c>
      <c r="AA13" s="36">
        <f>IF($I13="","",IF('Control Panel'!AA12="",VLOOKUP($E13,'Table Output'!$A$2:$BR$99998,MATCH(AA$4,'Table Output'!$A$1:$BQ$1,0),),'Control Panel'!AA12))</f>
        <v>0</v>
      </c>
      <c r="AB13" s="36">
        <f>IF($I13="","",IF('Control Panel'!AB12="",VLOOKUP($E13,'Table Output'!$A$2:$BR$99998,MATCH(AB$4,'Table Output'!$A$1:$BQ$1,0),),'Control Panel'!AB12))</f>
        <v>0</v>
      </c>
      <c r="AC13" s="36">
        <f>IF($I13="","",IF('Control Panel'!AC12="",VLOOKUP($E13,'Table Output'!$A$2:$BR$99998,MATCH(AC$4,'Table Output'!$A$1:$BQ$1,0),),'Control Panel'!AC12))</f>
        <v>1</v>
      </c>
      <c r="AD13" s="36">
        <f>IF($I13="","",IF('Control Panel'!AD12="",VLOOKUP($E13,'Table Output'!$A$2:$BR$99998,MATCH(AD$4,'Table Output'!$A$1:$BQ$1,0),),'Control Panel'!AD12))</f>
        <v>1</v>
      </c>
      <c r="AE13" s="36">
        <f>IF($I13="","",IF('Control Panel'!AE12="",VLOOKUP($E13,'Table Output'!$A$2:$BR$99998,MATCH(AE$4,'Table Output'!$A$1:$BQ$1,0),),'Control Panel'!AE12))</f>
        <v>1</v>
      </c>
      <c r="AF13" s="36">
        <f>IF($I13="","",IF('Control Panel'!AF12="",VLOOKUP($E13,'Table Output'!$A$2:$BR$99998,MATCH(AF$4,'Table Output'!$A$1:$BQ$1,0),),'Control Panel'!AF12))</f>
        <v>1</v>
      </c>
      <c r="AG13" s="36">
        <f>IF($I13="","",IF('Control Panel'!AG12="",VLOOKUP($E13,'Table Output'!$A$2:$BR$99998,MATCH(AG$4,'Table Output'!$A$1:$BQ$1,0),),'Control Panel'!AG12))</f>
        <v>0</v>
      </c>
      <c r="AH13" s="36">
        <f>IF($I13="","",IF('Control Panel'!AH12="",VLOOKUP($E13,'Table Output'!$A$2:$BR$99998,MATCH(AH$4,'Table Output'!$A$1:$BQ$1,0),),'Control Panel'!AH12))</f>
        <v>1</v>
      </c>
      <c r="AI13" s="36">
        <f>IF($I13="","",IF('Control Panel'!AI12="",VLOOKUP($E13,'Table Output'!$A$2:$BR$99998,MATCH(AI$4,'Table Output'!$A$1:$BQ$1,0),),'Control Panel'!AI12))</f>
        <v>0</v>
      </c>
      <c r="AJ13" s="36">
        <f>IF($I13="","",IF('Control Panel'!AJ12="",VLOOKUP($E13,'Table Output'!$A$2:$BR$99998,MATCH(AJ$4,'Table Output'!$A$1:$BQ$1,0),),'Control Panel'!AJ12))</f>
        <v>0</v>
      </c>
      <c r="AL13" s="51">
        <f t="shared" si="0"/>
        <v>9</v>
      </c>
      <c r="AM13" s="48">
        <f>IF(AM$4="","",IF($I13="","",IF('Control Panel'!AM12="",VLOOKUP($E13,'Table Output'!$A$2:$BR$99998,MATCH(AM$4,'Table Output'!$A$1:$BQ$1,0),FALSE),'Control Panel'!AM12)))</f>
        <v>1</v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>Sand_80</v>
      </c>
      <c r="F14" s="2" t="str">
        <f>IF(T14=1,IF('Control Panel'!F13="","",'Control Panel'!F13),"")</f>
        <v>PISA</v>
      </c>
      <c r="G14" s="2">
        <f>IF(T14=1,IF('Control Panel'!G13="","",'Control Panel'!G13),"")</f>
        <v>1</v>
      </c>
      <c r="H14" s="2" t="str">
        <f>IF(T14=1,IF('Control Panel'!H13="","",'Control Panel'!H13),"")</f>
        <v>Loc_69_Clay_5</v>
      </c>
      <c r="I14" s="42">
        <f>IF(T14=1,IF('Control Panel'!I13="","",'Control Panel'!I13),"")</f>
        <v>10</v>
      </c>
      <c r="J14" s="36">
        <f>IF($I14="","",IF(J$4="","",IF('Control Panel'!J13="",VLOOKUP($E14,'Table Output'!$A$2:$BR$1048576,MATCH(J$4,'Table Output'!$A$1:$BQ$1,0),),'Control Panel'!J13)))</f>
        <v>72.412000000000006</v>
      </c>
      <c r="K14" s="36">
        <f>IF($I14="","",IF(K$4="","",IF('Control Panel'!K13="",VLOOKUP($E14,'Table Output'!$A$2:$BR$1048576,MATCH(K$4,'Table Output'!$A$1:$BQ$1,0),),'Control Panel'!K13)))</f>
        <v>-6.7824999999999998</v>
      </c>
      <c r="L14" s="36">
        <f>IF($I14="","",IF(L$4="","",IF('Control Panel'!L13="",VLOOKUP($E14,'Table Output'!$A$2:$BR$1048576,MATCH(L$4,'Table Output'!$A$1:$BQ$1,0),),'Control Panel'!L13)))</f>
        <v>-0.91779999999999995</v>
      </c>
      <c r="M14" s="36">
        <f>IF($I14="","",IF(M$4="","",IF('Control Panel'!M13="",VLOOKUP($E14,'Table Output'!$A$2:$BR$1048576,MATCH(M$4,'Table Output'!$A$1:$BQ$1,0),),'Control Panel'!M13)))</f>
        <v>0.96654399999999996</v>
      </c>
      <c r="N14" s="36">
        <f>IF($I14="","",IF(N$4="","",IF('Control Panel'!N13="",VLOOKUP($E14,'Table Output'!$A$2:$BR$1048576,MATCH(N$4,'Table Output'!$A$1:$BQ$1,0),),'Control Panel'!N13)))</f>
        <v>8.1714400000000005</v>
      </c>
      <c r="O14" s="36" t="str">
        <f>IF($I14="","",IF(O$4="","",IF('Control Panel'!O13="",VLOOKUP($E14,'Table Output'!$A$2:$BR$1048576,MATCH(O$4,'Table Output'!$A$1:$BQ$1,0),),'Control Panel'!O13)))</f>
        <v/>
      </c>
      <c r="P14" s="36" t="str">
        <f>IF($I14="","",IF(P$4="","",IF('Control Panel'!P13="",VLOOKUP($E14,'Table Output'!$A$2:$BR$1048576,MATCH(P$4,'Table Output'!$A$1:$BQ$1,0),),'Control Panel'!P13)))</f>
        <v/>
      </c>
      <c r="Q14" s="36" t="str">
        <f>IF($I14="","",IF(Q$4="","",IF('Control Panel'!Q13="",VLOOKUP($E14,'Table Output'!$A$2:$BR$1048576,MATCH(Q$4,'Table Output'!$A$1:$BQ$1,0),),'Control Panel'!Q13)))</f>
        <v/>
      </c>
      <c r="R14" s="36" t="str">
        <f>IF($I14="","",IF(R$4="","",IF('Control Panel'!R13="",VLOOKUP($E14,'Table Output'!$A$2:$BR$1048576,MATCH(R$4,'Table Output'!$A$1:$BQ$1,0),),'Control Panel'!R13)))</f>
        <v/>
      </c>
      <c r="S14" s="36" t="str">
        <f>IF($I14="","",IF(S$4="","",IF('Control Panel'!S13="",VLOOKUP($E14,'Table Output'!$A$2:$BR$1048576,MATCH(S$4,'Table Output'!$A$1:$BQ$1,0),),'Control Panel'!S13)))</f>
        <v/>
      </c>
      <c r="T14" s="2">
        <f>IF('Control Panel'!T13="","",'Control Panel'!T13)</f>
        <v>1</v>
      </c>
      <c r="U14" s="36">
        <f>IF($I14="","",IF('Control Panel'!U13="",VLOOKUP($E14,'Table Output'!$A$2:$BR$99998,MATCH(U$4,'Table Output'!$A$1:$BQ$1,0),),'Control Panel'!U13))</f>
        <v>0</v>
      </c>
      <c r="V14" s="36">
        <f>IF($I14="","",IF('Control Panel'!V13="",VLOOKUP($E14,'Table Output'!$A$2:$BR$99998,MATCH(V$4,'Table Output'!$A$1:$BQ$1,0),),'Control Panel'!V13))</f>
        <v>1</v>
      </c>
      <c r="W14" s="36">
        <f>IF($I14="","",IF('Control Panel'!W13="",VLOOKUP($E14,'Table Output'!$A$2:$BR$99998,MATCH(W$4,'Table Output'!$A$1:$BQ$1,0),),'Control Panel'!W13))</f>
        <v>1</v>
      </c>
      <c r="X14" s="36">
        <f>IF($I14="","",IF('Control Panel'!X13="",VLOOKUP($E14,'Table Output'!$A$2:$BR$99998,MATCH(X$4,'Table Output'!$A$1:$BQ$1,0),),'Control Panel'!X13))</f>
        <v>0</v>
      </c>
      <c r="Y14" s="36">
        <f>IF($I14="","",IF('Control Panel'!Y13="",VLOOKUP($E14,'Table Output'!$A$2:$BR$99998,MATCH(Y$4,'Table Output'!$A$1:$BQ$1,0),),'Control Panel'!Y13))</f>
        <v>0</v>
      </c>
      <c r="Z14" s="36">
        <f>IF($I14="","",IF('Control Panel'!Z13="",VLOOKUP($E14,'Table Output'!$A$2:$BR$99998,MATCH(Z$4,'Table Output'!$A$1:$BQ$1,0),),'Control Panel'!Z13))</f>
        <v>1</v>
      </c>
      <c r="AA14" s="36">
        <f>IF($I14="","",IF('Control Panel'!AA13="",VLOOKUP($E14,'Table Output'!$A$2:$BR$99998,MATCH(AA$4,'Table Output'!$A$1:$BQ$1,0),),'Control Panel'!AA13))</f>
        <v>0</v>
      </c>
      <c r="AB14" s="36">
        <f>IF($I14="","",IF('Control Panel'!AB13="",VLOOKUP($E14,'Table Output'!$A$2:$BR$99998,MATCH(AB$4,'Table Output'!$A$1:$BQ$1,0),),'Control Panel'!AB13))</f>
        <v>0</v>
      </c>
      <c r="AC14" s="36">
        <f>IF($I14="","",IF('Control Panel'!AC13="",VLOOKUP($E14,'Table Output'!$A$2:$BR$99998,MATCH(AC$4,'Table Output'!$A$1:$BQ$1,0),),'Control Panel'!AC13))</f>
        <v>1</v>
      </c>
      <c r="AD14" s="36">
        <f>IF($I14="","",IF('Control Panel'!AD13="",VLOOKUP($E14,'Table Output'!$A$2:$BR$99998,MATCH(AD$4,'Table Output'!$A$1:$BQ$1,0),),'Control Panel'!AD13))</f>
        <v>1</v>
      </c>
      <c r="AE14" s="36">
        <f>IF($I14="","",IF('Control Panel'!AE13="",VLOOKUP($E14,'Table Output'!$A$2:$BR$99998,MATCH(AE$4,'Table Output'!$A$1:$BQ$1,0),),'Control Panel'!AE13))</f>
        <v>1</v>
      </c>
      <c r="AF14" s="36">
        <f>IF($I14="","",IF('Control Panel'!AF13="",VLOOKUP($E14,'Table Output'!$A$2:$BR$99998,MATCH(AF$4,'Table Output'!$A$1:$BQ$1,0),),'Control Panel'!AF13))</f>
        <v>1</v>
      </c>
      <c r="AG14" s="36">
        <f>IF($I14="","",IF('Control Panel'!AG13="",VLOOKUP($E14,'Table Output'!$A$2:$BR$99998,MATCH(AG$4,'Table Output'!$A$1:$BQ$1,0),),'Control Panel'!AG13))</f>
        <v>0</v>
      </c>
      <c r="AH14" s="36">
        <f>IF($I14="","",IF('Control Panel'!AH13="",VLOOKUP($E14,'Table Output'!$A$2:$BR$99998,MATCH(AH$4,'Table Output'!$A$1:$BQ$1,0),),'Control Panel'!AH13))</f>
        <v>1</v>
      </c>
      <c r="AI14" s="36">
        <f>IF($I14="","",IF('Control Panel'!AI13="",VLOOKUP($E14,'Table Output'!$A$2:$BR$99998,MATCH(AI$4,'Table Output'!$A$1:$BQ$1,0),),'Control Panel'!AI13))</f>
        <v>0</v>
      </c>
      <c r="AJ14" s="36">
        <f>IF($I14="","",IF('Control Panel'!AJ13="",VLOOKUP($E14,'Table Output'!$A$2:$BR$99998,MATCH(AJ$4,'Table Output'!$A$1:$BQ$1,0),),'Control Panel'!AJ13))</f>
        <v>0</v>
      </c>
      <c r="AL14" s="51">
        <f t="shared" si="0"/>
        <v>10</v>
      </c>
      <c r="AM14" s="48">
        <f>IF(AM$4="","",IF($I14="","",IF('Control Panel'!AM13="",VLOOKUP($E14,'Table Output'!$A$2:$BR$99998,MATCH(AM$4,'Table Output'!$A$1:$BQ$1,0),FALSE),'Control Panel'!AM13)))</f>
        <v>1</v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>Cowden_Clay</v>
      </c>
      <c r="F15" s="2" t="str">
        <f>IF(T15=1,IF('Control Panel'!F14="","",'Control Panel'!F14),"")</f>
        <v>PISA</v>
      </c>
      <c r="G15" s="2">
        <f>IF(T15=1,IF('Control Panel'!G14="","",'Control Panel'!G14),"")</f>
        <v>0</v>
      </c>
      <c r="H15" s="2" t="str">
        <f>IF(T15=1,IF('Control Panel'!H14="","",'Control Panel'!H14),"")</f>
        <v>Loc_69_Sand_6</v>
      </c>
      <c r="I15" s="42">
        <f>IF(T15=1,IF('Control Panel'!I14="","",'Control Panel'!I14),"")</f>
        <v>11</v>
      </c>
      <c r="J15" s="36">
        <f>IF($I15="","",IF(J$4="","",IF('Control Panel'!J14="",VLOOKUP($E15,'Table Output'!$A$2:$BR$1048576,MATCH(J$4,'Table Output'!$A$1:$BQ$1,0),),'Control Panel'!J14)))</f>
        <v>200</v>
      </c>
      <c r="K15" s="36">
        <f>IF($I15="","",IF(K$4="","",IF('Control Panel'!K14="",VLOOKUP($E15,'Table Output'!$A$2:$BR$1048576,MATCH(K$4,'Table Output'!$A$1:$BQ$1,0),),'Control Panel'!K14)))</f>
        <v>10.210000000000001</v>
      </c>
      <c r="L15" s="36">
        <f>IF($I15="","",IF(L$4="","",IF('Control Panel'!L14="",VLOOKUP($E15,'Table Output'!$A$2:$BR$1048576,MATCH(L$4,'Table Output'!$A$1:$BQ$1,0),),'Control Panel'!L14)))</f>
        <v>-1.1000000000000001</v>
      </c>
      <c r="M15" s="36">
        <f>IF($I15="","",IF(M$4="","",IF('Control Panel'!M14="",VLOOKUP($E15,'Table Output'!$A$2:$BR$1048576,MATCH(M$4,'Table Output'!$A$1:$BQ$1,0),),'Control Panel'!M14)))</f>
        <v>-0.05</v>
      </c>
      <c r="N15" s="36">
        <f>IF($I15="","",IF(N$4="","",IF('Control Panel'!N14="",VLOOKUP($E15,'Table Output'!$A$2:$BR$1048576,MATCH(N$4,'Table Output'!$A$1:$BQ$1,0),),'Control Panel'!N14)))</f>
        <v>8.1199999999999992</v>
      </c>
      <c r="O15" s="36" t="str">
        <f>IF($I15="","",IF(O$4="","",IF('Control Panel'!O14="",VLOOKUP($E15,'Table Output'!$A$2:$BR$1048576,MATCH(O$4,'Table Output'!$A$1:$BQ$1,0),),'Control Panel'!O14)))</f>
        <v/>
      </c>
      <c r="P15" s="36" t="str">
        <f>IF($I15="","",IF(P$4="","",IF('Control Panel'!P14="",VLOOKUP($E15,'Table Output'!$A$2:$BR$1048576,MATCH(P$4,'Table Output'!$A$1:$BQ$1,0),),'Control Panel'!P14)))</f>
        <v/>
      </c>
      <c r="Q15" s="36" t="str">
        <f>IF($I15="","",IF(Q$4="","",IF('Control Panel'!Q14="",VLOOKUP($E15,'Table Output'!$A$2:$BR$1048576,MATCH(Q$4,'Table Output'!$A$1:$BQ$1,0),),'Control Panel'!Q14)))</f>
        <v/>
      </c>
      <c r="R15" s="36" t="str">
        <f>IF($I15="","",IF(R$4="","",IF('Control Panel'!R14="",VLOOKUP($E15,'Table Output'!$A$2:$BR$1048576,MATCH(R$4,'Table Output'!$A$1:$BQ$1,0),),'Control Panel'!R14)))</f>
        <v/>
      </c>
      <c r="S15" s="36" t="str">
        <f>IF($I15="","",IF(S$4="","",IF('Control Panel'!S14="",VLOOKUP($E15,'Table Output'!$A$2:$BR$1048576,MATCH(S$4,'Table Output'!$A$1:$BQ$1,0),),'Control Panel'!S14)))</f>
        <v/>
      </c>
      <c r="T15" s="2">
        <f>IF('Control Panel'!T14="","",'Control Panel'!T14)</f>
        <v>1</v>
      </c>
      <c r="U15" s="36">
        <f>IF($I15="","",IF('Control Panel'!U14="",VLOOKUP($E15,'Table Output'!$A$2:$BR$99998,MATCH(U$4,'Table Output'!$A$1:$BQ$1,0),),'Control Panel'!U14))</f>
        <v>0</v>
      </c>
      <c r="V15" s="36">
        <f>IF($I15="","",IF('Control Panel'!V14="",VLOOKUP($E15,'Table Output'!$A$2:$BR$99998,MATCH(V$4,'Table Output'!$A$1:$BQ$1,0),),'Control Panel'!V14))</f>
        <v>2</v>
      </c>
      <c r="W15" s="36">
        <f>IF($I15="","",IF('Control Panel'!W14="",VLOOKUP($E15,'Table Output'!$A$2:$BR$99998,MATCH(W$4,'Table Output'!$A$1:$BQ$1,0),),'Control Panel'!W14))</f>
        <v>1</v>
      </c>
      <c r="X15" s="36">
        <f>IF($I15="","",IF('Control Panel'!X14="",VLOOKUP($E15,'Table Output'!$A$2:$BR$99998,MATCH(X$4,'Table Output'!$A$1:$BQ$1,0),),'Control Panel'!X14))</f>
        <v>1</v>
      </c>
      <c r="Y15" s="36">
        <f>IF($I15="","",IF('Control Panel'!Y14="",VLOOKUP($E15,'Table Output'!$A$2:$BR$99998,MATCH(Y$4,'Table Output'!$A$1:$BQ$1,0),),'Control Panel'!Y14))</f>
        <v>0</v>
      </c>
      <c r="Z15" s="36">
        <f>IF($I15="","",IF('Control Panel'!Z14="",VLOOKUP($E15,'Table Output'!$A$2:$BR$99998,MATCH(Z$4,'Table Output'!$A$1:$BQ$1,0),),'Control Panel'!Z14))</f>
        <v>1</v>
      </c>
      <c r="AA15" s="36">
        <f>IF($I15="","",IF('Control Panel'!AA14="",VLOOKUP($E15,'Table Output'!$A$2:$BR$99998,MATCH(AA$4,'Table Output'!$A$1:$BQ$1,0),),'Control Panel'!AA14))</f>
        <v>1</v>
      </c>
      <c r="AB15" s="36">
        <f>IF($I15="","",IF('Control Panel'!AB14="",VLOOKUP($E15,'Table Output'!$A$2:$BR$99998,MATCH(AB$4,'Table Output'!$A$1:$BQ$1,0),),'Control Panel'!AB14))</f>
        <v>0</v>
      </c>
      <c r="AC15" s="36">
        <f>IF($I15="","",IF('Control Panel'!AC14="",VLOOKUP($E15,'Table Output'!$A$2:$BR$99998,MATCH(AC$4,'Table Output'!$A$1:$BQ$1,0),),'Control Panel'!AC14))</f>
        <v>0</v>
      </c>
      <c r="AD15" s="36">
        <f>IF($I15="","",IF('Control Panel'!AD14="",VLOOKUP($E15,'Table Output'!$A$2:$BR$99998,MATCH(AD$4,'Table Output'!$A$1:$BQ$1,0),),'Control Panel'!AD14))</f>
        <v>1</v>
      </c>
      <c r="AE15" s="36">
        <f>IF($I15="","",IF('Control Panel'!AE14="",VLOOKUP($E15,'Table Output'!$A$2:$BR$99998,MATCH(AE$4,'Table Output'!$A$1:$BQ$1,0),),'Control Panel'!AE14))</f>
        <v>1</v>
      </c>
      <c r="AF15" s="36">
        <f>IF($I15="","",IF('Control Panel'!AF14="",VLOOKUP($E15,'Table Output'!$A$2:$BR$99998,MATCH(AF$4,'Table Output'!$A$1:$BQ$1,0),),'Control Panel'!AF14))</f>
        <v>1</v>
      </c>
      <c r="AG15" s="36">
        <f>IF($I15="","",IF('Control Panel'!AG14="",VLOOKUP($E15,'Table Output'!$A$2:$BR$99998,MATCH(AG$4,'Table Output'!$A$1:$BQ$1,0),),'Control Panel'!AG14))</f>
        <v>0</v>
      </c>
      <c r="AH15" s="36">
        <f>IF($I15="","",IF('Control Panel'!AH14="",VLOOKUP($E15,'Table Output'!$A$2:$BR$99998,MATCH(AH$4,'Table Output'!$A$1:$BQ$1,0),),'Control Panel'!AH14))</f>
        <v>1</v>
      </c>
      <c r="AI15" s="36">
        <f>IF($I15="","",IF('Control Panel'!AI14="",VLOOKUP($E15,'Table Output'!$A$2:$BR$99998,MATCH(AI$4,'Table Output'!$A$1:$BQ$1,0),),'Control Panel'!AI14))</f>
        <v>1</v>
      </c>
      <c r="AJ15" s="36">
        <f>IF($I15="","",IF('Control Panel'!AJ14="",VLOOKUP($E15,'Table Output'!$A$2:$BR$99998,MATCH(AJ$4,'Table Output'!$A$1:$BQ$1,0),),'Control Panel'!AJ14))</f>
        <v>1</v>
      </c>
      <c r="AL15" s="51">
        <f t="shared" si="0"/>
        <v>11</v>
      </c>
      <c r="AM15" s="48">
        <f>IF(AM$4="","",IF($I15="","",IF('Control Panel'!AM14="",VLOOKUP($E15,'Table Output'!$A$2:$BR$99998,MATCH(AM$4,'Table Output'!$A$1:$BQ$1,0),FALSE),'Control Panel'!AM14)))</f>
        <v>1</v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Output'!$A$2:$BR$1048576,MATCH(J$4,'Table Output'!$A$1:$BQ$1,0),),'Control Panel'!J15)))</f>
        <v/>
      </c>
      <c r="K16" s="36" t="str">
        <f>IF($I16="","",IF(K$4="","",IF('Control Panel'!K15="",VLOOKUP($E16,'Table Output'!$A$2:$BR$1048576,MATCH(K$4,'Table Output'!$A$1:$BQ$1,0),),'Control Panel'!K15)))</f>
        <v/>
      </c>
      <c r="L16" s="36" t="str">
        <f>IF($I16="","",IF(L$4="","",IF('Control Panel'!L15="",VLOOKUP($E16,'Table Output'!$A$2:$BR$1048576,MATCH(L$4,'Table Output'!$A$1:$BQ$1,0),),'Control Panel'!L15)))</f>
        <v/>
      </c>
      <c r="M16" s="36" t="str">
        <f>IF($I16="","",IF(M$4="","",IF('Control Panel'!M15="",VLOOKUP($E16,'Table Output'!$A$2:$BR$1048576,MATCH(M$4,'Table Output'!$A$1:$BQ$1,0),),'Control Panel'!M15)))</f>
        <v/>
      </c>
      <c r="N16" s="36" t="str">
        <f>IF($I16="","",IF(N$4="","",IF('Control Panel'!N15="",VLOOKUP($E16,'Table Output'!$A$2:$BR$1048576,MATCH(N$4,'Table Output'!$A$1:$BQ$1,0),),'Control Panel'!N15)))</f>
        <v/>
      </c>
      <c r="O16" s="36" t="str">
        <f>IF($I16="","",IF(O$4="","",IF('Control Panel'!O15="",VLOOKUP($E16,'Table Output'!$A$2:$BR$1048576,MATCH(O$4,'Table Output'!$A$1:$BQ$1,0),),'Control Panel'!O15)))</f>
        <v/>
      </c>
      <c r="P16" s="36" t="str">
        <f>IF($I16="","",IF(P$4="","",IF('Control Panel'!P15="",VLOOKUP($E16,'Table Output'!$A$2:$BR$1048576,MATCH(P$4,'Table Output'!$A$1:$BQ$1,0),),'Control Panel'!P15)))</f>
        <v/>
      </c>
      <c r="Q16" s="36" t="str">
        <f>IF($I16="","",IF(Q$4="","",IF('Control Panel'!Q15="",VLOOKUP($E16,'Table Output'!$A$2:$BR$1048576,MATCH(Q$4,'Table Output'!$A$1:$BQ$1,0),),'Control Panel'!Q15)))</f>
        <v/>
      </c>
      <c r="R16" s="36" t="str">
        <f>IF($I16="","",IF(R$4="","",IF('Control Panel'!R15="",VLOOKUP($E16,'Table Output'!$A$2:$BR$1048576,MATCH(R$4,'Table Output'!$A$1:$BQ$1,0),),'Control Panel'!R15)))</f>
        <v/>
      </c>
      <c r="S16" s="36" t="str">
        <f>IF($I16="","",IF(S$4="","",IF('Control Panel'!S15="",VLOOKUP($E16,'Table Output'!$A$2:$BR$1048576,MATCH(S$4,'Table Output'!$A$1:$BQ$1,0),),'Control Panel'!S15)))</f>
        <v/>
      </c>
      <c r="T16" s="2">
        <f>IF('Control Panel'!T15="","",'Control Panel'!T15)</f>
        <v>1</v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benchmark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Output'!$A$2:$BR$1048576,MATCH(J$4,'Table Output'!$A$1:$BQ$1,0),),'Control Panel'!J16)))</f>
        <v/>
      </c>
      <c r="K17" s="36" t="str">
        <f>IF($I17="","",IF(K$4="","",IF('Control Panel'!K16="",VLOOKUP($E17,'Table Output'!$A$2:$BR$1048576,MATCH(K$4,'Table Output'!$A$1:$BQ$1,0),),'Control Panel'!K16)))</f>
        <v/>
      </c>
      <c r="L17" s="36" t="str">
        <f>IF($I17="","",IF(L$4="","",IF('Control Panel'!L16="",VLOOKUP($E17,'Table Output'!$A$2:$BR$1048576,MATCH(L$4,'Table Output'!$A$1:$BQ$1,0),),'Control Panel'!L16)))</f>
        <v/>
      </c>
      <c r="M17" s="36" t="str">
        <f>IF($I17="","",IF(M$4="","",IF('Control Panel'!M16="",VLOOKUP($E17,'Table Output'!$A$2:$BR$1048576,MATCH(M$4,'Table Output'!$A$1:$BQ$1,0),),'Control Panel'!M16)))</f>
        <v/>
      </c>
      <c r="N17" s="36" t="str">
        <f>IF($I17="","",IF(N$4="","",IF('Control Panel'!N16="",VLOOKUP($E17,'Table Output'!$A$2:$BR$1048576,MATCH(N$4,'Table Output'!$A$1:$BQ$1,0),),'Control Panel'!N16)))</f>
        <v/>
      </c>
      <c r="O17" s="36" t="str">
        <f>IF($I17="","",IF(O$4="","",IF('Control Panel'!O16="",VLOOKUP($E17,'Table Output'!$A$2:$BR$1048576,MATCH(O$4,'Table Output'!$A$1:$BQ$1,0),),'Control Panel'!O16)))</f>
        <v/>
      </c>
      <c r="P17" s="36" t="str">
        <f>IF($I17="","",IF(P$4="","",IF('Control Panel'!P16="",VLOOKUP($E17,'Table Output'!$A$2:$BR$1048576,MATCH(P$4,'Table Output'!$A$1:$BQ$1,0),),'Control Panel'!P16)))</f>
        <v/>
      </c>
      <c r="Q17" s="36" t="str">
        <f>IF($I17="","",IF(Q$4="","",IF('Control Panel'!Q16="",VLOOKUP($E17,'Table Output'!$A$2:$BR$1048576,MATCH(Q$4,'Table Output'!$A$1:$BQ$1,0),),'Control Panel'!Q16)))</f>
        <v/>
      </c>
      <c r="R17" s="36" t="str">
        <f>IF($I17="","",IF(R$4="","",IF('Control Panel'!R16="",VLOOKUP($E17,'Table Output'!$A$2:$BR$1048576,MATCH(R$4,'Table Output'!$A$1:$BQ$1,0),),'Control Panel'!R16)))</f>
        <v/>
      </c>
      <c r="S17" s="36" t="str">
        <f>IF($I17="","",IF(S$4="","",IF('Control Panel'!S16="",VLOOKUP($E17,'Table Output'!$A$2:$BR$1048576,MATCH(S$4,'Table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D_10,D_200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Output'!$A$2:$BR$1048576,MATCH(J$4,'Table Output'!$A$1:$BQ$1,0),),'Control Panel'!J17)))</f>
        <v/>
      </c>
      <c r="K18" s="36" t="str">
        <f>IF($I18="","",IF(K$4="","",IF('Control Panel'!K17="",VLOOKUP($E18,'Table Output'!$A$2:$BR$1048576,MATCH(K$4,'Table Output'!$A$1:$BQ$1,0),),'Control Panel'!K17)))</f>
        <v/>
      </c>
      <c r="L18" s="36" t="str">
        <f>IF($I18="","",IF(L$4="","",IF('Control Panel'!L17="",VLOOKUP($E18,'Table Output'!$A$2:$BR$1048576,MATCH(L$4,'Table Output'!$A$1:$BQ$1,0),),'Control Panel'!L17)))</f>
        <v/>
      </c>
      <c r="M18" s="36" t="str">
        <f>IF($I18="","",IF(M$4="","",IF('Control Panel'!M17="",VLOOKUP($E18,'Table Output'!$A$2:$BR$1048576,MATCH(M$4,'Table Output'!$A$1:$BQ$1,0),),'Control Panel'!M17)))</f>
        <v/>
      </c>
      <c r="N18" s="36" t="str">
        <f>IF($I18="","",IF(N$4="","",IF('Control Panel'!N17="",VLOOKUP($E18,'Table Output'!$A$2:$BR$1048576,MATCH(N$4,'Table Output'!$A$1:$BQ$1,0),),'Control Panel'!N17)))</f>
        <v/>
      </c>
      <c r="O18" s="36" t="str">
        <f>IF($I18="","",IF(O$4="","",IF('Control Panel'!O17="",VLOOKUP($E18,'Table Output'!$A$2:$BR$1048576,MATCH(O$4,'Table Output'!$A$1:$BQ$1,0),),'Control Panel'!O17)))</f>
        <v/>
      </c>
      <c r="P18" s="36" t="str">
        <f>IF($I18="","",IF(P$4="","",IF('Control Panel'!P17="",VLOOKUP($E18,'Table Output'!$A$2:$BR$1048576,MATCH(P$4,'Table Output'!$A$1:$BQ$1,0),),'Control Panel'!P17)))</f>
        <v/>
      </c>
      <c r="Q18" s="36" t="str">
        <f>IF($I18="","",IF(Q$4="","",IF('Control Panel'!Q17="",VLOOKUP($E18,'Table Output'!$A$2:$BR$1048576,MATCH(Q$4,'Table Output'!$A$1:$BQ$1,0),),'Control Panel'!Q17)))</f>
        <v/>
      </c>
      <c r="R18" s="36" t="str">
        <f>IF($I18="","",IF(R$4="","",IF('Control Panel'!R17="",VLOOKUP($E18,'Table Output'!$A$2:$BR$1048576,MATCH(R$4,'Table Output'!$A$1:$BQ$1,0),),'Control Panel'!R17)))</f>
        <v/>
      </c>
      <c r="S18" s="36" t="str">
        <f>IF($I18="","",IF(S$4="","",IF('Control Panel'!S17="",VLOOKUP($E18,'Table Output'!$A$2:$BR$1048576,MATCH(S$4,'Table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Output'!$A$2:$BR$1048576,MATCH(J$4,'Table Output'!$A$1:$BQ$1,0),),'Control Panel'!J18)))</f>
        <v/>
      </c>
      <c r="K19" s="36" t="str">
        <f>IF($I19="","",IF(K$4="","",IF('Control Panel'!K18="",VLOOKUP($E19,'Table Output'!$A$2:$BR$1048576,MATCH(K$4,'Table Output'!$A$1:$BQ$1,0),),'Control Panel'!K18)))</f>
        <v/>
      </c>
      <c r="L19" s="36" t="str">
        <f>IF($I19="","",IF(L$4="","",IF('Control Panel'!L18="",VLOOKUP($E19,'Table Output'!$A$2:$BR$1048576,MATCH(L$4,'Table Output'!$A$1:$BQ$1,0),),'Control Panel'!L18)))</f>
        <v/>
      </c>
      <c r="M19" s="36" t="str">
        <f>IF($I19="","",IF(M$4="","",IF('Control Panel'!M18="",VLOOKUP($E19,'Table Output'!$A$2:$BR$1048576,MATCH(M$4,'Table Output'!$A$1:$BQ$1,0),),'Control Panel'!M18)))</f>
        <v/>
      </c>
      <c r="N19" s="36" t="str">
        <f>IF($I19="","",IF(N$4="","",IF('Control Panel'!N18="",VLOOKUP($E19,'Table Output'!$A$2:$BR$1048576,MATCH(N$4,'Table Output'!$A$1:$BQ$1,0),),'Control Panel'!N18)))</f>
        <v/>
      </c>
      <c r="O19" s="36" t="str">
        <f>IF($I19="","",IF(O$4="","",IF('Control Panel'!O18="",VLOOKUP($E19,'Table Output'!$A$2:$BR$1048576,MATCH(O$4,'Table Output'!$A$1:$BQ$1,0),),'Control Panel'!O18)))</f>
        <v/>
      </c>
      <c r="P19" s="36" t="str">
        <f>IF($I19="","",IF(P$4="","",IF('Control Panel'!P18="",VLOOKUP($E19,'Table Output'!$A$2:$BR$1048576,MATCH(P$4,'Table Output'!$A$1:$BQ$1,0),),'Control Panel'!P18)))</f>
        <v/>
      </c>
      <c r="Q19" s="36" t="str">
        <f>IF($I19="","",IF(Q$4="","",IF('Control Panel'!Q18="",VLOOKUP($E19,'Table Output'!$A$2:$BR$1048576,MATCH(Q$4,'Table Output'!$A$1:$BQ$1,0),),'Control Panel'!Q18)))</f>
        <v/>
      </c>
      <c r="R19" s="36" t="str">
        <f>IF($I19="","",IF(R$4="","",IF('Control Panel'!R18="",VLOOKUP($E19,'Table Output'!$A$2:$BR$1048576,MATCH(R$4,'Table Output'!$A$1:$BQ$1,0),),'Control Panel'!R18)))</f>
        <v/>
      </c>
      <c r="S19" s="36" t="str">
        <f>IF($I19="","",IF(S$4="","",IF('Control Panel'!S18="",VLOOKUP($E19,'Table Output'!$A$2:$BR$1048576,MATCH(S$4,'Table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Output'!$A$2:$BR$1048576,MATCH(J$4,'Table Output'!$A$1:$BQ$1,0),),'Control Panel'!J19)))</f>
        <v/>
      </c>
      <c r="K20" s="36" t="str">
        <f>IF($I20="","",IF(K$4="","",IF('Control Panel'!K19="",VLOOKUP($E20,'Table Output'!$A$2:$BR$1048576,MATCH(K$4,'Table Output'!$A$1:$BQ$1,0),),'Control Panel'!K19)))</f>
        <v/>
      </c>
      <c r="L20" s="36" t="str">
        <f>IF($I20="","",IF(L$4="","",IF('Control Panel'!L19="",VLOOKUP($E20,'Table Output'!$A$2:$BR$1048576,MATCH(L$4,'Table Output'!$A$1:$BQ$1,0),),'Control Panel'!L19)))</f>
        <v/>
      </c>
      <c r="M20" s="36" t="str">
        <f>IF($I20="","",IF(M$4="","",IF('Control Panel'!M19="",VLOOKUP($E20,'Table Output'!$A$2:$BR$1048576,MATCH(M$4,'Table Output'!$A$1:$BQ$1,0),),'Control Panel'!M19)))</f>
        <v/>
      </c>
      <c r="N20" s="36" t="str">
        <f>IF($I20="","",IF(N$4="","",IF('Control Panel'!N19="",VLOOKUP($E20,'Table Output'!$A$2:$BR$1048576,MATCH(N$4,'Table Output'!$A$1:$BQ$1,0),),'Control Panel'!N19)))</f>
        <v/>
      </c>
      <c r="O20" s="36" t="str">
        <f>IF($I20="","",IF(O$4="","",IF('Control Panel'!O19="",VLOOKUP($E20,'Table Output'!$A$2:$BR$1048576,MATCH(O$4,'Table Output'!$A$1:$BQ$1,0),),'Control Panel'!O19)))</f>
        <v/>
      </c>
      <c r="P20" s="36" t="str">
        <f>IF($I20="","",IF(P$4="","",IF('Control Panel'!P19="",VLOOKUP($E20,'Table Output'!$A$2:$BR$1048576,MATCH(P$4,'Table Output'!$A$1:$BQ$1,0),),'Control Panel'!P19)))</f>
        <v/>
      </c>
      <c r="Q20" s="36" t="str">
        <f>IF($I20="","",IF(Q$4="","",IF('Control Panel'!Q19="",VLOOKUP($E20,'Table Output'!$A$2:$BR$1048576,MATCH(Q$4,'Table Output'!$A$1:$BQ$1,0),),'Control Panel'!Q19)))</f>
        <v/>
      </c>
      <c r="R20" s="36" t="str">
        <f>IF($I20="","",IF(R$4="","",IF('Control Panel'!R19="",VLOOKUP($E20,'Table Output'!$A$2:$BR$1048576,MATCH(R$4,'Table Output'!$A$1:$BQ$1,0),),'Control Panel'!R19)))</f>
        <v/>
      </c>
      <c r="S20" s="36" t="str">
        <f>IF($I20="","",IF(S$4="","",IF('Control Panel'!S19="",VLOOKUP($E20,'Table Output'!$A$2:$BR$1048576,MATCH(S$4,'Table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Output'!$A$2:$BR$1048576,MATCH(J$4,'Table Output'!$A$1:$BQ$1,0),),'Control Panel'!J20)))</f>
        <v/>
      </c>
      <c r="K21" s="36" t="str">
        <f>IF($I21="","",IF(K$4="","",IF('Control Panel'!K20="",VLOOKUP($E21,'Table Output'!$A$2:$BR$1048576,MATCH(K$4,'Table Output'!$A$1:$BQ$1,0),),'Control Panel'!K20)))</f>
        <v/>
      </c>
      <c r="L21" s="36" t="str">
        <f>IF($I21="","",IF(L$4="","",IF('Control Panel'!L20="",VLOOKUP($E21,'Table Output'!$A$2:$BR$1048576,MATCH(L$4,'Table Output'!$A$1:$BQ$1,0),),'Control Panel'!L20)))</f>
        <v/>
      </c>
      <c r="M21" s="36" t="str">
        <f>IF($I21="","",IF(M$4="","",IF('Control Panel'!M20="",VLOOKUP($E21,'Table Output'!$A$2:$BR$1048576,MATCH(M$4,'Table Output'!$A$1:$BQ$1,0),),'Control Panel'!M20)))</f>
        <v/>
      </c>
      <c r="N21" s="36" t="str">
        <f>IF($I21="","",IF(N$4="","",IF('Control Panel'!N20="",VLOOKUP($E21,'Table Output'!$A$2:$BR$1048576,MATCH(N$4,'Table Output'!$A$1:$BQ$1,0),),'Control Panel'!N20)))</f>
        <v/>
      </c>
      <c r="O21" s="36" t="str">
        <f>IF($I21="","",IF(O$4="","",IF('Control Panel'!O20="",VLOOKUP($E21,'Table Output'!$A$2:$BR$1048576,MATCH(O$4,'Table Output'!$A$1:$BQ$1,0),),'Control Panel'!O20)))</f>
        <v/>
      </c>
      <c r="P21" s="36" t="str">
        <f>IF($I21="","",IF(P$4="","",IF('Control Panel'!P20="",VLOOKUP($E21,'Table Output'!$A$2:$BR$1048576,MATCH(P$4,'Table Output'!$A$1:$BQ$1,0),),'Control Panel'!P20)))</f>
        <v/>
      </c>
      <c r="Q21" s="36" t="str">
        <f>IF($I21="","",IF(Q$4="","",IF('Control Panel'!Q20="",VLOOKUP($E21,'Table Output'!$A$2:$BR$1048576,MATCH(Q$4,'Table Output'!$A$1:$BQ$1,0),),'Control Panel'!Q20)))</f>
        <v/>
      </c>
      <c r="R21" s="36" t="str">
        <f>IF($I21="","",IF(R$4="","",IF('Control Panel'!R20="",VLOOKUP($E21,'Table Output'!$A$2:$BR$1048576,MATCH(R$4,'Table Output'!$A$1:$BQ$1,0),),'Control Panel'!R20)))</f>
        <v/>
      </c>
      <c r="S21" s="36" t="str">
        <f>IF($I21="","",IF(S$4="","",IF('Control Panel'!S20="",VLOOKUP($E21,'Table Output'!$A$2:$BR$1048576,MATCH(S$4,'Table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Output'!$A$2:$BR$1048576,MATCH(J$4,'Table Output'!$A$1:$BQ$1,0),),'Control Panel'!J21)))</f>
        <v/>
      </c>
      <c r="K22" s="36" t="str">
        <f>IF($I22="","",IF(K$4="","",IF('Control Panel'!K21="",VLOOKUP($E22,'Table Output'!$A$2:$BR$1048576,MATCH(K$4,'Table Output'!$A$1:$BQ$1,0),),'Control Panel'!K21)))</f>
        <v/>
      </c>
      <c r="L22" s="36" t="str">
        <f>IF($I22="","",IF(L$4="","",IF('Control Panel'!L21="",VLOOKUP($E22,'Table Output'!$A$2:$BR$1048576,MATCH(L$4,'Table Output'!$A$1:$BQ$1,0),),'Control Panel'!L21)))</f>
        <v/>
      </c>
      <c r="M22" s="36" t="str">
        <f>IF($I22="","",IF(M$4="","",IF('Control Panel'!M21="",VLOOKUP($E22,'Table Output'!$A$2:$BR$1048576,MATCH(M$4,'Table Output'!$A$1:$BQ$1,0),),'Control Panel'!M21)))</f>
        <v/>
      </c>
      <c r="N22" s="36" t="str">
        <f>IF($I22="","",IF(N$4="","",IF('Control Panel'!N21="",VLOOKUP($E22,'Table Output'!$A$2:$BR$1048576,MATCH(N$4,'Table Output'!$A$1:$BQ$1,0),),'Control Panel'!N21)))</f>
        <v/>
      </c>
      <c r="O22" s="36" t="str">
        <f>IF($I22="","",IF(O$4="","",IF('Control Panel'!O21="",VLOOKUP($E22,'Table Output'!$A$2:$BR$1048576,MATCH(O$4,'Table Output'!$A$1:$BQ$1,0),),'Control Panel'!O21)))</f>
        <v/>
      </c>
      <c r="P22" s="36" t="str">
        <f>IF($I22="","",IF(P$4="","",IF('Control Panel'!P21="",VLOOKUP($E22,'Table Output'!$A$2:$BR$1048576,MATCH(P$4,'Table Output'!$A$1:$BQ$1,0),),'Control Panel'!P21)))</f>
        <v/>
      </c>
      <c r="Q22" s="36" t="str">
        <f>IF($I22="","",IF(Q$4="","",IF('Control Panel'!Q21="",VLOOKUP($E22,'Table Output'!$A$2:$BR$1048576,MATCH(Q$4,'Table Output'!$A$1:$BQ$1,0),),'Control Panel'!Q21)))</f>
        <v/>
      </c>
      <c r="R22" s="36" t="str">
        <f>IF($I22="","",IF(R$4="","",IF('Control Panel'!R21="",VLOOKUP($E22,'Table Output'!$A$2:$BR$1048576,MATCH(R$4,'Table Output'!$A$1:$BQ$1,0),),'Control Panel'!R21)))</f>
        <v/>
      </c>
      <c r="S22" s="36" t="str">
        <f>IF($I22="","",IF(S$4="","",IF('Control Panel'!S21="",VLOOKUP($E22,'Table Output'!$A$2:$BR$1048576,MATCH(S$4,'Table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Output'!$A$2:$BR$1048576,MATCH(J$4,'Table Output'!$A$1:$BQ$1,0),),'Control Panel'!J22)))</f>
        <v/>
      </c>
      <c r="K23" s="36" t="str">
        <f>IF($I23="","",IF(K$4="","",IF('Control Panel'!K22="",VLOOKUP($E23,'Table Output'!$A$2:$BR$1048576,MATCH(K$4,'Table Output'!$A$1:$BQ$1,0),),'Control Panel'!K22)))</f>
        <v/>
      </c>
      <c r="L23" s="36" t="str">
        <f>IF($I23="","",IF(L$4="","",IF('Control Panel'!L22="",VLOOKUP($E23,'Table Output'!$A$2:$BR$1048576,MATCH(L$4,'Table Output'!$A$1:$BQ$1,0),),'Control Panel'!L22)))</f>
        <v/>
      </c>
      <c r="M23" s="36" t="str">
        <f>IF($I23="","",IF(M$4="","",IF('Control Panel'!M22="",VLOOKUP($E23,'Table Output'!$A$2:$BR$1048576,MATCH(M$4,'Table Output'!$A$1:$BQ$1,0),),'Control Panel'!M22)))</f>
        <v/>
      </c>
      <c r="N23" s="36" t="str">
        <f>IF($I23="","",IF(N$4="","",IF('Control Panel'!N22="",VLOOKUP($E23,'Table Output'!$A$2:$BR$1048576,MATCH(N$4,'Table Output'!$A$1:$BQ$1,0),),'Control Panel'!N22)))</f>
        <v/>
      </c>
      <c r="O23" s="36" t="str">
        <f>IF($I23="","",IF(O$4="","",IF('Control Panel'!O22="",VLOOKUP($E23,'Table Output'!$A$2:$BR$1048576,MATCH(O$4,'Table Output'!$A$1:$BQ$1,0),),'Control Panel'!O22)))</f>
        <v/>
      </c>
      <c r="P23" s="36" t="str">
        <f>IF($I23="","",IF(P$4="","",IF('Control Panel'!P22="",VLOOKUP($E23,'Table Output'!$A$2:$BR$1048576,MATCH(P$4,'Table Output'!$A$1:$BQ$1,0),),'Control Panel'!P22)))</f>
        <v/>
      </c>
      <c r="Q23" s="36" t="str">
        <f>IF($I23="","",IF(Q$4="","",IF('Control Panel'!Q22="",VLOOKUP($E23,'Table Output'!$A$2:$BR$1048576,MATCH(Q$4,'Table Output'!$A$1:$BQ$1,0),),'Control Panel'!Q22)))</f>
        <v/>
      </c>
      <c r="R23" s="36" t="str">
        <f>IF($I23="","",IF(R$4="","",IF('Control Panel'!R22="",VLOOKUP($E23,'Table Output'!$A$2:$BR$1048576,MATCH(R$4,'Table Output'!$A$1:$BQ$1,0),),'Control Panel'!R22)))</f>
        <v/>
      </c>
      <c r="S23" s="36" t="str">
        <f>IF($I23="","",IF(S$4="","",IF('Control Panel'!S22="",VLOOKUP($E23,'Table Output'!$A$2:$BR$1048576,MATCH(S$4,'Table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Output'!$A$2:$BR$1048576,MATCH(J$4,'Table Output'!$A$1:$BQ$1,0),),'Control Panel'!J23)))</f>
        <v/>
      </c>
      <c r="K24" s="36" t="str">
        <f>IF($I24="","",IF(K$4="","",IF('Control Panel'!K23="",VLOOKUP($E24,'Table Output'!$A$2:$BR$1048576,MATCH(K$4,'Table Output'!$A$1:$BQ$1,0),),'Control Panel'!K23)))</f>
        <v/>
      </c>
      <c r="L24" s="36" t="str">
        <f>IF($I24="","",IF(L$4="","",IF('Control Panel'!L23="",VLOOKUP($E24,'Table Output'!$A$2:$BR$1048576,MATCH(L$4,'Table Output'!$A$1:$BQ$1,0),),'Control Panel'!L23)))</f>
        <v/>
      </c>
      <c r="M24" s="36" t="str">
        <f>IF($I24="","",IF(M$4="","",IF('Control Panel'!M23="",VLOOKUP($E24,'Table Output'!$A$2:$BR$1048576,MATCH(M$4,'Table Output'!$A$1:$BQ$1,0),),'Control Panel'!M23)))</f>
        <v/>
      </c>
      <c r="N24" s="36" t="str">
        <f>IF($I24="","",IF(N$4="","",IF('Control Panel'!N23="",VLOOKUP($E24,'Table Output'!$A$2:$BR$1048576,MATCH(N$4,'Table Output'!$A$1:$BQ$1,0),),'Control Panel'!N23)))</f>
        <v/>
      </c>
      <c r="O24" s="36" t="str">
        <f>IF($I24="","",IF(O$4="","",IF('Control Panel'!O23="",VLOOKUP($E24,'Table Output'!$A$2:$BR$1048576,MATCH(O$4,'Table Output'!$A$1:$BQ$1,0),),'Control Panel'!O23)))</f>
        <v/>
      </c>
      <c r="P24" s="36" t="str">
        <f>IF($I24="","",IF(P$4="","",IF('Control Panel'!P23="",VLOOKUP($E24,'Table Output'!$A$2:$BR$1048576,MATCH(P$4,'Table Output'!$A$1:$BQ$1,0),),'Control Panel'!P23)))</f>
        <v/>
      </c>
      <c r="Q24" s="36" t="str">
        <f>IF($I24="","",IF(Q$4="","",IF('Control Panel'!Q23="",VLOOKUP($E24,'Table Output'!$A$2:$BR$1048576,MATCH(Q$4,'Table Output'!$A$1:$BQ$1,0),),'Control Panel'!Q23)))</f>
        <v/>
      </c>
      <c r="R24" s="36" t="str">
        <f>IF($I24="","",IF(R$4="","",IF('Control Panel'!R23="",VLOOKUP($E24,'Table Output'!$A$2:$BR$1048576,MATCH(R$4,'Table Output'!$A$1:$BQ$1,0),),'Control Panel'!R23)))</f>
        <v/>
      </c>
      <c r="S24" s="36" t="str">
        <f>IF($I24="","",IF(S$4="","",IF('Control Panel'!S23="",VLOOKUP($E24,'Table Output'!$A$2:$BR$1048576,MATCH(S$4,'Table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Output'!$A$2:$BR$1048576,MATCH(J$4,'Table Output'!$A$1:$BQ$1,0),),'Control Panel'!J24)))</f>
        <v/>
      </c>
      <c r="K25" s="36" t="str">
        <f>IF($I25="","",IF(K$4="","",IF('Control Panel'!K24="",VLOOKUP($E25,'Table Output'!$A$2:$BR$1048576,MATCH(K$4,'Table Output'!$A$1:$BQ$1,0),),'Control Panel'!K24)))</f>
        <v/>
      </c>
      <c r="L25" s="36" t="str">
        <f>IF($I25="","",IF(L$4="","",IF('Control Panel'!L24="",VLOOKUP($E25,'Table Output'!$A$2:$BR$1048576,MATCH(L$4,'Table Output'!$A$1:$BQ$1,0),),'Control Panel'!L24)))</f>
        <v/>
      </c>
      <c r="M25" s="36" t="str">
        <f>IF($I25="","",IF(M$4="","",IF('Control Panel'!M24="",VLOOKUP($E25,'Table Output'!$A$2:$BR$1048576,MATCH(M$4,'Table Output'!$A$1:$BQ$1,0),),'Control Panel'!M24)))</f>
        <v/>
      </c>
      <c r="N25" s="36" t="str">
        <f>IF($I25="","",IF(N$4="","",IF('Control Panel'!N24="",VLOOKUP($E25,'Table Output'!$A$2:$BR$1048576,MATCH(N$4,'Table Output'!$A$1:$BQ$1,0),),'Control Panel'!N24)))</f>
        <v/>
      </c>
      <c r="O25" s="36" t="str">
        <f>IF($I25="","",IF(O$4="","",IF('Control Panel'!O24="",VLOOKUP($E25,'Table Output'!$A$2:$BR$1048576,MATCH(O$4,'Table Output'!$A$1:$BQ$1,0),),'Control Panel'!O24)))</f>
        <v/>
      </c>
      <c r="P25" s="36" t="str">
        <f>IF($I25="","",IF(P$4="","",IF('Control Panel'!P24="",VLOOKUP($E25,'Table Output'!$A$2:$BR$1048576,MATCH(P$4,'Table Output'!$A$1:$BQ$1,0),),'Control Panel'!P24)))</f>
        <v/>
      </c>
      <c r="Q25" s="36" t="str">
        <f>IF($I25="","",IF(Q$4="","",IF('Control Panel'!Q24="",VLOOKUP($E25,'Table Output'!$A$2:$BR$1048576,MATCH(Q$4,'Table Output'!$A$1:$BQ$1,0),),'Control Panel'!Q24)))</f>
        <v/>
      </c>
      <c r="R25" s="36" t="str">
        <f>IF($I25="","",IF(R$4="","",IF('Control Panel'!R24="",VLOOKUP($E25,'Table Output'!$A$2:$BR$1048576,MATCH(R$4,'Table Output'!$A$1:$BQ$1,0),),'Control Panel'!R24)))</f>
        <v/>
      </c>
      <c r="S25" s="36" t="str">
        <f>IF($I25="","",IF(S$4="","",IF('Control Panel'!S24="",VLOOKUP($E25,'Table Output'!$A$2:$BR$1048576,MATCH(S$4,'Table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Output'!$A$2:$BR$1048576,MATCH(J$4,'Table Output'!$A$1:$BQ$1,0),),'Control Panel'!J25)))</f>
        <v/>
      </c>
      <c r="K26" s="36" t="str">
        <f>IF($I26="","",IF(K$4="","",IF('Control Panel'!K25="",VLOOKUP($E26,'Table Output'!$A$2:$BR$1048576,MATCH(K$4,'Table Output'!$A$1:$BQ$1,0),),'Control Panel'!K25)))</f>
        <v/>
      </c>
      <c r="L26" s="36" t="str">
        <f>IF($I26="","",IF(L$4="","",IF('Control Panel'!L25="",VLOOKUP($E26,'Table Output'!$A$2:$BR$1048576,MATCH(L$4,'Table Output'!$A$1:$BQ$1,0),),'Control Panel'!L25)))</f>
        <v/>
      </c>
      <c r="M26" s="36" t="str">
        <f>IF($I26="","",IF(M$4="","",IF('Control Panel'!M25="",VLOOKUP($E26,'Table Output'!$A$2:$BR$1048576,MATCH(M$4,'Table Output'!$A$1:$BQ$1,0),),'Control Panel'!M25)))</f>
        <v/>
      </c>
      <c r="N26" s="36" t="str">
        <f>IF($I26="","",IF(N$4="","",IF('Control Panel'!N25="",VLOOKUP($E26,'Table Output'!$A$2:$BR$1048576,MATCH(N$4,'Table Output'!$A$1:$BQ$1,0),),'Control Panel'!N25)))</f>
        <v/>
      </c>
      <c r="O26" s="36" t="str">
        <f>IF($I26="","",IF(O$4="","",IF('Control Panel'!O25="",VLOOKUP($E26,'Table Output'!$A$2:$BR$1048576,MATCH(O$4,'Table Output'!$A$1:$BQ$1,0),),'Control Panel'!O25)))</f>
        <v/>
      </c>
      <c r="P26" s="36" t="str">
        <f>IF($I26="","",IF(P$4="","",IF('Control Panel'!P25="",VLOOKUP($E26,'Table Output'!$A$2:$BR$1048576,MATCH(P$4,'Table Output'!$A$1:$BQ$1,0),),'Control Panel'!P25)))</f>
        <v/>
      </c>
      <c r="Q26" s="36" t="str">
        <f>IF($I26="","",IF(Q$4="","",IF('Control Panel'!Q25="",VLOOKUP($E26,'Table Output'!$A$2:$BR$1048576,MATCH(Q$4,'Table Output'!$A$1:$BQ$1,0),),'Control Panel'!Q25)))</f>
        <v/>
      </c>
      <c r="R26" s="36" t="str">
        <f>IF($I26="","",IF(R$4="","",IF('Control Panel'!R25="",VLOOKUP($E26,'Table Output'!$A$2:$BR$1048576,MATCH(R$4,'Table Output'!$A$1:$BQ$1,0),),'Control Panel'!R25)))</f>
        <v/>
      </c>
      <c r="S26" s="36" t="str">
        <f>IF($I26="","",IF(S$4="","",IF('Control Panel'!S25="",VLOOKUP($E26,'Table Output'!$A$2:$BR$1048576,MATCH(S$4,'Table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Output'!$A$2:$BR$1048576,MATCH(J$4,'Table Output'!$A$1:$BQ$1,0),),'Control Panel'!J26)))</f>
        <v/>
      </c>
      <c r="K27" s="36" t="str">
        <f>IF($I27="","",IF(K$4="","",IF('Control Panel'!K26="",VLOOKUP($E27,'Table Output'!$A$2:$BR$1048576,MATCH(K$4,'Table Output'!$A$1:$BQ$1,0),),'Control Panel'!K26)))</f>
        <v/>
      </c>
      <c r="L27" s="36" t="str">
        <f>IF($I27="","",IF(L$4="","",IF('Control Panel'!L26="",VLOOKUP($E27,'Table Output'!$A$2:$BR$1048576,MATCH(L$4,'Table Output'!$A$1:$BQ$1,0),),'Control Panel'!L26)))</f>
        <v/>
      </c>
      <c r="M27" s="36" t="str">
        <f>IF($I27="","",IF(M$4="","",IF('Control Panel'!M26="",VLOOKUP($E27,'Table Output'!$A$2:$BR$1048576,MATCH(M$4,'Table Output'!$A$1:$BQ$1,0),),'Control Panel'!M26)))</f>
        <v/>
      </c>
      <c r="N27" s="36" t="str">
        <f>IF($I27="","",IF(N$4="","",IF('Control Panel'!N26="",VLOOKUP($E27,'Table Output'!$A$2:$BR$1048576,MATCH(N$4,'Table Output'!$A$1:$BQ$1,0),),'Control Panel'!N26)))</f>
        <v/>
      </c>
      <c r="O27" s="36" t="str">
        <f>IF($I27="","",IF(O$4="","",IF('Control Panel'!O26="",VLOOKUP($E27,'Table Output'!$A$2:$BR$1048576,MATCH(O$4,'Table Output'!$A$1:$BQ$1,0),),'Control Panel'!O26)))</f>
        <v/>
      </c>
      <c r="P27" s="36" t="str">
        <f>IF($I27="","",IF(P$4="","",IF('Control Panel'!P26="",VLOOKUP($E27,'Table Output'!$A$2:$BR$1048576,MATCH(P$4,'Table Output'!$A$1:$BQ$1,0),),'Control Panel'!P26)))</f>
        <v/>
      </c>
      <c r="Q27" s="36" t="str">
        <f>IF($I27="","",IF(Q$4="","",IF('Control Panel'!Q26="",VLOOKUP($E27,'Table Output'!$A$2:$BR$1048576,MATCH(Q$4,'Table Output'!$A$1:$BQ$1,0),),'Control Panel'!Q26)))</f>
        <v/>
      </c>
      <c r="R27" s="36" t="str">
        <f>IF($I27="","",IF(R$4="","",IF('Control Panel'!R26="",VLOOKUP($E27,'Table Output'!$A$2:$BR$1048576,MATCH(R$4,'Table Output'!$A$1:$BQ$1,0),),'Control Panel'!R26)))</f>
        <v/>
      </c>
      <c r="S27" s="36" t="str">
        <f>IF($I27="","",IF(S$4="","",IF('Control Panel'!S26="",VLOOKUP($E27,'Table Output'!$A$2:$BR$1048576,MATCH(S$4,'Table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Output'!$A$2:$BR$1048576,MATCH(J$4,'Table Output'!$A$1:$BQ$1,0),),'Control Panel'!J27)))</f>
        <v/>
      </c>
      <c r="K28" s="36" t="str">
        <f>IF($I28="","",IF(K$4="","",IF('Control Panel'!K27="",VLOOKUP($E28,'Table Output'!$A$2:$BR$1048576,MATCH(K$4,'Table Output'!$A$1:$BQ$1,0),),'Control Panel'!K27)))</f>
        <v/>
      </c>
      <c r="L28" s="36" t="str">
        <f>IF($I28="","",IF(L$4="","",IF('Control Panel'!L27="",VLOOKUP($E28,'Table Output'!$A$2:$BR$1048576,MATCH(L$4,'Table Output'!$A$1:$BQ$1,0),),'Control Panel'!L27)))</f>
        <v/>
      </c>
      <c r="M28" s="36" t="str">
        <f>IF($I28="","",IF(M$4="","",IF('Control Panel'!M27="",VLOOKUP($E28,'Table Output'!$A$2:$BR$1048576,MATCH(M$4,'Table Output'!$A$1:$BQ$1,0),),'Control Panel'!M27)))</f>
        <v/>
      </c>
      <c r="N28" s="36" t="str">
        <f>IF($I28="","",IF(N$4="","",IF('Control Panel'!N27="",VLOOKUP($E28,'Table Output'!$A$2:$BR$1048576,MATCH(N$4,'Table Output'!$A$1:$BQ$1,0),),'Control Panel'!N27)))</f>
        <v/>
      </c>
      <c r="O28" s="36" t="str">
        <f>IF($I28="","",IF(O$4="","",IF('Control Panel'!O27="",VLOOKUP($E28,'Table Output'!$A$2:$BR$1048576,MATCH(O$4,'Table Output'!$A$1:$BQ$1,0),),'Control Panel'!O27)))</f>
        <v/>
      </c>
      <c r="P28" s="36" t="str">
        <f>IF($I28="","",IF(P$4="","",IF('Control Panel'!P27="",VLOOKUP($E28,'Table Output'!$A$2:$BR$1048576,MATCH(P$4,'Table Output'!$A$1:$BQ$1,0),),'Control Panel'!P27)))</f>
        <v/>
      </c>
      <c r="Q28" s="36" t="str">
        <f>IF($I28="","",IF(Q$4="","",IF('Control Panel'!Q27="",VLOOKUP($E28,'Table Output'!$A$2:$BR$1048576,MATCH(Q$4,'Table Output'!$A$1:$BQ$1,0),),'Control Panel'!Q27)))</f>
        <v/>
      </c>
      <c r="R28" s="36" t="str">
        <f>IF($I28="","",IF(R$4="","",IF('Control Panel'!R27="",VLOOKUP($E28,'Table Output'!$A$2:$BR$1048576,MATCH(R$4,'Table Output'!$A$1:$BQ$1,0),),'Control Panel'!R27)))</f>
        <v/>
      </c>
      <c r="S28" s="36" t="str">
        <f>IF($I28="","",IF(S$4="","",IF('Control Panel'!S27="",VLOOKUP($E28,'Table Output'!$A$2:$BR$1048576,MATCH(S$4,'Table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Output'!$A$2:$BR$1048576,MATCH(J$4,'Table Output'!$A$1:$BQ$1,0),),'Control Panel'!J28)))</f>
        <v/>
      </c>
      <c r="K29" s="36" t="str">
        <f>IF($I29="","",IF(K$4="","",IF('Control Panel'!K28="",VLOOKUP($E29,'Table Output'!$A$2:$BR$1048576,MATCH(K$4,'Table Output'!$A$1:$BQ$1,0),),'Control Panel'!K28)))</f>
        <v/>
      </c>
      <c r="L29" s="36" t="str">
        <f>IF($I29="","",IF(L$4="","",IF('Control Panel'!L28="",VLOOKUP($E29,'Table Output'!$A$2:$BR$1048576,MATCH(L$4,'Table Output'!$A$1:$BQ$1,0),),'Control Panel'!L28)))</f>
        <v/>
      </c>
      <c r="M29" s="36" t="str">
        <f>IF($I29="","",IF(M$4="","",IF('Control Panel'!M28="",VLOOKUP($E29,'Table Output'!$A$2:$BR$1048576,MATCH(M$4,'Table Output'!$A$1:$BQ$1,0),),'Control Panel'!M28)))</f>
        <v/>
      </c>
      <c r="N29" s="36" t="str">
        <f>IF($I29="","",IF(N$4="","",IF('Control Panel'!N28="",VLOOKUP($E29,'Table Output'!$A$2:$BR$1048576,MATCH(N$4,'Table Output'!$A$1:$BQ$1,0),),'Control Panel'!N28)))</f>
        <v/>
      </c>
      <c r="O29" s="36" t="str">
        <f>IF($I29="","",IF(O$4="","",IF('Control Panel'!O28="",VLOOKUP($E29,'Table Output'!$A$2:$BR$1048576,MATCH(O$4,'Table Output'!$A$1:$BQ$1,0),),'Control Panel'!O28)))</f>
        <v/>
      </c>
      <c r="P29" s="36" t="str">
        <f>IF($I29="","",IF(P$4="","",IF('Control Panel'!P28="",VLOOKUP($E29,'Table Output'!$A$2:$BR$1048576,MATCH(P$4,'Table Output'!$A$1:$BQ$1,0),),'Control Panel'!P28)))</f>
        <v/>
      </c>
      <c r="Q29" s="36" t="str">
        <f>IF($I29="","",IF(Q$4="","",IF('Control Panel'!Q28="",VLOOKUP($E29,'Table Output'!$A$2:$BR$1048576,MATCH(Q$4,'Table Output'!$A$1:$BQ$1,0),),'Control Panel'!Q28)))</f>
        <v/>
      </c>
      <c r="R29" s="36" t="str">
        <f>IF($I29="","",IF(R$4="","",IF('Control Panel'!R28="",VLOOKUP($E29,'Table Output'!$A$2:$BR$1048576,MATCH(R$4,'Table Output'!$A$1:$BQ$1,0),),'Control Panel'!R28)))</f>
        <v/>
      </c>
      <c r="S29" s="36" t="str">
        <f>IF($I29="","",IF(S$4="","",IF('Control Panel'!S28="",VLOOKUP($E29,'Table Output'!$A$2:$BR$1048576,MATCH(S$4,'Table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Output'!$A$2:$BR$1048576,MATCH(J$4,'Table Output'!$A$1:$BQ$1,0),),'Control Panel'!J29)))</f>
        <v/>
      </c>
      <c r="K30" s="36" t="str">
        <f>IF($I30="","",IF(K$4="","",IF('Control Panel'!K29="",VLOOKUP($E30,'Table Output'!$A$2:$BR$1048576,MATCH(K$4,'Table Output'!$A$1:$BQ$1,0),),'Control Panel'!K29)))</f>
        <v/>
      </c>
      <c r="L30" s="36" t="str">
        <f>IF($I30="","",IF(L$4="","",IF('Control Panel'!L29="",VLOOKUP($E30,'Table Output'!$A$2:$BR$1048576,MATCH(L$4,'Table Output'!$A$1:$BQ$1,0),),'Control Panel'!L29)))</f>
        <v/>
      </c>
      <c r="M30" s="36" t="str">
        <f>IF($I30="","",IF(M$4="","",IF('Control Panel'!M29="",VLOOKUP($E30,'Table Output'!$A$2:$BR$1048576,MATCH(M$4,'Table Output'!$A$1:$BQ$1,0),),'Control Panel'!M29)))</f>
        <v/>
      </c>
      <c r="N30" s="36" t="str">
        <f>IF($I30="","",IF(N$4="","",IF('Control Panel'!N29="",VLOOKUP($E30,'Table Output'!$A$2:$BR$1048576,MATCH(N$4,'Table Output'!$A$1:$BQ$1,0),),'Control Panel'!N29)))</f>
        <v/>
      </c>
      <c r="O30" s="36" t="str">
        <f>IF($I30="","",IF(O$4="","",IF('Control Panel'!O29="",VLOOKUP($E30,'Table Output'!$A$2:$BR$1048576,MATCH(O$4,'Table Output'!$A$1:$BQ$1,0),),'Control Panel'!O29)))</f>
        <v/>
      </c>
      <c r="P30" s="36" t="str">
        <f>IF($I30="","",IF(P$4="","",IF('Control Panel'!P29="",VLOOKUP($E30,'Table Output'!$A$2:$BR$1048576,MATCH(P$4,'Table Output'!$A$1:$BQ$1,0),),'Control Panel'!P29)))</f>
        <v/>
      </c>
      <c r="Q30" s="36" t="str">
        <f>IF($I30="","",IF(Q$4="","",IF('Control Panel'!Q29="",VLOOKUP($E30,'Table Output'!$A$2:$BR$1048576,MATCH(Q$4,'Table Output'!$A$1:$BQ$1,0),),'Control Panel'!Q29)))</f>
        <v/>
      </c>
      <c r="R30" s="36" t="str">
        <f>IF($I30="","",IF(R$4="","",IF('Control Panel'!R29="",VLOOKUP($E30,'Table Output'!$A$2:$BR$1048576,MATCH(R$4,'Table Output'!$A$1:$BQ$1,0),),'Control Panel'!R29)))</f>
        <v/>
      </c>
      <c r="S30" s="36" t="str">
        <f>IF($I30="","",IF(S$4="","",IF('Control Panel'!S29="",VLOOKUP($E30,'Table Output'!$A$2:$BR$1048576,MATCH(S$4,'Table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Output'!$A$2:$BR$1048576,MATCH(J$4,'Table Output'!$A$1:$BQ$1,0),),'Control Panel'!J30)))</f>
        <v/>
      </c>
      <c r="K31" s="36" t="str">
        <f>IF($I31="","",IF(K$4="","",IF('Control Panel'!K30="",VLOOKUP($E31,'Table Output'!$A$2:$BR$1048576,MATCH(K$4,'Table Output'!$A$1:$BQ$1,0),),'Control Panel'!K30)))</f>
        <v/>
      </c>
      <c r="L31" s="36" t="str">
        <f>IF($I31="","",IF(L$4="","",IF('Control Panel'!L30="",VLOOKUP($E31,'Table Output'!$A$2:$BR$1048576,MATCH(L$4,'Table Output'!$A$1:$BQ$1,0),),'Control Panel'!L30)))</f>
        <v/>
      </c>
      <c r="M31" s="36" t="str">
        <f>IF($I31="","",IF(M$4="","",IF('Control Panel'!M30="",VLOOKUP($E31,'Table Output'!$A$2:$BR$1048576,MATCH(M$4,'Table Output'!$A$1:$BQ$1,0),),'Control Panel'!M30)))</f>
        <v/>
      </c>
      <c r="N31" s="36" t="str">
        <f>IF($I31="","",IF(N$4="","",IF('Control Panel'!N30="",VLOOKUP($E31,'Table Output'!$A$2:$BR$1048576,MATCH(N$4,'Table Output'!$A$1:$BQ$1,0),),'Control Panel'!N30)))</f>
        <v/>
      </c>
      <c r="O31" s="36" t="str">
        <f>IF($I31="","",IF(O$4="","",IF('Control Panel'!O30="",VLOOKUP($E31,'Table Output'!$A$2:$BR$1048576,MATCH(O$4,'Table Output'!$A$1:$BQ$1,0),),'Control Panel'!O30)))</f>
        <v/>
      </c>
      <c r="P31" s="36" t="str">
        <f>IF($I31="","",IF(P$4="","",IF('Control Panel'!P30="",VLOOKUP($E31,'Table Output'!$A$2:$BR$1048576,MATCH(P$4,'Table Output'!$A$1:$BQ$1,0),),'Control Panel'!P30)))</f>
        <v/>
      </c>
      <c r="Q31" s="36" t="str">
        <f>IF($I31="","",IF(Q$4="","",IF('Control Panel'!Q30="",VLOOKUP($E31,'Table Output'!$A$2:$BR$1048576,MATCH(Q$4,'Table Output'!$A$1:$BQ$1,0),),'Control Panel'!Q30)))</f>
        <v/>
      </c>
      <c r="R31" s="36" t="str">
        <f>IF($I31="","",IF(R$4="","",IF('Control Panel'!R30="",VLOOKUP($E31,'Table Output'!$A$2:$BR$1048576,MATCH(R$4,'Table Output'!$A$1:$BQ$1,0),),'Control Panel'!R30)))</f>
        <v/>
      </c>
      <c r="S31" s="36" t="str">
        <f>IF($I31="","",IF(S$4="","",IF('Control Panel'!S30="",VLOOKUP($E31,'Table Output'!$A$2:$BR$1048576,MATCH(S$4,'Table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Output'!$A$2:$BR$1048576,MATCH(J$4,'Table Output'!$A$1:$BQ$1,0),),'Control Panel'!J31)))</f>
        <v/>
      </c>
      <c r="K32" s="36" t="str">
        <f>IF($I32="","",IF(K$4="","",IF('Control Panel'!K31="",VLOOKUP($E32,'Table Output'!$A$2:$BR$1048576,MATCH(K$4,'Table Output'!$A$1:$BQ$1,0),),'Control Panel'!K31)))</f>
        <v/>
      </c>
      <c r="L32" s="36" t="str">
        <f>IF($I32="","",IF(L$4="","",IF('Control Panel'!L31="",VLOOKUP($E32,'Table Output'!$A$2:$BR$1048576,MATCH(L$4,'Table Output'!$A$1:$BQ$1,0),),'Control Panel'!L31)))</f>
        <v/>
      </c>
      <c r="M32" s="36" t="str">
        <f>IF($I32="","",IF(M$4="","",IF('Control Panel'!M31="",VLOOKUP($E32,'Table Output'!$A$2:$BR$1048576,MATCH(M$4,'Table Output'!$A$1:$BQ$1,0),),'Control Panel'!M31)))</f>
        <v/>
      </c>
      <c r="N32" s="36" t="str">
        <f>IF($I32="","",IF(N$4="","",IF('Control Panel'!N31="",VLOOKUP($E32,'Table Output'!$A$2:$BR$1048576,MATCH(N$4,'Table Output'!$A$1:$BQ$1,0),),'Control Panel'!N31)))</f>
        <v/>
      </c>
      <c r="O32" s="36" t="str">
        <f>IF($I32="","",IF(O$4="","",IF('Control Panel'!O31="",VLOOKUP($E32,'Table Output'!$A$2:$BR$1048576,MATCH(O$4,'Table Output'!$A$1:$BQ$1,0),),'Control Panel'!O31)))</f>
        <v/>
      </c>
      <c r="P32" s="36" t="str">
        <f>IF($I32="","",IF(P$4="","",IF('Control Panel'!P31="",VLOOKUP($E32,'Table Output'!$A$2:$BR$1048576,MATCH(P$4,'Table Output'!$A$1:$BQ$1,0),),'Control Panel'!P31)))</f>
        <v/>
      </c>
      <c r="Q32" s="36" t="str">
        <f>IF($I32="","",IF(Q$4="","",IF('Control Panel'!Q31="",VLOOKUP($E32,'Table Output'!$A$2:$BR$1048576,MATCH(Q$4,'Table Output'!$A$1:$BQ$1,0),),'Control Panel'!Q31)))</f>
        <v/>
      </c>
      <c r="R32" s="36" t="str">
        <f>IF($I32="","",IF(R$4="","",IF('Control Panel'!R31="",VLOOKUP($E32,'Table Output'!$A$2:$BR$1048576,MATCH(R$4,'Table Output'!$A$1:$BQ$1,0),),'Control Panel'!R31)))</f>
        <v/>
      </c>
      <c r="S32" s="36" t="str">
        <f>IF($I32="","",IF(S$4="","",IF('Control Panel'!S31="",VLOOKUP($E32,'Table Output'!$A$2:$BR$1048576,MATCH(S$4,'Table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Output'!$A$2:$BR$1048576,MATCH(J$4,'Table Output'!$A$1:$BQ$1,0),),'Control Panel'!J32)))</f>
        <v/>
      </c>
      <c r="K33" s="36" t="str">
        <f>IF($I33="","",IF(K$4="","",IF('Control Panel'!K32="",VLOOKUP($E33,'Table Output'!$A$2:$BR$1048576,MATCH(K$4,'Table Output'!$A$1:$BQ$1,0),),'Control Panel'!K32)))</f>
        <v/>
      </c>
      <c r="L33" s="36" t="str">
        <f>IF($I33="","",IF(L$4="","",IF('Control Panel'!L32="",VLOOKUP($E33,'Table Output'!$A$2:$BR$1048576,MATCH(L$4,'Table Output'!$A$1:$BQ$1,0),),'Control Panel'!L32)))</f>
        <v/>
      </c>
      <c r="M33" s="36" t="str">
        <f>IF($I33="","",IF(M$4="","",IF('Control Panel'!M32="",VLOOKUP($E33,'Table Output'!$A$2:$BR$1048576,MATCH(M$4,'Table Output'!$A$1:$BQ$1,0),),'Control Panel'!M32)))</f>
        <v/>
      </c>
      <c r="N33" s="36" t="str">
        <f>IF($I33="","",IF(N$4="","",IF('Control Panel'!N32="",VLOOKUP($E33,'Table Output'!$A$2:$BR$1048576,MATCH(N$4,'Table Output'!$A$1:$BQ$1,0),),'Control Panel'!N32)))</f>
        <v/>
      </c>
      <c r="O33" s="36" t="str">
        <f>IF($I33="","",IF(O$4="","",IF('Control Panel'!O32="",VLOOKUP($E33,'Table Output'!$A$2:$BR$1048576,MATCH(O$4,'Table Output'!$A$1:$BQ$1,0),),'Control Panel'!O32)))</f>
        <v/>
      </c>
      <c r="P33" s="36" t="str">
        <f>IF($I33="","",IF(P$4="","",IF('Control Panel'!P32="",VLOOKUP($E33,'Table Output'!$A$2:$BR$1048576,MATCH(P$4,'Table Output'!$A$1:$BQ$1,0),),'Control Panel'!P32)))</f>
        <v/>
      </c>
      <c r="Q33" s="36" t="str">
        <f>IF($I33="","",IF(Q$4="","",IF('Control Panel'!Q32="",VLOOKUP($E33,'Table Output'!$A$2:$BR$1048576,MATCH(Q$4,'Table Output'!$A$1:$BQ$1,0),),'Control Panel'!Q32)))</f>
        <v/>
      </c>
      <c r="R33" s="36" t="str">
        <f>IF($I33="","",IF(R$4="","",IF('Control Panel'!R32="",VLOOKUP($E33,'Table Output'!$A$2:$BR$1048576,MATCH(R$4,'Table Output'!$A$1:$BQ$1,0),),'Control Panel'!R32)))</f>
        <v/>
      </c>
      <c r="S33" s="36" t="str">
        <f>IF($I33="","",IF(S$4="","",IF('Control Panel'!S32="",VLOOKUP($E33,'Table Output'!$A$2:$BR$1048576,MATCH(S$4,'Table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Output'!$A$2:$BR$1048576,MATCH(J$4,'Table Output'!$A$1:$BQ$1,0),),'Control Panel'!J33)))</f>
        <v/>
      </c>
      <c r="K34" s="36" t="str">
        <f>IF($I34="","",IF(K$4="","",IF('Control Panel'!K33="",VLOOKUP($E34,'Table Output'!$A$2:$BR$1048576,MATCH(K$4,'Table Output'!$A$1:$BQ$1,0),),'Control Panel'!K33)))</f>
        <v/>
      </c>
      <c r="L34" s="36" t="str">
        <f>IF($I34="","",IF(L$4="","",IF('Control Panel'!L33="",VLOOKUP($E34,'Table Output'!$A$2:$BR$1048576,MATCH(L$4,'Table Output'!$A$1:$BQ$1,0),),'Control Panel'!L33)))</f>
        <v/>
      </c>
      <c r="M34" s="36" t="str">
        <f>IF($I34="","",IF(M$4="","",IF('Control Panel'!M33="",VLOOKUP($E34,'Table Output'!$A$2:$BR$1048576,MATCH(M$4,'Table Output'!$A$1:$BQ$1,0),),'Control Panel'!M33)))</f>
        <v/>
      </c>
      <c r="N34" s="36" t="str">
        <f>IF($I34="","",IF(N$4="","",IF('Control Panel'!N33="",VLOOKUP($E34,'Table Output'!$A$2:$BR$1048576,MATCH(N$4,'Table Output'!$A$1:$BQ$1,0),),'Control Panel'!N33)))</f>
        <v/>
      </c>
      <c r="O34" s="36" t="str">
        <f>IF($I34="","",IF(O$4="","",IF('Control Panel'!O33="",VLOOKUP($E34,'Table Output'!$A$2:$BR$1048576,MATCH(O$4,'Table Output'!$A$1:$BQ$1,0),),'Control Panel'!O33)))</f>
        <v/>
      </c>
      <c r="P34" s="36" t="str">
        <f>IF($I34="","",IF(P$4="","",IF('Control Panel'!P33="",VLOOKUP($E34,'Table Output'!$A$2:$BR$1048576,MATCH(P$4,'Table Output'!$A$1:$BQ$1,0),),'Control Panel'!P33)))</f>
        <v/>
      </c>
      <c r="Q34" s="36" t="str">
        <f>IF($I34="","",IF(Q$4="","",IF('Control Panel'!Q33="",VLOOKUP($E34,'Table Output'!$A$2:$BR$1048576,MATCH(Q$4,'Table Output'!$A$1:$BQ$1,0),),'Control Panel'!Q33)))</f>
        <v/>
      </c>
      <c r="R34" s="36" t="str">
        <f>IF($I34="","",IF(R$4="","",IF('Control Panel'!R33="",VLOOKUP($E34,'Table Output'!$A$2:$BR$1048576,MATCH(R$4,'Table Output'!$A$1:$BQ$1,0),),'Control Panel'!R33)))</f>
        <v/>
      </c>
      <c r="S34" s="36" t="str">
        <f>IF($I34="","",IF(S$4="","",IF('Control Panel'!S33="",VLOOKUP($E34,'Table Output'!$A$2:$BR$1048576,MATCH(S$4,'Table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21" t="s">
        <v>154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p_u_1</v>
      </c>
      <c r="L37" s="32" t="str">
        <f t="shared" si="2"/>
        <v>k_p_1</v>
      </c>
      <c r="M37" s="32" t="str">
        <f t="shared" si="2"/>
        <v>n_p_1</v>
      </c>
      <c r="N37" s="32" t="str">
        <f t="shared" si="2"/>
        <v>k_p_2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>Cowden_Clay</v>
      </c>
      <c r="I38" s="7">
        <f>I5</f>
        <v>1</v>
      </c>
      <c r="J38" s="44">
        <f>IF($I38="","",IF(J$37="","",IF('Control Panel'!J38="",IF(VLOOKUP($E38,'Table Output'!$A$2:$E$99998,5,FALSE)="Sand",VLOOKUP(J$37,BoundParameters_HiddenSheetSAND!$B$3:$E$50,MATCH(VLOOKUP($I38,$I$5:$AJ$29,MATCH(VLOOKUP(J$37,$BH$3:$BI$50,2,FALSE),$I$4:$AJ$4,0),FALSE),BoundParameters_HiddenSheetCLAY!$B$1:$E$1,0),FALSE),IF(VLOOKUP($E38,'Table Output'!$A$2:$E$99998,5,FALSE)="Clay",VLOOKUP(J$37,BoundParameters_HiddenSheetCLAY!$B$3:$E$50,MATCH(VLOOKUP($I38,$I$5:$AJ$35,MATCH(VLOOKUP(J$37,$BH$3:$BI$50,2,FALSE),$I$4:$AJ$4,0),FALSE),BoundParameters_HiddenSheetCLAY!$B$1:$E$1,0),FALSE))),'Control Panel'!J38)))</f>
        <v>30</v>
      </c>
      <c r="K38" s="44">
        <f>IF($I38="","",IF(K$37="","",IF('Control Panel'!K38="",IF(VLOOKUP($E38,'Table Output'!$A$2:$E$99998,5,FALSE)="Sand",VLOOKUP(K$37,BoundParameters_HiddenSheetSAND!$B$3:$E$50,MATCH(VLOOKUP($I38,$I$5:$AJ$29,MATCH(VLOOKUP(K$37,$BH$3:$BI$50,2,FALSE),$I$4:$AJ$4,0),FALSE),BoundParameters_HiddenSheetCLAY!$B$1:$E$1,0),FALSE),IF(VLOOKUP($E38,'Table Output'!$A$2:$E$99998,5,FALSE)="Clay",VLOOKUP(K$37,BoundParameters_HiddenSheetCLAY!$B$3:$E$50,MATCH(VLOOKUP($I38,$I$5:$AJ$35,MATCH(VLOOKUP(K$37,$BH$3:$BI$50,2,FALSE),$I$4:$AJ$4,0),FALSE),BoundParameters_HiddenSheetCLAY!$B$1:$E$1,0),FALSE))),'Control Panel'!K38)))</f>
        <v>7.2110000000000003</v>
      </c>
      <c r="L38" s="44">
        <f>IF($I38="","",IF(L$37="","",IF('Control Panel'!L38="",IF(VLOOKUP($E38,'Table Output'!$A$2:$E$99998,5,FALSE)="Sand",VLOOKUP(L$37,BoundParameters_HiddenSheetSAND!$B$3:$E$50,MATCH(VLOOKUP($I38,$I$5:$AJ$29,MATCH(VLOOKUP(L$37,$BH$3:$BI$50,2,FALSE),$I$4:$AJ$4,0),FALSE),BoundParameters_HiddenSheetCLAY!$B$1:$E$1,0),FALSE),IF(VLOOKUP($E38,'Table Output'!$A$2:$E$99998,5,FALSE)="Clay",VLOOKUP(L$37,BoundParameters_HiddenSheetCLAY!$B$3:$E$50,MATCH(VLOOKUP($I38,$I$5:$AJ$35,MATCH(VLOOKUP(L$37,$BH$3:$BI$50,2,FALSE),$I$4:$AJ$4,0),FALSE),BoundParameters_HiddenSheetCLAY!$B$1:$E$1,0),FALSE))),'Control Panel'!L38)))</f>
        <v>-2.4</v>
      </c>
      <c r="M38" s="44">
        <f>IF($I38="","",IF(M$37="","",IF('Control Panel'!M38="",IF(VLOOKUP($E38,'Table Output'!$A$2:$E$99998,5,FALSE)="Sand",VLOOKUP(M$37,BoundParameters_HiddenSheetSAND!$B$3:$E$50,MATCH(VLOOKUP($I38,$I$5:$AJ$29,MATCH(VLOOKUP(M$37,$BH$3:$BI$50,2,FALSE),$I$4:$AJ$4,0),FALSE),BoundParameters_HiddenSheetCLAY!$B$1:$E$1,0),FALSE),IF(VLOOKUP($E38,'Table Output'!$A$2:$E$99998,5,FALSE)="Clay",VLOOKUP(M$37,BoundParameters_HiddenSheetCLAY!$B$3:$E$50,MATCH(VLOOKUP($I38,$I$5:$AJ$35,MATCH(VLOOKUP(M$37,$BH$3:$BI$50,2,FALSE),$I$4:$AJ$4,0),FALSE),BoundParameters_HiddenSheetCLAY!$B$1:$E$1,0),FALSE))),'Control Panel'!M38)))</f>
        <v>-1.5</v>
      </c>
      <c r="N38" s="44">
        <f>IF($I38="","",IF(N$37="","",IF('Control Panel'!N38="",IF(VLOOKUP($E38,'Table Output'!$A$2:$E$99998,5,FALSE)="Sand",VLOOKUP(N$37,BoundParameters_HiddenSheetSAND!$B$3:$E$50,MATCH(VLOOKUP($I38,$I$5:$AJ$29,MATCH(VLOOKUP(N$37,$BH$3:$BI$50,2,FALSE),$I$4:$AJ$4,0),FALSE),BoundParameters_HiddenSheetCLAY!$B$1:$E$1,0),FALSE),IF(VLOOKUP($E38,'Table Output'!$A$2:$E$99998,5,FALSE)="Clay",VLOOKUP(N$37,BoundParameters_HiddenSheetCLAY!$B$3:$E$50,MATCH(VLOOKUP($I38,$I$5:$AJ$35,MATCH(VLOOKUP(N$37,$BH$3:$BI$50,2,FALSE),$I$4:$AJ$4,0),FALSE),BoundParameters_HiddenSheetCLAY!$B$1:$E$1,0),FALSE))),'Control Panel'!N38)))</f>
        <v>0.5</v>
      </c>
      <c r="O38" s="44" t="str">
        <f>IF($I38="","",IF(O$37="","",IF('Control Panel'!O38="",IF(VLOOKUP($E38,'Table Output'!$A$2:$E$99998,5,FALSE)="Sand",VLOOKUP(O$37,BoundParameters_HiddenSheetSAND!$B$3:$E$50,MATCH(VLOOKUP($I38,$I$5:$AJ$29,MATCH(VLOOKUP(O$37,$BH$3:$BI$50,2,FALSE),$I$4:$AJ$4,0),FALSE),BoundParameters_HiddenSheetCLAY!$B$1:$E$1,0),FALSE),IF(VLOOKUP($E38,'Table Output'!$A$2:$E$99998,5,FALSE)="Clay",VLOOKUP(O$37,BoundParameters_HiddenSheetCLAY!$B$3:$E$50,MATCH(VLOOKUP($I38,$I$5:$AJ$35,MATCH(VLOOKUP(O$37,$BH$3:$BI$50,2,FALSE),$I$4:$AJ$4,0),FALSE),BoundParameters_HiddenSheetCLAY!$B$1:$E$1,0),FALSE))),'Control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Output'!$A$2:$E$99998,5,FALSE)="Sand",VLOOKUP(P$37,BoundParameters_HiddenSheetSAND!$B$3:$E$50,MATCH(VLOOKUP($I38,$I$5:$AJ$29,MATCH(VLOOKUP(P$37,$BH$3:$BI$50,2,FALSE),$I$4:$AJ$4,0),FALSE),BoundParameters_HiddenSheetCLAY!$B$1:$E$1,0),FALSE),IF(VLOOKUP($E38,'Table Output'!$A$2:$E$99998,5,FALSE)="Clay",VLOOKUP(P$37,BoundParameters_HiddenSheetCLAY!$B$3:$E$50,MATCH(VLOOKUP($I38,$I$5:$AJ$35,MATCH(VLOOKUP(P$37,$BH$3:$BI$50,2,FALSE),$I$4:$AJ$4,0),FALSE),BoundParameters_HiddenSheetCLAY!$B$1:$E$1,0),FALSE))),'Control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Output'!$A$2:$E$99998,5,FALSE)="Sand",VLOOKUP(Q$37,BoundParameters_HiddenSheetSAND!$B$3:$E$50,MATCH(VLOOKUP($I38,$I$5:$AJ$29,MATCH(VLOOKUP(Q$37,$BH$3:$BI$50,2,FALSE),$I$4:$AJ$4,0),FALSE),BoundParameters_HiddenSheetCLAY!$B$1:$E$1,0),FALSE),IF(VLOOKUP($E38,'Table Output'!$A$2:$E$99998,5,FALSE)="Clay",VLOOKUP(Q$37,BoundParameters_HiddenSheetCLAY!$B$3:$E$50,MATCH(VLOOKUP($I38,$I$5:$AJ$35,MATCH(VLOOKUP(Q$37,$BH$3:$BI$50,2,FALSE),$I$4:$AJ$4,0),FALSE),BoundParameters_HiddenSheetCLAY!$B$1:$E$1,0),FALSE))),'Control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Output'!$A$2:$E$99998,5,FALSE)="Sand",VLOOKUP(R$37,BoundParameters_HiddenSheetSAND!$B$3:$E$50,MATCH(VLOOKUP($I38,$I$5:$AJ$29,MATCH(VLOOKUP(R$37,$BH$3:$BI$50,2,FALSE),$I$4:$AJ$4,0),FALSE),BoundParameters_HiddenSheetCLAY!$B$1:$E$1,0),FALSE),IF(VLOOKUP($E38,'Table Output'!$A$2:$E$99998,5,FALSE)="Clay",VLOOKUP(R$37,BoundParameters_HiddenSheetCLAY!$B$3:$E$50,MATCH(VLOOKUP($I38,$I$5:$AJ$35,MATCH(VLOOKUP(R$37,$BH$3:$BI$50,2,FALSE),$I$4:$AJ$4,0),FALSE),BoundParameters_HiddenSheetCLAY!$B$1:$E$1,0),FALSE))),'Control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Output'!$A$2:$E$99998,5,FALSE)="Sand",VLOOKUP(S$37,BoundParameters_HiddenSheetSAND!$B$3:$E$50,MATCH(VLOOKUP($I38,$I$5:$AJ$29,MATCH(VLOOKUP(S$37,$BH$3:$BI$50,2,FALSE),$I$4:$AJ$4,0),FALSE),BoundParameters_HiddenSheetCLAY!$B$1:$E$1,0),FALSE),IF(VLOOKUP($E38,'Table Output'!$A$2:$E$99998,5,FALSE)="Clay",VLOOKUP(S$37,BoundParameters_HiddenSheetCLAY!$B$3:$E$50,MATCH(VLOOKUP($I38,$I$5:$AJ$35,MATCH(VLOOKUP(S$37,$BH$3:$BI$50,2,FALSE),$I$4:$AJ$4,0),FALSE),BoundParameters_HiddenSheetCLAY!$B$1:$E$1,0),FALSE))),'Control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218</v>
      </c>
      <c r="AA38" s="2" t="s">
        <v>219</v>
      </c>
      <c r="AB38" s="2" t="s">
        <v>220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>Sand_75</v>
      </c>
      <c r="I39" s="7">
        <f t="shared" ref="I39:I62" si="4">I6</f>
        <v>2</v>
      </c>
      <c r="J39" s="44">
        <f>IF($I39="","",IF(J$37="","",IF('Control Panel'!J39="",IF(VLOOKUP($E39,'Table Output'!$A$2:$E$99998,5,FALSE)="Sand",VLOOKUP(J$37,BoundParameters_HiddenSheetSAND!$B$3:$E$50,MATCH(VLOOKUP($I39,$I$5:$AJ$29,MATCH(VLOOKUP(J$37,$BH$3:$BI$50,2,FALSE),$I$4:$AJ$4,0),FALSE),BoundParameters_HiddenSheetCLAY!$B$1:$E$1,0),FALSE),IF(VLOOKUP($E39,'Table Output'!$A$2:$E$99998,5,FALSE)="Clay",VLOOKUP(J$37,BoundParameters_HiddenSheetCLAY!$B$3:$E$50,MATCH(VLOOKUP($I39,$I$5:$AJ$35,MATCH(VLOOKUP(J$37,$BH$3:$BI$50,2,FALSE),$I$4:$AJ$4,0),FALSE),BoundParameters_HiddenSheetCLAY!$B$1:$E$1,0),FALSE))),'Control Panel'!J39)))</f>
        <v>30</v>
      </c>
      <c r="K39" s="44">
        <f>IF($I39="","",IF(K$37="","",IF('Control Panel'!K39="",IF(VLOOKUP($E39,'Table Output'!$A$2:$E$99998,5,FALSE)="Sand",VLOOKUP(K$37,BoundParameters_HiddenSheetSAND!$B$3:$E$50,MATCH(VLOOKUP($I39,$I$5:$AJ$29,MATCH(VLOOKUP(K$37,$BH$3:$BI$50,2,FALSE),$I$4:$AJ$4,0),FALSE),BoundParameters_HiddenSheetCLAY!$B$1:$E$1,0),FALSE),IF(VLOOKUP($E39,'Table Output'!$A$2:$E$99998,5,FALSE)="Clay",VLOOKUP(K$37,BoundParameters_HiddenSheetCLAY!$B$3:$E$50,MATCH(VLOOKUP($I39,$I$5:$AJ$35,MATCH(VLOOKUP(K$37,$BH$3:$BI$50,2,FALSE),$I$4:$AJ$4,0),FALSE),BoundParameters_HiddenSheetCLAY!$B$1:$E$1,0),FALSE))),'Control Panel'!K39)))</f>
        <v>-120</v>
      </c>
      <c r="L39" s="44">
        <f>IF($I39="","",IF(L$37="","",IF('Control Panel'!L39="",IF(VLOOKUP($E39,'Table Output'!$A$2:$E$99998,5,FALSE)="Sand",VLOOKUP(L$37,BoundParameters_HiddenSheetSAND!$B$3:$E$50,MATCH(VLOOKUP($I39,$I$5:$AJ$29,MATCH(VLOOKUP(L$37,$BH$3:$BI$50,2,FALSE),$I$4:$AJ$4,0),FALSE),BoundParameters_HiddenSheetCLAY!$B$1:$E$1,0),FALSE),IF(VLOOKUP($E39,'Table Output'!$A$2:$E$99998,5,FALSE)="Clay",VLOOKUP(L$37,BoundParameters_HiddenSheetCLAY!$B$3:$E$50,MATCH(VLOOKUP($I39,$I$5:$AJ$35,MATCH(VLOOKUP(L$37,$BH$3:$BI$50,2,FALSE),$I$4:$AJ$4,0),FALSE),BoundParameters_HiddenSheetCLAY!$B$1:$E$1,0),FALSE))),'Control Panel'!L39)))</f>
        <v>-35</v>
      </c>
      <c r="M39" s="44">
        <f>IF($I39="","",IF(M$37="","",IF('Control Panel'!M39="",IF(VLOOKUP($E39,'Table Output'!$A$2:$E$99998,5,FALSE)="Sand",VLOOKUP(M$37,BoundParameters_HiddenSheetSAND!$B$3:$E$50,MATCH(VLOOKUP($I39,$I$5:$AJ$29,MATCH(VLOOKUP(M$37,$BH$3:$BI$50,2,FALSE),$I$4:$AJ$4,0),FALSE),BoundParameters_HiddenSheetCLAY!$B$1:$E$1,0),FALSE),IF(VLOOKUP($E39,'Table Output'!$A$2:$E$99998,5,FALSE)="Clay",VLOOKUP(M$37,BoundParameters_HiddenSheetCLAY!$B$3:$E$50,MATCH(VLOOKUP($I39,$I$5:$AJ$35,MATCH(VLOOKUP(M$37,$BH$3:$BI$50,2,FALSE),$I$4:$AJ$4,0),FALSE),BoundParameters_HiddenSheetCLAY!$B$1:$E$1,0),FALSE))),'Control Panel'!M39)))</f>
        <v>0</v>
      </c>
      <c r="N39" s="44">
        <f>IF($I39="","",IF(N$37="","",IF('Control Panel'!N39="",IF(VLOOKUP($E39,'Table Output'!$A$2:$E$99998,5,FALSE)="Sand",VLOOKUP(N$37,BoundParameters_HiddenSheetSAND!$B$3:$E$50,MATCH(VLOOKUP($I39,$I$5:$AJ$29,MATCH(VLOOKUP(N$37,$BH$3:$BI$50,2,FALSE),$I$4:$AJ$4,0),FALSE),BoundParameters_HiddenSheetCLAY!$B$1:$E$1,0),FALSE),IF(VLOOKUP($E39,'Table Output'!$A$2:$E$99998,5,FALSE)="Clay",VLOOKUP(N$37,BoundParameters_HiddenSheetCLAY!$B$3:$E$50,MATCH(VLOOKUP($I39,$I$5:$AJ$35,MATCH(VLOOKUP(N$37,$BH$3:$BI$50,2,FALSE),$I$4:$AJ$4,0),FALSE),BoundParameters_HiddenSheetCLAY!$B$1:$E$1,0),FALSE))),'Control Panel'!N39)))</f>
        <v>0.2</v>
      </c>
      <c r="O39" s="44" t="str">
        <f>IF($I39="","",IF(O$37="","",IF('Control Panel'!O39="",IF(VLOOKUP($E39,'Table Output'!$A$2:$E$99998,5,FALSE)="Sand",VLOOKUP(O$37,BoundParameters_HiddenSheetSAND!$B$3:$E$50,MATCH(VLOOKUP($I39,$I$5:$AJ$29,MATCH(VLOOKUP(O$37,$BH$3:$BI$50,2,FALSE),$I$4:$AJ$4,0),FALSE),BoundParameters_HiddenSheetCLAY!$B$1:$E$1,0),FALSE),IF(VLOOKUP($E39,'Table Output'!$A$2:$E$99998,5,FALSE)="Clay",VLOOKUP(O$37,BoundParameters_HiddenSheetCLAY!$B$3:$E$50,MATCH(VLOOKUP($I39,$I$5:$AJ$35,MATCH(VLOOKUP(O$37,$BH$3:$BI$50,2,FALSE),$I$4:$AJ$4,0),FALSE),BoundParameters_HiddenSheetCLAY!$B$1:$E$1,0),FALSE))),'Control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Output'!$A$2:$E$99998,5,FALSE)="Sand",VLOOKUP(P$37,BoundParameters_HiddenSheetSAND!$B$3:$E$50,MATCH(VLOOKUP($I39,$I$5:$AJ$29,MATCH(VLOOKUP(P$37,$BH$3:$BI$50,2,FALSE),$I$4:$AJ$4,0),FALSE),BoundParameters_HiddenSheetCLAY!$B$1:$E$1,0),FALSE),IF(VLOOKUP($E39,'Table Output'!$A$2:$E$99998,5,FALSE)="Clay",VLOOKUP(P$37,BoundParameters_HiddenSheetCLAY!$B$3:$E$50,MATCH(VLOOKUP($I39,$I$5:$AJ$35,MATCH(VLOOKUP(P$37,$BH$3:$BI$50,2,FALSE),$I$4:$AJ$4,0),FALSE),BoundParameters_HiddenSheetCLAY!$B$1:$E$1,0),FALSE))),'Control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Output'!$A$2:$E$99998,5,FALSE)="Sand",VLOOKUP(Q$37,BoundParameters_HiddenSheetSAND!$B$3:$E$50,MATCH(VLOOKUP($I39,$I$5:$AJ$29,MATCH(VLOOKUP(Q$37,$BH$3:$BI$50,2,FALSE),$I$4:$AJ$4,0),FALSE),BoundParameters_HiddenSheetCLAY!$B$1:$E$1,0),FALSE),IF(VLOOKUP($E39,'Table Output'!$A$2:$E$99998,5,FALSE)="Clay",VLOOKUP(Q$37,BoundParameters_HiddenSheetCLAY!$B$3:$E$50,MATCH(VLOOKUP($I39,$I$5:$AJ$35,MATCH(VLOOKUP(Q$37,$BH$3:$BI$50,2,FALSE),$I$4:$AJ$4,0),FALSE),BoundParameters_HiddenSheetCLAY!$B$1:$E$1,0),FALSE))),'Control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Output'!$A$2:$E$99998,5,FALSE)="Sand",VLOOKUP(R$37,BoundParameters_HiddenSheetSAND!$B$3:$E$50,MATCH(VLOOKUP($I39,$I$5:$AJ$29,MATCH(VLOOKUP(R$37,$BH$3:$BI$50,2,FALSE),$I$4:$AJ$4,0),FALSE),BoundParameters_HiddenSheetCLAY!$B$1:$E$1,0),FALSE),IF(VLOOKUP($E39,'Table Output'!$A$2:$E$99998,5,FALSE)="Clay",VLOOKUP(R$37,BoundParameters_HiddenSheetCLAY!$B$3:$E$50,MATCH(VLOOKUP($I39,$I$5:$AJ$35,MATCH(VLOOKUP(R$37,$BH$3:$BI$50,2,FALSE),$I$4:$AJ$4,0),FALSE),BoundParameters_HiddenSheetCLAY!$B$1:$E$1,0),FALSE))),'Control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Output'!$A$2:$E$99998,5,FALSE)="Sand",VLOOKUP(S$37,BoundParameters_HiddenSheetSAND!$B$3:$E$50,MATCH(VLOOKUP($I39,$I$5:$AJ$29,MATCH(VLOOKUP(S$37,$BH$3:$BI$50,2,FALSE),$I$4:$AJ$4,0),FALSE),BoundParameters_HiddenSheetCLAY!$B$1:$E$1,0),FALSE),IF(VLOOKUP($E39,'Table Output'!$A$2:$E$99998,5,FALSE)="Clay",VLOOKUP(S$37,BoundParameters_HiddenSheetCLAY!$B$3:$E$50,MATCH(VLOOKUP($I39,$I$5:$AJ$35,MATCH(VLOOKUP(S$37,$BH$3:$BI$50,2,FALSE),$I$4:$AJ$4,0),FALSE),BoundParameters_HiddenSheetCLAY!$B$1:$E$1,0),FALSE))),'Control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>Sand_56</v>
      </c>
      <c r="I40" s="7">
        <f t="shared" si="4"/>
        <v>3</v>
      </c>
      <c r="J40" s="44">
        <f>IF($I40="","",IF(J$37="","",IF('Control Panel'!J40="",IF(VLOOKUP($E40,'Table Output'!$A$2:$E$99998,5,FALSE)="Sand",VLOOKUP(J$37,BoundParameters_HiddenSheetSAND!$B$3:$E$50,MATCH(VLOOKUP($I40,$I$5:$AJ$29,MATCH(VLOOKUP(J$37,$BH$3:$BI$50,2,FALSE),$I$4:$AJ$4,0),FALSE),BoundParameters_HiddenSheetCLAY!$B$1:$E$1,0),FALSE),IF(VLOOKUP($E40,'Table Output'!$A$2:$E$99998,5,FALSE)="Clay",VLOOKUP(J$37,BoundParameters_HiddenSheetCLAY!$B$3:$E$50,MATCH(VLOOKUP($I40,$I$5:$AJ$35,MATCH(VLOOKUP(J$37,$BH$3:$BI$50,2,FALSE),$I$4:$AJ$4,0),FALSE),BoundParameters_HiddenSheetCLAY!$B$1:$E$1,0),FALSE))),'Control Panel'!J40)))</f>
        <v>30</v>
      </c>
      <c r="K40" s="44">
        <f>IF($I40="","",IF(K$37="","",IF('Control Panel'!K40="",IF(VLOOKUP($E40,'Table Output'!$A$2:$E$99998,5,FALSE)="Sand",VLOOKUP(K$37,BoundParameters_HiddenSheetSAND!$B$3:$E$50,MATCH(VLOOKUP($I40,$I$5:$AJ$29,MATCH(VLOOKUP(K$37,$BH$3:$BI$50,2,FALSE),$I$4:$AJ$4,0),FALSE),BoundParameters_HiddenSheetCLAY!$B$1:$E$1,0),FALSE),IF(VLOOKUP($E40,'Table Output'!$A$2:$E$99998,5,FALSE)="Clay",VLOOKUP(K$37,BoundParameters_HiddenSheetCLAY!$B$3:$E$50,MATCH(VLOOKUP($I40,$I$5:$AJ$35,MATCH(VLOOKUP(K$37,$BH$3:$BI$50,2,FALSE),$I$4:$AJ$4,0),FALSE),BoundParameters_HiddenSheetCLAY!$B$1:$E$1,0),FALSE))),'Control Panel'!K40)))</f>
        <v>-120</v>
      </c>
      <c r="L40" s="44">
        <f>IF($I40="","",IF(L$37="","",IF('Control Panel'!L40="",IF(VLOOKUP($E40,'Table Output'!$A$2:$E$99998,5,FALSE)="Sand",VLOOKUP(L$37,BoundParameters_HiddenSheetSAND!$B$3:$E$50,MATCH(VLOOKUP($I40,$I$5:$AJ$29,MATCH(VLOOKUP(L$37,$BH$3:$BI$50,2,FALSE),$I$4:$AJ$4,0),FALSE),BoundParameters_HiddenSheetCLAY!$B$1:$E$1,0),FALSE),IF(VLOOKUP($E40,'Table Output'!$A$2:$E$99998,5,FALSE)="Clay",VLOOKUP(L$37,BoundParameters_HiddenSheetCLAY!$B$3:$E$50,MATCH(VLOOKUP($I40,$I$5:$AJ$35,MATCH(VLOOKUP(L$37,$BH$3:$BI$50,2,FALSE),$I$4:$AJ$4,0),FALSE),BoundParameters_HiddenSheetCLAY!$B$1:$E$1,0),FALSE))),'Control Panel'!L40)))</f>
        <v>-35</v>
      </c>
      <c r="M40" s="44">
        <f>IF($I40="","",IF(M$37="","",IF('Control Panel'!M40="",IF(VLOOKUP($E40,'Table Output'!$A$2:$E$99998,5,FALSE)="Sand",VLOOKUP(M$37,BoundParameters_HiddenSheetSAND!$B$3:$E$50,MATCH(VLOOKUP($I40,$I$5:$AJ$29,MATCH(VLOOKUP(M$37,$BH$3:$BI$50,2,FALSE),$I$4:$AJ$4,0),FALSE),BoundParameters_HiddenSheetCLAY!$B$1:$E$1,0),FALSE),IF(VLOOKUP($E40,'Table Output'!$A$2:$E$99998,5,FALSE)="Clay",VLOOKUP(M$37,BoundParameters_HiddenSheetCLAY!$B$3:$E$50,MATCH(VLOOKUP($I40,$I$5:$AJ$35,MATCH(VLOOKUP(M$37,$BH$3:$BI$50,2,FALSE),$I$4:$AJ$4,0),FALSE),BoundParameters_HiddenSheetCLAY!$B$1:$E$1,0),FALSE))),'Control Panel'!M40)))</f>
        <v>0</v>
      </c>
      <c r="N40" s="44">
        <f>IF($I40="","",IF(N$37="","",IF('Control Panel'!N40="",IF(VLOOKUP($E40,'Table Output'!$A$2:$E$99998,5,FALSE)="Sand",VLOOKUP(N$37,BoundParameters_HiddenSheetSAND!$B$3:$E$50,MATCH(VLOOKUP($I40,$I$5:$AJ$29,MATCH(VLOOKUP(N$37,$BH$3:$BI$50,2,FALSE),$I$4:$AJ$4,0),FALSE),BoundParameters_HiddenSheetCLAY!$B$1:$E$1,0),FALSE),IF(VLOOKUP($E40,'Table Output'!$A$2:$E$99998,5,FALSE)="Clay",VLOOKUP(N$37,BoundParameters_HiddenSheetCLAY!$B$3:$E$50,MATCH(VLOOKUP($I40,$I$5:$AJ$35,MATCH(VLOOKUP(N$37,$BH$3:$BI$50,2,FALSE),$I$4:$AJ$4,0),FALSE),BoundParameters_HiddenSheetCLAY!$B$1:$E$1,0),FALSE))),'Control Panel'!N40)))</f>
        <v>0.2</v>
      </c>
      <c r="O40" s="44" t="str">
        <f>IF($I40="","",IF(O$37="","",IF('Control Panel'!O40="",IF(VLOOKUP($E40,'Table Output'!$A$2:$E$99998,5,FALSE)="Sand",VLOOKUP(O$37,BoundParameters_HiddenSheetSAND!$B$3:$E$50,MATCH(VLOOKUP($I40,$I$5:$AJ$29,MATCH(VLOOKUP(O$37,$BH$3:$BI$50,2,FALSE),$I$4:$AJ$4,0),FALSE),BoundParameters_HiddenSheetCLAY!$B$1:$E$1,0),FALSE),IF(VLOOKUP($E40,'Table Output'!$A$2:$E$99998,5,FALSE)="Clay",VLOOKUP(O$37,BoundParameters_HiddenSheetCLAY!$B$3:$E$50,MATCH(VLOOKUP($I40,$I$5:$AJ$35,MATCH(VLOOKUP(O$37,$BH$3:$BI$50,2,FALSE),$I$4:$AJ$4,0),FALSE),BoundParameters_HiddenSheetCLAY!$B$1:$E$1,0),FALSE))),'Control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Output'!$A$2:$E$99998,5,FALSE)="Sand",VLOOKUP(P$37,BoundParameters_HiddenSheetSAND!$B$3:$E$50,MATCH(VLOOKUP($I40,$I$5:$AJ$29,MATCH(VLOOKUP(P$37,$BH$3:$BI$50,2,FALSE),$I$4:$AJ$4,0),FALSE),BoundParameters_HiddenSheetCLAY!$B$1:$E$1,0),FALSE),IF(VLOOKUP($E40,'Table Output'!$A$2:$E$99998,5,FALSE)="Clay",VLOOKUP(P$37,BoundParameters_HiddenSheetCLAY!$B$3:$E$50,MATCH(VLOOKUP($I40,$I$5:$AJ$35,MATCH(VLOOKUP(P$37,$BH$3:$BI$50,2,FALSE),$I$4:$AJ$4,0),FALSE),BoundParameters_HiddenSheetCLAY!$B$1:$E$1,0),FALSE))),'Control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Output'!$A$2:$E$99998,5,FALSE)="Sand",VLOOKUP(Q$37,BoundParameters_HiddenSheetSAND!$B$3:$E$50,MATCH(VLOOKUP($I40,$I$5:$AJ$29,MATCH(VLOOKUP(Q$37,$BH$3:$BI$50,2,FALSE),$I$4:$AJ$4,0),FALSE),BoundParameters_HiddenSheetCLAY!$B$1:$E$1,0),FALSE),IF(VLOOKUP($E40,'Table Output'!$A$2:$E$99998,5,FALSE)="Clay",VLOOKUP(Q$37,BoundParameters_HiddenSheetCLAY!$B$3:$E$50,MATCH(VLOOKUP($I40,$I$5:$AJ$35,MATCH(VLOOKUP(Q$37,$BH$3:$BI$50,2,FALSE),$I$4:$AJ$4,0),FALSE),BoundParameters_HiddenSheetCLAY!$B$1:$E$1,0),FALSE))),'Control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Output'!$A$2:$E$99998,5,FALSE)="Sand",VLOOKUP(R$37,BoundParameters_HiddenSheetSAND!$B$3:$E$50,MATCH(VLOOKUP($I40,$I$5:$AJ$29,MATCH(VLOOKUP(R$37,$BH$3:$BI$50,2,FALSE),$I$4:$AJ$4,0),FALSE),BoundParameters_HiddenSheetCLAY!$B$1:$E$1,0),FALSE),IF(VLOOKUP($E40,'Table Output'!$A$2:$E$99998,5,FALSE)="Clay",VLOOKUP(R$37,BoundParameters_HiddenSheetCLAY!$B$3:$E$50,MATCH(VLOOKUP($I40,$I$5:$AJ$35,MATCH(VLOOKUP(R$37,$BH$3:$BI$50,2,FALSE),$I$4:$AJ$4,0),FALSE),BoundParameters_HiddenSheetCLAY!$B$1:$E$1,0),FALSE))),'Control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Output'!$A$2:$E$99998,5,FALSE)="Sand",VLOOKUP(S$37,BoundParameters_HiddenSheetSAND!$B$3:$E$50,MATCH(VLOOKUP($I40,$I$5:$AJ$29,MATCH(VLOOKUP(S$37,$BH$3:$BI$50,2,FALSE),$I$4:$AJ$4,0),FALSE),BoundParameters_HiddenSheetCLAY!$B$1:$E$1,0),FALSE),IF(VLOOKUP($E40,'Table Output'!$A$2:$E$99998,5,FALSE)="Clay",VLOOKUP(S$37,BoundParameters_HiddenSheetCLAY!$B$3:$E$50,MATCH(VLOOKUP($I40,$I$5:$AJ$35,MATCH(VLOOKUP(S$37,$BH$3:$BI$50,2,FALSE),$I$4:$AJ$4,0),FALSE),BoundParameters_HiddenSheetCLAY!$B$1:$E$1,0),FALSE))),'Control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>Sand_68</v>
      </c>
      <c r="I41" s="7">
        <f t="shared" si="4"/>
        <v>4</v>
      </c>
      <c r="J41" s="44">
        <f>IF($I41="","",IF(J$37="","",IF('Control Panel'!J41="",IF(VLOOKUP($E41,'Table Output'!$A$2:$E$99998,5,FALSE)="Sand",VLOOKUP(J$37,BoundParameters_HiddenSheetSAND!$B$3:$E$50,MATCH(VLOOKUP($I41,$I$5:$AJ$29,MATCH(VLOOKUP(J$37,$BH$3:$BI$50,2,FALSE),$I$4:$AJ$4,0),FALSE),BoundParameters_HiddenSheetCLAY!$B$1:$E$1,0),FALSE),IF(VLOOKUP($E41,'Table Output'!$A$2:$E$99998,5,FALSE)="Clay",VLOOKUP(J$37,BoundParameters_HiddenSheetCLAY!$B$3:$E$50,MATCH(VLOOKUP($I41,$I$5:$AJ$35,MATCH(VLOOKUP(J$37,$BH$3:$BI$50,2,FALSE),$I$4:$AJ$4,0),FALSE),BoundParameters_HiddenSheetCLAY!$B$1:$E$1,0),FALSE))),'Control Panel'!J41)))</f>
        <v>30</v>
      </c>
      <c r="K41" s="44">
        <f>IF($I41="","",IF(K$37="","",IF('Control Panel'!K41="",IF(VLOOKUP($E41,'Table Output'!$A$2:$E$99998,5,FALSE)="Sand",VLOOKUP(K$37,BoundParameters_HiddenSheetSAND!$B$3:$E$50,MATCH(VLOOKUP($I41,$I$5:$AJ$29,MATCH(VLOOKUP(K$37,$BH$3:$BI$50,2,FALSE),$I$4:$AJ$4,0),FALSE),BoundParameters_HiddenSheetCLAY!$B$1:$E$1,0),FALSE),IF(VLOOKUP($E41,'Table Output'!$A$2:$E$99998,5,FALSE)="Clay",VLOOKUP(K$37,BoundParameters_HiddenSheetCLAY!$B$3:$E$50,MATCH(VLOOKUP($I41,$I$5:$AJ$35,MATCH(VLOOKUP(K$37,$BH$3:$BI$50,2,FALSE),$I$4:$AJ$4,0),FALSE),BoundParameters_HiddenSheetCLAY!$B$1:$E$1,0),FALSE))),'Control Panel'!K41)))</f>
        <v>-120</v>
      </c>
      <c r="L41" s="44">
        <f>IF($I41="","",IF(L$37="","",IF('Control Panel'!L41="",IF(VLOOKUP($E41,'Table Output'!$A$2:$E$99998,5,FALSE)="Sand",VLOOKUP(L$37,BoundParameters_HiddenSheetSAND!$B$3:$E$50,MATCH(VLOOKUP($I41,$I$5:$AJ$29,MATCH(VLOOKUP(L$37,$BH$3:$BI$50,2,FALSE),$I$4:$AJ$4,0),FALSE),BoundParameters_HiddenSheetCLAY!$B$1:$E$1,0),FALSE),IF(VLOOKUP($E41,'Table Output'!$A$2:$E$99998,5,FALSE)="Clay",VLOOKUP(L$37,BoundParameters_HiddenSheetCLAY!$B$3:$E$50,MATCH(VLOOKUP($I41,$I$5:$AJ$35,MATCH(VLOOKUP(L$37,$BH$3:$BI$50,2,FALSE),$I$4:$AJ$4,0),FALSE),BoundParameters_HiddenSheetCLAY!$B$1:$E$1,0),FALSE))),'Control Panel'!L41)))</f>
        <v>-35</v>
      </c>
      <c r="M41" s="44">
        <f>IF($I41="","",IF(M$37="","",IF('Control Panel'!M41="",IF(VLOOKUP($E41,'Table Output'!$A$2:$E$99998,5,FALSE)="Sand",VLOOKUP(M$37,BoundParameters_HiddenSheetSAND!$B$3:$E$50,MATCH(VLOOKUP($I41,$I$5:$AJ$29,MATCH(VLOOKUP(M$37,$BH$3:$BI$50,2,FALSE),$I$4:$AJ$4,0),FALSE),BoundParameters_HiddenSheetCLAY!$B$1:$E$1,0),FALSE),IF(VLOOKUP($E41,'Table Output'!$A$2:$E$99998,5,FALSE)="Clay",VLOOKUP(M$37,BoundParameters_HiddenSheetCLAY!$B$3:$E$50,MATCH(VLOOKUP($I41,$I$5:$AJ$35,MATCH(VLOOKUP(M$37,$BH$3:$BI$50,2,FALSE),$I$4:$AJ$4,0),FALSE),BoundParameters_HiddenSheetCLAY!$B$1:$E$1,0),FALSE))),'Control Panel'!M41)))</f>
        <v>0</v>
      </c>
      <c r="N41" s="44">
        <f>IF($I41="","",IF(N$37="","",IF('Control Panel'!N41="",IF(VLOOKUP($E41,'Table Output'!$A$2:$E$99998,5,FALSE)="Sand",VLOOKUP(N$37,BoundParameters_HiddenSheetSAND!$B$3:$E$50,MATCH(VLOOKUP($I41,$I$5:$AJ$29,MATCH(VLOOKUP(N$37,$BH$3:$BI$50,2,FALSE),$I$4:$AJ$4,0),FALSE),BoundParameters_HiddenSheetCLAY!$B$1:$E$1,0),FALSE),IF(VLOOKUP($E41,'Table Output'!$A$2:$E$99998,5,FALSE)="Clay",VLOOKUP(N$37,BoundParameters_HiddenSheetCLAY!$B$3:$E$50,MATCH(VLOOKUP($I41,$I$5:$AJ$35,MATCH(VLOOKUP(N$37,$BH$3:$BI$50,2,FALSE),$I$4:$AJ$4,0),FALSE),BoundParameters_HiddenSheetCLAY!$B$1:$E$1,0),FALSE))),'Control Panel'!N41)))</f>
        <v>0.2</v>
      </c>
      <c r="O41" s="44" t="str">
        <f>IF($I41="","",IF(O$37="","",IF('Control Panel'!O41="",IF(VLOOKUP($E41,'Table Output'!$A$2:$E$99998,5,FALSE)="Sand",VLOOKUP(O$37,BoundParameters_HiddenSheetSAND!$B$3:$E$50,MATCH(VLOOKUP($I41,$I$5:$AJ$29,MATCH(VLOOKUP(O$37,$BH$3:$BI$50,2,FALSE),$I$4:$AJ$4,0),FALSE),BoundParameters_HiddenSheetCLAY!$B$1:$E$1,0),FALSE),IF(VLOOKUP($E41,'Table Output'!$A$2:$E$99998,5,FALSE)="Clay",VLOOKUP(O$37,BoundParameters_HiddenSheetCLAY!$B$3:$E$50,MATCH(VLOOKUP($I41,$I$5:$AJ$35,MATCH(VLOOKUP(O$37,$BH$3:$BI$50,2,FALSE),$I$4:$AJ$4,0),FALSE),BoundParameters_HiddenSheetCLAY!$B$1:$E$1,0),FALSE))),'Control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Output'!$A$2:$E$99998,5,FALSE)="Sand",VLOOKUP(P$37,BoundParameters_HiddenSheetSAND!$B$3:$E$50,MATCH(VLOOKUP($I41,$I$5:$AJ$29,MATCH(VLOOKUP(P$37,$BH$3:$BI$50,2,FALSE),$I$4:$AJ$4,0),FALSE),BoundParameters_HiddenSheetCLAY!$B$1:$E$1,0),FALSE),IF(VLOOKUP($E41,'Table Output'!$A$2:$E$99998,5,FALSE)="Clay",VLOOKUP(P$37,BoundParameters_HiddenSheetCLAY!$B$3:$E$50,MATCH(VLOOKUP($I41,$I$5:$AJ$35,MATCH(VLOOKUP(P$37,$BH$3:$BI$50,2,FALSE),$I$4:$AJ$4,0),FALSE),BoundParameters_HiddenSheetCLAY!$B$1:$E$1,0),FALSE))),'Control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Output'!$A$2:$E$99998,5,FALSE)="Sand",VLOOKUP(Q$37,BoundParameters_HiddenSheetSAND!$B$3:$E$50,MATCH(VLOOKUP($I41,$I$5:$AJ$29,MATCH(VLOOKUP(Q$37,$BH$3:$BI$50,2,FALSE),$I$4:$AJ$4,0),FALSE),BoundParameters_HiddenSheetCLAY!$B$1:$E$1,0),FALSE),IF(VLOOKUP($E41,'Table Output'!$A$2:$E$99998,5,FALSE)="Clay",VLOOKUP(Q$37,BoundParameters_HiddenSheetCLAY!$B$3:$E$50,MATCH(VLOOKUP($I41,$I$5:$AJ$35,MATCH(VLOOKUP(Q$37,$BH$3:$BI$50,2,FALSE),$I$4:$AJ$4,0),FALSE),BoundParameters_HiddenSheetCLAY!$B$1:$E$1,0),FALSE))),'Control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Output'!$A$2:$E$99998,5,FALSE)="Sand",VLOOKUP(R$37,BoundParameters_HiddenSheetSAND!$B$3:$E$50,MATCH(VLOOKUP($I41,$I$5:$AJ$29,MATCH(VLOOKUP(R$37,$BH$3:$BI$50,2,FALSE),$I$4:$AJ$4,0),FALSE),BoundParameters_HiddenSheetCLAY!$B$1:$E$1,0),FALSE),IF(VLOOKUP($E41,'Table Output'!$A$2:$E$99998,5,FALSE)="Clay",VLOOKUP(R$37,BoundParameters_HiddenSheetCLAY!$B$3:$E$50,MATCH(VLOOKUP($I41,$I$5:$AJ$35,MATCH(VLOOKUP(R$37,$BH$3:$BI$50,2,FALSE),$I$4:$AJ$4,0),FALSE),BoundParameters_HiddenSheetCLAY!$B$1:$E$1,0),FALSE))),'Control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Output'!$A$2:$E$99998,5,FALSE)="Sand",VLOOKUP(S$37,BoundParameters_HiddenSheetSAND!$B$3:$E$50,MATCH(VLOOKUP($I41,$I$5:$AJ$29,MATCH(VLOOKUP(S$37,$BH$3:$BI$50,2,FALSE),$I$4:$AJ$4,0),FALSE),BoundParameters_HiddenSheetCLAY!$B$1:$E$1,0),FALSE),IF(VLOOKUP($E41,'Table Output'!$A$2:$E$99998,5,FALSE)="Clay",VLOOKUP(S$37,BoundParameters_HiddenSheetCLAY!$B$3:$E$50,MATCH(VLOOKUP($I41,$I$5:$AJ$35,MATCH(VLOOKUP(S$37,$BH$3:$BI$50,2,FALSE),$I$4:$AJ$4,0),FALSE),BoundParameters_HiddenSheetCLAY!$B$1:$E$1,0),FALSE))),'Control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>Sand_79</v>
      </c>
      <c r="I42" s="7">
        <f t="shared" si="4"/>
        <v>5</v>
      </c>
      <c r="J42" s="44">
        <f>IF($I42="","",IF(J$37="","",IF('Control Panel'!J42="",IF(VLOOKUP($E42,'Table Output'!$A$2:$E$99998,5,FALSE)="Sand",VLOOKUP(J$37,BoundParameters_HiddenSheetSAND!$B$3:$E$50,MATCH(VLOOKUP($I42,$I$5:$AJ$29,MATCH(VLOOKUP(J$37,$BH$3:$BI$50,2,FALSE),$I$4:$AJ$4,0),FALSE),BoundParameters_HiddenSheetCLAY!$B$1:$E$1,0),FALSE),IF(VLOOKUP($E42,'Table Output'!$A$2:$E$99998,5,FALSE)="Clay",VLOOKUP(J$37,BoundParameters_HiddenSheetCLAY!$B$3:$E$50,MATCH(VLOOKUP($I42,$I$5:$AJ$35,MATCH(VLOOKUP(J$37,$BH$3:$BI$50,2,FALSE),$I$4:$AJ$4,0),FALSE),BoundParameters_HiddenSheetCLAY!$B$1:$E$1,0),FALSE))),'Control Panel'!J42)))</f>
        <v>30</v>
      </c>
      <c r="K42" s="44">
        <f>IF($I42="","",IF(K$37="","",IF('Control Panel'!K42="",IF(VLOOKUP($E42,'Table Output'!$A$2:$E$99998,5,FALSE)="Sand",VLOOKUP(K$37,BoundParameters_HiddenSheetSAND!$B$3:$E$50,MATCH(VLOOKUP($I42,$I$5:$AJ$29,MATCH(VLOOKUP(K$37,$BH$3:$BI$50,2,FALSE),$I$4:$AJ$4,0),FALSE),BoundParameters_HiddenSheetCLAY!$B$1:$E$1,0),FALSE),IF(VLOOKUP($E42,'Table Output'!$A$2:$E$99998,5,FALSE)="Clay",VLOOKUP(K$37,BoundParameters_HiddenSheetCLAY!$B$3:$E$50,MATCH(VLOOKUP($I42,$I$5:$AJ$35,MATCH(VLOOKUP(K$37,$BH$3:$BI$50,2,FALSE),$I$4:$AJ$4,0),FALSE),BoundParameters_HiddenSheetCLAY!$B$1:$E$1,0),FALSE))),'Control Panel'!K42)))</f>
        <v>-120</v>
      </c>
      <c r="L42" s="44">
        <f>IF($I42="","",IF(L$37="","",IF('Control Panel'!L42="",IF(VLOOKUP($E42,'Table Output'!$A$2:$E$99998,5,FALSE)="Sand",VLOOKUP(L$37,BoundParameters_HiddenSheetSAND!$B$3:$E$50,MATCH(VLOOKUP($I42,$I$5:$AJ$29,MATCH(VLOOKUP(L$37,$BH$3:$BI$50,2,FALSE),$I$4:$AJ$4,0),FALSE),BoundParameters_HiddenSheetCLAY!$B$1:$E$1,0),FALSE),IF(VLOOKUP($E42,'Table Output'!$A$2:$E$99998,5,FALSE)="Clay",VLOOKUP(L$37,BoundParameters_HiddenSheetCLAY!$B$3:$E$50,MATCH(VLOOKUP($I42,$I$5:$AJ$35,MATCH(VLOOKUP(L$37,$BH$3:$BI$50,2,FALSE),$I$4:$AJ$4,0),FALSE),BoundParameters_HiddenSheetCLAY!$B$1:$E$1,0),FALSE))),'Control Panel'!L42)))</f>
        <v>-35</v>
      </c>
      <c r="M42" s="44">
        <f>IF($I42="","",IF(M$37="","",IF('Control Panel'!M42="",IF(VLOOKUP($E42,'Table Output'!$A$2:$E$99998,5,FALSE)="Sand",VLOOKUP(M$37,BoundParameters_HiddenSheetSAND!$B$3:$E$50,MATCH(VLOOKUP($I42,$I$5:$AJ$29,MATCH(VLOOKUP(M$37,$BH$3:$BI$50,2,FALSE),$I$4:$AJ$4,0),FALSE),BoundParameters_HiddenSheetCLAY!$B$1:$E$1,0),FALSE),IF(VLOOKUP($E42,'Table Output'!$A$2:$E$99998,5,FALSE)="Clay",VLOOKUP(M$37,BoundParameters_HiddenSheetCLAY!$B$3:$E$50,MATCH(VLOOKUP($I42,$I$5:$AJ$35,MATCH(VLOOKUP(M$37,$BH$3:$BI$50,2,FALSE),$I$4:$AJ$4,0),FALSE),BoundParameters_HiddenSheetCLAY!$B$1:$E$1,0),FALSE))),'Control Panel'!M42)))</f>
        <v>0</v>
      </c>
      <c r="N42" s="44">
        <f>IF($I42="","",IF(N$37="","",IF('Control Panel'!N42="",IF(VLOOKUP($E42,'Table Output'!$A$2:$E$99998,5,FALSE)="Sand",VLOOKUP(N$37,BoundParameters_HiddenSheetSAND!$B$3:$E$50,MATCH(VLOOKUP($I42,$I$5:$AJ$29,MATCH(VLOOKUP(N$37,$BH$3:$BI$50,2,FALSE),$I$4:$AJ$4,0),FALSE),BoundParameters_HiddenSheetCLAY!$B$1:$E$1,0),FALSE),IF(VLOOKUP($E42,'Table Output'!$A$2:$E$99998,5,FALSE)="Clay",VLOOKUP(N$37,BoundParameters_HiddenSheetCLAY!$B$3:$E$50,MATCH(VLOOKUP($I42,$I$5:$AJ$35,MATCH(VLOOKUP(N$37,$BH$3:$BI$50,2,FALSE),$I$4:$AJ$4,0),FALSE),BoundParameters_HiddenSheetCLAY!$B$1:$E$1,0),FALSE))),'Control Panel'!N42)))</f>
        <v>0.2</v>
      </c>
      <c r="O42" s="44" t="str">
        <f>IF($I42="","",IF(O$37="","",IF('Control Panel'!O42="",IF(VLOOKUP($E42,'Table Output'!$A$2:$E$99998,5,FALSE)="Sand",VLOOKUP(O$37,BoundParameters_HiddenSheetSAND!$B$3:$E$50,MATCH(VLOOKUP($I42,$I$5:$AJ$29,MATCH(VLOOKUP(O$37,$BH$3:$BI$50,2,FALSE),$I$4:$AJ$4,0),FALSE),BoundParameters_HiddenSheetCLAY!$B$1:$E$1,0),FALSE),IF(VLOOKUP($E42,'Table Output'!$A$2:$E$99998,5,FALSE)="Clay",VLOOKUP(O$37,BoundParameters_HiddenSheetCLAY!$B$3:$E$50,MATCH(VLOOKUP($I42,$I$5:$AJ$35,MATCH(VLOOKUP(O$37,$BH$3:$BI$50,2,FALSE),$I$4:$AJ$4,0),FALSE),BoundParameters_HiddenSheetCLAY!$B$1:$E$1,0),FALSE))),'Control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Output'!$A$2:$E$99998,5,FALSE)="Sand",VLOOKUP(P$37,BoundParameters_HiddenSheetSAND!$B$3:$E$50,MATCH(VLOOKUP($I42,$I$5:$AJ$29,MATCH(VLOOKUP(P$37,$BH$3:$BI$50,2,FALSE),$I$4:$AJ$4,0),FALSE),BoundParameters_HiddenSheetCLAY!$B$1:$E$1,0),FALSE),IF(VLOOKUP($E42,'Table Output'!$A$2:$E$99998,5,FALSE)="Clay",VLOOKUP(P$37,BoundParameters_HiddenSheetCLAY!$B$3:$E$50,MATCH(VLOOKUP($I42,$I$5:$AJ$35,MATCH(VLOOKUP(P$37,$BH$3:$BI$50,2,FALSE),$I$4:$AJ$4,0),FALSE),BoundParameters_HiddenSheetCLAY!$B$1:$E$1,0),FALSE))),'Control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Output'!$A$2:$E$99998,5,FALSE)="Sand",VLOOKUP(Q$37,BoundParameters_HiddenSheetSAND!$B$3:$E$50,MATCH(VLOOKUP($I42,$I$5:$AJ$29,MATCH(VLOOKUP(Q$37,$BH$3:$BI$50,2,FALSE),$I$4:$AJ$4,0),FALSE),BoundParameters_HiddenSheetCLAY!$B$1:$E$1,0),FALSE),IF(VLOOKUP($E42,'Table Output'!$A$2:$E$99998,5,FALSE)="Clay",VLOOKUP(Q$37,BoundParameters_HiddenSheetCLAY!$B$3:$E$50,MATCH(VLOOKUP($I42,$I$5:$AJ$35,MATCH(VLOOKUP(Q$37,$BH$3:$BI$50,2,FALSE),$I$4:$AJ$4,0),FALSE),BoundParameters_HiddenSheetCLAY!$B$1:$E$1,0),FALSE))),'Control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Output'!$A$2:$E$99998,5,FALSE)="Sand",VLOOKUP(R$37,BoundParameters_HiddenSheetSAND!$B$3:$E$50,MATCH(VLOOKUP($I42,$I$5:$AJ$29,MATCH(VLOOKUP(R$37,$BH$3:$BI$50,2,FALSE),$I$4:$AJ$4,0),FALSE),BoundParameters_HiddenSheetCLAY!$B$1:$E$1,0),FALSE),IF(VLOOKUP($E42,'Table Output'!$A$2:$E$99998,5,FALSE)="Clay",VLOOKUP(R$37,BoundParameters_HiddenSheetCLAY!$B$3:$E$50,MATCH(VLOOKUP($I42,$I$5:$AJ$35,MATCH(VLOOKUP(R$37,$BH$3:$BI$50,2,FALSE),$I$4:$AJ$4,0),FALSE),BoundParameters_HiddenSheetCLAY!$B$1:$E$1,0),FALSE))),'Control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Output'!$A$2:$E$99998,5,FALSE)="Sand",VLOOKUP(S$37,BoundParameters_HiddenSheetSAND!$B$3:$E$50,MATCH(VLOOKUP($I42,$I$5:$AJ$29,MATCH(VLOOKUP(S$37,$BH$3:$BI$50,2,FALSE),$I$4:$AJ$4,0),FALSE),BoundParameters_HiddenSheetCLAY!$B$1:$E$1,0),FALSE),IF(VLOOKUP($E42,'Table Output'!$A$2:$E$99998,5,FALSE)="Clay",VLOOKUP(S$37,BoundParameters_HiddenSheetCLAY!$B$3:$E$50,MATCH(VLOOKUP($I42,$I$5:$AJ$35,MATCH(VLOOKUP(S$37,$BH$3:$BI$50,2,FALSE),$I$4:$AJ$4,0),FALSE),BoundParameters_HiddenSheetCLAY!$B$1:$E$1,0),FALSE))),'Control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>Sand_59</v>
      </c>
      <c r="I43" s="7">
        <f t="shared" si="4"/>
        <v>6</v>
      </c>
      <c r="J43" s="44">
        <f>IF($I43="","",IF(J$37="","",IF('Control Panel'!J43="",IF(VLOOKUP($E43,'Table Output'!$A$2:$E$99998,5,FALSE)="Sand",VLOOKUP(J$37,BoundParameters_HiddenSheetSAND!$B$3:$E$50,MATCH(VLOOKUP($I43,$I$5:$AJ$29,MATCH(VLOOKUP(J$37,$BH$3:$BI$50,2,FALSE),$I$4:$AJ$4,0),FALSE),BoundParameters_HiddenSheetCLAY!$B$1:$E$1,0),FALSE),IF(VLOOKUP($E43,'Table Output'!$A$2:$E$99998,5,FALSE)="Clay",VLOOKUP(J$37,BoundParameters_HiddenSheetCLAY!$B$3:$E$50,MATCH(VLOOKUP($I43,$I$5:$AJ$35,MATCH(VLOOKUP(J$37,$BH$3:$BI$50,2,FALSE),$I$4:$AJ$4,0),FALSE),BoundParameters_HiddenSheetCLAY!$B$1:$E$1,0),FALSE))),'Control Panel'!J43)))</f>
        <v>30</v>
      </c>
      <c r="K43" s="44">
        <f>IF($I43="","",IF(K$37="","",IF('Control Panel'!K43="",IF(VLOOKUP($E43,'Table Output'!$A$2:$E$99998,5,FALSE)="Sand",VLOOKUP(K$37,BoundParameters_HiddenSheetSAND!$B$3:$E$50,MATCH(VLOOKUP($I43,$I$5:$AJ$29,MATCH(VLOOKUP(K$37,$BH$3:$BI$50,2,FALSE),$I$4:$AJ$4,0),FALSE),BoundParameters_HiddenSheetCLAY!$B$1:$E$1,0),FALSE),IF(VLOOKUP($E43,'Table Output'!$A$2:$E$99998,5,FALSE)="Clay",VLOOKUP(K$37,BoundParameters_HiddenSheetCLAY!$B$3:$E$50,MATCH(VLOOKUP($I43,$I$5:$AJ$35,MATCH(VLOOKUP(K$37,$BH$3:$BI$50,2,FALSE),$I$4:$AJ$4,0),FALSE),BoundParameters_HiddenSheetCLAY!$B$1:$E$1,0),FALSE))),'Control Panel'!K43)))</f>
        <v>-120</v>
      </c>
      <c r="L43" s="44">
        <f>IF($I43="","",IF(L$37="","",IF('Control Panel'!L43="",IF(VLOOKUP($E43,'Table Output'!$A$2:$E$99998,5,FALSE)="Sand",VLOOKUP(L$37,BoundParameters_HiddenSheetSAND!$B$3:$E$50,MATCH(VLOOKUP($I43,$I$5:$AJ$29,MATCH(VLOOKUP(L$37,$BH$3:$BI$50,2,FALSE),$I$4:$AJ$4,0),FALSE),BoundParameters_HiddenSheetCLAY!$B$1:$E$1,0),FALSE),IF(VLOOKUP($E43,'Table Output'!$A$2:$E$99998,5,FALSE)="Clay",VLOOKUP(L$37,BoundParameters_HiddenSheetCLAY!$B$3:$E$50,MATCH(VLOOKUP($I43,$I$5:$AJ$35,MATCH(VLOOKUP(L$37,$BH$3:$BI$50,2,FALSE),$I$4:$AJ$4,0),FALSE),BoundParameters_HiddenSheetCLAY!$B$1:$E$1,0),FALSE))),'Control Panel'!L43)))</f>
        <v>-35</v>
      </c>
      <c r="M43" s="44">
        <f>IF($I43="","",IF(M$37="","",IF('Control Panel'!M43="",IF(VLOOKUP($E43,'Table Output'!$A$2:$E$99998,5,FALSE)="Sand",VLOOKUP(M$37,BoundParameters_HiddenSheetSAND!$B$3:$E$50,MATCH(VLOOKUP($I43,$I$5:$AJ$29,MATCH(VLOOKUP(M$37,$BH$3:$BI$50,2,FALSE),$I$4:$AJ$4,0),FALSE),BoundParameters_HiddenSheetCLAY!$B$1:$E$1,0),FALSE),IF(VLOOKUP($E43,'Table Output'!$A$2:$E$99998,5,FALSE)="Clay",VLOOKUP(M$37,BoundParameters_HiddenSheetCLAY!$B$3:$E$50,MATCH(VLOOKUP($I43,$I$5:$AJ$35,MATCH(VLOOKUP(M$37,$BH$3:$BI$50,2,FALSE),$I$4:$AJ$4,0),FALSE),BoundParameters_HiddenSheetCLAY!$B$1:$E$1,0),FALSE))),'Control Panel'!M43)))</f>
        <v>0</v>
      </c>
      <c r="N43" s="44">
        <f>IF($I43="","",IF(N$37="","",IF('Control Panel'!N43="",IF(VLOOKUP($E43,'Table Output'!$A$2:$E$99998,5,FALSE)="Sand",VLOOKUP(N$37,BoundParameters_HiddenSheetSAND!$B$3:$E$50,MATCH(VLOOKUP($I43,$I$5:$AJ$29,MATCH(VLOOKUP(N$37,$BH$3:$BI$50,2,FALSE),$I$4:$AJ$4,0),FALSE),BoundParameters_HiddenSheetCLAY!$B$1:$E$1,0),FALSE),IF(VLOOKUP($E43,'Table Output'!$A$2:$E$99998,5,FALSE)="Clay",VLOOKUP(N$37,BoundParameters_HiddenSheetCLAY!$B$3:$E$50,MATCH(VLOOKUP($I43,$I$5:$AJ$35,MATCH(VLOOKUP(N$37,$BH$3:$BI$50,2,FALSE),$I$4:$AJ$4,0),FALSE),BoundParameters_HiddenSheetCLAY!$B$1:$E$1,0),FALSE))),'Control Panel'!N43)))</f>
        <v>0.2</v>
      </c>
      <c r="O43" s="44" t="str">
        <f>IF($I43="","",IF(O$37="","",IF('Control Panel'!O43="",IF(VLOOKUP($E43,'Table Output'!$A$2:$E$99998,5,FALSE)="Sand",VLOOKUP(O$37,BoundParameters_HiddenSheetSAND!$B$3:$E$50,MATCH(VLOOKUP($I43,$I$5:$AJ$29,MATCH(VLOOKUP(O$37,$BH$3:$BI$50,2,FALSE),$I$4:$AJ$4,0),FALSE),BoundParameters_HiddenSheetCLAY!$B$1:$E$1,0),FALSE),IF(VLOOKUP($E43,'Table Output'!$A$2:$E$99998,5,FALSE)="Clay",VLOOKUP(O$37,BoundParameters_HiddenSheetCLAY!$B$3:$E$50,MATCH(VLOOKUP($I43,$I$5:$AJ$35,MATCH(VLOOKUP(O$37,$BH$3:$BI$50,2,FALSE),$I$4:$AJ$4,0),FALSE),BoundParameters_HiddenSheetCLAY!$B$1:$E$1,0),FALSE))),'Control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Output'!$A$2:$E$99998,5,FALSE)="Sand",VLOOKUP(P$37,BoundParameters_HiddenSheetSAND!$B$3:$E$50,MATCH(VLOOKUP($I43,$I$5:$AJ$29,MATCH(VLOOKUP(P$37,$BH$3:$BI$50,2,FALSE),$I$4:$AJ$4,0),FALSE),BoundParameters_HiddenSheetCLAY!$B$1:$E$1,0),FALSE),IF(VLOOKUP($E43,'Table Output'!$A$2:$E$99998,5,FALSE)="Clay",VLOOKUP(P$37,BoundParameters_HiddenSheetCLAY!$B$3:$E$50,MATCH(VLOOKUP($I43,$I$5:$AJ$35,MATCH(VLOOKUP(P$37,$BH$3:$BI$50,2,FALSE),$I$4:$AJ$4,0),FALSE),BoundParameters_HiddenSheetCLAY!$B$1:$E$1,0),FALSE))),'Control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Output'!$A$2:$E$99998,5,FALSE)="Sand",VLOOKUP(Q$37,BoundParameters_HiddenSheetSAND!$B$3:$E$50,MATCH(VLOOKUP($I43,$I$5:$AJ$29,MATCH(VLOOKUP(Q$37,$BH$3:$BI$50,2,FALSE),$I$4:$AJ$4,0),FALSE),BoundParameters_HiddenSheetCLAY!$B$1:$E$1,0),FALSE),IF(VLOOKUP($E43,'Table Output'!$A$2:$E$99998,5,FALSE)="Clay",VLOOKUP(Q$37,BoundParameters_HiddenSheetCLAY!$B$3:$E$50,MATCH(VLOOKUP($I43,$I$5:$AJ$35,MATCH(VLOOKUP(Q$37,$BH$3:$BI$50,2,FALSE),$I$4:$AJ$4,0),FALSE),BoundParameters_HiddenSheetCLAY!$B$1:$E$1,0),FALSE))),'Control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Output'!$A$2:$E$99998,5,FALSE)="Sand",VLOOKUP(R$37,BoundParameters_HiddenSheetSAND!$B$3:$E$50,MATCH(VLOOKUP($I43,$I$5:$AJ$29,MATCH(VLOOKUP(R$37,$BH$3:$BI$50,2,FALSE),$I$4:$AJ$4,0),FALSE),BoundParameters_HiddenSheetCLAY!$B$1:$E$1,0),FALSE),IF(VLOOKUP($E43,'Table Output'!$A$2:$E$99998,5,FALSE)="Clay",VLOOKUP(R$37,BoundParameters_HiddenSheetCLAY!$B$3:$E$50,MATCH(VLOOKUP($I43,$I$5:$AJ$35,MATCH(VLOOKUP(R$37,$BH$3:$BI$50,2,FALSE),$I$4:$AJ$4,0),FALSE),BoundParameters_HiddenSheetCLAY!$B$1:$E$1,0),FALSE))),'Control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Output'!$A$2:$E$99998,5,FALSE)="Sand",VLOOKUP(S$37,BoundParameters_HiddenSheetSAND!$B$3:$E$50,MATCH(VLOOKUP($I43,$I$5:$AJ$29,MATCH(VLOOKUP(S$37,$BH$3:$BI$50,2,FALSE),$I$4:$AJ$4,0),FALSE),BoundParameters_HiddenSheetCLAY!$B$1:$E$1,0),FALSE),IF(VLOOKUP($E43,'Table Output'!$A$2:$E$99998,5,FALSE)="Clay",VLOOKUP(S$37,BoundParameters_HiddenSheetCLAY!$B$3:$E$50,MATCH(VLOOKUP($I43,$I$5:$AJ$35,MATCH(VLOOKUP(S$37,$BH$3:$BI$50,2,FALSE),$I$4:$AJ$4,0),FALSE),BoundParameters_HiddenSheetCLAY!$B$1:$E$1,0),FALSE))),'Control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>Cowden_Clay</v>
      </c>
      <c r="I44" s="7">
        <f t="shared" si="4"/>
        <v>7</v>
      </c>
      <c r="J44" s="44">
        <f>IF($I44="","",IF(J$37="","",IF('Control Panel'!J44="",IF(VLOOKUP($E44,'Table Output'!$A$2:$E$99998,5,FALSE)="Sand",VLOOKUP(J$37,BoundParameters_HiddenSheetSAND!$B$3:$E$50,MATCH(VLOOKUP($I44,$I$5:$AJ$29,MATCH(VLOOKUP(J$37,$BH$3:$BI$50,2,FALSE),$I$4:$AJ$4,0),FALSE),BoundParameters_HiddenSheetCLAY!$B$1:$E$1,0),FALSE),IF(VLOOKUP($E44,'Table Output'!$A$2:$E$99998,5,FALSE)="Clay",VLOOKUP(J$37,BoundParameters_HiddenSheetCLAY!$B$3:$E$50,MATCH(VLOOKUP($I44,$I$5:$AJ$35,MATCH(VLOOKUP(J$37,$BH$3:$BI$50,2,FALSE),$I$4:$AJ$4,0),FALSE),BoundParameters_HiddenSheetCLAY!$B$1:$E$1,0),FALSE))),'Control Panel'!J44)))</f>
        <v>30</v>
      </c>
      <c r="K44" s="44">
        <f>IF($I44="","",IF(K$37="","",IF('Control Panel'!K44="",IF(VLOOKUP($E44,'Table Output'!$A$2:$E$99998,5,FALSE)="Sand",VLOOKUP(K$37,BoundParameters_HiddenSheetSAND!$B$3:$E$50,MATCH(VLOOKUP($I44,$I$5:$AJ$29,MATCH(VLOOKUP(K$37,$BH$3:$BI$50,2,FALSE),$I$4:$AJ$4,0),FALSE),BoundParameters_HiddenSheetCLAY!$B$1:$E$1,0),FALSE),IF(VLOOKUP($E44,'Table Output'!$A$2:$E$99998,5,FALSE)="Clay",VLOOKUP(K$37,BoundParameters_HiddenSheetCLAY!$B$3:$E$50,MATCH(VLOOKUP($I44,$I$5:$AJ$35,MATCH(VLOOKUP(K$37,$BH$3:$BI$50,2,FALSE),$I$4:$AJ$4,0),FALSE),BoundParameters_HiddenSheetCLAY!$B$1:$E$1,0),FALSE))),'Control Panel'!K44)))</f>
        <v>7.2110000000000003</v>
      </c>
      <c r="L44" s="44">
        <f>IF($I44="","",IF(L$37="","",IF('Control Panel'!L44="",IF(VLOOKUP($E44,'Table Output'!$A$2:$E$99998,5,FALSE)="Sand",VLOOKUP(L$37,BoundParameters_HiddenSheetSAND!$B$3:$E$50,MATCH(VLOOKUP($I44,$I$5:$AJ$29,MATCH(VLOOKUP(L$37,$BH$3:$BI$50,2,FALSE),$I$4:$AJ$4,0),FALSE),BoundParameters_HiddenSheetCLAY!$B$1:$E$1,0),FALSE),IF(VLOOKUP($E44,'Table Output'!$A$2:$E$99998,5,FALSE)="Clay",VLOOKUP(L$37,BoundParameters_HiddenSheetCLAY!$B$3:$E$50,MATCH(VLOOKUP($I44,$I$5:$AJ$35,MATCH(VLOOKUP(L$37,$BH$3:$BI$50,2,FALSE),$I$4:$AJ$4,0),FALSE),BoundParameters_HiddenSheetCLAY!$B$1:$E$1,0),FALSE))),'Control Panel'!L44)))</f>
        <v>-2.4</v>
      </c>
      <c r="M44" s="44">
        <f>IF($I44="","",IF(M$37="","",IF('Control Panel'!M44="",IF(VLOOKUP($E44,'Table Output'!$A$2:$E$99998,5,FALSE)="Sand",VLOOKUP(M$37,BoundParameters_HiddenSheetSAND!$B$3:$E$50,MATCH(VLOOKUP($I44,$I$5:$AJ$29,MATCH(VLOOKUP(M$37,$BH$3:$BI$50,2,FALSE),$I$4:$AJ$4,0),FALSE),BoundParameters_HiddenSheetCLAY!$B$1:$E$1,0),FALSE),IF(VLOOKUP($E44,'Table Output'!$A$2:$E$99998,5,FALSE)="Clay",VLOOKUP(M$37,BoundParameters_HiddenSheetCLAY!$B$3:$E$50,MATCH(VLOOKUP($I44,$I$5:$AJ$35,MATCH(VLOOKUP(M$37,$BH$3:$BI$50,2,FALSE),$I$4:$AJ$4,0),FALSE),BoundParameters_HiddenSheetCLAY!$B$1:$E$1,0),FALSE))),'Control Panel'!M44)))</f>
        <v>-1.5</v>
      </c>
      <c r="N44" s="44">
        <f>IF($I44="","",IF(N$37="","",IF('Control Panel'!N44="",IF(VLOOKUP($E44,'Table Output'!$A$2:$E$99998,5,FALSE)="Sand",VLOOKUP(N$37,BoundParameters_HiddenSheetSAND!$B$3:$E$50,MATCH(VLOOKUP($I44,$I$5:$AJ$29,MATCH(VLOOKUP(N$37,$BH$3:$BI$50,2,FALSE),$I$4:$AJ$4,0),FALSE),BoundParameters_HiddenSheetCLAY!$B$1:$E$1,0),FALSE),IF(VLOOKUP($E44,'Table Output'!$A$2:$E$99998,5,FALSE)="Clay",VLOOKUP(N$37,BoundParameters_HiddenSheetCLAY!$B$3:$E$50,MATCH(VLOOKUP($I44,$I$5:$AJ$35,MATCH(VLOOKUP(N$37,$BH$3:$BI$50,2,FALSE),$I$4:$AJ$4,0),FALSE),BoundParameters_HiddenSheetCLAY!$B$1:$E$1,0),FALSE))),'Control Panel'!N44)))</f>
        <v>0.5</v>
      </c>
      <c r="O44" s="44" t="str">
        <f>IF($I44="","",IF(O$37="","",IF('Control Panel'!O44="",IF(VLOOKUP($E44,'Table Output'!$A$2:$E$99998,5,FALSE)="Sand",VLOOKUP(O$37,BoundParameters_HiddenSheetSAND!$B$3:$E$50,MATCH(VLOOKUP($I44,$I$5:$AJ$29,MATCH(VLOOKUP(O$37,$BH$3:$BI$50,2,FALSE),$I$4:$AJ$4,0),FALSE),BoundParameters_HiddenSheetCLAY!$B$1:$E$1,0),FALSE),IF(VLOOKUP($E44,'Table Output'!$A$2:$E$99998,5,FALSE)="Clay",VLOOKUP(O$37,BoundParameters_HiddenSheetCLAY!$B$3:$E$50,MATCH(VLOOKUP($I44,$I$5:$AJ$35,MATCH(VLOOKUP(O$37,$BH$3:$BI$50,2,FALSE),$I$4:$AJ$4,0),FALSE),BoundParameters_HiddenSheetCLAY!$B$1:$E$1,0),FALSE))),'Control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Output'!$A$2:$E$99998,5,FALSE)="Sand",VLOOKUP(P$37,BoundParameters_HiddenSheetSAND!$B$3:$E$50,MATCH(VLOOKUP($I44,$I$5:$AJ$29,MATCH(VLOOKUP(P$37,$BH$3:$BI$50,2,FALSE),$I$4:$AJ$4,0),FALSE),BoundParameters_HiddenSheetCLAY!$B$1:$E$1,0),FALSE),IF(VLOOKUP($E44,'Table Output'!$A$2:$E$99998,5,FALSE)="Clay",VLOOKUP(P$37,BoundParameters_HiddenSheetCLAY!$B$3:$E$50,MATCH(VLOOKUP($I44,$I$5:$AJ$35,MATCH(VLOOKUP(P$37,$BH$3:$BI$50,2,FALSE),$I$4:$AJ$4,0),FALSE),BoundParameters_HiddenSheetCLAY!$B$1:$E$1,0),FALSE))),'Control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Output'!$A$2:$E$99998,5,FALSE)="Sand",VLOOKUP(Q$37,BoundParameters_HiddenSheetSAND!$B$3:$E$50,MATCH(VLOOKUP($I44,$I$5:$AJ$29,MATCH(VLOOKUP(Q$37,$BH$3:$BI$50,2,FALSE),$I$4:$AJ$4,0),FALSE),BoundParameters_HiddenSheetCLAY!$B$1:$E$1,0),FALSE),IF(VLOOKUP($E44,'Table Output'!$A$2:$E$99998,5,FALSE)="Clay",VLOOKUP(Q$37,BoundParameters_HiddenSheetCLAY!$B$3:$E$50,MATCH(VLOOKUP($I44,$I$5:$AJ$35,MATCH(VLOOKUP(Q$37,$BH$3:$BI$50,2,FALSE),$I$4:$AJ$4,0),FALSE),BoundParameters_HiddenSheetCLAY!$B$1:$E$1,0),FALSE))),'Control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Output'!$A$2:$E$99998,5,FALSE)="Sand",VLOOKUP(R$37,BoundParameters_HiddenSheetSAND!$B$3:$E$50,MATCH(VLOOKUP($I44,$I$5:$AJ$29,MATCH(VLOOKUP(R$37,$BH$3:$BI$50,2,FALSE),$I$4:$AJ$4,0),FALSE),BoundParameters_HiddenSheetCLAY!$B$1:$E$1,0),FALSE),IF(VLOOKUP($E44,'Table Output'!$A$2:$E$99998,5,FALSE)="Clay",VLOOKUP(R$37,BoundParameters_HiddenSheetCLAY!$B$3:$E$50,MATCH(VLOOKUP($I44,$I$5:$AJ$35,MATCH(VLOOKUP(R$37,$BH$3:$BI$50,2,FALSE),$I$4:$AJ$4,0),FALSE),BoundParameters_HiddenSheetCLAY!$B$1:$E$1,0),FALSE))),'Control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Output'!$A$2:$E$99998,5,FALSE)="Sand",VLOOKUP(S$37,BoundParameters_HiddenSheetSAND!$B$3:$E$50,MATCH(VLOOKUP($I44,$I$5:$AJ$29,MATCH(VLOOKUP(S$37,$BH$3:$BI$50,2,FALSE),$I$4:$AJ$4,0),FALSE),BoundParameters_HiddenSheetCLAY!$B$1:$E$1,0),FALSE),IF(VLOOKUP($E44,'Table Output'!$A$2:$E$99998,5,FALSE)="Clay",VLOOKUP(S$37,BoundParameters_HiddenSheetCLAY!$B$3:$E$50,MATCH(VLOOKUP($I44,$I$5:$AJ$35,MATCH(VLOOKUP(S$37,$BH$3:$BI$50,2,FALSE),$I$4:$AJ$4,0),FALSE),BoundParameters_HiddenSheetCLAY!$B$1:$E$1,0),FALSE))),'Control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>Sand_80</v>
      </c>
      <c r="I45" s="7">
        <f t="shared" si="4"/>
        <v>8</v>
      </c>
      <c r="J45" s="44">
        <f>IF($I45="","",IF(J$37="","",IF('Control Panel'!J45="",IF(VLOOKUP($E45,'Table Output'!$A$2:$E$99998,5,FALSE)="Sand",VLOOKUP(J$37,BoundParameters_HiddenSheetSAND!$B$3:$E$50,MATCH(VLOOKUP($I45,$I$5:$AJ$29,MATCH(VLOOKUP(J$37,$BH$3:$BI$50,2,FALSE),$I$4:$AJ$4,0),FALSE),BoundParameters_HiddenSheetCLAY!$B$1:$E$1,0),FALSE),IF(VLOOKUP($E45,'Table Output'!$A$2:$E$99998,5,FALSE)="Clay",VLOOKUP(J$37,BoundParameters_HiddenSheetCLAY!$B$3:$E$50,MATCH(VLOOKUP($I45,$I$5:$AJ$35,MATCH(VLOOKUP(J$37,$BH$3:$BI$50,2,FALSE),$I$4:$AJ$4,0),FALSE),BoundParameters_HiddenSheetCLAY!$B$1:$E$1,0),FALSE))),'Control Panel'!J45)))</f>
        <v>30</v>
      </c>
      <c r="K45" s="44">
        <f>IF($I45="","",IF(K$37="","",IF('Control Panel'!K45="",IF(VLOOKUP($E45,'Table Output'!$A$2:$E$99998,5,FALSE)="Sand",VLOOKUP(K$37,BoundParameters_HiddenSheetSAND!$B$3:$E$50,MATCH(VLOOKUP($I45,$I$5:$AJ$29,MATCH(VLOOKUP(K$37,$BH$3:$BI$50,2,FALSE),$I$4:$AJ$4,0),FALSE),BoundParameters_HiddenSheetCLAY!$B$1:$E$1,0),FALSE),IF(VLOOKUP($E45,'Table Output'!$A$2:$E$99998,5,FALSE)="Clay",VLOOKUP(K$37,BoundParameters_HiddenSheetCLAY!$B$3:$E$50,MATCH(VLOOKUP($I45,$I$5:$AJ$35,MATCH(VLOOKUP(K$37,$BH$3:$BI$50,2,FALSE),$I$4:$AJ$4,0),FALSE),BoundParameters_HiddenSheetCLAY!$B$1:$E$1,0),FALSE))),'Control Panel'!K45)))</f>
        <v>-120</v>
      </c>
      <c r="L45" s="44">
        <f>IF($I45="","",IF(L$37="","",IF('Control Panel'!L45="",IF(VLOOKUP($E45,'Table Output'!$A$2:$E$99998,5,FALSE)="Sand",VLOOKUP(L$37,BoundParameters_HiddenSheetSAND!$B$3:$E$50,MATCH(VLOOKUP($I45,$I$5:$AJ$29,MATCH(VLOOKUP(L$37,$BH$3:$BI$50,2,FALSE),$I$4:$AJ$4,0),FALSE),BoundParameters_HiddenSheetCLAY!$B$1:$E$1,0),FALSE),IF(VLOOKUP($E45,'Table Output'!$A$2:$E$99998,5,FALSE)="Clay",VLOOKUP(L$37,BoundParameters_HiddenSheetCLAY!$B$3:$E$50,MATCH(VLOOKUP($I45,$I$5:$AJ$35,MATCH(VLOOKUP(L$37,$BH$3:$BI$50,2,FALSE),$I$4:$AJ$4,0),FALSE),BoundParameters_HiddenSheetCLAY!$B$1:$E$1,0),FALSE))),'Control Panel'!L45)))</f>
        <v>-35</v>
      </c>
      <c r="M45" s="44">
        <f>IF($I45="","",IF(M$37="","",IF('Control Panel'!M45="",IF(VLOOKUP($E45,'Table Output'!$A$2:$E$99998,5,FALSE)="Sand",VLOOKUP(M$37,BoundParameters_HiddenSheetSAND!$B$3:$E$50,MATCH(VLOOKUP($I45,$I$5:$AJ$29,MATCH(VLOOKUP(M$37,$BH$3:$BI$50,2,FALSE),$I$4:$AJ$4,0),FALSE),BoundParameters_HiddenSheetCLAY!$B$1:$E$1,0),FALSE),IF(VLOOKUP($E45,'Table Output'!$A$2:$E$99998,5,FALSE)="Clay",VLOOKUP(M$37,BoundParameters_HiddenSheetCLAY!$B$3:$E$50,MATCH(VLOOKUP($I45,$I$5:$AJ$35,MATCH(VLOOKUP(M$37,$BH$3:$BI$50,2,FALSE),$I$4:$AJ$4,0),FALSE),BoundParameters_HiddenSheetCLAY!$B$1:$E$1,0),FALSE))),'Control Panel'!M45)))</f>
        <v>0</v>
      </c>
      <c r="N45" s="44">
        <f>IF($I45="","",IF(N$37="","",IF('Control Panel'!N45="",IF(VLOOKUP($E45,'Table Output'!$A$2:$E$99998,5,FALSE)="Sand",VLOOKUP(N$37,BoundParameters_HiddenSheetSAND!$B$3:$E$50,MATCH(VLOOKUP($I45,$I$5:$AJ$29,MATCH(VLOOKUP(N$37,$BH$3:$BI$50,2,FALSE),$I$4:$AJ$4,0),FALSE),BoundParameters_HiddenSheetCLAY!$B$1:$E$1,0),FALSE),IF(VLOOKUP($E45,'Table Output'!$A$2:$E$99998,5,FALSE)="Clay",VLOOKUP(N$37,BoundParameters_HiddenSheetCLAY!$B$3:$E$50,MATCH(VLOOKUP($I45,$I$5:$AJ$35,MATCH(VLOOKUP(N$37,$BH$3:$BI$50,2,FALSE),$I$4:$AJ$4,0),FALSE),BoundParameters_HiddenSheetCLAY!$B$1:$E$1,0),FALSE))),'Control Panel'!N45)))</f>
        <v>0.2</v>
      </c>
      <c r="O45" s="44" t="str">
        <f>IF($I45="","",IF(O$37="","",IF('Control Panel'!O45="",IF(VLOOKUP($E45,'Table Output'!$A$2:$E$99998,5,FALSE)="Sand",VLOOKUP(O$37,BoundParameters_HiddenSheetSAND!$B$3:$E$50,MATCH(VLOOKUP($I45,$I$5:$AJ$29,MATCH(VLOOKUP(O$37,$BH$3:$BI$50,2,FALSE),$I$4:$AJ$4,0),FALSE),BoundParameters_HiddenSheetCLAY!$B$1:$E$1,0),FALSE),IF(VLOOKUP($E45,'Table Output'!$A$2:$E$99998,5,FALSE)="Clay",VLOOKUP(O$37,BoundParameters_HiddenSheetCLAY!$B$3:$E$50,MATCH(VLOOKUP($I45,$I$5:$AJ$35,MATCH(VLOOKUP(O$37,$BH$3:$BI$50,2,FALSE),$I$4:$AJ$4,0),FALSE),BoundParameters_HiddenSheetCLAY!$B$1:$E$1,0),FALSE))),'Control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Output'!$A$2:$E$99998,5,FALSE)="Sand",VLOOKUP(P$37,BoundParameters_HiddenSheetSAND!$B$3:$E$50,MATCH(VLOOKUP($I45,$I$5:$AJ$29,MATCH(VLOOKUP(P$37,$BH$3:$BI$50,2,FALSE),$I$4:$AJ$4,0),FALSE),BoundParameters_HiddenSheetCLAY!$B$1:$E$1,0),FALSE),IF(VLOOKUP($E45,'Table Output'!$A$2:$E$99998,5,FALSE)="Clay",VLOOKUP(P$37,BoundParameters_HiddenSheetCLAY!$B$3:$E$50,MATCH(VLOOKUP($I45,$I$5:$AJ$35,MATCH(VLOOKUP(P$37,$BH$3:$BI$50,2,FALSE),$I$4:$AJ$4,0),FALSE),BoundParameters_HiddenSheetCLAY!$B$1:$E$1,0),FALSE))),'Control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Output'!$A$2:$E$99998,5,FALSE)="Sand",VLOOKUP(Q$37,BoundParameters_HiddenSheetSAND!$B$3:$E$50,MATCH(VLOOKUP($I45,$I$5:$AJ$29,MATCH(VLOOKUP(Q$37,$BH$3:$BI$50,2,FALSE),$I$4:$AJ$4,0),FALSE),BoundParameters_HiddenSheetCLAY!$B$1:$E$1,0),FALSE),IF(VLOOKUP($E45,'Table Output'!$A$2:$E$99998,5,FALSE)="Clay",VLOOKUP(Q$37,BoundParameters_HiddenSheetCLAY!$B$3:$E$50,MATCH(VLOOKUP($I45,$I$5:$AJ$35,MATCH(VLOOKUP(Q$37,$BH$3:$BI$50,2,FALSE),$I$4:$AJ$4,0),FALSE),BoundParameters_HiddenSheetCLAY!$B$1:$E$1,0),FALSE))),'Control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Output'!$A$2:$E$99998,5,FALSE)="Sand",VLOOKUP(R$37,BoundParameters_HiddenSheetSAND!$B$3:$E$50,MATCH(VLOOKUP($I45,$I$5:$AJ$29,MATCH(VLOOKUP(R$37,$BH$3:$BI$50,2,FALSE),$I$4:$AJ$4,0),FALSE),BoundParameters_HiddenSheetCLAY!$B$1:$E$1,0),FALSE),IF(VLOOKUP($E45,'Table Output'!$A$2:$E$99998,5,FALSE)="Clay",VLOOKUP(R$37,BoundParameters_HiddenSheetCLAY!$B$3:$E$50,MATCH(VLOOKUP($I45,$I$5:$AJ$35,MATCH(VLOOKUP(R$37,$BH$3:$BI$50,2,FALSE),$I$4:$AJ$4,0),FALSE),BoundParameters_HiddenSheetCLAY!$B$1:$E$1,0),FALSE))),'Control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Output'!$A$2:$E$99998,5,FALSE)="Sand",VLOOKUP(S$37,BoundParameters_HiddenSheetSAND!$B$3:$E$50,MATCH(VLOOKUP($I45,$I$5:$AJ$29,MATCH(VLOOKUP(S$37,$BH$3:$BI$50,2,FALSE),$I$4:$AJ$4,0),FALSE),BoundParameters_HiddenSheetCLAY!$B$1:$E$1,0),FALSE),IF(VLOOKUP($E45,'Table Output'!$A$2:$E$99998,5,FALSE)="Clay",VLOOKUP(S$37,BoundParameters_HiddenSheetCLAY!$B$3:$E$50,MATCH(VLOOKUP($I45,$I$5:$AJ$35,MATCH(VLOOKUP(S$37,$BH$3:$BI$50,2,FALSE),$I$4:$AJ$4,0),FALSE),BoundParameters_HiddenSheetCLAY!$B$1:$E$1,0),FALSE))),'Control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>Sand_80</v>
      </c>
      <c r="I46" s="7">
        <f t="shared" si="4"/>
        <v>9</v>
      </c>
      <c r="J46" s="44">
        <f>IF($I46="","",IF(J$37="","",IF('Control Panel'!J46="",IF(VLOOKUP($E46,'Table Output'!$A$2:$E$99998,5,FALSE)="Sand",VLOOKUP(J$37,BoundParameters_HiddenSheetSAND!$B$3:$E$50,MATCH(VLOOKUP($I46,$I$5:$AJ$29,MATCH(VLOOKUP(J$37,$BH$3:$BI$50,2,FALSE),$I$4:$AJ$4,0),FALSE),BoundParameters_HiddenSheetCLAY!$B$1:$E$1,0),FALSE),IF(VLOOKUP($E46,'Table Output'!$A$2:$E$99998,5,FALSE)="Clay",VLOOKUP(J$37,BoundParameters_HiddenSheetCLAY!$B$3:$E$50,MATCH(VLOOKUP($I46,$I$5:$AJ$35,MATCH(VLOOKUP(J$37,$BH$3:$BI$50,2,FALSE),$I$4:$AJ$4,0),FALSE),BoundParameters_HiddenSheetCLAY!$B$1:$E$1,0),FALSE))),'Control Panel'!J46)))</f>
        <v>30</v>
      </c>
      <c r="K46" s="44">
        <f>IF($I46="","",IF(K$37="","",IF('Control Panel'!K46="",IF(VLOOKUP($E46,'Table Output'!$A$2:$E$99998,5,FALSE)="Sand",VLOOKUP(K$37,BoundParameters_HiddenSheetSAND!$B$3:$E$50,MATCH(VLOOKUP($I46,$I$5:$AJ$29,MATCH(VLOOKUP(K$37,$BH$3:$BI$50,2,FALSE),$I$4:$AJ$4,0),FALSE),BoundParameters_HiddenSheetCLAY!$B$1:$E$1,0),FALSE),IF(VLOOKUP($E46,'Table Output'!$A$2:$E$99998,5,FALSE)="Clay",VLOOKUP(K$37,BoundParameters_HiddenSheetCLAY!$B$3:$E$50,MATCH(VLOOKUP($I46,$I$5:$AJ$35,MATCH(VLOOKUP(K$37,$BH$3:$BI$50,2,FALSE),$I$4:$AJ$4,0),FALSE),BoundParameters_HiddenSheetCLAY!$B$1:$E$1,0),FALSE))),'Control Panel'!K46)))</f>
        <v>-120</v>
      </c>
      <c r="L46" s="44">
        <f>IF($I46="","",IF(L$37="","",IF('Control Panel'!L46="",IF(VLOOKUP($E46,'Table Output'!$A$2:$E$99998,5,FALSE)="Sand",VLOOKUP(L$37,BoundParameters_HiddenSheetSAND!$B$3:$E$50,MATCH(VLOOKUP($I46,$I$5:$AJ$29,MATCH(VLOOKUP(L$37,$BH$3:$BI$50,2,FALSE),$I$4:$AJ$4,0),FALSE),BoundParameters_HiddenSheetCLAY!$B$1:$E$1,0),FALSE),IF(VLOOKUP($E46,'Table Output'!$A$2:$E$99998,5,FALSE)="Clay",VLOOKUP(L$37,BoundParameters_HiddenSheetCLAY!$B$3:$E$50,MATCH(VLOOKUP($I46,$I$5:$AJ$35,MATCH(VLOOKUP(L$37,$BH$3:$BI$50,2,FALSE),$I$4:$AJ$4,0),FALSE),BoundParameters_HiddenSheetCLAY!$B$1:$E$1,0),FALSE))),'Control Panel'!L46)))</f>
        <v>-35</v>
      </c>
      <c r="M46" s="44">
        <f>IF($I46="","",IF(M$37="","",IF('Control Panel'!M46="",IF(VLOOKUP($E46,'Table Output'!$A$2:$E$99998,5,FALSE)="Sand",VLOOKUP(M$37,BoundParameters_HiddenSheetSAND!$B$3:$E$50,MATCH(VLOOKUP($I46,$I$5:$AJ$29,MATCH(VLOOKUP(M$37,$BH$3:$BI$50,2,FALSE),$I$4:$AJ$4,0),FALSE),BoundParameters_HiddenSheetCLAY!$B$1:$E$1,0),FALSE),IF(VLOOKUP($E46,'Table Output'!$A$2:$E$99998,5,FALSE)="Clay",VLOOKUP(M$37,BoundParameters_HiddenSheetCLAY!$B$3:$E$50,MATCH(VLOOKUP($I46,$I$5:$AJ$35,MATCH(VLOOKUP(M$37,$BH$3:$BI$50,2,FALSE),$I$4:$AJ$4,0),FALSE),BoundParameters_HiddenSheetCLAY!$B$1:$E$1,0),FALSE))),'Control Panel'!M46)))</f>
        <v>0</v>
      </c>
      <c r="N46" s="44">
        <f>IF($I46="","",IF(N$37="","",IF('Control Panel'!N46="",IF(VLOOKUP($E46,'Table Output'!$A$2:$E$99998,5,FALSE)="Sand",VLOOKUP(N$37,BoundParameters_HiddenSheetSAND!$B$3:$E$50,MATCH(VLOOKUP($I46,$I$5:$AJ$29,MATCH(VLOOKUP(N$37,$BH$3:$BI$50,2,FALSE),$I$4:$AJ$4,0),FALSE),BoundParameters_HiddenSheetCLAY!$B$1:$E$1,0),FALSE),IF(VLOOKUP($E46,'Table Output'!$A$2:$E$99998,5,FALSE)="Clay",VLOOKUP(N$37,BoundParameters_HiddenSheetCLAY!$B$3:$E$50,MATCH(VLOOKUP($I46,$I$5:$AJ$35,MATCH(VLOOKUP(N$37,$BH$3:$BI$50,2,FALSE),$I$4:$AJ$4,0),FALSE),BoundParameters_HiddenSheetCLAY!$B$1:$E$1,0),FALSE))),'Control Panel'!N46)))</f>
        <v>0.2</v>
      </c>
      <c r="O46" s="44" t="str">
        <f>IF($I46="","",IF(O$37="","",IF('Control Panel'!O46="",IF(VLOOKUP($E46,'Table Output'!$A$2:$E$99998,5,FALSE)="Sand",VLOOKUP(O$37,BoundParameters_HiddenSheetSAND!$B$3:$E$50,MATCH(VLOOKUP($I46,$I$5:$AJ$29,MATCH(VLOOKUP(O$37,$BH$3:$BI$50,2,FALSE),$I$4:$AJ$4,0),FALSE),BoundParameters_HiddenSheetCLAY!$B$1:$E$1,0),FALSE),IF(VLOOKUP($E46,'Table Output'!$A$2:$E$99998,5,FALSE)="Clay",VLOOKUP(O$37,BoundParameters_HiddenSheetCLAY!$B$3:$E$50,MATCH(VLOOKUP($I46,$I$5:$AJ$35,MATCH(VLOOKUP(O$37,$BH$3:$BI$50,2,FALSE),$I$4:$AJ$4,0),FALSE),BoundParameters_HiddenSheetCLAY!$B$1:$E$1,0),FALSE))),'Control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Output'!$A$2:$E$99998,5,FALSE)="Sand",VLOOKUP(P$37,BoundParameters_HiddenSheetSAND!$B$3:$E$50,MATCH(VLOOKUP($I46,$I$5:$AJ$29,MATCH(VLOOKUP(P$37,$BH$3:$BI$50,2,FALSE),$I$4:$AJ$4,0),FALSE),BoundParameters_HiddenSheetCLAY!$B$1:$E$1,0),FALSE),IF(VLOOKUP($E46,'Table Output'!$A$2:$E$99998,5,FALSE)="Clay",VLOOKUP(P$37,BoundParameters_HiddenSheetCLAY!$B$3:$E$50,MATCH(VLOOKUP($I46,$I$5:$AJ$35,MATCH(VLOOKUP(P$37,$BH$3:$BI$50,2,FALSE),$I$4:$AJ$4,0),FALSE),BoundParameters_HiddenSheetCLAY!$B$1:$E$1,0),FALSE))),'Control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Output'!$A$2:$E$99998,5,FALSE)="Sand",VLOOKUP(Q$37,BoundParameters_HiddenSheetSAND!$B$3:$E$50,MATCH(VLOOKUP($I46,$I$5:$AJ$29,MATCH(VLOOKUP(Q$37,$BH$3:$BI$50,2,FALSE),$I$4:$AJ$4,0),FALSE),BoundParameters_HiddenSheetCLAY!$B$1:$E$1,0),FALSE),IF(VLOOKUP($E46,'Table Output'!$A$2:$E$99998,5,FALSE)="Clay",VLOOKUP(Q$37,BoundParameters_HiddenSheetCLAY!$B$3:$E$50,MATCH(VLOOKUP($I46,$I$5:$AJ$35,MATCH(VLOOKUP(Q$37,$BH$3:$BI$50,2,FALSE),$I$4:$AJ$4,0),FALSE),BoundParameters_HiddenSheetCLAY!$B$1:$E$1,0),FALSE))),'Control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Output'!$A$2:$E$99998,5,FALSE)="Sand",VLOOKUP(R$37,BoundParameters_HiddenSheetSAND!$B$3:$E$50,MATCH(VLOOKUP($I46,$I$5:$AJ$29,MATCH(VLOOKUP(R$37,$BH$3:$BI$50,2,FALSE),$I$4:$AJ$4,0),FALSE),BoundParameters_HiddenSheetCLAY!$B$1:$E$1,0),FALSE),IF(VLOOKUP($E46,'Table Output'!$A$2:$E$99998,5,FALSE)="Clay",VLOOKUP(R$37,BoundParameters_HiddenSheetCLAY!$B$3:$E$50,MATCH(VLOOKUP($I46,$I$5:$AJ$35,MATCH(VLOOKUP(R$37,$BH$3:$BI$50,2,FALSE),$I$4:$AJ$4,0),FALSE),BoundParameters_HiddenSheetCLAY!$B$1:$E$1,0),FALSE))),'Control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Output'!$A$2:$E$99998,5,FALSE)="Sand",VLOOKUP(S$37,BoundParameters_HiddenSheetSAND!$B$3:$E$50,MATCH(VLOOKUP($I46,$I$5:$AJ$29,MATCH(VLOOKUP(S$37,$BH$3:$BI$50,2,FALSE),$I$4:$AJ$4,0),FALSE),BoundParameters_HiddenSheetCLAY!$B$1:$E$1,0),FALSE),IF(VLOOKUP($E46,'Table Output'!$A$2:$E$99998,5,FALSE)="Clay",VLOOKUP(S$37,BoundParameters_HiddenSheetCLAY!$B$3:$E$50,MATCH(VLOOKUP($I46,$I$5:$AJ$35,MATCH(VLOOKUP(S$37,$BH$3:$BI$50,2,FALSE),$I$4:$AJ$4,0),FALSE),BoundParameters_HiddenSheetCLAY!$B$1:$E$1,0),FALSE))),'Control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>Sand_80</v>
      </c>
      <c r="I47" s="7">
        <f t="shared" si="4"/>
        <v>10</v>
      </c>
      <c r="J47" s="44">
        <f>IF($I47="","",IF(J$37="","",IF('Control Panel'!J47="",IF(VLOOKUP($E47,'Table Output'!$A$2:$E$99998,5,FALSE)="Sand",VLOOKUP(J$37,BoundParameters_HiddenSheetSAND!$B$3:$E$50,MATCH(VLOOKUP($I47,$I$5:$AJ$29,MATCH(VLOOKUP(J$37,$BH$3:$BI$50,2,FALSE),$I$4:$AJ$4,0),FALSE),BoundParameters_HiddenSheetCLAY!$B$1:$E$1,0),FALSE),IF(VLOOKUP($E47,'Table Output'!$A$2:$E$99998,5,FALSE)="Clay",VLOOKUP(J$37,BoundParameters_HiddenSheetCLAY!$B$3:$E$50,MATCH(VLOOKUP($I47,$I$5:$AJ$35,MATCH(VLOOKUP(J$37,$BH$3:$BI$50,2,FALSE),$I$4:$AJ$4,0),FALSE),BoundParameters_HiddenSheetCLAY!$B$1:$E$1,0),FALSE))),'Control Panel'!J47)))</f>
        <v>30</v>
      </c>
      <c r="K47" s="44">
        <f>IF($I47="","",IF(K$37="","",IF('Control Panel'!K47="",IF(VLOOKUP($E47,'Table Output'!$A$2:$E$99998,5,FALSE)="Sand",VLOOKUP(K$37,BoundParameters_HiddenSheetSAND!$B$3:$E$50,MATCH(VLOOKUP($I47,$I$5:$AJ$29,MATCH(VLOOKUP(K$37,$BH$3:$BI$50,2,FALSE),$I$4:$AJ$4,0),FALSE),BoundParameters_HiddenSheetCLAY!$B$1:$E$1,0),FALSE),IF(VLOOKUP($E47,'Table Output'!$A$2:$E$99998,5,FALSE)="Clay",VLOOKUP(K$37,BoundParameters_HiddenSheetCLAY!$B$3:$E$50,MATCH(VLOOKUP($I47,$I$5:$AJ$35,MATCH(VLOOKUP(K$37,$BH$3:$BI$50,2,FALSE),$I$4:$AJ$4,0),FALSE),BoundParameters_HiddenSheetCLAY!$B$1:$E$1,0),FALSE))),'Control Panel'!K47)))</f>
        <v>-120</v>
      </c>
      <c r="L47" s="44">
        <f>IF($I47="","",IF(L$37="","",IF('Control Panel'!L47="",IF(VLOOKUP($E47,'Table Output'!$A$2:$E$99998,5,FALSE)="Sand",VLOOKUP(L$37,BoundParameters_HiddenSheetSAND!$B$3:$E$50,MATCH(VLOOKUP($I47,$I$5:$AJ$29,MATCH(VLOOKUP(L$37,$BH$3:$BI$50,2,FALSE),$I$4:$AJ$4,0),FALSE),BoundParameters_HiddenSheetCLAY!$B$1:$E$1,0),FALSE),IF(VLOOKUP($E47,'Table Output'!$A$2:$E$99998,5,FALSE)="Clay",VLOOKUP(L$37,BoundParameters_HiddenSheetCLAY!$B$3:$E$50,MATCH(VLOOKUP($I47,$I$5:$AJ$35,MATCH(VLOOKUP(L$37,$BH$3:$BI$50,2,FALSE),$I$4:$AJ$4,0),FALSE),BoundParameters_HiddenSheetCLAY!$B$1:$E$1,0),FALSE))),'Control Panel'!L47)))</f>
        <v>-35</v>
      </c>
      <c r="M47" s="44">
        <f>IF($I47="","",IF(M$37="","",IF('Control Panel'!M47="",IF(VLOOKUP($E47,'Table Output'!$A$2:$E$99998,5,FALSE)="Sand",VLOOKUP(M$37,BoundParameters_HiddenSheetSAND!$B$3:$E$50,MATCH(VLOOKUP($I47,$I$5:$AJ$29,MATCH(VLOOKUP(M$37,$BH$3:$BI$50,2,FALSE),$I$4:$AJ$4,0),FALSE),BoundParameters_HiddenSheetCLAY!$B$1:$E$1,0),FALSE),IF(VLOOKUP($E47,'Table Output'!$A$2:$E$99998,5,FALSE)="Clay",VLOOKUP(M$37,BoundParameters_HiddenSheetCLAY!$B$3:$E$50,MATCH(VLOOKUP($I47,$I$5:$AJ$35,MATCH(VLOOKUP(M$37,$BH$3:$BI$50,2,FALSE),$I$4:$AJ$4,0),FALSE),BoundParameters_HiddenSheetCLAY!$B$1:$E$1,0),FALSE))),'Control Panel'!M47)))</f>
        <v>0</v>
      </c>
      <c r="N47" s="44">
        <f>IF($I47="","",IF(N$37="","",IF('Control Panel'!N47="",IF(VLOOKUP($E47,'Table Output'!$A$2:$E$99998,5,FALSE)="Sand",VLOOKUP(N$37,BoundParameters_HiddenSheetSAND!$B$3:$E$50,MATCH(VLOOKUP($I47,$I$5:$AJ$29,MATCH(VLOOKUP(N$37,$BH$3:$BI$50,2,FALSE),$I$4:$AJ$4,0),FALSE),BoundParameters_HiddenSheetCLAY!$B$1:$E$1,0),FALSE),IF(VLOOKUP($E47,'Table Output'!$A$2:$E$99998,5,FALSE)="Clay",VLOOKUP(N$37,BoundParameters_HiddenSheetCLAY!$B$3:$E$50,MATCH(VLOOKUP($I47,$I$5:$AJ$35,MATCH(VLOOKUP(N$37,$BH$3:$BI$50,2,FALSE),$I$4:$AJ$4,0),FALSE),BoundParameters_HiddenSheetCLAY!$B$1:$E$1,0),FALSE))),'Control Panel'!N47)))</f>
        <v>0.2</v>
      </c>
      <c r="O47" s="44" t="str">
        <f>IF($I47="","",IF(O$37="","",IF('Control Panel'!O47="",IF(VLOOKUP($E47,'Table Output'!$A$2:$E$99998,5,FALSE)="Sand",VLOOKUP(O$37,BoundParameters_HiddenSheetSAND!$B$3:$E$50,MATCH(VLOOKUP($I47,$I$5:$AJ$29,MATCH(VLOOKUP(O$37,$BH$3:$BI$50,2,FALSE),$I$4:$AJ$4,0),FALSE),BoundParameters_HiddenSheetCLAY!$B$1:$E$1,0),FALSE),IF(VLOOKUP($E47,'Table Output'!$A$2:$E$99998,5,FALSE)="Clay",VLOOKUP(O$37,BoundParameters_HiddenSheetCLAY!$B$3:$E$50,MATCH(VLOOKUP($I47,$I$5:$AJ$35,MATCH(VLOOKUP(O$37,$BH$3:$BI$50,2,FALSE),$I$4:$AJ$4,0),FALSE),BoundParameters_HiddenSheetCLAY!$B$1:$E$1,0),FALSE))),'Control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Output'!$A$2:$E$99998,5,FALSE)="Sand",VLOOKUP(P$37,BoundParameters_HiddenSheetSAND!$B$3:$E$50,MATCH(VLOOKUP($I47,$I$5:$AJ$29,MATCH(VLOOKUP(P$37,$BH$3:$BI$50,2,FALSE),$I$4:$AJ$4,0),FALSE),BoundParameters_HiddenSheetCLAY!$B$1:$E$1,0),FALSE),IF(VLOOKUP($E47,'Table Output'!$A$2:$E$99998,5,FALSE)="Clay",VLOOKUP(P$37,BoundParameters_HiddenSheetCLAY!$B$3:$E$50,MATCH(VLOOKUP($I47,$I$5:$AJ$35,MATCH(VLOOKUP(P$37,$BH$3:$BI$50,2,FALSE),$I$4:$AJ$4,0),FALSE),BoundParameters_HiddenSheetCLAY!$B$1:$E$1,0),FALSE))),'Control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Output'!$A$2:$E$99998,5,FALSE)="Sand",VLOOKUP(Q$37,BoundParameters_HiddenSheetSAND!$B$3:$E$50,MATCH(VLOOKUP($I47,$I$5:$AJ$29,MATCH(VLOOKUP(Q$37,$BH$3:$BI$50,2,FALSE),$I$4:$AJ$4,0),FALSE),BoundParameters_HiddenSheetCLAY!$B$1:$E$1,0),FALSE),IF(VLOOKUP($E47,'Table Output'!$A$2:$E$99998,5,FALSE)="Clay",VLOOKUP(Q$37,BoundParameters_HiddenSheetCLAY!$B$3:$E$50,MATCH(VLOOKUP($I47,$I$5:$AJ$35,MATCH(VLOOKUP(Q$37,$BH$3:$BI$50,2,FALSE),$I$4:$AJ$4,0),FALSE),BoundParameters_HiddenSheetCLAY!$B$1:$E$1,0),FALSE))),'Control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Output'!$A$2:$E$99998,5,FALSE)="Sand",VLOOKUP(R$37,BoundParameters_HiddenSheetSAND!$B$3:$E$50,MATCH(VLOOKUP($I47,$I$5:$AJ$29,MATCH(VLOOKUP(R$37,$BH$3:$BI$50,2,FALSE),$I$4:$AJ$4,0),FALSE),BoundParameters_HiddenSheetCLAY!$B$1:$E$1,0),FALSE),IF(VLOOKUP($E47,'Table Output'!$A$2:$E$99998,5,FALSE)="Clay",VLOOKUP(R$37,BoundParameters_HiddenSheetCLAY!$B$3:$E$50,MATCH(VLOOKUP($I47,$I$5:$AJ$35,MATCH(VLOOKUP(R$37,$BH$3:$BI$50,2,FALSE),$I$4:$AJ$4,0),FALSE),BoundParameters_HiddenSheetCLAY!$B$1:$E$1,0),FALSE))),'Control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Output'!$A$2:$E$99998,5,FALSE)="Sand",VLOOKUP(S$37,BoundParameters_HiddenSheetSAND!$B$3:$E$50,MATCH(VLOOKUP($I47,$I$5:$AJ$29,MATCH(VLOOKUP(S$37,$BH$3:$BI$50,2,FALSE),$I$4:$AJ$4,0),FALSE),BoundParameters_HiddenSheetCLAY!$B$1:$E$1,0),FALSE),IF(VLOOKUP($E47,'Table Output'!$A$2:$E$99998,5,FALSE)="Clay",VLOOKUP(S$37,BoundParameters_HiddenSheetCLAY!$B$3:$E$50,MATCH(VLOOKUP($I47,$I$5:$AJ$35,MATCH(VLOOKUP(S$37,$BH$3:$BI$50,2,FALSE),$I$4:$AJ$4,0),FALSE),BoundParameters_HiddenSheetCLAY!$B$1:$E$1,0),FALSE))),'Control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>Cowden_Clay</v>
      </c>
      <c r="I48" s="7">
        <f t="shared" si="4"/>
        <v>11</v>
      </c>
      <c r="J48" s="44">
        <f>IF($I48="","",IF(J$37="","",IF('Control Panel'!J48="",IF(VLOOKUP($E48,'Table Output'!$A$2:$E$99998,5,FALSE)="Sand",VLOOKUP(J$37,BoundParameters_HiddenSheetSAND!$B$3:$E$50,MATCH(VLOOKUP($I48,$I$5:$AJ$29,MATCH(VLOOKUP(J$37,$BH$3:$BI$50,2,FALSE),$I$4:$AJ$4,0),FALSE),BoundParameters_HiddenSheetCLAY!$B$1:$E$1,0),FALSE),IF(VLOOKUP($E48,'Table Output'!$A$2:$E$99998,5,FALSE)="Clay",VLOOKUP(J$37,BoundParameters_HiddenSheetCLAY!$B$3:$E$50,MATCH(VLOOKUP($I48,$I$5:$AJ$35,MATCH(VLOOKUP(J$37,$BH$3:$BI$50,2,FALSE),$I$4:$AJ$4,0),FALSE),BoundParameters_HiddenSheetCLAY!$B$1:$E$1,0),FALSE))),'Control Panel'!J48)))</f>
        <v>30</v>
      </c>
      <c r="K48" s="44">
        <f>IF($I48="","",IF(K$37="","",IF('Control Panel'!K48="",IF(VLOOKUP($E48,'Table Output'!$A$2:$E$99998,5,FALSE)="Sand",VLOOKUP(K$37,BoundParameters_HiddenSheetSAND!$B$3:$E$50,MATCH(VLOOKUP($I48,$I$5:$AJ$29,MATCH(VLOOKUP(K$37,$BH$3:$BI$50,2,FALSE),$I$4:$AJ$4,0),FALSE),BoundParameters_HiddenSheetCLAY!$B$1:$E$1,0),FALSE),IF(VLOOKUP($E48,'Table Output'!$A$2:$E$99998,5,FALSE)="Clay",VLOOKUP(K$37,BoundParameters_HiddenSheetCLAY!$B$3:$E$50,MATCH(VLOOKUP($I48,$I$5:$AJ$35,MATCH(VLOOKUP(K$37,$BH$3:$BI$50,2,FALSE),$I$4:$AJ$4,0),FALSE),BoundParameters_HiddenSheetCLAY!$B$1:$E$1,0),FALSE))),'Control Panel'!K48)))</f>
        <v>7.2110000000000003</v>
      </c>
      <c r="L48" s="44">
        <f>IF($I48="","",IF(L$37="","",IF('Control Panel'!L48="",IF(VLOOKUP($E48,'Table Output'!$A$2:$E$99998,5,FALSE)="Sand",VLOOKUP(L$37,BoundParameters_HiddenSheetSAND!$B$3:$E$50,MATCH(VLOOKUP($I48,$I$5:$AJ$29,MATCH(VLOOKUP(L$37,$BH$3:$BI$50,2,FALSE),$I$4:$AJ$4,0),FALSE),BoundParameters_HiddenSheetCLAY!$B$1:$E$1,0),FALSE),IF(VLOOKUP($E48,'Table Output'!$A$2:$E$99998,5,FALSE)="Clay",VLOOKUP(L$37,BoundParameters_HiddenSheetCLAY!$B$3:$E$50,MATCH(VLOOKUP($I48,$I$5:$AJ$35,MATCH(VLOOKUP(L$37,$BH$3:$BI$50,2,FALSE),$I$4:$AJ$4,0),FALSE),BoundParameters_HiddenSheetCLAY!$B$1:$E$1,0),FALSE))),'Control Panel'!L48)))</f>
        <v>-2.4</v>
      </c>
      <c r="M48" s="44">
        <f>IF($I48="","",IF(M$37="","",IF('Control Panel'!M48="",IF(VLOOKUP($E48,'Table Output'!$A$2:$E$99998,5,FALSE)="Sand",VLOOKUP(M$37,BoundParameters_HiddenSheetSAND!$B$3:$E$50,MATCH(VLOOKUP($I48,$I$5:$AJ$29,MATCH(VLOOKUP(M$37,$BH$3:$BI$50,2,FALSE),$I$4:$AJ$4,0),FALSE),BoundParameters_HiddenSheetCLAY!$B$1:$E$1,0),FALSE),IF(VLOOKUP($E48,'Table Output'!$A$2:$E$99998,5,FALSE)="Clay",VLOOKUP(M$37,BoundParameters_HiddenSheetCLAY!$B$3:$E$50,MATCH(VLOOKUP($I48,$I$5:$AJ$35,MATCH(VLOOKUP(M$37,$BH$3:$BI$50,2,FALSE),$I$4:$AJ$4,0),FALSE),BoundParameters_HiddenSheetCLAY!$B$1:$E$1,0),FALSE))),'Control Panel'!M48)))</f>
        <v>-1.5</v>
      </c>
      <c r="N48" s="44">
        <f>IF($I48="","",IF(N$37="","",IF('Control Panel'!N48="",IF(VLOOKUP($E48,'Table Output'!$A$2:$E$99998,5,FALSE)="Sand",VLOOKUP(N$37,BoundParameters_HiddenSheetSAND!$B$3:$E$50,MATCH(VLOOKUP($I48,$I$5:$AJ$29,MATCH(VLOOKUP(N$37,$BH$3:$BI$50,2,FALSE),$I$4:$AJ$4,0),FALSE),BoundParameters_HiddenSheetCLAY!$B$1:$E$1,0),FALSE),IF(VLOOKUP($E48,'Table Output'!$A$2:$E$99998,5,FALSE)="Clay",VLOOKUP(N$37,BoundParameters_HiddenSheetCLAY!$B$3:$E$50,MATCH(VLOOKUP($I48,$I$5:$AJ$35,MATCH(VLOOKUP(N$37,$BH$3:$BI$50,2,FALSE),$I$4:$AJ$4,0),FALSE),BoundParameters_HiddenSheetCLAY!$B$1:$E$1,0),FALSE))),'Control Panel'!N48)))</f>
        <v>0.5</v>
      </c>
      <c r="O48" s="44" t="str">
        <f>IF($I48="","",IF(O$37="","",IF('Control Panel'!O48="",IF(VLOOKUP($E48,'Table Output'!$A$2:$E$99998,5,FALSE)="Sand",VLOOKUP(O$37,BoundParameters_HiddenSheetSAND!$B$3:$E$50,MATCH(VLOOKUP($I48,$I$5:$AJ$29,MATCH(VLOOKUP(O$37,$BH$3:$BI$50,2,FALSE),$I$4:$AJ$4,0),FALSE),BoundParameters_HiddenSheetCLAY!$B$1:$E$1,0),FALSE),IF(VLOOKUP($E48,'Table Output'!$A$2:$E$99998,5,FALSE)="Clay",VLOOKUP(O$37,BoundParameters_HiddenSheetCLAY!$B$3:$E$50,MATCH(VLOOKUP($I48,$I$5:$AJ$35,MATCH(VLOOKUP(O$37,$BH$3:$BI$50,2,FALSE),$I$4:$AJ$4,0),FALSE),BoundParameters_HiddenSheetCLAY!$B$1:$E$1,0),FALSE))),'Control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Output'!$A$2:$E$99998,5,FALSE)="Sand",VLOOKUP(P$37,BoundParameters_HiddenSheetSAND!$B$3:$E$50,MATCH(VLOOKUP($I48,$I$5:$AJ$29,MATCH(VLOOKUP(P$37,$BH$3:$BI$50,2,FALSE),$I$4:$AJ$4,0),FALSE),BoundParameters_HiddenSheetCLAY!$B$1:$E$1,0),FALSE),IF(VLOOKUP($E48,'Table Output'!$A$2:$E$99998,5,FALSE)="Clay",VLOOKUP(P$37,BoundParameters_HiddenSheetCLAY!$B$3:$E$50,MATCH(VLOOKUP($I48,$I$5:$AJ$35,MATCH(VLOOKUP(P$37,$BH$3:$BI$50,2,FALSE),$I$4:$AJ$4,0),FALSE),BoundParameters_HiddenSheetCLAY!$B$1:$E$1,0),FALSE))),'Control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Output'!$A$2:$E$99998,5,FALSE)="Sand",VLOOKUP(Q$37,BoundParameters_HiddenSheetSAND!$B$3:$E$50,MATCH(VLOOKUP($I48,$I$5:$AJ$29,MATCH(VLOOKUP(Q$37,$BH$3:$BI$50,2,FALSE),$I$4:$AJ$4,0),FALSE),BoundParameters_HiddenSheetCLAY!$B$1:$E$1,0),FALSE),IF(VLOOKUP($E48,'Table Output'!$A$2:$E$99998,5,FALSE)="Clay",VLOOKUP(Q$37,BoundParameters_HiddenSheetCLAY!$B$3:$E$50,MATCH(VLOOKUP($I48,$I$5:$AJ$35,MATCH(VLOOKUP(Q$37,$BH$3:$BI$50,2,FALSE),$I$4:$AJ$4,0),FALSE),BoundParameters_HiddenSheetCLAY!$B$1:$E$1,0),FALSE))),'Control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Output'!$A$2:$E$99998,5,FALSE)="Sand",VLOOKUP(R$37,BoundParameters_HiddenSheetSAND!$B$3:$E$50,MATCH(VLOOKUP($I48,$I$5:$AJ$29,MATCH(VLOOKUP(R$37,$BH$3:$BI$50,2,FALSE),$I$4:$AJ$4,0),FALSE),BoundParameters_HiddenSheetCLAY!$B$1:$E$1,0),FALSE),IF(VLOOKUP($E48,'Table Output'!$A$2:$E$99998,5,FALSE)="Clay",VLOOKUP(R$37,BoundParameters_HiddenSheetCLAY!$B$3:$E$50,MATCH(VLOOKUP($I48,$I$5:$AJ$35,MATCH(VLOOKUP(R$37,$BH$3:$BI$50,2,FALSE),$I$4:$AJ$4,0),FALSE),BoundParameters_HiddenSheetCLAY!$B$1:$E$1,0),FALSE))),'Control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Output'!$A$2:$E$99998,5,FALSE)="Sand",VLOOKUP(S$37,BoundParameters_HiddenSheetSAND!$B$3:$E$50,MATCH(VLOOKUP($I48,$I$5:$AJ$29,MATCH(VLOOKUP(S$37,$BH$3:$BI$50,2,FALSE),$I$4:$AJ$4,0),FALSE),BoundParameters_HiddenSheetCLAY!$B$1:$E$1,0),FALSE),IF(VLOOKUP($E48,'Table Output'!$A$2:$E$99998,5,FALSE)="Clay",VLOOKUP(S$37,BoundParameters_HiddenSheetCLAY!$B$3:$E$50,MATCH(VLOOKUP($I48,$I$5:$AJ$35,MATCH(VLOOKUP(S$37,$BH$3:$BI$50,2,FALSE),$I$4:$AJ$4,0),FALSE),BoundParameters_HiddenSheetCLAY!$B$1:$E$1,0),FALSE))),'Control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1&amp;1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Output'!$A$2:$E$99998,5,FALSE)="Sand",VLOOKUP(J$37,BoundParameters_HiddenSheetSAND!$B$3:$E$50,MATCH(VLOOKUP($I49,$I$5:$AJ$29,MATCH(VLOOKUP(J$37,$BH$3:$BI$50,2,FALSE),$I$4:$AJ$4,0),FALSE),BoundParameters_HiddenSheetCLAY!$B$1:$E$1,0),FALSE),IF(VLOOKUP($E49,'Table Output'!$A$2:$E$99998,5,FALSE)="Clay",VLOOKUP(J$37,BoundParameters_HiddenSheetCLAY!$B$3:$E$50,MATCH(VLOOKUP($I49,$I$5:$AJ$35,MATCH(VLOOKUP(J$37,$BH$3:$BI$50,2,FALSE),$I$4:$AJ$4,0),FALSE),BoundParameters_HiddenSheetCLAY!$B$1:$E$1,0),FALSE))),'Control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Output'!$A$2:$E$99998,5,FALSE)="Sand",VLOOKUP(K$37,BoundParameters_HiddenSheetSAND!$B$3:$E$50,MATCH(VLOOKUP($I49,$I$5:$AJ$29,MATCH(VLOOKUP(K$37,$BH$3:$BI$50,2,FALSE),$I$4:$AJ$4,0),FALSE),BoundParameters_HiddenSheetCLAY!$B$1:$E$1,0),FALSE),IF(VLOOKUP($E49,'Table Output'!$A$2:$E$99998,5,FALSE)="Clay",VLOOKUP(K$37,BoundParameters_HiddenSheetCLAY!$B$3:$E$50,MATCH(VLOOKUP($I49,$I$5:$AJ$35,MATCH(VLOOKUP(K$37,$BH$3:$BI$50,2,FALSE),$I$4:$AJ$4,0),FALSE),BoundParameters_HiddenSheetCLAY!$B$1:$E$1,0),FALSE))),'Control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Output'!$A$2:$E$99998,5,FALSE)="Sand",VLOOKUP(L$37,BoundParameters_HiddenSheetSAND!$B$3:$E$50,MATCH(VLOOKUP($I49,$I$5:$AJ$29,MATCH(VLOOKUP(L$37,$BH$3:$BI$50,2,FALSE),$I$4:$AJ$4,0),FALSE),BoundParameters_HiddenSheetCLAY!$B$1:$E$1,0),FALSE),IF(VLOOKUP($E49,'Table Output'!$A$2:$E$99998,5,FALSE)="Clay",VLOOKUP(L$37,BoundParameters_HiddenSheetCLAY!$B$3:$E$50,MATCH(VLOOKUP($I49,$I$5:$AJ$35,MATCH(VLOOKUP(L$37,$BH$3:$BI$50,2,FALSE),$I$4:$AJ$4,0),FALSE),BoundParameters_HiddenSheetCLAY!$B$1:$E$1,0),FALSE))),'Control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Output'!$A$2:$E$99998,5,FALSE)="Sand",VLOOKUP(M$37,BoundParameters_HiddenSheetSAND!$B$3:$E$50,MATCH(VLOOKUP($I49,$I$5:$AJ$29,MATCH(VLOOKUP(M$37,$BH$3:$BI$50,2,FALSE),$I$4:$AJ$4,0),FALSE),BoundParameters_HiddenSheetCLAY!$B$1:$E$1,0),FALSE),IF(VLOOKUP($E49,'Table Output'!$A$2:$E$99998,5,FALSE)="Clay",VLOOKUP(M$37,BoundParameters_HiddenSheetCLAY!$B$3:$E$50,MATCH(VLOOKUP($I49,$I$5:$AJ$35,MATCH(VLOOKUP(M$37,$BH$3:$BI$50,2,FALSE),$I$4:$AJ$4,0),FALSE),BoundParameters_HiddenSheetCLAY!$B$1:$E$1,0),FALSE))),'Control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Output'!$A$2:$E$99998,5,FALSE)="Sand",VLOOKUP(N$37,BoundParameters_HiddenSheetSAND!$B$3:$E$50,MATCH(VLOOKUP($I49,$I$5:$AJ$29,MATCH(VLOOKUP(N$37,$BH$3:$BI$50,2,FALSE),$I$4:$AJ$4,0),FALSE),BoundParameters_HiddenSheetCLAY!$B$1:$E$1,0),FALSE),IF(VLOOKUP($E49,'Table Output'!$A$2:$E$99998,5,FALSE)="Clay",VLOOKUP(N$37,BoundParameters_HiddenSheetCLAY!$B$3:$E$50,MATCH(VLOOKUP($I49,$I$5:$AJ$35,MATCH(VLOOKUP(N$37,$BH$3:$BI$50,2,FALSE),$I$4:$AJ$4,0),FALSE),BoundParameters_HiddenSheetCLAY!$B$1:$E$1,0),FALSE))),'Control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Output'!$A$2:$E$99998,5,FALSE)="Sand",VLOOKUP(O$37,BoundParameters_HiddenSheetSAND!$B$3:$E$50,MATCH(VLOOKUP($I49,$I$5:$AJ$29,MATCH(VLOOKUP(O$37,$BH$3:$BI$50,2,FALSE),$I$4:$AJ$4,0),FALSE),BoundParameters_HiddenSheetCLAY!$B$1:$E$1,0),FALSE),IF(VLOOKUP($E49,'Table Output'!$A$2:$E$99998,5,FALSE)="Clay",VLOOKUP(O$37,BoundParameters_HiddenSheetCLAY!$B$3:$E$50,MATCH(VLOOKUP($I49,$I$5:$AJ$35,MATCH(VLOOKUP(O$37,$BH$3:$BI$50,2,FALSE),$I$4:$AJ$4,0),FALSE),BoundParameters_HiddenSheetCLAY!$B$1:$E$1,0),FALSE))),'Control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Output'!$A$2:$E$99998,5,FALSE)="Sand",VLOOKUP(P$37,BoundParameters_HiddenSheetSAND!$B$3:$E$50,MATCH(VLOOKUP($I49,$I$5:$AJ$29,MATCH(VLOOKUP(P$37,$BH$3:$BI$50,2,FALSE),$I$4:$AJ$4,0),FALSE),BoundParameters_HiddenSheetCLAY!$B$1:$E$1,0),FALSE),IF(VLOOKUP($E49,'Table Output'!$A$2:$E$99998,5,FALSE)="Clay",VLOOKUP(P$37,BoundParameters_HiddenSheetCLAY!$B$3:$E$50,MATCH(VLOOKUP($I49,$I$5:$AJ$35,MATCH(VLOOKUP(P$37,$BH$3:$BI$50,2,FALSE),$I$4:$AJ$4,0),FALSE),BoundParameters_HiddenSheetCLAY!$B$1:$E$1,0),FALSE))),'Control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Output'!$A$2:$E$99998,5,FALSE)="Sand",VLOOKUP(Q$37,BoundParameters_HiddenSheetSAND!$B$3:$E$50,MATCH(VLOOKUP($I49,$I$5:$AJ$29,MATCH(VLOOKUP(Q$37,$BH$3:$BI$50,2,FALSE),$I$4:$AJ$4,0),FALSE),BoundParameters_HiddenSheetCLAY!$B$1:$E$1,0),FALSE),IF(VLOOKUP($E49,'Table Output'!$A$2:$E$99998,5,FALSE)="Clay",VLOOKUP(Q$37,BoundParameters_HiddenSheetCLAY!$B$3:$E$50,MATCH(VLOOKUP($I49,$I$5:$AJ$35,MATCH(VLOOKUP(Q$37,$BH$3:$BI$50,2,FALSE),$I$4:$AJ$4,0),FALSE),BoundParameters_HiddenSheetCLAY!$B$1:$E$1,0),FALSE))),'Control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Output'!$A$2:$E$99998,5,FALSE)="Sand",VLOOKUP(R$37,BoundParameters_HiddenSheetSAND!$B$3:$E$50,MATCH(VLOOKUP($I49,$I$5:$AJ$29,MATCH(VLOOKUP(R$37,$BH$3:$BI$50,2,FALSE),$I$4:$AJ$4,0),FALSE),BoundParameters_HiddenSheetCLAY!$B$1:$E$1,0),FALSE),IF(VLOOKUP($E49,'Table Output'!$A$2:$E$99998,5,FALSE)="Clay",VLOOKUP(R$37,BoundParameters_HiddenSheetCLAY!$B$3:$E$50,MATCH(VLOOKUP($I49,$I$5:$AJ$35,MATCH(VLOOKUP(R$37,$BH$3:$BI$50,2,FALSE),$I$4:$AJ$4,0),FALSE),BoundParameters_HiddenSheetCLAY!$B$1:$E$1,0),FALSE))),'Control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Output'!$A$2:$E$99998,5,FALSE)="Sand",VLOOKUP(S$37,BoundParameters_HiddenSheetSAND!$B$3:$E$50,MATCH(VLOOKUP($I49,$I$5:$AJ$29,MATCH(VLOOKUP(S$37,$BH$3:$BI$50,2,FALSE),$I$4:$AJ$4,0),FALSE),BoundParameters_HiddenSheetCLAY!$B$1:$E$1,0),FALSE),IF(VLOOKUP($E49,'Table Output'!$A$2:$E$99998,5,FALSE)="Clay",VLOOKUP(S$37,BoundParameters_HiddenSheetCLAY!$B$3:$E$50,MATCH(VLOOKUP($I49,$I$5:$AJ$35,MATCH(VLOOKUP(S$37,$BH$3:$BI$50,2,FALSE),$I$4:$AJ$4,0),FALSE),BoundParameters_HiddenSheetCLAY!$B$1:$E$1,0),FALSE))),'Control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Output'!$A$2:$E$99998,5,FALSE)="Sand",VLOOKUP(J$37,BoundParameters_HiddenSheetSAND!$B$3:$E$50,MATCH(VLOOKUP($I50,$I$5:$AJ$29,MATCH(VLOOKUP(J$37,$BH$3:$BI$50,2,FALSE),$I$4:$AJ$4,0),FALSE),BoundParameters_HiddenSheetCLAY!$B$1:$E$1,0),FALSE),IF(VLOOKUP($E50,'Table Output'!$A$2:$E$99998,5,FALSE)="Clay",VLOOKUP(J$37,BoundParameters_HiddenSheetCLAY!$B$3:$E$50,MATCH(VLOOKUP($I50,$I$5:$AJ$35,MATCH(VLOOKUP(J$37,$BH$3:$BI$50,2,FALSE),$I$4:$AJ$4,0),FALSE),BoundParameters_HiddenSheetCLAY!$B$1:$E$1,0),FALSE))),'Control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Output'!$A$2:$E$99998,5,FALSE)="Sand",VLOOKUP(K$37,BoundParameters_HiddenSheetSAND!$B$3:$E$50,MATCH(VLOOKUP($I50,$I$5:$AJ$29,MATCH(VLOOKUP(K$37,$BH$3:$BI$50,2,FALSE),$I$4:$AJ$4,0),FALSE),BoundParameters_HiddenSheetCLAY!$B$1:$E$1,0),FALSE),IF(VLOOKUP($E50,'Table Output'!$A$2:$E$99998,5,FALSE)="Clay",VLOOKUP(K$37,BoundParameters_HiddenSheetCLAY!$B$3:$E$50,MATCH(VLOOKUP($I50,$I$5:$AJ$35,MATCH(VLOOKUP(K$37,$BH$3:$BI$50,2,FALSE),$I$4:$AJ$4,0),FALSE),BoundParameters_HiddenSheetCLAY!$B$1:$E$1,0),FALSE))),'Control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Output'!$A$2:$E$99998,5,FALSE)="Sand",VLOOKUP(L$37,BoundParameters_HiddenSheetSAND!$B$3:$E$50,MATCH(VLOOKUP($I50,$I$5:$AJ$29,MATCH(VLOOKUP(L$37,$BH$3:$BI$50,2,FALSE),$I$4:$AJ$4,0),FALSE),BoundParameters_HiddenSheetCLAY!$B$1:$E$1,0),FALSE),IF(VLOOKUP($E50,'Table Output'!$A$2:$E$99998,5,FALSE)="Clay",VLOOKUP(L$37,BoundParameters_HiddenSheetCLAY!$B$3:$E$50,MATCH(VLOOKUP($I50,$I$5:$AJ$35,MATCH(VLOOKUP(L$37,$BH$3:$BI$50,2,FALSE),$I$4:$AJ$4,0),FALSE),BoundParameters_HiddenSheetCLAY!$B$1:$E$1,0),FALSE))),'Control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Output'!$A$2:$E$99998,5,FALSE)="Sand",VLOOKUP(M$37,BoundParameters_HiddenSheetSAND!$B$3:$E$50,MATCH(VLOOKUP($I50,$I$5:$AJ$29,MATCH(VLOOKUP(M$37,$BH$3:$BI$50,2,FALSE),$I$4:$AJ$4,0),FALSE),BoundParameters_HiddenSheetCLAY!$B$1:$E$1,0),FALSE),IF(VLOOKUP($E50,'Table Output'!$A$2:$E$99998,5,FALSE)="Clay",VLOOKUP(M$37,BoundParameters_HiddenSheetCLAY!$B$3:$E$50,MATCH(VLOOKUP($I50,$I$5:$AJ$35,MATCH(VLOOKUP(M$37,$BH$3:$BI$50,2,FALSE),$I$4:$AJ$4,0),FALSE),BoundParameters_HiddenSheetCLAY!$B$1:$E$1,0),FALSE))),'Control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Output'!$A$2:$E$99998,5,FALSE)="Sand",VLOOKUP(N$37,BoundParameters_HiddenSheetSAND!$B$3:$E$50,MATCH(VLOOKUP($I50,$I$5:$AJ$29,MATCH(VLOOKUP(N$37,$BH$3:$BI$50,2,FALSE),$I$4:$AJ$4,0),FALSE),BoundParameters_HiddenSheetCLAY!$B$1:$E$1,0),FALSE),IF(VLOOKUP($E50,'Table Output'!$A$2:$E$99998,5,FALSE)="Clay",VLOOKUP(N$37,BoundParameters_HiddenSheetCLAY!$B$3:$E$50,MATCH(VLOOKUP($I50,$I$5:$AJ$35,MATCH(VLOOKUP(N$37,$BH$3:$BI$50,2,FALSE),$I$4:$AJ$4,0),FALSE),BoundParameters_HiddenSheetCLAY!$B$1:$E$1,0),FALSE))),'Control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Output'!$A$2:$E$99998,5,FALSE)="Sand",VLOOKUP(O$37,BoundParameters_HiddenSheetSAND!$B$3:$E$50,MATCH(VLOOKUP($I50,$I$5:$AJ$29,MATCH(VLOOKUP(O$37,$BH$3:$BI$50,2,FALSE),$I$4:$AJ$4,0),FALSE),BoundParameters_HiddenSheetCLAY!$B$1:$E$1,0),FALSE),IF(VLOOKUP($E50,'Table Output'!$A$2:$E$99998,5,FALSE)="Clay",VLOOKUP(O$37,BoundParameters_HiddenSheetCLAY!$B$3:$E$50,MATCH(VLOOKUP($I50,$I$5:$AJ$35,MATCH(VLOOKUP(O$37,$BH$3:$BI$50,2,FALSE),$I$4:$AJ$4,0),FALSE),BoundParameters_HiddenSheetCLAY!$B$1:$E$1,0),FALSE))),'Control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Output'!$A$2:$E$99998,5,FALSE)="Sand",VLOOKUP(P$37,BoundParameters_HiddenSheetSAND!$B$3:$E$50,MATCH(VLOOKUP($I50,$I$5:$AJ$29,MATCH(VLOOKUP(P$37,$BH$3:$BI$50,2,FALSE),$I$4:$AJ$4,0),FALSE),BoundParameters_HiddenSheetCLAY!$B$1:$E$1,0),FALSE),IF(VLOOKUP($E50,'Table Output'!$A$2:$E$99998,5,FALSE)="Clay",VLOOKUP(P$37,BoundParameters_HiddenSheetCLAY!$B$3:$E$50,MATCH(VLOOKUP($I50,$I$5:$AJ$35,MATCH(VLOOKUP(P$37,$BH$3:$BI$50,2,FALSE),$I$4:$AJ$4,0),FALSE),BoundParameters_HiddenSheetCLAY!$B$1:$E$1,0),FALSE))),'Control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Output'!$A$2:$E$99998,5,FALSE)="Sand",VLOOKUP(Q$37,BoundParameters_HiddenSheetSAND!$B$3:$E$50,MATCH(VLOOKUP($I50,$I$5:$AJ$29,MATCH(VLOOKUP(Q$37,$BH$3:$BI$50,2,FALSE),$I$4:$AJ$4,0),FALSE),BoundParameters_HiddenSheetCLAY!$B$1:$E$1,0),FALSE),IF(VLOOKUP($E50,'Table Output'!$A$2:$E$99998,5,FALSE)="Clay",VLOOKUP(Q$37,BoundParameters_HiddenSheetCLAY!$B$3:$E$50,MATCH(VLOOKUP($I50,$I$5:$AJ$35,MATCH(VLOOKUP(Q$37,$BH$3:$BI$50,2,FALSE),$I$4:$AJ$4,0),FALSE),BoundParameters_HiddenSheetCLAY!$B$1:$E$1,0),FALSE))),'Control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Output'!$A$2:$E$99998,5,FALSE)="Sand",VLOOKUP(R$37,BoundParameters_HiddenSheetSAND!$B$3:$E$50,MATCH(VLOOKUP($I50,$I$5:$AJ$29,MATCH(VLOOKUP(R$37,$BH$3:$BI$50,2,FALSE),$I$4:$AJ$4,0),FALSE),BoundParameters_HiddenSheetCLAY!$B$1:$E$1,0),FALSE),IF(VLOOKUP($E50,'Table Output'!$A$2:$E$99998,5,FALSE)="Clay",VLOOKUP(R$37,BoundParameters_HiddenSheetCLAY!$B$3:$E$50,MATCH(VLOOKUP($I50,$I$5:$AJ$35,MATCH(VLOOKUP(R$37,$BH$3:$BI$50,2,FALSE),$I$4:$AJ$4,0),FALSE),BoundParameters_HiddenSheetCLAY!$B$1:$E$1,0),FALSE))),'Control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Output'!$A$2:$E$99998,5,FALSE)="Sand",VLOOKUP(S$37,BoundParameters_HiddenSheetSAND!$B$3:$E$50,MATCH(VLOOKUP($I50,$I$5:$AJ$29,MATCH(VLOOKUP(S$37,$BH$3:$BI$50,2,FALSE),$I$4:$AJ$4,0),FALSE),BoundParameters_HiddenSheetCLAY!$B$1:$E$1,0),FALSE),IF(VLOOKUP($E50,'Table Output'!$A$2:$E$99998,5,FALSE)="Clay",VLOOKUP(S$37,BoundParameters_HiddenSheetCLAY!$B$3:$E$50,MATCH(VLOOKUP($I50,$I$5:$AJ$35,MATCH(VLOOKUP(S$37,$BH$3:$BI$50,2,FALSE),$I$4:$AJ$4,0),FALSE),BoundParameters_HiddenSheetCLAY!$B$1:$E$1,0),FALSE))),'Control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Output'!$A$2:$E$99998,5,FALSE)="Sand",VLOOKUP(J$37,BoundParameters_HiddenSheetSAND!$B$3:$E$50,MATCH(VLOOKUP($I51,$I$5:$AJ$29,MATCH(VLOOKUP(J$37,$BH$3:$BI$50,2,FALSE),$I$4:$AJ$4,0),FALSE),BoundParameters_HiddenSheetCLAY!$B$1:$E$1,0),FALSE),IF(VLOOKUP($E51,'Table Output'!$A$2:$E$99998,5,FALSE)="Clay",VLOOKUP(J$37,BoundParameters_HiddenSheetCLAY!$B$3:$E$50,MATCH(VLOOKUP($I51,$I$5:$AJ$35,MATCH(VLOOKUP(J$37,$BH$3:$BI$50,2,FALSE),$I$4:$AJ$4,0),FALSE),BoundParameters_HiddenSheetCLAY!$B$1:$E$1,0),FALSE))),'Control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Output'!$A$2:$E$99998,5,FALSE)="Sand",VLOOKUP(K$37,BoundParameters_HiddenSheetSAND!$B$3:$E$50,MATCH(VLOOKUP($I51,$I$5:$AJ$29,MATCH(VLOOKUP(K$37,$BH$3:$BI$50,2,FALSE),$I$4:$AJ$4,0),FALSE),BoundParameters_HiddenSheetCLAY!$B$1:$E$1,0),FALSE),IF(VLOOKUP($E51,'Table Output'!$A$2:$E$99998,5,FALSE)="Clay",VLOOKUP(K$37,BoundParameters_HiddenSheetCLAY!$B$3:$E$50,MATCH(VLOOKUP($I51,$I$5:$AJ$35,MATCH(VLOOKUP(K$37,$BH$3:$BI$50,2,FALSE),$I$4:$AJ$4,0),FALSE),BoundParameters_HiddenSheetCLAY!$B$1:$E$1,0),FALSE))),'Control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Output'!$A$2:$E$99998,5,FALSE)="Sand",VLOOKUP(L$37,BoundParameters_HiddenSheetSAND!$B$3:$E$50,MATCH(VLOOKUP($I51,$I$5:$AJ$29,MATCH(VLOOKUP(L$37,$BH$3:$BI$50,2,FALSE),$I$4:$AJ$4,0),FALSE),BoundParameters_HiddenSheetCLAY!$B$1:$E$1,0),FALSE),IF(VLOOKUP($E51,'Table Output'!$A$2:$E$99998,5,FALSE)="Clay",VLOOKUP(L$37,BoundParameters_HiddenSheetCLAY!$B$3:$E$50,MATCH(VLOOKUP($I51,$I$5:$AJ$35,MATCH(VLOOKUP(L$37,$BH$3:$BI$50,2,FALSE),$I$4:$AJ$4,0),FALSE),BoundParameters_HiddenSheetCLAY!$B$1:$E$1,0),FALSE))),'Control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Output'!$A$2:$E$99998,5,FALSE)="Sand",VLOOKUP(M$37,BoundParameters_HiddenSheetSAND!$B$3:$E$50,MATCH(VLOOKUP($I51,$I$5:$AJ$29,MATCH(VLOOKUP(M$37,$BH$3:$BI$50,2,FALSE),$I$4:$AJ$4,0),FALSE),BoundParameters_HiddenSheetCLAY!$B$1:$E$1,0),FALSE),IF(VLOOKUP($E51,'Table Output'!$A$2:$E$99998,5,FALSE)="Clay",VLOOKUP(M$37,BoundParameters_HiddenSheetCLAY!$B$3:$E$50,MATCH(VLOOKUP($I51,$I$5:$AJ$35,MATCH(VLOOKUP(M$37,$BH$3:$BI$50,2,FALSE),$I$4:$AJ$4,0),FALSE),BoundParameters_HiddenSheetCLAY!$B$1:$E$1,0),FALSE))),'Control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Output'!$A$2:$E$99998,5,FALSE)="Sand",VLOOKUP(N$37,BoundParameters_HiddenSheetSAND!$B$3:$E$50,MATCH(VLOOKUP($I51,$I$5:$AJ$29,MATCH(VLOOKUP(N$37,$BH$3:$BI$50,2,FALSE),$I$4:$AJ$4,0),FALSE),BoundParameters_HiddenSheetCLAY!$B$1:$E$1,0),FALSE),IF(VLOOKUP($E51,'Table Output'!$A$2:$E$99998,5,FALSE)="Clay",VLOOKUP(N$37,BoundParameters_HiddenSheetCLAY!$B$3:$E$50,MATCH(VLOOKUP($I51,$I$5:$AJ$35,MATCH(VLOOKUP(N$37,$BH$3:$BI$50,2,FALSE),$I$4:$AJ$4,0),FALSE),BoundParameters_HiddenSheetCLAY!$B$1:$E$1,0),FALSE))),'Control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Output'!$A$2:$E$99998,5,FALSE)="Sand",VLOOKUP(O$37,BoundParameters_HiddenSheetSAND!$B$3:$E$50,MATCH(VLOOKUP($I51,$I$5:$AJ$29,MATCH(VLOOKUP(O$37,$BH$3:$BI$50,2,FALSE),$I$4:$AJ$4,0),FALSE),BoundParameters_HiddenSheetCLAY!$B$1:$E$1,0),FALSE),IF(VLOOKUP($E51,'Table Output'!$A$2:$E$99998,5,FALSE)="Clay",VLOOKUP(O$37,BoundParameters_HiddenSheetCLAY!$B$3:$E$50,MATCH(VLOOKUP($I51,$I$5:$AJ$35,MATCH(VLOOKUP(O$37,$BH$3:$BI$50,2,FALSE),$I$4:$AJ$4,0),FALSE),BoundParameters_HiddenSheetCLAY!$B$1:$E$1,0),FALSE))),'Control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Output'!$A$2:$E$99998,5,FALSE)="Sand",VLOOKUP(P$37,BoundParameters_HiddenSheetSAND!$B$3:$E$50,MATCH(VLOOKUP($I51,$I$5:$AJ$29,MATCH(VLOOKUP(P$37,$BH$3:$BI$50,2,FALSE),$I$4:$AJ$4,0),FALSE),BoundParameters_HiddenSheetCLAY!$B$1:$E$1,0),FALSE),IF(VLOOKUP($E51,'Table Output'!$A$2:$E$99998,5,FALSE)="Clay",VLOOKUP(P$37,BoundParameters_HiddenSheetCLAY!$B$3:$E$50,MATCH(VLOOKUP($I51,$I$5:$AJ$35,MATCH(VLOOKUP(P$37,$BH$3:$BI$50,2,FALSE),$I$4:$AJ$4,0),FALSE),BoundParameters_HiddenSheetCLAY!$B$1:$E$1,0),FALSE))),'Control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Output'!$A$2:$E$99998,5,FALSE)="Sand",VLOOKUP(Q$37,BoundParameters_HiddenSheetSAND!$B$3:$E$50,MATCH(VLOOKUP($I51,$I$5:$AJ$29,MATCH(VLOOKUP(Q$37,$BH$3:$BI$50,2,FALSE),$I$4:$AJ$4,0),FALSE),BoundParameters_HiddenSheetCLAY!$B$1:$E$1,0),FALSE),IF(VLOOKUP($E51,'Table Output'!$A$2:$E$99998,5,FALSE)="Clay",VLOOKUP(Q$37,BoundParameters_HiddenSheetCLAY!$B$3:$E$50,MATCH(VLOOKUP($I51,$I$5:$AJ$35,MATCH(VLOOKUP(Q$37,$BH$3:$BI$50,2,FALSE),$I$4:$AJ$4,0),FALSE),BoundParameters_HiddenSheetCLAY!$B$1:$E$1,0),FALSE))),'Control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Output'!$A$2:$E$99998,5,FALSE)="Sand",VLOOKUP(R$37,BoundParameters_HiddenSheetSAND!$B$3:$E$50,MATCH(VLOOKUP($I51,$I$5:$AJ$29,MATCH(VLOOKUP(R$37,$BH$3:$BI$50,2,FALSE),$I$4:$AJ$4,0),FALSE),BoundParameters_HiddenSheetCLAY!$B$1:$E$1,0),FALSE),IF(VLOOKUP($E51,'Table Output'!$A$2:$E$99998,5,FALSE)="Clay",VLOOKUP(R$37,BoundParameters_HiddenSheetCLAY!$B$3:$E$50,MATCH(VLOOKUP($I51,$I$5:$AJ$35,MATCH(VLOOKUP(R$37,$BH$3:$BI$50,2,FALSE),$I$4:$AJ$4,0),FALSE),BoundParameters_HiddenSheetCLAY!$B$1:$E$1,0),FALSE))),'Control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Output'!$A$2:$E$99998,5,FALSE)="Sand",VLOOKUP(S$37,BoundParameters_HiddenSheetSAND!$B$3:$E$50,MATCH(VLOOKUP($I51,$I$5:$AJ$29,MATCH(VLOOKUP(S$37,$BH$3:$BI$50,2,FALSE),$I$4:$AJ$4,0),FALSE),BoundParameters_HiddenSheetCLAY!$B$1:$E$1,0),FALSE),IF(VLOOKUP($E51,'Table Output'!$A$2:$E$99998,5,FALSE)="Clay",VLOOKUP(S$37,BoundParameters_HiddenSheetCLAY!$B$3:$E$50,MATCH(VLOOKUP($I51,$I$5:$AJ$35,MATCH(VLOOKUP(S$37,$BH$3:$BI$50,2,FALSE),$I$4:$AJ$4,0),FALSE),BoundParameters_HiddenSheetCLAY!$B$1:$E$1,0),FALSE))),'Control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1</v>
      </c>
      <c r="I52" s="7" t="str">
        <f t="shared" si="4"/>
        <v/>
      </c>
      <c r="J52" s="44" t="str">
        <f>IF($I52="","",IF(J$37="","",IF('Control Panel'!J52="",IF(VLOOKUP($E52,'Table Output'!$A$2:$E$99998,5,FALSE)="Sand",VLOOKUP(J$37,BoundParameters_HiddenSheetSAND!$B$3:$E$50,MATCH(VLOOKUP($I52,$I$5:$AJ$29,MATCH(VLOOKUP(J$37,$BH$3:$BI$50,2,FALSE),$I$4:$AJ$4,0),FALSE),BoundParameters_HiddenSheetCLAY!$B$1:$E$1,0),FALSE),IF(VLOOKUP($E52,'Table Output'!$A$2:$E$99998,5,FALSE)="Clay",VLOOKUP(J$37,BoundParameters_HiddenSheetCLAY!$B$3:$E$50,MATCH(VLOOKUP($I52,$I$5:$AJ$35,MATCH(VLOOKUP(J$37,$BH$3:$BI$50,2,FALSE),$I$4:$AJ$4,0),FALSE),BoundParameters_HiddenSheetCLAY!$B$1:$E$1,0),FALSE))),'Control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Output'!$A$2:$E$99998,5,FALSE)="Sand",VLOOKUP(K$37,BoundParameters_HiddenSheetSAND!$B$3:$E$50,MATCH(VLOOKUP($I52,$I$5:$AJ$29,MATCH(VLOOKUP(K$37,$BH$3:$BI$50,2,FALSE),$I$4:$AJ$4,0),FALSE),BoundParameters_HiddenSheetCLAY!$B$1:$E$1,0),FALSE),IF(VLOOKUP($E52,'Table Output'!$A$2:$E$99998,5,FALSE)="Clay",VLOOKUP(K$37,BoundParameters_HiddenSheetCLAY!$B$3:$E$50,MATCH(VLOOKUP($I52,$I$5:$AJ$35,MATCH(VLOOKUP(K$37,$BH$3:$BI$50,2,FALSE),$I$4:$AJ$4,0),FALSE),BoundParameters_HiddenSheetCLAY!$B$1:$E$1,0),FALSE))),'Control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Output'!$A$2:$E$99998,5,FALSE)="Sand",VLOOKUP(L$37,BoundParameters_HiddenSheetSAND!$B$3:$E$50,MATCH(VLOOKUP($I52,$I$5:$AJ$29,MATCH(VLOOKUP(L$37,$BH$3:$BI$50,2,FALSE),$I$4:$AJ$4,0),FALSE),BoundParameters_HiddenSheetCLAY!$B$1:$E$1,0),FALSE),IF(VLOOKUP($E52,'Table Output'!$A$2:$E$99998,5,FALSE)="Clay",VLOOKUP(L$37,BoundParameters_HiddenSheetCLAY!$B$3:$E$50,MATCH(VLOOKUP($I52,$I$5:$AJ$35,MATCH(VLOOKUP(L$37,$BH$3:$BI$50,2,FALSE),$I$4:$AJ$4,0),FALSE),BoundParameters_HiddenSheetCLAY!$B$1:$E$1,0),FALSE))),'Control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Output'!$A$2:$E$99998,5,FALSE)="Sand",VLOOKUP(M$37,BoundParameters_HiddenSheetSAND!$B$3:$E$50,MATCH(VLOOKUP($I52,$I$5:$AJ$29,MATCH(VLOOKUP(M$37,$BH$3:$BI$50,2,FALSE),$I$4:$AJ$4,0),FALSE),BoundParameters_HiddenSheetCLAY!$B$1:$E$1,0),FALSE),IF(VLOOKUP($E52,'Table Output'!$A$2:$E$99998,5,FALSE)="Clay",VLOOKUP(M$37,BoundParameters_HiddenSheetCLAY!$B$3:$E$50,MATCH(VLOOKUP($I52,$I$5:$AJ$35,MATCH(VLOOKUP(M$37,$BH$3:$BI$50,2,FALSE),$I$4:$AJ$4,0),FALSE),BoundParameters_HiddenSheetCLAY!$B$1:$E$1,0),FALSE))),'Control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Output'!$A$2:$E$99998,5,FALSE)="Sand",VLOOKUP(N$37,BoundParameters_HiddenSheetSAND!$B$3:$E$50,MATCH(VLOOKUP($I52,$I$5:$AJ$29,MATCH(VLOOKUP(N$37,$BH$3:$BI$50,2,FALSE),$I$4:$AJ$4,0),FALSE),BoundParameters_HiddenSheetCLAY!$B$1:$E$1,0),FALSE),IF(VLOOKUP($E52,'Table Output'!$A$2:$E$99998,5,FALSE)="Clay",VLOOKUP(N$37,BoundParameters_HiddenSheetCLAY!$B$3:$E$50,MATCH(VLOOKUP($I52,$I$5:$AJ$35,MATCH(VLOOKUP(N$37,$BH$3:$BI$50,2,FALSE),$I$4:$AJ$4,0),FALSE),BoundParameters_HiddenSheetCLAY!$B$1:$E$1,0),FALSE))),'Control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Output'!$A$2:$E$99998,5,FALSE)="Sand",VLOOKUP(O$37,BoundParameters_HiddenSheetSAND!$B$3:$E$50,MATCH(VLOOKUP($I52,$I$5:$AJ$29,MATCH(VLOOKUP(O$37,$BH$3:$BI$50,2,FALSE),$I$4:$AJ$4,0),FALSE),BoundParameters_HiddenSheetCLAY!$B$1:$E$1,0),FALSE),IF(VLOOKUP($E52,'Table Output'!$A$2:$E$99998,5,FALSE)="Clay",VLOOKUP(O$37,BoundParameters_HiddenSheetCLAY!$B$3:$E$50,MATCH(VLOOKUP($I52,$I$5:$AJ$35,MATCH(VLOOKUP(O$37,$BH$3:$BI$50,2,FALSE),$I$4:$AJ$4,0),FALSE),BoundParameters_HiddenSheetCLAY!$B$1:$E$1,0),FALSE))),'Control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Output'!$A$2:$E$99998,5,FALSE)="Sand",VLOOKUP(P$37,BoundParameters_HiddenSheetSAND!$B$3:$E$50,MATCH(VLOOKUP($I52,$I$5:$AJ$29,MATCH(VLOOKUP(P$37,$BH$3:$BI$50,2,FALSE),$I$4:$AJ$4,0),FALSE),BoundParameters_HiddenSheetCLAY!$B$1:$E$1,0),FALSE),IF(VLOOKUP($E52,'Table Output'!$A$2:$E$99998,5,FALSE)="Clay",VLOOKUP(P$37,BoundParameters_HiddenSheetCLAY!$B$3:$E$50,MATCH(VLOOKUP($I52,$I$5:$AJ$35,MATCH(VLOOKUP(P$37,$BH$3:$BI$50,2,FALSE),$I$4:$AJ$4,0),FALSE),BoundParameters_HiddenSheetCLAY!$B$1:$E$1,0),FALSE))),'Control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Output'!$A$2:$E$99998,5,FALSE)="Sand",VLOOKUP(Q$37,BoundParameters_HiddenSheetSAND!$B$3:$E$50,MATCH(VLOOKUP($I52,$I$5:$AJ$29,MATCH(VLOOKUP(Q$37,$BH$3:$BI$50,2,FALSE),$I$4:$AJ$4,0),FALSE),BoundParameters_HiddenSheetCLAY!$B$1:$E$1,0),FALSE),IF(VLOOKUP($E52,'Table Output'!$A$2:$E$99998,5,FALSE)="Clay",VLOOKUP(Q$37,BoundParameters_HiddenSheetCLAY!$B$3:$E$50,MATCH(VLOOKUP($I52,$I$5:$AJ$35,MATCH(VLOOKUP(Q$37,$BH$3:$BI$50,2,FALSE),$I$4:$AJ$4,0),FALSE),BoundParameters_HiddenSheetCLAY!$B$1:$E$1,0),FALSE))),'Control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Output'!$A$2:$E$99998,5,FALSE)="Sand",VLOOKUP(R$37,BoundParameters_HiddenSheetSAND!$B$3:$E$50,MATCH(VLOOKUP($I52,$I$5:$AJ$29,MATCH(VLOOKUP(R$37,$BH$3:$BI$50,2,FALSE),$I$4:$AJ$4,0),FALSE),BoundParameters_HiddenSheetCLAY!$B$1:$E$1,0),FALSE),IF(VLOOKUP($E52,'Table Output'!$A$2:$E$99998,5,FALSE)="Clay",VLOOKUP(R$37,BoundParameters_HiddenSheetCLAY!$B$3:$E$50,MATCH(VLOOKUP($I52,$I$5:$AJ$35,MATCH(VLOOKUP(R$37,$BH$3:$BI$50,2,FALSE),$I$4:$AJ$4,0),FALSE),BoundParameters_HiddenSheetCLAY!$B$1:$E$1,0),FALSE))),'Control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Output'!$A$2:$E$99998,5,FALSE)="Sand",VLOOKUP(S$37,BoundParameters_HiddenSheetSAND!$B$3:$E$50,MATCH(VLOOKUP($I52,$I$5:$AJ$29,MATCH(VLOOKUP(S$37,$BH$3:$BI$50,2,FALSE),$I$4:$AJ$4,0),FALSE),BoundParameters_HiddenSheetCLAY!$B$1:$E$1,0),FALSE),IF(VLOOKUP($E52,'Table Output'!$A$2:$E$99998,5,FALSE)="Clay",VLOOKUP(S$37,BoundParameters_HiddenSheetCLAY!$B$3:$E$50,MATCH(VLOOKUP($I52,$I$5:$AJ$35,MATCH(VLOOKUP(S$37,$BH$3:$BI$50,2,FALSE),$I$4:$AJ$4,0),FALSE),BoundParameters_HiddenSheetCLAY!$B$1:$E$1,0),FALSE))),'Control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0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Output'!$A$2:$E$99998,5,FALSE)="Sand",VLOOKUP(J$37,BoundParameters_HiddenSheetSAND!$B$3:$E$50,MATCH(VLOOKUP($I53,$I$5:$AJ$29,MATCH(VLOOKUP(J$37,$BH$3:$BI$50,2,FALSE),$I$4:$AJ$4,0),FALSE),BoundParameters_HiddenSheetCLAY!$B$1:$E$1,0),FALSE),IF(VLOOKUP($E53,'Table Output'!$A$2:$E$99998,5,FALSE)="Clay",VLOOKUP(J$37,BoundParameters_HiddenSheetCLAY!$B$3:$E$50,MATCH(VLOOKUP($I53,$I$5:$AJ$35,MATCH(VLOOKUP(J$37,$BH$3:$BI$50,2,FALSE),$I$4:$AJ$4,0),FALSE),BoundParameters_HiddenSheetCLAY!$B$1:$E$1,0),FALSE))),'Control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Output'!$A$2:$E$99998,5,FALSE)="Sand",VLOOKUP(K$37,BoundParameters_HiddenSheetSAND!$B$3:$E$50,MATCH(VLOOKUP($I53,$I$5:$AJ$29,MATCH(VLOOKUP(K$37,$BH$3:$BI$50,2,FALSE),$I$4:$AJ$4,0),FALSE),BoundParameters_HiddenSheetCLAY!$B$1:$E$1,0),FALSE),IF(VLOOKUP($E53,'Table Output'!$A$2:$E$99998,5,FALSE)="Clay",VLOOKUP(K$37,BoundParameters_HiddenSheetCLAY!$B$3:$E$50,MATCH(VLOOKUP($I53,$I$5:$AJ$35,MATCH(VLOOKUP(K$37,$BH$3:$BI$50,2,FALSE),$I$4:$AJ$4,0),FALSE),BoundParameters_HiddenSheetCLAY!$B$1:$E$1,0),FALSE))),'Control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Output'!$A$2:$E$99998,5,FALSE)="Sand",VLOOKUP(L$37,BoundParameters_HiddenSheetSAND!$B$3:$E$50,MATCH(VLOOKUP($I53,$I$5:$AJ$29,MATCH(VLOOKUP(L$37,$BH$3:$BI$50,2,FALSE),$I$4:$AJ$4,0),FALSE),BoundParameters_HiddenSheetCLAY!$B$1:$E$1,0),FALSE),IF(VLOOKUP($E53,'Table Output'!$A$2:$E$99998,5,FALSE)="Clay",VLOOKUP(L$37,BoundParameters_HiddenSheetCLAY!$B$3:$E$50,MATCH(VLOOKUP($I53,$I$5:$AJ$35,MATCH(VLOOKUP(L$37,$BH$3:$BI$50,2,FALSE),$I$4:$AJ$4,0),FALSE),BoundParameters_HiddenSheetCLAY!$B$1:$E$1,0),FALSE))),'Control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Output'!$A$2:$E$99998,5,FALSE)="Sand",VLOOKUP(M$37,BoundParameters_HiddenSheetSAND!$B$3:$E$50,MATCH(VLOOKUP($I53,$I$5:$AJ$29,MATCH(VLOOKUP(M$37,$BH$3:$BI$50,2,FALSE),$I$4:$AJ$4,0),FALSE),BoundParameters_HiddenSheetCLAY!$B$1:$E$1,0),FALSE),IF(VLOOKUP($E53,'Table Output'!$A$2:$E$99998,5,FALSE)="Clay",VLOOKUP(M$37,BoundParameters_HiddenSheetCLAY!$B$3:$E$50,MATCH(VLOOKUP($I53,$I$5:$AJ$35,MATCH(VLOOKUP(M$37,$BH$3:$BI$50,2,FALSE),$I$4:$AJ$4,0),FALSE),BoundParameters_HiddenSheetCLAY!$B$1:$E$1,0),FALSE))),'Control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Output'!$A$2:$E$99998,5,FALSE)="Sand",VLOOKUP(N$37,BoundParameters_HiddenSheetSAND!$B$3:$E$50,MATCH(VLOOKUP($I53,$I$5:$AJ$29,MATCH(VLOOKUP(N$37,$BH$3:$BI$50,2,FALSE),$I$4:$AJ$4,0),FALSE),BoundParameters_HiddenSheetCLAY!$B$1:$E$1,0),FALSE),IF(VLOOKUP($E53,'Table Output'!$A$2:$E$99998,5,FALSE)="Clay",VLOOKUP(N$37,BoundParameters_HiddenSheetCLAY!$B$3:$E$50,MATCH(VLOOKUP($I53,$I$5:$AJ$35,MATCH(VLOOKUP(N$37,$BH$3:$BI$50,2,FALSE),$I$4:$AJ$4,0),FALSE),BoundParameters_HiddenSheetCLAY!$B$1:$E$1,0),FALSE))),'Control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Output'!$A$2:$E$99998,5,FALSE)="Sand",VLOOKUP(O$37,BoundParameters_HiddenSheetSAND!$B$3:$E$50,MATCH(VLOOKUP($I53,$I$5:$AJ$29,MATCH(VLOOKUP(O$37,$BH$3:$BI$50,2,FALSE),$I$4:$AJ$4,0),FALSE),BoundParameters_HiddenSheetCLAY!$B$1:$E$1,0),FALSE),IF(VLOOKUP($E53,'Table Output'!$A$2:$E$99998,5,FALSE)="Clay",VLOOKUP(O$37,BoundParameters_HiddenSheetCLAY!$B$3:$E$50,MATCH(VLOOKUP($I53,$I$5:$AJ$35,MATCH(VLOOKUP(O$37,$BH$3:$BI$50,2,FALSE),$I$4:$AJ$4,0),FALSE),BoundParameters_HiddenSheetCLAY!$B$1:$E$1,0),FALSE))),'Control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Output'!$A$2:$E$99998,5,FALSE)="Sand",VLOOKUP(P$37,BoundParameters_HiddenSheetSAND!$B$3:$E$50,MATCH(VLOOKUP($I53,$I$5:$AJ$29,MATCH(VLOOKUP(P$37,$BH$3:$BI$50,2,FALSE),$I$4:$AJ$4,0),FALSE),BoundParameters_HiddenSheetCLAY!$B$1:$E$1,0),FALSE),IF(VLOOKUP($E53,'Table Output'!$A$2:$E$99998,5,FALSE)="Clay",VLOOKUP(P$37,BoundParameters_HiddenSheetCLAY!$B$3:$E$50,MATCH(VLOOKUP($I53,$I$5:$AJ$35,MATCH(VLOOKUP(P$37,$BH$3:$BI$50,2,FALSE),$I$4:$AJ$4,0),FALSE),BoundParameters_HiddenSheetCLAY!$B$1:$E$1,0),FALSE))),'Control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Output'!$A$2:$E$99998,5,FALSE)="Sand",VLOOKUP(Q$37,BoundParameters_HiddenSheetSAND!$B$3:$E$50,MATCH(VLOOKUP($I53,$I$5:$AJ$29,MATCH(VLOOKUP(Q$37,$BH$3:$BI$50,2,FALSE),$I$4:$AJ$4,0),FALSE),BoundParameters_HiddenSheetCLAY!$B$1:$E$1,0),FALSE),IF(VLOOKUP($E53,'Table Output'!$A$2:$E$99998,5,FALSE)="Clay",VLOOKUP(Q$37,BoundParameters_HiddenSheetCLAY!$B$3:$E$50,MATCH(VLOOKUP($I53,$I$5:$AJ$35,MATCH(VLOOKUP(Q$37,$BH$3:$BI$50,2,FALSE),$I$4:$AJ$4,0),FALSE),BoundParameters_HiddenSheetCLAY!$B$1:$E$1,0),FALSE))),'Control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Output'!$A$2:$E$99998,5,FALSE)="Sand",VLOOKUP(R$37,BoundParameters_HiddenSheetSAND!$B$3:$E$50,MATCH(VLOOKUP($I53,$I$5:$AJ$29,MATCH(VLOOKUP(R$37,$BH$3:$BI$50,2,FALSE),$I$4:$AJ$4,0),FALSE),BoundParameters_HiddenSheetCLAY!$B$1:$E$1,0),FALSE),IF(VLOOKUP($E53,'Table Output'!$A$2:$E$99998,5,FALSE)="Clay",VLOOKUP(R$37,BoundParameters_HiddenSheetCLAY!$B$3:$E$50,MATCH(VLOOKUP($I53,$I$5:$AJ$35,MATCH(VLOOKUP(R$37,$BH$3:$BI$50,2,FALSE),$I$4:$AJ$4,0),FALSE),BoundParameters_HiddenSheetCLAY!$B$1:$E$1,0),FALSE))),'Control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Output'!$A$2:$E$99998,5,FALSE)="Sand",VLOOKUP(S$37,BoundParameters_HiddenSheetSAND!$B$3:$E$50,MATCH(VLOOKUP($I53,$I$5:$AJ$29,MATCH(VLOOKUP(S$37,$BH$3:$BI$50,2,FALSE),$I$4:$AJ$4,0),FALSE),BoundParameters_HiddenSheetCLAY!$B$1:$E$1,0),FALSE),IF(VLOOKUP($E53,'Table Output'!$A$2:$E$99998,5,FALSE)="Clay",VLOOKUP(S$37,BoundParameters_HiddenSheetCLAY!$B$3:$E$50,MATCH(VLOOKUP($I53,$I$5:$AJ$35,MATCH(VLOOKUP(S$37,$BH$3:$BI$50,2,FALSE),$I$4:$AJ$4,0),FALSE),BoundParameters_HiddenSheetCLAY!$B$1:$E$1,0),FALSE))),'Control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Output'!$A$2:$E$99998,5,FALSE)="Sand",VLOOKUP(J$37,BoundParameters_HiddenSheetSAND!$B$3:$E$50,MATCH(VLOOKUP($I54,$I$5:$AJ$29,MATCH(VLOOKUP(J$37,$BH$3:$BI$50,2,FALSE),$I$4:$AJ$4,0),FALSE),BoundParameters_HiddenSheetCLAY!$B$1:$E$1,0),FALSE),IF(VLOOKUP($E54,'Table Output'!$A$2:$E$99998,5,FALSE)="Clay",VLOOKUP(J$37,BoundParameters_HiddenSheetCLAY!$B$3:$E$50,MATCH(VLOOKUP($I54,$I$5:$AJ$35,MATCH(VLOOKUP(J$37,$BH$3:$BI$50,2,FALSE),$I$4:$AJ$4,0),FALSE),BoundParameters_HiddenSheetCLAY!$B$1:$E$1,0),FALSE))),'Control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Output'!$A$2:$E$99998,5,FALSE)="Sand",VLOOKUP(K$37,BoundParameters_HiddenSheetSAND!$B$3:$E$50,MATCH(VLOOKUP($I54,$I$5:$AJ$29,MATCH(VLOOKUP(K$37,$BH$3:$BI$50,2,FALSE),$I$4:$AJ$4,0),FALSE),BoundParameters_HiddenSheetCLAY!$B$1:$E$1,0),FALSE),IF(VLOOKUP($E54,'Table Output'!$A$2:$E$99998,5,FALSE)="Clay",VLOOKUP(K$37,BoundParameters_HiddenSheetCLAY!$B$3:$E$50,MATCH(VLOOKUP($I54,$I$5:$AJ$35,MATCH(VLOOKUP(K$37,$BH$3:$BI$50,2,FALSE),$I$4:$AJ$4,0),FALSE),BoundParameters_HiddenSheetCLAY!$B$1:$E$1,0),FALSE))),'Control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Output'!$A$2:$E$99998,5,FALSE)="Sand",VLOOKUP(L$37,BoundParameters_HiddenSheetSAND!$B$3:$E$50,MATCH(VLOOKUP($I54,$I$5:$AJ$29,MATCH(VLOOKUP(L$37,$BH$3:$BI$50,2,FALSE),$I$4:$AJ$4,0),FALSE),BoundParameters_HiddenSheetCLAY!$B$1:$E$1,0),FALSE),IF(VLOOKUP($E54,'Table Output'!$A$2:$E$99998,5,FALSE)="Clay",VLOOKUP(L$37,BoundParameters_HiddenSheetCLAY!$B$3:$E$50,MATCH(VLOOKUP($I54,$I$5:$AJ$35,MATCH(VLOOKUP(L$37,$BH$3:$BI$50,2,FALSE),$I$4:$AJ$4,0),FALSE),BoundParameters_HiddenSheetCLAY!$B$1:$E$1,0),FALSE))),'Control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Output'!$A$2:$E$99998,5,FALSE)="Sand",VLOOKUP(M$37,BoundParameters_HiddenSheetSAND!$B$3:$E$50,MATCH(VLOOKUP($I54,$I$5:$AJ$29,MATCH(VLOOKUP(M$37,$BH$3:$BI$50,2,FALSE),$I$4:$AJ$4,0),FALSE),BoundParameters_HiddenSheetCLAY!$B$1:$E$1,0),FALSE),IF(VLOOKUP($E54,'Table Output'!$A$2:$E$99998,5,FALSE)="Clay",VLOOKUP(M$37,BoundParameters_HiddenSheetCLAY!$B$3:$E$50,MATCH(VLOOKUP($I54,$I$5:$AJ$35,MATCH(VLOOKUP(M$37,$BH$3:$BI$50,2,FALSE),$I$4:$AJ$4,0),FALSE),BoundParameters_HiddenSheetCLAY!$B$1:$E$1,0),FALSE))),'Control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Output'!$A$2:$E$99998,5,FALSE)="Sand",VLOOKUP(N$37,BoundParameters_HiddenSheetSAND!$B$3:$E$50,MATCH(VLOOKUP($I54,$I$5:$AJ$29,MATCH(VLOOKUP(N$37,$BH$3:$BI$50,2,FALSE),$I$4:$AJ$4,0),FALSE),BoundParameters_HiddenSheetCLAY!$B$1:$E$1,0),FALSE),IF(VLOOKUP($E54,'Table Output'!$A$2:$E$99998,5,FALSE)="Clay",VLOOKUP(N$37,BoundParameters_HiddenSheetCLAY!$B$3:$E$50,MATCH(VLOOKUP($I54,$I$5:$AJ$35,MATCH(VLOOKUP(N$37,$BH$3:$BI$50,2,FALSE),$I$4:$AJ$4,0),FALSE),BoundParameters_HiddenSheetCLAY!$B$1:$E$1,0),FALSE))),'Control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Output'!$A$2:$E$99998,5,FALSE)="Sand",VLOOKUP(O$37,BoundParameters_HiddenSheetSAND!$B$3:$E$50,MATCH(VLOOKUP($I54,$I$5:$AJ$29,MATCH(VLOOKUP(O$37,$BH$3:$BI$50,2,FALSE),$I$4:$AJ$4,0),FALSE),BoundParameters_HiddenSheetCLAY!$B$1:$E$1,0),FALSE),IF(VLOOKUP($E54,'Table Output'!$A$2:$E$99998,5,FALSE)="Clay",VLOOKUP(O$37,BoundParameters_HiddenSheetCLAY!$B$3:$E$50,MATCH(VLOOKUP($I54,$I$5:$AJ$35,MATCH(VLOOKUP(O$37,$BH$3:$BI$50,2,FALSE),$I$4:$AJ$4,0),FALSE),BoundParameters_HiddenSheetCLAY!$B$1:$E$1,0),FALSE))),'Control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Output'!$A$2:$E$99998,5,FALSE)="Sand",VLOOKUP(P$37,BoundParameters_HiddenSheetSAND!$B$3:$E$50,MATCH(VLOOKUP($I54,$I$5:$AJ$29,MATCH(VLOOKUP(P$37,$BH$3:$BI$50,2,FALSE),$I$4:$AJ$4,0),FALSE),BoundParameters_HiddenSheetCLAY!$B$1:$E$1,0),FALSE),IF(VLOOKUP($E54,'Table Output'!$A$2:$E$99998,5,FALSE)="Clay",VLOOKUP(P$37,BoundParameters_HiddenSheetCLAY!$B$3:$E$50,MATCH(VLOOKUP($I54,$I$5:$AJ$35,MATCH(VLOOKUP(P$37,$BH$3:$BI$50,2,FALSE),$I$4:$AJ$4,0),FALSE),BoundParameters_HiddenSheetCLAY!$B$1:$E$1,0),FALSE))),'Control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Output'!$A$2:$E$99998,5,FALSE)="Sand",VLOOKUP(Q$37,BoundParameters_HiddenSheetSAND!$B$3:$E$50,MATCH(VLOOKUP($I54,$I$5:$AJ$29,MATCH(VLOOKUP(Q$37,$BH$3:$BI$50,2,FALSE),$I$4:$AJ$4,0),FALSE),BoundParameters_HiddenSheetCLAY!$B$1:$E$1,0),FALSE),IF(VLOOKUP($E54,'Table Output'!$A$2:$E$99998,5,FALSE)="Clay",VLOOKUP(Q$37,BoundParameters_HiddenSheetCLAY!$B$3:$E$50,MATCH(VLOOKUP($I54,$I$5:$AJ$35,MATCH(VLOOKUP(Q$37,$BH$3:$BI$50,2,FALSE),$I$4:$AJ$4,0),FALSE),BoundParameters_HiddenSheetCLAY!$B$1:$E$1,0),FALSE))),'Control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Output'!$A$2:$E$99998,5,FALSE)="Sand",VLOOKUP(R$37,BoundParameters_HiddenSheetSAND!$B$3:$E$50,MATCH(VLOOKUP($I54,$I$5:$AJ$29,MATCH(VLOOKUP(R$37,$BH$3:$BI$50,2,FALSE),$I$4:$AJ$4,0),FALSE),BoundParameters_HiddenSheetCLAY!$B$1:$E$1,0),FALSE),IF(VLOOKUP($E54,'Table Output'!$A$2:$E$99998,5,FALSE)="Clay",VLOOKUP(R$37,BoundParameters_HiddenSheetCLAY!$B$3:$E$50,MATCH(VLOOKUP($I54,$I$5:$AJ$35,MATCH(VLOOKUP(R$37,$BH$3:$BI$50,2,FALSE),$I$4:$AJ$4,0),FALSE),BoundParameters_HiddenSheetCLAY!$B$1:$E$1,0),FALSE))),'Control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Output'!$A$2:$E$99998,5,FALSE)="Sand",VLOOKUP(S$37,BoundParameters_HiddenSheetSAND!$B$3:$E$50,MATCH(VLOOKUP($I54,$I$5:$AJ$29,MATCH(VLOOKUP(S$37,$BH$3:$BI$50,2,FALSE),$I$4:$AJ$4,0),FALSE),BoundParameters_HiddenSheetCLAY!$B$1:$E$1,0),FALSE),IF(VLOOKUP($E54,'Table Output'!$A$2:$E$99998,5,FALSE)="Clay",VLOOKUP(S$37,BoundParameters_HiddenSheetCLAY!$B$3:$E$50,MATCH(VLOOKUP($I54,$I$5:$AJ$35,MATCH(VLOOKUP(S$37,$BH$3:$BI$50,2,FALSE),$I$4:$AJ$4,0),FALSE),BoundParameters_HiddenSheetCLAY!$B$1:$E$1,0),FALSE))),'Control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11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Output'!$A$2:$E$99998,5,FALSE)="Sand",VLOOKUP(J$37,BoundParameters_HiddenSheetSAND!$B$3:$E$50,MATCH(VLOOKUP($I55,$I$5:$AJ$29,MATCH(VLOOKUP(J$37,$BH$3:$BI$50,2,FALSE),$I$4:$AJ$4,0),FALSE),BoundParameters_HiddenSheetCLAY!$B$1:$E$1,0),FALSE),IF(VLOOKUP($E55,'Table Output'!$A$2:$E$99998,5,FALSE)="Clay",VLOOKUP(J$37,BoundParameters_HiddenSheetCLAY!$B$3:$E$50,MATCH(VLOOKUP($I55,$I$5:$AJ$35,MATCH(VLOOKUP(J$37,$BH$3:$BI$50,2,FALSE),$I$4:$AJ$4,0),FALSE),BoundParameters_HiddenSheetCLAY!$B$1:$E$1,0),FALSE))),'Control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Output'!$A$2:$E$99998,5,FALSE)="Sand",VLOOKUP(K$37,BoundParameters_HiddenSheetSAND!$B$3:$E$50,MATCH(VLOOKUP($I55,$I$5:$AJ$29,MATCH(VLOOKUP(K$37,$BH$3:$BI$50,2,FALSE),$I$4:$AJ$4,0),FALSE),BoundParameters_HiddenSheetCLAY!$B$1:$E$1,0),FALSE),IF(VLOOKUP($E55,'Table Output'!$A$2:$E$99998,5,FALSE)="Clay",VLOOKUP(K$37,BoundParameters_HiddenSheetCLAY!$B$3:$E$50,MATCH(VLOOKUP($I55,$I$5:$AJ$35,MATCH(VLOOKUP(K$37,$BH$3:$BI$50,2,FALSE),$I$4:$AJ$4,0),FALSE),BoundParameters_HiddenSheetCLAY!$B$1:$E$1,0),FALSE))),'Control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Output'!$A$2:$E$99998,5,FALSE)="Sand",VLOOKUP(L$37,BoundParameters_HiddenSheetSAND!$B$3:$E$50,MATCH(VLOOKUP($I55,$I$5:$AJ$29,MATCH(VLOOKUP(L$37,$BH$3:$BI$50,2,FALSE),$I$4:$AJ$4,0),FALSE),BoundParameters_HiddenSheetCLAY!$B$1:$E$1,0),FALSE),IF(VLOOKUP($E55,'Table Output'!$A$2:$E$99998,5,FALSE)="Clay",VLOOKUP(L$37,BoundParameters_HiddenSheetCLAY!$B$3:$E$50,MATCH(VLOOKUP($I55,$I$5:$AJ$35,MATCH(VLOOKUP(L$37,$BH$3:$BI$50,2,FALSE),$I$4:$AJ$4,0),FALSE),BoundParameters_HiddenSheetCLAY!$B$1:$E$1,0),FALSE))),'Control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Output'!$A$2:$E$99998,5,FALSE)="Sand",VLOOKUP(M$37,BoundParameters_HiddenSheetSAND!$B$3:$E$50,MATCH(VLOOKUP($I55,$I$5:$AJ$29,MATCH(VLOOKUP(M$37,$BH$3:$BI$50,2,FALSE),$I$4:$AJ$4,0),FALSE),BoundParameters_HiddenSheetCLAY!$B$1:$E$1,0),FALSE),IF(VLOOKUP($E55,'Table Output'!$A$2:$E$99998,5,FALSE)="Clay",VLOOKUP(M$37,BoundParameters_HiddenSheetCLAY!$B$3:$E$50,MATCH(VLOOKUP($I55,$I$5:$AJ$35,MATCH(VLOOKUP(M$37,$BH$3:$BI$50,2,FALSE),$I$4:$AJ$4,0),FALSE),BoundParameters_HiddenSheetCLAY!$B$1:$E$1,0),FALSE))),'Control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Output'!$A$2:$E$99998,5,FALSE)="Sand",VLOOKUP(N$37,BoundParameters_HiddenSheetSAND!$B$3:$E$50,MATCH(VLOOKUP($I55,$I$5:$AJ$29,MATCH(VLOOKUP(N$37,$BH$3:$BI$50,2,FALSE),$I$4:$AJ$4,0),FALSE),BoundParameters_HiddenSheetCLAY!$B$1:$E$1,0),FALSE),IF(VLOOKUP($E55,'Table Output'!$A$2:$E$99998,5,FALSE)="Clay",VLOOKUP(N$37,BoundParameters_HiddenSheetCLAY!$B$3:$E$50,MATCH(VLOOKUP($I55,$I$5:$AJ$35,MATCH(VLOOKUP(N$37,$BH$3:$BI$50,2,FALSE),$I$4:$AJ$4,0),FALSE),BoundParameters_HiddenSheetCLAY!$B$1:$E$1,0),FALSE))),'Control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Output'!$A$2:$E$99998,5,FALSE)="Sand",VLOOKUP(O$37,BoundParameters_HiddenSheetSAND!$B$3:$E$50,MATCH(VLOOKUP($I55,$I$5:$AJ$29,MATCH(VLOOKUP(O$37,$BH$3:$BI$50,2,FALSE),$I$4:$AJ$4,0),FALSE),BoundParameters_HiddenSheetCLAY!$B$1:$E$1,0),FALSE),IF(VLOOKUP($E55,'Table Output'!$A$2:$E$99998,5,FALSE)="Clay",VLOOKUP(O$37,BoundParameters_HiddenSheetCLAY!$B$3:$E$50,MATCH(VLOOKUP($I55,$I$5:$AJ$35,MATCH(VLOOKUP(O$37,$BH$3:$BI$50,2,FALSE),$I$4:$AJ$4,0),FALSE),BoundParameters_HiddenSheetCLAY!$B$1:$E$1,0),FALSE))),'Control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Output'!$A$2:$E$99998,5,FALSE)="Sand",VLOOKUP(P$37,BoundParameters_HiddenSheetSAND!$B$3:$E$50,MATCH(VLOOKUP($I55,$I$5:$AJ$29,MATCH(VLOOKUP(P$37,$BH$3:$BI$50,2,FALSE),$I$4:$AJ$4,0),FALSE),BoundParameters_HiddenSheetCLAY!$B$1:$E$1,0),FALSE),IF(VLOOKUP($E55,'Table Output'!$A$2:$E$99998,5,FALSE)="Clay",VLOOKUP(P$37,BoundParameters_HiddenSheetCLAY!$B$3:$E$50,MATCH(VLOOKUP($I55,$I$5:$AJ$35,MATCH(VLOOKUP(P$37,$BH$3:$BI$50,2,FALSE),$I$4:$AJ$4,0),FALSE),BoundParameters_HiddenSheetCLAY!$B$1:$E$1,0),FALSE))),'Control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Output'!$A$2:$E$99998,5,FALSE)="Sand",VLOOKUP(Q$37,BoundParameters_HiddenSheetSAND!$B$3:$E$50,MATCH(VLOOKUP($I55,$I$5:$AJ$29,MATCH(VLOOKUP(Q$37,$BH$3:$BI$50,2,FALSE),$I$4:$AJ$4,0),FALSE),BoundParameters_HiddenSheetCLAY!$B$1:$E$1,0),FALSE),IF(VLOOKUP($E55,'Table Output'!$A$2:$E$99998,5,FALSE)="Clay",VLOOKUP(Q$37,BoundParameters_HiddenSheetCLAY!$B$3:$E$50,MATCH(VLOOKUP($I55,$I$5:$AJ$35,MATCH(VLOOKUP(Q$37,$BH$3:$BI$50,2,FALSE),$I$4:$AJ$4,0),FALSE),BoundParameters_HiddenSheetCLAY!$B$1:$E$1,0),FALSE))),'Control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Output'!$A$2:$E$99998,5,FALSE)="Sand",VLOOKUP(R$37,BoundParameters_HiddenSheetSAND!$B$3:$E$50,MATCH(VLOOKUP($I55,$I$5:$AJ$29,MATCH(VLOOKUP(R$37,$BH$3:$BI$50,2,FALSE),$I$4:$AJ$4,0),FALSE),BoundParameters_HiddenSheetCLAY!$B$1:$E$1,0),FALSE),IF(VLOOKUP($E55,'Table Output'!$A$2:$E$99998,5,FALSE)="Clay",VLOOKUP(R$37,BoundParameters_HiddenSheetCLAY!$B$3:$E$50,MATCH(VLOOKUP($I55,$I$5:$AJ$35,MATCH(VLOOKUP(R$37,$BH$3:$BI$50,2,FALSE),$I$4:$AJ$4,0),FALSE),BoundParameters_HiddenSheetCLAY!$B$1:$E$1,0),FALSE))),'Control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Output'!$A$2:$E$99998,5,FALSE)="Sand",VLOOKUP(S$37,BoundParameters_HiddenSheetSAND!$B$3:$E$50,MATCH(VLOOKUP($I55,$I$5:$AJ$29,MATCH(VLOOKUP(S$37,$BH$3:$BI$50,2,FALSE),$I$4:$AJ$4,0),FALSE),BoundParameters_HiddenSheetCLAY!$B$1:$E$1,0),FALSE),IF(VLOOKUP($E55,'Table Output'!$A$2:$E$99998,5,FALSE)="Clay",VLOOKUP(S$37,BoundParameters_HiddenSheetCLAY!$B$3:$E$50,MATCH(VLOOKUP($I55,$I$5:$AJ$35,MATCH(VLOOKUP(S$37,$BH$3:$BI$50,2,FALSE),$I$4:$AJ$4,0),FALSE),BoundParameters_HiddenSheetCLAY!$B$1:$E$1,0),FALSE))),'Control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Output'!$A$2:$E$99998,5,FALSE)="Sand",VLOOKUP(J$37,BoundParameters_HiddenSheetSAND!$B$3:$E$50,MATCH(VLOOKUP($I56,$I$5:$AJ$29,MATCH(VLOOKUP(J$37,$BH$3:$BI$50,2,FALSE),$I$4:$AJ$4,0),FALSE),BoundParameters_HiddenSheetCLAY!$B$1:$E$1,0),FALSE),IF(VLOOKUP($E56,'Table Output'!$A$2:$E$99998,5,FALSE)="Clay",VLOOKUP(J$37,BoundParameters_HiddenSheetCLAY!$B$3:$E$50,MATCH(VLOOKUP($I56,$I$5:$AJ$35,MATCH(VLOOKUP(J$37,$BH$3:$BI$50,2,FALSE),$I$4:$AJ$4,0),FALSE),BoundParameters_HiddenSheetCLAY!$B$1:$E$1,0),FALSE))),'Control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Output'!$A$2:$E$99998,5,FALSE)="Sand",VLOOKUP(K$37,BoundParameters_HiddenSheetSAND!$B$3:$E$50,MATCH(VLOOKUP($I56,$I$5:$AJ$29,MATCH(VLOOKUP(K$37,$BH$3:$BI$50,2,FALSE),$I$4:$AJ$4,0),FALSE),BoundParameters_HiddenSheetCLAY!$B$1:$E$1,0),FALSE),IF(VLOOKUP($E56,'Table Output'!$A$2:$E$99998,5,FALSE)="Clay",VLOOKUP(K$37,BoundParameters_HiddenSheetCLAY!$B$3:$E$50,MATCH(VLOOKUP($I56,$I$5:$AJ$35,MATCH(VLOOKUP(K$37,$BH$3:$BI$50,2,FALSE),$I$4:$AJ$4,0),FALSE),BoundParameters_HiddenSheetCLAY!$B$1:$E$1,0),FALSE))),'Control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Output'!$A$2:$E$99998,5,FALSE)="Sand",VLOOKUP(L$37,BoundParameters_HiddenSheetSAND!$B$3:$E$50,MATCH(VLOOKUP($I56,$I$5:$AJ$29,MATCH(VLOOKUP(L$37,$BH$3:$BI$50,2,FALSE),$I$4:$AJ$4,0),FALSE),BoundParameters_HiddenSheetCLAY!$B$1:$E$1,0),FALSE),IF(VLOOKUP($E56,'Table Output'!$A$2:$E$99998,5,FALSE)="Clay",VLOOKUP(L$37,BoundParameters_HiddenSheetCLAY!$B$3:$E$50,MATCH(VLOOKUP($I56,$I$5:$AJ$35,MATCH(VLOOKUP(L$37,$BH$3:$BI$50,2,FALSE),$I$4:$AJ$4,0),FALSE),BoundParameters_HiddenSheetCLAY!$B$1:$E$1,0),FALSE))),'Control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Output'!$A$2:$E$99998,5,FALSE)="Sand",VLOOKUP(M$37,BoundParameters_HiddenSheetSAND!$B$3:$E$50,MATCH(VLOOKUP($I56,$I$5:$AJ$29,MATCH(VLOOKUP(M$37,$BH$3:$BI$50,2,FALSE),$I$4:$AJ$4,0),FALSE),BoundParameters_HiddenSheetCLAY!$B$1:$E$1,0),FALSE),IF(VLOOKUP($E56,'Table Output'!$A$2:$E$99998,5,FALSE)="Clay",VLOOKUP(M$37,BoundParameters_HiddenSheetCLAY!$B$3:$E$50,MATCH(VLOOKUP($I56,$I$5:$AJ$35,MATCH(VLOOKUP(M$37,$BH$3:$BI$50,2,FALSE),$I$4:$AJ$4,0),FALSE),BoundParameters_HiddenSheetCLAY!$B$1:$E$1,0),FALSE))),'Control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Output'!$A$2:$E$99998,5,FALSE)="Sand",VLOOKUP(N$37,BoundParameters_HiddenSheetSAND!$B$3:$E$50,MATCH(VLOOKUP($I56,$I$5:$AJ$29,MATCH(VLOOKUP(N$37,$BH$3:$BI$50,2,FALSE),$I$4:$AJ$4,0),FALSE),BoundParameters_HiddenSheetCLAY!$B$1:$E$1,0),FALSE),IF(VLOOKUP($E56,'Table Output'!$A$2:$E$99998,5,FALSE)="Clay",VLOOKUP(N$37,BoundParameters_HiddenSheetCLAY!$B$3:$E$50,MATCH(VLOOKUP($I56,$I$5:$AJ$35,MATCH(VLOOKUP(N$37,$BH$3:$BI$50,2,FALSE),$I$4:$AJ$4,0),FALSE),BoundParameters_HiddenSheetCLAY!$B$1:$E$1,0),FALSE))),'Control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Output'!$A$2:$E$99998,5,FALSE)="Sand",VLOOKUP(O$37,BoundParameters_HiddenSheetSAND!$B$3:$E$50,MATCH(VLOOKUP($I56,$I$5:$AJ$29,MATCH(VLOOKUP(O$37,$BH$3:$BI$50,2,FALSE),$I$4:$AJ$4,0),FALSE),BoundParameters_HiddenSheetCLAY!$B$1:$E$1,0),FALSE),IF(VLOOKUP($E56,'Table Output'!$A$2:$E$99998,5,FALSE)="Clay",VLOOKUP(O$37,BoundParameters_HiddenSheetCLAY!$B$3:$E$50,MATCH(VLOOKUP($I56,$I$5:$AJ$35,MATCH(VLOOKUP(O$37,$BH$3:$BI$50,2,FALSE),$I$4:$AJ$4,0),FALSE),BoundParameters_HiddenSheetCLAY!$B$1:$E$1,0),FALSE))),'Control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Output'!$A$2:$E$99998,5,FALSE)="Sand",VLOOKUP(P$37,BoundParameters_HiddenSheetSAND!$B$3:$E$50,MATCH(VLOOKUP($I56,$I$5:$AJ$29,MATCH(VLOOKUP(P$37,$BH$3:$BI$50,2,FALSE),$I$4:$AJ$4,0),FALSE),BoundParameters_HiddenSheetCLAY!$B$1:$E$1,0),FALSE),IF(VLOOKUP($E56,'Table Output'!$A$2:$E$99998,5,FALSE)="Clay",VLOOKUP(P$37,BoundParameters_HiddenSheetCLAY!$B$3:$E$50,MATCH(VLOOKUP($I56,$I$5:$AJ$35,MATCH(VLOOKUP(P$37,$BH$3:$BI$50,2,FALSE),$I$4:$AJ$4,0),FALSE),BoundParameters_HiddenSheetCLAY!$B$1:$E$1,0),FALSE))),'Control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Output'!$A$2:$E$99998,5,FALSE)="Sand",VLOOKUP(Q$37,BoundParameters_HiddenSheetSAND!$B$3:$E$50,MATCH(VLOOKUP($I56,$I$5:$AJ$29,MATCH(VLOOKUP(Q$37,$BH$3:$BI$50,2,FALSE),$I$4:$AJ$4,0),FALSE),BoundParameters_HiddenSheetCLAY!$B$1:$E$1,0),FALSE),IF(VLOOKUP($E56,'Table Output'!$A$2:$E$99998,5,FALSE)="Clay",VLOOKUP(Q$37,BoundParameters_HiddenSheetCLAY!$B$3:$E$50,MATCH(VLOOKUP($I56,$I$5:$AJ$35,MATCH(VLOOKUP(Q$37,$BH$3:$BI$50,2,FALSE),$I$4:$AJ$4,0),FALSE),BoundParameters_HiddenSheetCLAY!$B$1:$E$1,0),FALSE))),'Control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Output'!$A$2:$E$99998,5,FALSE)="Sand",VLOOKUP(R$37,BoundParameters_HiddenSheetSAND!$B$3:$E$50,MATCH(VLOOKUP($I56,$I$5:$AJ$29,MATCH(VLOOKUP(R$37,$BH$3:$BI$50,2,FALSE),$I$4:$AJ$4,0),FALSE),BoundParameters_HiddenSheetCLAY!$B$1:$E$1,0),FALSE),IF(VLOOKUP($E56,'Table Output'!$A$2:$E$99998,5,FALSE)="Clay",VLOOKUP(R$37,BoundParameters_HiddenSheetCLAY!$B$3:$E$50,MATCH(VLOOKUP($I56,$I$5:$AJ$35,MATCH(VLOOKUP(R$37,$BH$3:$BI$50,2,FALSE),$I$4:$AJ$4,0),FALSE),BoundParameters_HiddenSheetCLAY!$B$1:$E$1,0),FALSE))),'Control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Output'!$A$2:$E$99998,5,FALSE)="Sand",VLOOKUP(S$37,BoundParameters_HiddenSheetSAND!$B$3:$E$50,MATCH(VLOOKUP($I56,$I$5:$AJ$29,MATCH(VLOOKUP(S$37,$BH$3:$BI$50,2,FALSE),$I$4:$AJ$4,0),FALSE),BoundParameters_HiddenSheetCLAY!$B$1:$E$1,0),FALSE),IF(VLOOKUP($E56,'Table Output'!$A$2:$E$99998,5,FALSE)="Clay",VLOOKUP(S$37,BoundParameters_HiddenSheetCLAY!$B$3:$E$50,MATCH(VLOOKUP($I56,$I$5:$AJ$35,MATCH(VLOOKUP(S$37,$BH$3:$BI$50,2,FALSE),$I$4:$AJ$4,0),FALSE),BoundParameters_HiddenSheetCLAY!$B$1:$E$1,0),FALSE))),'Control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Output'!$A$2:$E$99998,5,FALSE)="Sand",VLOOKUP(J$37,BoundParameters_HiddenSheetSAND!$B$3:$E$50,MATCH(VLOOKUP($I57,$I$5:$AJ$29,MATCH(VLOOKUP(J$37,$BH$3:$BI$50,2,FALSE),$I$4:$AJ$4,0),FALSE),BoundParameters_HiddenSheetCLAY!$B$1:$E$1,0),FALSE),IF(VLOOKUP($E57,'Table Output'!$A$2:$E$99998,5,FALSE)="Clay",VLOOKUP(J$37,BoundParameters_HiddenSheetCLAY!$B$3:$E$50,MATCH(VLOOKUP($I57,$I$5:$AJ$35,MATCH(VLOOKUP(J$37,$BH$3:$BI$50,2,FALSE),$I$4:$AJ$4,0),FALSE),BoundParameters_HiddenSheetCLAY!$B$1:$E$1,0),FALSE))),'Control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Output'!$A$2:$E$99998,5,FALSE)="Sand",VLOOKUP(K$37,BoundParameters_HiddenSheetSAND!$B$3:$E$50,MATCH(VLOOKUP($I57,$I$5:$AJ$29,MATCH(VLOOKUP(K$37,$BH$3:$BI$50,2,FALSE),$I$4:$AJ$4,0),FALSE),BoundParameters_HiddenSheetCLAY!$B$1:$E$1,0),FALSE),IF(VLOOKUP($E57,'Table Output'!$A$2:$E$99998,5,FALSE)="Clay",VLOOKUP(K$37,BoundParameters_HiddenSheetCLAY!$B$3:$E$50,MATCH(VLOOKUP($I57,$I$5:$AJ$35,MATCH(VLOOKUP(K$37,$BH$3:$BI$50,2,FALSE),$I$4:$AJ$4,0),FALSE),BoundParameters_HiddenSheetCLAY!$B$1:$E$1,0),FALSE))),'Control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Output'!$A$2:$E$99998,5,FALSE)="Sand",VLOOKUP(L$37,BoundParameters_HiddenSheetSAND!$B$3:$E$50,MATCH(VLOOKUP($I57,$I$5:$AJ$29,MATCH(VLOOKUP(L$37,$BH$3:$BI$50,2,FALSE),$I$4:$AJ$4,0),FALSE),BoundParameters_HiddenSheetCLAY!$B$1:$E$1,0),FALSE),IF(VLOOKUP($E57,'Table Output'!$A$2:$E$99998,5,FALSE)="Clay",VLOOKUP(L$37,BoundParameters_HiddenSheetCLAY!$B$3:$E$50,MATCH(VLOOKUP($I57,$I$5:$AJ$35,MATCH(VLOOKUP(L$37,$BH$3:$BI$50,2,FALSE),$I$4:$AJ$4,0),FALSE),BoundParameters_HiddenSheetCLAY!$B$1:$E$1,0),FALSE))),'Control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Output'!$A$2:$E$99998,5,FALSE)="Sand",VLOOKUP(M$37,BoundParameters_HiddenSheetSAND!$B$3:$E$50,MATCH(VLOOKUP($I57,$I$5:$AJ$29,MATCH(VLOOKUP(M$37,$BH$3:$BI$50,2,FALSE),$I$4:$AJ$4,0),FALSE),BoundParameters_HiddenSheetCLAY!$B$1:$E$1,0),FALSE),IF(VLOOKUP($E57,'Table Output'!$A$2:$E$99998,5,FALSE)="Clay",VLOOKUP(M$37,BoundParameters_HiddenSheetCLAY!$B$3:$E$50,MATCH(VLOOKUP($I57,$I$5:$AJ$35,MATCH(VLOOKUP(M$37,$BH$3:$BI$50,2,FALSE),$I$4:$AJ$4,0),FALSE),BoundParameters_HiddenSheetCLAY!$B$1:$E$1,0),FALSE))),'Control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Output'!$A$2:$E$99998,5,FALSE)="Sand",VLOOKUP(N$37,BoundParameters_HiddenSheetSAND!$B$3:$E$50,MATCH(VLOOKUP($I57,$I$5:$AJ$29,MATCH(VLOOKUP(N$37,$BH$3:$BI$50,2,FALSE),$I$4:$AJ$4,0),FALSE),BoundParameters_HiddenSheetCLAY!$B$1:$E$1,0),FALSE),IF(VLOOKUP($E57,'Table Output'!$A$2:$E$99998,5,FALSE)="Clay",VLOOKUP(N$37,BoundParameters_HiddenSheetCLAY!$B$3:$E$50,MATCH(VLOOKUP($I57,$I$5:$AJ$35,MATCH(VLOOKUP(N$37,$BH$3:$BI$50,2,FALSE),$I$4:$AJ$4,0),FALSE),BoundParameters_HiddenSheetCLAY!$B$1:$E$1,0),FALSE))),'Control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Output'!$A$2:$E$99998,5,FALSE)="Sand",VLOOKUP(O$37,BoundParameters_HiddenSheetSAND!$B$3:$E$50,MATCH(VLOOKUP($I57,$I$5:$AJ$29,MATCH(VLOOKUP(O$37,$BH$3:$BI$50,2,FALSE),$I$4:$AJ$4,0),FALSE),BoundParameters_HiddenSheetCLAY!$B$1:$E$1,0),FALSE),IF(VLOOKUP($E57,'Table Output'!$A$2:$E$99998,5,FALSE)="Clay",VLOOKUP(O$37,BoundParameters_HiddenSheetCLAY!$B$3:$E$50,MATCH(VLOOKUP($I57,$I$5:$AJ$35,MATCH(VLOOKUP(O$37,$BH$3:$BI$50,2,FALSE),$I$4:$AJ$4,0),FALSE),BoundParameters_HiddenSheetCLAY!$B$1:$E$1,0),FALSE))),'Control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Output'!$A$2:$E$99998,5,FALSE)="Sand",VLOOKUP(P$37,BoundParameters_HiddenSheetSAND!$B$3:$E$50,MATCH(VLOOKUP($I57,$I$5:$AJ$29,MATCH(VLOOKUP(P$37,$BH$3:$BI$50,2,FALSE),$I$4:$AJ$4,0),FALSE),BoundParameters_HiddenSheetCLAY!$B$1:$E$1,0),FALSE),IF(VLOOKUP($E57,'Table Output'!$A$2:$E$99998,5,FALSE)="Clay",VLOOKUP(P$37,BoundParameters_HiddenSheetCLAY!$B$3:$E$50,MATCH(VLOOKUP($I57,$I$5:$AJ$35,MATCH(VLOOKUP(P$37,$BH$3:$BI$50,2,FALSE),$I$4:$AJ$4,0),FALSE),BoundParameters_HiddenSheetCLAY!$B$1:$E$1,0),FALSE))),'Control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Output'!$A$2:$E$99998,5,FALSE)="Sand",VLOOKUP(Q$37,BoundParameters_HiddenSheetSAND!$B$3:$E$50,MATCH(VLOOKUP($I57,$I$5:$AJ$29,MATCH(VLOOKUP(Q$37,$BH$3:$BI$50,2,FALSE),$I$4:$AJ$4,0),FALSE),BoundParameters_HiddenSheetCLAY!$B$1:$E$1,0),FALSE),IF(VLOOKUP($E57,'Table Output'!$A$2:$E$99998,5,FALSE)="Clay",VLOOKUP(Q$37,BoundParameters_HiddenSheetCLAY!$B$3:$E$50,MATCH(VLOOKUP($I57,$I$5:$AJ$35,MATCH(VLOOKUP(Q$37,$BH$3:$BI$50,2,FALSE),$I$4:$AJ$4,0),FALSE),BoundParameters_HiddenSheetCLAY!$B$1:$E$1,0),FALSE))),'Control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Output'!$A$2:$E$99998,5,FALSE)="Sand",VLOOKUP(R$37,BoundParameters_HiddenSheetSAND!$B$3:$E$50,MATCH(VLOOKUP($I57,$I$5:$AJ$29,MATCH(VLOOKUP(R$37,$BH$3:$BI$50,2,FALSE),$I$4:$AJ$4,0),FALSE),BoundParameters_HiddenSheetCLAY!$B$1:$E$1,0),FALSE),IF(VLOOKUP($E57,'Table Output'!$A$2:$E$99998,5,FALSE)="Clay",VLOOKUP(R$37,BoundParameters_HiddenSheetCLAY!$B$3:$E$50,MATCH(VLOOKUP($I57,$I$5:$AJ$35,MATCH(VLOOKUP(R$37,$BH$3:$BI$50,2,FALSE),$I$4:$AJ$4,0),FALSE),BoundParameters_HiddenSheetCLAY!$B$1:$E$1,0),FALSE))),'Control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Output'!$A$2:$E$99998,5,FALSE)="Sand",VLOOKUP(S$37,BoundParameters_HiddenSheetSAND!$B$3:$E$50,MATCH(VLOOKUP($I57,$I$5:$AJ$29,MATCH(VLOOKUP(S$37,$BH$3:$BI$50,2,FALSE),$I$4:$AJ$4,0),FALSE),BoundParameters_HiddenSheetCLAY!$B$1:$E$1,0),FALSE),IF(VLOOKUP($E57,'Table Output'!$A$2:$E$99998,5,FALSE)="Clay",VLOOKUP(S$37,BoundParameters_HiddenSheetCLAY!$B$3:$E$50,MATCH(VLOOKUP($I57,$I$5:$AJ$35,MATCH(VLOOKUP(S$37,$BH$3:$BI$50,2,FALSE),$I$4:$AJ$4,0),FALSE),BoundParameters_HiddenSheetCLAY!$B$1:$E$1,0),FALSE))),'Control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Output'!$A$2:$E$99998,5,FALSE)="Sand",VLOOKUP(J$37,BoundParameters_HiddenSheetSAND!$B$3:$E$50,MATCH(VLOOKUP($I58,$I$5:$AJ$29,MATCH(VLOOKUP(J$37,$BH$3:$BI$50,2,FALSE),$I$4:$AJ$4,0),FALSE),BoundParameters_HiddenSheetCLAY!$B$1:$E$1,0),FALSE),IF(VLOOKUP($E58,'Table Output'!$A$2:$E$99998,5,FALSE)="Clay",VLOOKUP(J$37,BoundParameters_HiddenSheetCLAY!$B$3:$E$50,MATCH(VLOOKUP($I58,$I$5:$AJ$35,MATCH(VLOOKUP(J$37,$BH$3:$BI$50,2,FALSE),$I$4:$AJ$4,0),FALSE),BoundParameters_HiddenSheetCLAY!$B$1:$E$1,0),FALSE))),'Control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Output'!$A$2:$E$99998,5,FALSE)="Sand",VLOOKUP(K$37,BoundParameters_HiddenSheetSAND!$B$3:$E$50,MATCH(VLOOKUP($I58,$I$5:$AJ$29,MATCH(VLOOKUP(K$37,$BH$3:$BI$50,2,FALSE),$I$4:$AJ$4,0),FALSE),BoundParameters_HiddenSheetCLAY!$B$1:$E$1,0),FALSE),IF(VLOOKUP($E58,'Table Output'!$A$2:$E$99998,5,FALSE)="Clay",VLOOKUP(K$37,BoundParameters_HiddenSheetCLAY!$B$3:$E$50,MATCH(VLOOKUP($I58,$I$5:$AJ$35,MATCH(VLOOKUP(K$37,$BH$3:$BI$50,2,FALSE),$I$4:$AJ$4,0),FALSE),BoundParameters_HiddenSheetCLAY!$B$1:$E$1,0),FALSE))),'Control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Output'!$A$2:$E$99998,5,FALSE)="Sand",VLOOKUP(L$37,BoundParameters_HiddenSheetSAND!$B$3:$E$50,MATCH(VLOOKUP($I58,$I$5:$AJ$29,MATCH(VLOOKUP(L$37,$BH$3:$BI$50,2,FALSE),$I$4:$AJ$4,0),FALSE),BoundParameters_HiddenSheetCLAY!$B$1:$E$1,0),FALSE),IF(VLOOKUP($E58,'Table Output'!$A$2:$E$99998,5,FALSE)="Clay",VLOOKUP(L$37,BoundParameters_HiddenSheetCLAY!$B$3:$E$50,MATCH(VLOOKUP($I58,$I$5:$AJ$35,MATCH(VLOOKUP(L$37,$BH$3:$BI$50,2,FALSE),$I$4:$AJ$4,0),FALSE),BoundParameters_HiddenSheetCLAY!$B$1:$E$1,0),FALSE))),'Control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Output'!$A$2:$E$99998,5,FALSE)="Sand",VLOOKUP(M$37,BoundParameters_HiddenSheetSAND!$B$3:$E$50,MATCH(VLOOKUP($I58,$I$5:$AJ$29,MATCH(VLOOKUP(M$37,$BH$3:$BI$50,2,FALSE),$I$4:$AJ$4,0),FALSE),BoundParameters_HiddenSheetCLAY!$B$1:$E$1,0),FALSE),IF(VLOOKUP($E58,'Table Output'!$A$2:$E$99998,5,FALSE)="Clay",VLOOKUP(M$37,BoundParameters_HiddenSheetCLAY!$B$3:$E$50,MATCH(VLOOKUP($I58,$I$5:$AJ$35,MATCH(VLOOKUP(M$37,$BH$3:$BI$50,2,FALSE),$I$4:$AJ$4,0),FALSE),BoundParameters_HiddenSheetCLAY!$B$1:$E$1,0),FALSE))),'Control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Output'!$A$2:$E$99998,5,FALSE)="Sand",VLOOKUP(N$37,BoundParameters_HiddenSheetSAND!$B$3:$E$50,MATCH(VLOOKUP($I58,$I$5:$AJ$29,MATCH(VLOOKUP(N$37,$BH$3:$BI$50,2,FALSE),$I$4:$AJ$4,0),FALSE),BoundParameters_HiddenSheetCLAY!$B$1:$E$1,0),FALSE),IF(VLOOKUP($E58,'Table Output'!$A$2:$E$99998,5,FALSE)="Clay",VLOOKUP(N$37,BoundParameters_HiddenSheetCLAY!$B$3:$E$50,MATCH(VLOOKUP($I58,$I$5:$AJ$35,MATCH(VLOOKUP(N$37,$BH$3:$BI$50,2,FALSE),$I$4:$AJ$4,0),FALSE),BoundParameters_HiddenSheetCLAY!$B$1:$E$1,0),FALSE))),'Control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Output'!$A$2:$E$99998,5,FALSE)="Sand",VLOOKUP(O$37,BoundParameters_HiddenSheetSAND!$B$3:$E$50,MATCH(VLOOKUP($I58,$I$5:$AJ$29,MATCH(VLOOKUP(O$37,$BH$3:$BI$50,2,FALSE),$I$4:$AJ$4,0),FALSE),BoundParameters_HiddenSheetCLAY!$B$1:$E$1,0),FALSE),IF(VLOOKUP($E58,'Table Output'!$A$2:$E$99998,5,FALSE)="Clay",VLOOKUP(O$37,BoundParameters_HiddenSheetCLAY!$B$3:$E$50,MATCH(VLOOKUP($I58,$I$5:$AJ$35,MATCH(VLOOKUP(O$37,$BH$3:$BI$50,2,FALSE),$I$4:$AJ$4,0),FALSE),BoundParameters_HiddenSheetCLAY!$B$1:$E$1,0),FALSE))),'Control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Output'!$A$2:$E$99998,5,FALSE)="Sand",VLOOKUP(P$37,BoundParameters_HiddenSheetSAND!$B$3:$E$50,MATCH(VLOOKUP($I58,$I$5:$AJ$29,MATCH(VLOOKUP(P$37,$BH$3:$BI$50,2,FALSE),$I$4:$AJ$4,0),FALSE),BoundParameters_HiddenSheetCLAY!$B$1:$E$1,0),FALSE),IF(VLOOKUP($E58,'Table Output'!$A$2:$E$99998,5,FALSE)="Clay",VLOOKUP(P$37,BoundParameters_HiddenSheetCLAY!$B$3:$E$50,MATCH(VLOOKUP($I58,$I$5:$AJ$35,MATCH(VLOOKUP(P$37,$BH$3:$BI$50,2,FALSE),$I$4:$AJ$4,0),FALSE),BoundParameters_HiddenSheetCLAY!$B$1:$E$1,0),FALSE))),'Control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Output'!$A$2:$E$99998,5,FALSE)="Sand",VLOOKUP(Q$37,BoundParameters_HiddenSheetSAND!$B$3:$E$50,MATCH(VLOOKUP($I58,$I$5:$AJ$29,MATCH(VLOOKUP(Q$37,$BH$3:$BI$50,2,FALSE),$I$4:$AJ$4,0),FALSE),BoundParameters_HiddenSheetCLAY!$B$1:$E$1,0),FALSE),IF(VLOOKUP($E58,'Table Output'!$A$2:$E$99998,5,FALSE)="Clay",VLOOKUP(Q$37,BoundParameters_HiddenSheetCLAY!$B$3:$E$50,MATCH(VLOOKUP($I58,$I$5:$AJ$35,MATCH(VLOOKUP(Q$37,$BH$3:$BI$50,2,FALSE),$I$4:$AJ$4,0),FALSE),BoundParameters_HiddenSheetCLAY!$B$1:$E$1,0),FALSE))),'Control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Output'!$A$2:$E$99998,5,FALSE)="Sand",VLOOKUP(R$37,BoundParameters_HiddenSheetSAND!$B$3:$E$50,MATCH(VLOOKUP($I58,$I$5:$AJ$29,MATCH(VLOOKUP(R$37,$BH$3:$BI$50,2,FALSE),$I$4:$AJ$4,0),FALSE),BoundParameters_HiddenSheetCLAY!$B$1:$E$1,0),FALSE),IF(VLOOKUP($E58,'Table Output'!$A$2:$E$99998,5,FALSE)="Clay",VLOOKUP(R$37,BoundParameters_HiddenSheetCLAY!$B$3:$E$50,MATCH(VLOOKUP($I58,$I$5:$AJ$35,MATCH(VLOOKUP(R$37,$BH$3:$BI$50,2,FALSE),$I$4:$AJ$4,0),FALSE),BoundParameters_HiddenSheetCLAY!$B$1:$E$1,0),FALSE))),'Control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Output'!$A$2:$E$99998,5,FALSE)="Sand",VLOOKUP(S$37,BoundParameters_HiddenSheetSAND!$B$3:$E$50,MATCH(VLOOKUP($I58,$I$5:$AJ$29,MATCH(VLOOKUP(S$37,$BH$3:$BI$50,2,FALSE),$I$4:$AJ$4,0),FALSE),BoundParameters_HiddenSheetCLAY!$B$1:$E$1,0),FALSE),IF(VLOOKUP($E58,'Table Output'!$A$2:$E$99998,5,FALSE)="Clay",VLOOKUP(S$37,BoundParameters_HiddenSheetCLAY!$B$3:$E$50,MATCH(VLOOKUP($I58,$I$5:$AJ$35,MATCH(VLOOKUP(S$37,$BH$3:$BI$50,2,FALSE),$I$4:$AJ$4,0),FALSE),BoundParameters_HiddenSheetCLAY!$B$1:$E$1,0),FALSE))),'Control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Output'!$A$2:$E$99998,5,FALSE)="Sand",VLOOKUP(J$37,BoundParameters_HiddenSheetSAND!$B$3:$E$50,MATCH(VLOOKUP($I59,$I$5:$AJ$29,MATCH(VLOOKUP(J$37,$BH$3:$BI$50,2,FALSE),$I$4:$AJ$4,0),FALSE),BoundParameters_HiddenSheetCLAY!$B$1:$E$1,0),FALSE),IF(VLOOKUP($E59,'Table Output'!$A$2:$E$99998,5,FALSE)="Clay",VLOOKUP(J$37,BoundParameters_HiddenSheetCLAY!$B$3:$E$50,MATCH(VLOOKUP($I59,$I$5:$AJ$35,MATCH(VLOOKUP(J$37,$BH$3:$BI$50,2,FALSE),$I$4:$AJ$4,0),FALSE),BoundParameters_HiddenSheetCLAY!$B$1:$E$1,0),FALSE))),'Control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Output'!$A$2:$E$99998,5,FALSE)="Sand",VLOOKUP(K$37,BoundParameters_HiddenSheetSAND!$B$3:$E$50,MATCH(VLOOKUP($I59,$I$5:$AJ$29,MATCH(VLOOKUP(K$37,$BH$3:$BI$50,2,FALSE),$I$4:$AJ$4,0),FALSE),BoundParameters_HiddenSheetCLAY!$B$1:$E$1,0),FALSE),IF(VLOOKUP($E59,'Table Output'!$A$2:$E$99998,5,FALSE)="Clay",VLOOKUP(K$37,BoundParameters_HiddenSheetCLAY!$B$3:$E$50,MATCH(VLOOKUP($I59,$I$5:$AJ$35,MATCH(VLOOKUP(K$37,$BH$3:$BI$50,2,FALSE),$I$4:$AJ$4,0),FALSE),BoundParameters_HiddenSheetCLAY!$B$1:$E$1,0),FALSE))),'Control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Output'!$A$2:$E$99998,5,FALSE)="Sand",VLOOKUP(L$37,BoundParameters_HiddenSheetSAND!$B$3:$E$50,MATCH(VLOOKUP($I59,$I$5:$AJ$29,MATCH(VLOOKUP(L$37,$BH$3:$BI$50,2,FALSE),$I$4:$AJ$4,0),FALSE),BoundParameters_HiddenSheetCLAY!$B$1:$E$1,0),FALSE),IF(VLOOKUP($E59,'Table Output'!$A$2:$E$99998,5,FALSE)="Clay",VLOOKUP(L$37,BoundParameters_HiddenSheetCLAY!$B$3:$E$50,MATCH(VLOOKUP($I59,$I$5:$AJ$35,MATCH(VLOOKUP(L$37,$BH$3:$BI$50,2,FALSE),$I$4:$AJ$4,0),FALSE),BoundParameters_HiddenSheetCLAY!$B$1:$E$1,0),FALSE))),'Control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Output'!$A$2:$E$99998,5,FALSE)="Sand",VLOOKUP(M$37,BoundParameters_HiddenSheetSAND!$B$3:$E$50,MATCH(VLOOKUP($I59,$I$5:$AJ$29,MATCH(VLOOKUP(M$37,$BH$3:$BI$50,2,FALSE),$I$4:$AJ$4,0),FALSE),BoundParameters_HiddenSheetCLAY!$B$1:$E$1,0),FALSE),IF(VLOOKUP($E59,'Table Output'!$A$2:$E$99998,5,FALSE)="Clay",VLOOKUP(M$37,BoundParameters_HiddenSheetCLAY!$B$3:$E$50,MATCH(VLOOKUP($I59,$I$5:$AJ$35,MATCH(VLOOKUP(M$37,$BH$3:$BI$50,2,FALSE),$I$4:$AJ$4,0),FALSE),BoundParameters_HiddenSheetCLAY!$B$1:$E$1,0),FALSE))),'Control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Output'!$A$2:$E$99998,5,FALSE)="Sand",VLOOKUP(N$37,BoundParameters_HiddenSheetSAND!$B$3:$E$50,MATCH(VLOOKUP($I59,$I$5:$AJ$29,MATCH(VLOOKUP(N$37,$BH$3:$BI$50,2,FALSE),$I$4:$AJ$4,0),FALSE),BoundParameters_HiddenSheetCLAY!$B$1:$E$1,0),FALSE),IF(VLOOKUP($E59,'Table Output'!$A$2:$E$99998,5,FALSE)="Clay",VLOOKUP(N$37,BoundParameters_HiddenSheetCLAY!$B$3:$E$50,MATCH(VLOOKUP($I59,$I$5:$AJ$35,MATCH(VLOOKUP(N$37,$BH$3:$BI$50,2,FALSE),$I$4:$AJ$4,0),FALSE),BoundParameters_HiddenSheetCLAY!$B$1:$E$1,0),FALSE))),'Control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Output'!$A$2:$E$99998,5,FALSE)="Sand",VLOOKUP(O$37,BoundParameters_HiddenSheetSAND!$B$3:$E$50,MATCH(VLOOKUP($I59,$I$5:$AJ$29,MATCH(VLOOKUP(O$37,$BH$3:$BI$50,2,FALSE),$I$4:$AJ$4,0),FALSE),BoundParameters_HiddenSheetCLAY!$B$1:$E$1,0),FALSE),IF(VLOOKUP($E59,'Table Output'!$A$2:$E$99998,5,FALSE)="Clay",VLOOKUP(O$37,BoundParameters_HiddenSheetCLAY!$B$3:$E$50,MATCH(VLOOKUP($I59,$I$5:$AJ$35,MATCH(VLOOKUP(O$37,$BH$3:$BI$50,2,FALSE),$I$4:$AJ$4,0),FALSE),BoundParameters_HiddenSheetCLAY!$B$1:$E$1,0),FALSE))),'Control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Output'!$A$2:$E$99998,5,FALSE)="Sand",VLOOKUP(P$37,BoundParameters_HiddenSheetSAND!$B$3:$E$50,MATCH(VLOOKUP($I59,$I$5:$AJ$29,MATCH(VLOOKUP(P$37,$BH$3:$BI$50,2,FALSE),$I$4:$AJ$4,0),FALSE),BoundParameters_HiddenSheetCLAY!$B$1:$E$1,0),FALSE),IF(VLOOKUP($E59,'Table Output'!$A$2:$E$99998,5,FALSE)="Clay",VLOOKUP(P$37,BoundParameters_HiddenSheetCLAY!$B$3:$E$50,MATCH(VLOOKUP($I59,$I$5:$AJ$35,MATCH(VLOOKUP(P$37,$BH$3:$BI$50,2,FALSE),$I$4:$AJ$4,0),FALSE),BoundParameters_HiddenSheetCLAY!$B$1:$E$1,0),FALSE))),'Control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Output'!$A$2:$E$99998,5,FALSE)="Sand",VLOOKUP(Q$37,BoundParameters_HiddenSheetSAND!$B$3:$E$50,MATCH(VLOOKUP($I59,$I$5:$AJ$29,MATCH(VLOOKUP(Q$37,$BH$3:$BI$50,2,FALSE),$I$4:$AJ$4,0),FALSE),BoundParameters_HiddenSheetCLAY!$B$1:$E$1,0),FALSE),IF(VLOOKUP($E59,'Table Output'!$A$2:$E$99998,5,FALSE)="Clay",VLOOKUP(Q$37,BoundParameters_HiddenSheetCLAY!$B$3:$E$50,MATCH(VLOOKUP($I59,$I$5:$AJ$35,MATCH(VLOOKUP(Q$37,$BH$3:$BI$50,2,FALSE),$I$4:$AJ$4,0),FALSE),BoundParameters_HiddenSheetCLAY!$B$1:$E$1,0),FALSE))),'Control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Output'!$A$2:$E$99998,5,FALSE)="Sand",VLOOKUP(R$37,BoundParameters_HiddenSheetSAND!$B$3:$E$50,MATCH(VLOOKUP($I59,$I$5:$AJ$29,MATCH(VLOOKUP(R$37,$BH$3:$BI$50,2,FALSE),$I$4:$AJ$4,0),FALSE),BoundParameters_HiddenSheetCLAY!$B$1:$E$1,0),FALSE),IF(VLOOKUP($E59,'Table Output'!$A$2:$E$99998,5,FALSE)="Clay",VLOOKUP(R$37,BoundParameters_HiddenSheetCLAY!$B$3:$E$50,MATCH(VLOOKUP($I59,$I$5:$AJ$35,MATCH(VLOOKUP(R$37,$BH$3:$BI$50,2,FALSE),$I$4:$AJ$4,0),FALSE),BoundParameters_HiddenSheetCLAY!$B$1:$E$1,0),FALSE))),'Control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Output'!$A$2:$E$99998,5,FALSE)="Sand",VLOOKUP(S$37,BoundParameters_HiddenSheetSAND!$B$3:$E$50,MATCH(VLOOKUP($I59,$I$5:$AJ$29,MATCH(VLOOKUP(S$37,$BH$3:$BI$50,2,FALSE),$I$4:$AJ$4,0),FALSE),BoundParameters_HiddenSheetCLAY!$B$1:$E$1,0),FALSE),IF(VLOOKUP($E59,'Table Output'!$A$2:$E$99998,5,FALSE)="Clay",VLOOKUP(S$37,BoundParameters_HiddenSheetCLAY!$B$3:$E$50,MATCH(VLOOKUP($I59,$I$5:$AJ$35,MATCH(VLOOKUP(S$37,$BH$3:$BI$50,2,FALSE),$I$4:$AJ$4,0),FALSE),BoundParameters_HiddenSheetCLAY!$B$1:$E$1,0),FALSE))),'Control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Output'!$A$2:$E$99998,5,FALSE)="Sand",VLOOKUP(J$37,BoundParameters_HiddenSheetSAND!$B$3:$E$50,MATCH(VLOOKUP($I60,$I$5:$AJ$29,MATCH(VLOOKUP(J$37,$BH$3:$BI$50,2,FALSE),$I$4:$AJ$4,0),FALSE),BoundParameters_HiddenSheetCLAY!$B$1:$E$1,0),FALSE),IF(VLOOKUP($E60,'Table Output'!$A$2:$E$99998,5,FALSE)="Clay",VLOOKUP(J$37,BoundParameters_HiddenSheetCLAY!$B$3:$E$50,MATCH(VLOOKUP($I60,$I$5:$AJ$35,MATCH(VLOOKUP(J$37,$BH$3:$BI$50,2,FALSE),$I$4:$AJ$4,0),FALSE),BoundParameters_HiddenSheetCLAY!$B$1:$E$1,0),FALSE))),'Control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Output'!$A$2:$E$99998,5,FALSE)="Sand",VLOOKUP(K$37,BoundParameters_HiddenSheetSAND!$B$3:$E$50,MATCH(VLOOKUP($I60,$I$5:$AJ$29,MATCH(VLOOKUP(K$37,$BH$3:$BI$50,2,FALSE),$I$4:$AJ$4,0),FALSE),BoundParameters_HiddenSheetCLAY!$B$1:$E$1,0),FALSE),IF(VLOOKUP($E60,'Table Output'!$A$2:$E$99998,5,FALSE)="Clay",VLOOKUP(K$37,BoundParameters_HiddenSheetCLAY!$B$3:$E$50,MATCH(VLOOKUP($I60,$I$5:$AJ$35,MATCH(VLOOKUP(K$37,$BH$3:$BI$50,2,FALSE),$I$4:$AJ$4,0),FALSE),BoundParameters_HiddenSheetCLAY!$B$1:$E$1,0),FALSE))),'Control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Output'!$A$2:$E$99998,5,FALSE)="Sand",VLOOKUP(L$37,BoundParameters_HiddenSheetSAND!$B$3:$E$50,MATCH(VLOOKUP($I60,$I$5:$AJ$29,MATCH(VLOOKUP(L$37,$BH$3:$BI$50,2,FALSE),$I$4:$AJ$4,0),FALSE),BoundParameters_HiddenSheetCLAY!$B$1:$E$1,0),FALSE),IF(VLOOKUP($E60,'Table Output'!$A$2:$E$99998,5,FALSE)="Clay",VLOOKUP(L$37,BoundParameters_HiddenSheetCLAY!$B$3:$E$50,MATCH(VLOOKUP($I60,$I$5:$AJ$35,MATCH(VLOOKUP(L$37,$BH$3:$BI$50,2,FALSE),$I$4:$AJ$4,0),FALSE),BoundParameters_HiddenSheetCLAY!$B$1:$E$1,0),FALSE))),'Control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Output'!$A$2:$E$99998,5,FALSE)="Sand",VLOOKUP(M$37,BoundParameters_HiddenSheetSAND!$B$3:$E$50,MATCH(VLOOKUP($I60,$I$5:$AJ$29,MATCH(VLOOKUP(M$37,$BH$3:$BI$50,2,FALSE),$I$4:$AJ$4,0),FALSE),BoundParameters_HiddenSheetCLAY!$B$1:$E$1,0),FALSE),IF(VLOOKUP($E60,'Table Output'!$A$2:$E$99998,5,FALSE)="Clay",VLOOKUP(M$37,BoundParameters_HiddenSheetCLAY!$B$3:$E$50,MATCH(VLOOKUP($I60,$I$5:$AJ$35,MATCH(VLOOKUP(M$37,$BH$3:$BI$50,2,FALSE),$I$4:$AJ$4,0),FALSE),BoundParameters_HiddenSheetCLAY!$B$1:$E$1,0),FALSE))),'Control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Output'!$A$2:$E$99998,5,FALSE)="Sand",VLOOKUP(N$37,BoundParameters_HiddenSheetSAND!$B$3:$E$50,MATCH(VLOOKUP($I60,$I$5:$AJ$29,MATCH(VLOOKUP(N$37,$BH$3:$BI$50,2,FALSE),$I$4:$AJ$4,0),FALSE),BoundParameters_HiddenSheetCLAY!$B$1:$E$1,0),FALSE),IF(VLOOKUP($E60,'Table Output'!$A$2:$E$99998,5,FALSE)="Clay",VLOOKUP(N$37,BoundParameters_HiddenSheetCLAY!$B$3:$E$50,MATCH(VLOOKUP($I60,$I$5:$AJ$35,MATCH(VLOOKUP(N$37,$BH$3:$BI$50,2,FALSE),$I$4:$AJ$4,0),FALSE),BoundParameters_HiddenSheetCLAY!$B$1:$E$1,0),FALSE))),'Control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Output'!$A$2:$E$99998,5,FALSE)="Sand",VLOOKUP(O$37,BoundParameters_HiddenSheetSAND!$B$3:$E$50,MATCH(VLOOKUP($I60,$I$5:$AJ$29,MATCH(VLOOKUP(O$37,$BH$3:$BI$50,2,FALSE),$I$4:$AJ$4,0),FALSE),BoundParameters_HiddenSheetCLAY!$B$1:$E$1,0),FALSE),IF(VLOOKUP($E60,'Table Output'!$A$2:$E$99998,5,FALSE)="Clay",VLOOKUP(O$37,BoundParameters_HiddenSheetCLAY!$B$3:$E$50,MATCH(VLOOKUP($I60,$I$5:$AJ$35,MATCH(VLOOKUP(O$37,$BH$3:$BI$50,2,FALSE),$I$4:$AJ$4,0),FALSE),BoundParameters_HiddenSheetCLAY!$B$1:$E$1,0),FALSE))),'Control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Output'!$A$2:$E$99998,5,FALSE)="Sand",VLOOKUP(P$37,BoundParameters_HiddenSheetSAND!$B$3:$E$50,MATCH(VLOOKUP($I60,$I$5:$AJ$29,MATCH(VLOOKUP(P$37,$BH$3:$BI$50,2,FALSE),$I$4:$AJ$4,0),FALSE),BoundParameters_HiddenSheetCLAY!$B$1:$E$1,0),FALSE),IF(VLOOKUP($E60,'Table Output'!$A$2:$E$99998,5,FALSE)="Clay",VLOOKUP(P$37,BoundParameters_HiddenSheetCLAY!$B$3:$E$50,MATCH(VLOOKUP($I60,$I$5:$AJ$35,MATCH(VLOOKUP(P$37,$BH$3:$BI$50,2,FALSE),$I$4:$AJ$4,0),FALSE),BoundParameters_HiddenSheetCLAY!$B$1:$E$1,0),FALSE))),'Control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Output'!$A$2:$E$99998,5,FALSE)="Sand",VLOOKUP(Q$37,BoundParameters_HiddenSheetSAND!$B$3:$E$50,MATCH(VLOOKUP($I60,$I$5:$AJ$29,MATCH(VLOOKUP(Q$37,$BH$3:$BI$50,2,FALSE),$I$4:$AJ$4,0),FALSE),BoundParameters_HiddenSheetCLAY!$B$1:$E$1,0),FALSE),IF(VLOOKUP($E60,'Table Output'!$A$2:$E$99998,5,FALSE)="Clay",VLOOKUP(Q$37,BoundParameters_HiddenSheetCLAY!$B$3:$E$50,MATCH(VLOOKUP($I60,$I$5:$AJ$35,MATCH(VLOOKUP(Q$37,$BH$3:$BI$50,2,FALSE),$I$4:$AJ$4,0),FALSE),BoundParameters_HiddenSheetCLAY!$B$1:$E$1,0),FALSE))),'Control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Output'!$A$2:$E$99998,5,FALSE)="Sand",VLOOKUP(R$37,BoundParameters_HiddenSheetSAND!$B$3:$E$50,MATCH(VLOOKUP($I60,$I$5:$AJ$29,MATCH(VLOOKUP(R$37,$BH$3:$BI$50,2,FALSE),$I$4:$AJ$4,0),FALSE),BoundParameters_HiddenSheetCLAY!$B$1:$E$1,0),FALSE),IF(VLOOKUP($E60,'Table Output'!$A$2:$E$99998,5,FALSE)="Clay",VLOOKUP(R$37,BoundParameters_HiddenSheetCLAY!$B$3:$E$50,MATCH(VLOOKUP($I60,$I$5:$AJ$35,MATCH(VLOOKUP(R$37,$BH$3:$BI$50,2,FALSE),$I$4:$AJ$4,0),FALSE),BoundParameters_HiddenSheetCLAY!$B$1:$E$1,0),FALSE))),'Control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Output'!$A$2:$E$99998,5,FALSE)="Sand",VLOOKUP(S$37,BoundParameters_HiddenSheetSAND!$B$3:$E$50,MATCH(VLOOKUP($I60,$I$5:$AJ$29,MATCH(VLOOKUP(S$37,$BH$3:$BI$50,2,FALSE),$I$4:$AJ$4,0),FALSE),BoundParameters_HiddenSheetCLAY!$B$1:$E$1,0),FALSE),IF(VLOOKUP($E60,'Table Output'!$A$2:$E$99998,5,FALSE)="Clay",VLOOKUP(S$37,BoundParameters_HiddenSheetCLAY!$B$3:$E$50,MATCH(VLOOKUP($I60,$I$5:$AJ$35,MATCH(VLOOKUP(S$37,$BH$3:$BI$50,2,FALSE),$I$4:$AJ$4,0),FALSE),BoundParameters_HiddenSheetCLAY!$B$1:$E$1,0),FALSE))),'Control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Output'!$A$2:$E$99998,5,FALSE)="Sand",VLOOKUP(J$37,BoundParameters_HiddenSheetSAND!$B$3:$E$50,MATCH(VLOOKUP($I61,$I$5:$AJ$29,MATCH(VLOOKUP(J$37,$BH$3:$BI$50,2,FALSE),$I$4:$AJ$4,0),FALSE),BoundParameters_HiddenSheetCLAY!$B$1:$E$1,0),FALSE),IF(VLOOKUP($E61,'Table Output'!$A$2:$E$99998,5,FALSE)="Clay",VLOOKUP(J$37,BoundParameters_HiddenSheetCLAY!$B$3:$E$50,MATCH(VLOOKUP($I61,$I$5:$AJ$35,MATCH(VLOOKUP(J$37,$BH$3:$BI$50,2,FALSE),$I$4:$AJ$4,0),FALSE),BoundParameters_HiddenSheetCLAY!$B$1:$E$1,0),FALSE))),'Control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Output'!$A$2:$E$99998,5,FALSE)="Sand",VLOOKUP(K$37,BoundParameters_HiddenSheetSAND!$B$3:$E$50,MATCH(VLOOKUP($I61,$I$5:$AJ$29,MATCH(VLOOKUP(K$37,$BH$3:$BI$50,2,FALSE),$I$4:$AJ$4,0),FALSE),BoundParameters_HiddenSheetCLAY!$B$1:$E$1,0),FALSE),IF(VLOOKUP($E61,'Table Output'!$A$2:$E$99998,5,FALSE)="Clay",VLOOKUP(K$37,BoundParameters_HiddenSheetCLAY!$B$3:$E$50,MATCH(VLOOKUP($I61,$I$5:$AJ$35,MATCH(VLOOKUP(K$37,$BH$3:$BI$50,2,FALSE),$I$4:$AJ$4,0),FALSE),BoundParameters_HiddenSheetCLAY!$B$1:$E$1,0),FALSE))),'Control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Output'!$A$2:$E$99998,5,FALSE)="Sand",VLOOKUP(L$37,BoundParameters_HiddenSheetSAND!$B$3:$E$50,MATCH(VLOOKUP($I61,$I$5:$AJ$29,MATCH(VLOOKUP(L$37,$BH$3:$BI$50,2,FALSE),$I$4:$AJ$4,0),FALSE),BoundParameters_HiddenSheetCLAY!$B$1:$E$1,0),FALSE),IF(VLOOKUP($E61,'Table Output'!$A$2:$E$99998,5,FALSE)="Clay",VLOOKUP(L$37,BoundParameters_HiddenSheetCLAY!$B$3:$E$50,MATCH(VLOOKUP($I61,$I$5:$AJ$35,MATCH(VLOOKUP(L$37,$BH$3:$BI$50,2,FALSE),$I$4:$AJ$4,0),FALSE),BoundParameters_HiddenSheetCLAY!$B$1:$E$1,0),FALSE))),'Control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Output'!$A$2:$E$99998,5,FALSE)="Sand",VLOOKUP(M$37,BoundParameters_HiddenSheetSAND!$B$3:$E$50,MATCH(VLOOKUP($I61,$I$5:$AJ$29,MATCH(VLOOKUP(M$37,$BH$3:$BI$50,2,FALSE),$I$4:$AJ$4,0),FALSE),BoundParameters_HiddenSheetCLAY!$B$1:$E$1,0),FALSE),IF(VLOOKUP($E61,'Table Output'!$A$2:$E$99998,5,FALSE)="Clay",VLOOKUP(M$37,BoundParameters_HiddenSheetCLAY!$B$3:$E$50,MATCH(VLOOKUP($I61,$I$5:$AJ$35,MATCH(VLOOKUP(M$37,$BH$3:$BI$50,2,FALSE),$I$4:$AJ$4,0),FALSE),BoundParameters_HiddenSheetCLAY!$B$1:$E$1,0),FALSE))),'Control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Output'!$A$2:$E$99998,5,FALSE)="Sand",VLOOKUP(N$37,BoundParameters_HiddenSheetSAND!$B$3:$E$50,MATCH(VLOOKUP($I61,$I$5:$AJ$29,MATCH(VLOOKUP(N$37,$BH$3:$BI$50,2,FALSE),$I$4:$AJ$4,0),FALSE),BoundParameters_HiddenSheetCLAY!$B$1:$E$1,0),FALSE),IF(VLOOKUP($E61,'Table Output'!$A$2:$E$99998,5,FALSE)="Clay",VLOOKUP(N$37,BoundParameters_HiddenSheetCLAY!$B$3:$E$50,MATCH(VLOOKUP($I61,$I$5:$AJ$35,MATCH(VLOOKUP(N$37,$BH$3:$BI$50,2,FALSE),$I$4:$AJ$4,0),FALSE),BoundParameters_HiddenSheetCLAY!$B$1:$E$1,0),FALSE))),'Control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Output'!$A$2:$E$99998,5,FALSE)="Sand",VLOOKUP(O$37,BoundParameters_HiddenSheetSAND!$B$3:$E$50,MATCH(VLOOKUP($I61,$I$5:$AJ$29,MATCH(VLOOKUP(O$37,$BH$3:$BI$50,2,FALSE),$I$4:$AJ$4,0),FALSE),BoundParameters_HiddenSheetCLAY!$B$1:$E$1,0),FALSE),IF(VLOOKUP($E61,'Table Output'!$A$2:$E$99998,5,FALSE)="Clay",VLOOKUP(O$37,BoundParameters_HiddenSheetCLAY!$B$3:$E$50,MATCH(VLOOKUP($I61,$I$5:$AJ$35,MATCH(VLOOKUP(O$37,$BH$3:$BI$50,2,FALSE),$I$4:$AJ$4,0),FALSE),BoundParameters_HiddenSheetCLAY!$B$1:$E$1,0),FALSE))),'Control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Output'!$A$2:$E$99998,5,FALSE)="Sand",VLOOKUP(P$37,BoundParameters_HiddenSheetSAND!$B$3:$E$50,MATCH(VLOOKUP($I61,$I$5:$AJ$29,MATCH(VLOOKUP(P$37,$BH$3:$BI$50,2,FALSE),$I$4:$AJ$4,0),FALSE),BoundParameters_HiddenSheetCLAY!$B$1:$E$1,0),FALSE),IF(VLOOKUP($E61,'Table Output'!$A$2:$E$99998,5,FALSE)="Clay",VLOOKUP(P$37,BoundParameters_HiddenSheetCLAY!$B$3:$E$50,MATCH(VLOOKUP($I61,$I$5:$AJ$35,MATCH(VLOOKUP(P$37,$BH$3:$BI$50,2,FALSE),$I$4:$AJ$4,0),FALSE),BoundParameters_HiddenSheetCLAY!$B$1:$E$1,0),FALSE))),'Control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Output'!$A$2:$E$99998,5,FALSE)="Sand",VLOOKUP(Q$37,BoundParameters_HiddenSheetSAND!$B$3:$E$50,MATCH(VLOOKUP($I61,$I$5:$AJ$29,MATCH(VLOOKUP(Q$37,$BH$3:$BI$50,2,FALSE),$I$4:$AJ$4,0),FALSE),BoundParameters_HiddenSheetCLAY!$B$1:$E$1,0),FALSE),IF(VLOOKUP($E61,'Table Output'!$A$2:$E$99998,5,FALSE)="Clay",VLOOKUP(Q$37,BoundParameters_HiddenSheetCLAY!$B$3:$E$50,MATCH(VLOOKUP($I61,$I$5:$AJ$35,MATCH(VLOOKUP(Q$37,$BH$3:$BI$50,2,FALSE),$I$4:$AJ$4,0),FALSE),BoundParameters_HiddenSheetCLAY!$B$1:$E$1,0),FALSE))),'Control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Output'!$A$2:$E$99998,5,FALSE)="Sand",VLOOKUP(R$37,BoundParameters_HiddenSheetSAND!$B$3:$E$50,MATCH(VLOOKUP($I61,$I$5:$AJ$29,MATCH(VLOOKUP(R$37,$BH$3:$BI$50,2,FALSE),$I$4:$AJ$4,0),FALSE),BoundParameters_HiddenSheetCLAY!$B$1:$E$1,0),FALSE),IF(VLOOKUP($E61,'Table Output'!$A$2:$E$99998,5,FALSE)="Clay",VLOOKUP(R$37,BoundParameters_HiddenSheetCLAY!$B$3:$E$50,MATCH(VLOOKUP($I61,$I$5:$AJ$35,MATCH(VLOOKUP(R$37,$BH$3:$BI$50,2,FALSE),$I$4:$AJ$4,0),FALSE),BoundParameters_HiddenSheetCLAY!$B$1:$E$1,0),FALSE))),'Control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Output'!$A$2:$E$99998,5,FALSE)="Sand",VLOOKUP(S$37,BoundParameters_HiddenSheetSAND!$B$3:$E$50,MATCH(VLOOKUP($I61,$I$5:$AJ$29,MATCH(VLOOKUP(S$37,$BH$3:$BI$50,2,FALSE),$I$4:$AJ$4,0),FALSE),BoundParameters_HiddenSheetCLAY!$B$1:$E$1,0),FALSE),IF(VLOOKUP($E61,'Table Output'!$A$2:$E$99998,5,FALSE)="Clay",VLOOKUP(S$37,BoundParameters_HiddenSheetCLAY!$B$3:$E$50,MATCH(VLOOKUP($I61,$I$5:$AJ$35,MATCH(VLOOKUP(S$37,$BH$3:$BI$50,2,FALSE),$I$4:$AJ$4,0),FALSE),BoundParameters_HiddenSheetCLAY!$B$1:$E$1,0),FALSE))),'Control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Output'!$A$2:$E$99998,5,FALSE)="Sand",VLOOKUP(J$37,BoundParameters_HiddenSheetSAND!$B$3:$E$50,MATCH(VLOOKUP($I62,$I$5:$AJ$29,MATCH(VLOOKUP(J$37,$BH$3:$BI$50,2,FALSE),$I$4:$AJ$4,0),FALSE),BoundParameters_HiddenSheetCLAY!$B$1:$E$1,0),FALSE),IF(VLOOKUP($E62,'Table Output'!$A$2:$E$99998,5,FALSE)="Clay",VLOOKUP(J$37,BoundParameters_HiddenSheetCLAY!$B$3:$E$50,MATCH(VLOOKUP($I62,$I$5:$AJ$35,MATCH(VLOOKUP(J$37,$BH$3:$BI$50,2,FALSE),$I$4:$AJ$4,0),FALSE),BoundParameters_HiddenSheetCLAY!$B$1:$E$1,0),FALSE))),'Control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Output'!$A$2:$E$99998,5,FALSE)="Sand",VLOOKUP(K$37,BoundParameters_HiddenSheetSAND!$B$3:$E$50,MATCH(VLOOKUP($I62,$I$5:$AJ$29,MATCH(VLOOKUP(K$37,$BH$3:$BI$50,2,FALSE),$I$4:$AJ$4,0),FALSE),BoundParameters_HiddenSheetCLAY!$B$1:$E$1,0),FALSE),IF(VLOOKUP($E62,'Table Output'!$A$2:$E$99998,5,FALSE)="Clay",VLOOKUP(K$37,BoundParameters_HiddenSheetCLAY!$B$3:$E$50,MATCH(VLOOKUP($I62,$I$5:$AJ$35,MATCH(VLOOKUP(K$37,$BH$3:$BI$50,2,FALSE),$I$4:$AJ$4,0),FALSE),BoundParameters_HiddenSheetCLAY!$B$1:$E$1,0),FALSE))),'Control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Output'!$A$2:$E$99998,5,FALSE)="Sand",VLOOKUP(L$37,BoundParameters_HiddenSheetSAND!$B$3:$E$50,MATCH(VLOOKUP($I62,$I$5:$AJ$29,MATCH(VLOOKUP(L$37,$BH$3:$BI$50,2,FALSE),$I$4:$AJ$4,0),FALSE),BoundParameters_HiddenSheetCLAY!$B$1:$E$1,0),FALSE),IF(VLOOKUP($E62,'Table Output'!$A$2:$E$99998,5,FALSE)="Clay",VLOOKUP(L$37,BoundParameters_HiddenSheetCLAY!$B$3:$E$50,MATCH(VLOOKUP($I62,$I$5:$AJ$35,MATCH(VLOOKUP(L$37,$BH$3:$BI$50,2,FALSE),$I$4:$AJ$4,0),FALSE),BoundParameters_HiddenSheetCLAY!$B$1:$E$1,0),FALSE))),'Control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Output'!$A$2:$E$99998,5,FALSE)="Sand",VLOOKUP(M$37,BoundParameters_HiddenSheetSAND!$B$3:$E$50,MATCH(VLOOKUP($I62,$I$5:$AJ$29,MATCH(VLOOKUP(M$37,$BH$3:$BI$50,2,FALSE),$I$4:$AJ$4,0),FALSE),BoundParameters_HiddenSheetCLAY!$B$1:$E$1,0),FALSE),IF(VLOOKUP($E62,'Table Output'!$A$2:$E$99998,5,FALSE)="Clay",VLOOKUP(M$37,BoundParameters_HiddenSheetCLAY!$B$3:$E$50,MATCH(VLOOKUP($I62,$I$5:$AJ$35,MATCH(VLOOKUP(M$37,$BH$3:$BI$50,2,FALSE),$I$4:$AJ$4,0),FALSE),BoundParameters_HiddenSheetCLAY!$B$1:$E$1,0),FALSE))),'Control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Output'!$A$2:$E$99998,5,FALSE)="Sand",VLOOKUP(N$37,BoundParameters_HiddenSheetSAND!$B$3:$E$50,MATCH(VLOOKUP($I62,$I$5:$AJ$29,MATCH(VLOOKUP(N$37,$BH$3:$BI$50,2,FALSE),$I$4:$AJ$4,0),FALSE),BoundParameters_HiddenSheetCLAY!$B$1:$E$1,0),FALSE),IF(VLOOKUP($E62,'Table Output'!$A$2:$E$99998,5,FALSE)="Clay",VLOOKUP(N$37,BoundParameters_HiddenSheetCLAY!$B$3:$E$50,MATCH(VLOOKUP($I62,$I$5:$AJ$35,MATCH(VLOOKUP(N$37,$BH$3:$BI$50,2,FALSE),$I$4:$AJ$4,0),FALSE),BoundParameters_HiddenSheetCLAY!$B$1:$E$1,0),FALSE))),'Control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Output'!$A$2:$E$99998,5,FALSE)="Sand",VLOOKUP(O$37,BoundParameters_HiddenSheetSAND!$B$3:$E$50,MATCH(VLOOKUP($I62,$I$5:$AJ$29,MATCH(VLOOKUP(O$37,$BH$3:$BI$50,2,FALSE),$I$4:$AJ$4,0),FALSE),BoundParameters_HiddenSheetCLAY!$B$1:$E$1,0),FALSE),IF(VLOOKUP($E62,'Table Output'!$A$2:$E$99998,5,FALSE)="Clay",VLOOKUP(O$37,BoundParameters_HiddenSheetCLAY!$B$3:$E$50,MATCH(VLOOKUP($I62,$I$5:$AJ$35,MATCH(VLOOKUP(O$37,$BH$3:$BI$50,2,FALSE),$I$4:$AJ$4,0),FALSE),BoundParameters_HiddenSheetCLAY!$B$1:$E$1,0),FALSE))),'Control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Output'!$A$2:$E$99998,5,FALSE)="Sand",VLOOKUP(P$37,BoundParameters_HiddenSheetSAND!$B$3:$E$50,MATCH(VLOOKUP($I62,$I$5:$AJ$29,MATCH(VLOOKUP(P$37,$BH$3:$BI$50,2,FALSE),$I$4:$AJ$4,0),FALSE),BoundParameters_HiddenSheetCLAY!$B$1:$E$1,0),FALSE),IF(VLOOKUP($E62,'Table Output'!$A$2:$E$99998,5,FALSE)="Clay",VLOOKUP(P$37,BoundParameters_HiddenSheetCLAY!$B$3:$E$50,MATCH(VLOOKUP($I62,$I$5:$AJ$35,MATCH(VLOOKUP(P$37,$BH$3:$BI$50,2,FALSE),$I$4:$AJ$4,0),FALSE),BoundParameters_HiddenSheetCLAY!$B$1:$E$1,0),FALSE))),'Control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Output'!$A$2:$E$99998,5,FALSE)="Sand",VLOOKUP(Q$37,BoundParameters_HiddenSheetSAND!$B$3:$E$50,MATCH(VLOOKUP($I62,$I$5:$AJ$29,MATCH(VLOOKUP(Q$37,$BH$3:$BI$50,2,FALSE),$I$4:$AJ$4,0),FALSE),BoundParameters_HiddenSheetCLAY!$B$1:$E$1,0),FALSE),IF(VLOOKUP($E62,'Table Output'!$A$2:$E$99998,5,FALSE)="Clay",VLOOKUP(Q$37,BoundParameters_HiddenSheetCLAY!$B$3:$E$50,MATCH(VLOOKUP($I62,$I$5:$AJ$35,MATCH(VLOOKUP(Q$37,$BH$3:$BI$50,2,FALSE),$I$4:$AJ$4,0),FALSE),BoundParameters_HiddenSheetCLAY!$B$1:$E$1,0),FALSE))),'Control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Output'!$A$2:$E$99998,5,FALSE)="Sand",VLOOKUP(R$37,BoundParameters_HiddenSheetSAND!$B$3:$E$50,MATCH(VLOOKUP($I62,$I$5:$AJ$29,MATCH(VLOOKUP(R$37,$BH$3:$BI$50,2,FALSE),$I$4:$AJ$4,0),FALSE),BoundParameters_HiddenSheetCLAY!$B$1:$E$1,0),FALSE),IF(VLOOKUP($E62,'Table Output'!$A$2:$E$99998,5,FALSE)="Clay",VLOOKUP(R$37,BoundParameters_HiddenSheetCLAY!$B$3:$E$50,MATCH(VLOOKUP($I62,$I$5:$AJ$35,MATCH(VLOOKUP(R$37,$BH$3:$BI$50,2,FALSE),$I$4:$AJ$4,0),FALSE),BoundParameters_HiddenSheetCLAY!$B$1:$E$1,0),FALSE))),'Control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Output'!$A$2:$E$99998,5,FALSE)="Sand",VLOOKUP(S$37,BoundParameters_HiddenSheetSAND!$B$3:$E$50,MATCH(VLOOKUP($I62,$I$5:$AJ$29,MATCH(VLOOKUP(S$37,$BH$3:$BI$50,2,FALSE),$I$4:$AJ$4,0),FALSE),BoundParameters_HiddenSheetCLAY!$B$1:$E$1,0),FALSE),IF(VLOOKUP($E62,'Table Output'!$A$2:$E$99998,5,FALSE)="Clay",VLOOKUP(S$37,BoundParameters_HiddenSheetCLAY!$B$3:$E$50,MATCH(VLOOKUP($I62,$I$5:$AJ$35,MATCH(VLOOKUP(S$37,$BH$3:$BI$50,2,FALSE),$I$4:$AJ$4,0),FALSE),BoundParameters_HiddenSheetCLAY!$B$1:$E$1,0),FALSE))),'Control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Output'!$A$2:$E$99998,5,FALSE)="Sand",VLOOKUP(J$37,BoundParameters_HiddenSheetSAND!$B$3:$E$50,MATCH(VLOOKUP($I63,$I$5:$AJ$29,MATCH(VLOOKUP(J$37,$BH$3:$BI$50,2,FALSE),$I$4:$AJ$4,0),FALSE),BoundParameters_HiddenSheetCLAY!$B$1:$E$1,0),FALSE),IF(VLOOKUP($E63,'Table Output'!$A$2:$E$99998,5,FALSE)="Clay",VLOOKUP(J$37,BoundParameters_HiddenSheetCLAY!$B$3:$E$50,MATCH(VLOOKUP($I63,$I$5:$AJ$35,MATCH(VLOOKUP(J$37,$BH$3:$BI$50,2,FALSE),$I$4:$AJ$4,0),FALSE),BoundParameters_HiddenSheetCLAY!$B$1:$E$1,0),FALSE))),'Control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Output'!$A$2:$E$99998,5,FALSE)="Sand",VLOOKUP(K$37,BoundParameters_HiddenSheetSAND!$B$3:$E$50,MATCH(VLOOKUP($I63,$I$5:$AJ$29,MATCH(VLOOKUP(K$37,$BH$3:$BI$50,2,FALSE),$I$4:$AJ$4,0),FALSE),BoundParameters_HiddenSheetCLAY!$B$1:$E$1,0),FALSE),IF(VLOOKUP($E63,'Table Output'!$A$2:$E$99998,5,FALSE)="Clay",VLOOKUP(K$37,BoundParameters_HiddenSheetCLAY!$B$3:$E$50,MATCH(VLOOKUP($I63,$I$5:$AJ$35,MATCH(VLOOKUP(K$37,$BH$3:$BI$50,2,FALSE),$I$4:$AJ$4,0),FALSE),BoundParameters_HiddenSheetCLAY!$B$1:$E$1,0),FALSE))),'Control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Output'!$A$2:$E$99998,5,FALSE)="Sand",VLOOKUP(L$37,BoundParameters_HiddenSheetSAND!$B$3:$E$50,MATCH(VLOOKUP($I63,$I$5:$AJ$29,MATCH(VLOOKUP(L$37,$BH$3:$BI$50,2,FALSE),$I$4:$AJ$4,0),FALSE),BoundParameters_HiddenSheetCLAY!$B$1:$E$1,0),FALSE),IF(VLOOKUP($E63,'Table Output'!$A$2:$E$99998,5,FALSE)="Clay",VLOOKUP(L$37,BoundParameters_HiddenSheetCLAY!$B$3:$E$50,MATCH(VLOOKUP($I63,$I$5:$AJ$35,MATCH(VLOOKUP(L$37,$BH$3:$BI$50,2,FALSE),$I$4:$AJ$4,0),FALSE),BoundParameters_HiddenSheetCLAY!$B$1:$E$1,0),FALSE))),'Control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Output'!$A$2:$E$99998,5,FALSE)="Sand",VLOOKUP(M$37,BoundParameters_HiddenSheetSAND!$B$3:$E$50,MATCH(VLOOKUP($I63,$I$5:$AJ$29,MATCH(VLOOKUP(M$37,$BH$3:$BI$50,2,FALSE),$I$4:$AJ$4,0),FALSE),BoundParameters_HiddenSheetCLAY!$B$1:$E$1,0),FALSE),IF(VLOOKUP($E63,'Table Output'!$A$2:$E$99998,5,FALSE)="Clay",VLOOKUP(M$37,BoundParameters_HiddenSheetCLAY!$B$3:$E$50,MATCH(VLOOKUP($I63,$I$5:$AJ$35,MATCH(VLOOKUP(M$37,$BH$3:$BI$50,2,FALSE),$I$4:$AJ$4,0),FALSE),BoundParameters_HiddenSheetCLAY!$B$1:$E$1,0),FALSE))),'Control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Output'!$A$2:$E$99998,5,FALSE)="Sand",VLOOKUP(N$37,BoundParameters_HiddenSheetSAND!$B$3:$E$50,MATCH(VLOOKUP($I63,$I$5:$AJ$29,MATCH(VLOOKUP(N$37,$BH$3:$BI$50,2,FALSE),$I$4:$AJ$4,0),FALSE),BoundParameters_HiddenSheetCLAY!$B$1:$E$1,0),FALSE),IF(VLOOKUP($E63,'Table Output'!$A$2:$E$99998,5,FALSE)="Clay",VLOOKUP(N$37,BoundParameters_HiddenSheetCLAY!$B$3:$E$50,MATCH(VLOOKUP($I63,$I$5:$AJ$35,MATCH(VLOOKUP(N$37,$BH$3:$BI$50,2,FALSE),$I$4:$AJ$4,0),FALSE),BoundParameters_HiddenSheetCLAY!$B$1:$E$1,0),FALSE))),'Control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Output'!$A$2:$E$99998,5,FALSE)="Sand",VLOOKUP(O$37,BoundParameters_HiddenSheetSAND!$B$3:$E$50,MATCH(VLOOKUP($I63,$I$5:$AJ$29,MATCH(VLOOKUP(O$37,$BH$3:$BI$50,2,FALSE),$I$4:$AJ$4,0),FALSE),BoundParameters_HiddenSheetCLAY!$B$1:$E$1,0),FALSE),IF(VLOOKUP($E63,'Table Output'!$A$2:$E$99998,5,FALSE)="Clay",VLOOKUP(O$37,BoundParameters_HiddenSheetCLAY!$B$3:$E$50,MATCH(VLOOKUP($I63,$I$5:$AJ$35,MATCH(VLOOKUP(O$37,$BH$3:$BI$50,2,FALSE),$I$4:$AJ$4,0),FALSE),BoundParameters_HiddenSheetCLAY!$B$1:$E$1,0),FALSE))),'Control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Output'!$A$2:$E$99998,5,FALSE)="Sand",VLOOKUP(P$37,BoundParameters_HiddenSheetSAND!$B$3:$E$50,MATCH(VLOOKUP($I63,$I$5:$AJ$29,MATCH(VLOOKUP(P$37,$BH$3:$BI$50,2,FALSE),$I$4:$AJ$4,0),FALSE),BoundParameters_HiddenSheetCLAY!$B$1:$E$1,0),FALSE),IF(VLOOKUP($E63,'Table Output'!$A$2:$E$99998,5,FALSE)="Clay",VLOOKUP(P$37,BoundParameters_HiddenSheetCLAY!$B$3:$E$50,MATCH(VLOOKUP($I63,$I$5:$AJ$35,MATCH(VLOOKUP(P$37,$BH$3:$BI$50,2,FALSE),$I$4:$AJ$4,0),FALSE),BoundParameters_HiddenSheetCLAY!$B$1:$E$1,0),FALSE))),'Control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Output'!$A$2:$E$99998,5,FALSE)="Sand",VLOOKUP(Q$37,BoundParameters_HiddenSheetSAND!$B$3:$E$50,MATCH(VLOOKUP($I63,$I$5:$AJ$29,MATCH(VLOOKUP(Q$37,$BH$3:$BI$50,2,FALSE),$I$4:$AJ$4,0),FALSE),BoundParameters_HiddenSheetCLAY!$B$1:$E$1,0),FALSE),IF(VLOOKUP($E63,'Table Output'!$A$2:$E$99998,5,FALSE)="Clay",VLOOKUP(Q$37,BoundParameters_HiddenSheetCLAY!$B$3:$E$50,MATCH(VLOOKUP($I63,$I$5:$AJ$35,MATCH(VLOOKUP(Q$37,$BH$3:$BI$50,2,FALSE),$I$4:$AJ$4,0),FALSE),BoundParameters_HiddenSheetCLAY!$B$1:$E$1,0),FALSE))),'Control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Output'!$A$2:$E$99998,5,FALSE)="Sand",VLOOKUP(R$37,BoundParameters_HiddenSheetSAND!$B$3:$E$50,MATCH(VLOOKUP($I63,$I$5:$AJ$29,MATCH(VLOOKUP(R$37,$BH$3:$BI$50,2,FALSE),$I$4:$AJ$4,0),FALSE),BoundParameters_HiddenSheetCLAY!$B$1:$E$1,0),FALSE),IF(VLOOKUP($E63,'Table Output'!$A$2:$E$99998,5,FALSE)="Clay",VLOOKUP(R$37,BoundParameters_HiddenSheetCLAY!$B$3:$E$50,MATCH(VLOOKUP($I63,$I$5:$AJ$35,MATCH(VLOOKUP(R$37,$BH$3:$BI$50,2,FALSE),$I$4:$AJ$4,0),FALSE),BoundParameters_HiddenSheetCLAY!$B$1:$E$1,0),FALSE))),'Control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Output'!$A$2:$E$99998,5,FALSE)="Sand",VLOOKUP(S$37,BoundParameters_HiddenSheetSAND!$B$3:$E$50,MATCH(VLOOKUP($I63,$I$5:$AJ$29,MATCH(VLOOKUP(S$37,$BH$3:$BI$50,2,FALSE),$I$4:$AJ$4,0),FALSE),BoundParameters_HiddenSheetCLAY!$B$1:$E$1,0),FALSE),IF(VLOOKUP($E63,'Table Output'!$A$2:$E$99998,5,FALSE)="Clay",VLOOKUP(S$37,BoundParameters_HiddenSheetCLAY!$B$3:$E$50,MATCH(VLOOKUP($I63,$I$5:$AJ$35,MATCH(VLOOKUP(S$37,$BH$3:$BI$50,2,FALSE),$I$4:$AJ$4,0),FALSE),BoundParameters_HiddenSheetCLAY!$B$1:$E$1,0),FALSE))),'Control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Output'!$A$2:$E$99998,5,FALSE)="Sand",VLOOKUP(J$37,BoundParameters_HiddenSheetSAND!$B$3:$E$50,MATCH(VLOOKUP($I64,$I$5:$AJ$29,MATCH(VLOOKUP(J$37,$BH$3:$BI$50,2,FALSE),$I$4:$AJ$4,0),FALSE),BoundParameters_HiddenSheetCLAY!$B$1:$E$1,0),FALSE),IF(VLOOKUP($E64,'Table Output'!$A$2:$E$99998,5,FALSE)="Clay",VLOOKUP(J$37,BoundParameters_HiddenSheetCLAY!$B$3:$E$50,MATCH(VLOOKUP($I64,$I$5:$AJ$35,MATCH(VLOOKUP(J$37,$BH$3:$BI$50,2,FALSE),$I$4:$AJ$4,0),FALSE),BoundParameters_HiddenSheetCLAY!$B$1:$E$1,0),FALSE))),'Control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Output'!$A$2:$E$99998,5,FALSE)="Sand",VLOOKUP(K$37,BoundParameters_HiddenSheetSAND!$B$3:$E$50,MATCH(VLOOKUP($I64,$I$5:$AJ$29,MATCH(VLOOKUP(K$37,$BH$3:$BI$50,2,FALSE),$I$4:$AJ$4,0),FALSE),BoundParameters_HiddenSheetCLAY!$B$1:$E$1,0),FALSE),IF(VLOOKUP($E64,'Table Output'!$A$2:$E$99998,5,FALSE)="Clay",VLOOKUP(K$37,BoundParameters_HiddenSheetCLAY!$B$3:$E$50,MATCH(VLOOKUP($I64,$I$5:$AJ$35,MATCH(VLOOKUP(K$37,$BH$3:$BI$50,2,FALSE),$I$4:$AJ$4,0),FALSE),BoundParameters_HiddenSheetCLAY!$B$1:$E$1,0),FALSE))),'Control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Output'!$A$2:$E$99998,5,FALSE)="Sand",VLOOKUP(L$37,BoundParameters_HiddenSheetSAND!$B$3:$E$50,MATCH(VLOOKUP($I64,$I$5:$AJ$29,MATCH(VLOOKUP(L$37,$BH$3:$BI$50,2,FALSE),$I$4:$AJ$4,0),FALSE),BoundParameters_HiddenSheetCLAY!$B$1:$E$1,0),FALSE),IF(VLOOKUP($E64,'Table Output'!$A$2:$E$99998,5,FALSE)="Clay",VLOOKUP(L$37,BoundParameters_HiddenSheetCLAY!$B$3:$E$50,MATCH(VLOOKUP($I64,$I$5:$AJ$35,MATCH(VLOOKUP(L$37,$BH$3:$BI$50,2,FALSE),$I$4:$AJ$4,0),FALSE),BoundParameters_HiddenSheetCLAY!$B$1:$E$1,0),FALSE))),'Control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Output'!$A$2:$E$99998,5,FALSE)="Sand",VLOOKUP(M$37,BoundParameters_HiddenSheetSAND!$B$3:$E$50,MATCH(VLOOKUP($I64,$I$5:$AJ$29,MATCH(VLOOKUP(M$37,$BH$3:$BI$50,2,FALSE),$I$4:$AJ$4,0),FALSE),BoundParameters_HiddenSheetCLAY!$B$1:$E$1,0),FALSE),IF(VLOOKUP($E64,'Table Output'!$A$2:$E$99998,5,FALSE)="Clay",VLOOKUP(M$37,BoundParameters_HiddenSheetCLAY!$B$3:$E$50,MATCH(VLOOKUP($I64,$I$5:$AJ$35,MATCH(VLOOKUP(M$37,$BH$3:$BI$50,2,FALSE),$I$4:$AJ$4,0),FALSE),BoundParameters_HiddenSheetCLAY!$B$1:$E$1,0),FALSE))),'Control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Output'!$A$2:$E$99998,5,FALSE)="Sand",VLOOKUP(N$37,BoundParameters_HiddenSheetSAND!$B$3:$E$50,MATCH(VLOOKUP($I64,$I$5:$AJ$29,MATCH(VLOOKUP(N$37,$BH$3:$BI$50,2,FALSE),$I$4:$AJ$4,0),FALSE),BoundParameters_HiddenSheetCLAY!$B$1:$E$1,0),FALSE),IF(VLOOKUP($E64,'Table Output'!$A$2:$E$99998,5,FALSE)="Clay",VLOOKUP(N$37,BoundParameters_HiddenSheetCLAY!$B$3:$E$50,MATCH(VLOOKUP($I64,$I$5:$AJ$35,MATCH(VLOOKUP(N$37,$BH$3:$BI$50,2,FALSE),$I$4:$AJ$4,0),FALSE),BoundParameters_HiddenSheetCLAY!$B$1:$E$1,0),FALSE))),'Control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Output'!$A$2:$E$99998,5,FALSE)="Sand",VLOOKUP(O$37,BoundParameters_HiddenSheetSAND!$B$3:$E$50,MATCH(VLOOKUP($I64,$I$5:$AJ$29,MATCH(VLOOKUP(O$37,$BH$3:$BI$50,2,FALSE),$I$4:$AJ$4,0),FALSE),BoundParameters_HiddenSheetCLAY!$B$1:$E$1,0),FALSE),IF(VLOOKUP($E64,'Table Output'!$A$2:$E$99998,5,FALSE)="Clay",VLOOKUP(O$37,BoundParameters_HiddenSheetCLAY!$B$3:$E$50,MATCH(VLOOKUP($I64,$I$5:$AJ$35,MATCH(VLOOKUP(O$37,$BH$3:$BI$50,2,FALSE),$I$4:$AJ$4,0),FALSE),BoundParameters_HiddenSheetCLAY!$B$1:$E$1,0),FALSE))),'Control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Output'!$A$2:$E$99998,5,FALSE)="Sand",VLOOKUP(P$37,BoundParameters_HiddenSheetSAND!$B$3:$E$50,MATCH(VLOOKUP($I64,$I$5:$AJ$29,MATCH(VLOOKUP(P$37,$BH$3:$BI$50,2,FALSE),$I$4:$AJ$4,0),FALSE),BoundParameters_HiddenSheetCLAY!$B$1:$E$1,0),FALSE),IF(VLOOKUP($E64,'Table Output'!$A$2:$E$99998,5,FALSE)="Clay",VLOOKUP(P$37,BoundParameters_HiddenSheetCLAY!$B$3:$E$50,MATCH(VLOOKUP($I64,$I$5:$AJ$35,MATCH(VLOOKUP(P$37,$BH$3:$BI$50,2,FALSE),$I$4:$AJ$4,0),FALSE),BoundParameters_HiddenSheetCLAY!$B$1:$E$1,0),FALSE))),'Control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Output'!$A$2:$E$99998,5,FALSE)="Sand",VLOOKUP(Q$37,BoundParameters_HiddenSheetSAND!$B$3:$E$50,MATCH(VLOOKUP($I64,$I$5:$AJ$29,MATCH(VLOOKUP(Q$37,$BH$3:$BI$50,2,FALSE),$I$4:$AJ$4,0),FALSE),BoundParameters_HiddenSheetCLAY!$B$1:$E$1,0),FALSE),IF(VLOOKUP($E64,'Table Output'!$A$2:$E$99998,5,FALSE)="Clay",VLOOKUP(Q$37,BoundParameters_HiddenSheetCLAY!$B$3:$E$50,MATCH(VLOOKUP($I64,$I$5:$AJ$35,MATCH(VLOOKUP(Q$37,$BH$3:$BI$50,2,FALSE),$I$4:$AJ$4,0),FALSE),BoundParameters_HiddenSheetCLAY!$B$1:$E$1,0),FALSE))),'Control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Output'!$A$2:$E$99998,5,FALSE)="Sand",VLOOKUP(R$37,BoundParameters_HiddenSheetSAND!$B$3:$E$50,MATCH(VLOOKUP($I64,$I$5:$AJ$29,MATCH(VLOOKUP(R$37,$BH$3:$BI$50,2,FALSE),$I$4:$AJ$4,0),FALSE),BoundParameters_HiddenSheetCLAY!$B$1:$E$1,0),FALSE),IF(VLOOKUP($E64,'Table Output'!$A$2:$E$99998,5,FALSE)="Clay",VLOOKUP(R$37,BoundParameters_HiddenSheetCLAY!$B$3:$E$50,MATCH(VLOOKUP($I64,$I$5:$AJ$35,MATCH(VLOOKUP(R$37,$BH$3:$BI$50,2,FALSE),$I$4:$AJ$4,0),FALSE),BoundParameters_HiddenSheetCLAY!$B$1:$E$1,0),FALSE))),'Control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Output'!$A$2:$E$99998,5,FALSE)="Sand",VLOOKUP(S$37,BoundParameters_HiddenSheetSAND!$B$3:$E$50,MATCH(VLOOKUP($I64,$I$5:$AJ$29,MATCH(VLOOKUP(S$37,$BH$3:$BI$50,2,FALSE),$I$4:$AJ$4,0),FALSE),BoundParameters_HiddenSheetCLAY!$B$1:$E$1,0),FALSE),IF(VLOOKUP($E64,'Table Output'!$A$2:$E$99998,5,FALSE)="Clay",VLOOKUP(S$37,BoundParameters_HiddenSheetCLAY!$B$3:$E$50,MATCH(VLOOKUP($I64,$I$5:$AJ$35,MATCH(VLOOKUP(S$37,$BH$3:$BI$50,2,FALSE),$I$4:$AJ$4,0),FALSE),BoundParameters_HiddenSheetCLAY!$B$1:$E$1,0),FALSE))),'Control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Output'!$A$2:$E$99998,5,FALSE)="Sand",VLOOKUP(J$37,BoundParameters_HiddenSheetSAND!$B$3:$E$50,MATCH(VLOOKUP($I65,$I$5:$AJ$29,MATCH(VLOOKUP(J$37,$BH$3:$BI$50,2,FALSE),$I$4:$AJ$4,0),FALSE),BoundParameters_HiddenSheetCLAY!$B$1:$E$1,0),FALSE),IF(VLOOKUP($E65,'Table Output'!$A$2:$E$99998,5,FALSE)="Clay",VLOOKUP(J$37,BoundParameters_HiddenSheetCLAY!$B$3:$E$50,MATCH(VLOOKUP($I65,$I$5:$AJ$35,MATCH(VLOOKUP(J$37,$BH$3:$BI$50,2,FALSE),$I$4:$AJ$4,0),FALSE),BoundParameters_HiddenSheetCLAY!$B$1:$E$1,0),FALSE))),'Control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Output'!$A$2:$E$99998,5,FALSE)="Sand",VLOOKUP(K$37,BoundParameters_HiddenSheetSAND!$B$3:$E$50,MATCH(VLOOKUP($I65,$I$5:$AJ$29,MATCH(VLOOKUP(K$37,$BH$3:$BI$50,2,FALSE),$I$4:$AJ$4,0),FALSE),BoundParameters_HiddenSheetCLAY!$B$1:$E$1,0),FALSE),IF(VLOOKUP($E65,'Table Output'!$A$2:$E$99998,5,FALSE)="Clay",VLOOKUP(K$37,BoundParameters_HiddenSheetCLAY!$B$3:$E$50,MATCH(VLOOKUP($I65,$I$5:$AJ$35,MATCH(VLOOKUP(K$37,$BH$3:$BI$50,2,FALSE),$I$4:$AJ$4,0),FALSE),BoundParameters_HiddenSheetCLAY!$B$1:$E$1,0),FALSE))),'Control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Output'!$A$2:$E$99998,5,FALSE)="Sand",VLOOKUP(L$37,BoundParameters_HiddenSheetSAND!$B$3:$E$50,MATCH(VLOOKUP($I65,$I$5:$AJ$29,MATCH(VLOOKUP(L$37,$BH$3:$BI$50,2,FALSE),$I$4:$AJ$4,0),FALSE),BoundParameters_HiddenSheetCLAY!$B$1:$E$1,0),FALSE),IF(VLOOKUP($E65,'Table Output'!$A$2:$E$99998,5,FALSE)="Clay",VLOOKUP(L$37,BoundParameters_HiddenSheetCLAY!$B$3:$E$50,MATCH(VLOOKUP($I65,$I$5:$AJ$35,MATCH(VLOOKUP(L$37,$BH$3:$BI$50,2,FALSE),$I$4:$AJ$4,0),FALSE),BoundParameters_HiddenSheetCLAY!$B$1:$E$1,0),FALSE))),'Control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Output'!$A$2:$E$99998,5,FALSE)="Sand",VLOOKUP(M$37,BoundParameters_HiddenSheetSAND!$B$3:$E$50,MATCH(VLOOKUP($I65,$I$5:$AJ$29,MATCH(VLOOKUP(M$37,$BH$3:$BI$50,2,FALSE),$I$4:$AJ$4,0),FALSE),BoundParameters_HiddenSheetCLAY!$B$1:$E$1,0),FALSE),IF(VLOOKUP($E65,'Table Output'!$A$2:$E$99998,5,FALSE)="Clay",VLOOKUP(M$37,BoundParameters_HiddenSheetCLAY!$B$3:$E$50,MATCH(VLOOKUP($I65,$I$5:$AJ$35,MATCH(VLOOKUP(M$37,$BH$3:$BI$50,2,FALSE),$I$4:$AJ$4,0),FALSE),BoundParameters_HiddenSheetCLAY!$B$1:$E$1,0),FALSE))),'Control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Output'!$A$2:$E$99998,5,FALSE)="Sand",VLOOKUP(N$37,BoundParameters_HiddenSheetSAND!$B$3:$E$50,MATCH(VLOOKUP($I65,$I$5:$AJ$29,MATCH(VLOOKUP(N$37,$BH$3:$BI$50,2,FALSE),$I$4:$AJ$4,0),FALSE),BoundParameters_HiddenSheetCLAY!$B$1:$E$1,0),FALSE),IF(VLOOKUP($E65,'Table Output'!$A$2:$E$99998,5,FALSE)="Clay",VLOOKUP(N$37,BoundParameters_HiddenSheetCLAY!$B$3:$E$50,MATCH(VLOOKUP($I65,$I$5:$AJ$35,MATCH(VLOOKUP(N$37,$BH$3:$BI$50,2,FALSE),$I$4:$AJ$4,0),FALSE),BoundParameters_HiddenSheetCLAY!$B$1:$E$1,0),FALSE))),'Control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Output'!$A$2:$E$99998,5,FALSE)="Sand",VLOOKUP(O$37,BoundParameters_HiddenSheetSAND!$B$3:$E$50,MATCH(VLOOKUP($I65,$I$5:$AJ$29,MATCH(VLOOKUP(O$37,$BH$3:$BI$50,2,FALSE),$I$4:$AJ$4,0),FALSE),BoundParameters_HiddenSheetCLAY!$B$1:$E$1,0),FALSE),IF(VLOOKUP($E65,'Table Output'!$A$2:$E$99998,5,FALSE)="Clay",VLOOKUP(O$37,BoundParameters_HiddenSheetCLAY!$B$3:$E$50,MATCH(VLOOKUP($I65,$I$5:$AJ$35,MATCH(VLOOKUP(O$37,$BH$3:$BI$50,2,FALSE),$I$4:$AJ$4,0),FALSE),BoundParameters_HiddenSheetCLAY!$B$1:$E$1,0),FALSE))),'Control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Output'!$A$2:$E$99998,5,FALSE)="Sand",VLOOKUP(P$37,BoundParameters_HiddenSheetSAND!$B$3:$E$50,MATCH(VLOOKUP($I65,$I$5:$AJ$29,MATCH(VLOOKUP(P$37,$BH$3:$BI$50,2,FALSE),$I$4:$AJ$4,0),FALSE),BoundParameters_HiddenSheetCLAY!$B$1:$E$1,0),FALSE),IF(VLOOKUP($E65,'Table Output'!$A$2:$E$99998,5,FALSE)="Clay",VLOOKUP(P$37,BoundParameters_HiddenSheetCLAY!$B$3:$E$50,MATCH(VLOOKUP($I65,$I$5:$AJ$35,MATCH(VLOOKUP(P$37,$BH$3:$BI$50,2,FALSE),$I$4:$AJ$4,0),FALSE),BoundParameters_HiddenSheetCLAY!$B$1:$E$1,0),FALSE))),'Control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Output'!$A$2:$E$99998,5,FALSE)="Sand",VLOOKUP(Q$37,BoundParameters_HiddenSheetSAND!$B$3:$E$50,MATCH(VLOOKUP($I65,$I$5:$AJ$29,MATCH(VLOOKUP(Q$37,$BH$3:$BI$50,2,FALSE),$I$4:$AJ$4,0),FALSE),BoundParameters_HiddenSheetCLAY!$B$1:$E$1,0),FALSE),IF(VLOOKUP($E65,'Table Output'!$A$2:$E$99998,5,FALSE)="Clay",VLOOKUP(Q$37,BoundParameters_HiddenSheetCLAY!$B$3:$E$50,MATCH(VLOOKUP($I65,$I$5:$AJ$35,MATCH(VLOOKUP(Q$37,$BH$3:$BI$50,2,FALSE),$I$4:$AJ$4,0),FALSE),BoundParameters_HiddenSheetCLAY!$B$1:$E$1,0),FALSE))),'Control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Output'!$A$2:$E$99998,5,FALSE)="Sand",VLOOKUP(R$37,BoundParameters_HiddenSheetSAND!$B$3:$E$50,MATCH(VLOOKUP($I65,$I$5:$AJ$29,MATCH(VLOOKUP(R$37,$BH$3:$BI$50,2,FALSE),$I$4:$AJ$4,0),FALSE),BoundParameters_HiddenSheetCLAY!$B$1:$E$1,0),FALSE),IF(VLOOKUP($E65,'Table Output'!$A$2:$E$99998,5,FALSE)="Clay",VLOOKUP(R$37,BoundParameters_HiddenSheetCLAY!$B$3:$E$50,MATCH(VLOOKUP($I65,$I$5:$AJ$35,MATCH(VLOOKUP(R$37,$BH$3:$BI$50,2,FALSE),$I$4:$AJ$4,0),FALSE),BoundParameters_HiddenSheetCLAY!$B$1:$E$1,0),FALSE))),'Control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Output'!$A$2:$E$99998,5,FALSE)="Sand",VLOOKUP(S$37,BoundParameters_HiddenSheetSAND!$B$3:$E$50,MATCH(VLOOKUP($I65,$I$5:$AJ$29,MATCH(VLOOKUP(S$37,$BH$3:$BI$50,2,FALSE),$I$4:$AJ$4,0),FALSE),BoundParameters_HiddenSheetCLAY!$B$1:$E$1,0),FALSE),IF(VLOOKUP($E65,'Table Output'!$A$2:$E$99998,5,FALSE)="Clay",VLOOKUP(S$37,BoundParameters_HiddenSheetCLAY!$B$3:$E$50,MATCH(VLOOKUP($I65,$I$5:$AJ$35,MATCH(VLOOKUP(S$37,$BH$3:$BI$50,2,FALSE),$I$4:$AJ$4,0),FALSE),BoundParameters_HiddenSheetCLAY!$B$1:$E$1,0),FALSE))),'Control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Output'!$A$2:$E$99998,5,FALSE)="Sand",VLOOKUP(J$37,BoundParameters_HiddenSheetSAND!$B$3:$E$50,MATCH(VLOOKUP($I66,$I$5:$AJ$29,MATCH(VLOOKUP(J$37,$BH$3:$BI$50,2,FALSE),$I$4:$AJ$4,0),FALSE),BoundParameters_HiddenSheetCLAY!$B$1:$E$1,0),FALSE),IF(VLOOKUP($E66,'Table Output'!$A$2:$E$99998,5,FALSE)="Clay",VLOOKUP(J$37,BoundParameters_HiddenSheetCLAY!$B$3:$E$50,MATCH(VLOOKUP($I66,$I$5:$AJ$35,MATCH(VLOOKUP(J$37,$BH$3:$BI$50,2,FALSE),$I$4:$AJ$4,0),FALSE),BoundParameters_HiddenSheetCLAY!$B$1:$E$1,0),FALSE))),'Control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Output'!$A$2:$E$99998,5,FALSE)="Sand",VLOOKUP(K$37,BoundParameters_HiddenSheetSAND!$B$3:$E$50,MATCH(VLOOKUP($I66,$I$5:$AJ$29,MATCH(VLOOKUP(K$37,$BH$3:$BI$50,2,FALSE),$I$4:$AJ$4,0),FALSE),BoundParameters_HiddenSheetCLAY!$B$1:$E$1,0),FALSE),IF(VLOOKUP($E66,'Table Output'!$A$2:$E$99998,5,FALSE)="Clay",VLOOKUP(K$37,BoundParameters_HiddenSheetCLAY!$B$3:$E$50,MATCH(VLOOKUP($I66,$I$5:$AJ$35,MATCH(VLOOKUP(K$37,$BH$3:$BI$50,2,FALSE),$I$4:$AJ$4,0),FALSE),BoundParameters_HiddenSheetCLAY!$B$1:$E$1,0),FALSE))),'Control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Output'!$A$2:$E$99998,5,FALSE)="Sand",VLOOKUP(L$37,BoundParameters_HiddenSheetSAND!$B$3:$E$50,MATCH(VLOOKUP($I66,$I$5:$AJ$29,MATCH(VLOOKUP(L$37,$BH$3:$BI$50,2,FALSE),$I$4:$AJ$4,0),FALSE),BoundParameters_HiddenSheetCLAY!$B$1:$E$1,0),FALSE),IF(VLOOKUP($E66,'Table Output'!$A$2:$E$99998,5,FALSE)="Clay",VLOOKUP(L$37,BoundParameters_HiddenSheetCLAY!$B$3:$E$50,MATCH(VLOOKUP($I66,$I$5:$AJ$35,MATCH(VLOOKUP(L$37,$BH$3:$BI$50,2,FALSE),$I$4:$AJ$4,0),FALSE),BoundParameters_HiddenSheetCLAY!$B$1:$E$1,0),FALSE))),'Control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Output'!$A$2:$E$99998,5,FALSE)="Sand",VLOOKUP(M$37,BoundParameters_HiddenSheetSAND!$B$3:$E$50,MATCH(VLOOKUP($I66,$I$5:$AJ$29,MATCH(VLOOKUP(M$37,$BH$3:$BI$50,2,FALSE),$I$4:$AJ$4,0),FALSE),BoundParameters_HiddenSheetCLAY!$B$1:$E$1,0),FALSE),IF(VLOOKUP($E66,'Table Output'!$A$2:$E$99998,5,FALSE)="Clay",VLOOKUP(M$37,BoundParameters_HiddenSheetCLAY!$B$3:$E$50,MATCH(VLOOKUP($I66,$I$5:$AJ$35,MATCH(VLOOKUP(M$37,$BH$3:$BI$50,2,FALSE),$I$4:$AJ$4,0),FALSE),BoundParameters_HiddenSheetCLAY!$B$1:$E$1,0),FALSE))),'Control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Output'!$A$2:$E$99998,5,FALSE)="Sand",VLOOKUP(N$37,BoundParameters_HiddenSheetSAND!$B$3:$E$50,MATCH(VLOOKUP($I66,$I$5:$AJ$29,MATCH(VLOOKUP(N$37,$BH$3:$BI$50,2,FALSE),$I$4:$AJ$4,0),FALSE),BoundParameters_HiddenSheetCLAY!$B$1:$E$1,0),FALSE),IF(VLOOKUP($E66,'Table Output'!$A$2:$E$99998,5,FALSE)="Clay",VLOOKUP(N$37,BoundParameters_HiddenSheetCLAY!$B$3:$E$50,MATCH(VLOOKUP($I66,$I$5:$AJ$35,MATCH(VLOOKUP(N$37,$BH$3:$BI$50,2,FALSE),$I$4:$AJ$4,0),FALSE),BoundParameters_HiddenSheetCLAY!$B$1:$E$1,0),FALSE))),'Control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Output'!$A$2:$E$99998,5,FALSE)="Sand",VLOOKUP(O$37,BoundParameters_HiddenSheetSAND!$B$3:$E$50,MATCH(VLOOKUP($I66,$I$5:$AJ$29,MATCH(VLOOKUP(O$37,$BH$3:$BI$50,2,FALSE),$I$4:$AJ$4,0),FALSE),BoundParameters_HiddenSheetCLAY!$B$1:$E$1,0),FALSE),IF(VLOOKUP($E66,'Table Output'!$A$2:$E$99998,5,FALSE)="Clay",VLOOKUP(O$37,BoundParameters_HiddenSheetCLAY!$B$3:$E$50,MATCH(VLOOKUP($I66,$I$5:$AJ$35,MATCH(VLOOKUP(O$37,$BH$3:$BI$50,2,FALSE),$I$4:$AJ$4,0),FALSE),BoundParameters_HiddenSheetCLAY!$B$1:$E$1,0),FALSE))),'Control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Output'!$A$2:$E$99998,5,FALSE)="Sand",VLOOKUP(P$37,BoundParameters_HiddenSheetSAND!$B$3:$E$50,MATCH(VLOOKUP($I66,$I$5:$AJ$29,MATCH(VLOOKUP(P$37,$BH$3:$BI$50,2,FALSE),$I$4:$AJ$4,0),FALSE),BoundParameters_HiddenSheetCLAY!$B$1:$E$1,0),FALSE),IF(VLOOKUP($E66,'Table Output'!$A$2:$E$99998,5,FALSE)="Clay",VLOOKUP(P$37,BoundParameters_HiddenSheetCLAY!$B$3:$E$50,MATCH(VLOOKUP($I66,$I$5:$AJ$35,MATCH(VLOOKUP(P$37,$BH$3:$BI$50,2,FALSE),$I$4:$AJ$4,0),FALSE),BoundParameters_HiddenSheetCLAY!$B$1:$E$1,0),FALSE))),'Control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Output'!$A$2:$E$99998,5,FALSE)="Sand",VLOOKUP(Q$37,BoundParameters_HiddenSheetSAND!$B$3:$E$50,MATCH(VLOOKUP($I66,$I$5:$AJ$29,MATCH(VLOOKUP(Q$37,$BH$3:$BI$50,2,FALSE),$I$4:$AJ$4,0),FALSE),BoundParameters_HiddenSheetCLAY!$B$1:$E$1,0),FALSE),IF(VLOOKUP($E66,'Table Output'!$A$2:$E$99998,5,FALSE)="Clay",VLOOKUP(Q$37,BoundParameters_HiddenSheetCLAY!$B$3:$E$50,MATCH(VLOOKUP($I66,$I$5:$AJ$35,MATCH(VLOOKUP(Q$37,$BH$3:$BI$50,2,FALSE),$I$4:$AJ$4,0),FALSE),BoundParameters_HiddenSheetCLAY!$B$1:$E$1,0),FALSE))),'Control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Output'!$A$2:$E$99998,5,FALSE)="Sand",VLOOKUP(R$37,BoundParameters_HiddenSheetSAND!$B$3:$E$50,MATCH(VLOOKUP($I66,$I$5:$AJ$29,MATCH(VLOOKUP(R$37,$BH$3:$BI$50,2,FALSE),$I$4:$AJ$4,0),FALSE),BoundParameters_HiddenSheetCLAY!$B$1:$E$1,0),FALSE),IF(VLOOKUP($E66,'Table Output'!$A$2:$E$99998,5,FALSE)="Clay",VLOOKUP(R$37,BoundParameters_HiddenSheetCLAY!$B$3:$E$50,MATCH(VLOOKUP($I66,$I$5:$AJ$35,MATCH(VLOOKUP(R$37,$BH$3:$BI$50,2,FALSE),$I$4:$AJ$4,0),FALSE),BoundParameters_HiddenSheetCLAY!$B$1:$E$1,0),FALSE))),'Control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Output'!$A$2:$E$99998,5,FALSE)="Sand",VLOOKUP(S$37,BoundParameters_HiddenSheetSAND!$B$3:$E$50,MATCH(VLOOKUP($I66,$I$5:$AJ$29,MATCH(VLOOKUP(S$37,$BH$3:$BI$50,2,FALSE),$I$4:$AJ$4,0),FALSE),BoundParameters_HiddenSheetCLAY!$B$1:$E$1,0),FALSE),IF(VLOOKUP($E66,'Table Output'!$A$2:$E$99998,5,FALSE)="Clay",VLOOKUP(S$37,BoundParameters_HiddenSheetCLAY!$B$3:$E$50,MATCH(VLOOKUP($I66,$I$5:$AJ$35,MATCH(VLOOKUP(S$37,$BH$3:$BI$50,2,FALSE),$I$4:$AJ$4,0),FALSE),BoundParameters_HiddenSheetCLAY!$B$1:$E$1,0),FALSE))),'Control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Output'!$A$2:$E$99998,5,FALSE)="Sand",VLOOKUP(J$37,BoundParameters_HiddenSheetSAND!$B$3:$E$50,MATCH(VLOOKUP($I67,$I$5:$AJ$29,MATCH(VLOOKUP(J$37,$BH$3:$BI$50,2,FALSE),$I$4:$AJ$4,0),FALSE),BoundParameters_HiddenSheetCLAY!$B$1:$E$1,0),FALSE),IF(VLOOKUP($E67,'Table Output'!$A$2:$E$99998,5,FALSE)="Clay",VLOOKUP(J$37,BoundParameters_HiddenSheetCLAY!$B$3:$E$50,MATCH(VLOOKUP($I67,$I$5:$AJ$35,MATCH(VLOOKUP(J$37,$BH$3:$BI$50,2,FALSE),$I$4:$AJ$4,0),FALSE),BoundParameters_HiddenSheetCLAY!$B$1:$E$1,0),FALSE))),'Control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Output'!$A$2:$E$99998,5,FALSE)="Sand",VLOOKUP(K$37,BoundParameters_HiddenSheetSAND!$B$3:$E$50,MATCH(VLOOKUP($I67,$I$5:$AJ$29,MATCH(VLOOKUP(K$37,$BH$3:$BI$50,2,FALSE),$I$4:$AJ$4,0),FALSE),BoundParameters_HiddenSheetCLAY!$B$1:$E$1,0),FALSE),IF(VLOOKUP($E67,'Table Output'!$A$2:$E$99998,5,FALSE)="Clay",VLOOKUP(K$37,BoundParameters_HiddenSheetCLAY!$B$3:$E$50,MATCH(VLOOKUP($I67,$I$5:$AJ$35,MATCH(VLOOKUP(K$37,$BH$3:$BI$50,2,FALSE),$I$4:$AJ$4,0),FALSE),BoundParameters_HiddenSheetCLAY!$B$1:$E$1,0),FALSE))),'Control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Output'!$A$2:$E$99998,5,FALSE)="Sand",VLOOKUP(L$37,BoundParameters_HiddenSheetSAND!$B$3:$E$50,MATCH(VLOOKUP($I67,$I$5:$AJ$29,MATCH(VLOOKUP(L$37,$BH$3:$BI$50,2,FALSE),$I$4:$AJ$4,0),FALSE),BoundParameters_HiddenSheetCLAY!$B$1:$E$1,0),FALSE),IF(VLOOKUP($E67,'Table Output'!$A$2:$E$99998,5,FALSE)="Clay",VLOOKUP(L$37,BoundParameters_HiddenSheetCLAY!$B$3:$E$50,MATCH(VLOOKUP($I67,$I$5:$AJ$35,MATCH(VLOOKUP(L$37,$BH$3:$BI$50,2,FALSE),$I$4:$AJ$4,0),FALSE),BoundParameters_HiddenSheetCLAY!$B$1:$E$1,0),FALSE))),'Control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Output'!$A$2:$E$99998,5,FALSE)="Sand",VLOOKUP(M$37,BoundParameters_HiddenSheetSAND!$B$3:$E$50,MATCH(VLOOKUP($I67,$I$5:$AJ$29,MATCH(VLOOKUP(M$37,$BH$3:$BI$50,2,FALSE),$I$4:$AJ$4,0),FALSE),BoundParameters_HiddenSheetCLAY!$B$1:$E$1,0),FALSE),IF(VLOOKUP($E67,'Table Output'!$A$2:$E$99998,5,FALSE)="Clay",VLOOKUP(M$37,BoundParameters_HiddenSheetCLAY!$B$3:$E$50,MATCH(VLOOKUP($I67,$I$5:$AJ$35,MATCH(VLOOKUP(M$37,$BH$3:$BI$50,2,FALSE),$I$4:$AJ$4,0),FALSE),BoundParameters_HiddenSheetCLAY!$B$1:$E$1,0),FALSE))),'Control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Output'!$A$2:$E$99998,5,FALSE)="Sand",VLOOKUP(N$37,BoundParameters_HiddenSheetSAND!$B$3:$E$50,MATCH(VLOOKUP($I67,$I$5:$AJ$29,MATCH(VLOOKUP(N$37,$BH$3:$BI$50,2,FALSE),$I$4:$AJ$4,0),FALSE),BoundParameters_HiddenSheetCLAY!$B$1:$E$1,0),FALSE),IF(VLOOKUP($E67,'Table Output'!$A$2:$E$99998,5,FALSE)="Clay",VLOOKUP(N$37,BoundParameters_HiddenSheetCLAY!$B$3:$E$50,MATCH(VLOOKUP($I67,$I$5:$AJ$35,MATCH(VLOOKUP(N$37,$BH$3:$BI$50,2,FALSE),$I$4:$AJ$4,0),FALSE),BoundParameters_HiddenSheetCLAY!$B$1:$E$1,0),FALSE))),'Control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Output'!$A$2:$E$99998,5,FALSE)="Sand",VLOOKUP(O$37,BoundParameters_HiddenSheetSAND!$B$3:$E$50,MATCH(VLOOKUP($I67,$I$5:$AJ$29,MATCH(VLOOKUP(O$37,$BH$3:$BI$50,2,FALSE),$I$4:$AJ$4,0),FALSE),BoundParameters_HiddenSheetCLAY!$B$1:$E$1,0),FALSE),IF(VLOOKUP($E67,'Table Output'!$A$2:$E$99998,5,FALSE)="Clay",VLOOKUP(O$37,BoundParameters_HiddenSheetCLAY!$B$3:$E$50,MATCH(VLOOKUP($I67,$I$5:$AJ$35,MATCH(VLOOKUP(O$37,$BH$3:$BI$50,2,FALSE),$I$4:$AJ$4,0),FALSE),BoundParameters_HiddenSheetCLAY!$B$1:$E$1,0),FALSE))),'Control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Output'!$A$2:$E$99998,5,FALSE)="Sand",VLOOKUP(P$37,BoundParameters_HiddenSheetSAND!$B$3:$E$50,MATCH(VLOOKUP($I67,$I$5:$AJ$29,MATCH(VLOOKUP(P$37,$BH$3:$BI$50,2,FALSE),$I$4:$AJ$4,0),FALSE),BoundParameters_HiddenSheetCLAY!$B$1:$E$1,0),FALSE),IF(VLOOKUP($E67,'Table Output'!$A$2:$E$99998,5,FALSE)="Clay",VLOOKUP(P$37,BoundParameters_HiddenSheetCLAY!$B$3:$E$50,MATCH(VLOOKUP($I67,$I$5:$AJ$35,MATCH(VLOOKUP(P$37,$BH$3:$BI$50,2,FALSE),$I$4:$AJ$4,0),FALSE),BoundParameters_HiddenSheetCLAY!$B$1:$E$1,0),FALSE))),'Control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Output'!$A$2:$E$99998,5,FALSE)="Sand",VLOOKUP(Q$37,BoundParameters_HiddenSheetSAND!$B$3:$E$50,MATCH(VLOOKUP($I67,$I$5:$AJ$29,MATCH(VLOOKUP(Q$37,$BH$3:$BI$50,2,FALSE),$I$4:$AJ$4,0),FALSE),BoundParameters_HiddenSheetCLAY!$B$1:$E$1,0),FALSE),IF(VLOOKUP($E67,'Table Output'!$A$2:$E$99998,5,FALSE)="Clay",VLOOKUP(Q$37,BoundParameters_HiddenSheetCLAY!$B$3:$E$50,MATCH(VLOOKUP($I67,$I$5:$AJ$35,MATCH(VLOOKUP(Q$37,$BH$3:$BI$50,2,FALSE),$I$4:$AJ$4,0),FALSE),BoundParameters_HiddenSheetCLAY!$B$1:$E$1,0),FALSE))),'Control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Output'!$A$2:$E$99998,5,FALSE)="Sand",VLOOKUP(R$37,BoundParameters_HiddenSheetSAND!$B$3:$E$50,MATCH(VLOOKUP($I67,$I$5:$AJ$29,MATCH(VLOOKUP(R$37,$BH$3:$BI$50,2,FALSE),$I$4:$AJ$4,0),FALSE),BoundParameters_HiddenSheetCLAY!$B$1:$E$1,0),FALSE),IF(VLOOKUP($E67,'Table Output'!$A$2:$E$99998,5,FALSE)="Clay",VLOOKUP(R$37,BoundParameters_HiddenSheetCLAY!$B$3:$E$50,MATCH(VLOOKUP($I67,$I$5:$AJ$35,MATCH(VLOOKUP(R$37,$BH$3:$BI$50,2,FALSE),$I$4:$AJ$4,0),FALSE),BoundParameters_HiddenSheetCLAY!$B$1:$E$1,0),FALSE))),'Control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Output'!$A$2:$E$99998,5,FALSE)="Sand",VLOOKUP(S$37,BoundParameters_HiddenSheetSAND!$B$3:$E$50,MATCH(VLOOKUP($I67,$I$5:$AJ$29,MATCH(VLOOKUP(S$37,$BH$3:$BI$50,2,FALSE),$I$4:$AJ$4,0),FALSE),BoundParameters_HiddenSheetCLAY!$B$1:$E$1,0),FALSE),IF(VLOOKUP($E67,'Table Output'!$A$2:$E$99998,5,FALSE)="Clay",VLOOKUP(S$37,BoundParameters_HiddenSheetCLAY!$B$3:$E$50,MATCH(VLOOKUP($I67,$I$5:$AJ$35,MATCH(VLOOKUP(S$37,$BH$3:$BI$50,2,FALSE),$I$4:$AJ$4,0),FALSE),BoundParameters_HiddenSheetCLAY!$B$1:$E$1,0),FALSE))),'Control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Output'!$A$2:$E$99998,5,FALSE)="Sand",VLOOKUP(J$37,BoundParameters_HiddenSheetSAND!$B$3:$E$50,MATCH(VLOOKUP($I68,$I$5:$AJ$29,MATCH(VLOOKUP(J$37,$BH$3:$BI$50,2,FALSE),$I$4:$AJ$4,0),FALSE),BoundParameters_HiddenSheetCLAY!$B$1:$E$1,0),FALSE),IF(VLOOKUP($E68,'Table Output'!$A$2:$E$99998,5,FALSE)="Clay",VLOOKUP(J$37,BoundParameters_HiddenSheetCLAY!$B$3:$E$50,MATCH(VLOOKUP($I68,$I$5:$AJ$35,MATCH(VLOOKUP(J$37,$BH$3:$BI$50,2,FALSE),$I$4:$AJ$4,0),FALSE),BoundParameters_HiddenSheetCLAY!$B$1:$E$1,0),FALSE))),'Control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Output'!$A$2:$E$99998,5,FALSE)="Sand",VLOOKUP(K$37,BoundParameters_HiddenSheetSAND!$B$3:$E$50,MATCH(VLOOKUP($I68,$I$5:$AJ$29,MATCH(VLOOKUP(K$37,$BH$3:$BI$50,2,FALSE),$I$4:$AJ$4,0),FALSE),BoundParameters_HiddenSheetCLAY!$B$1:$E$1,0),FALSE),IF(VLOOKUP($E68,'Table Output'!$A$2:$E$99998,5,FALSE)="Clay",VLOOKUP(K$37,BoundParameters_HiddenSheetCLAY!$B$3:$E$50,MATCH(VLOOKUP($I68,$I$5:$AJ$35,MATCH(VLOOKUP(K$37,$BH$3:$BI$50,2,FALSE),$I$4:$AJ$4,0),FALSE),BoundParameters_HiddenSheetCLAY!$B$1:$E$1,0),FALSE))),'Control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Output'!$A$2:$E$99998,5,FALSE)="Sand",VLOOKUP(L$37,BoundParameters_HiddenSheetSAND!$B$3:$E$50,MATCH(VLOOKUP($I68,$I$5:$AJ$29,MATCH(VLOOKUP(L$37,$BH$3:$BI$50,2,FALSE),$I$4:$AJ$4,0),FALSE),BoundParameters_HiddenSheetCLAY!$B$1:$E$1,0),FALSE),IF(VLOOKUP($E68,'Table Output'!$A$2:$E$99998,5,FALSE)="Clay",VLOOKUP(L$37,BoundParameters_HiddenSheetCLAY!$B$3:$E$50,MATCH(VLOOKUP($I68,$I$5:$AJ$35,MATCH(VLOOKUP(L$37,$BH$3:$BI$50,2,FALSE),$I$4:$AJ$4,0),FALSE),BoundParameters_HiddenSheetCLAY!$B$1:$E$1,0),FALSE))),'Control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Output'!$A$2:$E$99998,5,FALSE)="Sand",VLOOKUP(M$37,BoundParameters_HiddenSheetSAND!$B$3:$E$50,MATCH(VLOOKUP($I68,$I$5:$AJ$29,MATCH(VLOOKUP(M$37,$BH$3:$BI$50,2,FALSE),$I$4:$AJ$4,0),FALSE),BoundParameters_HiddenSheetCLAY!$B$1:$E$1,0),FALSE),IF(VLOOKUP($E68,'Table Output'!$A$2:$E$99998,5,FALSE)="Clay",VLOOKUP(M$37,BoundParameters_HiddenSheetCLAY!$B$3:$E$50,MATCH(VLOOKUP($I68,$I$5:$AJ$35,MATCH(VLOOKUP(M$37,$BH$3:$BI$50,2,FALSE),$I$4:$AJ$4,0),FALSE),BoundParameters_HiddenSheetCLAY!$B$1:$E$1,0),FALSE))),'Control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Output'!$A$2:$E$99998,5,FALSE)="Sand",VLOOKUP(N$37,BoundParameters_HiddenSheetSAND!$B$3:$E$50,MATCH(VLOOKUP($I68,$I$5:$AJ$29,MATCH(VLOOKUP(N$37,$BH$3:$BI$50,2,FALSE),$I$4:$AJ$4,0),FALSE),BoundParameters_HiddenSheetCLAY!$B$1:$E$1,0),FALSE),IF(VLOOKUP($E68,'Table Output'!$A$2:$E$99998,5,FALSE)="Clay",VLOOKUP(N$37,BoundParameters_HiddenSheetCLAY!$B$3:$E$50,MATCH(VLOOKUP($I68,$I$5:$AJ$35,MATCH(VLOOKUP(N$37,$BH$3:$BI$50,2,FALSE),$I$4:$AJ$4,0),FALSE),BoundParameters_HiddenSheetCLAY!$B$1:$E$1,0),FALSE))),'Control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Output'!$A$2:$E$99998,5,FALSE)="Sand",VLOOKUP(O$37,BoundParameters_HiddenSheetSAND!$B$3:$E$50,MATCH(VLOOKUP($I68,$I$5:$AJ$29,MATCH(VLOOKUP(O$37,$BH$3:$BI$50,2,FALSE),$I$4:$AJ$4,0),FALSE),BoundParameters_HiddenSheetCLAY!$B$1:$E$1,0),FALSE),IF(VLOOKUP($E68,'Table Output'!$A$2:$E$99998,5,FALSE)="Clay",VLOOKUP(O$37,BoundParameters_HiddenSheetCLAY!$B$3:$E$50,MATCH(VLOOKUP($I68,$I$5:$AJ$35,MATCH(VLOOKUP(O$37,$BH$3:$BI$50,2,FALSE),$I$4:$AJ$4,0),FALSE),BoundParameters_HiddenSheetCLAY!$B$1:$E$1,0),FALSE))),'Control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Output'!$A$2:$E$99998,5,FALSE)="Sand",VLOOKUP(P$37,BoundParameters_HiddenSheetSAND!$B$3:$E$50,MATCH(VLOOKUP($I68,$I$5:$AJ$29,MATCH(VLOOKUP(P$37,$BH$3:$BI$50,2,FALSE),$I$4:$AJ$4,0),FALSE),BoundParameters_HiddenSheetCLAY!$B$1:$E$1,0),FALSE),IF(VLOOKUP($E68,'Table Output'!$A$2:$E$99998,5,FALSE)="Clay",VLOOKUP(P$37,BoundParameters_HiddenSheetCLAY!$B$3:$E$50,MATCH(VLOOKUP($I68,$I$5:$AJ$35,MATCH(VLOOKUP(P$37,$BH$3:$BI$50,2,FALSE),$I$4:$AJ$4,0),FALSE),BoundParameters_HiddenSheetCLAY!$B$1:$E$1,0),FALSE))),'Control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Output'!$A$2:$E$99998,5,FALSE)="Sand",VLOOKUP(Q$37,BoundParameters_HiddenSheetSAND!$B$3:$E$50,MATCH(VLOOKUP($I68,$I$5:$AJ$29,MATCH(VLOOKUP(Q$37,$BH$3:$BI$50,2,FALSE),$I$4:$AJ$4,0),FALSE),BoundParameters_HiddenSheetCLAY!$B$1:$E$1,0),FALSE),IF(VLOOKUP($E68,'Table Output'!$A$2:$E$99998,5,FALSE)="Clay",VLOOKUP(Q$37,BoundParameters_HiddenSheetCLAY!$B$3:$E$50,MATCH(VLOOKUP($I68,$I$5:$AJ$35,MATCH(VLOOKUP(Q$37,$BH$3:$BI$50,2,FALSE),$I$4:$AJ$4,0),FALSE),BoundParameters_HiddenSheetCLAY!$B$1:$E$1,0),FALSE))),'Control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Output'!$A$2:$E$99998,5,FALSE)="Sand",VLOOKUP(R$37,BoundParameters_HiddenSheetSAND!$B$3:$E$50,MATCH(VLOOKUP($I68,$I$5:$AJ$29,MATCH(VLOOKUP(R$37,$BH$3:$BI$50,2,FALSE),$I$4:$AJ$4,0),FALSE),BoundParameters_HiddenSheetCLAY!$B$1:$E$1,0),FALSE),IF(VLOOKUP($E68,'Table Output'!$A$2:$E$99998,5,FALSE)="Clay",VLOOKUP(R$37,BoundParameters_HiddenSheetCLAY!$B$3:$E$50,MATCH(VLOOKUP($I68,$I$5:$AJ$35,MATCH(VLOOKUP(R$37,$BH$3:$BI$50,2,FALSE),$I$4:$AJ$4,0),FALSE),BoundParameters_HiddenSheetCLAY!$B$1:$E$1,0),FALSE))),'Control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Output'!$A$2:$E$99998,5,FALSE)="Sand",VLOOKUP(S$37,BoundParameters_HiddenSheetSAND!$B$3:$E$50,MATCH(VLOOKUP($I68,$I$5:$AJ$29,MATCH(VLOOKUP(S$37,$BH$3:$BI$50,2,FALSE),$I$4:$AJ$4,0),FALSE),BoundParameters_HiddenSheetCLAY!$B$1:$E$1,0),FALSE),IF(VLOOKUP($E68,'Table Output'!$A$2:$E$99998,5,FALSE)="Clay",VLOOKUP(S$37,BoundParameters_HiddenSheetCLAY!$B$3:$E$50,MATCH(VLOOKUP($I68,$I$5:$AJ$35,MATCH(VLOOKUP(S$37,$BH$3:$BI$50,2,FALSE),$I$4:$AJ$4,0),FALSE),BoundParameters_HiddenSheetCLAY!$B$1:$E$1,0),FALSE))),'Control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21" t="s">
        <v>178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p_u_1</v>
      </c>
      <c r="L72" s="32" t="str">
        <f t="shared" si="6"/>
        <v>k_p_1</v>
      </c>
      <c r="M72" s="32" t="str">
        <f t="shared" si="6"/>
        <v>n_p_1</v>
      </c>
      <c r="N72" s="32" t="str">
        <f t="shared" si="6"/>
        <v>k_p_2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>Cowden_Clay</v>
      </c>
      <c r="I73" s="7">
        <f>I38</f>
        <v>1</v>
      </c>
      <c r="J73" s="44">
        <f>IF($I73="","",IF(J$37="","",IF('Control Panel'!J73="",IF(VLOOKUP($E38,'Table Output'!$A$2:$E$99998,5,FALSE)="Sand",VLOOKUP(J$37,BoundParameters_HiddenSheetSAND!$I$3:$L$50,MATCH(VLOOKUP($I73,$I$5:$AJ$34,MATCH(VLOOKUP(J$37,$BH$3:$BI$50,2,FALSE),$I$4:$AJ$4,0),FALSE),BoundParameters_HiddenSheetCLAY!$I$1:$L$1,0),FALSE),IF(VLOOKUP($E38,'Table Output'!$A$2:$E$9998,5,FALSE)="Clay",VLOOKUP(J$37,BoundParameters_HiddenSheetCLAY!$I$3:$L$50,MATCH(VLOOKUP($I73,$I$5:$AJ$34,MATCH(VLOOKUP(J$37,$BH$3:$BI$50,2,FALSE),$I$4:$AJ$4,0),FALSE),BoundParameters_HiddenSheetCLAY!$I$1:$L$1,0),FALSE))),'Control Panel'!J73)))</f>
        <v>200</v>
      </c>
      <c r="K73" s="44">
        <f>IF($I73="","",IF(K$37="","",IF('Control Panel'!K73="",IF(VLOOKUP($E38,'Table Output'!$A$2:$E$99998,5,FALSE)="Sand",VLOOKUP(K$37,BoundParameters_HiddenSheetSAND!$I$3:$L$50,MATCH(VLOOKUP($I73,$I$5:$AJ$34,MATCH(VLOOKUP(K$37,$BH$3:$BI$50,2,FALSE),$I$4:$AJ$4,0),FALSE),BoundParameters_HiddenSheetCLAY!$I$1:$L$1,0),FALSE),IF(VLOOKUP($E38,'Table Output'!$A$2:$E$9998,5,FALSE)="Clay",VLOOKUP(K$37,BoundParameters_HiddenSheetCLAY!$I$3:$L$50,MATCH(VLOOKUP($I73,$I$5:$AJ$34,MATCH(VLOOKUP(K$37,$BH$3:$BI$50,2,FALSE),$I$4:$AJ$4,0),FALSE),BoundParameters_HiddenSheetCLAY!$I$1:$L$1,0),FALSE))),'Control Panel'!K73)))</f>
        <v>15.832000000000001</v>
      </c>
      <c r="L73" s="44">
        <f>IF($I73="","",IF(L$37="","",IF('Control Panel'!L73="",IF(VLOOKUP($E38,'Table Output'!$A$2:$E$99998,5,FALSE)="Sand",VLOOKUP(L$37,BoundParameters_HiddenSheetSAND!$I$3:$L$50,MATCH(VLOOKUP($I73,$I$5:$AJ$34,MATCH(VLOOKUP(L$37,$BH$3:$BI$50,2,FALSE),$I$4:$AJ$4,0),FALSE),BoundParameters_HiddenSheetCLAY!$I$1:$L$1,0),FALSE),IF(VLOOKUP($E38,'Table Output'!$A$2:$E$9998,5,FALSE)="Clay",VLOOKUP(L$37,BoundParameters_HiddenSheetCLAY!$I$3:$L$50,MATCH(VLOOKUP($I73,$I$5:$AJ$34,MATCH(VLOOKUP(L$37,$BH$3:$BI$50,2,FALSE),$I$4:$AJ$4,0),FALSE),BoundParameters_HiddenSheetCLAY!$I$1:$L$1,0),FALSE))),'Control Panel'!L73)))</f>
        <v>0.5</v>
      </c>
      <c r="M73" s="44">
        <f>IF($I73="","",IF(M$37="","",IF('Control Panel'!M73="",IF(VLOOKUP($E38,'Table Output'!$A$2:$E$99998,5,FALSE)="Sand",VLOOKUP(M$37,BoundParameters_HiddenSheetSAND!$I$3:$L$50,MATCH(VLOOKUP($I73,$I$5:$AJ$34,MATCH(VLOOKUP(M$37,$BH$3:$BI$50,2,FALSE),$I$4:$AJ$4,0),FALSE),BoundParameters_HiddenSheetCLAY!$I$1:$L$1,0),FALSE),IF(VLOOKUP($E38,'Table Output'!$A$2:$E$9998,5,FALSE)="Clay",VLOOKUP(M$37,BoundParameters_HiddenSheetCLAY!$I$3:$L$50,MATCH(VLOOKUP($I73,$I$5:$AJ$34,MATCH(VLOOKUP(M$37,$BH$3:$BI$50,2,FALSE),$I$4:$AJ$4,0),FALSE),BoundParameters_HiddenSheetCLAY!$I$1:$L$1,0),FALSE))),'Control Panel'!M73)))</f>
        <v>0</v>
      </c>
      <c r="N73" s="44">
        <f>IF($I73="","",IF(N$37="","",IF('Control Panel'!N73="",IF(VLOOKUP($E38,'Table Output'!$A$2:$E$99998,5,FALSE)="Sand",VLOOKUP(N$37,BoundParameters_HiddenSheetSAND!$I$3:$L$50,MATCH(VLOOKUP($I73,$I$5:$AJ$34,MATCH(VLOOKUP(N$37,$BH$3:$BI$50,2,FALSE),$I$4:$AJ$4,0),FALSE),BoundParameters_HiddenSheetCLAY!$I$1:$L$1,0),FALSE),IF(VLOOKUP($E38,'Table Output'!$A$2:$E$9998,5,FALSE)="Clay",VLOOKUP(N$37,BoundParameters_HiddenSheetCLAY!$I$3:$L$50,MATCH(VLOOKUP($I73,$I$5:$AJ$34,MATCH(VLOOKUP(N$37,$BH$3:$BI$50,2,FALSE),$I$4:$AJ$4,0),FALSE),BoundParameters_HiddenSheetCLAY!$I$1:$L$1,0),FALSE))),'Control Panel'!N73)))</f>
        <v>14.4</v>
      </c>
      <c r="O73" s="44" t="str">
        <f>IF($I73="","",IF(O$37="","",IF('Control Panel'!O73="",IF(VLOOKUP($E38,'Table Output'!$A$2:$E$99998,5,FALSE)="Sand",VLOOKUP(O$37,BoundParameters_HiddenSheetSAND!$I$3:$L$50,MATCH(VLOOKUP($I73,$I$5:$AJ$34,MATCH(VLOOKUP(O$37,$BH$3:$BI$50,2,FALSE),$I$4:$AJ$4,0),FALSE),BoundParameters_HiddenSheetCLAY!$I$1:$L$1,0),FALSE),IF(VLOOKUP($E38,'Table Output'!$A$2:$E$9998,5,FALSE)="Clay",VLOOKUP(O$37,BoundParameters_HiddenSheetCLAY!$I$3:$L$50,MATCH(VLOOKUP($I73,$I$5:$AJ$34,MATCH(VLOOKUP(O$37,$BH$3:$BI$50,2,FALSE),$I$4:$AJ$4,0),FALSE),BoundParameters_HiddenSheetCLAY!$I$1:$L$1,0),FALSE))),'Control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Output'!$A$2:$E$99998,5,FALSE)="Sand",VLOOKUP(P$37,BoundParameters_HiddenSheetSAND!$I$3:$L$50,MATCH(VLOOKUP($I73,$I$5:$AJ$34,MATCH(VLOOKUP(P$37,$BH$3:$BI$50,2,FALSE),$I$4:$AJ$4,0),FALSE),BoundParameters_HiddenSheetCLAY!$I$1:$L$1,0),FALSE),IF(VLOOKUP($E38,'Table Output'!$A$2:$E$9998,5,FALSE)="Clay",VLOOKUP(P$37,BoundParameters_HiddenSheetCLAY!$I$3:$L$50,MATCH(VLOOKUP($I73,$I$5:$AJ$34,MATCH(VLOOKUP(P$37,$BH$3:$BI$50,2,FALSE),$I$4:$AJ$4,0),FALSE),BoundParameters_HiddenSheetCLAY!$I$1:$L$1,0),FALSE))),'Control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Output'!$A$2:$E$99998,5,FALSE)="Sand",VLOOKUP(Q$37,BoundParameters_HiddenSheetSAND!$I$3:$L$50,MATCH(VLOOKUP($I73,$I$5:$AJ$34,MATCH(VLOOKUP(Q$37,$BH$3:$BI$50,2,FALSE),$I$4:$AJ$4,0),FALSE),BoundParameters_HiddenSheetCLAY!$I$1:$L$1,0),FALSE),IF(VLOOKUP($E38,'Table Output'!$A$2:$E$9998,5,FALSE)="Clay",VLOOKUP(Q$37,BoundParameters_HiddenSheetCLAY!$I$3:$L$50,MATCH(VLOOKUP($I73,$I$5:$AJ$34,MATCH(VLOOKUP(Q$37,$BH$3:$BI$50,2,FALSE),$I$4:$AJ$4,0),FALSE),BoundParameters_HiddenSheetCLAY!$I$1:$L$1,0),FALSE))),'Control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Output'!$A$2:$E$99998,5,FALSE)="Sand",VLOOKUP(R$37,BoundParameters_HiddenSheetSAND!$I$3:$L$50,MATCH(VLOOKUP($I73,$I$5:$AJ$34,MATCH(VLOOKUP(R$37,$BH$3:$BI$50,2,FALSE),$I$4:$AJ$4,0),FALSE),BoundParameters_HiddenSheetCLAY!$I$1:$L$1,0),FALSE),IF(VLOOKUP($E38,'Table Output'!$A$2:$E$9998,5,FALSE)="Clay",VLOOKUP(R$37,BoundParameters_HiddenSheetCLAY!$I$3:$L$50,MATCH(VLOOKUP($I73,$I$5:$AJ$34,MATCH(VLOOKUP(R$37,$BH$3:$BI$50,2,FALSE),$I$4:$AJ$4,0),FALSE),BoundParameters_HiddenSheetCLAY!$I$1:$L$1,0),FALSE))),'Control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Output'!$A$2:$E$99998,5,FALSE)="Sand",VLOOKUP(S$37,BoundParameters_HiddenSheetSAND!$I$3:$L$50,MATCH(VLOOKUP($I73,$I$5:$AJ$34,MATCH(VLOOKUP(S$37,$BH$3:$BI$50,2,FALSE),$I$4:$AJ$4,0),FALSE),BoundParameters_HiddenSheetCLAY!$I$1:$L$1,0),FALSE),IF(VLOOKUP($E38,'Table Output'!$A$2:$E$9998,5,FALSE)="Clay",VLOOKUP(S$37,BoundParameters_HiddenSheetCLAY!$I$3:$L$50,MATCH(VLOOKUP($I73,$I$5:$AJ$34,MATCH(VLOOKUP(S$37,$BH$3:$BI$50,2,FALSE),$I$4:$AJ$4,0),FALSE),BoundParameters_HiddenSheetCLAY!$I$1:$L$1,0),FALSE))),'Control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>Sand_75</v>
      </c>
      <c r="I74" s="7">
        <f t="shared" si="7"/>
        <v>2</v>
      </c>
      <c r="J74" s="44">
        <f>IF($I74="","",IF(J$37="","",IF('Control Panel'!J74="",IF(VLOOKUP($E39,'Table Output'!$A$2:$E$99998,5,FALSE)="Sand",VLOOKUP(J$37,BoundParameters_HiddenSheetSAND!$I$3:$L$50,MATCH(VLOOKUP($I74,$I$5:$AJ$34,MATCH(VLOOKUP(J$37,$BH$3:$BI$50,2,FALSE),$I$4:$AJ$4,0),FALSE),BoundParameters_HiddenSheetCLAY!$I$1:$L$1,0),FALSE),IF(VLOOKUP($E39,'Table Output'!$A$2:$E$9998,5,FALSE)="Clay",VLOOKUP(J$37,BoundParameters_HiddenSheetCLAY!$I$3:$L$50,MATCH(VLOOKUP($I74,$I$5:$AJ$34,MATCH(VLOOKUP(J$37,$BH$3:$BI$50,2,FALSE),$I$4:$AJ$4,0),FALSE),BoundParameters_HiddenSheetCLAY!$I$1:$L$1,0),FALSE))),'Control Panel'!J74)))</f>
        <v>700</v>
      </c>
      <c r="K74" s="44">
        <f>IF($I74="","",IF(K$37="","",IF('Control Panel'!K74="",IF(VLOOKUP($E39,'Table Output'!$A$2:$E$99998,5,FALSE)="Sand",VLOOKUP(K$37,BoundParameters_HiddenSheetSAND!$I$3:$L$50,MATCH(VLOOKUP($I74,$I$5:$AJ$34,MATCH(VLOOKUP(K$37,$BH$3:$BI$50,2,FALSE),$I$4:$AJ$4,0),FALSE),BoundParameters_HiddenSheetCLAY!$I$1:$L$1,0),FALSE),IF(VLOOKUP($E39,'Table Output'!$A$2:$E$9998,5,FALSE)="Clay",VLOOKUP(K$37,BoundParameters_HiddenSheetCLAY!$I$3:$L$50,MATCH(VLOOKUP($I74,$I$5:$AJ$34,MATCH(VLOOKUP(K$37,$BH$3:$BI$50,2,FALSE),$I$4:$AJ$4,0),FALSE),BoundParameters_HiddenSheetCLAY!$I$1:$L$1,0),FALSE))),'Control Panel'!K74)))</f>
        <v>300</v>
      </c>
      <c r="L74" s="44">
        <f>IF($I74="","",IF(L$37="","",IF('Control Panel'!L74="",IF(VLOOKUP($E39,'Table Output'!$A$2:$E$99998,5,FALSE)="Sand",VLOOKUP(L$37,BoundParameters_HiddenSheetSAND!$I$3:$L$50,MATCH(VLOOKUP($I74,$I$5:$AJ$34,MATCH(VLOOKUP(L$37,$BH$3:$BI$50,2,FALSE),$I$4:$AJ$4,0),FALSE),BoundParameters_HiddenSheetCLAY!$I$1:$L$1,0),FALSE),IF(VLOOKUP($E39,'Table Output'!$A$2:$E$9998,5,FALSE)="Clay",VLOOKUP(L$37,BoundParameters_HiddenSheetCLAY!$I$3:$L$50,MATCH(VLOOKUP($I74,$I$5:$AJ$34,MATCH(VLOOKUP(L$37,$BH$3:$BI$50,2,FALSE),$I$4:$AJ$4,0),FALSE),BoundParameters_HiddenSheetCLAY!$I$1:$L$1,0),FALSE))),'Control Panel'!L74)))</f>
        <v>50</v>
      </c>
      <c r="M74" s="44">
        <f>IF($I74="","",IF(M$37="","",IF('Control Panel'!M74="",IF(VLOOKUP($E39,'Table Output'!$A$2:$E$99998,5,FALSE)="Sand",VLOOKUP(M$37,BoundParameters_HiddenSheetSAND!$I$3:$L$50,MATCH(VLOOKUP($I74,$I$5:$AJ$34,MATCH(VLOOKUP(M$37,$BH$3:$BI$50,2,FALSE),$I$4:$AJ$4,0),FALSE),BoundParameters_HiddenSheetCLAY!$I$1:$L$1,0),FALSE),IF(VLOOKUP($E39,'Table Output'!$A$2:$E$9998,5,FALSE)="Clay",VLOOKUP(M$37,BoundParameters_HiddenSheetCLAY!$I$3:$L$50,MATCH(VLOOKUP($I74,$I$5:$AJ$34,MATCH(VLOOKUP(M$37,$BH$3:$BI$50,2,FALSE),$I$4:$AJ$4,0),FALSE),BoundParameters_HiddenSheetCLAY!$I$1:$L$1,0),FALSE))),'Control Panel'!M74)))</f>
        <v>1</v>
      </c>
      <c r="N74" s="44">
        <f>IF($I74="","",IF(N$37="","",IF('Control Panel'!N74="",IF(VLOOKUP($E39,'Table Output'!$A$2:$E$99998,5,FALSE)="Sand",VLOOKUP(N$37,BoundParameters_HiddenSheetSAND!$I$3:$L$50,MATCH(VLOOKUP($I74,$I$5:$AJ$34,MATCH(VLOOKUP(N$37,$BH$3:$BI$50,2,FALSE),$I$4:$AJ$4,0),FALSE),BoundParameters_HiddenSheetCLAY!$I$1:$L$1,0),FALSE),IF(VLOOKUP($E39,'Table Output'!$A$2:$E$9998,5,FALSE)="Clay",VLOOKUP(N$37,BoundParameters_HiddenSheetCLAY!$I$3:$L$50,MATCH(VLOOKUP($I74,$I$5:$AJ$34,MATCH(VLOOKUP(N$37,$BH$3:$BI$50,2,FALSE),$I$4:$AJ$4,0),FALSE),BoundParameters_HiddenSheetCLAY!$I$1:$L$1,0),FALSE))),'Control Panel'!N74)))</f>
        <v>50</v>
      </c>
      <c r="O74" s="44" t="str">
        <f>IF($I74="","",IF(O$37="","",IF('Control Panel'!O74="",IF(VLOOKUP($E39,'Table Output'!$A$2:$E$99998,5,FALSE)="Sand",VLOOKUP(O$37,BoundParameters_HiddenSheetSAND!$I$3:$L$50,MATCH(VLOOKUP($I74,$I$5:$AJ$34,MATCH(VLOOKUP(O$37,$BH$3:$BI$50,2,FALSE),$I$4:$AJ$4,0),FALSE),BoundParameters_HiddenSheetCLAY!$I$1:$L$1,0),FALSE),IF(VLOOKUP($E39,'Table Output'!$A$2:$E$9998,5,FALSE)="Clay",VLOOKUP(O$37,BoundParameters_HiddenSheetCLAY!$I$3:$L$50,MATCH(VLOOKUP($I74,$I$5:$AJ$34,MATCH(VLOOKUP(O$37,$BH$3:$BI$50,2,FALSE),$I$4:$AJ$4,0),FALSE),BoundParameters_HiddenSheetCLAY!$I$1:$L$1,0),FALSE))),'Control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Output'!$A$2:$E$99998,5,FALSE)="Sand",VLOOKUP(P$37,BoundParameters_HiddenSheetSAND!$I$3:$L$50,MATCH(VLOOKUP($I74,$I$5:$AJ$34,MATCH(VLOOKUP(P$37,$BH$3:$BI$50,2,FALSE),$I$4:$AJ$4,0),FALSE),BoundParameters_HiddenSheetCLAY!$I$1:$L$1,0),FALSE),IF(VLOOKUP($E39,'Table Output'!$A$2:$E$9998,5,FALSE)="Clay",VLOOKUP(P$37,BoundParameters_HiddenSheetCLAY!$I$3:$L$50,MATCH(VLOOKUP($I74,$I$5:$AJ$34,MATCH(VLOOKUP(P$37,$BH$3:$BI$50,2,FALSE),$I$4:$AJ$4,0),FALSE),BoundParameters_HiddenSheetCLAY!$I$1:$L$1,0),FALSE))),'Control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Output'!$A$2:$E$99998,5,FALSE)="Sand",VLOOKUP(Q$37,BoundParameters_HiddenSheetSAND!$I$3:$L$50,MATCH(VLOOKUP($I74,$I$5:$AJ$34,MATCH(VLOOKUP(Q$37,$BH$3:$BI$50,2,FALSE),$I$4:$AJ$4,0),FALSE),BoundParameters_HiddenSheetCLAY!$I$1:$L$1,0),FALSE),IF(VLOOKUP($E39,'Table Output'!$A$2:$E$9998,5,FALSE)="Clay",VLOOKUP(Q$37,BoundParameters_HiddenSheetCLAY!$I$3:$L$50,MATCH(VLOOKUP($I74,$I$5:$AJ$34,MATCH(VLOOKUP(Q$37,$BH$3:$BI$50,2,FALSE),$I$4:$AJ$4,0),FALSE),BoundParameters_HiddenSheetCLAY!$I$1:$L$1,0),FALSE))),'Control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Output'!$A$2:$E$99998,5,FALSE)="Sand",VLOOKUP(R$37,BoundParameters_HiddenSheetSAND!$I$3:$L$50,MATCH(VLOOKUP($I74,$I$5:$AJ$34,MATCH(VLOOKUP(R$37,$BH$3:$BI$50,2,FALSE),$I$4:$AJ$4,0),FALSE),BoundParameters_HiddenSheetCLAY!$I$1:$L$1,0),FALSE),IF(VLOOKUP($E39,'Table Output'!$A$2:$E$9998,5,FALSE)="Clay",VLOOKUP(R$37,BoundParameters_HiddenSheetCLAY!$I$3:$L$50,MATCH(VLOOKUP($I74,$I$5:$AJ$34,MATCH(VLOOKUP(R$37,$BH$3:$BI$50,2,FALSE),$I$4:$AJ$4,0),FALSE),BoundParameters_HiddenSheetCLAY!$I$1:$L$1,0),FALSE))),'Control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Output'!$A$2:$E$99998,5,FALSE)="Sand",VLOOKUP(S$37,BoundParameters_HiddenSheetSAND!$I$3:$L$50,MATCH(VLOOKUP($I74,$I$5:$AJ$34,MATCH(VLOOKUP(S$37,$BH$3:$BI$50,2,FALSE),$I$4:$AJ$4,0),FALSE),BoundParameters_HiddenSheetCLAY!$I$1:$L$1,0),FALSE),IF(VLOOKUP($E39,'Table Output'!$A$2:$E$9998,5,FALSE)="Clay",VLOOKUP(S$37,BoundParameters_HiddenSheetCLAY!$I$3:$L$50,MATCH(VLOOKUP($I74,$I$5:$AJ$34,MATCH(VLOOKUP(S$37,$BH$3:$BI$50,2,FALSE),$I$4:$AJ$4,0),FALSE),BoundParameters_HiddenSheetCLAY!$I$1:$L$1,0),FALSE))),'Control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>Sand_56</v>
      </c>
      <c r="I75" s="7">
        <f t="shared" si="7"/>
        <v>3</v>
      </c>
      <c r="J75" s="44">
        <f>IF($I75="","",IF(J$37="","",IF('Control Panel'!J75="",IF(VLOOKUP($E40,'Table Output'!$A$2:$E$99998,5,FALSE)="Sand",VLOOKUP(J$37,BoundParameters_HiddenSheetSAND!$I$3:$L$50,MATCH(VLOOKUP($I75,$I$5:$AJ$34,MATCH(VLOOKUP(J$37,$BH$3:$BI$50,2,FALSE),$I$4:$AJ$4,0),FALSE),BoundParameters_HiddenSheetCLAY!$I$1:$L$1,0),FALSE),IF(VLOOKUP($E40,'Table Output'!$A$2:$E$9998,5,FALSE)="Clay",VLOOKUP(J$37,BoundParameters_HiddenSheetCLAY!$I$3:$L$50,MATCH(VLOOKUP($I75,$I$5:$AJ$34,MATCH(VLOOKUP(J$37,$BH$3:$BI$50,2,FALSE),$I$4:$AJ$4,0),FALSE),BoundParameters_HiddenSheetCLAY!$I$1:$L$1,0),FALSE))),'Control Panel'!J75)))</f>
        <v>700</v>
      </c>
      <c r="K75" s="44">
        <f>IF($I75="","",IF(K$37="","",IF('Control Panel'!K75="",IF(VLOOKUP($E40,'Table Output'!$A$2:$E$99998,5,FALSE)="Sand",VLOOKUP(K$37,BoundParameters_HiddenSheetSAND!$I$3:$L$50,MATCH(VLOOKUP($I75,$I$5:$AJ$34,MATCH(VLOOKUP(K$37,$BH$3:$BI$50,2,FALSE),$I$4:$AJ$4,0),FALSE),BoundParameters_HiddenSheetCLAY!$I$1:$L$1,0),FALSE),IF(VLOOKUP($E40,'Table Output'!$A$2:$E$9998,5,FALSE)="Clay",VLOOKUP(K$37,BoundParameters_HiddenSheetCLAY!$I$3:$L$50,MATCH(VLOOKUP($I75,$I$5:$AJ$34,MATCH(VLOOKUP(K$37,$BH$3:$BI$50,2,FALSE),$I$4:$AJ$4,0),FALSE),BoundParameters_HiddenSheetCLAY!$I$1:$L$1,0),FALSE))),'Control Panel'!K75)))</f>
        <v>300</v>
      </c>
      <c r="L75" s="44">
        <f>IF($I75="","",IF(L$37="","",IF('Control Panel'!L75="",IF(VLOOKUP($E40,'Table Output'!$A$2:$E$99998,5,FALSE)="Sand",VLOOKUP(L$37,BoundParameters_HiddenSheetSAND!$I$3:$L$50,MATCH(VLOOKUP($I75,$I$5:$AJ$34,MATCH(VLOOKUP(L$37,$BH$3:$BI$50,2,FALSE),$I$4:$AJ$4,0),FALSE),BoundParameters_HiddenSheetCLAY!$I$1:$L$1,0),FALSE),IF(VLOOKUP($E40,'Table Output'!$A$2:$E$9998,5,FALSE)="Clay",VLOOKUP(L$37,BoundParameters_HiddenSheetCLAY!$I$3:$L$50,MATCH(VLOOKUP($I75,$I$5:$AJ$34,MATCH(VLOOKUP(L$37,$BH$3:$BI$50,2,FALSE),$I$4:$AJ$4,0),FALSE),BoundParameters_HiddenSheetCLAY!$I$1:$L$1,0),FALSE))),'Control Panel'!L75)))</f>
        <v>50</v>
      </c>
      <c r="M75" s="44">
        <f>IF($I75="","",IF(M$37="","",IF('Control Panel'!M75="",IF(VLOOKUP($E40,'Table Output'!$A$2:$E$99998,5,FALSE)="Sand",VLOOKUP(M$37,BoundParameters_HiddenSheetSAND!$I$3:$L$50,MATCH(VLOOKUP($I75,$I$5:$AJ$34,MATCH(VLOOKUP(M$37,$BH$3:$BI$50,2,FALSE),$I$4:$AJ$4,0),FALSE),BoundParameters_HiddenSheetCLAY!$I$1:$L$1,0),FALSE),IF(VLOOKUP($E40,'Table Output'!$A$2:$E$9998,5,FALSE)="Clay",VLOOKUP(M$37,BoundParameters_HiddenSheetCLAY!$I$3:$L$50,MATCH(VLOOKUP($I75,$I$5:$AJ$34,MATCH(VLOOKUP(M$37,$BH$3:$BI$50,2,FALSE),$I$4:$AJ$4,0),FALSE),BoundParameters_HiddenSheetCLAY!$I$1:$L$1,0),FALSE))),'Control Panel'!M75)))</f>
        <v>1</v>
      </c>
      <c r="N75" s="44">
        <f>IF($I75="","",IF(N$37="","",IF('Control Panel'!N75="",IF(VLOOKUP($E40,'Table Output'!$A$2:$E$99998,5,FALSE)="Sand",VLOOKUP(N$37,BoundParameters_HiddenSheetSAND!$I$3:$L$50,MATCH(VLOOKUP($I75,$I$5:$AJ$34,MATCH(VLOOKUP(N$37,$BH$3:$BI$50,2,FALSE),$I$4:$AJ$4,0),FALSE),BoundParameters_HiddenSheetCLAY!$I$1:$L$1,0),FALSE),IF(VLOOKUP($E40,'Table Output'!$A$2:$E$9998,5,FALSE)="Clay",VLOOKUP(N$37,BoundParameters_HiddenSheetCLAY!$I$3:$L$50,MATCH(VLOOKUP($I75,$I$5:$AJ$34,MATCH(VLOOKUP(N$37,$BH$3:$BI$50,2,FALSE),$I$4:$AJ$4,0),FALSE),BoundParameters_HiddenSheetCLAY!$I$1:$L$1,0),FALSE))),'Control Panel'!N75)))</f>
        <v>50</v>
      </c>
      <c r="O75" s="44" t="str">
        <f>IF($I75="","",IF(O$37="","",IF('Control Panel'!O75="",IF(VLOOKUP($E40,'Table Output'!$A$2:$E$99998,5,FALSE)="Sand",VLOOKUP(O$37,BoundParameters_HiddenSheetSAND!$I$3:$L$50,MATCH(VLOOKUP($I75,$I$5:$AJ$34,MATCH(VLOOKUP(O$37,$BH$3:$BI$50,2,FALSE),$I$4:$AJ$4,0),FALSE),BoundParameters_HiddenSheetCLAY!$I$1:$L$1,0),FALSE),IF(VLOOKUP($E40,'Table Output'!$A$2:$E$9998,5,FALSE)="Clay",VLOOKUP(O$37,BoundParameters_HiddenSheetCLAY!$I$3:$L$50,MATCH(VLOOKUP($I75,$I$5:$AJ$34,MATCH(VLOOKUP(O$37,$BH$3:$BI$50,2,FALSE),$I$4:$AJ$4,0),FALSE),BoundParameters_HiddenSheetCLAY!$I$1:$L$1,0),FALSE))),'Control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Output'!$A$2:$E$99998,5,FALSE)="Sand",VLOOKUP(P$37,BoundParameters_HiddenSheetSAND!$I$3:$L$50,MATCH(VLOOKUP($I75,$I$5:$AJ$34,MATCH(VLOOKUP(P$37,$BH$3:$BI$50,2,FALSE),$I$4:$AJ$4,0),FALSE),BoundParameters_HiddenSheetCLAY!$I$1:$L$1,0),FALSE),IF(VLOOKUP($E40,'Table Output'!$A$2:$E$9998,5,FALSE)="Clay",VLOOKUP(P$37,BoundParameters_HiddenSheetCLAY!$I$3:$L$50,MATCH(VLOOKUP($I75,$I$5:$AJ$34,MATCH(VLOOKUP(P$37,$BH$3:$BI$50,2,FALSE),$I$4:$AJ$4,0),FALSE),BoundParameters_HiddenSheetCLAY!$I$1:$L$1,0),FALSE))),'Control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Output'!$A$2:$E$99998,5,FALSE)="Sand",VLOOKUP(Q$37,BoundParameters_HiddenSheetSAND!$I$3:$L$50,MATCH(VLOOKUP($I75,$I$5:$AJ$34,MATCH(VLOOKUP(Q$37,$BH$3:$BI$50,2,FALSE),$I$4:$AJ$4,0),FALSE),BoundParameters_HiddenSheetCLAY!$I$1:$L$1,0),FALSE),IF(VLOOKUP($E40,'Table Output'!$A$2:$E$9998,5,FALSE)="Clay",VLOOKUP(Q$37,BoundParameters_HiddenSheetCLAY!$I$3:$L$50,MATCH(VLOOKUP($I75,$I$5:$AJ$34,MATCH(VLOOKUP(Q$37,$BH$3:$BI$50,2,FALSE),$I$4:$AJ$4,0),FALSE),BoundParameters_HiddenSheetCLAY!$I$1:$L$1,0),FALSE))),'Control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Output'!$A$2:$E$99998,5,FALSE)="Sand",VLOOKUP(R$37,BoundParameters_HiddenSheetSAND!$I$3:$L$50,MATCH(VLOOKUP($I75,$I$5:$AJ$34,MATCH(VLOOKUP(R$37,$BH$3:$BI$50,2,FALSE),$I$4:$AJ$4,0),FALSE),BoundParameters_HiddenSheetCLAY!$I$1:$L$1,0),FALSE),IF(VLOOKUP($E40,'Table Output'!$A$2:$E$9998,5,FALSE)="Clay",VLOOKUP(R$37,BoundParameters_HiddenSheetCLAY!$I$3:$L$50,MATCH(VLOOKUP($I75,$I$5:$AJ$34,MATCH(VLOOKUP(R$37,$BH$3:$BI$50,2,FALSE),$I$4:$AJ$4,0),FALSE),BoundParameters_HiddenSheetCLAY!$I$1:$L$1,0),FALSE))),'Control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Output'!$A$2:$E$99998,5,FALSE)="Sand",VLOOKUP(S$37,BoundParameters_HiddenSheetSAND!$I$3:$L$50,MATCH(VLOOKUP($I75,$I$5:$AJ$34,MATCH(VLOOKUP(S$37,$BH$3:$BI$50,2,FALSE),$I$4:$AJ$4,0),FALSE),BoundParameters_HiddenSheetCLAY!$I$1:$L$1,0),FALSE),IF(VLOOKUP($E40,'Table Output'!$A$2:$E$9998,5,FALSE)="Clay",VLOOKUP(S$37,BoundParameters_HiddenSheetCLAY!$I$3:$L$50,MATCH(VLOOKUP($I75,$I$5:$AJ$34,MATCH(VLOOKUP(S$37,$BH$3:$BI$50,2,FALSE),$I$4:$AJ$4,0),FALSE),BoundParameters_HiddenSheetCLAY!$I$1:$L$1,0),FALSE))),'Control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>Sand_68</v>
      </c>
      <c r="I76" s="7">
        <f t="shared" si="7"/>
        <v>4</v>
      </c>
      <c r="J76" s="44">
        <f>IF($I76="","",IF(J$37="","",IF('Control Panel'!J76="",IF(VLOOKUP($E41,'Table Output'!$A$2:$E$99998,5,FALSE)="Sand",VLOOKUP(J$37,BoundParameters_HiddenSheetSAND!$I$3:$L$50,MATCH(VLOOKUP($I76,$I$5:$AJ$34,MATCH(VLOOKUP(J$37,$BH$3:$BI$50,2,FALSE),$I$4:$AJ$4,0),FALSE),BoundParameters_HiddenSheetCLAY!$I$1:$L$1,0),FALSE),IF(VLOOKUP($E41,'Table Output'!$A$2:$E$9998,5,FALSE)="Clay",VLOOKUP(J$37,BoundParameters_HiddenSheetCLAY!$I$3:$L$50,MATCH(VLOOKUP($I76,$I$5:$AJ$34,MATCH(VLOOKUP(J$37,$BH$3:$BI$50,2,FALSE),$I$4:$AJ$4,0),FALSE),BoundParameters_HiddenSheetCLAY!$I$1:$L$1,0),FALSE))),'Control Panel'!J76)))</f>
        <v>700</v>
      </c>
      <c r="K76" s="44">
        <f>IF($I76="","",IF(K$37="","",IF('Control Panel'!K76="",IF(VLOOKUP($E41,'Table Output'!$A$2:$E$99998,5,FALSE)="Sand",VLOOKUP(K$37,BoundParameters_HiddenSheetSAND!$I$3:$L$50,MATCH(VLOOKUP($I76,$I$5:$AJ$34,MATCH(VLOOKUP(K$37,$BH$3:$BI$50,2,FALSE),$I$4:$AJ$4,0),FALSE),BoundParameters_HiddenSheetCLAY!$I$1:$L$1,0),FALSE),IF(VLOOKUP($E41,'Table Output'!$A$2:$E$9998,5,FALSE)="Clay",VLOOKUP(K$37,BoundParameters_HiddenSheetCLAY!$I$3:$L$50,MATCH(VLOOKUP($I76,$I$5:$AJ$34,MATCH(VLOOKUP(K$37,$BH$3:$BI$50,2,FALSE),$I$4:$AJ$4,0),FALSE),BoundParameters_HiddenSheetCLAY!$I$1:$L$1,0),FALSE))),'Control Panel'!K76)))</f>
        <v>300</v>
      </c>
      <c r="L76" s="44">
        <f>IF($I76="","",IF(L$37="","",IF('Control Panel'!L76="",IF(VLOOKUP($E41,'Table Output'!$A$2:$E$99998,5,FALSE)="Sand",VLOOKUP(L$37,BoundParameters_HiddenSheetSAND!$I$3:$L$50,MATCH(VLOOKUP($I76,$I$5:$AJ$34,MATCH(VLOOKUP(L$37,$BH$3:$BI$50,2,FALSE),$I$4:$AJ$4,0),FALSE),BoundParameters_HiddenSheetCLAY!$I$1:$L$1,0),FALSE),IF(VLOOKUP($E41,'Table Output'!$A$2:$E$9998,5,FALSE)="Clay",VLOOKUP(L$37,BoundParameters_HiddenSheetCLAY!$I$3:$L$50,MATCH(VLOOKUP($I76,$I$5:$AJ$34,MATCH(VLOOKUP(L$37,$BH$3:$BI$50,2,FALSE),$I$4:$AJ$4,0),FALSE),BoundParameters_HiddenSheetCLAY!$I$1:$L$1,0),FALSE))),'Control Panel'!L76)))</f>
        <v>50</v>
      </c>
      <c r="M76" s="44">
        <f>IF($I76="","",IF(M$37="","",IF('Control Panel'!M76="",IF(VLOOKUP($E41,'Table Output'!$A$2:$E$99998,5,FALSE)="Sand",VLOOKUP(M$37,BoundParameters_HiddenSheetSAND!$I$3:$L$50,MATCH(VLOOKUP($I76,$I$5:$AJ$34,MATCH(VLOOKUP(M$37,$BH$3:$BI$50,2,FALSE),$I$4:$AJ$4,0),FALSE),BoundParameters_HiddenSheetCLAY!$I$1:$L$1,0),FALSE),IF(VLOOKUP($E41,'Table Output'!$A$2:$E$9998,5,FALSE)="Clay",VLOOKUP(M$37,BoundParameters_HiddenSheetCLAY!$I$3:$L$50,MATCH(VLOOKUP($I76,$I$5:$AJ$34,MATCH(VLOOKUP(M$37,$BH$3:$BI$50,2,FALSE),$I$4:$AJ$4,0),FALSE),BoundParameters_HiddenSheetCLAY!$I$1:$L$1,0),FALSE))),'Control Panel'!M76)))</f>
        <v>1</v>
      </c>
      <c r="N76" s="44">
        <f>IF($I76="","",IF(N$37="","",IF('Control Panel'!N76="",IF(VLOOKUP($E41,'Table Output'!$A$2:$E$99998,5,FALSE)="Sand",VLOOKUP(N$37,BoundParameters_HiddenSheetSAND!$I$3:$L$50,MATCH(VLOOKUP($I76,$I$5:$AJ$34,MATCH(VLOOKUP(N$37,$BH$3:$BI$50,2,FALSE),$I$4:$AJ$4,0),FALSE),BoundParameters_HiddenSheetCLAY!$I$1:$L$1,0),FALSE),IF(VLOOKUP($E41,'Table Output'!$A$2:$E$9998,5,FALSE)="Clay",VLOOKUP(N$37,BoundParameters_HiddenSheetCLAY!$I$3:$L$50,MATCH(VLOOKUP($I76,$I$5:$AJ$34,MATCH(VLOOKUP(N$37,$BH$3:$BI$50,2,FALSE),$I$4:$AJ$4,0),FALSE),BoundParameters_HiddenSheetCLAY!$I$1:$L$1,0),FALSE))),'Control Panel'!N76)))</f>
        <v>50</v>
      </c>
      <c r="O76" s="44" t="str">
        <f>IF($I76="","",IF(O$37="","",IF('Control Panel'!O76="",IF(VLOOKUP($E41,'Table Output'!$A$2:$E$99998,5,FALSE)="Sand",VLOOKUP(O$37,BoundParameters_HiddenSheetSAND!$I$3:$L$50,MATCH(VLOOKUP($I76,$I$5:$AJ$34,MATCH(VLOOKUP(O$37,$BH$3:$BI$50,2,FALSE),$I$4:$AJ$4,0),FALSE),BoundParameters_HiddenSheetCLAY!$I$1:$L$1,0),FALSE),IF(VLOOKUP($E41,'Table Output'!$A$2:$E$9998,5,FALSE)="Clay",VLOOKUP(O$37,BoundParameters_HiddenSheetCLAY!$I$3:$L$50,MATCH(VLOOKUP($I76,$I$5:$AJ$34,MATCH(VLOOKUP(O$37,$BH$3:$BI$50,2,FALSE),$I$4:$AJ$4,0),FALSE),BoundParameters_HiddenSheetCLAY!$I$1:$L$1,0),FALSE))),'Control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Output'!$A$2:$E$99998,5,FALSE)="Sand",VLOOKUP(P$37,BoundParameters_HiddenSheetSAND!$I$3:$L$50,MATCH(VLOOKUP($I76,$I$5:$AJ$34,MATCH(VLOOKUP(P$37,$BH$3:$BI$50,2,FALSE),$I$4:$AJ$4,0),FALSE),BoundParameters_HiddenSheetCLAY!$I$1:$L$1,0),FALSE),IF(VLOOKUP($E41,'Table Output'!$A$2:$E$9998,5,FALSE)="Clay",VLOOKUP(P$37,BoundParameters_HiddenSheetCLAY!$I$3:$L$50,MATCH(VLOOKUP($I76,$I$5:$AJ$34,MATCH(VLOOKUP(P$37,$BH$3:$BI$50,2,FALSE),$I$4:$AJ$4,0),FALSE),BoundParameters_HiddenSheetCLAY!$I$1:$L$1,0),FALSE))),'Control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Output'!$A$2:$E$99998,5,FALSE)="Sand",VLOOKUP(Q$37,BoundParameters_HiddenSheetSAND!$I$3:$L$50,MATCH(VLOOKUP($I76,$I$5:$AJ$34,MATCH(VLOOKUP(Q$37,$BH$3:$BI$50,2,FALSE),$I$4:$AJ$4,0),FALSE),BoundParameters_HiddenSheetCLAY!$I$1:$L$1,0),FALSE),IF(VLOOKUP($E41,'Table Output'!$A$2:$E$9998,5,FALSE)="Clay",VLOOKUP(Q$37,BoundParameters_HiddenSheetCLAY!$I$3:$L$50,MATCH(VLOOKUP($I76,$I$5:$AJ$34,MATCH(VLOOKUP(Q$37,$BH$3:$BI$50,2,FALSE),$I$4:$AJ$4,0),FALSE),BoundParameters_HiddenSheetCLAY!$I$1:$L$1,0),FALSE))),'Control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Output'!$A$2:$E$99998,5,FALSE)="Sand",VLOOKUP(R$37,BoundParameters_HiddenSheetSAND!$I$3:$L$50,MATCH(VLOOKUP($I76,$I$5:$AJ$34,MATCH(VLOOKUP(R$37,$BH$3:$BI$50,2,FALSE),$I$4:$AJ$4,0),FALSE),BoundParameters_HiddenSheetCLAY!$I$1:$L$1,0),FALSE),IF(VLOOKUP($E41,'Table Output'!$A$2:$E$9998,5,FALSE)="Clay",VLOOKUP(R$37,BoundParameters_HiddenSheetCLAY!$I$3:$L$50,MATCH(VLOOKUP($I76,$I$5:$AJ$34,MATCH(VLOOKUP(R$37,$BH$3:$BI$50,2,FALSE),$I$4:$AJ$4,0),FALSE),BoundParameters_HiddenSheetCLAY!$I$1:$L$1,0),FALSE))),'Control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Output'!$A$2:$E$99998,5,FALSE)="Sand",VLOOKUP(S$37,BoundParameters_HiddenSheetSAND!$I$3:$L$50,MATCH(VLOOKUP($I76,$I$5:$AJ$34,MATCH(VLOOKUP(S$37,$BH$3:$BI$50,2,FALSE),$I$4:$AJ$4,0),FALSE),BoundParameters_HiddenSheetCLAY!$I$1:$L$1,0),FALSE),IF(VLOOKUP($E41,'Table Output'!$A$2:$E$9998,5,FALSE)="Clay",VLOOKUP(S$37,BoundParameters_HiddenSheetCLAY!$I$3:$L$50,MATCH(VLOOKUP($I76,$I$5:$AJ$34,MATCH(VLOOKUP(S$37,$BH$3:$BI$50,2,FALSE),$I$4:$AJ$4,0),FALSE),BoundParameters_HiddenSheetCLAY!$I$1:$L$1,0),FALSE))),'Control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>Sand_79</v>
      </c>
      <c r="I77" s="7">
        <f t="shared" si="7"/>
        <v>5</v>
      </c>
      <c r="J77" s="44">
        <f>IF($I77="","",IF(J$37="","",IF('Control Panel'!J77="",IF(VLOOKUP($E42,'Table Output'!$A$2:$E$99998,5,FALSE)="Sand",VLOOKUP(J$37,BoundParameters_HiddenSheetSAND!$I$3:$L$50,MATCH(VLOOKUP($I77,$I$5:$AJ$34,MATCH(VLOOKUP(J$37,$BH$3:$BI$50,2,FALSE),$I$4:$AJ$4,0),FALSE),BoundParameters_HiddenSheetCLAY!$I$1:$L$1,0),FALSE),IF(VLOOKUP($E42,'Table Output'!$A$2:$E$9998,5,FALSE)="Clay",VLOOKUP(J$37,BoundParameters_HiddenSheetCLAY!$I$3:$L$50,MATCH(VLOOKUP($I77,$I$5:$AJ$34,MATCH(VLOOKUP(J$37,$BH$3:$BI$50,2,FALSE),$I$4:$AJ$4,0),FALSE),BoundParameters_HiddenSheetCLAY!$I$1:$L$1,0),FALSE))),'Control Panel'!J77)))</f>
        <v>700</v>
      </c>
      <c r="K77" s="44">
        <f>IF($I77="","",IF(K$37="","",IF('Control Panel'!K77="",IF(VLOOKUP($E42,'Table Output'!$A$2:$E$99998,5,FALSE)="Sand",VLOOKUP(K$37,BoundParameters_HiddenSheetSAND!$I$3:$L$50,MATCH(VLOOKUP($I77,$I$5:$AJ$34,MATCH(VLOOKUP(K$37,$BH$3:$BI$50,2,FALSE),$I$4:$AJ$4,0),FALSE),BoundParameters_HiddenSheetCLAY!$I$1:$L$1,0),FALSE),IF(VLOOKUP($E42,'Table Output'!$A$2:$E$9998,5,FALSE)="Clay",VLOOKUP(K$37,BoundParameters_HiddenSheetCLAY!$I$3:$L$50,MATCH(VLOOKUP($I77,$I$5:$AJ$34,MATCH(VLOOKUP(K$37,$BH$3:$BI$50,2,FALSE),$I$4:$AJ$4,0),FALSE),BoundParameters_HiddenSheetCLAY!$I$1:$L$1,0),FALSE))),'Control Panel'!K77)))</f>
        <v>300</v>
      </c>
      <c r="L77" s="44">
        <f>IF($I77="","",IF(L$37="","",IF('Control Panel'!L77="",IF(VLOOKUP($E42,'Table Output'!$A$2:$E$99998,5,FALSE)="Sand",VLOOKUP(L$37,BoundParameters_HiddenSheetSAND!$I$3:$L$50,MATCH(VLOOKUP($I77,$I$5:$AJ$34,MATCH(VLOOKUP(L$37,$BH$3:$BI$50,2,FALSE),$I$4:$AJ$4,0),FALSE),BoundParameters_HiddenSheetCLAY!$I$1:$L$1,0),FALSE),IF(VLOOKUP($E42,'Table Output'!$A$2:$E$9998,5,FALSE)="Clay",VLOOKUP(L$37,BoundParameters_HiddenSheetCLAY!$I$3:$L$50,MATCH(VLOOKUP($I77,$I$5:$AJ$34,MATCH(VLOOKUP(L$37,$BH$3:$BI$50,2,FALSE),$I$4:$AJ$4,0),FALSE),BoundParameters_HiddenSheetCLAY!$I$1:$L$1,0),FALSE))),'Control Panel'!L77)))</f>
        <v>50</v>
      </c>
      <c r="M77" s="44">
        <f>IF($I77="","",IF(M$37="","",IF('Control Panel'!M77="",IF(VLOOKUP($E42,'Table Output'!$A$2:$E$99998,5,FALSE)="Sand",VLOOKUP(M$37,BoundParameters_HiddenSheetSAND!$I$3:$L$50,MATCH(VLOOKUP($I77,$I$5:$AJ$34,MATCH(VLOOKUP(M$37,$BH$3:$BI$50,2,FALSE),$I$4:$AJ$4,0),FALSE),BoundParameters_HiddenSheetCLAY!$I$1:$L$1,0),FALSE),IF(VLOOKUP($E42,'Table Output'!$A$2:$E$9998,5,FALSE)="Clay",VLOOKUP(M$37,BoundParameters_HiddenSheetCLAY!$I$3:$L$50,MATCH(VLOOKUP($I77,$I$5:$AJ$34,MATCH(VLOOKUP(M$37,$BH$3:$BI$50,2,FALSE),$I$4:$AJ$4,0),FALSE),BoundParameters_HiddenSheetCLAY!$I$1:$L$1,0),FALSE))),'Control Panel'!M77)))</f>
        <v>1</v>
      </c>
      <c r="N77" s="44">
        <f>IF($I77="","",IF(N$37="","",IF('Control Panel'!N77="",IF(VLOOKUP($E42,'Table Output'!$A$2:$E$99998,5,FALSE)="Sand",VLOOKUP(N$37,BoundParameters_HiddenSheetSAND!$I$3:$L$50,MATCH(VLOOKUP($I77,$I$5:$AJ$34,MATCH(VLOOKUP(N$37,$BH$3:$BI$50,2,FALSE),$I$4:$AJ$4,0),FALSE),BoundParameters_HiddenSheetCLAY!$I$1:$L$1,0),FALSE),IF(VLOOKUP($E42,'Table Output'!$A$2:$E$9998,5,FALSE)="Clay",VLOOKUP(N$37,BoundParameters_HiddenSheetCLAY!$I$3:$L$50,MATCH(VLOOKUP($I77,$I$5:$AJ$34,MATCH(VLOOKUP(N$37,$BH$3:$BI$50,2,FALSE),$I$4:$AJ$4,0),FALSE),BoundParameters_HiddenSheetCLAY!$I$1:$L$1,0),FALSE))),'Control Panel'!N77)))</f>
        <v>50</v>
      </c>
      <c r="O77" s="44" t="str">
        <f>IF($I77="","",IF(O$37="","",IF('Control Panel'!O77="",IF(VLOOKUP($E42,'Table Output'!$A$2:$E$99998,5,FALSE)="Sand",VLOOKUP(O$37,BoundParameters_HiddenSheetSAND!$I$3:$L$50,MATCH(VLOOKUP($I77,$I$5:$AJ$34,MATCH(VLOOKUP(O$37,$BH$3:$BI$50,2,FALSE),$I$4:$AJ$4,0),FALSE),BoundParameters_HiddenSheetCLAY!$I$1:$L$1,0),FALSE),IF(VLOOKUP($E42,'Table Output'!$A$2:$E$9998,5,FALSE)="Clay",VLOOKUP(O$37,BoundParameters_HiddenSheetCLAY!$I$3:$L$50,MATCH(VLOOKUP($I77,$I$5:$AJ$34,MATCH(VLOOKUP(O$37,$BH$3:$BI$50,2,FALSE),$I$4:$AJ$4,0),FALSE),BoundParameters_HiddenSheetCLAY!$I$1:$L$1,0),FALSE))),'Control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Output'!$A$2:$E$99998,5,FALSE)="Sand",VLOOKUP(P$37,BoundParameters_HiddenSheetSAND!$I$3:$L$50,MATCH(VLOOKUP($I77,$I$5:$AJ$34,MATCH(VLOOKUP(P$37,$BH$3:$BI$50,2,FALSE),$I$4:$AJ$4,0),FALSE),BoundParameters_HiddenSheetCLAY!$I$1:$L$1,0),FALSE),IF(VLOOKUP($E42,'Table Output'!$A$2:$E$9998,5,FALSE)="Clay",VLOOKUP(P$37,BoundParameters_HiddenSheetCLAY!$I$3:$L$50,MATCH(VLOOKUP($I77,$I$5:$AJ$34,MATCH(VLOOKUP(P$37,$BH$3:$BI$50,2,FALSE),$I$4:$AJ$4,0),FALSE),BoundParameters_HiddenSheetCLAY!$I$1:$L$1,0),FALSE))),'Control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Output'!$A$2:$E$99998,5,FALSE)="Sand",VLOOKUP(Q$37,BoundParameters_HiddenSheetSAND!$I$3:$L$50,MATCH(VLOOKUP($I77,$I$5:$AJ$34,MATCH(VLOOKUP(Q$37,$BH$3:$BI$50,2,FALSE),$I$4:$AJ$4,0),FALSE),BoundParameters_HiddenSheetCLAY!$I$1:$L$1,0),FALSE),IF(VLOOKUP($E42,'Table Output'!$A$2:$E$9998,5,FALSE)="Clay",VLOOKUP(Q$37,BoundParameters_HiddenSheetCLAY!$I$3:$L$50,MATCH(VLOOKUP($I77,$I$5:$AJ$34,MATCH(VLOOKUP(Q$37,$BH$3:$BI$50,2,FALSE),$I$4:$AJ$4,0),FALSE),BoundParameters_HiddenSheetCLAY!$I$1:$L$1,0),FALSE))),'Control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Output'!$A$2:$E$99998,5,FALSE)="Sand",VLOOKUP(R$37,BoundParameters_HiddenSheetSAND!$I$3:$L$50,MATCH(VLOOKUP($I77,$I$5:$AJ$34,MATCH(VLOOKUP(R$37,$BH$3:$BI$50,2,FALSE),$I$4:$AJ$4,0),FALSE),BoundParameters_HiddenSheetCLAY!$I$1:$L$1,0),FALSE),IF(VLOOKUP($E42,'Table Output'!$A$2:$E$9998,5,FALSE)="Clay",VLOOKUP(R$37,BoundParameters_HiddenSheetCLAY!$I$3:$L$50,MATCH(VLOOKUP($I77,$I$5:$AJ$34,MATCH(VLOOKUP(R$37,$BH$3:$BI$50,2,FALSE),$I$4:$AJ$4,0),FALSE),BoundParameters_HiddenSheetCLAY!$I$1:$L$1,0),FALSE))),'Control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Output'!$A$2:$E$99998,5,FALSE)="Sand",VLOOKUP(S$37,BoundParameters_HiddenSheetSAND!$I$3:$L$50,MATCH(VLOOKUP($I77,$I$5:$AJ$34,MATCH(VLOOKUP(S$37,$BH$3:$BI$50,2,FALSE),$I$4:$AJ$4,0),FALSE),BoundParameters_HiddenSheetCLAY!$I$1:$L$1,0),FALSE),IF(VLOOKUP($E42,'Table Output'!$A$2:$E$9998,5,FALSE)="Clay",VLOOKUP(S$37,BoundParameters_HiddenSheetCLAY!$I$3:$L$50,MATCH(VLOOKUP($I77,$I$5:$AJ$34,MATCH(VLOOKUP(S$37,$BH$3:$BI$50,2,FALSE),$I$4:$AJ$4,0),FALSE),BoundParameters_HiddenSheetCLAY!$I$1:$L$1,0),FALSE))),'Control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>Sand_59</v>
      </c>
      <c r="I78" s="7">
        <f t="shared" si="7"/>
        <v>6</v>
      </c>
      <c r="J78" s="44">
        <f>IF($I78="","",IF(J$37="","",IF('Control Panel'!J78="",IF(VLOOKUP($E43,'Table Output'!$A$2:$E$99998,5,FALSE)="Sand",VLOOKUP(J$37,BoundParameters_HiddenSheetSAND!$I$3:$L$50,MATCH(VLOOKUP($I78,$I$5:$AJ$34,MATCH(VLOOKUP(J$37,$BH$3:$BI$50,2,FALSE),$I$4:$AJ$4,0),FALSE),BoundParameters_HiddenSheetCLAY!$I$1:$L$1,0),FALSE),IF(VLOOKUP($E43,'Table Output'!$A$2:$E$9998,5,FALSE)="Clay",VLOOKUP(J$37,BoundParameters_HiddenSheetCLAY!$I$3:$L$50,MATCH(VLOOKUP($I78,$I$5:$AJ$34,MATCH(VLOOKUP(J$37,$BH$3:$BI$50,2,FALSE),$I$4:$AJ$4,0),FALSE),BoundParameters_HiddenSheetCLAY!$I$1:$L$1,0),FALSE))),'Control Panel'!J78)))</f>
        <v>700</v>
      </c>
      <c r="K78" s="44">
        <f>IF($I78="","",IF(K$37="","",IF('Control Panel'!K78="",IF(VLOOKUP($E43,'Table Output'!$A$2:$E$99998,5,FALSE)="Sand",VLOOKUP(K$37,BoundParameters_HiddenSheetSAND!$I$3:$L$50,MATCH(VLOOKUP($I78,$I$5:$AJ$34,MATCH(VLOOKUP(K$37,$BH$3:$BI$50,2,FALSE),$I$4:$AJ$4,0),FALSE),BoundParameters_HiddenSheetCLAY!$I$1:$L$1,0),FALSE),IF(VLOOKUP($E43,'Table Output'!$A$2:$E$9998,5,FALSE)="Clay",VLOOKUP(K$37,BoundParameters_HiddenSheetCLAY!$I$3:$L$50,MATCH(VLOOKUP($I78,$I$5:$AJ$34,MATCH(VLOOKUP(K$37,$BH$3:$BI$50,2,FALSE),$I$4:$AJ$4,0),FALSE),BoundParameters_HiddenSheetCLAY!$I$1:$L$1,0),FALSE))),'Control Panel'!K78)))</f>
        <v>300</v>
      </c>
      <c r="L78" s="44">
        <f>IF($I78="","",IF(L$37="","",IF('Control Panel'!L78="",IF(VLOOKUP($E43,'Table Output'!$A$2:$E$99998,5,FALSE)="Sand",VLOOKUP(L$37,BoundParameters_HiddenSheetSAND!$I$3:$L$50,MATCH(VLOOKUP($I78,$I$5:$AJ$34,MATCH(VLOOKUP(L$37,$BH$3:$BI$50,2,FALSE),$I$4:$AJ$4,0),FALSE),BoundParameters_HiddenSheetCLAY!$I$1:$L$1,0),FALSE),IF(VLOOKUP($E43,'Table Output'!$A$2:$E$9998,5,FALSE)="Clay",VLOOKUP(L$37,BoundParameters_HiddenSheetCLAY!$I$3:$L$50,MATCH(VLOOKUP($I78,$I$5:$AJ$34,MATCH(VLOOKUP(L$37,$BH$3:$BI$50,2,FALSE),$I$4:$AJ$4,0),FALSE),BoundParameters_HiddenSheetCLAY!$I$1:$L$1,0),FALSE))),'Control Panel'!L78)))</f>
        <v>50</v>
      </c>
      <c r="M78" s="44">
        <f>IF($I78="","",IF(M$37="","",IF('Control Panel'!M78="",IF(VLOOKUP($E43,'Table Output'!$A$2:$E$99998,5,FALSE)="Sand",VLOOKUP(M$37,BoundParameters_HiddenSheetSAND!$I$3:$L$50,MATCH(VLOOKUP($I78,$I$5:$AJ$34,MATCH(VLOOKUP(M$37,$BH$3:$BI$50,2,FALSE),$I$4:$AJ$4,0),FALSE),BoundParameters_HiddenSheetCLAY!$I$1:$L$1,0),FALSE),IF(VLOOKUP($E43,'Table Output'!$A$2:$E$9998,5,FALSE)="Clay",VLOOKUP(M$37,BoundParameters_HiddenSheetCLAY!$I$3:$L$50,MATCH(VLOOKUP($I78,$I$5:$AJ$34,MATCH(VLOOKUP(M$37,$BH$3:$BI$50,2,FALSE),$I$4:$AJ$4,0),FALSE),BoundParameters_HiddenSheetCLAY!$I$1:$L$1,0),FALSE))),'Control Panel'!M78)))</f>
        <v>1</v>
      </c>
      <c r="N78" s="44">
        <f>IF($I78="","",IF(N$37="","",IF('Control Panel'!N78="",IF(VLOOKUP($E43,'Table Output'!$A$2:$E$99998,5,FALSE)="Sand",VLOOKUP(N$37,BoundParameters_HiddenSheetSAND!$I$3:$L$50,MATCH(VLOOKUP($I78,$I$5:$AJ$34,MATCH(VLOOKUP(N$37,$BH$3:$BI$50,2,FALSE),$I$4:$AJ$4,0),FALSE),BoundParameters_HiddenSheetCLAY!$I$1:$L$1,0),FALSE),IF(VLOOKUP($E43,'Table Output'!$A$2:$E$9998,5,FALSE)="Clay",VLOOKUP(N$37,BoundParameters_HiddenSheetCLAY!$I$3:$L$50,MATCH(VLOOKUP($I78,$I$5:$AJ$34,MATCH(VLOOKUP(N$37,$BH$3:$BI$50,2,FALSE),$I$4:$AJ$4,0),FALSE),BoundParameters_HiddenSheetCLAY!$I$1:$L$1,0),FALSE))),'Control Panel'!N78)))</f>
        <v>50</v>
      </c>
      <c r="O78" s="44" t="str">
        <f>IF($I78="","",IF(O$37="","",IF('Control Panel'!O78="",IF(VLOOKUP($E43,'Table Output'!$A$2:$E$99998,5,FALSE)="Sand",VLOOKUP(O$37,BoundParameters_HiddenSheetSAND!$I$3:$L$50,MATCH(VLOOKUP($I78,$I$5:$AJ$34,MATCH(VLOOKUP(O$37,$BH$3:$BI$50,2,FALSE),$I$4:$AJ$4,0),FALSE),BoundParameters_HiddenSheetCLAY!$I$1:$L$1,0),FALSE),IF(VLOOKUP($E43,'Table Output'!$A$2:$E$9998,5,FALSE)="Clay",VLOOKUP(O$37,BoundParameters_HiddenSheetCLAY!$I$3:$L$50,MATCH(VLOOKUP($I78,$I$5:$AJ$34,MATCH(VLOOKUP(O$37,$BH$3:$BI$50,2,FALSE),$I$4:$AJ$4,0),FALSE),BoundParameters_HiddenSheetCLAY!$I$1:$L$1,0),FALSE))),'Control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Output'!$A$2:$E$99998,5,FALSE)="Sand",VLOOKUP(P$37,BoundParameters_HiddenSheetSAND!$I$3:$L$50,MATCH(VLOOKUP($I78,$I$5:$AJ$34,MATCH(VLOOKUP(P$37,$BH$3:$BI$50,2,FALSE),$I$4:$AJ$4,0),FALSE),BoundParameters_HiddenSheetCLAY!$I$1:$L$1,0),FALSE),IF(VLOOKUP($E43,'Table Output'!$A$2:$E$9998,5,FALSE)="Clay",VLOOKUP(P$37,BoundParameters_HiddenSheetCLAY!$I$3:$L$50,MATCH(VLOOKUP($I78,$I$5:$AJ$34,MATCH(VLOOKUP(P$37,$BH$3:$BI$50,2,FALSE),$I$4:$AJ$4,0),FALSE),BoundParameters_HiddenSheetCLAY!$I$1:$L$1,0),FALSE))),'Control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Output'!$A$2:$E$99998,5,FALSE)="Sand",VLOOKUP(Q$37,BoundParameters_HiddenSheetSAND!$I$3:$L$50,MATCH(VLOOKUP($I78,$I$5:$AJ$34,MATCH(VLOOKUP(Q$37,$BH$3:$BI$50,2,FALSE),$I$4:$AJ$4,0),FALSE),BoundParameters_HiddenSheetCLAY!$I$1:$L$1,0),FALSE),IF(VLOOKUP($E43,'Table Output'!$A$2:$E$9998,5,FALSE)="Clay",VLOOKUP(Q$37,BoundParameters_HiddenSheetCLAY!$I$3:$L$50,MATCH(VLOOKUP($I78,$I$5:$AJ$34,MATCH(VLOOKUP(Q$37,$BH$3:$BI$50,2,FALSE),$I$4:$AJ$4,0),FALSE),BoundParameters_HiddenSheetCLAY!$I$1:$L$1,0),FALSE))),'Control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Output'!$A$2:$E$99998,5,FALSE)="Sand",VLOOKUP(R$37,BoundParameters_HiddenSheetSAND!$I$3:$L$50,MATCH(VLOOKUP($I78,$I$5:$AJ$34,MATCH(VLOOKUP(R$37,$BH$3:$BI$50,2,FALSE),$I$4:$AJ$4,0),FALSE),BoundParameters_HiddenSheetCLAY!$I$1:$L$1,0),FALSE),IF(VLOOKUP($E43,'Table Output'!$A$2:$E$9998,5,FALSE)="Clay",VLOOKUP(R$37,BoundParameters_HiddenSheetCLAY!$I$3:$L$50,MATCH(VLOOKUP($I78,$I$5:$AJ$34,MATCH(VLOOKUP(R$37,$BH$3:$BI$50,2,FALSE),$I$4:$AJ$4,0),FALSE),BoundParameters_HiddenSheetCLAY!$I$1:$L$1,0),FALSE))),'Control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Output'!$A$2:$E$99998,5,FALSE)="Sand",VLOOKUP(S$37,BoundParameters_HiddenSheetSAND!$I$3:$L$50,MATCH(VLOOKUP($I78,$I$5:$AJ$34,MATCH(VLOOKUP(S$37,$BH$3:$BI$50,2,FALSE),$I$4:$AJ$4,0),FALSE),BoundParameters_HiddenSheetCLAY!$I$1:$L$1,0),FALSE),IF(VLOOKUP($E43,'Table Output'!$A$2:$E$9998,5,FALSE)="Clay",VLOOKUP(S$37,BoundParameters_HiddenSheetCLAY!$I$3:$L$50,MATCH(VLOOKUP($I78,$I$5:$AJ$34,MATCH(VLOOKUP(S$37,$BH$3:$BI$50,2,FALSE),$I$4:$AJ$4,0),FALSE),BoundParameters_HiddenSheetCLAY!$I$1:$L$1,0),FALSE))),'Control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>Cowden_Clay</v>
      </c>
      <c r="I79" s="7">
        <f t="shared" si="7"/>
        <v>7</v>
      </c>
      <c r="J79" s="44">
        <f>IF($I79="","",IF(J$37="","",IF('Control Panel'!J79="",IF(VLOOKUP($E44,'Table Output'!$A$2:$E$99998,5,FALSE)="Sand",VLOOKUP(J$37,BoundParameters_HiddenSheetSAND!$I$3:$L$50,MATCH(VLOOKUP($I79,$I$5:$AJ$34,MATCH(VLOOKUP(J$37,$BH$3:$BI$50,2,FALSE),$I$4:$AJ$4,0),FALSE),BoundParameters_HiddenSheetCLAY!$I$1:$L$1,0),FALSE),IF(VLOOKUP($E44,'Table Output'!$A$2:$E$9998,5,FALSE)="Clay",VLOOKUP(J$37,BoundParameters_HiddenSheetCLAY!$I$3:$L$50,MATCH(VLOOKUP($I79,$I$5:$AJ$34,MATCH(VLOOKUP(J$37,$BH$3:$BI$50,2,FALSE),$I$4:$AJ$4,0),FALSE),BoundParameters_HiddenSheetCLAY!$I$1:$L$1,0),FALSE))),'Control Panel'!J79)))</f>
        <v>200</v>
      </c>
      <c r="K79" s="44">
        <f>IF($I79="","",IF(K$37="","",IF('Control Panel'!K79="",IF(VLOOKUP($E44,'Table Output'!$A$2:$E$99998,5,FALSE)="Sand",VLOOKUP(K$37,BoundParameters_HiddenSheetSAND!$I$3:$L$50,MATCH(VLOOKUP($I79,$I$5:$AJ$34,MATCH(VLOOKUP(K$37,$BH$3:$BI$50,2,FALSE),$I$4:$AJ$4,0),FALSE),BoundParameters_HiddenSheetCLAY!$I$1:$L$1,0),FALSE),IF(VLOOKUP($E44,'Table Output'!$A$2:$E$9998,5,FALSE)="Clay",VLOOKUP(K$37,BoundParameters_HiddenSheetCLAY!$I$3:$L$50,MATCH(VLOOKUP($I79,$I$5:$AJ$34,MATCH(VLOOKUP(K$37,$BH$3:$BI$50,2,FALSE),$I$4:$AJ$4,0),FALSE),BoundParameters_HiddenSheetCLAY!$I$1:$L$1,0),FALSE))),'Control Panel'!K79)))</f>
        <v>15.832000000000001</v>
      </c>
      <c r="L79" s="44">
        <f>IF($I79="","",IF(L$37="","",IF('Control Panel'!L79="",IF(VLOOKUP($E44,'Table Output'!$A$2:$E$99998,5,FALSE)="Sand",VLOOKUP(L$37,BoundParameters_HiddenSheetSAND!$I$3:$L$50,MATCH(VLOOKUP($I79,$I$5:$AJ$34,MATCH(VLOOKUP(L$37,$BH$3:$BI$50,2,FALSE),$I$4:$AJ$4,0),FALSE),BoundParameters_HiddenSheetCLAY!$I$1:$L$1,0),FALSE),IF(VLOOKUP($E44,'Table Output'!$A$2:$E$9998,5,FALSE)="Clay",VLOOKUP(L$37,BoundParameters_HiddenSheetCLAY!$I$3:$L$50,MATCH(VLOOKUP($I79,$I$5:$AJ$34,MATCH(VLOOKUP(L$37,$BH$3:$BI$50,2,FALSE),$I$4:$AJ$4,0),FALSE),BoundParameters_HiddenSheetCLAY!$I$1:$L$1,0),FALSE))),'Control Panel'!L79)))</f>
        <v>0.5</v>
      </c>
      <c r="M79" s="44">
        <f>IF($I79="","",IF(M$37="","",IF('Control Panel'!M79="",IF(VLOOKUP($E44,'Table Output'!$A$2:$E$99998,5,FALSE)="Sand",VLOOKUP(M$37,BoundParameters_HiddenSheetSAND!$I$3:$L$50,MATCH(VLOOKUP($I79,$I$5:$AJ$34,MATCH(VLOOKUP(M$37,$BH$3:$BI$50,2,FALSE),$I$4:$AJ$4,0),FALSE),BoundParameters_HiddenSheetCLAY!$I$1:$L$1,0),FALSE),IF(VLOOKUP($E44,'Table Output'!$A$2:$E$9998,5,FALSE)="Clay",VLOOKUP(M$37,BoundParameters_HiddenSheetCLAY!$I$3:$L$50,MATCH(VLOOKUP($I79,$I$5:$AJ$34,MATCH(VLOOKUP(M$37,$BH$3:$BI$50,2,FALSE),$I$4:$AJ$4,0),FALSE),BoundParameters_HiddenSheetCLAY!$I$1:$L$1,0),FALSE))),'Control Panel'!M79)))</f>
        <v>0</v>
      </c>
      <c r="N79" s="44">
        <f>IF($I79="","",IF(N$37="","",IF('Control Panel'!N79="",IF(VLOOKUP($E44,'Table Output'!$A$2:$E$99998,5,FALSE)="Sand",VLOOKUP(N$37,BoundParameters_HiddenSheetSAND!$I$3:$L$50,MATCH(VLOOKUP($I79,$I$5:$AJ$34,MATCH(VLOOKUP(N$37,$BH$3:$BI$50,2,FALSE),$I$4:$AJ$4,0),FALSE),BoundParameters_HiddenSheetCLAY!$I$1:$L$1,0),FALSE),IF(VLOOKUP($E44,'Table Output'!$A$2:$E$9998,5,FALSE)="Clay",VLOOKUP(N$37,BoundParameters_HiddenSheetCLAY!$I$3:$L$50,MATCH(VLOOKUP($I79,$I$5:$AJ$34,MATCH(VLOOKUP(N$37,$BH$3:$BI$50,2,FALSE),$I$4:$AJ$4,0),FALSE),BoundParameters_HiddenSheetCLAY!$I$1:$L$1,0),FALSE))),'Control Panel'!N79)))</f>
        <v>14.4</v>
      </c>
      <c r="O79" s="44" t="str">
        <f>IF($I79="","",IF(O$37="","",IF('Control Panel'!O79="",IF(VLOOKUP($E44,'Table Output'!$A$2:$E$99998,5,FALSE)="Sand",VLOOKUP(O$37,BoundParameters_HiddenSheetSAND!$I$3:$L$50,MATCH(VLOOKUP($I79,$I$5:$AJ$34,MATCH(VLOOKUP(O$37,$BH$3:$BI$50,2,FALSE),$I$4:$AJ$4,0),FALSE),BoundParameters_HiddenSheetCLAY!$I$1:$L$1,0),FALSE),IF(VLOOKUP($E44,'Table Output'!$A$2:$E$9998,5,FALSE)="Clay",VLOOKUP(O$37,BoundParameters_HiddenSheetCLAY!$I$3:$L$50,MATCH(VLOOKUP($I79,$I$5:$AJ$34,MATCH(VLOOKUP(O$37,$BH$3:$BI$50,2,FALSE),$I$4:$AJ$4,0),FALSE),BoundParameters_HiddenSheetCLAY!$I$1:$L$1,0),FALSE))),'Control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Output'!$A$2:$E$99998,5,FALSE)="Sand",VLOOKUP(P$37,BoundParameters_HiddenSheetSAND!$I$3:$L$50,MATCH(VLOOKUP($I79,$I$5:$AJ$34,MATCH(VLOOKUP(P$37,$BH$3:$BI$50,2,FALSE),$I$4:$AJ$4,0),FALSE),BoundParameters_HiddenSheetCLAY!$I$1:$L$1,0),FALSE),IF(VLOOKUP($E44,'Table Output'!$A$2:$E$9998,5,FALSE)="Clay",VLOOKUP(P$37,BoundParameters_HiddenSheetCLAY!$I$3:$L$50,MATCH(VLOOKUP($I79,$I$5:$AJ$34,MATCH(VLOOKUP(P$37,$BH$3:$BI$50,2,FALSE),$I$4:$AJ$4,0),FALSE),BoundParameters_HiddenSheetCLAY!$I$1:$L$1,0),FALSE))),'Control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Output'!$A$2:$E$99998,5,FALSE)="Sand",VLOOKUP(Q$37,BoundParameters_HiddenSheetSAND!$I$3:$L$50,MATCH(VLOOKUP($I79,$I$5:$AJ$34,MATCH(VLOOKUP(Q$37,$BH$3:$BI$50,2,FALSE),$I$4:$AJ$4,0),FALSE),BoundParameters_HiddenSheetCLAY!$I$1:$L$1,0),FALSE),IF(VLOOKUP($E44,'Table Output'!$A$2:$E$9998,5,FALSE)="Clay",VLOOKUP(Q$37,BoundParameters_HiddenSheetCLAY!$I$3:$L$50,MATCH(VLOOKUP($I79,$I$5:$AJ$34,MATCH(VLOOKUP(Q$37,$BH$3:$BI$50,2,FALSE),$I$4:$AJ$4,0),FALSE),BoundParameters_HiddenSheetCLAY!$I$1:$L$1,0),FALSE))),'Control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Output'!$A$2:$E$99998,5,FALSE)="Sand",VLOOKUP(R$37,BoundParameters_HiddenSheetSAND!$I$3:$L$50,MATCH(VLOOKUP($I79,$I$5:$AJ$34,MATCH(VLOOKUP(R$37,$BH$3:$BI$50,2,FALSE),$I$4:$AJ$4,0),FALSE),BoundParameters_HiddenSheetCLAY!$I$1:$L$1,0),FALSE),IF(VLOOKUP($E44,'Table Output'!$A$2:$E$9998,5,FALSE)="Clay",VLOOKUP(R$37,BoundParameters_HiddenSheetCLAY!$I$3:$L$50,MATCH(VLOOKUP($I79,$I$5:$AJ$34,MATCH(VLOOKUP(R$37,$BH$3:$BI$50,2,FALSE),$I$4:$AJ$4,0),FALSE),BoundParameters_HiddenSheetCLAY!$I$1:$L$1,0),FALSE))),'Control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Output'!$A$2:$E$99998,5,FALSE)="Sand",VLOOKUP(S$37,BoundParameters_HiddenSheetSAND!$I$3:$L$50,MATCH(VLOOKUP($I79,$I$5:$AJ$34,MATCH(VLOOKUP(S$37,$BH$3:$BI$50,2,FALSE),$I$4:$AJ$4,0),FALSE),BoundParameters_HiddenSheetCLAY!$I$1:$L$1,0),FALSE),IF(VLOOKUP($E44,'Table Output'!$A$2:$E$9998,5,FALSE)="Clay",VLOOKUP(S$37,BoundParameters_HiddenSheetCLAY!$I$3:$L$50,MATCH(VLOOKUP($I79,$I$5:$AJ$34,MATCH(VLOOKUP(S$37,$BH$3:$BI$50,2,FALSE),$I$4:$AJ$4,0),FALSE),BoundParameters_HiddenSheetCLAY!$I$1:$L$1,0),FALSE))),'Control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>Sand_80</v>
      </c>
      <c r="I80" s="7">
        <f t="shared" si="7"/>
        <v>8</v>
      </c>
      <c r="J80" s="44">
        <f>IF($I80="","",IF(J$37="","",IF('Control Panel'!J80="",IF(VLOOKUP($E45,'Table Output'!$A$2:$E$99998,5,FALSE)="Sand",VLOOKUP(J$37,BoundParameters_HiddenSheetSAND!$I$3:$L$50,MATCH(VLOOKUP($I80,$I$5:$AJ$34,MATCH(VLOOKUP(J$37,$BH$3:$BI$50,2,FALSE),$I$4:$AJ$4,0),FALSE),BoundParameters_HiddenSheetCLAY!$I$1:$L$1,0),FALSE),IF(VLOOKUP($E45,'Table Output'!$A$2:$E$9998,5,FALSE)="Clay",VLOOKUP(J$37,BoundParameters_HiddenSheetCLAY!$I$3:$L$50,MATCH(VLOOKUP($I80,$I$5:$AJ$34,MATCH(VLOOKUP(J$37,$BH$3:$BI$50,2,FALSE),$I$4:$AJ$4,0),FALSE),BoundParameters_HiddenSheetCLAY!$I$1:$L$1,0),FALSE))),'Control Panel'!J80)))</f>
        <v>700</v>
      </c>
      <c r="K80" s="44">
        <f>IF($I80="","",IF(K$37="","",IF('Control Panel'!K80="",IF(VLOOKUP($E45,'Table Output'!$A$2:$E$99998,5,FALSE)="Sand",VLOOKUP(K$37,BoundParameters_HiddenSheetSAND!$I$3:$L$50,MATCH(VLOOKUP($I80,$I$5:$AJ$34,MATCH(VLOOKUP(K$37,$BH$3:$BI$50,2,FALSE),$I$4:$AJ$4,0),FALSE),BoundParameters_HiddenSheetCLAY!$I$1:$L$1,0),FALSE),IF(VLOOKUP($E45,'Table Output'!$A$2:$E$9998,5,FALSE)="Clay",VLOOKUP(K$37,BoundParameters_HiddenSheetCLAY!$I$3:$L$50,MATCH(VLOOKUP($I80,$I$5:$AJ$34,MATCH(VLOOKUP(K$37,$BH$3:$BI$50,2,FALSE),$I$4:$AJ$4,0),FALSE),BoundParameters_HiddenSheetCLAY!$I$1:$L$1,0),FALSE))),'Control Panel'!K80)))</f>
        <v>300</v>
      </c>
      <c r="L80" s="44">
        <f>IF($I80="","",IF(L$37="","",IF('Control Panel'!L80="",IF(VLOOKUP($E45,'Table Output'!$A$2:$E$99998,5,FALSE)="Sand",VLOOKUP(L$37,BoundParameters_HiddenSheetSAND!$I$3:$L$50,MATCH(VLOOKUP($I80,$I$5:$AJ$34,MATCH(VLOOKUP(L$37,$BH$3:$BI$50,2,FALSE),$I$4:$AJ$4,0),FALSE),BoundParameters_HiddenSheetCLAY!$I$1:$L$1,0),FALSE),IF(VLOOKUP($E45,'Table Output'!$A$2:$E$9998,5,FALSE)="Clay",VLOOKUP(L$37,BoundParameters_HiddenSheetCLAY!$I$3:$L$50,MATCH(VLOOKUP($I80,$I$5:$AJ$34,MATCH(VLOOKUP(L$37,$BH$3:$BI$50,2,FALSE),$I$4:$AJ$4,0),FALSE),BoundParameters_HiddenSheetCLAY!$I$1:$L$1,0),FALSE))),'Control Panel'!L80)))</f>
        <v>50</v>
      </c>
      <c r="M80" s="44">
        <f>IF($I80="","",IF(M$37="","",IF('Control Panel'!M80="",IF(VLOOKUP($E45,'Table Output'!$A$2:$E$99998,5,FALSE)="Sand",VLOOKUP(M$37,BoundParameters_HiddenSheetSAND!$I$3:$L$50,MATCH(VLOOKUP($I80,$I$5:$AJ$34,MATCH(VLOOKUP(M$37,$BH$3:$BI$50,2,FALSE),$I$4:$AJ$4,0),FALSE),BoundParameters_HiddenSheetCLAY!$I$1:$L$1,0),FALSE),IF(VLOOKUP($E45,'Table Output'!$A$2:$E$9998,5,FALSE)="Clay",VLOOKUP(M$37,BoundParameters_HiddenSheetCLAY!$I$3:$L$50,MATCH(VLOOKUP($I80,$I$5:$AJ$34,MATCH(VLOOKUP(M$37,$BH$3:$BI$50,2,FALSE),$I$4:$AJ$4,0),FALSE),BoundParameters_HiddenSheetCLAY!$I$1:$L$1,0),FALSE))),'Control Panel'!M80)))</f>
        <v>1</v>
      </c>
      <c r="N80" s="44">
        <f>IF($I80="","",IF(N$37="","",IF('Control Panel'!N80="",IF(VLOOKUP($E45,'Table Output'!$A$2:$E$99998,5,FALSE)="Sand",VLOOKUP(N$37,BoundParameters_HiddenSheetSAND!$I$3:$L$50,MATCH(VLOOKUP($I80,$I$5:$AJ$34,MATCH(VLOOKUP(N$37,$BH$3:$BI$50,2,FALSE),$I$4:$AJ$4,0),FALSE),BoundParameters_HiddenSheetCLAY!$I$1:$L$1,0),FALSE),IF(VLOOKUP($E45,'Table Output'!$A$2:$E$9998,5,FALSE)="Clay",VLOOKUP(N$37,BoundParameters_HiddenSheetCLAY!$I$3:$L$50,MATCH(VLOOKUP($I80,$I$5:$AJ$34,MATCH(VLOOKUP(N$37,$BH$3:$BI$50,2,FALSE),$I$4:$AJ$4,0),FALSE),BoundParameters_HiddenSheetCLAY!$I$1:$L$1,0),FALSE))),'Control Panel'!N80)))</f>
        <v>50</v>
      </c>
      <c r="O80" s="44" t="str">
        <f>IF($I80="","",IF(O$37="","",IF('Control Panel'!O80="",IF(VLOOKUP($E45,'Table Output'!$A$2:$E$99998,5,FALSE)="Sand",VLOOKUP(O$37,BoundParameters_HiddenSheetSAND!$I$3:$L$50,MATCH(VLOOKUP($I80,$I$5:$AJ$34,MATCH(VLOOKUP(O$37,$BH$3:$BI$50,2,FALSE),$I$4:$AJ$4,0),FALSE),BoundParameters_HiddenSheetCLAY!$I$1:$L$1,0),FALSE),IF(VLOOKUP($E45,'Table Output'!$A$2:$E$9998,5,FALSE)="Clay",VLOOKUP(O$37,BoundParameters_HiddenSheetCLAY!$I$3:$L$50,MATCH(VLOOKUP($I80,$I$5:$AJ$34,MATCH(VLOOKUP(O$37,$BH$3:$BI$50,2,FALSE),$I$4:$AJ$4,0),FALSE),BoundParameters_HiddenSheetCLAY!$I$1:$L$1,0),FALSE))),'Control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Output'!$A$2:$E$99998,5,FALSE)="Sand",VLOOKUP(P$37,BoundParameters_HiddenSheetSAND!$I$3:$L$50,MATCH(VLOOKUP($I80,$I$5:$AJ$34,MATCH(VLOOKUP(P$37,$BH$3:$BI$50,2,FALSE),$I$4:$AJ$4,0),FALSE),BoundParameters_HiddenSheetCLAY!$I$1:$L$1,0),FALSE),IF(VLOOKUP($E45,'Table Output'!$A$2:$E$9998,5,FALSE)="Clay",VLOOKUP(P$37,BoundParameters_HiddenSheetCLAY!$I$3:$L$50,MATCH(VLOOKUP($I80,$I$5:$AJ$34,MATCH(VLOOKUP(P$37,$BH$3:$BI$50,2,FALSE),$I$4:$AJ$4,0),FALSE),BoundParameters_HiddenSheetCLAY!$I$1:$L$1,0),FALSE))),'Control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Output'!$A$2:$E$99998,5,FALSE)="Sand",VLOOKUP(Q$37,BoundParameters_HiddenSheetSAND!$I$3:$L$50,MATCH(VLOOKUP($I80,$I$5:$AJ$34,MATCH(VLOOKUP(Q$37,$BH$3:$BI$50,2,FALSE),$I$4:$AJ$4,0),FALSE),BoundParameters_HiddenSheetCLAY!$I$1:$L$1,0),FALSE),IF(VLOOKUP($E45,'Table Output'!$A$2:$E$9998,5,FALSE)="Clay",VLOOKUP(Q$37,BoundParameters_HiddenSheetCLAY!$I$3:$L$50,MATCH(VLOOKUP($I80,$I$5:$AJ$34,MATCH(VLOOKUP(Q$37,$BH$3:$BI$50,2,FALSE),$I$4:$AJ$4,0),FALSE),BoundParameters_HiddenSheetCLAY!$I$1:$L$1,0),FALSE))),'Control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Output'!$A$2:$E$99998,5,FALSE)="Sand",VLOOKUP(R$37,BoundParameters_HiddenSheetSAND!$I$3:$L$50,MATCH(VLOOKUP($I80,$I$5:$AJ$34,MATCH(VLOOKUP(R$37,$BH$3:$BI$50,2,FALSE),$I$4:$AJ$4,0),FALSE),BoundParameters_HiddenSheetCLAY!$I$1:$L$1,0),FALSE),IF(VLOOKUP($E45,'Table Output'!$A$2:$E$9998,5,FALSE)="Clay",VLOOKUP(R$37,BoundParameters_HiddenSheetCLAY!$I$3:$L$50,MATCH(VLOOKUP($I80,$I$5:$AJ$34,MATCH(VLOOKUP(R$37,$BH$3:$BI$50,2,FALSE),$I$4:$AJ$4,0),FALSE),BoundParameters_HiddenSheetCLAY!$I$1:$L$1,0),FALSE))),'Control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Output'!$A$2:$E$99998,5,FALSE)="Sand",VLOOKUP(S$37,BoundParameters_HiddenSheetSAND!$I$3:$L$50,MATCH(VLOOKUP($I80,$I$5:$AJ$34,MATCH(VLOOKUP(S$37,$BH$3:$BI$50,2,FALSE),$I$4:$AJ$4,0),FALSE),BoundParameters_HiddenSheetCLAY!$I$1:$L$1,0),FALSE),IF(VLOOKUP($E45,'Table Output'!$A$2:$E$9998,5,FALSE)="Clay",VLOOKUP(S$37,BoundParameters_HiddenSheetCLAY!$I$3:$L$50,MATCH(VLOOKUP($I80,$I$5:$AJ$34,MATCH(VLOOKUP(S$37,$BH$3:$BI$50,2,FALSE),$I$4:$AJ$4,0),FALSE),BoundParameters_HiddenSheetCLAY!$I$1:$L$1,0),FALSE))),'Control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>Sand_80</v>
      </c>
      <c r="I81" s="7">
        <f t="shared" si="7"/>
        <v>9</v>
      </c>
      <c r="J81" s="44">
        <f>IF($I81="","",IF(J$37="","",IF('Control Panel'!J81="",IF(VLOOKUP($E46,'Table Output'!$A$2:$E$99998,5,FALSE)="Sand",VLOOKUP(J$37,BoundParameters_HiddenSheetSAND!$I$3:$L$50,MATCH(VLOOKUP($I81,$I$5:$AJ$34,MATCH(VLOOKUP(J$37,$BH$3:$BI$50,2,FALSE),$I$4:$AJ$4,0),FALSE),BoundParameters_HiddenSheetCLAY!$I$1:$L$1,0),FALSE),IF(VLOOKUP($E46,'Table Output'!$A$2:$E$9998,5,FALSE)="Clay",VLOOKUP(J$37,BoundParameters_HiddenSheetCLAY!$I$3:$L$50,MATCH(VLOOKUP($I81,$I$5:$AJ$34,MATCH(VLOOKUP(J$37,$BH$3:$BI$50,2,FALSE),$I$4:$AJ$4,0),FALSE),BoundParameters_HiddenSheetCLAY!$I$1:$L$1,0),FALSE))),'Control Panel'!J81)))</f>
        <v>700</v>
      </c>
      <c r="K81" s="44">
        <f>IF($I81="","",IF(K$37="","",IF('Control Panel'!K81="",IF(VLOOKUP($E46,'Table Output'!$A$2:$E$99998,5,FALSE)="Sand",VLOOKUP(K$37,BoundParameters_HiddenSheetSAND!$I$3:$L$50,MATCH(VLOOKUP($I81,$I$5:$AJ$34,MATCH(VLOOKUP(K$37,$BH$3:$BI$50,2,FALSE),$I$4:$AJ$4,0),FALSE),BoundParameters_HiddenSheetCLAY!$I$1:$L$1,0),FALSE),IF(VLOOKUP($E46,'Table Output'!$A$2:$E$9998,5,FALSE)="Clay",VLOOKUP(K$37,BoundParameters_HiddenSheetCLAY!$I$3:$L$50,MATCH(VLOOKUP($I81,$I$5:$AJ$34,MATCH(VLOOKUP(K$37,$BH$3:$BI$50,2,FALSE),$I$4:$AJ$4,0),FALSE),BoundParameters_HiddenSheetCLAY!$I$1:$L$1,0),FALSE))),'Control Panel'!K81)))</f>
        <v>300</v>
      </c>
      <c r="L81" s="44">
        <f>IF($I81="","",IF(L$37="","",IF('Control Panel'!L81="",IF(VLOOKUP($E46,'Table Output'!$A$2:$E$99998,5,FALSE)="Sand",VLOOKUP(L$37,BoundParameters_HiddenSheetSAND!$I$3:$L$50,MATCH(VLOOKUP($I81,$I$5:$AJ$34,MATCH(VLOOKUP(L$37,$BH$3:$BI$50,2,FALSE),$I$4:$AJ$4,0),FALSE),BoundParameters_HiddenSheetCLAY!$I$1:$L$1,0),FALSE),IF(VLOOKUP($E46,'Table Output'!$A$2:$E$9998,5,FALSE)="Clay",VLOOKUP(L$37,BoundParameters_HiddenSheetCLAY!$I$3:$L$50,MATCH(VLOOKUP($I81,$I$5:$AJ$34,MATCH(VLOOKUP(L$37,$BH$3:$BI$50,2,FALSE),$I$4:$AJ$4,0),FALSE),BoundParameters_HiddenSheetCLAY!$I$1:$L$1,0),FALSE))),'Control Panel'!L81)))</f>
        <v>50</v>
      </c>
      <c r="M81" s="44">
        <f>IF($I81="","",IF(M$37="","",IF('Control Panel'!M81="",IF(VLOOKUP($E46,'Table Output'!$A$2:$E$99998,5,FALSE)="Sand",VLOOKUP(M$37,BoundParameters_HiddenSheetSAND!$I$3:$L$50,MATCH(VLOOKUP($I81,$I$5:$AJ$34,MATCH(VLOOKUP(M$37,$BH$3:$BI$50,2,FALSE),$I$4:$AJ$4,0),FALSE),BoundParameters_HiddenSheetCLAY!$I$1:$L$1,0),FALSE),IF(VLOOKUP($E46,'Table Output'!$A$2:$E$9998,5,FALSE)="Clay",VLOOKUP(M$37,BoundParameters_HiddenSheetCLAY!$I$3:$L$50,MATCH(VLOOKUP($I81,$I$5:$AJ$34,MATCH(VLOOKUP(M$37,$BH$3:$BI$50,2,FALSE),$I$4:$AJ$4,0),FALSE),BoundParameters_HiddenSheetCLAY!$I$1:$L$1,0),FALSE))),'Control Panel'!M81)))</f>
        <v>1</v>
      </c>
      <c r="N81" s="44">
        <f>IF($I81="","",IF(N$37="","",IF('Control Panel'!N81="",IF(VLOOKUP($E46,'Table Output'!$A$2:$E$99998,5,FALSE)="Sand",VLOOKUP(N$37,BoundParameters_HiddenSheetSAND!$I$3:$L$50,MATCH(VLOOKUP($I81,$I$5:$AJ$34,MATCH(VLOOKUP(N$37,$BH$3:$BI$50,2,FALSE),$I$4:$AJ$4,0),FALSE),BoundParameters_HiddenSheetCLAY!$I$1:$L$1,0),FALSE),IF(VLOOKUP($E46,'Table Output'!$A$2:$E$9998,5,FALSE)="Clay",VLOOKUP(N$37,BoundParameters_HiddenSheetCLAY!$I$3:$L$50,MATCH(VLOOKUP($I81,$I$5:$AJ$34,MATCH(VLOOKUP(N$37,$BH$3:$BI$50,2,FALSE),$I$4:$AJ$4,0),FALSE),BoundParameters_HiddenSheetCLAY!$I$1:$L$1,0),FALSE))),'Control Panel'!N81)))</f>
        <v>50</v>
      </c>
      <c r="O81" s="44" t="str">
        <f>IF($I81="","",IF(O$37="","",IF('Control Panel'!O81="",IF(VLOOKUP($E46,'Table Output'!$A$2:$E$99998,5,FALSE)="Sand",VLOOKUP(O$37,BoundParameters_HiddenSheetSAND!$I$3:$L$50,MATCH(VLOOKUP($I81,$I$5:$AJ$34,MATCH(VLOOKUP(O$37,$BH$3:$BI$50,2,FALSE),$I$4:$AJ$4,0),FALSE),BoundParameters_HiddenSheetCLAY!$I$1:$L$1,0),FALSE),IF(VLOOKUP($E46,'Table Output'!$A$2:$E$9998,5,FALSE)="Clay",VLOOKUP(O$37,BoundParameters_HiddenSheetCLAY!$I$3:$L$50,MATCH(VLOOKUP($I81,$I$5:$AJ$34,MATCH(VLOOKUP(O$37,$BH$3:$BI$50,2,FALSE),$I$4:$AJ$4,0),FALSE),BoundParameters_HiddenSheetCLAY!$I$1:$L$1,0),FALSE))),'Control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Output'!$A$2:$E$99998,5,FALSE)="Sand",VLOOKUP(P$37,BoundParameters_HiddenSheetSAND!$I$3:$L$50,MATCH(VLOOKUP($I81,$I$5:$AJ$34,MATCH(VLOOKUP(P$37,$BH$3:$BI$50,2,FALSE),$I$4:$AJ$4,0),FALSE),BoundParameters_HiddenSheetCLAY!$I$1:$L$1,0),FALSE),IF(VLOOKUP($E46,'Table Output'!$A$2:$E$9998,5,FALSE)="Clay",VLOOKUP(P$37,BoundParameters_HiddenSheetCLAY!$I$3:$L$50,MATCH(VLOOKUP($I81,$I$5:$AJ$34,MATCH(VLOOKUP(P$37,$BH$3:$BI$50,2,FALSE),$I$4:$AJ$4,0),FALSE),BoundParameters_HiddenSheetCLAY!$I$1:$L$1,0),FALSE))),'Control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Output'!$A$2:$E$99998,5,FALSE)="Sand",VLOOKUP(Q$37,BoundParameters_HiddenSheetSAND!$I$3:$L$50,MATCH(VLOOKUP($I81,$I$5:$AJ$34,MATCH(VLOOKUP(Q$37,$BH$3:$BI$50,2,FALSE),$I$4:$AJ$4,0),FALSE),BoundParameters_HiddenSheetCLAY!$I$1:$L$1,0),FALSE),IF(VLOOKUP($E46,'Table Output'!$A$2:$E$9998,5,FALSE)="Clay",VLOOKUP(Q$37,BoundParameters_HiddenSheetCLAY!$I$3:$L$50,MATCH(VLOOKUP($I81,$I$5:$AJ$34,MATCH(VLOOKUP(Q$37,$BH$3:$BI$50,2,FALSE),$I$4:$AJ$4,0),FALSE),BoundParameters_HiddenSheetCLAY!$I$1:$L$1,0),FALSE))),'Control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Output'!$A$2:$E$99998,5,FALSE)="Sand",VLOOKUP(R$37,BoundParameters_HiddenSheetSAND!$I$3:$L$50,MATCH(VLOOKUP($I81,$I$5:$AJ$34,MATCH(VLOOKUP(R$37,$BH$3:$BI$50,2,FALSE),$I$4:$AJ$4,0),FALSE),BoundParameters_HiddenSheetCLAY!$I$1:$L$1,0),FALSE),IF(VLOOKUP($E46,'Table Output'!$A$2:$E$9998,5,FALSE)="Clay",VLOOKUP(R$37,BoundParameters_HiddenSheetCLAY!$I$3:$L$50,MATCH(VLOOKUP($I81,$I$5:$AJ$34,MATCH(VLOOKUP(R$37,$BH$3:$BI$50,2,FALSE),$I$4:$AJ$4,0),FALSE),BoundParameters_HiddenSheetCLAY!$I$1:$L$1,0),FALSE))),'Control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Output'!$A$2:$E$99998,5,FALSE)="Sand",VLOOKUP(S$37,BoundParameters_HiddenSheetSAND!$I$3:$L$50,MATCH(VLOOKUP($I81,$I$5:$AJ$34,MATCH(VLOOKUP(S$37,$BH$3:$BI$50,2,FALSE),$I$4:$AJ$4,0),FALSE),BoundParameters_HiddenSheetCLAY!$I$1:$L$1,0),FALSE),IF(VLOOKUP($E46,'Table Output'!$A$2:$E$9998,5,FALSE)="Clay",VLOOKUP(S$37,BoundParameters_HiddenSheetCLAY!$I$3:$L$50,MATCH(VLOOKUP($I81,$I$5:$AJ$34,MATCH(VLOOKUP(S$37,$BH$3:$BI$50,2,FALSE),$I$4:$AJ$4,0),FALSE),BoundParameters_HiddenSheetCLAY!$I$1:$L$1,0),FALSE))),'Control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>Sand_80</v>
      </c>
      <c r="I82" s="7">
        <f t="shared" si="7"/>
        <v>10</v>
      </c>
      <c r="J82" s="44">
        <f>IF($I82="","",IF(J$37="","",IF('Control Panel'!J82="",IF(VLOOKUP($E47,'Table Output'!$A$2:$E$99998,5,FALSE)="Sand",VLOOKUP(J$37,BoundParameters_HiddenSheetSAND!$I$3:$L$50,MATCH(VLOOKUP($I82,$I$5:$AJ$34,MATCH(VLOOKUP(J$37,$BH$3:$BI$50,2,FALSE),$I$4:$AJ$4,0),FALSE),BoundParameters_HiddenSheetCLAY!$I$1:$L$1,0),FALSE),IF(VLOOKUP($E47,'Table Output'!$A$2:$E$9998,5,FALSE)="Clay",VLOOKUP(J$37,BoundParameters_HiddenSheetCLAY!$I$3:$L$50,MATCH(VLOOKUP($I82,$I$5:$AJ$34,MATCH(VLOOKUP(J$37,$BH$3:$BI$50,2,FALSE),$I$4:$AJ$4,0),FALSE),BoundParameters_HiddenSheetCLAY!$I$1:$L$1,0),FALSE))),'Control Panel'!J82)))</f>
        <v>700</v>
      </c>
      <c r="K82" s="44">
        <f>IF($I82="","",IF(K$37="","",IF('Control Panel'!K82="",IF(VLOOKUP($E47,'Table Output'!$A$2:$E$99998,5,FALSE)="Sand",VLOOKUP(K$37,BoundParameters_HiddenSheetSAND!$I$3:$L$50,MATCH(VLOOKUP($I82,$I$5:$AJ$34,MATCH(VLOOKUP(K$37,$BH$3:$BI$50,2,FALSE),$I$4:$AJ$4,0),FALSE),BoundParameters_HiddenSheetCLAY!$I$1:$L$1,0),FALSE),IF(VLOOKUP($E47,'Table Output'!$A$2:$E$9998,5,FALSE)="Clay",VLOOKUP(K$37,BoundParameters_HiddenSheetCLAY!$I$3:$L$50,MATCH(VLOOKUP($I82,$I$5:$AJ$34,MATCH(VLOOKUP(K$37,$BH$3:$BI$50,2,FALSE),$I$4:$AJ$4,0),FALSE),BoundParameters_HiddenSheetCLAY!$I$1:$L$1,0),FALSE))),'Control Panel'!K82)))</f>
        <v>300</v>
      </c>
      <c r="L82" s="44">
        <f>IF($I82="","",IF(L$37="","",IF('Control Panel'!L82="",IF(VLOOKUP($E47,'Table Output'!$A$2:$E$99998,5,FALSE)="Sand",VLOOKUP(L$37,BoundParameters_HiddenSheetSAND!$I$3:$L$50,MATCH(VLOOKUP($I82,$I$5:$AJ$34,MATCH(VLOOKUP(L$37,$BH$3:$BI$50,2,FALSE),$I$4:$AJ$4,0),FALSE),BoundParameters_HiddenSheetCLAY!$I$1:$L$1,0),FALSE),IF(VLOOKUP($E47,'Table Output'!$A$2:$E$9998,5,FALSE)="Clay",VLOOKUP(L$37,BoundParameters_HiddenSheetCLAY!$I$3:$L$50,MATCH(VLOOKUP($I82,$I$5:$AJ$34,MATCH(VLOOKUP(L$37,$BH$3:$BI$50,2,FALSE),$I$4:$AJ$4,0),FALSE),BoundParameters_HiddenSheetCLAY!$I$1:$L$1,0),FALSE))),'Control Panel'!L82)))</f>
        <v>50</v>
      </c>
      <c r="M82" s="44">
        <f>IF($I82="","",IF(M$37="","",IF('Control Panel'!M82="",IF(VLOOKUP($E47,'Table Output'!$A$2:$E$99998,5,FALSE)="Sand",VLOOKUP(M$37,BoundParameters_HiddenSheetSAND!$I$3:$L$50,MATCH(VLOOKUP($I82,$I$5:$AJ$34,MATCH(VLOOKUP(M$37,$BH$3:$BI$50,2,FALSE),$I$4:$AJ$4,0),FALSE),BoundParameters_HiddenSheetCLAY!$I$1:$L$1,0),FALSE),IF(VLOOKUP($E47,'Table Output'!$A$2:$E$9998,5,FALSE)="Clay",VLOOKUP(M$37,BoundParameters_HiddenSheetCLAY!$I$3:$L$50,MATCH(VLOOKUP($I82,$I$5:$AJ$34,MATCH(VLOOKUP(M$37,$BH$3:$BI$50,2,FALSE),$I$4:$AJ$4,0),FALSE),BoundParameters_HiddenSheetCLAY!$I$1:$L$1,0),FALSE))),'Control Panel'!M82)))</f>
        <v>1</v>
      </c>
      <c r="N82" s="44">
        <f>IF($I82="","",IF(N$37="","",IF('Control Panel'!N82="",IF(VLOOKUP($E47,'Table Output'!$A$2:$E$99998,5,FALSE)="Sand",VLOOKUP(N$37,BoundParameters_HiddenSheetSAND!$I$3:$L$50,MATCH(VLOOKUP($I82,$I$5:$AJ$34,MATCH(VLOOKUP(N$37,$BH$3:$BI$50,2,FALSE),$I$4:$AJ$4,0),FALSE),BoundParameters_HiddenSheetCLAY!$I$1:$L$1,0),FALSE),IF(VLOOKUP($E47,'Table Output'!$A$2:$E$9998,5,FALSE)="Clay",VLOOKUP(N$37,BoundParameters_HiddenSheetCLAY!$I$3:$L$50,MATCH(VLOOKUP($I82,$I$5:$AJ$34,MATCH(VLOOKUP(N$37,$BH$3:$BI$50,2,FALSE),$I$4:$AJ$4,0),FALSE),BoundParameters_HiddenSheetCLAY!$I$1:$L$1,0),FALSE))),'Control Panel'!N82)))</f>
        <v>50</v>
      </c>
      <c r="O82" s="44" t="str">
        <f>IF($I82="","",IF(O$37="","",IF('Control Panel'!O82="",IF(VLOOKUP($E47,'Table Output'!$A$2:$E$99998,5,FALSE)="Sand",VLOOKUP(O$37,BoundParameters_HiddenSheetSAND!$I$3:$L$50,MATCH(VLOOKUP($I82,$I$5:$AJ$34,MATCH(VLOOKUP(O$37,$BH$3:$BI$50,2,FALSE),$I$4:$AJ$4,0),FALSE),BoundParameters_HiddenSheetCLAY!$I$1:$L$1,0),FALSE),IF(VLOOKUP($E47,'Table Output'!$A$2:$E$9998,5,FALSE)="Clay",VLOOKUP(O$37,BoundParameters_HiddenSheetCLAY!$I$3:$L$50,MATCH(VLOOKUP($I82,$I$5:$AJ$34,MATCH(VLOOKUP(O$37,$BH$3:$BI$50,2,FALSE),$I$4:$AJ$4,0),FALSE),BoundParameters_HiddenSheetCLAY!$I$1:$L$1,0),FALSE))),'Control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Output'!$A$2:$E$99998,5,FALSE)="Sand",VLOOKUP(P$37,BoundParameters_HiddenSheetSAND!$I$3:$L$50,MATCH(VLOOKUP($I82,$I$5:$AJ$34,MATCH(VLOOKUP(P$37,$BH$3:$BI$50,2,FALSE),$I$4:$AJ$4,0),FALSE),BoundParameters_HiddenSheetCLAY!$I$1:$L$1,0),FALSE),IF(VLOOKUP($E47,'Table Output'!$A$2:$E$9998,5,FALSE)="Clay",VLOOKUP(P$37,BoundParameters_HiddenSheetCLAY!$I$3:$L$50,MATCH(VLOOKUP($I82,$I$5:$AJ$34,MATCH(VLOOKUP(P$37,$BH$3:$BI$50,2,FALSE),$I$4:$AJ$4,0),FALSE),BoundParameters_HiddenSheetCLAY!$I$1:$L$1,0),FALSE))),'Control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Output'!$A$2:$E$99998,5,FALSE)="Sand",VLOOKUP(Q$37,BoundParameters_HiddenSheetSAND!$I$3:$L$50,MATCH(VLOOKUP($I82,$I$5:$AJ$34,MATCH(VLOOKUP(Q$37,$BH$3:$BI$50,2,FALSE),$I$4:$AJ$4,0),FALSE),BoundParameters_HiddenSheetCLAY!$I$1:$L$1,0),FALSE),IF(VLOOKUP($E47,'Table Output'!$A$2:$E$9998,5,FALSE)="Clay",VLOOKUP(Q$37,BoundParameters_HiddenSheetCLAY!$I$3:$L$50,MATCH(VLOOKUP($I82,$I$5:$AJ$34,MATCH(VLOOKUP(Q$37,$BH$3:$BI$50,2,FALSE),$I$4:$AJ$4,0),FALSE),BoundParameters_HiddenSheetCLAY!$I$1:$L$1,0),FALSE))),'Control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Output'!$A$2:$E$99998,5,FALSE)="Sand",VLOOKUP(R$37,BoundParameters_HiddenSheetSAND!$I$3:$L$50,MATCH(VLOOKUP($I82,$I$5:$AJ$34,MATCH(VLOOKUP(R$37,$BH$3:$BI$50,2,FALSE),$I$4:$AJ$4,0),FALSE),BoundParameters_HiddenSheetCLAY!$I$1:$L$1,0),FALSE),IF(VLOOKUP($E47,'Table Output'!$A$2:$E$9998,5,FALSE)="Clay",VLOOKUP(R$37,BoundParameters_HiddenSheetCLAY!$I$3:$L$50,MATCH(VLOOKUP($I82,$I$5:$AJ$34,MATCH(VLOOKUP(R$37,$BH$3:$BI$50,2,FALSE),$I$4:$AJ$4,0),FALSE),BoundParameters_HiddenSheetCLAY!$I$1:$L$1,0),FALSE))),'Control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Output'!$A$2:$E$99998,5,FALSE)="Sand",VLOOKUP(S$37,BoundParameters_HiddenSheetSAND!$I$3:$L$50,MATCH(VLOOKUP($I82,$I$5:$AJ$34,MATCH(VLOOKUP(S$37,$BH$3:$BI$50,2,FALSE),$I$4:$AJ$4,0),FALSE),BoundParameters_HiddenSheetCLAY!$I$1:$L$1,0),FALSE),IF(VLOOKUP($E47,'Table Output'!$A$2:$E$9998,5,FALSE)="Clay",VLOOKUP(S$37,BoundParameters_HiddenSheetCLAY!$I$3:$L$50,MATCH(VLOOKUP($I82,$I$5:$AJ$34,MATCH(VLOOKUP(S$37,$BH$3:$BI$50,2,FALSE),$I$4:$AJ$4,0),FALSE),BoundParameters_HiddenSheetCLAY!$I$1:$L$1,0),FALSE))),'Control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>Cowden_Clay</v>
      </c>
      <c r="I83" s="7">
        <f t="shared" si="7"/>
        <v>11</v>
      </c>
      <c r="J83" s="44">
        <f>IF($I83="","",IF(J$37="","",IF('Control Panel'!J83="",IF(VLOOKUP($E48,'Table Output'!$A$2:$E$99998,5,FALSE)="Sand",VLOOKUP(J$37,BoundParameters_HiddenSheetSAND!$I$3:$L$50,MATCH(VLOOKUP($I83,$I$5:$AJ$34,MATCH(VLOOKUP(J$37,$BH$3:$BI$50,2,FALSE),$I$4:$AJ$4,0),FALSE),BoundParameters_HiddenSheetCLAY!$I$1:$L$1,0),FALSE),IF(VLOOKUP($E48,'Table Output'!$A$2:$E$9998,5,FALSE)="Clay",VLOOKUP(J$37,BoundParameters_HiddenSheetCLAY!$I$3:$L$50,MATCH(VLOOKUP($I83,$I$5:$AJ$34,MATCH(VLOOKUP(J$37,$BH$3:$BI$50,2,FALSE),$I$4:$AJ$4,0),FALSE),BoundParameters_HiddenSheetCLAY!$I$1:$L$1,0),FALSE))),'Control Panel'!J83)))</f>
        <v>200</v>
      </c>
      <c r="K83" s="44">
        <f>IF($I83="","",IF(K$37="","",IF('Control Panel'!K83="",IF(VLOOKUP($E48,'Table Output'!$A$2:$E$99998,5,FALSE)="Sand",VLOOKUP(K$37,BoundParameters_HiddenSheetSAND!$I$3:$L$50,MATCH(VLOOKUP($I83,$I$5:$AJ$34,MATCH(VLOOKUP(K$37,$BH$3:$BI$50,2,FALSE),$I$4:$AJ$4,0),FALSE),BoundParameters_HiddenSheetCLAY!$I$1:$L$1,0),FALSE),IF(VLOOKUP($E48,'Table Output'!$A$2:$E$9998,5,FALSE)="Clay",VLOOKUP(K$37,BoundParameters_HiddenSheetCLAY!$I$3:$L$50,MATCH(VLOOKUP($I83,$I$5:$AJ$34,MATCH(VLOOKUP(K$37,$BH$3:$BI$50,2,FALSE),$I$4:$AJ$4,0),FALSE),BoundParameters_HiddenSheetCLAY!$I$1:$L$1,0),FALSE))),'Control Panel'!K83)))</f>
        <v>15.832000000000001</v>
      </c>
      <c r="L83" s="44">
        <f>IF($I83="","",IF(L$37="","",IF('Control Panel'!L83="",IF(VLOOKUP($E48,'Table Output'!$A$2:$E$99998,5,FALSE)="Sand",VLOOKUP(L$37,BoundParameters_HiddenSheetSAND!$I$3:$L$50,MATCH(VLOOKUP($I83,$I$5:$AJ$34,MATCH(VLOOKUP(L$37,$BH$3:$BI$50,2,FALSE),$I$4:$AJ$4,0),FALSE),BoundParameters_HiddenSheetCLAY!$I$1:$L$1,0),FALSE),IF(VLOOKUP($E48,'Table Output'!$A$2:$E$9998,5,FALSE)="Clay",VLOOKUP(L$37,BoundParameters_HiddenSheetCLAY!$I$3:$L$50,MATCH(VLOOKUP($I83,$I$5:$AJ$34,MATCH(VLOOKUP(L$37,$BH$3:$BI$50,2,FALSE),$I$4:$AJ$4,0),FALSE),BoundParameters_HiddenSheetCLAY!$I$1:$L$1,0),FALSE))),'Control Panel'!L83)))</f>
        <v>0.5</v>
      </c>
      <c r="M83" s="44">
        <f>IF($I83="","",IF(M$37="","",IF('Control Panel'!M83="",IF(VLOOKUP($E48,'Table Output'!$A$2:$E$99998,5,FALSE)="Sand",VLOOKUP(M$37,BoundParameters_HiddenSheetSAND!$I$3:$L$50,MATCH(VLOOKUP($I83,$I$5:$AJ$34,MATCH(VLOOKUP(M$37,$BH$3:$BI$50,2,FALSE),$I$4:$AJ$4,0),FALSE),BoundParameters_HiddenSheetCLAY!$I$1:$L$1,0),FALSE),IF(VLOOKUP($E48,'Table Output'!$A$2:$E$9998,5,FALSE)="Clay",VLOOKUP(M$37,BoundParameters_HiddenSheetCLAY!$I$3:$L$50,MATCH(VLOOKUP($I83,$I$5:$AJ$34,MATCH(VLOOKUP(M$37,$BH$3:$BI$50,2,FALSE),$I$4:$AJ$4,0),FALSE),BoundParameters_HiddenSheetCLAY!$I$1:$L$1,0),FALSE))),'Control Panel'!M83)))</f>
        <v>0</v>
      </c>
      <c r="N83" s="44">
        <f>IF($I83="","",IF(N$37="","",IF('Control Panel'!N83="",IF(VLOOKUP($E48,'Table Output'!$A$2:$E$99998,5,FALSE)="Sand",VLOOKUP(N$37,BoundParameters_HiddenSheetSAND!$I$3:$L$50,MATCH(VLOOKUP($I83,$I$5:$AJ$34,MATCH(VLOOKUP(N$37,$BH$3:$BI$50,2,FALSE),$I$4:$AJ$4,0),FALSE),BoundParameters_HiddenSheetCLAY!$I$1:$L$1,0),FALSE),IF(VLOOKUP($E48,'Table Output'!$A$2:$E$9998,5,FALSE)="Clay",VLOOKUP(N$37,BoundParameters_HiddenSheetCLAY!$I$3:$L$50,MATCH(VLOOKUP($I83,$I$5:$AJ$34,MATCH(VLOOKUP(N$37,$BH$3:$BI$50,2,FALSE),$I$4:$AJ$4,0),FALSE),BoundParameters_HiddenSheetCLAY!$I$1:$L$1,0),FALSE))),'Control Panel'!N83)))</f>
        <v>14.4</v>
      </c>
      <c r="O83" s="44" t="str">
        <f>IF($I83="","",IF(O$37="","",IF('Control Panel'!O83="",IF(VLOOKUP($E48,'Table Output'!$A$2:$E$99998,5,FALSE)="Sand",VLOOKUP(O$37,BoundParameters_HiddenSheetSAND!$I$3:$L$50,MATCH(VLOOKUP($I83,$I$5:$AJ$34,MATCH(VLOOKUP(O$37,$BH$3:$BI$50,2,FALSE),$I$4:$AJ$4,0),FALSE),BoundParameters_HiddenSheetCLAY!$I$1:$L$1,0),FALSE),IF(VLOOKUP($E48,'Table Output'!$A$2:$E$9998,5,FALSE)="Clay",VLOOKUP(O$37,BoundParameters_HiddenSheetCLAY!$I$3:$L$50,MATCH(VLOOKUP($I83,$I$5:$AJ$34,MATCH(VLOOKUP(O$37,$BH$3:$BI$50,2,FALSE),$I$4:$AJ$4,0),FALSE),BoundParameters_HiddenSheetCLAY!$I$1:$L$1,0),FALSE))),'Control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Output'!$A$2:$E$99998,5,FALSE)="Sand",VLOOKUP(P$37,BoundParameters_HiddenSheetSAND!$I$3:$L$50,MATCH(VLOOKUP($I83,$I$5:$AJ$34,MATCH(VLOOKUP(P$37,$BH$3:$BI$50,2,FALSE),$I$4:$AJ$4,0),FALSE),BoundParameters_HiddenSheetCLAY!$I$1:$L$1,0),FALSE),IF(VLOOKUP($E48,'Table Output'!$A$2:$E$9998,5,FALSE)="Clay",VLOOKUP(P$37,BoundParameters_HiddenSheetCLAY!$I$3:$L$50,MATCH(VLOOKUP($I83,$I$5:$AJ$34,MATCH(VLOOKUP(P$37,$BH$3:$BI$50,2,FALSE),$I$4:$AJ$4,0),FALSE),BoundParameters_HiddenSheetCLAY!$I$1:$L$1,0),FALSE))),'Control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Output'!$A$2:$E$99998,5,FALSE)="Sand",VLOOKUP(Q$37,BoundParameters_HiddenSheetSAND!$I$3:$L$50,MATCH(VLOOKUP($I83,$I$5:$AJ$34,MATCH(VLOOKUP(Q$37,$BH$3:$BI$50,2,FALSE),$I$4:$AJ$4,0),FALSE),BoundParameters_HiddenSheetCLAY!$I$1:$L$1,0),FALSE),IF(VLOOKUP($E48,'Table Output'!$A$2:$E$9998,5,FALSE)="Clay",VLOOKUP(Q$37,BoundParameters_HiddenSheetCLAY!$I$3:$L$50,MATCH(VLOOKUP($I83,$I$5:$AJ$34,MATCH(VLOOKUP(Q$37,$BH$3:$BI$50,2,FALSE),$I$4:$AJ$4,0),FALSE),BoundParameters_HiddenSheetCLAY!$I$1:$L$1,0),FALSE))),'Control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Output'!$A$2:$E$99998,5,FALSE)="Sand",VLOOKUP(R$37,BoundParameters_HiddenSheetSAND!$I$3:$L$50,MATCH(VLOOKUP($I83,$I$5:$AJ$34,MATCH(VLOOKUP(R$37,$BH$3:$BI$50,2,FALSE),$I$4:$AJ$4,0),FALSE),BoundParameters_HiddenSheetCLAY!$I$1:$L$1,0),FALSE),IF(VLOOKUP($E48,'Table Output'!$A$2:$E$9998,5,FALSE)="Clay",VLOOKUP(R$37,BoundParameters_HiddenSheetCLAY!$I$3:$L$50,MATCH(VLOOKUP($I83,$I$5:$AJ$34,MATCH(VLOOKUP(R$37,$BH$3:$BI$50,2,FALSE),$I$4:$AJ$4,0),FALSE),BoundParameters_HiddenSheetCLAY!$I$1:$L$1,0),FALSE))),'Control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Output'!$A$2:$E$99998,5,FALSE)="Sand",VLOOKUP(S$37,BoundParameters_HiddenSheetSAND!$I$3:$L$50,MATCH(VLOOKUP($I83,$I$5:$AJ$34,MATCH(VLOOKUP(S$37,$BH$3:$BI$50,2,FALSE),$I$4:$AJ$4,0),FALSE),BoundParameters_HiddenSheetCLAY!$I$1:$L$1,0),FALSE),IF(VLOOKUP($E48,'Table Output'!$A$2:$E$9998,5,FALSE)="Clay",VLOOKUP(S$37,BoundParameters_HiddenSheetCLAY!$I$3:$L$50,MATCH(VLOOKUP($I83,$I$5:$AJ$34,MATCH(VLOOKUP(S$37,$BH$3:$BI$50,2,FALSE),$I$4:$AJ$4,0),FALSE),BoundParameters_HiddenSheetCLAY!$I$1:$L$1,0),FALSE))),'Control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Output'!$A$2:$E$99998,5,FALSE)="Sand",VLOOKUP(J$37,BoundParameters_HiddenSheetSAND!$I$3:$L$50,MATCH(VLOOKUP($I84,$I$5:$AJ$34,MATCH(VLOOKUP(J$37,$BH$3:$BI$50,2,FALSE),$I$4:$AJ$4,0),FALSE),BoundParameters_HiddenSheetCLAY!$I$1:$L$1,0),FALSE),IF(VLOOKUP($E49,'Table Output'!$A$2:$E$9998,5,FALSE)="Clay",VLOOKUP(J$37,BoundParameters_HiddenSheetCLAY!$I$3:$L$50,MATCH(VLOOKUP($I84,$I$5:$AJ$34,MATCH(VLOOKUP(J$37,$BH$3:$BI$50,2,FALSE),$I$4:$AJ$4,0),FALSE),BoundParameters_HiddenSheetCLAY!$I$1:$L$1,0),FALSE))),'Control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Output'!$A$2:$E$99998,5,FALSE)="Sand",VLOOKUP(K$37,BoundParameters_HiddenSheetSAND!$I$3:$L$50,MATCH(VLOOKUP($I84,$I$5:$AJ$34,MATCH(VLOOKUP(K$37,$BH$3:$BI$50,2,FALSE),$I$4:$AJ$4,0),FALSE),BoundParameters_HiddenSheetCLAY!$I$1:$L$1,0),FALSE),IF(VLOOKUP($E49,'Table Output'!$A$2:$E$9998,5,FALSE)="Clay",VLOOKUP(K$37,BoundParameters_HiddenSheetCLAY!$I$3:$L$50,MATCH(VLOOKUP($I84,$I$5:$AJ$34,MATCH(VLOOKUP(K$37,$BH$3:$BI$50,2,FALSE),$I$4:$AJ$4,0),FALSE),BoundParameters_HiddenSheetCLAY!$I$1:$L$1,0),FALSE))),'Control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Output'!$A$2:$E$99998,5,FALSE)="Sand",VLOOKUP(L$37,BoundParameters_HiddenSheetSAND!$I$3:$L$50,MATCH(VLOOKUP($I84,$I$5:$AJ$34,MATCH(VLOOKUP(L$37,$BH$3:$BI$50,2,FALSE),$I$4:$AJ$4,0),FALSE),BoundParameters_HiddenSheetCLAY!$I$1:$L$1,0),FALSE),IF(VLOOKUP($E49,'Table Output'!$A$2:$E$9998,5,FALSE)="Clay",VLOOKUP(L$37,BoundParameters_HiddenSheetCLAY!$I$3:$L$50,MATCH(VLOOKUP($I84,$I$5:$AJ$34,MATCH(VLOOKUP(L$37,$BH$3:$BI$50,2,FALSE),$I$4:$AJ$4,0),FALSE),BoundParameters_HiddenSheetCLAY!$I$1:$L$1,0),FALSE))),'Control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Output'!$A$2:$E$99998,5,FALSE)="Sand",VLOOKUP(M$37,BoundParameters_HiddenSheetSAND!$I$3:$L$50,MATCH(VLOOKUP($I84,$I$5:$AJ$34,MATCH(VLOOKUP(M$37,$BH$3:$BI$50,2,FALSE),$I$4:$AJ$4,0),FALSE),BoundParameters_HiddenSheetCLAY!$I$1:$L$1,0),FALSE),IF(VLOOKUP($E49,'Table Output'!$A$2:$E$9998,5,FALSE)="Clay",VLOOKUP(M$37,BoundParameters_HiddenSheetCLAY!$I$3:$L$50,MATCH(VLOOKUP($I84,$I$5:$AJ$34,MATCH(VLOOKUP(M$37,$BH$3:$BI$50,2,FALSE),$I$4:$AJ$4,0),FALSE),BoundParameters_HiddenSheetCLAY!$I$1:$L$1,0),FALSE))),'Control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Output'!$A$2:$E$99998,5,FALSE)="Sand",VLOOKUP(N$37,BoundParameters_HiddenSheetSAND!$I$3:$L$50,MATCH(VLOOKUP($I84,$I$5:$AJ$34,MATCH(VLOOKUP(N$37,$BH$3:$BI$50,2,FALSE),$I$4:$AJ$4,0),FALSE),BoundParameters_HiddenSheetCLAY!$I$1:$L$1,0),FALSE),IF(VLOOKUP($E49,'Table Output'!$A$2:$E$9998,5,FALSE)="Clay",VLOOKUP(N$37,BoundParameters_HiddenSheetCLAY!$I$3:$L$50,MATCH(VLOOKUP($I84,$I$5:$AJ$34,MATCH(VLOOKUP(N$37,$BH$3:$BI$50,2,FALSE),$I$4:$AJ$4,0),FALSE),BoundParameters_HiddenSheetCLAY!$I$1:$L$1,0),FALSE))),'Control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Output'!$A$2:$E$99998,5,FALSE)="Sand",VLOOKUP(O$37,BoundParameters_HiddenSheetSAND!$I$3:$L$50,MATCH(VLOOKUP($I84,$I$5:$AJ$34,MATCH(VLOOKUP(O$37,$BH$3:$BI$50,2,FALSE),$I$4:$AJ$4,0),FALSE),BoundParameters_HiddenSheetCLAY!$I$1:$L$1,0),FALSE),IF(VLOOKUP($E49,'Table Output'!$A$2:$E$9998,5,FALSE)="Clay",VLOOKUP(O$37,BoundParameters_HiddenSheetCLAY!$I$3:$L$50,MATCH(VLOOKUP($I84,$I$5:$AJ$34,MATCH(VLOOKUP(O$37,$BH$3:$BI$50,2,FALSE),$I$4:$AJ$4,0),FALSE),BoundParameters_HiddenSheetCLAY!$I$1:$L$1,0),FALSE))),'Control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Output'!$A$2:$E$99998,5,FALSE)="Sand",VLOOKUP(P$37,BoundParameters_HiddenSheetSAND!$I$3:$L$50,MATCH(VLOOKUP($I84,$I$5:$AJ$34,MATCH(VLOOKUP(P$37,$BH$3:$BI$50,2,FALSE),$I$4:$AJ$4,0),FALSE),BoundParameters_HiddenSheetCLAY!$I$1:$L$1,0),FALSE),IF(VLOOKUP($E49,'Table Output'!$A$2:$E$9998,5,FALSE)="Clay",VLOOKUP(P$37,BoundParameters_HiddenSheetCLAY!$I$3:$L$50,MATCH(VLOOKUP($I84,$I$5:$AJ$34,MATCH(VLOOKUP(P$37,$BH$3:$BI$50,2,FALSE),$I$4:$AJ$4,0),FALSE),BoundParameters_HiddenSheetCLAY!$I$1:$L$1,0),FALSE))),'Control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Output'!$A$2:$E$99998,5,FALSE)="Sand",VLOOKUP(Q$37,BoundParameters_HiddenSheetSAND!$I$3:$L$50,MATCH(VLOOKUP($I84,$I$5:$AJ$34,MATCH(VLOOKUP(Q$37,$BH$3:$BI$50,2,FALSE),$I$4:$AJ$4,0),FALSE),BoundParameters_HiddenSheetCLAY!$I$1:$L$1,0),FALSE),IF(VLOOKUP($E49,'Table Output'!$A$2:$E$9998,5,FALSE)="Clay",VLOOKUP(Q$37,BoundParameters_HiddenSheetCLAY!$I$3:$L$50,MATCH(VLOOKUP($I84,$I$5:$AJ$34,MATCH(VLOOKUP(Q$37,$BH$3:$BI$50,2,FALSE),$I$4:$AJ$4,0),FALSE),BoundParameters_HiddenSheetCLAY!$I$1:$L$1,0),FALSE))),'Control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Output'!$A$2:$E$99998,5,FALSE)="Sand",VLOOKUP(R$37,BoundParameters_HiddenSheetSAND!$I$3:$L$50,MATCH(VLOOKUP($I84,$I$5:$AJ$34,MATCH(VLOOKUP(R$37,$BH$3:$BI$50,2,FALSE),$I$4:$AJ$4,0),FALSE),BoundParameters_HiddenSheetCLAY!$I$1:$L$1,0),FALSE),IF(VLOOKUP($E49,'Table Output'!$A$2:$E$9998,5,FALSE)="Clay",VLOOKUP(R$37,BoundParameters_HiddenSheetCLAY!$I$3:$L$50,MATCH(VLOOKUP($I84,$I$5:$AJ$34,MATCH(VLOOKUP(R$37,$BH$3:$BI$50,2,FALSE),$I$4:$AJ$4,0),FALSE),BoundParameters_HiddenSheetCLAY!$I$1:$L$1,0),FALSE))),'Control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Output'!$A$2:$E$99998,5,FALSE)="Sand",VLOOKUP(S$37,BoundParameters_HiddenSheetSAND!$I$3:$L$50,MATCH(VLOOKUP($I84,$I$5:$AJ$34,MATCH(VLOOKUP(S$37,$BH$3:$BI$50,2,FALSE),$I$4:$AJ$4,0),FALSE),BoundParameters_HiddenSheetCLAY!$I$1:$L$1,0),FALSE),IF(VLOOKUP($E49,'Table Output'!$A$2:$E$9998,5,FALSE)="Clay",VLOOKUP(S$37,BoundParameters_HiddenSheetCLAY!$I$3:$L$50,MATCH(VLOOKUP($I84,$I$5:$AJ$34,MATCH(VLOOKUP(S$37,$BH$3:$BI$50,2,FALSE),$I$4:$AJ$4,0),FALSE),BoundParameters_HiddenSheetCLAY!$I$1:$L$1,0),FALSE))),'Control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Output'!$A$2:$E$99998,5,FALSE)="Sand",VLOOKUP(J$37,BoundParameters_HiddenSheetSAND!$I$3:$L$50,MATCH(VLOOKUP($I85,$I$5:$AJ$34,MATCH(VLOOKUP(J$37,$BH$3:$BI$50,2,FALSE),$I$4:$AJ$4,0),FALSE),BoundParameters_HiddenSheetCLAY!$I$1:$L$1,0),FALSE),IF(VLOOKUP($E50,'Table Output'!$A$2:$E$9998,5,FALSE)="Clay",VLOOKUP(J$37,BoundParameters_HiddenSheetCLAY!$I$3:$L$50,MATCH(VLOOKUP($I85,$I$5:$AJ$34,MATCH(VLOOKUP(J$37,$BH$3:$BI$50,2,FALSE),$I$4:$AJ$4,0),FALSE),BoundParameters_HiddenSheetCLAY!$I$1:$L$1,0),FALSE))),'Control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Output'!$A$2:$E$99998,5,FALSE)="Sand",VLOOKUP(K$37,BoundParameters_HiddenSheetSAND!$I$3:$L$50,MATCH(VLOOKUP($I85,$I$5:$AJ$34,MATCH(VLOOKUP(K$37,$BH$3:$BI$50,2,FALSE),$I$4:$AJ$4,0),FALSE),BoundParameters_HiddenSheetCLAY!$I$1:$L$1,0),FALSE),IF(VLOOKUP($E50,'Table Output'!$A$2:$E$9998,5,FALSE)="Clay",VLOOKUP(K$37,BoundParameters_HiddenSheetCLAY!$I$3:$L$50,MATCH(VLOOKUP($I85,$I$5:$AJ$34,MATCH(VLOOKUP(K$37,$BH$3:$BI$50,2,FALSE),$I$4:$AJ$4,0),FALSE),BoundParameters_HiddenSheetCLAY!$I$1:$L$1,0),FALSE))),'Control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Output'!$A$2:$E$99998,5,FALSE)="Sand",VLOOKUP(L$37,BoundParameters_HiddenSheetSAND!$I$3:$L$50,MATCH(VLOOKUP($I85,$I$5:$AJ$34,MATCH(VLOOKUP(L$37,$BH$3:$BI$50,2,FALSE),$I$4:$AJ$4,0),FALSE),BoundParameters_HiddenSheetCLAY!$I$1:$L$1,0),FALSE),IF(VLOOKUP($E50,'Table Output'!$A$2:$E$9998,5,FALSE)="Clay",VLOOKUP(L$37,BoundParameters_HiddenSheetCLAY!$I$3:$L$50,MATCH(VLOOKUP($I85,$I$5:$AJ$34,MATCH(VLOOKUP(L$37,$BH$3:$BI$50,2,FALSE),$I$4:$AJ$4,0),FALSE),BoundParameters_HiddenSheetCLAY!$I$1:$L$1,0),FALSE))),'Control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Output'!$A$2:$E$99998,5,FALSE)="Sand",VLOOKUP(M$37,BoundParameters_HiddenSheetSAND!$I$3:$L$50,MATCH(VLOOKUP($I85,$I$5:$AJ$34,MATCH(VLOOKUP(M$37,$BH$3:$BI$50,2,FALSE),$I$4:$AJ$4,0),FALSE),BoundParameters_HiddenSheetCLAY!$I$1:$L$1,0),FALSE),IF(VLOOKUP($E50,'Table Output'!$A$2:$E$9998,5,FALSE)="Clay",VLOOKUP(M$37,BoundParameters_HiddenSheetCLAY!$I$3:$L$50,MATCH(VLOOKUP($I85,$I$5:$AJ$34,MATCH(VLOOKUP(M$37,$BH$3:$BI$50,2,FALSE),$I$4:$AJ$4,0),FALSE),BoundParameters_HiddenSheetCLAY!$I$1:$L$1,0),FALSE))),'Control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Output'!$A$2:$E$99998,5,FALSE)="Sand",VLOOKUP(N$37,BoundParameters_HiddenSheetSAND!$I$3:$L$50,MATCH(VLOOKUP($I85,$I$5:$AJ$34,MATCH(VLOOKUP(N$37,$BH$3:$BI$50,2,FALSE),$I$4:$AJ$4,0),FALSE),BoundParameters_HiddenSheetCLAY!$I$1:$L$1,0),FALSE),IF(VLOOKUP($E50,'Table Output'!$A$2:$E$9998,5,FALSE)="Clay",VLOOKUP(N$37,BoundParameters_HiddenSheetCLAY!$I$3:$L$50,MATCH(VLOOKUP($I85,$I$5:$AJ$34,MATCH(VLOOKUP(N$37,$BH$3:$BI$50,2,FALSE),$I$4:$AJ$4,0),FALSE),BoundParameters_HiddenSheetCLAY!$I$1:$L$1,0),FALSE))),'Control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Output'!$A$2:$E$99998,5,FALSE)="Sand",VLOOKUP(O$37,BoundParameters_HiddenSheetSAND!$I$3:$L$50,MATCH(VLOOKUP($I85,$I$5:$AJ$34,MATCH(VLOOKUP(O$37,$BH$3:$BI$50,2,FALSE),$I$4:$AJ$4,0),FALSE),BoundParameters_HiddenSheetCLAY!$I$1:$L$1,0),FALSE),IF(VLOOKUP($E50,'Table Output'!$A$2:$E$9998,5,FALSE)="Clay",VLOOKUP(O$37,BoundParameters_HiddenSheetCLAY!$I$3:$L$50,MATCH(VLOOKUP($I85,$I$5:$AJ$34,MATCH(VLOOKUP(O$37,$BH$3:$BI$50,2,FALSE),$I$4:$AJ$4,0),FALSE),BoundParameters_HiddenSheetCLAY!$I$1:$L$1,0),FALSE))),'Control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Output'!$A$2:$E$99998,5,FALSE)="Sand",VLOOKUP(P$37,BoundParameters_HiddenSheetSAND!$I$3:$L$50,MATCH(VLOOKUP($I85,$I$5:$AJ$34,MATCH(VLOOKUP(P$37,$BH$3:$BI$50,2,FALSE),$I$4:$AJ$4,0),FALSE),BoundParameters_HiddenSheetCLAY!$I$1:$L$1,0),FALSE),IF(VLOOKUP($E50,'Table Output'!$A$2:$E$9998,5,FALSE)="Clay",VLOOKUP(P$37,BoundParameters_HiddenSheetCLAY!$I$3:$L$50,MATCH(VLOOKUP($I85,$I$5:$AJ$34,MATCH(VLOOKUP(P$37,$BH$3:$BI$50,2,FALSE),$I$4:$AJ$4,0),FALSE),BoundParameters_HiddenSheetCLAY!$I$1:$L$1,0),FALSE))),'Control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Output'!$A$2:$E$99998,5,FALSE)="Sand",VLOOKUP(Q$37,BoundParameters_HiddenSheetSAND!$I$3:$L$50,MATCH(VLOOKUP($I85,$I$5:$AJ$34,MATCH(VLOOKUP(Q$37,$BH$3:$BI$50,2,FALSE),$I$4:$AJ$4,0),FALSE),BoundParameters_HiddenSheetCLAY!$I$1:$L$1,0),FALSE),IF(VLOOKUP($E50,'Table Output'!$A$2:$E$9998,5,FALSE)="Clay",VLOOKUP(Q$37,BoundParameters_HiddenSheetCLAY!$I$3:$L$50,MATCH(VLOOKUP($I85,$I$5:$AJ$34,MATCH(VLOOKUP(Q$37,$BH$3:$BI$50,2,FALSE),$I$4:$AJ$4,0),FALSE),BoundParameters_HiddenSheetCLAY!$I$1:$L$1,0),FALSE))),'Control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Output'!$A$2:$E$99998,5,FALSE)="Sand",VLOOKUP(R$37,BoundParameters_HiddenSheetSAND!$I$3:$L$50,MATCH(VLOOKUP($I85,$I$5:$AJ$34,MATCH(VLOOKUP(R$37,$BH$3:$BI$50,2,FALSE),$I$4:$AJ$4,0),FALSE),BoundParameters_HiddenSheetCLAY!$I$1:$L$1,0),FALSE),IF(VLOOKUP($E50,'Table Output'!$A$2:$E$9998,5,FALSE)="Clay",VLOOKUP(R$37,BoundParameters_HiddenSheetCLAY!$I$3:$L$50,MATCH(VLOOKUP($I85,$I$5:$AJ$34,MATCH(VLOOKUP(R$37,$BH$3:$BI$50,2,FALSE),$I$4:$AJ$4,0),FALSE),BoundParameters_HiddenSheetCLAY!$I$1:$L$1,0),FALSE))),'Control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Output'!$A$2:$E$99998,5,FALSE)="Sand",VLOOKUP(S$37,BoundParameters_HiddenSheetSAND!$I$3:$L$50,MATCH(VLOOKUP($I85,$I$5:$AJ$34,MATCH(VLOOKUP(S$37,$BH$3:$BI$50,2,FALSE),$I$4:$AJ$4,0),FALSE),BoundParameters_HiddenSheetCLAY!$I$1:$L$1,0),FALSE),IF(VLOOKUP($E50,'Table Output'!$A$2:$E$9998,5,FALSE)="Clay",VLOOKUP(S$37,BoundParameters_HiddenSheetCLAY!$I$3:$L$50,MATCH(VLOOKUP($I85,$I$5:$AJ$34,MATCH(VLOOKUP(S$37,$BH$3:$BI$50,2,FALSE),$I$4:$AJ$4,0),FALSE),BoundParameters_HiddenSheetCLAY!$I$1:$L$1,0),FALSE))),'Control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Output'!$A$2:$E$99998,5,FALSE)="Sand",VLOOKUP(J$37,BoundParameters_HiddenSheetSAND!$I$3:$L$50,MATCH(VLOOKUP($I86,$I$5:$AJ$34,MATCH(VLOOKUP(J$37,$BH$3:$BI$50,2,FALSE),$I$4:$AJ$4,0),FALSE),BoundParameters_HiddenSheetCLAY!$I$1:$L$1,0),FALSE),IF(VLOOKUP($E51,'Table Output'!$A$2:$E$9998,5,FALSE)="Clay",VLOOKUP(J$37,BoundParameters_HiddenSheetCLAY!$I$3:$L$50,MATCH(VLOOKUP($I86,$I$5:$AJ$34,MATCH(VLOOKUP(J$37,$BH$3:$BI$50,2,FALSE),$I$4:$AJ$4,0),FALSE),BoundParameters_HiddenSheetCLAY!$I$1:$L$1,0),FALSE))),'Control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Output'!$A$2:$E$99998,5,FALSE)="Sand",VLOOKUP(K$37,BoundParameters_HiddenSheetSAND!$I$3:$L$50,MATCH(VLOOKUP($I86,$I$5:$AJ$34,MATCH(VLOOKUP(K$37,$BH$3:$BI$50,2,FALSE),$I$4:$AJ$4,0),FALSE),BoundParameters_HiddenSheetCLAY!$I$1:$L$1,0),FALSE),IF(VLOOKUP($E51,'Table Output'!$A$2:$E$9998,5,FALSE)="Clay",VLOOKUP(K$37,BoundParameters_HiddenSheetCLAY!$I$3:$L$50,MATCH(VLOOKUP($I86,$I$5:$AJ$34,MATCH(VLOOKUP(K$37,$BH$3:$BI$50,2,FALSE),$I$4:$AJ$4,0),FALSE),BoundParameters_HiddenSheetCLAY!$I$1:$L$1,0),FALSE))),'Control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Output'!$A$2:$E$99998,5,FALSE)="Sand",VLOOKUP(L$37,BoundParameters_HiddenSheetSAND!$I$3:$L$50,MATCH(VLOOKUP($I86,$I$5:$AJ$34,MATCH(VLOOKUP(L$37,$BH$3:$BI$50,2,FALSE),$I$4:$AJ$4,0),FALSE),BoundParameters_HiddenSheetCLAY!$I$1:$L$1,0),FALSE),IF(VLOOKUP($E51,'Table Output'!$A$2:$E$9998,5,FALSE)="Clay",VLOOKUP(L$37,BoundParameters_HiddenSheetCLAY!$I$3:$L$50,MATCH(VLOOKUP($I86,$I$5:$AJ$34,MATCH(VLOOKUP(L$37,$BH$3:$BI$50,2,FALSE),$I$4:$AJ$4,0),FALSE),BoundParameters_HiddenSheetCLAY!$I$1:$L$1,0),FALSE))),'Control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Output'!$A$2:$E$99998,5,FALSE)="Sand",VLOOKUP(M$37,BoundParameters_HiddenSheetSAND!$I$3:$L$50,MATCH(VLOOKUP($I86,$I$5:$AJ$34,MATCH(VLOOKUP(M$37,$BH$3:$BI$50,2,FALSE),$I$4:$AJ$4,0),FALSE),BoundParameters_HiddenSheetCLAY!$I$1:$L$1,0),FALSE),IF(VLOOKUP($E51,'Table Output'!$A$2:$E$9998,5,FALSE)="Clay",VLOOKUP(M$37,BoundParameters_HiddenSheetCLAY!$I$3:$L$50,MATCH(VLOOKUP($I86,$I$5:$AJ$34,MATCH(VLOOKUP(M$37,$BH$3:$BI$50,2,FALSE),$I$4:$AJ$4,0),FALSE),BoundParameters_HiddenSheetCLAY!$I$1:$L$1,0),FALSE))),'Control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Output'!$A$2:$E$99998,5,FALSE)="Sand",VLOOKUP(N$37,BoundParameters_HiddenSheetSAND!$I$3:$L$50,MATCH(VLOOKUP($I86,$I$5:$AJ$34,MATCH(VLOOKUP(N$37,$BH$3:$BI$50,2,FALSE),$I$4:$AJ$4,0),FALSE),BoundParameters_HiddenSheetCLAY!$I$1:$L$1,0),FALSE),IF(VLOOKUP($E51,'Table Output'!$A$2:$E$9998,5,FALSE)="Clay",VLOOKUP(N$37,BoundParameters_HiddenSheetCLAY!$I$3:$L$50,MATCH(VLOOKUP($I86,$I$5:$AJ$34,MATCH(VLOOKUP(N$37,$BH$3:$BI$50,2,FALSE),$I$4:$AJ$4,0),FALSE),BoundParameters_HiddenSheetCLAY!$I$1:$L$1,0),FALSE))),'Control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Output'!$A$2:$E$99998,5,FALSE)="Sand",VLOOKUP(O$37,BoundParameters_HiddenSheetSAND!$I$3:$L$50,MATCH(VLOOKUP($I86,$I$5:$AJ$34,MATCH(VLOOKUP(O$37,$BH$3:$BI$50,2,FALSE),$I$4:$AJ$4,0),FALSE),BoundParameters_HiddenSheetCLAY!$I$1:$L$1,0),FALSE),IF(VLOOKUP($E51,'Table Output'!$A$2:$E$9998,5,FALSE)="Clay",VLOOKUP(O$37,BoundParameters_HiddenSheetCLAY!$I$3:$L$50,MATCH(VLOOKUP($I86,$I$5:$AJ$34,MATCH(VLOOKUP(O$37,$BH$3:$BI$50,2,FALSE),$I$4:$AJ$4,0),FALSE),BoundParameters_HiddenSheetCLAY!$I$1:$L$1,0),FALSE))),'Control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Output'!$A$2:$E$99998,5,FALSE)="Sand",VLOOKUP(P$37,BoundParameters_HiddenSheetSAND!$I$3:$L$50,MATCH(VLOOKUP($I86,$I$5:$AJ$34,MATCH(VLOOKUP(P$37,$BH$3:$BI$50,2,FALSE),$I$4:$AJ$4,0),FALSE),BoundParameters_HiddenSheetCLAY!$I$1:$L$1,0),FALSE),IF(VLOOKUP($E51,'Table Output'!$A$2:$E$9998,5,FALSE)="Clay",VLOOKUP(P$37,BoundParameters_HiddenSheetCLAY!$I$3:$L$50,MATCH(VLOOKUP($I86,$I$5:$AJ$34,MATCH(VLOOKUP(P$37,$BH$3:$BI$50,2,FALSE),$I$4:$AJ$4,0),FALSE),BoundParameters_HiddenSheetCLAY!$I$1:$L$1,0),FALSE))),'Control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Output'!$A$2:$E$99998,5,FALSE)="Sand",VLOOKUP(Q$37,BoundParameters_HiddenSheetSAND!$I$3:$L$50,MATCH(VLOOKUP($I86,$I$5:$AJ$34,MATCH(VLOOKUP(Q$37,$BH$3:$BI$50,2,FALSE),$I$4:$AJ$4,0),FALSE),BoundParameters_HiddenSheetCLAY!$I$1:$L$1,0),FALSE),IF(VLOOKUP($E51,'Table Output'!$A$2:$E$9998,5,FALSE)="Clay",VLOOKUP(Q$37,BoundParameters_HiddenSheetCLAY!$I$3:$L$50,MATCH(VLOOKUP($I86,$I$5:$AJ$34,MATCH(VLOOKUP(Q$37,$BH$3:$BI$50,2,FALSE),$I$4:$AJ$4,0),FALSE),BoundParameters_HiddenSheetCLAY!$I$1:$L$1,0),FALSE))),'Control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Output'!$A$2:$E$99998,5,FALSE)="Sand",VLOOKUP(R$37,BoundParameters_HiddenSheetSAND!$I$3:$L$50,MATCH(VLOOKUP($I86,$I$5:$AJ$34,MATCH(VLOOKUP(R$37,$BH$3:$BI$50,2,FALSE),$I$4:$AJ$4,0),FALSE),BoundParameters_HiddenSheetCLAY!$I$1:$L$1,0),FALSE),IF(VLOOKUP($E51,'Table Output'!$A$2:$E$9998,5,FALSE)="Clay",VLOOKUP(R$37,BoundParameters_HiddenSheetCLAY!$I$3:$L$50,MATCH(VLOOKUP($I86,$I$5:$AJ$34,MATCH(VLOOKUP(R$37,$BH$3:$BI$50,2,FALSE),$I$4:$AJ$4,0),FALSE),BoundParameters_HiddenSheetCLAY!$I$1:$L$1,0),FALSE))),'Control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Output'!$A$2:$E$99998,5,FALSE)="Sand",VLOOKUP(S$37,BoundParameters_HiddenSheetSAND!$I$3:$L$50,MATCH(VLOOKUP($I86,$I$5:$AJ$34,MATCH(VLOOKUP(S$37,$BH$3:$BI$50,2,FALSE),$I$4:$AJ$4,0),FALSE),BoundParameters_HiddenSheetCLAY!$I$1:$L$1,0),FALSE),IF(VLOOKUP($E51,'Table Output'!$A$2:$E$9998,5,FALSE)="Clay",VLOOKUP(S$37,BoundParameters_HiddenSheetCLAY!$I$3:$L$50,MATCH(VLOOKUP($I86,$I$5:$AJ$34,MATCH(VLOOKUP(S$37,$BH$3:$BI$50,2,FALSE),$I$4:$AJ$4,0),FALSE),BoundParameters_HiddenSheetCLAY!$I$1:$L$1,0),FALSE))),'Control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Output'!$A$2:$E$99998,5,FALSE)="Sand",VLOOKUP(J$37,BoundParameters_HiddenSheetSAND!$I$3:$L$50,MATCH(VLOOKUP($I87,$I$5:$AJ$34,MATCH(VLOOKUP(J$37,$BH$3:$BI$50,2,FALSE),$I$4:$AJ$4,0),FALSE),BoundParameters_HiddenSheetCLAY!$I$1:$L$1,0),FALSE),IF(VLOOKUP($E52,'Table Output'!$A$2:$E$9998,5,FALSE)="Clay",VLOOKUP(J$37,BoundParameters_HiddenSheetCLAY!$I$3:$L$50,MATCH(VLOOKUP($I87,$I$5:$AJ$34,MATCH(VLOOKUP(J$37,$BH$3:$BI$50,2,FALSE),$I$4:$AJ$4,0),FALSE),BoundParameters_HiddenSheetCLAY!$I$1:$L$1,0),FALSE))),'Control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Output'!$A$2:$E$99998,5,FALSE)="Sand",VLOOKUP(K$37,BoundParameters_HiddenSheetSAND!$I$3:$L$50,MATCH(VLOOKUP($I87,$I$5:$AJ$34,MATCH(VLOOKUP(K$37,$BH$3:$BI$50,2,FALSE),$I$4:$AJ$4,0),FALSE),BoundParameters_HiddenSheetCLAY!$I$1:$L$1,0),FALSE),IF(VLOOKUP($E52,'Table Output'!$A$2:$E$9998,5,FALSE)="Clay",VLOOKUP(K$37,BoundParameters_HiddenSheetCLAY!$I$3:$L$50,MATCH(VLOOKUP($I87,$I$5:$AJ$34,MATCH(VLOOKUP(K$37,$BH$3:$BI$50,2,FALSE),$I$4:$AJ$4,0),FALSE),BoundParameters_HiddenSheetCLAY!$I$1:$L$1,0),FALSE))),'Control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Output'!$A$2:$E$99998,5,FALSE)="Sand",VLOOKUP(L$37,BoundParameters_HiddenSheetSAND!$I$3:$L$50,MATCH(VLOOKUP($I87,$I$5:$AJ$34,MATCH(VLOOKUP(L$37,$BH$3:$BI$50,2,FALSE),$I$4:$AJ$4,0),FALSE),BoundParameters_HiddenSheetCLAY!$I$1:$L$1,0),FALSE),IF(VLOOKUP($E52,'Table Output'!$A$2:$E$9998,5,FALSE)="Clay",VLOOKUP(L$37,BoundParameters_HiddenSheetCLAY!$I$3:$L$50,MATCH(VLOOKUP($I87,$I$5:$AJ$34,MATCH(VLOOKUP(L$37,$BH$3:$BI$50,2,FALSE),$I$4:$AJ$4,0),FALSE),BoundParameters_HiddenSheetCLAY!$I$1:$L$1,0),FALSE))),'Control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Output'!$A$2:$E$99998,5,FALSE)="Sand",VLOOKUP(M$37,BoundParameters_HiddenSheetSAND!$I$3:$L$50,MATCH(VLOOKUP($I87,$I$5:$AJ$34,MATCH(VLOOKUP(M$37,$BH$3:$BI$50,2,FALSE),$I$4:$AJ$4,0),FALSE),BoundParameters_HiddenSheetCLAY!$I$1:$L$1,0),FALSE),IF(VLOOKUP($E52,'Table Output'!$A$2:$E$9998,5,FALSE)="Clay",VLOOKUP(M$37,BoundParameters_HiddenSheetCLAY!$I$3:$L$50,MATCH(VLOOKUP($I87,$I$5:$AJ$34,MATCH(VLOOKUP(M$37,$BH$3:$BI$50,2,FALSE),$I$4:$AJ$4,0),FALSE),BoundParameters_HiddenSheetCLAY!$I$1:$L$1,0),FALSE))),'Control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Output'!$A$2:$E$99998,5,FALSE)="Sand",VLOOKUP(N$37,BoundParameters_HiddenSheetSAND!$I$3:$L$50,MATCH(VLOOKUP($I87,$I$5:$AJ$34,MATCH(VLOOKUP(N$37,$BH$3:$BI$50,2,FALSE),$I$4:$AJ$4,0),FALSE),BoundParameters_HiddenSheetCLAY!$I$1:$L$1,0),FALSE),IF(VLOOKUP($E52,'Table Output'!$A$2:$E$9998,5,FALSE)="Clay",VLOOKUP(N$37,BoundParameters_HiddenSheetCLAY!$I$3:$L$50,MATCH(VLOOKUP($I87,$I$5:$AJ$34,MATCH(VLOOKUP(N$37,$BH$3:$BI$50,2,FALSE),$I$4:$AJ$4,0),FALSE),BoundParameters_HiddenSheetCLAY!$I$1:$L$1,0),FALSE))),'Control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Output'!$A$2:$E$99998,5,FALSE)="Sand",VLOOKUP(O$37,BoundParameters_HiddenSheetSAND!$I$3:$L$50,MATCH(VLOOKUP($I87,$I$5:$AJ$34,MATCH(VLOOKUP(O$37,$BH$3:$BI$50,2,FALSE),$I$4:$AJ$4,0),FALSE),BoundParameters_HiddenSheetCLAY!$I$1:$L$1,0),FALSE),IF(VLOOKUP($E52,'Table Output'!$A$2:$E$9998,5,FALSE)="Clay",VLOOKUP(O$37,BoundParameters_HiddenSheetCLAY!$I$3:$L$50,MATCH(VLOOKUP($I87,$I$5:$AJ$34,MATCH(VLOOKUP(O$37,$BH$3:$BI$50,2,FALSE),$I$4:$AJ$4,0),FALSE),BoundParameters_HiddenSheetCLAY!$I$1:$L$1,0),FALSE))),'Control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Output'!$A$2:$E$99998,5,FALSE)="Sand",VLOOKUP(P$37,BoundParameters_HiddenSheetSAND!$I$3:$L$50,MATCH(VLOOKUP($I87,$I$5:$AJ$34,MATCH(VLOOKUP(P$37,$BH$3:$BI$50,2,FALSE),$I$4:$AJ$4,0),FALSE),BoundParameters_HiddenSheetCLAY!$I$1:$L$1,0),FALSE),IF(VLOOKUP($E52,'Table Output'!$A$2:$E$9998,5,FALSE)="Clay",VLOOKUP(P$37,BoundParameters_HiddenSheetCLAY!$I$3:$L$50,MATCH(VLOOKUP($I87,$I$5:$AJ$34,MATCH(VLOOKUP(P$37,$BH$3:$BI$50,2,FALSE),$I$4:$AJ$4,0),FALSE),BoundParameters_HiddenSheetCLAY!$I$1:$L$1,0),FALSE))),'Control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Output'!$A$2:$E$99998,5,FALSE)="Sand",VLOOKUP(Q$37,BoundParameters_HiddenSheetSAND!$I$3:$L$50,MATCH(VLOOKUP($I87,$I$5:$AJ$34,MATCH(VLOOKUP(Q$37,$BH$3:$BI$50,2,FALSE),$I$4:$AJ$4,0),FALSE),BoundParameters_HiddenSheetCLAY!$I$1:$L$1,0),FALSE),IF(VLOOKUP($E52,'Table Output'!$A$2:$E$9998,5,FALSE)="Clay",VLOOKUP(Q$37,BoundParameters_HiddenSheetCLAY!$I$3:$L$50,MATCH(VLOOKUP($I87,$I$5:$AJ$34,MATCH(VLOOKUP(Q$37,$BH$3:$BI$50,2,FALSE),$I$4:$AJ$4,0),FALSE),BoundParameters_HiddenSheetCLAY!$I$1:$L$1,0),FALSE))),'Control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Output'!$A$2:$E$99998,5,FALSE)="Sand",VLOOKUP(R$37,BoundParameters_HiddenSheetSAND!$I$3:$L$50,MATCH(VLOOKUP($I87,$I$5:$AJ$34,MATCH(VLOOKUP(R$37,$BH$3:$BI$50,2,FALSE),$I$4:$AJ$4,0),FALSE),BoundParameters_HiddenSheetCLAY!$I$1:$L$1,0),FALSE),IF(VLOOKUP($E52,'Table Output'!$A$2:$E$9998,5,FALSE)="Clay",VLOOKUP(R$37,BoundParameters_HiddenSheetCLAY!$I$3:$L$50,MATCH(VLOOKUP($I87,$I$5:$AJ$34,MATCH(VLOOKUP(R$37,$BH$3:$BI$50,2,FALSE),$I$4:$AJ$4,0),FALSE),BoundParameters_HiddenSheetCLAY!$I$1:$L$1,0),FALSE))),'Control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Output'!$A$2:$E$99998,5,FALSE)="Sand",VLOOKUP(S$37,BoundParameters_HiddenSheetSAND!$I$3:$L$50,MATCH(VLOOKUP($I87,$I$5:$AJ$34,MATCH(VLOOKUP(S$37,$BH$3:$BI$50,2,FALSE),$I$4:$AJ$4,0),FALSE),BoundParameters_HiddenSheetCLAY!$I$1:$L$1,0),FALSE),IF(VLOOKUP($E52,'Table Output'!$A$2:$E$9998,5,FALSE)="Clay",VLOOKUP(S$37,BoundParameters_HiddenSheetCLAY!$I$3:$L$50,MATCH(VLOOKUP($I87,$I$5:$AJ$34,MATCH(VLOOKUP(S$37,$BH$3:$BI$50,2,FALSE),$I$4:$AJ$4,0),FALSE),BoundParameters_HiddenSheetCLAY!$I$1:$L$1,0),FALSE))),'Control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Output'!$A$2:$E$99998,5,FALSE)="Sand",VLOOKUP(J$37,BoundParameters_HiddenSheetSAND!$I$3:$L$50,MATCH(VLOOKUP($I88,$I$5:$AJ$34,MATCH(VLOOKUP(J$37,$BH$3:$BI$50,2,FALSE),$I$4:$AJ$4,0),FALSE),BoundParameters_HiddenSheetCLAY!$I$1:$L$1,0),FALSE),IF(VLOOKUP($E53,'Table Output'!$A$2:$E$9998,5,FALSE)="Clay",VLOOKUP(J$37,BoundParameters_HiddenSheetCLAY!$I$3:$L$50,MATCH(VLOOKUP($I88,$I$5:$AJ$34,MATCH(VLOOKUP(J$37,$BH$3:$BI$50,2,FALSE),$I$4:$AJ$4,0),FALSE),BoundParameters_HiddenSheetCLAY!$I$1:$L$1,0),FALSE))),'Control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Output'!$A$2:$E$99998,5,FALSE)="Sand",VLOOKUP(K$37,BoundParameters_HiddenSheetSAND!$I$3:$L$50,MATCH(VLOOKUP($I88,$I$5:$AJ$34,MATCH(VLOOKUP(K$37,$BH$3:$BI$50,2,FALSE),$I$4:$AJ$4,0),FALSE),BoundParameters_HiddenSheetCLAY!$I$1:$L$1,0),FALSE),IF(VLOOKUP($E53,'Table Output'!$A$2:$E$9998,5,FALSE)="Clay",VLOOKUP(K$37,BoundParameters_HiddenSheetCLAY!$I$3:$L$50,MATCH(VLOOKUP($I88,$I$5:$AJ$34,MATCH(VLOOKUP(K$37,$BH$3:$BI$50,2,FALSE),$I$4:$AJ$4,0),FALSE),BoundParameters_HiddenSheetCLAY!$I$1:$L$1,0),FALSE))),'Control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Output'!$A$2:$E$99998,5,FALSE)="Sand",VLOOKUP(L$37,BoundParameters_HiddenSheetSAND!$I$3:$L$50,MATCH(VLOOKUP($I88,$I$5:$AJ$34,MATCH(VLOOKUP(L$37,$BH$3:$BI$50,2,FALSE),$I$4:$AJ$4,0),FALSE),BoundParameters_HiddenSheetCLAY!$I$1:$L$1,0),FALSE),IF(VLOOKUP($E53,'Table Output'!$A$2:$E$9998,5,FALSE)="Clay",VLOOKUP(L$37,BoundParameters_HiddenSheetCLAY!$I$3:$L$50,MATCH(VLOOKUP($I88,$I$5:$AJ$34,MATCH(VLOOKUP(L$37,$BH$3:$BI$50,2,FALSE),$I$4:$AJ$4,0),FALSE),BoundParameters_HiddenSheetCLAY!$I$1:$L$1,0),FALSE))),'Control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Output'!$A$2:$E$99998,5,FALSE)="Sand",VLOOKUP(M$37,BoundParameters_HiddenSheetSAND!$I$3:$L$50,MATCH(VLOOKUP($I88,$I$5:$AJ$34,MATCH(VLOOKUP(M$37,$BH$3:$BI$50,2,FALSE),$I$4:$AJ$4,0),FALSE),BoundParameters_HiddenSheetCLAY!$I$1:$L$1,0),FALSE),IF(VLOOKUP($E53,'Table Output'!$A$2:$E$9998,5,FALSE)="Clay",VLOOKUP(M$37,BoundParameters_HiddenSheetCLAY!$I$3:$L$50,MATCH(VLOOKUP($I88,$I$5:$AJ$34,MATCH(VLOOKUP(M$37,$BH$3:$BI$50,2,FALSE),$I$4:$AJ$4,0),FALSE),BoundParameters_HiddenSheetCLAY!$I$1:$L$1,0),FALSE))),'Control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Output'!$A$2:$E$99998,5,FALSE)="Sand",VLOOKUP(N$37,BoundParameters_HiddenSheetSAND!$I$3:$L$50,MATCH(VLOOKUP($I88,$I$5:$AJ$34,MATCH(VLOOKUP(N$37,$BH$3:$BI$50,2,FALSE),$I$4:$AJ$4,0),FALSE),BoundParameters_HiddenSheetCLAY!$I$1:$L$1,0),FALSE),IF(VLOOKUP($E53,'Table Output'!$A$2:$E$9998,5,FALSE)="Clay",VLOOKUP(N$37,BoundParameters_HiddenSheetCLAY!$I$3:$L$50,MATCH(VLOOKUP($I88,$I$5:$AJ$34,MATCH(VLOOKUP(N$37,$BH$3:$BI$50,2,FALSE),$I$4:$AJ$4,0),FALSE),BoundParameters_HiddenSheetCLAY!$I$1:$L$1,0),FALSE))),'Control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Output'!$A$2:$E$99998,5,FALSE)="Sand",VLOOKUP(O$37,BoundParameters_HiddenSheetSAND!$I$3:$L$50,MATCH(VLOOKUP($I88,$I$5:$AJ$34,MATCH(VLOOKUP(O$37,$BH$3:$BI$50,2,FALSE),$I$4:$AJ$4,0),FALSE),BoundParameters_HiddenSheetCLAY!$I$1:$L$1,0),FALSE),IF(VLOOKUP($E53,'Table Output'!$A$2:$E$9998,5,FALSE)="Clay",VLOOKUP(O$37,BoundParameters_HiddenSheetCLAY!$I$3:$L$50,MATCH(VLOOKUP($I88,$I$5:$AJ$34,MATCH(VLOOKUP(O$37,$BH$3:$BI$50,2,FALSE),$I$4:$AJ$4,0),FALSE),BoundParameters_HiddenSheetCLAY!$I$1:$L$1,0),FALSE))),'Control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Output'!$A$2:$E$99998,5,FALSE)="Sand",VLOOKUP(P$37,BoundParameters_HiddenSheetSAND!$I$3:$L$50,MATCH(VLOOKUP($I88,$I$5:$AJ$34,MATCH(VLOOKUP(P$37,$BH$3:$BI$50,2,FALSE),$I$4:$AJ$4,0),FALSE),BoundParameters_HiddenSheetCLAY!$I$1:$L$1,0),FALSE),IF(VLOOKUP($E53,'Table Output'!$A$2:$E$9998,5,FALSE)="Clay",VLOOKUP(P$37,BoundParameters_HiddenSheetCLAY!$I$3:$L$50,MATCH(VLOOKUP($I88,$I$5:$AJ$34,MATCH(VLOOKUP(P$37,$BH$3:$BI$50,2,FALSE),$I$4:$AJ$4,0),FALSE),BoundParameters_HiddenSheetCLAY!$I$1:$L$1,0),FALSE))),'Control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Output'!$A$2:$E$99998,5,FALSE)="Sand",VLOOKUP(Q$37,BoundParameters_HiddenSheetSAND!$I$3:$L$50,MATCH(VLOOKUP($I88,$I$5:$AJ$34,MATCH(VLOOKUP(Q$37,$BH$3:$BI$50,2,FALSE),$I$4:$AJ$4,0),FALSE),BoundParameters_HiddenSheetCLAY!$I$1:$L$1,0),FALSE),IF(VLOOKUP($E53,'Table Output'!$A$2:$E$9998,5,FALSE)="Clay",VLOOKUP(Q$37,BoundParameters_HiddenSheetCLAY!$I$3:$L$50,MATCH(VLOOKUP($I88,$I$5:$AJ$34,MATCH(VLOOKUP(Q$37,$BH$3:$BI$50,2,FALSE),$I$4:$AJ$4,0),FALSE),BoundParameters_HiddenSheetCLAY!$I$1:$L$1,0),FALSE))),'Control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Output'!$A$2:$E$99998,5,FALSE)="Sand",VLOOKUP(R$37,BoundParameters_HiddenSheetSAND!$I$3:$L$50,MATCH(VLOOKUP($I88,$I$5:$AJ$34,MATCH(VLOOKUP(R$37,$BH$3:$BI$50,2,FALSE),$I$4:$AJ$4,0),FALSE),BoundParameters_HiddenSheetCLAY!$I$1:$L$1,0),FALSE),IF(VLOOKUP($E53,'Table Output'!$A$2:$E$9998,5,FALSE)="Clay",VLOOKUP(R$37,BoundParameters_HiddenSheetCLAY!$I$3:$L$50,MATCH(VLOOKUP($I88,$I$5:$AJ$34,MATCH(VLOOKUP(R$37,$BH$3:$BI$50,2,FALSE),$I$4:$AJ$4,0),FALSE),BoundParameters_HiddenSheetCLAY!$I$1:$L$1,0),FALSE))),'Control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Output'!$A$2:$E$99998,5,FALSE)="Sand",VLOOKUP(S$37,BoundParameters_HiddenSheetSAND!$I$3:$L$50,MATCH(VLOOKUP($I88,$I$5:$AJ$34,MATCH(VLOOKUP(S$37,$BH$3:$BI$50,2,FALSE),$I$4:$AJ$4,0),FALSE),BoundParameters_HiddenSheetCLAY!$I$1:$L$1,0),FALSE),IF(VLOOKUP($E53,'Table Output'!$A$2:$E$9998,5,FALSE)="Clay",VLOOKUP(S$37,BoundParameters_HiddenSheetCLAY!$I$3:$L$50,MATCH(VLOOKUP($I88,$I$5:$AJ$34,MATCH(VLOOKUP(S$37,$BH$3:$BI$50,2,FALSE),$I$4:$AJ$4,0),FALSE),BoundParameters_HiddenSheetCLAY!$I$1:$L$1,0),FALSE))),'Control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Output'!$A$2:$E$99998,5,FALSE)="Sand",VLOOKUP(J$37,BoundParameters_HiddenSheetSAND!$I$3:$L$50,MATCH(VLOOKUP($I89,$I$5:$AJ$34,MATCH(VLOOKUP(J$37,$BH$3:$BI$50,2,FALSE),$I$4:$AJ$4,0),FALSE),BoundParameters_HiddenSheetCLAY!$I$1:$L$1,0),FALSE),IF(VLOOKUP($E54,'Table Output'!$A$2:$E$9998,5,FALSE)="Clay",VLOOKUP(J$37,BoundParameters_HiddenSheetCLAY!$I$3:$L$50,MATCH(VLOOKUP($I89,$I$5:$AJ$34,MATCH(VLOOKUP(J$37,$BH$3:$BI$50,2,FALSE),$I$4:$AJ$4,0),FALSE),BoundParameters_HiddenSheetCLAY!$I$1:$L$1,0),FALSE))),'Control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Output'!$A$2:$E$99998,5,FALSE)="Sand",VLOOKUP(K$37,BoundParameters_HiddenSheetSAND!$I$3:$L$50,MATCH(VLOOKUP($I89,$I$5:$AJ$34,MATCH(VLOOKUP(K$37,$BH$3:$BI$50,2,FALSE),$I$4:$AJ$4,0),FALSE),BoundParameters_HiddenSheetCLAY!$I$1:$L$1,0),FALSE),IF(VLOOKUP($E54,'Table Output'!$A$2:$E$9998,5,FALSE)="Clay",VLOOKUP(K$37,BoundParameters_HiddenSheetCLAY!$I$3:$L$50,MATCH(VLOOKUP($I89,$I$5:$AJ$34,MATCH(VLOOKUP(K$37,$BH$3:$BI$50,2,FALSE),$I$4:$AJ$4,0),FALSE),BoundParameters_HiddenSheetCLAY!$I$1:$L$1,0),FALSE))),'Control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Output'!$A$2:$E$99998,5,FALSE)="Sand",VLOOKUP(L$37,BoundParameters_HiddenSheetSAND!$I$3:$L$50,MATCH(VLOOKUP($I89,$I$5:$AJ$34,MATCH(VLOOKUP(L$37,$BH$3:$BI$50,2,FALSE),$I$4:$AJ$4,0),FALSE),BoundParameters_HiddenSheetCLAY!$I$1:$L$1,0),FALSE),IF(VLOOKUP($E54,'Table Output'!$A$2:$E$9998,5,FALSE)="Clay",VLOOKUP(L$37,BoundParameters_HiddenSheetCLAY!$I$3:$L$50,MATCH(VLOOKUP($I89,$I$5:$AJ$34,MATCH(VLOOKUP(L$37,$BH$3:$BI$50,2,FALSE),$I$4:$AJ$4,0),FALSE),BoundParameters_HiddenSheetCLAY!$I$1:$L$1,0),FALSE))),'Control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Output'!$A$2:$E$99998,5,FALSE)="Sand",VLOOKUP(M$37,BoundParameters_HiddenSheetSAND!$I$3:$L$50,MATCH(VLOOKUP($I89,$I$5:$AJ$34,MATCH(VLOOKUP(M$37,$BH$3:$BI$50,2,FALSE),$I$4:$AJ$4,0),FALSE),BoundParameters_HiddenSheetCLAY!$I$1:$L$1,0),FALSE),IF(VLOOKUP($E54,'Table Output'!$A$2:$E$9998,5,FALSE)="Clay",VLOOKUP(M$37,BoundParameters_HiddenSheetCLAY!$I$3:$L$50,MATCH(VLOOKUP($I89,$I$5:$AJ$34,MATCH(VLOOKUP(M$37,$BH$3:$BI$50,2,FALSE),$I$4:$AJ$4,0),FALSE),BoundParameters_HiddenSheetCLAY!$I$1:$L$1,0),FALSE))),'Control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Output'!$A$2:$E$99998,5,FALSE)="Sand",VLOOKUP(N$37,BoundParameters_HiddenSheetSAND!$I$3:$L$50,MATCH(VLOOKUP($I89,$I$5:$AJ$34,MATCH(VLOOKUP(N$37,$BH$3:$BI$50,2,FALSE),$I$4:$AJ$4,0),FALSE),BoundParameters_HiddenSheetCLAY!$I$1:$L$1,0),FALSE),IF(VLOOKUP($E54,'Table Output'!$A$2:$E$9998,5,FALSE)="Clay",VLOOKUP(N$37,BoundParameters_HiddenSheetCLAY!$I$3:$L$50,MATCH(VLOOKUP($I89,$I$5:$AJ$34,MATCH(VLOOKUP(N$37,$BH$3:$BI$50,2,FALSE),$I$4:$AJ$4,0),FALSE),BoundParameters_HiddenSheetCLAY!$I$1:$L$1,0),FALSE))),'Control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Output'!$A$2:$E$99998,5,FALSE)="Sand",VLOOKUP(O$37,BoundParameters_HiddenSheetSAND!$I$3:$L$50,MATCH(VLOOKUP($I89,$I$5:$AJ$34,MATCH(VLOOKUP(O$37,$BH$3:$BI$50,2,FALSE),$I$4:$AJ$4,0),FALSE),BoundParameters_HiddenSheetCLAY!$I$1:$L$1,0),FALSE),IF(VLOOKUP($E54,'Table Output'!$A$2:$E$9998,5,FALSE)="Clay",VLOOKUP(O$37,BoundParameters_HiddenSheetCLAY!$I$3:$L$50,MATCH(VLOOKUP($I89,$I$5:$AJ$34,MATCH(VLOOKUP(O$37,$BH$3:$BI$50,2,FALSE),$I$4:$AJ$4,0),FALSE),BoundParameters_HiddenSheetCLAY!$I$1:$L$1,0),FALSE))),'Control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Output'!$A$2:$E$99998,5,FALSE)="Sand",VLOOKUP(P$37,BoundParameters_HiddenSheetSAND!$I$3:$L$50,MATCH(VLOOKUP($I89,$I$5:$AJ$34,MATCH(VLOOKUP(P$37,$BH$3:$BI$50,2,FALSE),$I$4:$AJ$4,0),FALSE),BoundParameters_HiddenSheetCLAY!$I$1:$L$1,0),FALSE),IF(VLOOKUP($E54,'Table Output'!$A$2:$E$9998,5,FALSE)="Clay",VLOOKUP(P$37,BoundParameters_HiddenSheetCLAY!$I$3:$L$50,MATCH(VLOOKUP($I89,$I$5:$AJ$34,MATCH(VLOOKUP(P$37,$BH$3:$BI$50,2,FALSE),$I$4:$AJ$4,0),FALSE),BoundParameters_HiddenSheetCLAY!$I$1:$L$1,0),FALSE))),'Control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Output'!$A$2:$E$99998,5,FALSE)="Sand",VLOOKUP(Q$37,BoundParameters_HiddenSheetSAND!$I$3:$L$50,MATCH(VLOOKUP($I89,$I$5:$AJ$34,MATCH(VLOOKUP(Q$37,$BH$3:$BI$50,2,FALSE),$I$4:$AJ$4,0),FALSE),BoundParameters_HiddenSheetCLAY!$I$1:$L$1,0),FALSE),IF(VLOOKUP($E54,'Table Output'!$A$2:$E$9998,5,FALSE)="Clay",VLOOKUP(Q$37,BoundParameters_HiddenSheetCLAY!$I$3:$L$50,MATCH(VLOOKUP($I89,$I$5:$AJ$34,MATCH(VLOOKUP(Q$37,$BH$3:$BI$50,2,FALSE),$I$4:$AJ$4,0),FALSE),BoundParameters_HiddenSheetCLAY!$I$1:$L$1,0),FALSE))),'Control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Output'!$A$2:$E$99998,5,FALSE)="Sand",VLOOKUP(R$37,BoundParameters_HiddenSheetSAND!$I$3:$L$50,MATCH(VLOOKUP($I89,$I$5:$AJ$34,MATCH(VLOOKUP(R$37,$BH$3:$BI$50,2,FALSE),$I$4:$AJ$4,0),FALSE),BoundParameters_HiddenSheetCLAY!$I$1:$L$1,0),FALSE),IF(VLOOKUP($E54,'Table Output'!$A$2:$E$9998,5,FALSE)="Clay",VLOOKUP(R$37,BoundParameters_HiddenSheetCLAY!$I$3:$L$50,MATCH(VLOOKUP($I89,$I$5:$AJ$34,MATCH(VLOOKUP(R$37,$BH$3:$BI$50,2,FALSE),$I$4:$AJ$4,0),FALSE),BoundParameters_HiddenSheetCLAY!$I$1:$L$1,0),FALSE))),'Control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Output'!$A$2:$E$99998,5,FALSE)="Sand",VLOOKUP(S$37,BoundParameters_HiddenSheetSAND!$I$3:$L$50,MATCH(VLOOKUP($I89,$I$5:$AJ$34,MATCH(VLOOKUP(S$37,$BH$3:$BI$50,2,FALSE),$I$4:$AJ$4,0),FALSE),BoundParameters_HiddenSheetCLAY!$I$1:$L$1,0),FALSE),IF(VLOOKUP($E54,'Table Output'!$A$2:$E$9998,5,FALSE)="Clay",VLOOKUP(S$37,BoundParameters_HiddenSheetCLAY!$I$3:$L$50,MATCH(VLOOKUP($I89,$I$5:$AJ$34,MATCH(VLOOKUP(S$37,$BH$3:$BI$50,2,FALSE),$I$4:$AJ$4,0),FALSE),BoundParameters_HiddenSheetCLAY!$I$1:$L$1,0),FALSE))),'Control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Output'!$A$2:$E$99998,5,FALSE)="Sand",VLOOKUP(J$37,BoundParameters_HiddenSheetSAND!$I$3:$L$50,MATCH(VLOOKUP($I90,$I$5:$AJ$34,MATCH(VLOOKUP(J$37,$BH$3:$BI$50,2,FALSE),$I$4:$AJ$4,0),FALSE),BoundParameters_HiddenSheetCLAY!$I$1:$L$1,0),FALSE),IF(VLOOKUP($E55,'Table Output'!$A$2:$E$9998,5,FALSE)="Clay",VLOOKUP(J$37,BoundParameters_HiddenSheetCLAY!$I$3:$L$50,MATCH(VLOOKUP($I90,$I$5:$AJ$34,MATCH(VLOOKUP(J$37,$BH$3:$BI$50,2,FALSE),$I$4:$AJ$4,0),FALSE),BoundParameters_HiddenSheetCLAY!$I$1:$L$1,0),FALSE))),'Control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Output'!$A$2:$E$99998,5,FALSE)="Sand",VLOOKUP(K$37,BoundParameters_HiddenSheetSAND!$I$3:$L$50,MATCH(VLOOKUP($I90,$I$5:$AJ$34,MATCH(VLOOKUP(K$37,$BH$3:$BI$50,2,FALSE),$I$4:$AJ$4,0),FALSE),BoundParameters_HiddenSheetCLAY!$I$1:$L$1,0),FALSE),IF(VLOOKUP($E55,'Table Output'!$A$2:$E$9998,5,FALSE)="Clay",VLOOKUP(K$37,BoundParameters_HiddenSheetCLAY!$I$3:$L$50,MATCH(VLOOKUP($I90,$I$5:$AJ$34,MATCH(VLOOKUP(K$37,$BH$3:$BI$50,2,FALSE),$I$4:$AJ$4,0),FALSE),BoundParameters_HiddenSheetCLAY!$I$1:$L$1,0),FALSE))),'Control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Output'!$A$2:$E$99998,5,FALSE)="Sand",VLOOKUP(L$37,BoundParameters_HiddenSheetSAND!$I$3:$L$50,MATCH(VLOOKUP($I90,$I$5:$AJ$34,MATCH(VLOOKUP(L$37,$BH$3:$BI$50,2,FALSE),$I$4:$AJ$4,0),FALSE),BoundParameters_HiddenSheetCLAY!$I$1:$L$1,0),FALSE),IF(VLOOKUP($E55,'Table Output'!$A$2:$E$9998,5,FALSE)="Clay",VLOOKUP(L$37,BoundParameters_HiddenSheetCLAY!$I$3:$L$50,MATCH(VLOOKUP($I90,$I$5:$AJ$34,MATCH(VLOOKUP(L$37,$BH$3:$BI$50,2,FALSE),$I$4:$AJ$4,0),FALSE),BoundParameters_HiddenSheetCLAY!$I$1:$L$1,0),FALSE))),'Control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Output'!$A$2:$E$99998,5,FALSE)="Sand",VLOOKUP(M$37,BoundParameters_HiddenSheetSAND!$I$3:$L$50,MATCH(VLOOKUP($I90,$I$5:$AJ$34,MATCH(VLOOKUP(M$37,$BH$3:$BI$50,2,FALSE),$I$4:$AJ$4,0),FALSE),BoundParameters_HiddenSheetCLAY!$I$1:$L$1,0),FALSE),IF(VLOOKUP($E55,'Table Output'!$A$2:$E$9998,5,FALSE)="Clay",VLOOKUP(M$37,BoundParameters_HiddenSheetCLAY!$I$3:$L$50,MATCH(VLOOKUP($I90,$I$5:$AJ$34,MATCH(VLOOKUP(M$37,$BH$3:$BI$50,2,FALSE),$I$4:$AJ$4,0),FALSE),BoundParameters_HiddenSheetCLAY!$I$1:$L$1,0),FALSE))),'Control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Output'!$A$2:$E$99998,5,FALSE)="Sand",VLOOKUP(N$37,BoundParameters_HiddenSheetSAND!$I$3:$L$50,MATCH(VLOOKUP($I90,$I$5:$AJ$34,MATCH(VLOOKUP(N$37,$BH$3:$BI$50,2,FALSE),$I$4:$AJ$4,0),FALSE),BoundParameters_HiddenSheetCLAY!$I$1:$L$1,0),FALSE),IF(VLOOKUP($E55,'Table Output'!$A$2:$E$9998,5,FALSE)="Clay",VLOOKUP(N$37,BoundParameters_HiddenSheetCLAY!$I$3:$L$50,MATCH(VLOOKUP($I90,$I$5:$AJ$34,MATCH(VLOOKUP(N$37,$BH$3:$BI$50,2,FALSE),$I$4:$AJ$4,0),FALSE),BoundParameters_HiddenSheetCLAY!$I$1:$L$1,0),FALSE))),'Control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Output'!$A$2:$E$99998,5,FALSE)="Sand",VLOOKUP(O$37,BoundParameters_HiddenSheetSAND!$I$3:$L$50,MATCH(VLOOKUP($I90,$I$5:$AJ$34,MATCH(VLOOKUP(O$37,$BH$3:$BI$50,2,FALSE),$I$4:$AJ$4,0),FALSE),BoundParameters_HiddenSheetCLAY!$I$1:$L$1,0),FALSE),IF(VLOOKUP($E55,'Table Output'!$A$2:$E$9998,5,FALSE)="Clay",VLOOKUP(O$37,BoundParameters_HiddenSheetCLAY!$I$3:$L$50,MATCH(VLOOKUP($I90,$I$5:$AJ$34,MATCH(VLOOKUP(O$37,$BH$3:$BI$50,2,FALSE),$I$4:$AJ$4,0),FALSE),BoundParameters_HiddenSheetCLAY!$I$1:$L$1,0),FALSE))),'Control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Output'!$A$2:$E$99998,5,FALSE)="Sand",VLOOKUP(P$37,BoundParameters_HiddenSheetSAND!$I$3:$L$50,MATCH(VLOOKUP($I90,$I$5:$AJ$34,MATCH(VLOOKUP(P$37,$BH$3:$BI$50,2,FALSE),$I$4:$AJ$4,0),FALSE),BoundParameters_HiddenSheetCLAY!$I$1:$L$1,0),FALSE),IF(VLOOKUP($E55,'Table Output'!$A$2:$E$9998,5,FALSE)="Clay",VLOOKUP(P$37,BoundParameters_HiddenSheetCLAY!$I$3:$L$50,MATCH(VLOOKUP($I90,$I$5:$AJ$34,MATCH(VLOOKUP(P$37,$BH$3:$BI$50,2,FALSE),$I$4:$AJ$4,0),FALSE),BoundParameters_HiddenSheetCLAY!$I$1:$L$1,0),FALSE))),'Control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Output'!$A$2:$E$99998,5,FALSE)="Sand",VLOOKUP(Q$37,BoundParameters_HiddenSheetSAND!$I$3:$L$50,MATCH(VLOOKUP($I90,$I$5:$AJ$34,MATCH(VLOOKUP(Q$37,$BH$3:$BI$50,2,FALSE),$I$4:$AJ$4,0),FALSE),BoundParameters_HiddenSheetCLAY!$I$1:$L$1,0),FALSE),IF(VLOOKUP($E55,'Table Output'!$A$2:$E$9998,5,FALSE)="Clay",VLOOKUP(Q$37,BoundParameters_HiddenSheetCLAY!$I$3:$L$50,MATCH(VLOOKUP($I90,$I$5:$AJ$34,MATCH(VLOOKUP(Q$37,$BH$3:$BI$50,2,FALSE),$I$4:$AJ$4,0),FALSE),BoundParameters_HiddenSheetCLAY!$I$1:$L$1,0),FALSE))),'Control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Output'!$A$2:$E$99998,5,FALSE)="Sand",VLOOKUP(R$37,BoundParameters_HiddenSheetSAND!$I$3:$L$50,MATCH(VLOOKUP($I90,$I$5:$AJ$34,MATCH(VLOOKUP(R$37,$BH$3:$BI$50,2,FALSE),$I$4:$AJ$4,0),FALSE),BoundParameters_HiddenSheetCLAY!$I$1:$L$1,0),FALSE),IF(VLOOKUP($E55,'Table Output'!$A$2:$E$9998,5,FALSE)="Clay",VLOOKUP(R$37,BoundParameters_HiddenSheetCLAY!$I$3:$L$50,MATCH(VLOOKUP($I90,$I$5:$AJ$34,MATCH(VLOOKUP(R$37,$BH$3:$BI$50,2,FALSE),$I$4:$AJ$4,0),FALSE),BoundParameters_HiddenSheetCLAY!$I$1:$L$1,0),FALSE))),'Control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Output'!$A$2:$E$99998,5,FALSE)="Sand",VLOOKUP(S$37,BoundParameters_HiddenSheetSAND!$I$3:$L$50,MATCH(VLOOKUP($I90,$I$5:$AJ$34,MATCH(VLOOKUP(S$37,$BH$3:$BI$50,2,FALSE),$I$4:$AJ$4,0),FALSE),BoundParameters_HiddenSheetCLAY!$I$1:$L$1,0),FALSE),IF(VLOOKUP($E55,'Table Output'!$A$2:$E$9998,5,FALSE)="Clay",VLOOKUP(S$37,BoundParameters_HiddenSheetCLAY!$I$3:$L$50,MATCH(VLOOKUP($I90,$I$5:$AJ$34,MATCH(VLOOKUP(S$37,$BH$3:$BI$50,2,FALSE),$I$4:$AJ$4,0),FALSE),BoundParameters_HiddenSheetCLAY!$I$1:$L$1,0),FALSE))),'Control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Output'!$A$2:$E$99998,5,FALSE)="Sand",VLOOKUP(J$37,BoundParameters_HiddenSheetSAND!$I$3:$L$50,MATCH(VLOOKUP($I91,$I$5:$AJ$34,MATCH(VLOOKUP(J$37,$BH$3:$BI$50,2,FALSE),$I$4:$AJ$4,0),FALSE),BoundParameters_HiddenSheetCLAY!$I$1:$L$1,0),FALSE),IF(VLOOKUP($E56,'Table Output'!$A$2:$E$9998,5,FALSE)="Clay",VLOOKUP(J$37,BoundParameters_HiddenSheetCLAY!$I$3:$L$50,MATCH(VLOOKUP($I91,$I$5:$AJ$34,MATCH(VLOOKUP(J$37,$BH$3:$BI$50,2,FALSE),$I$4:$AJ$4,0),FALSE),BoundParameters_HiddenSheetCLAY!$I$1:$L$1,0),FALSE))),'Control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Output'!$A$2:$E$99998,5,FALSE)="Sand",VLOOKUP(K$37,BoundParameters_HiddenSheetSAND!$I$3:$L$50,MATCH(VLOOKUP($I91,$I$5:$AJ$34,MATCH(VLOOKUP(K$37,$BH$3:$BI$50,2,FALSE),$I$4:$AJ$4,0),FALSE),BoundParameters_HiddenSheetCLAY!$I$1:$L$1,0),FALSE),IF(VLOOKUP($E56,'Table Output'!$A$2:$E$9998,5,FALSE)="Clay",VLOOKUP(K$37,BoundParameters_HiddenSheetCLAY!$I$3:$L$50,MATCH(VLOOKUP($I91,$I$5:$AJ$34,MATCH(VLOOKUP(K$37,$BH$3:$BI$50,2,FALSE),$I$4:$AJ$4,0),FALSE),BoundParameters_HiddenSheetCLAY!$I$1:$L$1,0),FALSE))),'Control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Output'!$A$2:$E$99998,5,FALSE)="Sand",VLOOKUP(L$37,BoundParameters_HiddenSheetSAND!$I$3:$L$50,MATCH(VLOOKUP($I91,$I$5:$AJ$34,MATCH(VLOOKUP(L$37,$BH$3:$BI$50,2,FALSE),$I$4:$AJ$4,0),FALSE),BoundParameters_HiddenSheetCLAY!$I$1:$L$1,0),FALSE),IF(VLOOKUP($E56,'Table Output'!$A$2:$E$9998,5,FALSE)="Clay",VLOOKUP(L$37,BoundParameters_HiddenSheetCLAY!$I$3:$L$50,MATCH(VLOOKUP($I91,$I$5:$AJ$34,MATCH(VLOOKUP(L$37,$BH$3:$BI$50,2,FALSE),$I$4:$AJ$4,0),FALSE),BoundParameters_HiddenSheetCLAY!$I$1:$L$1,0),FALSE))),'Control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Output'!$A$2:$E$99998,5,FALSE)="Sand",VLOOKUP(M$37,BoundParameters_HiddenSheetSAND!$I$3:$L$50,MATCH(VLOOKUP($I91,$I$5:$AJ$34,MATCH(VLOOKUP(M$37,$BH$3:$BI$50,2,FALSE),$I$4:$AJ$4,0),FALSE),BoundParameters_HiddenSheetCLAY!$I$1:$L$1,0),FALSE),IF(VLOOKUP($E56,'Table Output'!$A$2:$E$9998,5,FALSE)="Clay",VLOOKUP(M$37,BoundParameters_HiddenSheetCLAY!$I$3:$L$50,MATCH(VLOOKUP($I91,$I$5:$AJ$34,MATCH(VLOOKUP(M$37,$BH$3:$BI$50,2,FALSE),$I$4:$AJ$4,0),FALSE),BoundParameters_HiddenSheetCLAY!$I$1:$L$1,0),FALSE))),'Control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Output'!$A$2:$E$99998,5,FALSE)="Sand",VLOOKUP(N$37,BoundParameters_HiddenSheetSAND!$I$3:$L$50,MATCH(VLOOKUP($I91,$I$5:$AJ$34,MATCH(VLOOKUP(N$37,$BH$3:$BI$50,2,FALSE),$I$4:$AJ$4,0),FALSE),BoundParameters_HiddenSheetCLAY!$I$1:$L$1,0),FALSE),IF(VLOOKUP($E56,'Table Output'!$A$2:$E$9998,5,FALSE)="Clay",VLOOKUP(N$37,BoundParameters_HiddenSheetCLAY!$I$3:$L$50,MATCH(VLOOKUP($I91,$I$5:$AJ$34,MATCH(VLOOKUP(N$37,$BH$3:$BI$50,2,FALSE),$I$4:$AJ$4,0),FALSE),BoundParameters_HiddenSheetCLAY!$I$1:$L$1,0),FALSE))),'Control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Output'!$A$2:$E$99998,5,FALSE)="Sand",VLOOKUP(O$37,BoundParameters_HiddenSheetSAND!$I$3:$L$50,MATCH(VLOOKUP($I91,$I$5:$AJ$34,MATCH(VLOOKUP(O$37,$BH$3:$BI$50,2,FALSE),$I$4:$AJ$4,0),FALSE),BoundParameters_HiddenSheetCLAY!$I$1:$L$1,0),FALSE),IF(VLOOKUP($E56,'Table Output'!$A$2:$E$9998,5,FALSE)="Clay",VLOOKUP(O$37,BoundParameters_HiddenSheetCLAY!$I$3:$L$50,MATCH(VLOOKUP($I91,$I$5:$AJ$34,MATCH(VLOOKUP(O$37,$BH$3:$BI$50,2,FALSE),$I$4:$AJ$4,0),FALSE),BoundParameters_HiddenSheetCLAY!$I$1:$L$1,0),FALSE))),'Control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Output'!$A$2:$E$99998,5,FALSE)="Sand",VLOOKUP(P$37,BoundParameters_HiddenSheetSAND!$I$3:$L$50,MATCH(VLOOKUP($I91,$I$5:$AJ$34,MATCH(VLOOKUP(P$37,$BH$3:$BI$50,2,FALSE),$I$4:$AJ$4,0),FALSE),BoundParameters_HiddenSheetCLAY!$I$1:$L$1,0),FALSE),IF(VLOOKUP($E56,'Table Output'!$A$2:$E$9998,5,FALSE)="Clay",VLOOKUP(P$37,BoundParameters_HiddenSheetCLAY!$I$3:$L$50,MATCH(VLOOKUP($I91,$I$5:$AJ$34,MATCH(VLOOKUP(P$37,$BH$3:$BI$50,2,FALSE),$I$4:$AJ$4,0),FALSE),BoundParameters_HiddenSheetCLAY!$I$1:$L$1,0),FALSE))),'Control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Output'!$A$2:$E$99998,5,FALSE)="Sand",VLOOKUP(Q$37,BoundParameters_HiddenSheetSAND!$I$3:$L$50,MATCH(VLOOKUP($I91,$I$5:$AJ$34,MATCH(VLOOKUP(Q$37,$BH$3:$BI$50,2,FALSE),$I$4:$AJ$4,0),FALSE),BoundParameters_HiddenSheetCLAY!$I$1:$L$1,0),FALSE),IF(VLOOKUP($E56,'Table Output'!$A$2:$E$9998,5,FALSE)="Clay",VLOOKUP(Q$37,BoundParameters_HiddenSheetCLAY!$I$3:$L$50,MATCH(VLOOKUP($I91,$I$5:$AJ$34,MATCH(VLOOKUP(Q$37,$BH$3:$BI$50,2,FALSE),$I$4:$AJ$4,0),FALSE),BoundParameters_HiddenSheetCLAY!$I$1:$L$1,0),FALSE))),'Control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Output'!$A$2:$E$99998,5,FALSE)="Sand",VLOOKUP(R$37,BoundParameters_HiddenSheetSAND!$I$3:$L$50,MATCH(VLOOKUP($I91,$I$5:$AJ$34,MATCH(VLOOKUP(R$37,$BH$3:$BI$50,2,FALSE),$I$4:$AJ$4,0),FALSE),BoundParameters_HiddenSheetCLAY!$I$1:$L$1,0),FALSE),IF(VLOOKUP($E56,'Table Output'!$A$2:$E$9998,5,FALSE)="Clay",VLOOKUP(R$37,BoundParameters_HiddenSheetCLAY!$I$3:$L$50,MATCH(VLOOKUP($I91,$I$5:$AJ$34,MATCH(VLOOKUP(R$37,$BH$3:$BI$50,2,FALSE),$I$4:$AJ$4,0),FALSE),BoundParameters_HiddenSheetCLAY!$I$1:$L$1,0),FALSE))),'Control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Output'!$A$2:$E$99998,5,FALSE)="Sand",VLOOKUP(S$37,BoundParameters_HiddenSheetSAND!$I$3:$L$50,MATCH(VLOOKUP($I91,$I$5:$AJ$34,MATCH(VLOOKUP(S$37,$BH$3:$BI$50,2,FALSE),$I$4:$AJ$4,0),FALSE),BoundParameters_HiddenSheetCLAY!$I$1:$L$1,0),FALSE),IF(VLOOKUP($E56,'Table Output'!$A$2:$E$9998,5,FALSE)="Clay",VLOOKUP(S$37,BoundParameters_HiddenSheetCLAY!$I$3:$L$50,MATCH(VLOOKUP($I91,$I$5:$AJ$34,MATCH(VLOOKUP(S$37,$BH$3:$BI$50,2,FALSE),$I$4:$AJ$4,0),FALSE),BoundParameters_HiddenSheetCLAY!$I$1:$L$1,0),FALSE))),'Control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Output'!$A$2:$E$99998,5,FALSE)="Sand",VLOOKUP(J$37,BoundParameters_HiddenSheetSAND!$I$3:$L$50,MATCH(VLOOKUP($I92,$I$5:$AJ$34,MATCH(VLOOKUP(J$37,$BH$3:$BI$50,2,FALSE),$I$4:$AJ$4,0),FALSE),BoundParameters_HiddenSheetCLAY!$I$1:$L$1,0),FALSE),IF(VLOOKUP($E57,'Table Output'!$A$2:$E$9998,5,FALSE)="Clay",VLOOKUP(J$37,BoundParameters_HiddenSheetCLAY!$I$3:$L$50,MATCH(VLOOKUP($I92,$I$5:$AJ$34,MATCH(VLOOKUP(J$37,$BH$3:$BI$50,2,FALSE),$I$4:$AJ$4,0),FALSE),BoundParameters_HiddenSheetCLAY!$I$1:$L$1,0),FALSE))),'Control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Output'!$A$2:$E$99998,5,FALSE)="Sand",VLOOKUP(K$37,BoundParameters_HiddenSheetSAND!$I$3:$L$50,MATCH(VLOOKUP($I92,$I$5:$AJ$34,MATCH(VLOOKUP(K$37,$BH$3:$BI$50,2,FALSE),$I$4:$AJ$4,0),FALSE),BoundParameters_HiddenSheetCLAY!$I$1:$L$1,0),FALSE),IF(VLOOKUP($E57,'Table Output'!$A$2:$E$9998,5,FALSE)="Clay",VLOOKUP(K$37,BoundParameters_HiddenSheetCLAY!$I$3:$L$50,MATCH(VLOOKUP($I92,$I$5:$AJ$34,MATCH(VLOOKUP(K$37,$BH$3:$BI$50,2,FALSE),$I$4:$AJ$4,0),FALSE),BoundParameters_HiddenSheetCLAY!$I$1:$L$1,0),FALSE))),'Control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Output'!$A$2:$E$99998,5,FALSE)="Sand",VLOOKUP(L$37,BoundParameters_HiddenSheetSAND!$I$3:$L$50,MATCH(VLOOKUP($I92,$I$5:$AJ$34,MATCH(VLOOKUP(L$37,$BH$3:$BI$50,2,FALSE),$I$4:$AJ$4,0),FALSE),BoundParameters_HiddenSheetCLAY!$I$1:$L$1,0),FALSE),IF(VLOOKUP($E57,'Table Output'!$A$2:$E$9998,5,FALSE)="Clay",VLOOKUP(L$37,BoundParameters_HiddenSheetCLAY!$I$3:$L$50,MATCH(VLOOKUP($I92,$I$5:$AJ$34,MATCH(VLOOKUP(L$37,$BH$3:$BI$50,2,FALSE),$I$4:$AJ$4,0),FALSE),BoundParameters_HiddenSheetCLAY!$I$1:$L$1,0),FALSE))),'Control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Output'!$A$2:$E$99998,5,FALSE)="Sand",VLOOKUP(M$37,BoundParameters_HiddenSheetSAND!$I$3:$L$50,MATCH(VLOOKUP($I92,$I$5:$AJ$34,MATCH(VLOOKUP(M$37,$BH$3:$BI$50,2,FALSE),$I$4:$AJ$4,0),FALSE),BoundParameters_HiddenSheetCLAY!$I$1:$L$1,0),FALSE),IF(VLOOKUP($E57,'Table Output'!$A$2:$E$9998,5,FALSE)="Clay",VLOOKUP(M$37,BoundParameters_HiddenSheetCLAY!$I$3:$L$50,MATCH(VLOOKUP($I92,$I$5:$AJ$34,MATCH(VLOOKUP(M$37,$BH$3:$BI$50,2,FALSE),$I$4:$AJ$4,0),FALSE),BoundParameters_HiddenSheetCLAY!$I$1:$L$1,0),FALSE))),'Control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Output'!$A$2:$E$99998,5,FALSE)="Sand",VLOOKUP(N$37,BoundParameters_HiddenSheetSAND!$I$3:$L$50,MATCH(VLOOKUP($I92,$I$5:$AJ$34,MATCH(VLOOKUP(N$37,$BH$3:$BI$50,2,FALSE),$I$4:$AJ$4,0),FALSE),BoundParameters_HiddenSheetCLAY!$I$1:$L$1,0),FALSE),IF(VLOOKUP($E57,'Table Output'!$A$2:$E$9998,5,FALSE)="Clay",VLOOKUP(N$37,BoundParameters_HiddenSheetCLAY!$I$3:$L$50,MATCH(VLOOKUP($I92,$I$5:$AJ$34,MATCH(VLOOKUP(N$37,$BH$3:$BI$50,2,FALSE),$I$4:$AJ$4,0),FALSE),BoundParameters_HiddenSheetCLAY!$I$1:$L$1,0),FALSE))),'Control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Output'!$A$2:$E$99998,5,FALSE)="Sand",VLOOKUP(O$37,BoundParameters_HiddenSheetSAND!$I$3:$L$50,MATCH(VLOOKUP($I92,$I$5:$AJ$34,MATCH(VLOOKUP(O$37,$BH$3:$BI$50,2,FALSE),$I$4:$AJ$4,0),FALSE),BoundParameters_HiddenSheetCLAY!$I$1:$L$1,0),FALSE),IF(VLOOKUP($E57,'Table Output'!$A$2:$E$9998,5,FALSE)="Clay",VLOOKUP(O$37,BoundParameters_HiddenSheetCLAY!$I$3:$L$50,MATCH(VLOOKUP($I92,$I$5:$AJ$34,MATCH(VLOOKUP(O$37,$BH$3:$BI$50,2,FALSE),$I$4:$AJ$4,0),FALSE),BoundParameters_HiddenSheetCLAY!$I$1:$L$1,0),FALSE))),'Control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Output'!$A$2:$E$99998,5,FALSE)="Sand",VLOOKUP(P$37,BoundParameters_HiddenSheetSAND!$I$3:$L$50,MATCH(VLOOKUP($I92,$I$5:$AJ$34,MATCH(VLOOKUP(P$37,$BH$3:$BI$50,2,FALSE),$I$4:$AJ$4,0),FALSE),BoundParameters_HiddenSheetCLAY!$I$1:$L$1,0),FALSE),IF(VLOOKUP($E57,'Table Output'!$A$2:$E$9998,5,FALSE)="Clay",VLOOKUP(P$37,BoundParameters_HiddenSheetCLAY!$I$3:$L$50,MATCH(VLOOKUP($I92,$I$5:$AJ$34,MATCH(VLOOKUP(P$37,$BH$3:$BI$50,2,FALSE),$I$4:$AJ$4,0),FALSE),BoundParameters_HiddenSheetCLAY!$I$1:$L$1,0),FALSE))),'Control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Output'!$A$2:$E$99998,5,FALSE)="Sand",VLOOKUP(Q$37,BoundParameters_HiddenSheetSAND!$I$3:$L$50,MATCH(VLOOKUP($I92,$I$5:$AJ$34,MATCH(VLOOKUP(Q$37,$BH$3:$BI$50,2,FALSE),$I$4:$AJ$4,0),FALSE),BoundParameters_HiddenSheetCLAY!$I$1:$L$1,0),FALSE),IF(VLOOKUP($E57,'Table Output'!$A$2:$E$9998,5,FALSE)="Clay",VLOOKUP(Q$37,BoundParameters_HiddenSheetCLAY!$I$3:$L$50,MATCH(VLOOKUP($I92,$I$5:$AJ$34,MATCH(VLOOKUP(Q$37,$BH$3:$BI$50,2,FALSE),$I$4:$AJ$4,0),FALSE),BoundParameters_HiddenSheetCLAY!$I$1:$L$1,0),FALSE))),'Control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Output'!$A$2:$E$99998,5,FALSE)="Sand",VLOOKUP(R$37,BoundParameters_HiddenSheetSAND!$I$3:$L$50,MATCH(VLOOKUP($I92,$I$5:$AJ$34,MATCH(VLOOKUP(R$37,$BH$3:$BI$50,2,FALSE),$I$4:$AJ$4,0),FALSE),BoundParameters_HiddenSheetCLAY!$I$1:$L$1,0),FALSE),IF(VLOOKUP($E57,'Table Output'!$A$2:$E$9998,5,FALSE)="Clay",VLOOKUP(R$37,BoundParameters_HiddenSheetCLAY!$I$3:$L$50,MATCH(VLOOKUP($I92,$I$5:$AJ$34,MATCH(VLOOKUP(R$37,$BH$3:$BI$50,2,FALSE),$I$4:$AJ$4,0),FALSE),BoundParameters_HiddenSheetCLAY!$I$1:$L$1,0),FALSE))),'Control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Output'!$A$2:$E$99998,5,FALSE)="Sand",VLOOKUP(S$37,BoundParameters_HiddenSheetSAND!$I$3:$L$50,MATCH(VLOOKUP($I92,$I$5:$AJ$34,MATCH(VLOOKUP(S$37,$BH$3:$BI$50,2,FALSE),$I$4:$AJ$4,0),FALSE),BoundParameters_HiddenSheetCLAY!$I$1:$L$1,0),FALSE),IF(VLOOKUP($E57,'Table Output'!$A$2:$E$9998,5,FALSE)="Clay",VLOOKUP(S$37,BoundParameters_HiddenSheetCLAY!$I$3:$L$50,MATCH(VLOOKUP($I92,$I$5:$AJ$34,MATCH(VLOOKUP(S$37,$BH$3:$BI$50,2,FALSE),$I$4:$AJ$4,0),FALSE),BoundParameters_HiddenSheetCLAY!$I$1:$L$1,0),FALSE))),'Control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Output'!$A$2:$E$99998,5,FALSE)="Sand",VLOOKUP(J$37,BoundParameters_HiddenSheetSAND!$I$3:$L$50,MATCH(VLOOKUP($I93,$I$5:$AJ$34,MATCH(VLOOKUP(J$37,$BH$3:$BI$50,2,FALSE),$I$4:$AJ$4,0),FALSE),BoundParameters_HiddenSheetCLAY!$I$1:$L$1,0),FALSE),IF(VLOOKUP($E58,'Table Output'!$A$2:$E$9998,5,FALSE)="Clay",VLOOKUP(J$37,BoundParameters_HiddenSheetCLAY!$I$3:$L$50,MATCH(VLOOKUP($I93,$I$5:$AJ$34,MATCH(VLOOKUP(J$37,$BH$3:$BI$50,2,FALSE),$I$4:$AJ$4,0),FALSE),BoundParameters_HiddenSheetCLAY!$I$1:$L$1,0),FALSE))),'Control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Output'!$A$2:$E$99998,5,FALSE)="Sand",VLOOKUP(K$37,BoundParameters_HiddenSheetSAND!$I$3:$L$50,MATCH(VLOOKUP($I93,$I$5:$AJ$34,MATCH(VLOOKUP(K$37,$BH$3:$BI$50,2,FALSE),$I$4:$AJ$4,0),FALSE),BoundParameters_HiddenSheetCLAY!$I$1:$L$1,0),FALSE),IF(VLOOKUP($E58,'Table Output'!$A$2:$E$9998,5,FALSE)="Clay",VLOOKUP(K$37,BoundParameters_HiddenSheetCLAY!$I$3:$L$50,MATCH(VLOOKUP($I93,$I$5:$AJ$34,MATCH(VLOOKUP(K$37,$BH$3:$BI$50,2,FALSE),$I$4:$AJ$4,0),FALSE),BoundParameters_HiddenSheetCLAY!$I$1:$L$1,0),FALSE))),'Control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Output'!$A$2:$E$99998,5,FALSE)="Sand",VLOOKUP(L$37,BoundParameters_HiddenSheetSAND!$I$3:$L$50,MATCH(VLOOKUP($I93,$I$5:$AJ$34,MATCH(VLOOKUP(L$37,$BH$3:$BI$50,2,FALSE),$I$4:$AJ$4,0),FALSE),BoundParameters_HiddenSheetCLAY!$I$1:$L$1,0),FALSE),IF(VLOOKUP($E58,'Table Output'!$A$2:$E$9998,5,FALSE)="Clay",VLOOKUP(L$37,BoundParameters_HiddenSheetCLAY!$I$3:$L$50,MATCH(VLOOKUP($I93,$I$5:$AJ$34,MATCH(VLOOKUP(L$37,$BH$3:$BI$50,2,FALSE),$I$4:$AJ$4,0),FALSE),BoundParameters_HiddenSheetCLAY!$I$1:$L$1,0),FALSE))),'Control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Output'!$A$2:$E$99998,5,FALSE)="Sand",VLOOKUP(M$37,BoundParameters_HiddenSheetSAND!$I$3:$L$50,MATCH(VLOOKUP($I93,$I$5:$AJ$34,MATCH(VLOOKUP(M$37,$BH$3:$BI$50,2,FALSE),$I$4:$AJ$4,0),FALSE),BoundParameters_HiddenSheetCLAY!$I$1:$L$1,0),FALSE),IF(VLOOKUP($E58,'Table Output'!$A$2:$E$9998,5,FALSE)="Clay",VLOOKUP(M$37,BoundParameters_HiddenSheetCLAY!$I$3:$L$50,MATCH(VLOOKUP($I93,$I$5:$AJ$34,MATCH(VLOOKUP(M$37,$BH$3:$BI$50,2,FALSE),$I$4:$AJ$4,0),FALSE),BoundParameters_HiddenSheetCLAY!$I$1:$L$1,0),FALSE))),'Control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Output'!$A$2:$E$99998,5,FALSE)="Sand",VLOOKUP(N$37,BoundParameters_HiddenSheetSAND!$I$3:$L$50,MATCH(VLOOKUP($I93,$I$5:$AJ$34,MATCH(VLOOKUP(N$37,$BH$3:$BI$50,2,FALSE),$I$4:$AJ$4,0),FALSE),BoundParameters_HiddenSheetCLAY!$I$1:$L$1,0),FALSE),IF(VLOOKUP($E58,'Table Output'!$A$2:$E$9998,5,FALSE)="Clay",VLOOKUP(N$37,BoundParameters_HiddenSheetCLAY!$I$3:$L$50,MATCH(VLOOKUP($I93,$I$5:$AJ$34,MATCH(VLOOKUP(N$37,$BH$3:$BI$50,2,FALSE),$I$4:$AJ$4,0),FALSE),BoundParameters_HiddenSheetCLAY!$I$1:$L$1,0),FALSE))),'Control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Output'!$A$2:$E$99998,5,FALSE)="Sand",VLOOKUP(O$37,BoundParameters_HiddenSheetSAND!$I$3:$L$50,MATCH(VLOOKUP($I93,$I$5:$AJ$34,MATCH(VLOOKUP(O$37,$BH$3:$BI$50,2,FALSE),$I$4:$AJ$4,0),FALSE),BoundParameters_HiddenSheetCLAY!$I$1:$L$1,0),FALSE),IF(VLOOKUP($E58,'Table Output'!$A$2:$E$9998,5,FALSE)="Clay",VLOOKUP(O$37,BoundParameters_HiddenSheetCLAY!$I$3:$L$50,MATCH(VLOOKUP($I93,$I$5:$AJ$34,MATCH(VLOOKUP(O$37,$BH$3:$BI$50,2,FALSE),$I$4:$AJ$4,0),FALSE),BoundParameters_HiddenSheetCLAY!$I$1:$L$1,0),FALSE))),'Control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Output'!$A$2:$E$99998,5,FALSE)="Sand",VLOOKUP(P$37,BoundParameters_HiddenSheetSAND!$I$3:$L$50,MATCH(VLOOKUP($I93,$I$5:$AJ$34,MATCH(VLOOKUP(P$37,$BH$3:$BI$50,2,FALSE),$I$4:$AJ$4,0),FALSE),BoundParameters_HiddenSheetCLAY!$I$1:$L$1,0),FALSE),IF(VLOOKUP($E58,'Table Output'!$A$2:$E$9998,5,FALSE)="Clay",VLOOKUP(P$37,BoundParameters_HiddenSheetCLAY!$I$3:$L$50,MATCH(VLOOKUP($I93,$I$5:$AJ$34,MATCH(VLOOKUP(P$37,$BH$3:$BI$50,2,FALSE),$I$4:$AJ$4,0),FALSE),BoundParameters_HiddenSheetCLAY!$I$1:$L$1,0),FALSE))),'Control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Output'!$A$2:$E$99998,5,FALSE)="Sand",VLOOKUP(Q$37,BoundParameters_HiddenSheetSAND!$I$3:$L$50,MATCH(VLOOKUP($I93,$I$5:$AJ$34,MATCH(VLOOKUP(Q$37,$BH$3:$BI$50,2,FALSE),$I$4:$AJ$4,0),FALSE),BoundParameters_HiddenSheetCLAY!$I$1:$L$1,0),FALSE),IF(VLOOKUP($E58,'Table Output'!$A$2:$E$9998,5,FALSE)="Clay",VLOOKUP(Q$37,BoundParameters_HiddenSheetCLAY!$I$3:$L$50,MATCH(VLOOKUP($I93,$I$5:$AJ$34,MATCH(VLOOKUP(Q$37,$BH$3:$BI$50,2,FALSE),$I$4:$AJ$4,0),FALSE),BoundParameters_HiddenSheetCLAY!$I$1:$L$1,0),FALSE))),'Control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Output'!$A$2:$E$99998,5,FALSE)="Sand",VLOOKUP(R$37,BoundParameters_HiddenSheetSAND!$I$3:$L$50,MATCH(VLOOKUP($I93,$I$5:$AJ$34,MATCH(VLOOKUP(R$37,$BH$3:$BI$50,2,FALSE),$I$4:$AJ$4,0),FALSE),BoundParameters_HiddenSheetCLAY!$I$1:$L$1,0),FALSE),IF(VLOOKUP($E58,'Table Output'!$A$2:$E$9998,5,FALSE)="Clay",VLOOKUP(R$37,BoundParameters_HiddenSheetCLAY!$I$3:$L$50,MATCH(VLOOKUP($I93,$I$5:$AJ$34,MATCH(VLOOKUP(R$37,$BH$3:$BI$50,2,FALSE),$I$4:$AJ$4,0),FALSE),BoundParameters_HiddenSheetCLAY!$I$1:$L$1,0),FALSE))),'Control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Output'!$A$2:$E$99998,5,FALSE)="Sand",VLOOKUP(S$37,BoundParameters_HiddenSheetSAND!$I$3:$L$50,MATCH(VLOOKUP($I93,$I$5:$AJ$34,MATCH(VLOOKUP(S$37,$BH$3:$BI$50,2,FALSE),$I$4:$AJ$4,0),FALSE),BoundParameters_HiddenSheetCLAY!$I$1:$L$1,0),FALSE),IF(VLOOKUP($E58,'Table Output'!$A$2:$E$9998,5,FALSE)="Clay",VLOOKUP(S$37,BoundParameters_HiddenSheetCLAY!$I$3:$L$50,MATCH(VLOOKUP($I93,$I$5:$AJ$34,MATCH(VLOOKUP(S$37,$BH$3:$BI$50,2,FALSE),$I$4:$AJ$4,0),FALSE),BoundParameters_HiddenSheetCLAY!$I$1:$L$1,0),FALSE))),'Control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Output'!$A$2:$E$99998,5,FALSE)="Sand",VLOOKUP(J$37,BoundParameters_HiddenSheetSAND!$I$3:$L$50,MATCH(VLOOKUP($I94,$I$5:$AJ$34,MATCH(VLOOKUP(J$37,$BH$3:$BI$50,2,FALSE),$I$4:$AJ$4,0),FALSE),BoundParameters_HiddenSheetCLAY!$I$1:$L$1,0),FALSE),IF(VLOOKUP($E59,'Table Output'!$A$2:$E$9998,5,FALSE)="Clay",VLOOKUP(J$37,BoundParameters_HiddenSheetCLAY!$I$3:$L$50,MATCH(VLOOKUP($I94,$I$5:$AJ$34,MATCH(VLOOKUP(J$37,$BH$3:$BI$50,2,FALSE),$I$4:$AJ$4,0),FALSE),BoundParameters_HiddenSheetCLAY!$I$1:$L$1,0),FALSE))),'Control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Output'!$A$2:$E$99998,5,FALSE)="Sand",VLOOKUP(K$37,BoundParameters_HiddenSheetSAND!$I$3:$L$50,MATCH(VLOOKUP($I94,$I$5:$AJ$34,MATCH(VLOOKUP(K$37,$BH$3:$BI$50,2,FALSE),$I$4:$AJ$4,0),FALSE),BoundParameters_HiddenSheetCLAY!$I$1:$L$1,0),FALSE),IF(VLOOKUP($E59,'Table Output'!$A$2:$E$9998,5,FALSE)="Clay",VLOOKUP(K$37,BoundParameters_HiddenSheetCLAY!$I$3:$L$50,MATCH(VLOOKUP($I94,$I$5:$AJ$34,MATCH(VLOOKUP(K$37,$BH$3:$BI$50,2,FALSE),$I$4:$AJ$4,0),FALSE),BoundParameters_HiddenSheetCLAY!$I$1:$L$1,0),FALSE))),'Control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Output'!$A$2:$E$99998,5,FALSE)="Sand",VLOOKUP(L$37,BoundParameters_HiddenSheetSAND!$I$3:$L$50,MATCH(VLOOKUP($I94,$I$5:$AJ$34,MATCH(VLOOKUP(L$37,$BH$3:$BI$50,2,FALSE),$I$4:$AJ$4,0),FALSE),BoundParameters_HiddenSheetCLAY!$I$1:$L$1,0),FALSE),IF(VLOOKUP($E59,'Table Output'!$A$2:$E$9998,5,FALSE)="Clay",VLOOKUP(L$37,BoundParameters_HiddenSheetCLAY!$I$3:$L$50,MATCH(VLOOKUP($I94,$I$5:$AJ$34,MATCH(VLOOKUP(L$37,$BH$3:$BI$50,2,FALSE),$I$4:$AJ$4,0),FALSE),BoundParameters_HiddenSheetCLAY!$I$1:$L$1,0),FALSE))),'Control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Output'!$A$2:$E$99998,5,FALSE)="Sand",VLOOKUP(M$37,BoundParameters_HiddenSheetSAND!$I$3:$L$50,MATCH(VLOOKUP($I94,$I$5:$AJ$34,MATCH(VLOOKUP(M$37,$BH$3:$BI$50,2,FALSE),$I$4:$AJ$4,0),FALSE),BoundParameters_HiddenSheetCLAY!$I$1:$L$1,0),FALSE),IF(VLOOKUP($E59,'Table Output'!$A$2:$E$9998,5,FALSE)="Clay",VLOOKUP(M$37,BoundParameters_HiddenSheetCLAY!$I$3:$L$50,MATCH(VLOOKUP($I94,$I$5:$AJ$34,MATCH(VLOOKUP(M$37,$BH$3:$BI$50,2,FALSE),$I$4:$AJ$4,0),FALSE),BoundParameters_HiddenSheetCLAY!$I$1:$L$1,0),FALSE))),'Control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Output'!$A$2:$E$99998,5,FALSE)="Sand",VLOOKUP(N$37,BoundParameters_HiddenSheetSAND!$I$3:$L$50,MATCH(VLOOKUP($I94,$I$5:$AJ$34,MATCH(VLOOKUP(N$37,$BH$3:$BI$50,2,FALSE),$I$4:$AJ$4,0),FALSE),BoundParameters_HiddenSheetCLAY!$I$1:$L$1,0),FALSE),IF(VLOOKUP($E59,'Table Output'!$A$2:$E$9998,5,FALSE)="Clay",VLOOKUP(N$37,BoundParameters_HiddenSheetCLAY!$I$3:$L$50,MATCH(VLOOKUP($I94,$I$5:$AJ$34,MATCH(VLOOKUP(N$37,$BH$3:$BI$50,2,FALSE),$I$4:$AJ$4,0),FALSE),BoundParameters_HiddenSheetCLAY!$I$1:$L$1,0),FALSE))),'Control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Output'!$A$2:$E$99998,5,FALSE)="Sand",VLOOKUP(O$37,BoundParameters_HiddenSheetSAND!$I$3:$L$50,MATCH(VLOOKUP($I94,$I$5:$AJ$34,MATCH(VLOOKUP(O$37,$BH$3:$BI$50,2,FALSE),$I$4:$AJ$4,0),FALSE),BoundParameters_HiddenSheetCLAY!$I$1:$L$1,0),FALSE),IF(VLOOKUP($E59,'Table Output'!$A$2:$E$9998,5,FALSE)="Clay",VLOOKUP(O$37,BoundParameters_HiddenSheetCLAY!$I$3:$L$50,MATCH(VLOOKUP($I94,$I$5:$AJ$34,MATCH(VLOOKUP(O$37,$BH$3:$BI$50,2,FALSE),$I$4:$AJ$4,0),FALSE),BoundParameters_HiddenSheetCLAY!$I$1:$L$1,0),FALSE))),'Control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Output'!$A$2:$E$99998,5,FALSE)="Sand",VLOOKUP(P$37,BoundParameters_HiddenSheetSAND!$I$3:$L$50,MATCH(VLOOKUP($I94,$I$5:$AJ$34,MATCH(VLOOKUP(P$37,$BH$3:$BI$50,2,FALSE),$I$4:$AJ$4,0),FALSE),BoundParameters_HiddenSheetCLAY!$I$1:$L$1,0),FALSE),IF(VLOOKUP($E59,'Table Output'!$A$2:$E$9998,5,FALSE)="Clay",VLOOKUP(P$37,BoundParameters_HiddenSheetCLAY!$I$3:$L$50,MATCH(VLOOKUP($I94,$I$5:$AJ$34,MATCH(VLOOKUP(P$37,$BH$3:$BI$50,2,FALSE),$I$4:$AJ$4,0),FALSE),BoundParameters_HiddenSheetCLAY!$I$1:$L$1,0),FALSE))),'Control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Output'!$A$2:$E$99998,5,FALSE)="Sand",VLOOKUP(Q$37,BoundParameters_HiddenSheetSAND!$I$3:$L$50,MATCH(VLOOKUP($I94,$I$5:$AJ$34,MATCH(VLOOKUP(Q$37,$BH$3:$BI$50,2,FALSE),$I$4:$AJ$4,0),FALSE),BoundParameters_HiddenSheetCLAY!$I$1:$L$1,0),FALSE),IF(VLOOKUP($E59,'Table Output'!$A$2:$E$9998,5,FALSE)="Clay",VLOOKUP(Q$37,BoundParameters_HiddenSheetCLAY!$I$3:$L$50,MATCH(VLOOKUP($I94,$I$5:$AJ$34,MATCH(VLOOKUP(Q$37,$BH$3:$BI$50,2,FALSE),$I$4:$AJ$4,0),FALSE),BoundParameters_HiddenSheetCLAY!$I$1:$L$1,0),FALSE))),'Control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Output'!$A$2:$E$99998,5,FALSE)="Sand",VLOOKUP(R$37,BoundParameters_HiddenSheetSAND!$I$3:$L$50,MATCH(VLOOKUP($I94,$I$5:$AJ$34,MATCH(VLOOKUP(R$37,$BH$3:$BI$50,2,FALSE),$I$4:$AJ$4,0),FALSE),BoundParameters_HiddenSheetCLAY!$I$1:$L$1,0),FALSE),IF(VLOOKUP($E59,'Table Output'!$A$2:$E$9998,5,FALSE)="Clay",VLOOKUP(R$37,BoundParameters_HiddenSheetCLAY!$I$3:$L$50,MATCH(VLOOKUP($I94,$I$5:$AJ$34,MATCH(VLOOKUP(R$37,$BH$3:$BI$50,2,FALSE),$I$4:$AJ$4,0),FALSE),BoundParameters_HiddenSheetCLAY!$I$1:$L$1,0),FALSE))),'Control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Output'!$A$2:$E$99998,5,FALSE)="Sand",VLOOKUP(S$37,BoundParameters_HiddenSheetSAND!$I$3:$L$50,MATCH(VLOOKUP($I94,$I$5:$AJ$34,MATCH(VLOOKUP(S$37,$BH$3:$BI$50,2,FALSE),$I$4:$AJ$4,0),FALSE),BoundParameters_HiddenSheetCLAY!$I$1:$L$1,0),FALSE),IF(VLOOKUP($E59,'Table Output'!$A$2:$E$9998,5,FALSE)="Clay",VLOOKUP(S$37,BoundParameters_HiddenSheetCLAY!$I$3:$L$50,MATCH(VLOOKUP($I94,$I$5:$AJ$34,MATCH(VLOOKUP(S$37,$BH$3:$BI$50,2,FALSE),$I$4:$AJ$4,0),FALSE),BoundParameters_HiddenSheetCLAY!$I$1:$L$1,0),FALSE))),'Control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Output'!$A$2:$E$99998,5,FALSE)="Sand",VLOOKUP(J$37,BoundParameters_HiddenSheetSAND!$I$3:$L$50,MATCH(VLOOKUP($I95,$I$5:$AJ$34,MATCH(VLOOKUP(J$37,$BH$3:$BI$50,2,FALSE),$I$4:$AJ$4,0),FALSE),BoundParameters_HiddenSheetCLAY!$I$1:$L$1,0),FALSE),IF(VLOOKUP($E60,'Table Output'!$A$2:$E$9998,5,FALSE)="Clay",VLOOKUP(J$37,BoundParameters_HiddenSheetCLAY!$I$3:$L$50,MATCH(VLOOKUP($I95,$I$5:$AJ$34,MATCH(VLOOKUP(J$37,$BH$3:$BI$50,2,FALSE),$I$4:$AJ$4,0),FALSE),BoundParameters_HiddenSheetCLAY!$I$1:$L$1,0),FALSE))),'Control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Output'!$A$2:$E$99998,5,FALSE)="Sand",VLOOKUP(K$37,BoundParameters_HiddenSheetSAND!$I$3:$L$50,MATCH(VLOOKUP($I95,$I$5:$AJ$34,MATCH(VLOOKUP(K$37,$BH$3:$BI$50,2,FALSE),$I$4:$AJ$4,0),FALSE),BoundParameters_HiddenSheetCLAY!$I$1:$L$1,0),FALSE),IF(VLOOKUP($E60,'Table Output'!$A$2:$E$9998,5,FALSE)="Clay",VLOOKUP(K$37,BoundParameters_HiddenSheetCLAY!$I$3:$L$50,MATCH(VLOOKUP($I95,$I$5:$AJ$34,MATCH(VLOOKUP(K$37,$BH$3:$BI$50,2,FALSE),$I$4:$AJ$4,0),FALSE),BoundParameters_HiddenSheetCLAY!$I$1:$L$1,0),FALSE))),'Control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Output'!$A$2:$E$99998,5,FALSE)="Sand",VLOOKUP(L$37,BoundParameters_HiddenSheetSAND!$I$3:$L$50,MATCH(VLOOKUP($I95,$I$5:$AJ$34,MATCH(VLOOKUP(L$37,$BH$3:$BI$50,2,FALSE),$I$4:$AJ$4,0),FALSE),BoundParameters_HiddenSheetCLAY!$I$1:$L$1,0),FALSE),IF(VLOOKUP($E60,'Table Output'!$A$2:$E$9998,5,FALSE)="Clay",VLOOKUP(L$37,BoundParameters_HiddenSheetCLAY!$I$3:$L$50,MATCH(VLOOKUP($I95,$I$5:$AJ$34,MATCH(VLOOKUP(L$37,$BH$3:$BI$50,2,FALSE),$I$4:$AJ$4,0),FALSE),BoundParameters_HiddenSheetCLAY!$I$1:$L$1,0),FALSE))),'Control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Output'!$A$2:$E$99998,5,FALSE)="Sand",VLOOKUP(M$37,BoundParameters_HiddenSheetSAND!$I$3:$L$50,MATCH(VLOOKUP($I95,$I$5:$AJ$34,MATCH(VLOOKUP(M$37,$BH$3:$BI$50,2,FALSE),$I$4:$AJ$4,0),FALSE),BoundParameters_HiddenSheetCLAY!$I$1:$L$1,0),FALSE),IF(VLOOKUP($E60,'Table Output'!$A$2:$E$9998,5,FALSE)="Clay",VLOOKUP(M$37,BoundParameters_HiddenSheetCLAY!$I$3:$L$50,MATCH(VLOOKUP($I95,$I$5:$AJ$34,MATCH(VLOOKUP(M$37,$BH$3:$BI$50,2,FALSE),$I$4:$AJ$4,0),FALSE),BoundParameters_HiddenSheetCLAY!$I$1:$L$1,0),FALSE))),'Control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Output'!$A$2:$E$99998,5,FALSE)="Sand",VLOOKUP(N$37,BoundParameters_HiddenSheetSAND!$I$3:$L$50,MATCH(VLOOKUP($I95,$I$5:$AJ$34,MATCH(VLOOKUP(N$37,$BH$3:$BI$50,2,FALSE),$I$4:$AJ$4,0),FALSE),BoundParameters_HiddenSheetCLAY!$I$1:$L$1,0),FALSE),IF(VLOOKUP($E60,'Table Output'!$A$2:$E$9998,5,FALSE)="Clay",VLOOKUP(N$37,BoundParameters_HiddenSheetCLAY!$I$3:$L$50,MATCH(VLOOKUP($I95,$I$5:$AJ$34,MATCH(VLOOKUP(N$37,$BH$3:$BI$50,2,FALSE),$I$4:$AJ$4,0),FALSE),BoundParameters_HiddenSheetCLAY!$I$1:$L$1,0),FALSE))),'Control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Output'!$A$2:$E$99998,5,FALSE)="Sand",VLOOKUP(O$37,BoundParameters_HiddenSheetSAND!$I$3:$L$50,MATCH(VLOOKUP($I95,$I$5:$AJ$34,MATCH(VLOOKUP(O$37,$BH$3:$BI$50,2,FALSE),$I$4:$AJ$4,0),FALSE),BoundParameters_HiddenSheetCLAY!$I$1:$L$1,0),FALSE),IF(VLOOKUP($E60,'Table Output'!$A$2:$E$9998,5,FALSE)="Clay",VLOOKUP(O$37,BoundParameters_HiddenSheetCLAY!$I$3:$L$50,MATCH(VLOOKUP($I95,$I$5:$AJ$34,MATCH(VLOOKUP(O$37,$BH$3:$BI$50,2,FALSE),$I$4:$AJ$4,0),FALSE),BoundParameters_HiddenSheetCLAY!$I$1:$L$1,0),FALSE))),'Control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Output'!$A$2:$E$99998,5,FALSE)="Sand",VLOOKUP(P$37,BoundParameters_HiddenSheetSAND!$I$3:$L$50,MATCH(VLOOKUP($I95,$I$5:$AJ$34,MATCH(VLOOKUP(P$37,$BH$3:$BI$50,2,FALSE),$I$4:$AJ$4,0),FALSE),BoundParameters_HiddenSheetCLAY!$I$1:$L$1,0),FALSE),IF(VLOOKUP($E60,'Table Output'!$A$2:$E$9998,5,FALSE)="Clay",VLOOKUP(P$37,BoundParameters_HiddenSheetCLAY!$I$3:$L$50,MATCH(VLOOKUP($I95,$I$5:$AJ$34,MATCH(VLOOKUP(P$37,$BH$3:$BI$50,2,FALSE),$I$4:$AJ$4,0),FALSE),BoundParameters_HiddenSheetCLAY!$I$1:$L$1,0),FALSE))),'Control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Output'!$A$2:$E$99998,5,FALSE)="Sand",VLOOKUP(Q$37,BoundParameters_HiddenSheetSAND!$I$3:$L$50,MATCH(VLOOKUP($I95,$I$5:$AJ$34,MATCH(VLOOKUP(Q$37,$BH$3:$BI$50,2,FALSE),$I$4:$AJ$4,0),FALSE),BoundParameters_HiddenSheetCLAY!$I$1:$L$1,0),FALSE),IF(VLOOKUP($E60,'Table Output'!$A$2:$E$9998,5,FALSE)="Clay",VLOOKUP(Q$37,BoundParameters_HiddenSheetCLAY!$I$3:$L$50,MATCH(VLOOKUP($I95,$I$5:$AJ$34,MATCH(VLOOKUP(Q$37,$BH$3:$BI$50,2,FALSE),$I$4:$AJ$4,0),FALSE),BoundParameters_HiddenSheetCLAY!$I$1:$L$1,0),FALSE))),'Control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Output'!$A$2:$E$99998,5,FALSE)="Sand",VLOOKUP(R$37,BoundParameters_HiddenSheetSAND!$I$3:$L$50,MATCH(VLOOKUP($I95,$I$5:$AJ$34,MATCH(VLOOKUP(R$37,$BH$3:$BI$50,2,FALSE),$I$4:$AJ$4,0),FALSE),BoundParameters_HiddenSheetCLAY!$I$1:$L$1,0),FALSE),IF(VLOOKUP($E60,'Table Output'!$A$2:$E$9998,5,FALSE)="Clay",VLOOKUP(R$37,BoundParameters_HiddenSheetCLAY!$I$3:$L$50,MATCH(VLOOKUP($I95,$I$5:$AJ$34,MATCH(VLOOKUP(R$37,$BH$3:$BI$50,2,FALSE),$I$4:$AJ$4,0),FALSE),BoundParameters_HiddenSheetCLAY!$I$1:$L$1,0),FALSE))),'Control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Output'!$A$2:$E$99998,5,FALSE)="Sand",VLOOKUP(S$37,BoundParameters_HiddenSheetSAND!$I$3:$L$50,MATCH(VLOOKUP($I95,$I$5:$AJ$34,MATCH(VLOOKUP(S$37,$BH$3:$BI$50,2,FALSE),$I$4:$AJ$4,0),FALSE),BoundParameters_HiddenSheetCLAY!$I$1:$L$1,0),FALSE),IF(VLOOKUP($E60,'Table Output'!$A$2:$E$9998,5,FALSE)="Clay",VLOOKUP(S$37,BoundParameters_HiddenSheetCLAY!$I$3:$L$50,MATCH(VLOOKUP($I95,$I$5:$AJ$34,MATCH(VLOOKUP(S$37,$BH$3:$BI$50,2,FALSE),$I$4:$AJ$4,0),FALSE),BoundParameters_HiddenSheetCLAY!$I$1:$L$1,0),FALSE))),'Control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Output'!$A$2:$E$99998,5,FALSE)="Sand",VLOOKUP(J$37,BoundParameters_HiddenSheetSAND!$I$3:$L$50,MATCH(VLOOKUP($I96,$I$5:$AJ$34,MATCH(VLOOKUP(J$37,$BH$3:$BI$50,2,FALSE),$I$4:$AJ$4,0),FALSE),BoundParameters_HiddenSheetCLAY!$I$1:$L$1,0),FALSE),IF(VLOOKUP($E61,'Table Output'!$A$2:$E$9998,5,FALSE)="Clay",VLOOKUP(J$37,BoundParameters_HiddenSheetCLAY!$I$3:$L$50,MATCH(VLOOKUP($I96,$I$5:$AJ$34,MATCH(VLOOKUP(J$37,$BH$3:$BI$50,2,FALSE),$I$4:$AJ$4,0),FALSE),BoundParameters_HiddenSheetCLAY!$I$1:$L$1,0),FALSE))),'Control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Output'!$A$2:$E$99998,5,FALSE)="Sand",VLOOKUP(K$37,BoundParameters_HiddenSheetSAND!$I$3:$L$50,MATCH(VLOOKUP($I96,$I$5:$AJ$34,MATCH(VLOOKUP(K$37,$BH$3:$BI$50,2,FALSE),$I$4:$AJ$4,0),FALSE),BoundParameters_HiddenSheetCLAY!$I$1:$L$1,0),FALSE),IF(VLOOKUP($E61,'Table Output'!$A$2:$E$9998,5,FALSE)="Clay",VLOOKUP(K$37,BoundParameters_HiddenSheetCLAY!$I$3:$L$50,MATCH(VLOOKUP($I96,$I$5:$AJ$34,MATCH(VLOOKUP(K$37,$BH$3:$BI$50,2,FALSE),$I$4:$AJ$4,0),FALSE),BoundParameters_HiddenSheetCLAY!$I$1:$L$1,0),FALSE))),'Control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Output'!$A$2:$E$99998,5,FALSE)="Sand",VLOOKUP(L$37,BoundParameters_HiddenSheetSAND!$I$3:$L$50,MATCH(VLOOKUP($I96,$I$5:$AJ$34,MATCH(VLOOKUP(L$37,$BH$3:$BI$50,2,FALSE),$I$4:$AJ$4,0),FALSE),BoundParameters_HiddenSheetCLAY!$I$1:$L$1,0),FALSE),IF(VLOOKUP($E61,'Table Output'!$A$2:$E$9998,5,FALSE)="Clay",VLOOKUP(L$37,BoundParameters_HiddenSheetCLAY!$I$3:$L$50,MATCH(VLOOKUP($I96,$I$5:$AJ$34,MATCH(VLOOKUP(L$37,$BH$3:$BI$50,2,FALSE),$I$4:$AJ$4,0),FALSE),BoundParameters_HiddenSheetCLAY!$I$1:$L$1,0),FALSE))),'Control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Output'!$A$2:$E$99998,5,FALSE)="Sand",VLOOKUP(M$37,BoundParameters_HiddenSheetSAND!$I$3:$L$50,MATCH(VLOOKUP($I96,$I$5:$AJ$34,MATCH(VLOOKUP(M$37,$BH$3:$BI$50,2,FALSE),$I$4:$AJ$4,0),FALSE),BoundParameters_HiddenSheetCLAY!$I$1:$L$1,0),FALSE),IF(VLOOKUP($E61,'Table Output'!$A$2:$E$9998,5,FALSE)="Clay",VLOOKUP(M$37,BoundParameters_HiddenSheetCLAY!$I$3:$L$50,MATCH(VLOOKUP($I96,$I$5:$AJ$34,MATCH(VLOOKUP(M$37,$BH$3:$BI$50,2,FALSE),$I$4:$AJ$4,0),FALSE),BoundParameters_HiddenSheetCLAY!$I$1:$L$1,0),FALSE))),'Control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Output'!$A$2:$E$99998,5,FALSE)="Sand",VLOOKUP(N$37,BoundParameters_HiddenSheetSAND!$I$3:$L$50,MATCH(VLOOKUP($I96,$I$5:$AJ$34,MATCH(VLOOKUP(N$37,$BH$3:$BI$50,2,FALSE),$I$4:$AJ$4,0),FALSE),BoundParameters_HiddenSheetCLAY!$I$1:$L$1,0),FALSE),IF(VLOOKUP($E61,'Table Output'!$A$2:$E$9998,5,FALSE)="Clay",VLOOKUP(N$37,BoundParameters_HiddenSheetCLAY!$I$3:$L$50,MATCH(VLOOKUP($I96,$I$5:$AJ$34,MATCH(VLOOKUP(N$37,$BH$3:$BI$50,2,FALSE),$I$4:$AJ$4,0),FALSE),BoundParameters_HiddenSheetCLAY!$I$1:$L$1,0),FALSE))),'Control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Output'!$A$2:$E$99998,5,FALSE)="Sand",VLOOKUP(O$37,BoundParameters_HiddenSheetSAND!$I$3:$L$50,MATCH(VLOOKUP($I96,$I$5:$AJ$34,MATCH(VLOOKUP(O$37,$BH$3:$BI$50,2,FALSE),$I$4:$AJ$4,0),FALSE),BoundParameters_HiddenSheetCLAY!$I$1:$L$1,0),FALSE),IF(VLOOKUP($E61,'Table Output'!$A$2:$E$9998,5,FALSE)="Clay",VLOOKUP(O$37,BoundParameters_HiddenSheetCLAY!$I$3:$L$50,MATCH(VLOOKUP($I96,$I$5:$AJ$34,MATCH(VLOOKUP(O$37,$BH$3:$BI$50,2,FALSE),$I$4:$AJ$4,0),FALSE),BoundParameters_HiddenSheetCLAY!$I$1:$L$1,0),FALSE))),'Control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Output'!$A$2:$E$99998,5,FALSE)="Sand",VLOOKUP(P$37,BoundParameters_HiddenSheetSAND!$I$3:$L$50,MATCH(VLOOKUP($I96,$I$5:$AJ$34,MATCH(VLOOKUP(P$37,$BH$3:$BI$50,2,FALSE),$I$4:$AJ$4,0),FALSE),BoundParameters_HiddenSheetCLAY!$I$1:$L$1,0),FALSE),IF(VLOOKUP($E61,'Table Output'!$A$2:$E$9998,5,FALSE)="Clay",VLOOKUP(P$37,BoundParameters_HiddenSheetCLAY!$I$3:$L$50,MATCH(VLOOKUP($I96,$I$5:$AJ$34,MATCH(VLOOKUP(P$37,$BH$3:$BI$50,2,FALSE),$I$4:$AJ$4,0),FALSE),BoundParameters_HiddenSheetCLAY!$I$1:$L$1,0),FALSE))),'Control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Output'!$A$2:$E$99998,5,FALSE)="Sand",VLOOKUP(Q$37,BoundParameters_HiddenSheetSAND!$I$3:$L$50,MATCH(VLOOKUP($I96,$I$5:$AJ$34,MATCH(VLOOKUP(Q$37,$BH$3:$BI$50,2,FALSE),$I$4:$AJ$4,0),FALSE),BoundParameters_HiddenSheetCLAY!$I$1:$L$1,0),FALSE),IF(VLOOKUP($E61,'Table Output'!$A$2:$E$9998,5,FALSE)="Clay",VLOOKUP(Q$37,BoundParameters_HiddenSheetCLAY!$I$3:$L$50,MATCH(VLOOKUP($I96,$I$5:$AJ$34,MATCH(VLOOKUP(Q$37,$BH$3:$BI$50,2,FALSE),$I$4:$AJ$4,0),FALSE),BoundParameters_HiddenSheetCLAY!$I$1:$L$1,0),FALSE))),'Control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Output'!$A$2:$E$99998,5,FALSE)="Sand",VLOOKUP(R$37,BoundParameters_HiddenSheetSAND!$I$3:$L$50,MATCH(VLOOKUP($I96,$I$5:$AJ$34,MATCH(VLOOKUP(R$37,$BH$3:$BI$50,2,FALSE),$I$4:$AJ$4,0),FALSE),BoundParameters_HiddenSheetCLAY!$I$1:$L$1,0),FALSE),IF(VLOOKUP($E61,'Table Output'!$A$2:$E$9998,5,FALSE)="Clay",VLOOKUP(R$37,BoundParameters_HiddenSheetCLAY!$I$3:$L$50,MATCH(VLOOKUP($I96,$I$5:$AJ$34,MATCH(VLOOKUP(R$37,$BH$3:$BI$50,2,FALSE),$I$4:$AJ$4,0),FALSE),BoundParameters_HiddenSheetCLAY!$I$1:$L$1,0),FALSE))),'Control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Output'!$A$2:$E$99998,5,FALSE)="Sand",VLOOKUP(S$37,BoundParameters_HiddenSheetSAND!$I$3:$L$50,MATCH(VLOOKUP($I96,$I$5:$AJ$34,MATCH(VLOOKUP(S$37,$BH$3:$BI$50,2,FALSE),$I$4:$AJ$4,0),FALSE),BoundParameters_HiddenSheetCLAY!$I$1:$L$1,0),FALSE),IF(VLOOKUP($E61,'Table Output'!$A$2:$E$9998,5,FALSE)="Clay",VLOOKUP(S$37,BoundParameters_HiddenSheetCLAY!$I$3:$L$50,MATCH(VLOOKUP($I96,$I$5:$AJ$34,MATCH(VLOOKUP(S$37,$BH$3:$BI$50,2,FALSE),$I$4:$AJ$4,0),FALSE),BoundParameters_HiddenSheetCLAY!$I$1:$L$1,0),FALSE))),'Control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Output'!$A$2:$E$99998,5,FALSE)="Sand",VLOOKUP(J$37,BoundParameters_HiddenSheetSAND!$I$3:$L$50,MATCH(VLOOKUP($I97,$I$5:$AJ$34,MATCH(VLOOKUP(J$37,$BH$3:$BI$50,2,FALSE),$I$4:$AJ$4,0),FALSE),BoundParameters_HiddenSheetCLAY!$I$1:$L$1,0),FALSE),IF(VLOOKUP($E62,'Table Output'!$A$2:$E$9998,5,FALSE)="Clay",VLOOKUP(J$37,BoundParameters_HiddenSheetCLAY!$I$3:$L$50,MATCH(VLOOKUP($I97,$I$5:$AJ$34,MATCH(VLOOKUP(J$37,$BH$3:$BI$50,2,FALSE),$I$4:$AJ$4,0),FALSE),BoundParameters_HiddenSheetCLAY!$I$1:$L$1,0),FALSE))),'Control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Output'!$A$2:$E$99998,5,FALSE)="Sand",VLOOKUP(K$37,BoundParameters_HiddenSheetSAND!$I$3:$L$50,MATCH(VLOOKUP($I97,$I$5:$AJ$34,MATCH(VLOOKUP(K$37,$BH$3:$BI$50,2,FALSE),$I$4:$AJ$4,0),FALSE),BoundParameters_HiddenSheetCLAY!$I$1:$L$1,0),FALSE),IF(VLOOKUP($E62,'Table Output'!$A$2:$E$9998,5,FALSE)="Clay",VLOOKUP(K$37,BoundParameters_HiddenSheetCLAY!$I$3:$L$50,MATCH(VLOOKUP($I97,$I$5:$AJ$34,MATCH(VLOOKUP(K$37,$BH$3:$BI$50,2,FALSE),$I$4:$AJ$4,0),FALSE),BoundParameters_HiddenSheetCLAY!$I$1:$L$1,0),FALSE))),'Control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Output'!$A$2:$E$99998,5,FALSE)="Sand",VLOOKUP(L$37,BoundParameters_HiddenSheetSAND!$I$3:$L$50,MATCH(VLOOKUP($I97,$I$5:$AJ$34,MATCH(VLOOKUP(L$37,$BH$3:$BI$50,2,FALSE),$I$4:$AJ$4,0),FALSE),BoundParameters_HiddenSheetCLAY!$I$1:$L$1,0),FALSE),IF(VLOOKUP($E62,'Table Output'!$A$2:$E$9998,5,FALSE)="Clay",VLOOKUP(L$37,BoundParameters_HiddenSheetCLAY!$I$3:$L$50,MATCH(VLOOKUP($I97,$I$5:$AJ$34,MATCH(VLOOKUP(L$37,$BH$3:$BI$50,2,FALSE),$I$4:$AJ$4,0),FALSE),BoundParameters_HiddenSheetCLAY!$I$1:$L$1,0),FALSE))),'Control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Output'!$A$2:$E$99998,5,FALSE)="Sand",VLOOKUP(M$37,BoundParameters_HiddenSheetSAND!$I$3:$L$50,MATCH(VLOOKUP($I97,$I$5:$AJ$34,MATCH(VLOOKUP(M$37,$BH$3:$BI$50,2,FALSE),$I$4:$AJ$4,0),FALSE),BoundParameters_HiddenSheetCLAY!$I$1:$L$1,0),FALSE),IF(VLOOKUP($E62,'Table Output'!$A$2:$E$9998,5,FALSE)="Clay",VLOOKUP(M$37,BoundParameters_HiddenSheetCLAY!$I$3:$L$50,MATCH(VLOOKUP($I97,$I$5:$AJ$34,MATCH(VLOOKUP(M$37,$BH$3:$BI$50,2,FALSE),$I$4:$AJ$4,0),FALSE),BoundParameters_HiddenSheetCLAY!$I$1:$L$1,0),FALSE))),'Control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Output'!$A$2:$E$99998,5,FALSE)="Sand",VLOOKUP(N$37,BoundParameters_HiddenSheetSAND!$I$3:$L$50,MATCH(VLOOKUP($I97,$I$5:$AJ$34,MATCH(VLOOKUP(N$37,$BH$3:$BI$50,2,FALSE),$I$4:$AJ$4,0),FALSE),BoundParameters_HiddenSheetCLAY!$I$1:$L$1,0),FALSE),IF(VLOOKUP($E62,'Table Output'!$A$2:$E$9998,5,FALSE)="Clay",VLOOKUP(N$37,BoundParameters_HiddenSheetCLAY!$I$3:$L$50,MATCH(VLOOKUP($I97,$I$5:$AJ$34,MATCH(VLOOKUP(N$37,$BH$3:$BI$50,2,FALSE),$I$4:$AJ$4,0),FALSE),BoundParameters_HiddenSheetCLAY!$I$1:$L$1,0),FALSE))),'Control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Output'!$A$2:$E$99998,5,FALSE)="Sand",VLOOKUP(O$37,BoundParameters_HiddenSheetSAND!$I$3:$L$50,MATCH(VLOOKUP($I97,$I$5:$AJ$34,MATCH(VLOOKUP(O$37,$BH$3:$BI$50,2,FALSE),$I$4:$AJ$4,0),FALSE),BoundParameters_HiddenSheetCLAY!$I$1:$L$1,0),FALSE),IF(VLOOKUP($E62,'Table Output'!$A$2:$E$9998,5,FALSE)="Clay",VLOOKUP(O$37,BoundParameters_HiddenSheetCLAY!$I$3:$L$50,MATCH(VLOOKUP($I97,$I$5:$AJ$34,MATCH(VLOOKUP(O$37,$BH$3:$BI$50,2,FALSE),$I$4:$AJ$4,0),FALSE),BoundParameters_HiddenSheetCLAY!$I$1:$L$1,0),FALSE))),'Control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Output'!$A$2:$E$99998,5,FALSE)="Sand",VLOOKUP(P$37,BoundParameters_HiddenSheetSAND!$I$3:$L$50,MATCH(VLOOKUP($I97,$I$5:$AJ$34,MATCH(VLOOKUP(P$37,$BH$3:$BI$50,2,FALSE),$I$4:$AJ$4,0),FALSE),BoundParameters_HiddenSheetCLAY!$I$1:$L$1,0),FALSE),IF(VLOOKUP($E62,'Table Output'!$A$2:$E$9998,5,FALSE)="Clay",VLOOKUP(P$37,BoundParameters_HiddenSheetCLAY!$I$3:$L$50,MATCH(VLOOKUP($I97,$I$5:$AJ$34,MATCH(VLOOKUP(P$37,$BH$3:$BI$50,2,FALSE),$I$4:$AJ$4,0),FALSE),BoundParameters_HiddenSheetCLAY!$I$1:$L$1,0),FALSE))),'Control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Output'!$A$2:$E$99998,5,FALSE)="Sand",VLOOKUP(Q$37,BoundParameters_HiddenSheetSAND!$I$3:$L$50,MATCH(VLOOKUP($I97,$I$5:$AJ$34,MATCH(VLOOKUP(Q$37,$BH$3:$BI$50,2,FALSE),$I$4:$AJ$4,0),FALSE),BoundParameters_HiddenSheetCLAY!$I$1:$L$1,0),FALSE),IF(VLOOKUP($E62,'Table Output'!$A$2:$E$9998,5,FALSE)="Clay",VLOOKUP(Q$37,BoundParameters_HiddenSheetCLAY!$I$3:$L$50,MATCH(VLOOKUP($I97,$I$5:$AJ$34,MATCH(VLOOKUP(Q$37,$BH$3:$BI$50,2,FALSE),$I$4:$AJ$4,0),FALSE),BoundParameters_HiddenSheetCLAY!$I$1:$L$1,0),FALSE))),'Control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Output'!$A$2:$E$99998,5,FALSE)="Sand",VLOOKUP(R$37,BoundParameters_HiddenSheetSAND!$I$3:$L$50,MATCH(VLOOKUP($I97,$I$5:$AJ$34,MATCH(VLOOKUP(R$37,$BH$3:$BI$50,2,FALSE),$I$4:$AJ$4,0),FALSE),BoundParameters_HiddenSheetCLAY!$I$1:$L$1,0),FALSE),IF(VLOOKUP($E62,'Table Output'!$A$2:$E$9998,5,FALSE)="Clay",VLOOKUP(R$37,BoundParameters_HiddenSheetCLAY!$I$3:$L$50,MATCH(VLOOKUP($I97,$I$5:$AJ$34,MATCH(VLOOKUP(R$37,$BH$3:$BI$50,2,FALSE),$I$4:$AJ$4,0),FALSE),BoundParameters_HiddenSheetCLAY!$I$1:$L$1,0),FALSE))),'Control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Output'!$A$2:$E$99998,5,FALSE)="Sand",VLOOKUP(S$37,BoundParameters_HiddenSheetSAND!$I$3:$L$50,MATCH(VLOOKUP($I97,$I$5:$AJ$34,MATCH(VLOOKUP(S$37,$BH$3:$BI$50,2,FALSE),$I$4:$AJ$4,0),FALSE),BoundParameters_HiddenSheetCLAY!$I$1:$L$1,0),FALSE),IF(VLOOKUP($E62,'Table Output'!$A$2:$E$9998,5,FALSE)="Clay",VLOOKUP(S$37,BoundParameters_HiddenSheetCLAY!$I$3:$L$50,MATCH(VLOOKUP($I97,$I$5:$AJ$34,MATCH(VLOOKUP(S$37,$BH$3:$BI$50,2,FALSE),$I$4:$AJ$4,0),FALSE),BoundParameters_HiddenSheetCLAY!$I$1:$L$1,0),FALSE))),'Control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Output'!$A$2:$E$99998,5,FALSE)="Sand",VLOOKUP(J$37,BoundParameters_HiddenSheetSAND!$I$3:$L$50,MATCH(VLOOKUP($I98,$I$5:$AJ$34,MATCH(VLOOKUP(J$37,$BH$3:$BI$50,2,FALSE),$I$4:$AJ$4,0),FALSE),BoundParameters_HiddenSheetCLAY!$I$1:$L$1,0),FALSE),IF(VLOOKUP($E63,'Table Output'!$A$2:$E$9998,5,FALSE)="Clay",VLOOKUP(J$37,BoundParameters_HiddenSheetCLAY!$I$3:$L$50,MATCH(VLOOKUP($I98,$I$5:$AJ$34,MATCH(VLOOKUP(J$37,$BH$3:$BI$50,2,FALSE),$I$4:$AJ$4,0),FALSE),BoundParameters_HiddenSheetCLAY!$I$1:$L$1,0),FALSE))),'Control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Output'!$A$2:$E$99998,5,FALSE)="Sand",VLOOKUP(K$37,BoundParameters_HiddenSheetSAND!$I$3:$L$50,MATCH(VLOOKUP($I98,$I$5:$AJ$34,MATCH(VLOOKUP(K$37,$BH$3:$BI$50,2,FALSE),$I$4:$AJ$4,0),FALSE),BoundParameters_HiddenSheetCLAY!$I$1:$L$1,0),FALSE),IF(VLOOKUP($E63,'Table Output'!$A$2:$E$9998,5,FALSE)="Clay",VLOOKUP(K$37,BoundParameters_HiddenSheetCLAY!$I$3:$L$50,MATCH(VLOOKUP($I98,$I$5:$AJ$34,MATCH(VLOOKUP(K$37,$BH$3:$BI$50,2,FALSE),$I$4:$AJ$4,0),FALSE),BoundParameters_HiddenSheetCLAY!$I$1:$L$1,0),FALSE))),'Control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Output'!$A$2:$E$99998,5,FALSE)="Sand",VLOOKUP(L$37,BoundParameters_HiddenSheetSAND!$I$3:$L$50,MATCH(VLOOKUP($I98,$I$5:$AJ$34,MATCH(VLOOKUP(L$37,$BH$3:$BI$50,2,FALSE),$I$4:$AJ$4,0),FALSE),BoundParameters_HiddenSheetCLAY!$I$1:$L$1,0),FALSE),IF(VLOOKUP($E63,'Table Output'!$A$2:$E$9998,5,FALSE)="Clay",VLOOKUP(L$37,BoundParameters_HiddenSheetCLAY!$I$3:$L$50,MATCH(VLOOKUP($I98,$I$5:$AJ$34,MATCH(VLOOKUP(L$37,$BH$3:$BI$50,2,FALSE),$I$4:$AJ$4,0),FALSE),BoundParameters_HiddenSheetCLAY!$I$1:$L$1,0),FALSE))),'Control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Output'!$A$2:$E$99998,5,FALSE)="Sand",VLOOKUP(M$37,BoundParameters_HiddenSheetSAND!$I$3:$L$50,MATCH(VLOOKUP($I98,$I$5:$AJ$34,MATCH(VLOOKUP(M$37,$BH$3:$BI$50,2,FALSE),$I$4:$AJ$4,0),FALSE),BoundParameters_HiddenSheetCLAY!$I$1:$L$1,0),FALSE),IF(VLOOKUP($E63,'Table Output'!$A$2:$E$9998,5,FALSE)="Clay",VLOOKUP(M$37,BoundParameters_HiddenSheetCLAY!$I$3:$L$50,MATCH(VLOOKUP($I98,$I$5:$AJ$34,MATCH(VLOOKUP(M$37,$BH$3:$BI$50,2,FALSE),$I$4:$AJ$4,0),FALSE),BoundParameters_HiddenSheetCLAY!$I$1:$L$1,0),FALSE))),'Control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Output'!$A$2:$E$99998,5,FALSE)="Sand",VLOOKUP(N$37,BoundParameters_HiddenSheetSAND!$I$3:$L$50,MATCH(VLOOKUP($I98,$I$5:$AJ$34,MATCH(VLOOKUP(N$37,$BH$3:$BI$50,2,FALSE),$I$4:$AJ$4,0),FALSE),BoundParameters_HiddenSheetCLAY!$I$1:$L$1,0),FALSE),IF(VLOOKUP($E63,'Table Output'!$A$2:$E$9998,5,FALSE)="Clay",VLOOKUP(N$37,BoundParameters_HiddenSheetCLAY!$I$3:$L$50,MATCH(VLOOKUP($I98,$I$5:$AJ$34,MATCH(VLOOKUP(N$37,$BH$3:$BI$50,2,FALSE),$I$4:$AJ$4,0),FALSE),BoundParameters_HiddenSheetCLAY!$I$1:$L$1,0),FALSE))),'Control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Output'!$A$2:$E$99998,5,FALSE)="Sand",VLOOKUP(O$37,BoundParameters_HiddenSheetSAND!$I$3:$L$50,MATCH(VLOOKUP($I98,$I$5:$AJ$34,MATCH(VLOOKUP(O$37,$BH$3:$BI$50,2,FALSE),$I$4:$AJ$4,0),FALSE),BoundParameters_HiddenSheetCLAY!$I$1:$L$1,0),FALSE),IF(VLOOKUP($E63,'Table Output'!$A$2:$E$9998,5,FALSE)="Clay",VLOOKUP(O$37,BoundParameters_HiddenSheetCLAY!$I$3:$L$50,MATCH(VLOOKUP($I98,$I$5:$AJ$34,MATCH(VLOOKUP(O$37,$BH$3:$BI$50,2,FALSE),$I$4:$AJ$4,0),FALSE),BoundParameters_HiddenSheetCLAY!$I$1:$L$1,0),FALSE))),'Control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Output'!$A$2:$E$99998,5,FALSE)="Sand",VLOOKUP(P$37,BoundParameters_HiddenSheetSAND!$I$3:$L$50,MATCH(VLOOKUP($I98,$I$5:$AJ$34,MATCH(VLOOKUP(P$37,$BH$3:$BI$50,2,FALSE),$I$4:$AJ$4,0),FALSE),BoundParameters_HiddenSheetCLAY!$I$1:$L$1,0),FALSE),IF(VLOOKUP($E63,'Table Output'!$A$2:$E$9998,5,FALSE)="Clay",VLOOKUP(P$37,BoundParameters_HiddenSheetCLAY!$I$3:$L$50,MATCH(VLOOKUP($I98,$I$5:$AJ$34,MATCH(VLOOKUP(P$37,$BH$3:$BI$50,2,FALSE),$I$4:$AJ$4,0),FALSE),BoundParameters_HiddenSheetCLAY!$I$1:$L$1,0),FALSE))),'Control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Output'!$A$2:$E$99998,5,FALSE)="Sand",VLOOKUP(Q$37,BoundParameters_HiddenSheetSAND!$I$3:$L$50,MATCH(VLOOKUP($I98,$I$5:$AJ$34,MATCH(VLOOKUP(Q$37,$BH$3:$BI$50,2,FALSE),$I$4:$AJ$4,0),FALSE),BoundParameters_HiddenSheetCLAY!$I$1:$L$1,0),FALSE),IF(VLOOKUP($E63,'Table Output'!$A$2:$E$9998,5,FALSE)="Clay",VLOOKUP(Q$37,BoundParameters_HiddenSheetCLAY!$I$3:$L$50,MATCH(VLOOKUP($I98,$I$5:$AJ$34,MATCH(VLOOKUP(Q$37,$BH$3:$BI$50,2,FALSE),$I$4:$AJ$4,0),FALSE),BoundParameters_HiddenSheetCLAY!$I$1:$L$1,0),FALSE))),'Control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Output'!$A$2:$E$99998,5,FALSE)="Sand",VLOOKUP(R$37,BoundParameters_HiddenSheetSAND!$I$3:$L$50,MATCH(VLOOKUP($I98,$I$5:$AJ$34,MATCH(VLOOKUP(R$37,$BH$3:$BI$50,2,FALSE),$I$4:$AJ$4,0),FALSE),BoundParameters_HiddenSheetCLAY!$I$1:$L$1,0),FALSE),IF(VLOOKUP($E63,'Table Output'!$A$2:$E$9998,5,FALSE)="Clay",VLOOKUP(R$37,BoundParameters_HiddenSheetCLAY!$I$3:$L$50,MATCH(VLOOKUP($I98,$I$5:$AJ$34,MATCH(VLOOKUP(R$37,$BH$3:$BI$50,2,FALSE),$I$4:$AJ$4,0),FALSE),BoundParameters_HiddenSheetCLAY!$I$1:$L$1,0),FALSE))),'Control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Output'!$A$2:$E$99998,5,FALSE)="Sand",VLOOKUP(S$37,BoundParameters_HiddenSheetSAND!$I$3:$L$50,MATCH(VLOOKUP($I98,$I$5:$AJ$34,MATCH(VLOOKUP(S$37,$BH$3:$BI$50,2,FALSE),$I$4:$AJ$4,0),FALSE),BoundParameters_HiddenSheetCLAY!$I$1:$L$1,0),FALSE),IF(VLOOKUP($E63,'Table Output'!$A$2:$E$9998,5,FALSE)="Clay",VLOOKUP(S$37,BoundParameters_HiddenSheetCLAY!$I$3:$L$50,MATCH(VLOOKUP($I98,$I$5:$AJ$34,MATCH(VLOOKUP(S$37,$BH$3:$BI$50,2,FALSE),$I$4:$AJ$4,0),FALSE),BoundParameters_HiddenSheetCLAY!$I$1:$L$1,0),FALSE))),'Control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Output'!$A$2:$E$99998,5,FALSE)="Sand",VLOOKUP(J$37,BoundParameters_HiddenSheetSAND!$I$3:$L$50,MATCH(VLOOKUP($I99,$I$5:$AJ$34,MATCH(VLOOKUP(J$37,$BH$3:$BI$50,2,FALSE),$I$4:$AJ$4,0),FALSE),BoundParameters_HiddenSheetCLAY!$I$1:$L$1,0),FALSE),IF(VLOOKUP($E64,'Table Output'!$A$2:$E$9998,5,FALSE)="Clay",VLOOKUP(J$37,BoundParameters_HiddenSheetCLAY!$I$3:$L$50,MATCH(VLOOKUP($I99,$I$5:$AJ$34,MATCH(VLOOKUP(J$37,$BH$3:$BI$50,2,FALSE),$I$4:$AJ$4,0),FALSE),BoundParameters_HiddenSheetCLAY!$I$1:$L$1,0),FALSE))),'Control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Output'!$A$2:$E$99998,5,FALSE)="Sand",VLOOKUP(K$37,BoundParameters_HiddenSheetSAND!$I$3:$L$50,MATCH(VLOOKUP($I99,$I$5:$AJ$34,MATCH(VLOOKUP(K$37,$BH$3:$BI$50,2,FALSE),$I$4:$AJ$4,0),FALSE),BoundParameters_HiddenSheetCLAY!$I$1:$L$1,0),FALSE),IF(VLOOKUP($E64,'Table Output'!$A$2:$E$9998,5,FALSE)="Clay",VLOOKUP(K$37,BoundParameters_HiddenSheetCLAY!$I$3:$L$50,MATCH(VLOOKUP($I99,$I$5:$AJ$34,MATCH(VLOOKUP(K$37,$BH$3:$BI$50,2,FALSE),$I$4:$AJ$4,0),FALSE),BoundParameters_HiddenSheetCLAY!$I$1:$L$1,0),FALSE))),'Control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Output'!$A$2:$E$99998,5,FALSE)="Sand",VLOOKUP(L$37,BoundParameters_HiddenSheetSAND!$I$3:$L$50,MATCH(VLOOKUP($I99,$I$5:$AJ$34,MATCH(VLOOKUP(L$37,$BH$3:$BI$50,2,FALSE),$I$4:$AJ$4,0),FALSE),BoundParameters_HiddenSheetCLAY!$I$1:$L$1,0),FALSE),IF(VLOOKUP($E64,'Table Output'!$A$2:$E$9998,5,FALSE)="Clay",VLOOKUP(L$37,BoundParameters_HiddenSheetCLAY!$I$3:$L$50,MATCH(VLOOKUP($I99,$I$5:$AJ$34,MATCH(VLOOKUP(L$37,$BH$3:$BI$50,2,FALSE),$I$4:$AJ$4,0),FALSE),BoundParameters_HiddenSheetCLAY!$I$1:$L$1,0),FALSE))),'Control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Output'!$A$2:$E$99998,5,FALSE)="Sand",VLOOKUP(M$37,BoundParameters_HiddenSheetSAND!$I$3:$L$50,MATCH(VLOOKUP($I99,$I$5:$AJ$34,MATCH(VLOOKUP(M$37,$BH$3:$BI$50,2,FALSE),$I$4:$AJ$4,0),FALSE),BoundParameters_HiddenSheetCLAY!$I$1:$L$1,0),FALSE),IF(VLOOKUP($E64,'Table Output'!$A$2:$E$9998,5,FALSE)="Clay",VLOOKUP(M$37,BoundParameters_HiddenSheetCLAY!$I$3:$L$50,MATCH(VLOOKUP($I99,$I$5:$AJ$34,MATCH(VLOOKUP(M$37,$BH$3:$BI$50,2,FALSE),$I$4:$AJ$4,0),FALSE),BoundParameters_HiddenSheetCLAY!$I$1:$L$1,0),FALSE))),'Control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Output'!$A$2:$E$99998,5,FALSE)="Sand",VLOOKUP(N$37,BoundParameters_HiddenSheetSAND!$I$3:$L$50,MATCH(VLOOKUP($I99,$I$5:$AJ$34,MATCH(VLOOKUP(N$37,$BH$3:$BI$50,2,FALSE),$I$4:$AJ$4,0),FALSE),BoundParameters_HiddenSheetCLAY!$I$1:$L$1,0),FALSE),IF(VLOOKUP($E64,'Table Output'!$A$2:$E$9998,5,FALSE)="Clay",VLOOKUP(N$37,BoundParameters_HiddenSheetCLAY!$I$3:$L$50,MATCH(VLOOKUP($I99,$I$5:$AJ$34,MATCH(VLOOKUP(N$37,$BH$3:$BI$50,2,FALSE),$I$4:$AJ$4,0),FALSE),BoundParameters_HiddenSheetCLAY!$I$1:$L$1,0),FALSE))),'Control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Output'!$A$2:$E$99998,5,FALSE)="Sand",VLOOKUP(O$37,BoundParameters_HiddenSheetSAND!$I$3:$L$50,MATCH(VLOOKUP($I99,$I$5:$AJ$34,MATCH(VLOOKUP(O$37,$BH$3:$BI$50,2,FALSE),$I$4:$AJ$4,0),FALSE),BoundParameters_HiddenSheetCLAY!$I$1:$L$1,0),FALSE),IF(VLOOKUP($E64,'Table Output'!$A$2:$E$9998,5,FALSE)="Clay",VLOOKUP(O$37,BoundParameters_HiddenSheetCLAY!$I$3:$L$50,MATCH(VLOOKUP($I99,$I$5:$AJ$34,MATCH(VLOOKUP(O$37,$BH$3:$BI$50,2,FALSE),$I$4:$AJ$4,0),FALSE),BoundParameters_HiddenSheetCLAY!$I$1:$L$1,0),FALSE))),'Control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Output'!$A$2:$E$99998,5,FALSE)="Sand",VLOOKUP(P$37,BoundParameters_HiddenSheetSAND!$I$3:$L$50,MATCH(VLOOKUP($I99,$I$5:$AJ$34,MATCH(VLOOKUP(P$37,$BH$3:$BI$50,2,FALSE),$I$4:$AJ$4,0),FALSE),BoundParameters_HiddenSheetCLAY!$I$1:$L$1,0),FALSE),IF(VLOOKUP($E64,'Table Output'!$A$2:$E$9998,5,FALSE)="Clay",VLOOKUP(P$37,BoundParameters_HiddenSheetCLAY!$I$3:$L$50,MATCH(VLOOKUP($I99,$I$5:$AJ$34,MATCH(VLOOKUP(P$37,$BH$3:$BI$50,2,FALSE),$I$4:$AJ$4,0),FALSE),BoundParameters_HiddenSheetCLAY!$I$1:$L$1,0),FALSE))),'Control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Output'!$A$2:$E$99998,5,FALSE)="Sand",VLOOKUP(Q$37,BoundParameters_HiddenSheetSAND!$I$3:$L$50,MATCH(VLOOKUP($I99,$I$5:$AJ$34,MATCH(VLOOKUP(Q$37,$BH$3:$BI$50,2,FALSE),$I$4:$AJ$4,0),FALSE),BoundParameters_HiddenSheetCLAY!$I$1:$L$1,0),FALSE),IF(VLOOKUP($E64,'Table Output'!$A$2:$E$9998,5,FALSE)="Clay",VLOOKUP(Q$37,BoundParameters_HiddenSheetCLAY!$I$3:$L$50,MATCH(VLOOKUP($I99,$I$5:$AJ$34,MATCH(VLOOKUP(Q$37,$BH$3:$BI$50,2,FALSE),$I$4:$AJ$4,0),FALSE),BoundParameters_HiddenSheetCLAY!$I$1:$L$1,0),FALSE))),'Control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Output'!$A$2:$E$99998,5,FALSE)="Sand",VLOOKUP(R$37,BoundParameters_HiddenSheetSAND!$I$3:$L$50,MATCH(VLOOKUP($I99,$I$5:$AJ$34,MATCH(VLOOKUP(R$37,$BH$3:$BI$50,2,FALSE),$I$4:$AJ$4,0),FALSE),BoundParameters_HiddenSheetCLAY!$I$1:$L$1,0),FALSE),IF(VLOOKUP($E64,'Table Output'!$A$2:$E$9998,5,FALSE)="Clay",VLOOKUP(R$37,BoundParameters_HiddenSheetCLAY!$I$3:$L$50,MATCH(VLOOKUP($I99,$I$5:$AJ$34,MATCH(VLOOKUP(R$37,$BH$3:$BI$50,2,FALSE),$I$4:$AJ$4,0),FALSE),BoundParameters_HiddenSheetCLAY!$I$1:$L$1,0),FALSE))),'Control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Output'!$A$2:$E$99998,5,FALSE)="Sand",VLOOKUP(S$37,BoundParameters_HiddenSheetSAND!$I$3:$L$50,MATCH(VLOOKUP($I99,$I$5:$AJ$34,MATCH(VLOOKUP(S$37,$BH$3:$BI$50,2,FALSE),$I$4:$AJ$4,0),FALSE),BoundParameters_HiddenSheetCLAY!$I$1:$L$1,0),FALSE),IF(VLOOKUP($E64,'Table Output'!$A$2:$E$9998,5,FALSE)="Clay",VLOOKUP(S$37,BoundParameters_HiddenSheetCLAY!$I$3:$L$50,MATCH(VLOOKUP($I99,$I$5:$AJ$34,MATCH(VLOOKUP(S$37,$BH$3:$BI$50,2,FALSE),$I$4:$AJ$4,0),FALSE),BoundParameters_HiddenSheetCLAY!$I$1:$L$1,0),FALSE))),'Control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Output'!$A$2:$E$99998,5,FALSE)="Sand",VLOOKUP(J$37,BoundParameters_HiddenSheetSAND!$I$3:$L$50,MATCH(VLOOKUP($I100,$I$5:$AJ$34,MATCH(VLOOKUP(J$37,$BH$3:$BI$50,2,FALSE),$I$4:$AJ$4,0),FALSE),BoundParameters_HiddenSheetCLAY!$I$1:$L$1,0),FALSE),IF(VLOOKUP($E65,'Table Output'!$A$2:$E$9998,5,FALSE)="Clay",VLOOKUP(J$37,BoundParameters_HiddenSheetCLAY!$I$3:$L$50,MATCH(VLOOKUP($I100,$I$5:$AJ$34,MATCH(VLOOKUP(J$37,$BH$3:$BI$50,2,FALSE),$I$4:$AJ$4,0),FALSE),BoundParameters_HiddenSheetCLAY!$I$1:$L$1,0),FALSE))),'Control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Output'!$A$2:$E$99998,5,FALSE)="Sand",VLOOKUP(K$37,BoundParameters_HiddenSheetSAND!$I$3:$L$50,MATCH(VLOOKUP($I100,$I$5:$AJ$34,MATCH(VLOOKUP(K$37,$BH$3:$BI$50,2,FALSE),$I$4:$AJ$4,0),FALSE),BoundParameters_HiddenSheetCLAY!$I$1:$L$1,0),FALSE),IF(VLOOKUP($E65,'Table Output'!$A$2:$E$9998,5,FALSE)="Clay",VLOOKUP(K$37,BoundParameters_HiddenSheetCLAY!$I$3:$L$50,MATCH(VLOOKUP($I100,$I$5:$AJ$34,MATCH(VLOOKUP(K$37,$BH$3:$BI$50,2,FALSE),$I$4:$AJ$4,0),FALSE),BoundParameters_HiddenSheetCLAY!$I$1:$L$1,0),FALSE))),'Control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Output'!$A$2:$E$99998,5,FALSE)="Sand",VLOOKUP(L$37,BoundParameters_HiddenSheetSAND!$I$3:$L$50,MATCH(VLOOKUP($I100,$I$5:$AJ$34,MATCH(VLOOKUP(L$37,$BH$3:$BI$50,2,FALSE),$I$4:$AJ$4,0),FALSE),BoundParameters_HiddenSheetCLAY!$I$1:$L$1,0),FALSE),IF(VLOOKUP($E65,'Table Output'!$A$2:$E$9998,5,FALSE)="Clay",VLOOKUP(L$37,BoundParameters_HiddenSheetCLAY!$I$3:$L$50,MATCH(VLOOKUP($I100,$I$5:$AJ$34,MATCH(VLOOKUP(L$37,$BH$3:$BI$50,2,FALSE),$I$4:$AJ$4,0),FALSE),BoundParameters_HiddenSheetCLAY!$I$1:$L$1,0),FALSE))),'Control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Output'!$A$2:$E$99998,5,FALSE)="Sand",VLOOKUP(M$37,BoundParameters_HiddenSheetSAND!$I$3:$L$50,MATCH(VLOOKUP($I100,$I$5:$AJ$34,MATCH(VLOOKUP(M$37,$BH$3:$BI$50,2,FALSE),$I$4:$AJ$4,0),FALSE),BoundParameters_HiddenSheetCLAY!$I$1:$L$1,0),FALSE),IF(VLOOKUP($E65,'Table Output'!$A$2:$E$9998,5,FALSE)="Clay",VLOOKUP(M$37,BoundParameters_HiddenSheetCLAY!$I$3:$L$50,MATCH(VLOOKUP($I100,$I$5:$AJ$34,MATCH(VLOOKUP(M$37,$BH$3:$BI$50,2,FALSE),$I$4:$AJ$4,0),FALSE),BoundParameters_HiddenSheetCLAY!$I$1:$L$1,0),FALSE))),'Control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Output'!$A$2:$E$99998,5,FALSE)="Sand",VLOOKUP(N$37,BoundParameters_HiddenSheetSAND!$I$3:$L$50,MATCH(VLOOKUP($I100,$I$5:$AJ$34,MATCH(VLOOKUP(N$37,$BH$3:$BI$50,2,FALSE),$I$4:$AJ$4,0),FALSE),BoundParameters_HiddenSheetCLAY!$I$1:$L$1,0),FALSE),IF(VLOOKUP($E65,'Table Output'!$A$2:$E$9998,5,FALSE)="Clay",VLOOKUP(N$37,BoundParameters_HiddenSheetCLAY!$I$3:$L$50,MATCH(VLOOKUP($I100,$I$5:$AJ$34,MATCH(VLOOKUP(N$37,$BH$3:$BI$50,2,FALSE),$I$4:$AJ$4,0),FALSE),BoundParameters_HiddenSheetCLAY!$I$1:$L$1,0),FALSE))),'Control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Output'!$A$2:$E$99998,5,FALSE)="Sand",VLOOKUP(O$37,BoundParameters_HiddenSheetSAND!$I$3:$L$50,MATCH(VLOOKUP($I100,$I$5:$AJ$34,MATCH(VLOOKUP(O$37,$BH$3:$BI$50,2,FALSE),$I$4:$AJ$4,0),FALSE),BoundParameters_HiddenSheetCLAY!$I$1:$L$1,0),FALSE),IF(VLOOKUP($E65,'Table Output'!$A$2:$E$9998,5,FALSE)="Clay",VLOOKUP(O$37,BoundParameters_HiddenSheetCLAY!$I$3:$L$50,MATCH(VLOOKUP($I100,$I$5:$AJ$34,MATCH(VLOOKUP(O$37,$BH$3:$BI$50,2,FALSE),$I$4:$AJ$4,0),FALSE),BoundParameters_HiddenSheetCLAY!$I$1:$L$1,0),FALSE))),'Control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Output'!$A$2:$E$99998,5,FALSE)="Sand",VLOOKUP(P$37,BoundParameters_HiddenSheetSAND!$I$3:$L$50,MATCH(VLOOKUP($I100,$I$5:$AJ$34,MATCH(VLOOKUP(P$37,$BH$3:$BI$50,2,FALSE),$I$4:$AJ$4,0),FALSE),BoundParameters_HiddenSheetCLAY!$I$1:$L$1,0),FALSE),IF(VLOOKUP($E65,'Table Output'!$A$2:$E$9998,5,FALSE)="Clay",VLOOKUP(P$37,BoundParameters_HiddenSheetCLAY!$I$3:$L$50,MATCH(VLOOKUP($I100,$I$5:$AJ$34,MATCH(VLOOKUP(P$37,$BH$3:$BI$50,2,FALSE),$I$4:$AJ$4,0),FALSE),BoundParameters_HiddenSheetCLAY!$I$1:$L$1,0),FALSE))),'Control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Output'!$A$2:$E$99998,5,FALSE)="Sand",VLOOKUP(Q$37,BoundParameters_HiddenSheetSAND!$I$3:$L$50,MATCH(VLOOKUP($I100,$I$5:$AJ$34,MATCH(VLOOKUP(Q$37,$BH$3:$BI$50,2,FALSE),$I$4:$AJ$4,0),FALSE),BoundParameters_HiddenSheetCLAY!$I$1:$L$1,0),FALSE),IF(VLOOKUP($E65,'Table Output'!$A$2:$E$9998,5,FALSE)="Clay",VLOOKUP(Q$37,BoundParameters_HiddenSheetCLAY!$I$3:$L$50,MATCH(VLOOKUP($I100,$I$5:$AJ$34,MATCH(VLOOKUP(Q$37,$BH$3:$BI$50,2,FALSE),$I$4:$AJ$4,0),FALSE),BoundParameters_HiddenSheetCLAY!$I$1:$L$1,0),FALSE))),'Control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Output'!$A$2:$E$99998,5,FALSE)="Sand",VLOOKUP(R$37,BoundParameters_HiddenSheetSAND!$I$3:$L$50,MATCH(VLOOKUP($I100,$I$5:$AJ$34,MATCH(VLOOKUP(R$37,$BH$3:$BI$50,2,FALSE),$I$4:$AJ$4,0),FALSE),BoundParameters_HiddenSheetCLAY!$I$1:$L$1,0),FALSE),IF(VLOOKUP($E65,'Table Output'!$A$2:$E$9998,5,FALSE)="Clay",VLOOKUP(R$37,BoundParameters_HiddenSheetCLAY!$I$3:$L$50,MATCH(VLOOKUP($I100,$I$5:$AJ$34,MATCH(VLOOKUP(R$37,$BH$3:$BI$50,2,FALSE),$I$4:$AJ$4,0),FALSE),BoundParameters_HiddenSheetCLAY!$I$1:$L$1,0),FALSE))),'Control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Output'!$A$2:$E$99998,5,FALSE)="Sand",VLOOKUP(S$37,BoundParameters_HiddenSheetSAND!$I$3:$L$50,MATCH(VLOOKUP($I100,$I$5:$AJ$34,MATCH(VLOOKUP(S$37,$BH$3:$BI$50,2,FALSE),$I$4:$AJ$4,0),FALSE),BoundParameters_HiddenSheetCLAY!$I$1:$L$1,0),FALSE),IF(VLOOKUP($E65,'Table Output'!$A$2:$E$9998,5,FALSE)="Clay",VLOOKUP(S$37,BoundParameters_HiddenSheetCLAY!$I$3:$L$50,MATCH(VLOOKUP($I100,$I$5:$AJ$34,MATCH(VLOOKUP(S$37,$BH$3:$BI$50,2,FALSE),$I$4:$AJ$4,0),FALSE),BoundParameters_HiddenSheetCLAY!$I$1:$L$1,0),FALSE))),'Control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Output'!$A$2:$E$99998,5,FALSE)="Sand",VLOOKUP(J$37,BoundParameters_HiddenSheetSAND!$I$3:$L$50,MATCH(VLOOKUP($I101,$I$5:$AJ$34,MATCH(VLOOKUP(J$37,$BH$3:$BI$50,2,FALSE),$I$4:$AJ$4,0),FALSE),BoundParameters_HiddenSheetCLAY!$I$1:$L$1,0),FALSE),IF(VLOOKUP($E66,'Table Output'!$A$2:$E$9998,5,FALSE)="Clay",VLOOKUP(J$37,BoundParameters_HiddenSheetCLAY!$I$3:$L$50,MATCH(VLOOKUP($I101,$I$5:$AJ$34,MATCH(VLOOKUP(J$37,$BH$3:$BI$50,2,FALSE),$I$4:$AJ$4,0),FALSE),BoundParameters_HiddenSheetCLAY!$I$1:$L$1,0),FALSE))),'Control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Output'!$A$2:$E$99998,5,FALSE)="Sand",VLOOKUP(K$37,BoundParameters_HiddenSheetSAND!$I$3:$L$50,MATCH(VLOOKUP($I101,$I$5:$AJ$34,MATCH(VLOOKUP(K$37,$BH$3:$BI$50,2,FALSE),$I$4:$AJ$4,0),FALSE),BoundParameters_HiddenSheetCLAY!$I$1:$L$1,0),FALSE),IF(VLOOKUP($E66,'Table Output'!$A$2:$E$9998,5,FALSE)="Clay",VLOOKUP(K$37,BoundParameters_HiddenSheetCLAY!$I$3:$L$50,MATCH(VLOOKUP($I101,$I$5:$AJ$34,MATCH(VLOOKUP(K$37,$BH$3:$BI$50,2,FALSE),$I$4:$AJ$4,0),FALSE),BoundParameters_HiddenSheetCLAY!$I$1:$L$1,0),FALSE))),'Control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Output'!$A$2:$E$99998,5,FALSE)="Sand",VLOOKUP(L$37,BoundParameters_HiddenSheetSAND!$I$3:$L$50,MATCH(VLOOKUP($I101,$I$5:$AJ$34,MATCH(VLOOKUP(L$37,$BH$3:$BI$50,2,FALSE),$I$4:$AJ$4,0),FALSE),BoundParameters_HiddenSheetCLAY!$I$1:$L$1,0),FALSE),IF(VLOOKUP($E66,'Table Output'!$A$2:$E$9998,5,FALSE)="Clay",VLOOKUP(L$37,BoundParameters_HiddenSheetCLAY!$I$3:$L$50,MATCH(VLOOKUP($I101,$I$5:$AJ$34,MATCH(VLOOKUP(L$37,$BH$3:$BI$50,2,FALSE),$I$4:$AJ$4,0),FALSE),BoundParameters_HiddenSheetCLAY!$I$1:$L$1,0),FALSE))),'Control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Output'!$A$2:$E$99998,5,FALSE)="Sand",VLOOKUP(M$37,BoundParameters_HiddenSheetSAND!$I$3:$L$50,MATCH(VLOOKUP($I101,$I$5:$AJ$34,MATCH(VLOOKUP(M$37,$BH$3:$BI$50,2,FALSE),$I$4:$AJ$4,0),FALSE),BoundParameters_HiddenSheetCLAY!$I$1:$L$1,0),FALSE),IF(VLOOKUP($E66,'Table Output'!$A$2:$E$9998,5,FALSE)="Clay",VLOOKUP(M$37,BoundParameters_HiddenSheetCLAY!$I$3:$L$50,MATCH(VLOOKUP($I101,$I$5:$AJ$34,MATCH(VLOOKUP(M$37,$BH$3:$BI$50,2,FALSE),$I$4:$AJ$4,0),FALSE),BoundParameters_HiddenSheetCLAY!$I$1:$L$1,0),FALSE))),'Control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Output'!$A$2:$E$99998,5,FALSE)="Sand",VLOOKUP(N$37,BoundParameters_HiddenSheetSAND!$I$3:$L$50,MATCH(VLOOKUP($I101,$I$5:$AJ$34,MATCH(VLOOKUP(N$37,$BH$3:$BI$50,2,FALSE),$I$4:$AJ$4,0),FALSE),BoundParameters_HiddenSheetCLAY!$I$1:$L$1,0),FALSE),IF(VLOOKUP($E66,'Table Output'!$A$2:$E$9998,5,FALSE)="Clay",VLOOKUP(N$37,BoundParameters_HiddenSheetCLAY!$I$3:$L$50,MATCH(VLOOKUP($I101,$I$5:$AJ$34,MATCH(VLOOKUP(N$37,$BH$3:$BI$50,2,FALSE),$I$4:$AJ$4,0),FALSE),BoundParameters_HiddenSheetCLAY!$I$1:$L$1,0),FALSE))),'Control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Output'!$A$2:$E$99998,5,FALSE)="Sand",VLOOKUP(O$37,BoundParameters_HiddenSheetSAND!$I$3:$L$50,MATCH(VLOOKUP($I101,$I$5:$AJ$34,MATCH(VLOOKUP(O$37,$BH$3:$BI$50,2,FALSE),$I$4:$AJ$4,0),FALSE),BoundParameters_HiddenSheetCLAY!$I$1:$L$1,0),FALSE),IF(VLOOKUP($E66,'Table Output'!$A$2:$E$9998,5,FALSE)="Clay",VLOOKUP(O$37,BoundParameters_HiddenSheetCLAY!$I$3:$L$50,MATCH(VLOOKUP($I101,$I$5:$AJ$34,MATCH(VLOOKUP(O$37,$BH$3:$BI$50,2,FALSE),$I$4:$AJ$4,0),FALSE),BoundParameters_HiddenSheetCLAY!$I$1:$L$1,0),FALSE))),'Control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Output'!$A$2:$E$99998,5,FALSE)="Sand",VLOOKUP(P$37,BoundParameters_HiddenSheetSAND!$I$3:$L$50,MATCH(VLOOKUP($I101,$I$5:$AJ$34,MATCH(VLOOKUP(P$37,$BH$3:$BI$50,2,FALSE),$I$4:$AJ$4,0),FALSE),BoundParameters_HiddenSheetCLAY!$I$1:$L$1,0),FALSE),IF(VLOOKUP($E66,'Table Output'!$A$2:$E$9998,5,FALSE)="Clay",VLOOKUP(P$37,BoundParameters_HiddenSheetCLAY!$I$3:$L$50,MATCH(VLOOKUP($I101,$I$5:$AJ$34,MATCH(VLOOKUP(P$37,$BH$3:$BI$50,2,FALSE),$I$4:$AJ$4,0),FALSE),BoundParameters_HiddenSheetCLAY!$I$1:$L$1,0),FALSE))),'Control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Output'!$A$2:$E$99998,5,FALSE)="Sand",VLOOKUP(Q$37,BoundParameters_HiddenSheetSAND!$I$3:$L$50,MATCH(VLOOKUP($I101,$I$5:$AJ$34,MATCH(VLOOKUP(Q$37,$BH$3:$BI$50,2,FALSE),$I$4:$AJ$4,0),FALSE),BoundParameters_HiddenSheetCLAY!$I$1:$L$1,0),FALSE),IF(VLOOKUP($E66,'Table Output'!$A$2:$E$9998,5,FALSE)="Clay",VLOOKUP(Q$37,BoundParameters_HiddenSheetCLAY!$I$3:$L$50,MATCH(VLOOKUP($I101,$I$5:$AJ$34,MATCH(VLOOKUP(Q$37,$BH$3:$BI$50,2,FALSE),$I$4:$AJ$4,0),FALSE),BoundParameters_HiddenSheetCLAY!$I$1:$L$1,0),FALSE))),'Control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Output'!$A$2:$E$99998,5,FALSE)="Sand",VLOOKUP(R$37,BoundParameters_HiddenSheetSAND!$I$3:$L$50,MATCH(VLOOKUP($I101,$I$5:$AJ$34,MATCH(VLOOKUP(R$37,$BH$3:$BI$50,2,FALSE),$I$4:$AJ$4,0),FALSE),BoundParameters_HiddenSheetCLAY!$I$1:$L$1,0),FALSE),IF(VLOOKUP($E66,'Table Output'!$A$2:$E$9998,5,FALSE)="Clay",VLOOKUP(R$37,BoundParameters_HiddenSheetCLAY!$I$3:$L$50,MATCH(VLOOKUP($I101,$I$5:$AJ$34,MATCH(VLOOKUP(R$37,$BH$3:$BI$50,2,FALSE),$I$4:$AJ$4,0),FALSE),BoundParameters_HiddenSheetCLAY!$I$1:$L$1,0),FALSE))),'Control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Output'!$A$2:$E$99998,5,FALSE)="Sand",VLOOKUP(S$37,BoundParameters_HiddenSheetSAND!$I$3:$L$50,MATCH(VLOOKUP($I101,$I$5:$AJ$34,MATCH(VLOOKUP(S$37,$BH$3:$BI$50,2,FALSE),$I$4:$AJ$4,0),FALSE),BoundParameters_HiddenSheetCLAY!$I$1:$L$1,0),FALSE),IF(VLOOKUP($E66,'Table Output'!$A$2:$E$9998,5,FALSE)="Clay",VLOOKUP(S$37,BoundParameters_HiddenSheetCLAY!$I$3:$L$50,MATCH(VLOOKUP($I101,$I$5:$AJ$34,MATCH(VLOOKUP(S$37,$BH$3:$BI$50,2,FALSE),$I$4:$AJ$4,0),FALSE),BoundParameters_HiddenSheetCLAY!$I$1:$L$1,0),FALSE))),'Control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Output'!$A$2:$E$99998,5,FALSE)="Sand",VLOOKUP(J$37,BoundParameters_HiddenSheetSAND!$I$3:$L$50,MATCH(VLOOKUP($I102,$I$5:$AJ$34,MATCH(VLOOKUP(J$37,$BH$3:$BI$50,2,FALSE),$I$4:$AJ$4,0),FALSE),BoundParameters_HiddenSheetCLAY!$I$1:$L$1,0),FALSE),IF(VLOOKUP($E67,'Table Output'!$A$2:$E$9998,5,FALSE)="Clay",VLOOKUP(J$37,BoundParameters_HiddenSheetCLAY!$I$3:$L$50,MATCH(VLOOKUP($I102,$I$5:$AJ$34,MATCH(VLOOKUP(J$37,$BH$3:$BI$50,2,FALSE),$I$4:$AJ$4,0),FALSE),BoundParameters_HiddenSheetCLAY!$I$1:$L$1,0),FALSE))),'Control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Output'!$A$2:$E$99998,5,FALSE)="Sand",VLOOKUP(K$37,BoundParameters_HiddenSheetSAND!$I$3:$L$50,MATCH(VLOOKUP($I102,$I$5:$AJ$34,MATCH(VLOOKUP(K$37,$BH$3:$BI$50,2,FALSE),$I$4:$AJ$4,0),FALSE),BoundParameters_HiddenSheetCLAY!$I$1:$L$1,0),FALSE),IF(VLOOKUP($E67,'Table Output'!$A$2:$E$9998,5,FALSE)="Clay",VLOOKUP(K$37,BoundParameters_HiddenSheetCLAY!$I$3:$L$50,MATCH(VLOOKUP($I102,$I$5:$AJ$34,MATCH(VLOOKUP(K$37,$BH$3:$BI$50,2,FALSE),$I$4:$AJ$4,0),FALSE),BoundParameters_HiddenSheetCLAY!$I$1:$L$1,0),FALSE))),'Control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Output'!$A$2:$E$99998,5,FALSE)="Sand",VLOOKUP(L$37,BoundParameters_HiddenSheetSAND!$I$3:$L$50,MATCH(VLOOKUP($I102,$I$5:$AJ$34,MATCH(VLOOKUP(L$37,$BH$3:$BI$50,2,FALSE),$I$4:$AJ$4,0),FALSE),BoundParameters_HiddenSheetCLAY!$I$1:$L$1,0),FALSE),IF(VLOOKUP($E67,'Table Output'!$A$2:$E$9998,5,FALSE)="Clay",VLOOKUP(L$37,BoundParameters_HiddenSheetCLAY!$I$3:$L$50,MATCH(VLOOKUP($I102,$I$5:$AJ$34,MATCH(VLOOKUP(L$37,$BH$3:$BI$50,2,FALSE),$I$4:$AJ$4,0),FALSE),BoundParameters_HiddenSheetCLAY!$I$1:$L$1,0),FALSE))),'Control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Output'!$A$2:$E$99998,5,FALSE)="Sand",VLOOKUP(M$37,BoundParameters_HiddenSheetSAND!$I$3:$L$50,MATCH(VLOOKUP($I102,$I$5:$AJ$34,MATCH(VLOOKUP(M$37,$BH$3:$BI$50,2,FALSE),$I$4:$AJ$4,0),FALSE),BoundParameters_HiddenSheetCLAY!$I$1:$L$1,0),FALSE),IF(VLOOKUP($E67,'Table Output'!$A$2:$E$9998,5,FALSE)="Clay",VLOOKUP(M$37,BoundParameters_HiddenSheetCLAY!$I$3:$L$50,MATCH(VLOOKUP($I102,$I$5:$AJ$34,MATCH(VLOOKUP(M$37,$BH$3:$BI$50,2,FALSE),$I$4:$AJ$4,0),FALSE),BoundParameters_HiddenSheetCLAY!$I$1:$L$1,0),FALSE))),'Control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Output'!$A$2:$E$99998,5,FALSE)="Sand",VLOOKUP(N$37,BoundParameters_HiddenSheetSAND!$I$3:$L$50,MATCH(VLOOKUP($I102,$I$5:$AJ$34,MATCH(VLOOKUP(N$37,$BH$3:$BI$50,2,FALSE),$I$4:$AJ$4,0),FALSE),BoundParameters_HiddenSheetCLAY!$I$1:$L$1,0),FALSE),IF(VLOOKUP($E67,'Table Output'!$A$2:$E$9998,5,FALSE)="Clay",VLOOKUP(N$37,BoundParameters_HiddenSheetCLAY!$I$3:$L$50,MATCH(VLOOKUP($I102,$I$5:$AJ$34,MATCH(VLOOKUP(N$37,$BH$3:$BI$50,2,FALSE),$I$4:$AJ$4,0),FALSE),BoundParameters_HiddenSheetCLAY!$I$1:$L$1,0),FALSE))),'Control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Output'!$A$2:$E$99998,5,FALSE)="Sand",VLOOKUP(O$37,BoundParameters_HiddenSheetSAND!$I$3:$L$50,MATCH(VLOOKUP($I102,$I$5:$AJ$34,MATCH(VLOOKUP(O$37,$BH$3:$BI$50,2,FALSE),$I$4:$AJ$4,0),FALSE),BoundParameters_HiddenSheetCLAY!$I$1:$L$1,0),FALSE),IF(VLOOKUP($E67,'Table Output'!$A$2:$E$9998,5,FALSE)="Clay",VLOOKUP(O$37,BoundParameters_HiddenSheetCLAY!$I$3:$L$50,MATCH(VLOOKUP($I102,$I$5:$AJ$34,MATCH(VLOOKUP(O$37,$BH$3:$BI$50,2,FALSE),$I$4:$AJ$4,0),FALSE),BoundParameters_HiddenSheetCLAY!$I$1:$L$1,0),FALSE))),'Control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Output'!$A$2:$E$99998,5,FALSE)="Sand",VLOOKUP(P$37,BoundParameters_HiddenSheetSAND!$I$3:$L$50,MATCH(VLOOKUP($I102,$I$5:$AJ$34,MATCH(VLOOKUP(P$37,$BH$3:$BI$50,2,FALSE),$I$4:$AJ$4,0),FALSE),BoundParameters_HiddenSheetCLAY!$I$1:$L$1,0),FALSE),IF(VLOOKUP($E67,'Table Output'!$A$2:$E$9998,5,FALSE)="Clay",VLOOKUP(P$37,BoundParameters_HiddenSheetCLAY!$I$3:$L$50,MATCH(VLOOKUP($I102,$I$5:$AJ$34,MATCH(VLOOKUP(P$37,$BH$3:$BI$50,2,FALSE),$I$4:$AJ$4,0),FALSE),BoundParameters_HiddenSheetCLAY!$I$1:$L$1,0),FALSE))),'Control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Output'!$A$2:$E$99998,5,FALSE)="Sand",VLOOKUP(Q$37,BoundParameters_HiddenSheetSAND!$I$3:$L$50,MATCH(VLOOKUP($I102,$I$5:$AJ$34,MATCH(VLOOKUP(Q$37,$BH$3:$BI$50,2,FALSE),$I$4:$AJ$4,0),FALSE),BoundParameters_HiddenSheetCLAY!$I$1:$L$1,0),FALSE),IF(VLOOKUP($E67,'Table Output'!$A$2:$E$9998,5,FALSE)="Clay",VLOOKUP(Q$37,BoundParameters_HiddenSheetCLAY!$I$3:$L$50,MATCH(VLOOKUP($I102,$I$5:$AJ$34,MATCH(VLOOKUP(Q$37,$BH$3:$BI$50,2,FALSE),$I$4:$AJ$4,0),FALSE),BoundParameters_HiddenSheetCLAY!$I$1:$L$1,0),FALSE))),'Control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Output'!$A$2:$E$99998,5,FALSE)="Sand",VLOOKUP(R$37,BoundParameters_HiddenSheetSAND!$I$3:$L$50,MATCH(VLOOKUP($I102,$I$5:$AJ$34,MATCH(VLOOKUP(R$37,$BH$3:$BI$50,2,FALSE),$I$4:$AJ$4,0),FALSE),BoundParameters_HiddenSheetCLAY!$I$1:$L$1,0),FALSE),IF(VLOOKUP($E67,'Table Output'!$A$2:$E$9998,5,FALSE)="Clay",VLOOKUP(R$37,BoundParameters_HiddenSheetCLAY!$I$3:$L$50,MATCH(VLOOKUP($I102,$I$5:$AJ$34,MATCH(VLOOKUP(R$37,$BH$3:$BI$50,2,FALSE),$I$4:$AJ$4,0),FALSE),BoundParameters_HiddenSheetCLAY!$I$1:$L$1,0),FALSE))),'Control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Output'!$A$2:$E$99998,5,FALSE)="Sand",VLOOKUP(S$37,BoundParameters_HiddenSheetSAND!$I$3:$L$50,MATCH(VLOOKUP($I102,$I$5:$AJ$34,MATCH(VLOOKUP(S$37,$BH$3:$BI$50,2,FALSE),$I$4:$AJ$4,0),FALSE),BoundParameters_HiddenSheetCLAY!$I$1:$L$1,0),FALSE),IF(VLOOKUP($E67,'Table Output'!$A$2:$E$9998,5,FALSE)="Clay",VLOOKUP(S$37,BoundParameters_HiddenSheetCLAY!$I$3:$L$50,MATCH(VLOOKUP($I102,$I$5:$AJ$34,MATCH(VLOOKUP(S$37,$BH$3:$BI$50,2,FALSE),$I$4:$AJ$4,0),FALSE),BoundParameters_HiddenSheetCLAY!$I$1:$L$1,0),FALSE))),'Control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6" sqref="L6:L16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410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416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415</v>
      </c>
      <c r="AP4" t="s">
        <v>414</v>
      </c>
      <c r="AQ4" t="s">
        <v>413</v>
      </c>
      <c r="AR4" t="s">
        <v>412</v>
      </c>
      <c r="AS4" s="103" t="s">
        <v>411</v>
      </c>
    </row>
    <row r="5" spans="1:45" ht="17.25" x14ac:dyDescent="0.25">
      <c r="A5" t="s">
        <v>55</v>
      </c>
      <c r="B5">
        <f ca="1">COUNTIF(A:A,"&gt;0")</f>
        <v>1</v>
      </c>
      <c r="C5" t="s">
        <v>410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409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408</v>
      </c>
      <c r="AR5" t="s">
        <v>407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390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359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406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338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351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363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341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390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405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365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404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365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404</v>
      </c>
      <c r="D15"/>
      <c r="E15"/>
      <c r="F15"/>
      <c r="G15"/>
      <c r="H15"/>
      <c r="I15"/>
      <c r="J15">
        <v>10</v>
      </c>
      <c r="K15">
        <v>-48.8</v>
      </c>
      <c r="L15" t="s">
        <v>365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404</v>
      </c>
      <c r="D16"/>
      <c r="E16"/>
      <c r="F16"/>
      <c r="G16"/>
      <c r="H16"/>
      <c r="I16"/>
      <c r="J16">
        <v>11</v>
      </c>
      <c r="K16">
        <v>-65.5</v>
      </c>
      <c r="L16" t="s">
        <v>390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403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403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403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403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403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403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403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402</v>
      </c>
      <c r="AG37" t="s">
        <v>401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400</v>
      </c>
      <c r="AF38" t="s">
        <v>399</v>
      </c>
      <c r="AG38" t="s">
        <v>398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D8"/>
  <sheetViews>
    <sheetView workbookViewId="0">
      <selection activeCell="J32" sqref="J32"/>
    </sheetView>
  </sheetViews>
  <sheetFormatPr defaultRowHeight="15" x14ac:dyDescent="0.25"/>
  <sheetData>
    <row r="2" spans="2:4" x14ac:dyDescent="0.25">
      <c r="B2" s="52" t="s">
        <v>120</v>
      </c>
      <c r="C2" s="52" t="s">
        <v>434</v>
      </c>
      <c r="D2" s="52" t="s">
        <v>121</v>
      </c>
    </row>
    <row r="3" spans="2:4" x14ac:dyDescent="0.25">
      <c r="B3" s="2" t="s">
        <v>185</v>
      </c>
      <c r="C3" s="43" t="s">
        <v>81</v>
      </c>
      <c r="D3" s="46" t="s">
        <v>122</v>
      </c>
    </row>
    <row r="4" spans="2:4" x14ac:dyDescent="0.25">
      <c r="B4" s="2" t="s">
        <v>186</v>
      </c>
      <c r="C4" s="43" t="s">
        <v>187</v>
      </c>
      <c r="D4" s="46" t="s">
        <v>189</v>
      </c>
    </row>
    <row r="5" spans="2:4" x14ac:dyDescent="0.25">
      <c r="B5" s="45" t="s">
        <v>188</v>
      </c>
      <c r="C5" s="2"/>
      <c r="D5" s="46" t="s">
        <v>190</v>
      </c>
    </row>
    <row r="6" spans="2:4" x14ac:dyDescent="0.25">
      <c r="B6" s="2"/>
      <c r="C6" s="2"/>
      <c r="D6" s="46" t="s">
        <v>191</v>
      </c>
    </row>
    <row r="7" spans="2:4" x14ac:dyDescent="0.25">
      <c r="B7" s="2"/>
    </row>
    <row r="8" spans="2:4" x14ac:dyDescent="0.25">
      <c r="B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30"/>
      <c r="B1" s="131"/>
      <c r="C1" s="99">
        <v>0</v>
      </c>
      <c r="D1" s="100">
        <v>1</v>
      </c>
      <c r="E1" s="101">
        <v>2</v>
      </c>
      <c r="F1" s="39"/>
      <c r="H1" s="130"/>
      <c r="I1" s="131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2"/>
      <c r="B2" s="133"/>
      <c r="C2" s="37" t="s">
        <v>75</v>
      </c>
      <c r="D2" s="98" t="s">
        <v>75</v>
      </c>
      <c r="E2" s="97" t="s">
        <v>75</v>
      </c>
      <c r="H2" s="132"/>
      <c r="I2" s="133"/>
      <c r="J2" s="37" t="s">
        <v>76</v>
      </c>
      <c r="K2" s="98" t="s">
        <v>76</v>
      </c>
      <c r="L2" s="97" t="s">
        <v>76</v>
      </c>
    </row>
    <row r="3" spans="1:13" x14ac:dyDescent="0.15">
      <c r="A3" s="134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4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35"/>
      <c r="B4" s="38" t="s">
        <v>137</v>
      </c>
      <c r="C4" s="90">
        <v>-5555</v>
      </c>
      <c r="D4" s="90">
        <v>30</v>
      </c>
      <c r="E4" s="91">
        <v>-5555</v>
      </c>
      <c r="H4" s="135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5"/>
      <c r="B5" s="38" t="s">
        <v>138</v>
      </c>
      <c r="C5" s="90">
        <v>-5555</v>
      </c>
      <c r="D5" s="92">
        <v>-5555</v>
      </c>
      <c r="E5" s="91">
        <v>-5555</v>
      </c>
      <c r="H5" s="135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5"/>
      <c r="B6" s="38" t="s">
        <v>139</v>
      </c>
      <c r="C6" s="90">
        <v>3</v>
      </c>
      <c r="D6" s="90">
        <v>-120</v>
      </c>
      <c r="E6" s="91">
        <v>7.2110000000000003</v>
      </c>
      <c r="H6" s="135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35"/>
      <c r="B7" s="38" t="s">
        <v>85</v>
      </c>
      <c r="C7" s="90">
        <v>-5555</v>
      </c>
      <c r="D7" s="90">
        <v>1</v>
      </c>
      <c r="E7" s="91">
        <v>-11.798</v>
      </c>
      <c r="H7" s="135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35"/>
      <c r="B8" s="38" t="s">
        <v>87</v>
      </c>
      <c r="C8" s="90">
        <v>-5555</v>
      </c>
      <c r="D8" s="92">
        <v>-5555</v>
      </c>
      <c r="E8" s="91">
        <v>-2.44</v>
      </c>
      <c r="H8" s="135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5"/>
      <c r="B9" s="38" t="s">
        <v>86</v>
      </c>
      <c r="C9" s="90">
        <v>0.1</v>
      </c>
      <c r="D9" s="90">
        <v>-35</v>
      </c>
      <c r="E9" s="91">
        <v>-5555</v>
      </c>
      <c r="H9" s="135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35"/>
      <c r="B10" s="38" t="s">
        <v>140</v>
      </c>
      <c r="C10" s="90">
        <v>-5555</v>
      </c>
      <c r="D10" s="90">
        <v>0.2</v>
      </c>
      <c r="E10" s="91">
        <v>-5555</v>
      </c>
      <c r="H10" s="135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35"/>
      <c r="B11" s="38" t="s">
        <v>141</v>
      </c>
      <c r="C11" s="90">
        <v>-5555</v>
      </c>
      <c r="D11" s="92">
        <v>-5555</v>
      </c>
      <c r="E11" s="91">
        <v>-5555</v>
      </c>
      <c r="H11" s="135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5"/>
      <c r="B12" s="38" t="s">
        <v>142</v>
      </c>
      <c r="C12" s="90">
        <v>0</v>
      </c>
      <c r="D12" s="90">
        <v>-1.5</v>
      </c>
      <c r="E12" s="91">
        <v>-5555</v>
      </c>
      <c r="H12" s="135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5"/>
      <c r="B13" s="38" t="s">
        <v>143</v>
      </c>
      <c r="C13" s="90">
        <v>-5555</v>
      </c>
      <c r="D13" s="90">
        <v>0</v>
      </c>
      <c r="E13" s="91">
        <v>-5555</v>
      </c>
      <c r="H13" s="135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6"/>
      <c r="B14" s="93" t="s">
        <v>144</v>
      </c>
      <c r="C14" s="94">
        <v>-5555</v>
      </c>
      <c r="D14" s="95">
        <v>-5555</v>
      </c>
      <c r="E14" s="96">
        <v>-5555</v>
      </c>
      <c r="H14" s="136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7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7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4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4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5"/>
      <c r="B28" s="38" t="s">
        <v>156</v>
      </c>
      <c r="C28" s="90">
        <v>-5555</v>
      </c>
      <c r="D28" s="90">
        <v>0</v>
      </c>
      <c r="E28" s="91">
        <v>-5555</v>
      </c>
      <c r="H28" s="135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35"/>
      <c r="B29" s="38" t="s">
        <v>157</v>
      </c>
      <c r="C29" s="90">
        <v>-5555</v>
      </c>
      <c r="D29" s="92">
        <v>-5555</v>
      </c>
      <c r="E29" s="91">
        <v>-5555</v>
      </c>
      <c r="H29" s="135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5"/>
      <c r="B30" s="38" t="s">
        <v>158</v>
      </c>
      <c r="C30" s="90">
        <v>0.02</v>
      </c>
      <c r="D30" s="90">
        <v>-0.5</v>
      </c>
      <c r="E30" s="91">
        <v>-5555</v>
      </c>
      <c r="H30" s="135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5"/>
      <c r="B31" s="38" t="s">
        <v>159</v>
      </c>
      <c r="C31" s="90">
        <v>-5555</v>
      </c>
      <c r="D31" s="90">
        <v>0.3</v>
      </c>
      <c r="E31" s="91">
        <v>-5555</v>
      </c>
      <c r="H31" s="135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35"/>
      <c r="B32" s="38" t="s">
        <v>160</v>
      </c>
      <c r="C32" s="90">
        <v>-5555</v>
      </c>
      <c r="D32" s="92">
        <v>-5555</v>
      </c>
      <c r="E32" s="91">
        <v>-5555</v>
      </c>
      <c r="H32" s="135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5"/>
      <c r="B33" s="38" t="s">
        <v>161</v>
      </c>
      <c r="C33" s="90">
        <v>1E-3</v>
      </c>
      <c r="D33" s="90">
        <v>-1.5</v>
      </c>
      <c r="E33" s="91">
        <v>-5555</v>
      </c>
      <c r="H33" s="135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5"/>
      <c r="B34" s="38" t="s">
        <v>162</v>
      </c>
      <c r="C34" s="90">
        <v>-5555</v>
      </c>
      <c r="D34" s="90">
        <v>-0.05</v>
      </c>
      <c r="E34" s="91">
        <v>-5555</v>
      </c>
      <c r="H34" s="135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35"/>
      <c r="B35" s="38" t="s">
        <v>163</v>
      </c>
      <c r="C35" s="90">
        <v>-5555</v>
      </c>
      <c r="D35" s="92">
        <v>-5555</v>
      </c>
      <c r="E35" s="91">
        <v>-5555</v>
      </c>
      <c r="H35" s="135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5"/>
      <c r="B36" s="38" t="s">
        <v>164</v>
      </c>
      <c r="C36" s="90">
        <v>0</v>
      </c>
      <c r="D36" s="90">
        <v>-0.3</v>
      </c>
      <c r="E36" s="91">
        <v>-5555</v>
      </c>
      <c r="H36" s="135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5"/>
      <c r="B37" s="38" t="s">
        <v>165</v>
      </c>
      <c r="C37" s="90">
        <v>-5555</v>
      </c>
      <c r="D37" s="90">
        <v>0</v>
      </c>
      <c r="E37" s="91">
        <v>-5555</v>
      </c>
      <c r="H37" s="135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6"/>
      <c r="B38" s="93" t="s">
        <v>166</v>
      </c>
      <c r="C38" s="94">
        <v>-5555</v>
      </c>
      <c r="D38" s="95">
        <v>-5555</v>
      </c>
      <c r="E38" s="96">
        <v>-5555</v>
      </c>
      <c r="H38" s="136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-0.5</v>
      </c>
      <c r="E42" s="91">
        <v>-5555</v>
      </c>
      <c r="H42" s="138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30"/>
      <c r="B1" s="131"/>
      <c r="C1" s="99">
        <v>0</v>
      </c>
      <c r="D1" s="100">
        <v>1</v>
      </c>
      <c r="E1" s="101">
        <v>2</v>
      </c>
      <c r="F1" s="39"/>
      <c r="H1" s="130"/>
      <c r="I1" s="131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2"/>
      <c r="B2" s="133"/>
      <c r="C2" s="37" t="s">
        <v>75</v>
      </c>
      <c r="D2" s="98" t="s">
        <v>75</v>
      </c>
      <c r="E2" s="97" t="s">
        <v>75</v>
      </c>
      <c r="H2" s="132"/>
      <c r="I2" s="133"/>
      <c r="J2" s="37" t="s">
        <v>76</v>
      </c>
      <c r="K2" s="98" t="s">
        <v>76</v>
      </c>
      <c r="L2" s="97" t="s">
        <v>76</v>
      </c>
    </row>
    <row r="3" spans="1:13" x14ac:dyDescent="0.15">
      <c r="A3" s="134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4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35"/>
      <c r="B4" s="38" t="s">
        <v>137</v>
      </c>
      <c r="C4" s="90">
        <v>-5555</v>
      </c>
      <c r="D4" s="90">
        <v>30</v>
      </c>
      <c r="E4" s="91">
        <v>-5555</v>
      </c>
      <c r="H4" s="135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5"/>
      <c r="B5" s="38" t="s">
        <v>138</v>
      </c>
      <c r="C5" s="90">
        <v>-5555</v>
      </c>
      <c r="D5" s="92">
        <v>-5555</v>
      </c>
      <c r="E5" s="91">
        <v>-5555</v>
      </c>
      <c r="H5" s="135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5"/>
      <c r="B6" s="38" t="s">
        <v>139</v>
      </c>
      <c r="C6" s="90">
        <v>3</v>
      </c>
      <c r="D6" s="90">
        <v>0</v>
      </c>
      <c r="E6" s="91">
        <v>7.2110000000000003</v>
      </c>
      <c r="H6" s="135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35"/>
      <c r="B7" s="38" t="s">
        <v>85</v>
      </c>
      <c r="C7" s="90">
        <v>-5555</v>
      </c>
      <c r="D7" s="90">
        <v>3</v>
      </c>
      <c r="E7" s="91">
        <v>-11.798</v>
      </c>
      <c r="H7" s="135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35"/>
      <c r="B8" s="38" t="s">
        <v>87</v>
      </c>
      <c r="C8" s="90">
        <v>-5555</v>
      </c>
      <c r="D8" s="92">
        <v>-5555</v>
      </c>
      <c r="E8" s="91">
        <v>-2.44</v>
      </c>
      <c r="H8" s="135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5"/>
      <c r="B9" s="38" t="s">
        <v>86</v>
      </c>
      <c r="C9" s="90">
        <v>0.1</v>
      </c>
      <c r="D9" s="90">
        <v>-2.4</v>
      </c>
      <c r="E9" s="91">
        <v>-5555</v>
      </c>
      <c r="H9" s="135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35"/>
      <c r="B10" s="38" t="s">
        <v>140</v>
      </c>
      <c r="C10" s="90">
        <v>-5555</v>
      </c>
      <c r="D10" s="90">
        <v>0.5</v>
      </c>
      <c r="E10" s="91">
        <v>-5555</v>
      </c>
      <c r="H10" s="135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35"/>
      <c r="B11" s="38" t="s">
        <v>141</v>
      </c>
      <c r="C11" s="90">
        <v>-5555</v>
      </c>
      <c r="D11" s="92">
        <v>-5555</v>
      </c>
      <c r="E11" s="91">
        <v>-5555</v>
      </c>
      <c r="H11" s="135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5"/>
      <c r="B12" s="38" t="s">
        <v>142</v>
      </c>
      <c r="C12" s="90">
        <v>0</v>
      </c>
      <c r="D12" s="90">
        <v>-1.5</v>
      </c>
      <c r="E12" s="91">
        <v>-5555</v>
      </c>
      <c r="H12" s="135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5"/>
      <c r="B13" s="38" t="s">
        <v>143</v>
      </c>
      <c r="C13" s="90">
        <v>-5555</v>
      </c>
      <c r="D13" s="90">
        <v>0</v>
      </c>
      <c r="E13" s="91">
        <v>-5555</v>
      </c>
      <c r="H13" s="135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6"/>
      <c r="B14" s="93" t="s">
        <v>144</v>
      </c>
      <c r="C14" s="94">
        <v>-5555</v>
      </c>
      <c r="D14" s="95">
        <v>-5555</v>
      </c>
      <c r="E14" s="96">
        <v>-5555</v>
      </c>
      <c r="H14" s="136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7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7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4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4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5"/>
      <c r="B28" s="38" t="s">
        <v>156</v>
      </c>
      <c r="C28" s="90">
        <v>-5555</v>
      </c>
      <c r="D28" s="90">
        <v>0</v>
      </c>
      <c r="E28" s="91">
        <v>-5555</v>
      </c>
      <c r="H28" s="135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35"/>
      <c r="B29" s="38" t="s">
        <v>157</v>
      </c>
      <c r="C29" s="90">
        <v>-5555</v>
      </c>
      <c r="D29" s="92">
        <v>-5555</v>
      </c>
      <c r="E29" s="91">
        <v>-5555</v>
      </c>
      <c r="H29" s="135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5"/>
      <c r="B30" s="38" t="s">
        <v>158</v>
      </c>
      <c r="C30" s="90">
        <v>0.02</v>
      </c>
      <c r="D30" s="90">
        <v>0</v>
      </c>
      <c r="E30" s="91">
        <v>-5555</v>
      </c>
      <c r="H30" s="135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5"/>
      <c r="B31" s="38" t="s">
        <v>159</v>
      </c>
      <c r="C31" s="90">
        <v>-5555</v>
      </c>
      <c r="D31" s="90">
        <v>0.3</v>
      </c>
      <c r="E31" s="91">
        <v>-5555</v>
      </c>
      <c r="H31" s="135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35"/>
      <c r="B32" s="38" t="s">
        <v>160</v>
      </c>
      <c r="C32" s="90">
        <v>-5555</v>
      </c>
      <c r="D32" s="92">
        <v>-5555</v>
      </c>
      <c r="E32" s="91">
        <v>-5555</v>
      </c>
      <c r="H32" s="135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5"/>
      <c r="B33" s="38" t="s">
        <v>161</v>
      </c>
      <c r="C33" s="90">
        <v>1E-3</v>
      </c>
      <c r="D33" s="90">
        <v>-1.5</v>
      </c>
      <c r="E33" s="91">
        <v>-5555</v>
      </c>
      <c r="H33" s="135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5"/>
      <c r="B34" s="38" t="s">
        <v>162</v>
      </c>
      <c r="C34" s="90">
        <v>-5555</v>
      </c>
      <c r="D34" s="90">
        <v>-0.05</v>
      </c>
      <c r="E34" s="91">
        <v>-5555</v>
      </c>
      <c r="H34" s="135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35"/>
      <c r="B35" s="38" t="s">
        <v>163</v>
      </c>
      <c r="C35" s="90">
        <v>-5555</v>
      </c>
      <c r="D35" s="92">
        <v>-5555</v>
      </c>
      <c r="E35" s="91">
        <v>-5555</v>
      </c>
      <c r="H35" s="135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5"/>
      <c r="B36" s="38" t="s">
        <v>164</v>
      </c>
      <c r="C36" s="90">
        <v>0</v>
      </c>
      <c r="D36" s="90">
        <v>-0.3</v>
      </c>
      <c r="E36" s="91">
        <v>-5555</v>
      </c>
      <c r="H36" s="135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5"/>
      <c r="B37" s="38" t="s">
        <v>165</v>
      </c>
      <c r="C37" s="90">
        <v>-5555</v>
      </c>
      <c r="D37" s="90">
        <v>0</v>
      </c>
      <c r="E37" s="91">
        <v>-5555</v>
      </c>
      <c r="H37" s="135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6"/>
      <c r="B38" s="93" t="s">
        <v>166</v>
      </c>
      <c r="C38" s="94">
        <v>-5555</v>
      </c>
      <c r="D38" s="95">
        <v>-5555</v>
      </c>
      <c r="E38" s="96">
        <v>-5555</v>
      </c>
      <c r="H38" s="136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-0.05</v>
      </c>
      <c r="E42" s="91">
        <v>-5555</v>
      </c>
      <c r="H42" s="138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Control Panel</vt:lpstr>
      <vt:lpstr>DataFilter</vt:lpstr>
      <vt:lpstr>Table Output</vt:lpstr>
      <vt:lpstr>Exchange</vt:lpstr>
      <vt:lpstr>benchmark</vt:lpstr>
      <vt:lpstr>Switch_options_hidden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2021-11-22T13:17:29Z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