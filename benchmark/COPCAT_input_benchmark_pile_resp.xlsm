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CE23E3C0-98A9-4546-AC7C-81EC9F8FE922}" xr6:coauthVersionLast="46" xr6:coauthVersionMax="46" xr10:uidLastSave="{00000000-0000-0000-0000-000000000000}"/>
  <bookViews>
    <workbookView xWindow="-120" yWindow="-120" windowWidth="29040" windowHeight="15840" tabRatio="734" activeTab="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I4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<sst xmlns="http://schemas.openxmlformats.org/spreadsheetml/2006/main" count="1119" uniqueCount="438">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</sst>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zoomScaleNormal="100" workbookViewId="0">
      <selection activeCell="C21" sqref="C21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187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1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0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Output'!$A$2:$BR$1048576,MATCH(J$4,'Table Output'!$A$1:$BQ$1,0),),'Control Panel'!J7)))</f>
        <v>83.465199999999996</v>
      </c>
      <c r="K8" s="36">
        <f>IF($I8="","",IF(K$4="","",IF('Control Panel'!K7="",VLOOKUP($E8,'Table Output'!$A$2:$BR$1048576,MATCH(K$4,'Table Output'!$A$1:$BQ$1,0),),'Control Panel'!K7)))</f>
        <v>-5.7145000000000001</v>
      </c>
      <c r="L8" s="36">
        <f>IF($I8="","",IF(L$4="","",IF('Control Panel'!L7="",VLOOKUP($E8,'Table Output'!$A$2:$BR$1048576,MATCH(L$4,'Table Output'!$A$1:$BQ$1,0),),'Control Panel'!L7)))</f>
        <v>-0.91779999999999995</v>
      </c>
      <c r="M8" s="36">
        <f>IF($I8="","",IF(M$4="","",IF('Control Panel'!M7="",VLOOKUP($E8,'Table Output'!$A$2:$BR$1048576,MATCH(M$4,'Table Output'!$A$1:$BQ$1,0),),'Control Panel'!M7)))</f>
        <v>0.95911239999999998</v>
      </c>
      <c r="N8" s="36">
        <f>IF($I8="","",IF(N$4="","",IF('Control Panel'!N7="",VLOOKUP($E8,'Table Output'!$A$2:$BR$1048576,MATCH(N$4,'Table Output'!$A$1:$BQ$1,0),),'Control Panel'!N7)))</f>
        <v>8.2552240000000001</v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Output'!$A$2:$BR$1048576,MATCH(J$4,'Table Output'!$A$1:$BQ$1,0),),'Control Panel'!J8)))</f>
        <v>73.333100000000002</v>
      </c>
      <c r="K9" s="36">
        <f>IF($I9="","",IF(K$4="","",IF('Control Panel'!K8="",VLOOKUP($E9,'Table Output'!$A$2:$BR$1048576,MATCH(K$4,'Table Output'!$A$1:$BQ$1,0),),'Control Panel'!K8)))</f>
        <v>-6.6935000000000002</v>
      </c>
      <c r="L9" s="36">
        <f>IF($I9="","",IF(L$4="","",IF('Control Panel'!L8="",VLOOKUP($E9,'Table Output'!$A$2:$BR$1048576,MATCH(L$4,'Table Output'!$A$1:$BQ$1,0),),'Control Panel'!L8)))</f>
        <v>-0.91779999999999995</v>
      </c>
      <c r="M9" s="36">
        <f>IF($I9="","",IF(M$4="","",IF('Control Panel'!M8="",VLOOKUP($E9,'Table Output'!$A$2:$BR$1048576,MATCH(M$4,'Table Output'!$A$1:$BQ$1,0),),'Control Panel'!M8)))</f>
        <v>0.96592469999999997</v>
      </c>
      <c r="N9" s="36">
        <f>IF($I9="","",IF(N$4="","",IF('Control Panel'!N8="",VLOOKUP($E9,'Table Output'!$A$2:$BR$1048576,MATCH(N$4,'Table Output'!$A$1:$BQ$1,0),),'Control Panel'!N8)))</f>
        <v>8.1784219999999994</v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Sand_59</v>
      </c>
      <c r="F10" s="2" t="str">
        <f>IF(T10=1,IF('Control Panel'!F9="","",'Control Panel'!F9),"")</f>
        <v>PISA</v>
      </c>
      <c r="G10" s="2">
        <f>IF(T10=1,IF('Control Panel'!G9="","",'Control Panel'!G9),"")</f>
        <v>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Output'!$A$2:$BR$1048576,MATCH(J$4,'Table Output'!$A$1:$BQ$1,0),),'Control Panel'!J9)))</f>
        <v>91.755099999999999</v>
      </c>
      <c r="K10" s="36">
        <f>IF($I10="","",IF(K$4="","",IF('Control Panel'!K9="",VLOOKUP($E10,'Table Output'!$A$2:$BR$1048576,MATCH(K$4,'Table Output'!$A$1:$BQ$1,0),),'Control Panel'!K9)))</f>
        <v>-4.9135</v>
      </c>
      <c r="L10" s="36">
        <f>IF($I10="","",IF(L$4="","",IF('Control Panel'!L9="",VLOOKUP($E10,'Table Output'!$A$2:$BR$1048576,MATCH(L$4,'Table Output'!$A$1:$BQ$1,0),),'Control Panel'!L9)))</f>
        <v>-0.91779999999999995</v>
      </c>
      <c r="M10" s="36">
        <f>IF($I10="","",IF(M$4="","",IF('Control Panel'!M9="",VLOOKUP($E10,'Table Output'!$A$2:$BR$1048576,MATCH(M$4,'Table Output'!$A$1:$BQ$1,0),),'Control Panel'!M9)))</f>
        <v>0.95353869999999996</v>
      </c>
      <c r="N10" s="36">
        <f>IF($I10="","",IF(N$4="","",IF('Control Panel'!N9="",VLOOKUP($E10,'Table Output'!$A$2:$BR$1048576,MATCH(N$4,'Table Output'!$A$1:$BQ$1,0),),'Control Panel'!N9)))</f>
        <v>8.3180619999999994</v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Sand_80</v>
      </c>
      <c r="F12" s="2" t="str">
        <f>IF(T12=1,IF('Control Panel'!F11="","",'Control Panel'!F11),"")</f>
        <v>PISA</v>
      </c>
      <c r="G12" s="2">
        <f>IF(T12=1,IF('Control Panel'!G11="","",'Control Panel'!G11),"")</f>
        <v>1</v>
      </c>
      <c r="H12" s="2" t="str">
        <f>IF(T12=1,IF('Control Panel'!H11="","",'Control Panel'!H11),"")</f>
        <v>Loc_69_Clay_3</v>
      </c>
      <c r="I12" s="42">
        <f>IF(T12=1,IF('Control Panel'!I11="","",'Control Panel'!I11),"")</f>
        <v>8</v>
      </c>
      <c r="J12" s="36">
        <f>IF($I12="","",IF(J$4="","",IF('Control Panel'!J11="",VLOOKUP($E12,'Table Output'!$A$2:$BR$1048576,MATCH(J$4,'Table Output'!$A$1:$BQ$1,0),),'Control Panel'!J11)))</f>
        <v>72.412000000000006</v>
      </c>
      <c r="K12" s="36">
        <f>IF($I12="","",IF(K$4="","",IF('Control Panel'!K11="",VLOOKUP($E12,'Table Output'!$A$2:$BR$1048576,MATCH(K$4,'Table Output'!$A$1:$BQ$1,0),),'Control Panel'!K11)))</f>
        <v>-6.7824999999999998</v>
      </c>
      <c r="L12" s="36">
        <f>IF($I12="","",IF(L$4="","",IF('Control Panel'!L11="",VLOOKUP($E12,'Table Output'!$A$2:$BR$1048576,MATCH(L$4,'Table Output'!$A$1:$BQ$1,0),),'Control Panel'!L11)))</f>
        <v>-0.91779999999999995</v>
      </c>
      <c r="M12" s="36">
        <f>IF($I12="","",IF(M$4="","",IF('Control Panel'!M11="",VLOOKUP($E12,'Table Output'!$A$2:$BR$1048576,MATCH(M$4,'Table Output'!$A$1:$BQ$1,0),),'Control Panel'!M11)))</f>
        <v>0.96654399999999996</v>
      </c>
      <c r="N12" s="36">
        <f>IF($I12="","",IF(N$4="","",IF('Control Panel'!N11="",VLOOKUP($E12,'Table Output'!$A$2:$BR$1048576,MATCH(N$4,'Table Output'!$A$1:$BQ$1,0),),'Control Panel'!N11)))</f>
        <v>8.1714400000000005</v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Sand_80</v>
      </c>
      <c r="F13" s="2" t="str">
        <f>IF(T13=1,IF('Control Panel'!F12="","",'Control Panel'!F12),"")</f>
        <v>PISA</v>
      </c>
      <c r="G13" s="2">
        <f>IF(T13=1,IF('Control Panel'!G12="","",'Control Panel'!G12),"")</f>
        <v>1</v>
      </c>
      <c r="H13" s="2" t="str">
        <f>IF(T13=1,IF('Control Panel'!H12="","",'Control Panel'!H12),"")</f>
        <v>Loc_69_Clay_4</v>
      </c>
      <c r="I13" s="42">
        <f>IF(T13=1,IF('Control Panel'!I12="","",'Control Panel'!I12),"")</f>
        <v>9</v>
      </c>
      <c r="J13" s="36">
        <f>IF($I13="","",IF(J$4="","",IF('Control Panel'!J12="",VLOOKUP($E13,'Table Output'!$A$2:$BR$1048576,MATCH(J$4,'Table Output'!$A$1:$BQ$1,0),),'Control Panel'!J12)))</f>
        <v>72.412000000000006</v>
      </c>
      <c r="K13" s="36">
        <f>IF($I13="","",IF(K$4="","",IF('Control Panel'!K12="",VLOOKUP($E13,'Table Output'!$A$2:$BR$1048576,MATCH(K$4,'Table Output'!$A$1:$BQ$1,0),),'Control Panel'!K12)))</f>
        <v>-6.7824999999999998</v>
      </c>
      <c r="L13" s="36">
        <f>IF($I13="","",IF(L$4="","",IF('Control Panel'!L12="",VLOOKUP($E13,'Table Output'!$A$2:$BR$1048576,MATCH(L$4,'Table Output'!$A$1:$BQ$1,0),),'Control Panel'!L12)))</f>
        <v>-0.91779999999999995</v>
      </c>
      <c r="M13" s="36">
        <f>IF($I13="","",IF(M$4="","",IF('Control Panel'!M12="",VLOOKUP($E13,'Table Output'!$A$2:$BR$1048576,MATCH(M$4,'Table Output'!$A$1:$BQ$1,0),),'Control Panel'!M12)))</f>
        <v>0.96654399999999996</v>
      </c>
      <c r="N13" s="36">
        <f>IF($I13="","",IF(N$4="","",IF('Control Panel'!N12="",VLOOKUP($E13,'Table Output'!$A$2:$BR$1048576,MATCH(N$4,'Table Output'!$A$1:$BQ$1,0),),'Control Panel'!N12)))</f>
        <v>8.1714400000000005</v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1</v>
      </c>
      <c r="U13" s="36">
        <f>IF($I13="","",IF('Control Panel'!U12="",VLOOKUP($E13,'Table Output'!$A$2:$BR$99998,MATCH(U$4,'Table Output'!$A$1:$BQ$1,0),),'Control Panel'!U12))</f>
        <v>0</v>
      </c>
      <c r="V13" s="36">
        <f>IF($I13="","",IF('Control Panel'!V12="",VLOOKUP($E13,'Table Output'!$A$2:$BR$99998,MATCH(V$4,'Table Output'!$A$1:$BQ$1,0),),'Control Panel'!V12))</f>
        <v>1</v>
      </c>
      <c r="W13" s="36">
        <f>IF($I13="","",IF('Control Panel'!W12="",VLOOKUP($E13,'Table Output'!$A$2:$BR$99998,MATCH(W$4,'Table Output'!$A$1:$BQ$1,0),),'Control Panel'!W12))</f>
        <v>1</v>
      </c>
      <c r="X13" s="36">
        <f>IF($I13="","",IF('Control Panel'!X12="",VLOOKUP($E13,'Table Output'!$A$2:$BR$99998,MATCH(X$4,'Table Output'!$A$1:$BQ$1,0),),'Control Panel'!X12))</f>
        <v>0</v>
      </c>
      <c r="Y13" s="36">
        <f>IF($I13="","",IF('Control Panel'!Y12="",VLOOKUP($E13,'Table Output'!$A$2:$BR$99998,MATCH(Y$4,'Table Output'!$A$1:$BQ$1,0),),'Control Panel'!Y12))</f>
        <v>0</v>
      </c>
      <c r="Z13" s="36">
        <f>IF($I13="","",IF('Control Panel'!Z12="",VLOOKUP($E13,'Table Output'!$A$2:$BR$99998,MATCH(Z$4,'Table Output'!$A$1:$BQ$1,0),),'Control Panel'!Z12))</f>
        <v>1</v>
      </c>
      <c r="AA13" s="36">
        <f>IF($I13="","",IF('Control Panel'!AA12="",VLOOKUP($E13,'Table Output'!$A$2:$BR$99998,MATCH(AA$4,'Table Output'!$A$1:$BQ$1,0),),'Control Panel'!AA12))</f>
        <v>0</v>
      </c>
      <c r="AB13" s="36">
        <f>IF($I13="","",IF('Control Panel'!AB12="",VLOOKUP($E13,'Table Output'!$A$2:$BR$99998,MATCH(AB$4,'Table Output'!$A$1:$BQ$1,0),),'Control Panel'!AB12))</f>
        <v>0</v>
      </c>
      <c r="AC13" s="36">
        <f>IF($I13="","",IF('Control Panel'!AC12="",VLOOKUP($E13,'Table Output'!$A$2:$BR$99998,MATCH(AC$4,'Table Output'!$A$1:$BQ$1,0),),'Control Panel'!AC12))</f>
        <v>1</v>
      </c>
      <c r="AD13" s="36">
        <f>IF($I13="","",IF('Control Panel'!AD12="",VLOOKUP($E13,'Table Output'!$A$2:$BR$99998,MATCH(AD$4,'Table Output'!$A$1:$BQ$1,0),),'Control Panel'!AD12))</f>
        <v>1</v>
      </c>
      <c r="AE13" s="36">
        <f>IF($I13="","",IF('Control Panel'!AE12="",VLOOKUP($E13,'Table Output'!$A$2:$BR$99998,MATCH(AE$4,'Table Output'!$A$1:$BQ$1,0),),'Control Panel'!AE12))</f>
        <v>1</v>
      </c>
      <c r="AF13" s="36">
        <f>IF($I13="","",IF('Control Panel'!AF12="",VLOOKUP($E13,'Table Output'!$A$2:$BR$99998,MATCH(AF$4,'Table Output'!$A$1:$BQ$1,0),),'Control Panel'!AF12))</f>
        <v>1</v>
      </c>
      <c r="AG13" s="36">
        <f>IF($I13="","",IF('Control Panel'!AG12="",VLOOKUP($E13,'Table Output'!$A$2:$BR$99998,MATCH(AG$4,'Table Output'!$A$1:$BQ$1,0),),'Control Panel'!AG12))</f>
        <v>0</v>
      </c>
      <c r="AH13" s="36">
        <f>IF($I13="","",IF('Control Panel'!AH12="",VLOOKUP($E13,'Table Output'!$A$2:$BR$99998,MATCH(AH$4,'Table Output'!$A$1:$BQ$1,0),),'Control Panel'!AH12))</f>
        <v>1</v>
      </c>
      <c r="AI13" s="36">
        <f>IF($I13="","",IF('Control Panel'!AI12="",VLOOKUP($E13,'Table Output'!$A$2:$BR$99998,MATCH(AI$4,'Table Output'!$A$1:$BQ$1,0),),'Control Panel'!AI12))</f>
        <v>0</v>
      </c>
      <c r="AJ13" s="36">
        <f>IF($I13="","",IF('Control Panel'!AJ12="",VLOOKUP($E13,'Table Output'!$A$2:$BR$99998,MATCH(AJ$4,'Table Output'!$A$1:$BQ$1,0),),'Control Panel'!AJ12))</f>
        <v>0</v>
      </c>
      <c r="AL13" s="51">
        <f t="shared" si="0"/>
        <v>9</v>
      </c>
      <c r="AM13" s="48">
        <f>IF(AM$4="","",IF($I13="","",IF('Control Panel'!AM12="",VLOOKUP($E13,'Table Output'!$A$2:$BR$99998,MATCH(AM$4,'Table Output'!$A$1:$BQ$1,0),FALSE),'Control Panel'!AM12)))</f>
        <v>1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Sand_80</v>
      </c>
      <c r="F14" s="2" t="str">
        <f>IF(T14=1,IF('Control Panel'!F13="","",'Control Panel'!F13),"")</f>
        <v>PISA</v>
      </c>
      <c r="G14" s="2">
        <f>IF(T14=1,IF('Control Panel'!G13="","",'Control Panel'!G13),"")</f>
        <v>1</v>
      </c>
      <c r="H14" s="2" t="str">
        <f>IF(T14=1,IF('Control Panel'!H13="","",'Control Panel'!H13),"")</f>
        <v>Loc_69_Clay_5</v>
      </c>
      <c r="I14" s="42">
        <f>IF(T14=1,IF('Control Panel'!I13="","",'Control Panel'!I13),"")</f>
        <v>10</v>
      </c>
      <c r="J14" s="36">
        <f>IF($I14="","",IF(J$4="","",IF('Control Panel'!J13="",VLOOKUP($E14,'Table Output'!$A$2:$BR$1048576,MATCH(J$4,'Table Output'!$A$1:$BQ$1,0),),'Control Panel'!J13)))</f>
        <v>72.412000000000006</v>
      </c>
      <c r="K14" s="36">
        <f>IF($I14="","",IF(K$4="","",IF('Control Panel'!K13="",VLOOKUP($E14,'Table Output'!$A$2:$BR$1048576,MATCH(K$4,'Table Output'!$A$1:$BQ$1,0),),'Control Panel'!K13)))</f>
        <v>-6.7824999999999998</v>
      </c>
      <c r="L14" s="36">
        <f>IF($I14="","",IF(L$4="","",IF('Control Panel'!L13="",VLOOKUP($E14,'Table Output'!$A$2:$BR$1048576,MATCH(L$4,'Table Output'!$A$1:$BQ$1,0),),'Control Panel'!L13)))</f>
        <v>-0.91779999999999995</v>
      </c>
      <c r="M14" s="36">
        <f>IF($I14="","",IF(M$4="","",IF('Control Panel'!M13="",VLOOKUP($E14,'Table Output'!$A$2:$BR$1048576,MATCH(M$4,'Table Output'!$A$1:$BQ$1,0),),'Control Panel'!M13)))</f>
        <v>0.96654399999999996</v>
      </c>
      <c r="N14" s="36">
        <f>IF($I14="","",IF(N$4="","",IF('Control Panel'!N13="",VLOOKUP($E14,'Table Output'!$A$2:$BR$1048576,MATCH(N$4,'Table Output'!$A$1:$BQ$1,0),),'Control Panel'!N13)))</f>
        <v>8.1714400000000005</v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1</v>
      </c>
      <c r="U14" s="36">
        <f>IF($I14="","",IF('Control Panel'!U13="",VLOOKUP($E14,'Table Output'!$A$2:$BR$99998,MATCH(U$4,'Table Output'!$A$1:$BQ$1,0),),'Control Panel'!U13))</f>
        <v>0</v>
      </c>
      <c r="V14" s="36">
        <f>IF($I14="","",IF('Control Panel'!V13="",VLOOKUP($E14,'Table Output'!$A$2:$BR$99998,MATCH(V$4,'Table Output'!$A$1:$BQ$1,0),),'Control Panel'!V13))</f>
        <v>1</v>
      </c>
      <c r="W14" s="36">
        <f>IF($I14="","",IF('Control Panel'!W13="",VLOOKUP($E14,'Table Output'!$A$2:$BR$99998,MATCH(W$4,'Table Output'!$A$1:$BQ$1,0),),'Control Panel'!W13))</f>
        <v>1</v>
      </c>
      <c r="X14" s="36">
        <f>IF($I14="","",IF('Control Panel'!X13="",VLOOKUP($E14,'Table Output'!$A$2:$BR$99998,MATCH(X$4,'Table Output'!$A$1:$BQ$1,0),),'Control Panel'!X13))</f>
        <v>0</v>
      </c>
      <c r="Y14" s="36">
        <f>IF($I14="","",IF('Control Panel'!Y13="",VLOOKUP($E14,'Table Output'!$A$2:$BR$99998,MATCH(Y$4,'Table Output'!$A$1:$BQ$1,0),),'Control Panel'!Y13))</f>
        <v>0</v>
      </c>
      <c r="Z14" s="36">
        <f>IF($I14="","",IF('Control Panel'!Z13="",VLOOKUP($E14,'Table Output'!$A$2:$BR$99998,MATCH(Z$4,'Table Output'!$A$1:$BQ$1,0),),'Control Panel'!Z13))</f>
        <v>1</v>
      </c>
      <c r="AA14" s="36">
        <f>IF($I14="","",IF('Control Panel'!AA13="",VLOOKUP($E14,'Table Output'!$A$2:$BR$99998,MATCH(AA$4,'Table Output'!$A$1:$BQ$1,0),),'Control Panel'!AA13))</f>
        <v>0</v>
      </c>
      <c r="AB14" s="36">
        <f>IF($I14="","",IF('Control Panel'!AB13="",VLOOKUP($E14,'Table Output'!$A$2:$BR$99998,MATCH(AB$4,'Table Output'!$A$1:$BQ$1,0),),'Control Panel'!AB13))</f>
        <v>0</v>
      </c>
      <c r="AC14" s="36">
        <f>IF($I14="","",IF('Control Panel'!AC13="",VLOOKUP($E14,'Table Output'!$A$2:$BR$99998,MATCH(AC$4,'Table Output'!$A$1:$BQ$1,0),),'Control Panel'!AC13))</f>
        <v>1</v>
      </c>
      <c r="AD14" s="36">
        <f>IF($I14="","",IF('Control Panel'!AD13="",VLOOKUP($E14,'Table Output'!$A$2:$BR$99998,MATCH(AD$4,'Table Output'!$A$1:$BQ$1,0),),'Control Panel'!AD13))</f>
        <v>1</v>
      </c>
      <c r="AE14" s="36">
        <f>IF($I14="","",IF('Control Panel'!AE13="",VLOOKUP($E14,'Table Output'!$A$2:$BR$99998,MATCH(AE$4,'Table Output'!$A$1:$BQ$1,0),),'Control Panel'!AE13))</f>
        <v>1</v>
      </c>
      <c r="AF14" s="36">
        <f>IF($I14="","",IF('Control Panel'!AF13="",VLOOKUP($E14,'Table Output'!$A$2:$BR$99998,MATCH(AF$4,'Table Output'!$A$1:$BQ$1,0),),'Control Panel'!AF13))</f>
        <v>1</v>
      </c>
      <c r="AG14" s="36">
        <f>IF($I14="","",IF('Control Panel'!AG13="",VLOOKUP($E14,'Table Output'!$A$2:$BR$99998,MATCH(AG$4,'Table Output'!$A$1:$BQ$1,0),),'Control Panel'!AG13))</f>
        <v>0</v>
      </c>
      <c r="AH14" s="36">
        <f>IF($I14="","",IF('Control Panel'!AH13="",VLOOKUP($E14,'Table Output'!$A$2:$BR$99998,MATCH(AH$4,'Table Output'!$A$1:$BQ$1,0),),'Control Panel'!AH13))</f>
        <v>1</v>
      </c>
      <c r="AI14" s="36">
        <f>IF($I14="","",IF('Control Panel'!AI13="",VLOOKUP($E14,'Table Output'!$A$2:$BR$99998,MATCH(AI$4,'Table Output'!$A$1:$BQ$1,0),),'Control Panel'!AI13))</f>
        <v>0</v>
      </c>
      <c r="AJ14" s="36">
        <f>IF($I14="","",IF('Control Panel'!AJ13="",VLOOKUP($E14,'Table Output'!$A$2:$BR$99998,MATCH(AJ$4,'Table Output'!$A$1:$BQ$1,0),),'Control Panel'!AJ13))</f>
        <v>0</v>
      </c>
      <c r="AL14" s="51">
        <f t="shared" si="0"/>
        <v>10</v>
      </c>
      <c r="AM14" s="48">
        <f>IF(AM$4="","",IF($I14="","",IF('Control Panel'!AM13="",VLOOKUP($E14,'Table Output'!$A$2:$BR$99998,MATCH(AM$4,'Table Output'!$A$1:$BQ$1,0),FALSE),'Control Panel'!AM13)))</f>
        <v>1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Cowden_Clay</v>
      </c>
      <c r="F15" s="2" t="str">
        <f>IF(T15=1,IF('Control Panel'!F14="","",'Control Panel'!F14),"")</f>
        <v>PISA</v>
      </c>
      <c r="G15" s="2">
        <f>IF(T15=1,IF('Control Panel'!G14="","",'Control Panel'!G14),"")</f>
        <v>0</v>
      </c>
      <c r="H15" s="2" t="str">
        <f>IF(T15=1,IF('Control Panel'!H14="","",'Control Panel'!H14),"")</f>
        <v>Loc_69_Sand_6</v>
      </c>
      <c r="I15" s="42">
        <f>IF(T15=1,IF('Control Panel'!I14="","",'Control Panel'!I14),"")</f>
        <v>11</v>
      </c>
      <c r="J15" s="36">
        <f>IF($I15="","",IF(J$4="","",IF('Control Panel'!J14="",VLOOKUP($E15,'Table Output'!$A$2:$BR$1048576,MATCH(J$4,'Table Output'!$A$1:$BQ$1,0),),'Control Panel'!J14)))</f>
        <v>200</v>
      </c>
      <c r="K15" s="36">
        <f>IF($I15="","",IF(K$4="","",IF('Control Panel'!K14="",VLOOKUP($E15,'Table Output'!$A$2:$BR$1048576,MATCH(K$4,'Table Output'!$A$1:$BQ$1,0),),'Control Panel'!K14)))</f>
        <v>10.210000000000001</v>
      </c>
      <c r="L15" s="36">
        <f>IF($I15="","",IF(L$4="","",IF('Control Panel'!L14="",VLOOKUP($E15,'Table Output'!$A$2:$BR$1048576,MATCH(L$4,'Table Output'!$A$1:$BQ$1,0),),'Control Panel'!L14)))</f>
        <v>-1.1000000000000001</v>
      </c>
      <c r="M15" s="36">
        <f>IF($I15="","",IF(M$4="","",IF('Control Panel'!M14="",VLOOKUP($E15,'Table Output'!$A$2:$BR$1048576,MATCH(M$4,'Table Output'!$A$1:$BQ$1,0),),'Control Panel'!M14)))</f>
        <v>-0.05</v>
      </c>
      <c r="N15" s="36">
        <f>IF($I15="","",IF(N$4="","",IF('Control Panel'!N14="",VLOOKUP($E15,'Table Output'!$A$2:$BR$1048576,MATCH(N$4,'Table Output'!$A$1:$BQ$1,0),),'Control Panel'!N14)))</f>
        <v>8.1199999999999992</v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1</v>
      </c>
      <c r="U15" s="36">
        <f>IF($I15="","",IF('Control Panel'!U14="",VLOOKUP($E15,'Table Output'!$A$2:$BR$99998,MATCH(U$4,'Table Output'!$A$1:$BQ$1,0),),'Control Panel'!U14))</f>
        <v>0</v>
      </c>
      <c r="V15" s="36">
        <f>IF($I15="","",IF('Control Panel'!V14="",VLOOKUP($E15,'Table Output'!$A$2:$BR$99998,MATCH(V$4,'Table Output'!$A$1:$BQ$1,0),),'Control Panel'!V14))</f>
        <v>2</v>
      </c>
      <c r="W15" s="36">
        <f>IF($I15="","",IF('Control Panel'!W14="",VLOOKUP($E15,'Table Output'!$A$2:$BR$99998,MATCH(W$4,'Table Output'!$A$1:$BQ$1,0),),'Control Panel'!W14))</f>
        <v>1</v>
      </c>
      <c r="X15" s="36">
        <f>IF($I15="","",IF('Control Panel'!X14="",VLOOKUP($E15,'Table Output'!$A$2:$BR$99998,MATCH(X$4,'Table Output'!$A$1:$BQ$1,0),),'Control Panel'!X14))</f>
        <v>1</v>
      </c>
      <c r="Y15" s="36">
        <f>IF($I15="","",IF('Control Panel'!Y14="",VLOOKUP($E15,'Table Output'!$A$2:$BR$99998,MATCH(Y$4,'Table Output'!$A$1:$BQ$1,0),),'Control Panel'!Y14))</f>
        <v>0</v>
      </c>
      <c r="Z15" s="36">
        <f>IF($I15="","",IF('Control Panel'!Z14="",VLOOKUP($E15,'Table Output'!$A$2:$BR$99998,MATCH(Z$4,'Table Output'!$A$1:$BQ$1,0),),'Control Panel'!Z14))</f>
        <v>1</v>
      </c>
      <c r="AA15" s="36">
        <f>IF($I15="","",IF('Control Panel'!AA14="",VLOOKUP($E15,'Table Output'!$A$2:$BR$99998,MATCH(AA$4,'Table Output'!$A$1:$BQ$1,0),),'Control Panel'!AA14))</f>
        <v>1</v>
      </c>
      <c r="AB15" s="36">
        <f>IF($I15="","",IF('Control Panel'!AB14="",VLOOKUP($E15,'Table Output'!$A$2:$BR$99998,MATCH(AB$4,'Table Output'!$A$1:$BQ$1,0),),'Control Panel'!AB14))</f>
        <v>0</v>
      </c>
      <c r="AC15" s="36">
        <f>IF($I15="","",IF('Control Panel'!AC14="",VLOOKUP($E15,'Table Output'!$A$2:$BR$99998,MATCH(AC$4,'Table Output'!$A$1:$BQ$1,0),),'Control Panel'!AC14))</f>
        <v>0</v>
      </c>
      <c r="AD15" s="36">
        <f>IF($I15="","",IF('Control Panel'!AD14="",VLOOKUP($E15,'Table Output'!$A$2:$BR$99998,MATCH(AD$4,'Table Output'!$A$1:$BQ$1,0),),'Control Panel'!AD14))</f>
        <v>1</v>
      </c>
      <c r="AE15" s="36">
        <f>IF($I15="","",IF('Control Panel'!AE14="",VLOOKUP($E15,'Table Output'!$A$2:$BR$99998,MATCH(AE$4,'Table Output'!$A$1:$BQ$1,0),),'Control Panel'!AE14))</f>
        <v>1</v>
      </c>
      <c r="AF15" s="36">
        <f>IF($I15="","",IF('Control Panel'!AF14="",VLOOKUP($E15,'Table Output'!$A$2:$BR$99998,MATCH(AF$4,'Table Output'!$A$1:$BQ$1,0),),'Control Panel'!AF14))</f>
        <v>1</v>
      </c>
      <c r="AG15" s="36">
        <f>IF($I15="","",IF('Control Panel'!AG14="",VLOOKUP($E15,'Table Output'!$A$2:$BR$99998,MATCH(AG$4,'Table Output'!$A$1:$BQ$1,0),),'Control Panel'!AG14))</f>
        <v>0</v>
      </c>
      <c r="AH15" s="36">
        <f>IF($I15="","",IF('Control Panel'!AH14="",VLOOKUP($E15,'Table Output'!$A$2:$BR$99998,MATCH(AH$4,'Table Output'!$A$1:$BQ$1,0),),'Control Panel'!AH14))</f>
        <v>1</v>
      </c>
      <c r="AI15" s="36">
        <f>IF($I15="","",IF('Control Panel'!AI14="",VLOOKUP($E15,'Table Output'!$A$2:$BR$99998,MATCH(AI$4,'Table Output'!$A$1:$BQ$1,0),),'Control Panel'!AI14))</f>
        <v>1</v>
      </c>
      <c r="AJ15" s="36">
        <f>IF($I15="","",IF('Control Panel'!AJ14="",VLOOKUP($E15,'Table Output'!$A$2:$BR$99998,MATCH(AJ$4,'Table Output'!$A$1:$BQ$1,0),),'Control Panel'!AJ14))</f>
        <v>1</v>
      </c>
      <c r="AL15" s="51">
        <f t="shared" si="0"/>
        <v>11</v>
      </c>
      <c r="AM15" s="48">
        <f>IF(AM$4="","",IF($I15="","",IF('Control Panel'!AM14="",VLOOKUP($E15,'Table Output'!$A$2:$BR$99998,MATCH(AM$4,'Table Output'!$A$1:$BQ$1,0),FALSE),'Control Panel'!AM14)))</f>
        <v>1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1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>-120</v>
      </c>
      <c r="L41" s="44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>-35</v>
      </c>
      <c r="M41" s="44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>0.2</v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>-120</v>
      </c>
      <c r="L42" s="44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>-35</v>
      </c>
      <c r="M42" s="44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>0.2</v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Sand_59</v>
      </c>
      <c r="I43" s="7">
        <f t="shared" si="4"/>
        <v>6</v>
      </c>
      <c r="J43" s="44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>30</v>
      </c>
      <c r="K43" s="44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>-120</v>
      </c>
      <c r="L43" s="44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>-35</v>
      </c>
      <c r="M43" s="44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>0</v>
      </c>
      <c r="N43" s="44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>0.2</v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Sand_80</v>
      </c>
      <c r="I45" s="7">
        <f t="shared" si="4"/>
        <v>8</v>
      </c>
      <c r="J45" s="44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>-120</v>
      </c>
      <c r="L45" s="44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>-35</v>
      </c>
      <c r="M45" s="44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>0.2</v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Sand_80</v>
      </c>
      <c r="I46" s="7">
        <f t="shared" si="4"/>
        <v>9</v>
      </c>
      <c r="J46" s="44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>30</v>
      </c>
      <c r="K46" s="44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>-120</v>
      </c>
      <c r="L46" s="44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>-35</v>
      </c>
      <c r="M46" s="44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>0</v>
      </c>
      <c r="N46" s="44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>0.2</v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Sand_80</v>
      </c>
      <c r="I47" s="7">
        <f t="shared" si="4"/>
        <v>10</v>
      </c>
      <c r="J47" s="44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>30</v>
      </c>
      <c r="K47" s="44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>-120</v>
      </c>
      <c r="L47" s="44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>-35</v>
      </c>
      <c r="M47" s="44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>0</v>
      </c>
      <c r="N47" s="44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>0.2</v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Cowden_Clay</v>
      </c>
      <c r="I48" s="7">
        <f t="shared" si="4"/>
        <v>11</v>
      </c>
      <c r="J48" s="44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>30</v>
      </c>
      <c r="K48" s="44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>7.2110000000000003</v>
      </c>
      <c r="L48" s="44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>-2.4</v>
      </c>
      <c r="M48" s="44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>-1.5</v>
      </c>
      <c r="N48" s="44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>0.5</v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>300</v>
      </c>
      <c r="L76" s="44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>50</v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>300</v>
      </c>
      <c r="L77" s="44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>50</v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Sand_59</v>
      </c>
      <c r="I78" s="7">
        <f t="shared" si="7"/>
        <v>6</v>
      </c>
      <c r="J78" s="44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>700</v>
      </c>
      <c r="K78" s="44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>300</v>
      </c>
      <c r="L78" s="44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>50</v>
      </c>
      <c r="M78" s="44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>1</v>
      </c>
      <c r="N78" s="44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>50</v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Sand_80</v>
      </c>
      <c r="I80" s="7">
        <f t="shared" si="7"/>
        <v>8</v>
      </c>
      <c r="J80" s="44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>300</v>
      </c>
      <c r="L80" s="44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>50</v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Sand_80</v>
      </c>
      <c r="I81" s="7">
        <f t="shared" si="7"/>
        <v>9</v>
      </c>
      <c r="J81" s="44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>700</v>
      </c>
      <c r="K81" s="44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>300</v>
      </c>
      <c r="L81" s="44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>50</v>
      </c>
      <c r="M81" s="44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>1</v>
      </c>
      <c r="N81" s="44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>50</v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Sand_80</v>
      </c>
      <c r="I82" s="7">
        <f t="shared" si="7"/>
        <v>10</v>
      </c>
      <c r="J82" s="44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>700</v>
      </c>
      <c r="K82" s="44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>300</v>
      </c>
      <c r="L82" s="44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>50</v>
      </c>
      <c r="M82" s="44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>1</v>
      </c>
      <c r="N82" s="44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>50</v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Cowden_Clay</v>
      </c>
      <c r="I83" s="7">
        <f t="shared" si="7"/>
        <v>11</v>
      </c>
      <c r="J83" s="44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>200</v>
      </c>
      <c r="K83" s="44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>15.832000000000001</v>
      </c>
      <c r="L83" s="44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>0.5</v>
      </c>
      <c r="M83" s="44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>0</v>
      </c>
      <c r="N83" s="44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>14.4</v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abSelected="1" zoomScaleNormal="100" workbookViewId="0">
      <selection activeCell="D10" sqref="D10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42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42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J32" sqref="J3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-120</v>
      </c>
      <c r="E6" s="91">
        <v>7.2110000000000003</v>
      </c>
      <c r="H6" s="135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1</v>
      </c>
      <c r="E7" s="91">
        <v>-11.798</v>
      </c>
      <c r="H7" s="135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-35</v>
      </c>
      <c r="E9" s="91">
        <v>-5555</v>
      </c>
      <c r="H9" s="135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0.2</v>
      </c>
      <c r="E10" s="91">
        <v>-5555</v>
      </c>
      <c r="H10" s="135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-0.5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0</v>
      </c>
      <c r="E6" s="91">
        <v>7.2110000000000003</v>
      </c>
      <c r="H6" s="135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3</v>
      </c>
      <c r="E7" s="91">
        <v>-11.798</v>
      </c>
      <c r="H7" s="135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-2.4</v>
      </c>
      <c r="E9" s="91">
        <v>-5555</v>
      </c>
      <c r="H9" s="135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0.5</v>
      </c>
      <c r="E10" s="91">
        <v>-5555</v>
      </c>
      <c r="H10" s="135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0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2022-01-14T13:32:07Z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