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benchmark\"/>
    </mc:Choice>
  </mc:AlternateContent>
  <xr:revisionPtr revIDLastSave="0" documentId="13_ncr:1_{8DF532D9-C2FC-4CA3-8FAF-2BDC1B94AE46}" xr6:coauthVersionLast="47" xr6:coauthVersionMax="47" xr10:uidLastSave="{00000000-0000-0000-0000-000000000000}"/>
  <bookViews>
    <workbookView xWindow="120" yWindow="1365" windowWidth="21600" windowHeight="11385" tabRatio="734" activeTab="5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Output'!$A$1:$BV$8</definedName>
    <definedName name="ExternalData_2" localSheetId="1" hidden="1">DataFilter!$A$1:$E$186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4" i="125" l="1"/>
  <c r="R74" i="125"/>
  <c r="S74" i="125"/>
  <c r="T74" i="125"/>
  <c r="U74" i="125"/>
  <c r="Q75" i="125"/>
  <c r="R75" i="125"/>
  <c r="S75" i="125"/>
  <c r="T75" i="125"/>
  <c r="U75" i="125"/>
  <c r="Q76" i="125"/>
  <c r="R76" i="125"/>
  <c r="S76" i="125"/>
  <c r="T76" i="125"/>
  <c r="U76" i="125"/>
  <c r="Q77" i="125"/>
  <c r="R77" i="125"/>
  <c r="S77" i="125"/>
  <c r="T77" i="125"/>
  <c r="U77" i="125"/>
  <c r="Q78" i="125"/>
  <c r="R78" i="125"/>
  <c r="S78" i="125"/>
  <c r="T78" i="125"/>
  <c r="U78" i="125"/>
  <c r="Q79" i="125"/>
  <c r="R79" i="125"/>
  <c r="S79" i="125"/>
  <c r="T79" i="125"/>
  <c r="U79" i="125"/>
  <c r="Q80" i="125"/>
  <c r="R80" i="125"/>
  <c r="S80" i="125"/>
  <c r="T80" i="125"/>
  <c r="U80" i="125"/>
  <c r="Q81" i="125"/>
  <c r="R81" i="125"/>
  <c r="S81" i="125"/>
  <c r="T81" i="125"/>
  <c r="U81" i="125"/>
  <c r="Q82" i="125"/>
  <c r="R82" i="125"/>
  <c r="S82" i="125"/>
  <c r="T82" i="125"/>
  <c r="U82" i="125"/>
  <c r="Q83" i="125"/>
  <c r="R83" i="125"/>
  <c r="S83" i="125"/>
  <c r="T83" i="125"/>
  <c r="U83" i="125"/>
  <c r="L84" i="125"/>
  <c r="M84" i="125"/>
  <c r="N84" i="125"/>
  <c r="O84" i="125"/>
  <c r="P84" i="125"/>
  <c r="Q84" i="125"/>
  <c r="R84" i="125"/>
  <c r="S84" i="125"/>
  <c r="T84" i="125"/>
  <c r="U84" i="125"/>
  <c r="L85" i="125"/>
  <c r="M85" i="125"/>
  <c r="N85" i="125"/>
  <c r="O85" i="125"/>
  <c r="P85" i="125"/>
  <c r="Q85" i="125"/>
  <c r="R85" i="125"/>
  <c r="S85" i="125"/>
  <c r="T85" i="125"/>
  <c r="U85" i="125"/>
  <c r="L86" i="125"/>
  <c r="M86" i="125"/>
  <c r="N86" i="125"/>
  <c r="O86" i="125"/>
  <c r="P86" i="125"/>
  <c r="Q86" i="125"/>
  <c r="R86" i="125"/>
  <c r="S86" i="125"/>
  <c r="T86" i="125"/>
  <c r="U86" i="125"/>
  <c r="L87" i="125"/>
  <c r="M87" i="125"/>
  <c r="N87" i="125"/>
  <c r="O87" i="125"/>
  <c r="P87" i="125"/>
  <c r="Q87" i="125"/>
  <c r="R87" i="125"/>
  <c r="S87" i="125"/>
  <c r="T87" i="125"/>
  <c r="U87" i="125"/>
  <c r="L88" i="125"/>
  <c r="M88" i="125"/>
  <c r="N88" i="125"/>
  <c r="O88" i="125"/>
  <c r="P88" i="125"/>
  <c r="Q88" i="125"/>
  <c r="R88" i="125"/>
  <c r="S88" i="125"/>
  <c r="T88" i="125"/>
  <c r="U88" i="125"/>
  <c r="L89" i="125"/>
  <c r="M89" i="125"/>
  <c r="N89" i="125"/>
  <c r="O89" i="125"/>
  <c r="P89" i="125"/>
  <c r="Q89" i="125"/>
  <c r="R89" i="125"/>
  <c r="S89" i="125"/>
  <c r="T89" i="125"/>
  <c r="U89" i="125"/>
  <c r="L90" i="125"/>
  <c r="M90" i="125"/>
  <c r="N90" i="125"/>
  <c r="O90" i="125"/>
  <c r="P90" i="125"/>
  <c r="Q90" i="125"/>
  <c r="R90" i="125"/>
  <c r="S90" i="125"/>
  <c r="T90" i="125"/>
  <c r="U90" i="125"/>
  <c r="L91" i="125"/>
  <c r="M91" i="125"/>
  <c r="N91" i="125"/>
  <c r="O91" i="125"/>
  <c r="P91" i="125"/>
  <c r="Q91" i="125"/>
  <c r="R91" i="125"/>
  <c r="S91" i="125"/>
  <c r="T91" i="125"/>
  <c r="U91" i="125"/>
  <c r="L92" i="125"/>
  <c r="M92" i="125"/>
  <c r="N92" i="125"/>
  <c r="O92" i="125"/>
  <c r="P92" i="125"/>
  <c r="Q92" i="125"/>
  <c r="R92" i="125"/>
  <c r="S92" i="125"/>
  <c r="T92" i="125"/>
  <c r="U92" i="125"/>
  <c r="L93" i="125"/>
  <c r="M93" i="125"/>
  <c r="N93" i="125"/>
  <c r="O93" i="125"/>
  <c r="P93" i="125"/>
  <c r="Q93" i="125"/>
  <c r="R93" i="125"/>
  <c r="S93" i="125"/>
  <c r="T93" i="125"/>
  <c r="U93" i="125"/>
  <c r="L94" i="125"/>
  <c r="M94" i="125"/>
  <c r="N94" i="125"/>
  <c r="O94" i="125"/>
  <c r="P94" i="125"/>
  <c r="Q94" i="125"/>
  <c r="R94" i="125"/>
  <c r="S94" i="125"/>
  <c r="T94" i="125"/>
  <c r="U94" i="125"/>
  <c r="L95" i="125"/>
  <c r="M95" i="125"/>
  <c r="N95" i="125"/>
  <c r="O95" i="125"/>
  <c r="P95" i="125"/>
  <c r="Q95" i="125"/>
  <c r="R95" i="125"/>
  <c r="S95" i="125"/>
  <c r="T95" i="125"/>
  <c r="U95" i="125"/>
  <c r="L96" i="125"/>
  <c r="M96" i="125"/>
  <c r="N96" i="125"/>
  <c r="O96" i="125"/>
  <c r="P96" i="125"/>
  <c r="Q96" i="125"/>
  <c r="R96" i="125"/>
  <c r="S96" i="125"/>
  <c r="T96" i="125"/>
  <c r="U96" i="125"/>
  <c r="L97" i="125"/>
  <c r="M97" i="125"/>
  <c r="N97" i="125"/>
  <c r="O97" i="125"/>
  <c r="P97" i="125"/>
  <c r="Q97" i="125"/>
  <c r="R97" i="125"/>
  <c r="S97" i="125"/>
  <c r="T97" i="125"/>
  <c r="U97" i="125"/>
  <c r="L98" i="125"/>
  <c r="M98" i="125"/>
  <c r="N98" i="125"/>
  <c r="O98" i="125"/>
  <c r="P98" i="125"/>
  <c r="Q98" i="125"/>
  <c r="R98" i="125"/>
  <c r="S98" i="125"/>
  <c r="T98" i="125"/>
  <c r="U98" i="125"/>
  <c r="L99" i="125"/>
  <c r="M99" i="125"/>
  <c r="N99" i="125"/>
  <c r="O99" i="125"/>
  <c r="P99" i="125"/>
  <c r="Q99" i="125"/>
  <c r="R99" i="125"/>
  <c r="S99" i="125"/>
  <c r="T99" i="125"/>
  <c r="U99" i="125"/>
  <c r="L100" i="125"/>
  <c r="M100" i="125"/>
  <c r="N100" i="125"/>
  <c r="O100" i="125"/>
  <c r="P100" i="125"/>
  <c r="Q100" i="125"/>
  <c r="R100" i="125"/>
  <c r="S100" i="125"/>
  <c r="T100" i="125"/>
  <c r="U100" i="125"/>
  <c r="L101" i="125"/>
  <c r="M101" i="125"/>
  <c r="N101" i="125"/>
  <c r="O101" i="125"/>
  <c r="P101" i="125"/>
  <c r="Q101" i="125"/>
  <c r="R101" i="125"/>
  <c r="S101" i="125"/>
  <c r="T101" i="125"/>
  <c r="U101" i="125"/>
  <c r="L102" i="125"/>
  <c r="M102" i="125"/>
  <c r="N102" i="125"/>
  <c r="O102" i="125"/>
  <c r="P102" i="125"/>
  <c r="Q102" i="125"/>
  <c r="R102" i="125"/>
  <c r="S102" i="125"/>
  <c r="T102" i="125"/>
  <c r="U102" i="125"/>
  <c r="Q39" i="125"/>
  <c r="R39" i="125"/>
  <c r="S39" i="125"/>
  <c r="T39" i="125"/>
  <c r="U39" i="125"/>
  <c r="Q40" i="125"/>
  <c r="R40" i="125"/>
  <c r="S40" i="125"/>
  <c r="T40" i="125"/>
  <c r="U40" i="125"/>
  <c r="Q41" i="125"/>
  <c r="R41" i="125"/>
  <c r="S41" i="125"/>
  <c r="T41" i="125"/>
  <c r="U41" i="125"/>
  <c r="Q42" i="125"/>
  <c r="R42" i="125"/>
  <c r="S42" i="125"/>
  <c r="T42" i="125"/>
  <c r="U42" i="125"/>
  <c r="Q43" i="125"/>
  <c r="R43" i="125"/>
  <c r="S43" i="125"/>
  <c r="T43" i="125"/>
  <c r="U43" i="125"/>
  <c r="Q44" i="125"/>
  <c r="R44" i="125"/>
  <c r="S44" i="125"/>
  <c r="T44" i="125"/>
  <c r="U44" i="125"/>
  <c r="Q45" i="125"/>
  <c r="R45" i="125"/>
  <c r="S45" i="125"/>
  <c r="T45" i="125"/>
  <c r="U45" i="125"/>
  <c r="Q46" i="125"/>
  <c r="R46" i="125"/>
  <c r="S46" i="125"/>
  <c r="T46" i="125"/>
  <c r="U46" i="125"/>
  <c r="Q47" i="125"/>
  <c r="R47" i="125"/>
  <c r="S47" i="125"/>
  <c r="T47" i="125"/>
  <c r="U47" i="125"/>
  <c r="Q48" i="125"/>
  <c r="R48" i="125"/>
  <c r="S48" i="125"/>
  <c r="T48" i="125"/>
  <c r="U48" i="125"/>
  <c r="L49" i="125"/>
  <c r="M49" i="125"/>
  <c r="N49" i="125"/>
  <c r="O49" i="125"/>
  <c r="P49" i="125"/>
  <c r="Q49" i="125"/>
  <c r="R49" i="125"/>
  <c r="S49" i="125"/>
  <c r="T49" i="125"/>
  <c r="U49" i="125"/>
  <c r="L50" i="125"/>
  <c r="M50" i="125"/>
  <c r="N50" i="125"/>
  <c r="O50" i="125"/>
  <c r="P50" i="125"/>
  <c r="Q50" i="125"/>
  <c r="R50" i="125"/>
  <c r="S50" i="125"/>
  <c r="T50" i="125"/>
  <c r="U50" i="125"/>
  <c r="L51" i="125"/>
  <c r="M51" i="125"/>
  <c r="N51" i="125"/>
  <c r="O51" i="125"/>
  <c r="P51" i="125"/>
  <c r="Q51" i="125"/>
  <c r="R51" i="125"/>
  <c r="S51" i="125"/>
  <c r="T51" i="125"/>
  <c r="U51" i="125"/>
  <c r="L52" i="125"/>
  <c r="M52" i="125"/>
  <c r="N52" i="125"/>
  <c r="O52" i="125"/>
  <c r="P52" i="125"/>
  <c r="Q52" i="125"/>
  <c r="R52" i="125"/>
  <c r="S52" i="125"/>
  <c r="T52" i="125"/>
  <c r="U52" i="125"/>
  <c r="L53" i="125"/>
  <c r="M53" i="125"/>
  <c r="N53" i="125"/>
  <c r="O53" i="125"/>
  <c r="P53" i="125"/>
  <c r="Q53" i="125"/>
  <c r="R53" i="125"/>
  <c r="S53" i="125"/>
  <c r="T53" i="125"/>
  <c r="U53" i="125"/>
  <c r="L54" i="125"/>
  <c r="M54" i="125"/>
  <c r="N54" i="125"/>
  <c r="O54" i="125"/>
  <c r="P54" i="125"/>
  <c r="Q54" i="125"/>
  <c r="R54" i="125"/>
  <c r="S54" i="125"/>
  <c r="T54" i="125"/>
  <c r="U54" i="125"/>
  <c r="L55" i="125"/>
  <c r="M55" i="125"/>
  <c r="N55" i="125"/>
  <c r="O55" i="125"/>
  <c r="P55" i="125"/>
  <c r="Q55" i="125"/>
  <c r="R55" i="125"/>
  <c r="S55" i="125"/>
  <c r="T55" i="125"/>
  <c r="U55" i="125"/>
  <c r="L56" i="125"/>
  <c r="M56" i="125"/>
  <c r="N56" i="125"/>
  <c r="O56" i="125"/>
  <c r="P56" i="125"/>
  <c r="Q56" i="125"/>
  <c r="R56" i="125"/>
  <c r="S56" i="125"/>
  <c r="T56" i="125"/>
  <c r="U56" i="125"/>
  <c r="L57" i="125"/>
  <c r="M57" i="125"/>
  <c r="N57" i="125"/>
  <c r="O57" i="125"/>
  <c r="P57" i="125"/>
  <c r="Q57" i="125"/>
  <c r="R57" i="125"/>
  <c r="S57" i="125"/>
  <c r="T57" i="125"/>
  <c r="U57" i="125"/>
  <c r="L58" i="125"/>
  <c r="M58" i="125"/>
  <c r="N58" i="125"/>
  <c r="O58" i="125"/>
  <c r="P58" i="125"/>
  <c r="Q58" i="125"/>
  <c r="R58" i="125"/>
  <c r="S58" i="125"/>
  <c r="T58" i="125"/>
  <c r="U58" i="125"/>
  <c r="L59" i="125"/>
  <c r="M59" i="125"/>
  <c r="N59" i="125"/>
  <c r="O59" i="125"/>
  <c r="P59" i="125"/>
  <c r="Q59" i="125"/>
  <c r="R59" i="125"/>
  <c r="S59" i="125"/>
  <c r="T59" i="125"/>
  <c r="U59" i="125"/>
  <c r="L60" i="125"/>
  <c r="M60" i="125"/>
  <c r="N60" i="125"/>
  <c r="O60" i="125"/>
  <c r="P60" i="125"/>
  <c r="Q60" i="125"/>
  <c r="R60" i="125"/>
  <c r="S60" i="125"/>
  <c r="T60" i="125"/>
  <c r="U60" i="125"/>
  <c r="L61" i="125"/>
  <c r="M61" i="125"/>
  <c r="N61" i="125"/>
  <c r="O61" i="125"/>
  <c r="P61" i="125"/>
  <c r="Q61" i="125"/>
  <c r="R61" i="125"/>
  <c r="S61" i="125"/>
  <c r="T61" i="125"/>
  <c r="U61" i="125"/>
  <c r="L62" i="125"/>
  <c r="M62" i="125"/>
  <c r="N62" i="125"/>
  <c r="O62" i="125"/>
  <c r="P62" i="125"/>
  <c r="Q62" i="125"/>
  <c r="R62" i="125"/>
  <c r="S62" i="125"/>
  <c r="T62" i="125"/>
  <c r="U62" i="125"/>
  <c r="L63" i="125"/>
  <c r="M63" i="125"/>
  <c r="N63" i="125"/>
  <c r="O63" i="125"/>
  <c r="P63" i="125"/>
  <c r="Q63" i="125"/>
  <c r="R63" i="125"/>
  <c r="S63" i="125"/>
  <c r="T63" i="125"/>
  <c r="U63" i="125"/>
  <c r="L64" i="125"/>
  <c r="M64" i="125"/>
  <c r="N64" i="125"/>
  <c r="O64" i="125"/>
  <c r="P64" i="125"/>
  <c r="Q64" i="125"/>
  <c r="R64" i="125"/>
  <c r="S64" i="125"/>
  <c r="T64" i="125"/>
  <c r="U64" i="125"/>
  <c r="L65" i="125"/>
  <c r="M65" i="125"/>
  <c r="N65" i="125"/>
  <c r="O65" i="125"/>
  <c r="P65" i="125"/>
  <c r="Q65" i="125"/>
  <c r="R65" i="125"/>
  <c r="S65" i="125"/>
  <c r="T65" i="125"/>
  <c r="U65" i="125"/>
  <c r="L66" i="125"/>
  <c r="M66" i="125"/>
  <c r="N66" i="125"/>
  <c r="O66" i="125"/>
  <c r="P66" i="125"/>
  <c r="Q66" i="125"/>
  <c r="R66" i="125"/>
  <c r="S66" i="125"/>
  <c r="T66" i="125"/>
  <c r="U66" i="125"/>
  <c r="L67" i="125"/>
  <c r="M67" i="125"/>
  <c r="N67" i="125"/>
  <c r="O67" i="125"/>
  <c r="P67" i="125"/>
  <c r="Q67" i="125"/>
  <c r="R67" i="125"/>
  <c r="S67" i="125"/>
  <c r="T67" i="125"/>
  <c r="U67" i="125"/>
  <c r="L68" i="125"/>
  <c r="M68" i="125"/>
  <c r="N68" i="125"/>
  <c r="O68" i="125"/>
  <c r="P68" i="125"/>
  <c r="Q68" i="125"/>
  <c r="R68" i="125"/>
  <c r="S68" i="125"/>
  <c r="T68" i="125"/>
  <c r="U68" i="125"/>
  <c r="Q6" i="125"/>
  <c r="R6" i="125"/>
  <c r="S6" i="125"/>
  <c r="T6" i="125"/>
  <c r="U6" i="125"/>
  <c r="Q7" i="125"/>
  <c r="R7" i="125"/>
  <c r="S7" i="125"/>
  <c r="T7" i="125"/>
  <c r="U7" i="125"/>
  <c r="Q8" i="125"/>
  <c r="R8" i="125"/>
  <c r="S8" i="125"/>
  <c r="T8" i="125"/>
  <c r="U8" i="125"/>
  <c r="Q9" i="125"/>
  <c r="R9" i="125"/>
  <c r="S9" i="125"/>
  <c r="T9" i="125"/>
  <c r="U9" i="125"/>
  <c r="Q10" i="125"/>
  <c r="R10" i="125"/>
  <c r="S10" i="125"/>
  <c r="T10" i="125"/>
  <c r="U10" i="125"/>
  <c r="Q11" i="125"/>
  <c r="R11" i="125"/>
  <c r="S11" i="125"/>
  <c r="T11" i="125"/>
  <c r="U11" i="125"/>
  <c r="Q12" i="125"/>
  <c r="R12" i="125"/>
  <c r="S12" i="125"/>
  <c r="T12" i="125"/>
  <c r="U12" i="125"/>
  <c r="Q13" i="125"/>
  <c r="R13" i="125"/>
  <c r="S13" i="125"/>
  <c r="T13" i="125"/>
  <c r="U13" i="125"/>
  <c r="Q14" i="125"/>
  <c r="R14" i="125"/>
  <c r="S14" i="125"/>
  <c r="T14" i="125"/>
  <c r="U14" i="125"/>
  <c r="Q15" i="125"/>
  <c r="R15" i="125"/>
  <c r="S15" i="125"/>
  <c r="T15" i="125"/>
  <c r="U15" i="125"/>
  <c r="L16" i="125"/>
  <c r="M16" i="125"/>
  <c r="N16" i="125"/>
  <c r="O16" i="125"/>
  <c r="P16" i="125"/>
  <c r="Q16" i="125"/>
  <c r="R16" i="125"/>
  <c r="S16" i="125"/>
  <c r="T16" i="125"/>
  <c r="U16" i="125"/>
  <c r="L17" i="125"/>
  <c r="M17" i="125"/>
  <c r="N17" i="125"/>
  <c r="O17" i="125"/>
  <c r="P17" i="125"/>
  <c r="Q17" i="125"/>
  <c r="R17" i="125"/>
  <c r="S17" i="125"/>
  <c r="T17" i="125"/>
  <c r="U17" i="125"/>
  <c r="L18" i="125"/>
  <c r="M18" i="125"/>
  <c r="N18" i="125"/>
  <c r="O18" i="125"/>
  <c r="P18" i="125"/>
  <c r="Q18" i="125"/>
  <c r="R18" i="125"/>
  <c r="S18" i="125"/>
  <c r="T18" i="125"/>
  <c r="U18" i="125"/>
  <c r="L19" i="125"/>
  <c r="M19" i="125"/>
  <c r="N19" i="125"/>
  <c r="O19" i="125"/>
  <c r="P19" i="125"/>
  <c r="Q19" i="125"/>
  <c r="R19" i="125"/>
  <c r="S19" i="125"/>
  <c r="T19" i="125"/>
  <c r="U19" i="125"/>
  <c r="L20" i="125"/>
  <c r="M20" i="125"/>
  <c r="N20" i="125"/>
  <c r="O20" i="125"/>
  <c r="P20" i="125"/>
  <c r="Q20" i="125"/>
  <c r="R20" i="125"/>
  <c r="S20" i="125"/>
  <c r="T20" i="125"/>
  <c r="U20" i="125"/>
  <c r="L21" i="125"/>
  <c r="M21" i="125"/>
  <c r="N21" i="125"/>
  <c r="O21" i="125"/>
  <c r="P21" i="125"/>
  <c r="Q21" i="125"/>
  <c r="R21" i="125"/>
  <c r="S21" i="125"/>
  <c r="T21" i="125"/>
  <c r="U21" i="125"/>
  <c r="L22" i="125"/>
  <c r="M22" i="125"/>
  <c r="N22" i="125"/>
  <c r="O22" i="125"/>
  <c r="P22" i="125"/>
  <c r="Q22" i="125"/>
  <c r="R22" i="125"/>
  <c r="S22" i="125"/>
  <c r="T22" i="125"/>
  <c r="U22" i="125"/>
  <c r="L23" i="125"/>
  <c r="M23" i="125"/>
  <c r="N23" i="125"/>
  <c r="O23" i="125"/>
  <c r="P23" i="125"/>
  <c r="Q23" i="125"/>
  <c r="R23" i="125"/>
  <c r="S23" i="125"/>
  <c r="T23" i="125"/>
  <c r="U23" i="125"/>
  <c r="L24" i="125"/>
  <c r="M24" i="125"/>
  <c r="N24" i="125"/>
  <c r="O24" i="125"/>
  <c r="P24" i="125"/>
  <c r="Q24" i="125"/>
  <c r="R24" i="125"/>
  <c r="S24" i="125"/>
  <c r="T24" i="125"/>
  <c r="U24" i="125"/>
  <c r="L25" i="125"/>
  <c r="M25" i="125"/>
  <c r="N25" i="125"/>
  <c r="O25" i="125"/>
  <c r="P25" i="125"/>
  <c r="Q25" i="125"/>
  <c r="R25" i="125"/>
  <c r="S25" i="125"/>
  <c r="T25" i="125"/>
  <c r="U25" i="125"/>
  <c r="L26" i="125"/>
  <c r="M26" i="125"/>
  <c r="N26" i="125"/>
  <c r="O26" i="125"/>
  <c r="P26" i="125"/>
  <c r="Q26" i="125"/>
  <c r="R26" i="125"/>
  <c r="S26" i="125"/>
  <c r="T26" i="125"/>
  <c r="U26" i="125"/>
  <c r="L27" i="125"/>
  <c r="M27" i="125"/>
  <c r="N27" i="125"/>
  <c r="O27" i="125"/>
  <c r="P27" i="125"/>
  <c r="Q27" i="125"/>
  <c r="R27" i="125"/>
  <c r="S27" i="125"/>
  <c r="T27" i="125"/>
  <c r="U27" i="125"/>
  <c r="L28" i="125"/>
  <c r="M28" i="125"/>
  <c r="N28" i="125"/>
  <c r="O28" i="125"/>
  <c r="P28" i="125"/>
  <c r="Q28" i="125"/>
  <c r="R28" i="125"/>
  <c r="S28" i="125"/>
  <c r="T28" i="125"/>
  <c r="U28" i="125"/>
  <c r="L29" i="125"/>
  <c r="M29" i="125"/>
  <c r="N29" i="125"/>
  <c r="O29" i="125"/>
  <c r="P29" i="125"/>
  <c r="Q29" i="125"/>
  <c r="R29" i="125"/>
  <c r="S29" i="125"/>
  <c r="T29" i="125"/>
  <c r="U29" i="125"/>
  <c r="L30" i="125"/>
  <c r="M30" i="125"/>
  <c r="N30" i="125"/>
  <c r="O30" i="125"/>
  <c r="P30" i="125"/>
  <c r="Q30" i="125"/>
  <c r="R30" i="125"/>
  <c r="S30" i="125"/>
  <c r="T30" i="125"/>
  <c r="U30" i="125"/>
  <c r="L31" i="125"/>
  <c r="M31" i="125"/>
  <c r="N31" i="125"/>
  <c r="O31" i="125"/>
  <c r="P31" i="125"/>
  <c r="Q31" i="125"/>
  <c r="R31" i="125"/>
  <c r="S31" i="125"/>
  <c r="T31" i="125"/>
  <c r="U31" i="125"/>
  <c r="L32" i="125"/>
  <c r="M32" i="125"/>
  <c r="N32" i="125"/>
  <c r="O32" i="125"/>
  <c r="P32" i="125"/>
  <c r="Q32" i="125"/>
  <c r="R32" i="125"/>
  <c r="S32" i="125"/>
  <c r="T32" i="125"/>
  <c r="U32" i="125"/>
  <c r="L33" i="125"/>
  <c r="M33" i="125"/>
  <c r="N33" i="125"/>
  <c r="O33" i="125"/>
  <c r="P33" i="125"/>
  <c r="Q33" i="125"/>
  <c r="R33" i="125"/>
  <c r="S33" i="125"/>
  <c r="T33" i="125"/>
  <c r="U33" i="125"/>
  <c r="L34" i="125"/>
  <c r="M34" i="125"/>
  <c r="N34" i="125"/>
  <c r="O34" i="125"/>
  <c r="P34" i="125"/>
  <c r="Q34" i="125"/>
  <c r="R34" i="125"/>
  <c r="S34" i="125"/>
  <c r="T34" i="125"/>
  <c r="U34" i="125"/>
  <c r="AP5" i="125"/>
  <c r="AQ5" i="125"/>
  <c r="AR5" i="125"/>
  <c r="AS5" i="125"/>
  <c r="AT5" i="125"/>
  <c r="AU5" i="125"/>
  <c r="AV5" i="125"/>
  <c r="AW5" i="125"/>
  <c r="AP6" i="125"/>
  <c r="AQ6" i="125"/>
  <c r="AR6" i="125"/>
  <c r="AS6" i="125"/>
  <c r="AT6" i="125"/>
  <c r="AU6" i="125"/>
  <c r="AV6" i="125"/>
  <c r="AW6" i="125"/>
  <c r="AP7" i="125"/>
  <c r="AQ7" i="125"/>
  <c r="AR7" i="125"/>
  <c r="AS7" i="125"/>
  <c r="AT7" i="125"/>
  <c r="AU7" i="125"/>
  <c r="AV7" i="125"/>
  <c r="AW7" i="125"/>
  <c r="AP8" i="125"/>
  <c r="AQ8" i="125"/>
  <c r="AR8" i="125"/>
  <c r="AS8" i="125"/>
  <c r="AT8" i="125"/>
  <c r="AU8" i="125"/>
  <c r="AV8" i="125"/>
  <c r="AW8" i="125"/>
  <c r="AP9" i="125"/>
  <c r="AQ9" i="125"/>
  <c r="AR9" i="125"/>
  <c r="AS9" i="125"/>
  <c r="AT9" i="125"/>
  <c r="AU9" i="125"/>
  <c r="AV9" i="125"/>
  <c r="AW9" i="125"/>
  <c r="AP10" i="125"/>
  <c r="AQ10" i="125"/>
  <c r="AR10" i="125"/>
  <c r="AS10" i="125"/>
  <c r="AT10" i="125"/>
  <c r="AU10" i="125"/>
  <c r="AV10" i="125"/>
  <c r="AW10" i="125"/>
  <c r="AP11" i="125"/>
  <c r="AQ11" i="125"/>
  <c r="AR11" i="125"/>
  <c r="AS11" i="125"/>
  <c r="AT11" i="125"/>
  <c r="AU11" i="125"/>
  <c r="AV11" i="125"/>
  <c r="AW11" i="125"/>
  <c r="AP12" i="125"/>
  <c r="AQ12" i="125"/>
  <c r="AR12" i="125"/>
  <c r="AS12" i="125"/>
  <c r="AT12" i="125"/>
  <c r="AU12" i="125"/>
  <c r="AV12" i="125"/>
  <c r="AW12" i="125"/>
  <c r="AP13" i="125"/>
  <c r="AQ13" i="125"/>
  <c r="AR13" i="125"/>
  <c r="AS13" i="125"/>
  <c r="AT13" i="125"/>
  <c r="AU13" i="125"/>
  <c r="AV13" i="125"/>
  <c r="AW13" i="125"/>
  <c r="AP14" i="125"/>
  <c r="AQ14" i="125"/>
  <c r="AR14" i="125"/>
  <c r="AS14" i="125"/>
  <c r="AT14" i="125"/>
  <c r="AU14" i="125"/>
  <c r="AV14" i="125"/>
  <c r="AW14" i="125"/>
  <c r="AP15" i="125"/>
  <c r="AQ15" i="125"/>
  <c r="AR15" i="125"/>
  <c r="AS15" i="125"/>
  <c r="AT15" i="125"/>
  <c r="AU15" i="125"/>
  <c r="AV15" i="125"/>
  <c r="AW15" i="125"/>
  <c r="AP16" i="125"/>
  <c r="AQ16" i="125"/>
  <c r="AR16" i="125"/>
  <c r="AS16" i="125"/>
  <c r="AT16" i="125"/>
  <c r="AU16" i="125"/>
  <c r="AV16" i="125"/>
  <c r="AW16" i="125"/>
  <c r="AP17" i="125"/>
  <c r="AQ17" i="125"/>
  <c r="AR17" i="125"/>
  <c r="AS17" i="125"/>
  <c r="AT17" i="125"/>
  <c r="AU17" i="125"/>
  <c r="AV17" i="125"/>
  <c r="AW17" i="125"/>
  <c r="AP18" i="125"/>
  <c r="AQ18" i="125"/>
  <c r="AR18" i="125"/>
  <c r="AS18" i="125"/>
  <c r="AT18" i="125"/>
  <c r="AU18" i="125"/>
  <c r="AV18" i="125"/>
  <c r="AW18" i="125"/>
  <c r="AP19" i="125"/>
  <c r="AQ19" i="125"/>
  <c r="AR19" i="125"/>
  <c r="AS19" i="125"/>
  <c r="AT19" i="125"/>
  <c r="AU19" i="125"/>
  <c r="AV19" i="125"/>
  <c r="AW19" i="125"/>
  <c r="AP20" i="125"/>
  <c r="AQ20" i="125"/>
  <c r="AR20" i="125"/>
  <c r="AS20" i="125"/>
  <c r="AT20" i="125"/>
  <c r="AU20" i="125"/>
  <c r="AV20" i="125"/>
  <c r="AW20" i="125"/>
  <c r="AP21" i="125"/>
  <c r="AQ21" i="125"/>
  <c r="AR21" i="125"/>
  <c r="AS21" i="125"/>
  <c r="AT21" i="125"/>
  <c r="AU21" i="125"/>
  <c r="AV21" i="125"/>
  <c r="AW21" i="125"/>
  <c r="AP22" i="125"/>
  <c r="AQ22" i="125"/>
  <c r="AR22" i="125"/>
  <c r="AS22" i="125"/>
  <c r="AT22" i="125"/>
  <c r="AU22" i="125"/>
  <c r="AV22" i="125"/>
  <c r="AW22" i="125"/>
  <c r="AP23" i="125"/>
  <c r="AQ23" i="125"/>
  <c r="AR23" i="125"/>
  <c r="AS23" i="125"/>
  <c r="AT23" i="125"/>
  <c r="AU23" i="125"/>
  <c r="AV23" i="125"/>
  <c r="AW23" i="125"/>
  <c r="AP24" i="125"/>
  <c r="AQ24" i="125"/>
  <c r="AR24" i="125"/>
  <c r="AS24" i="125"/>
  <c r="AT24" i="125"/>
  <c r="AU24" i="125"/>
  <c r="AV24" i="125"/>
  <c r="AW24" i="125"/>
  <c r="AP25" i="125"/>
  <c r="AQ25" i="125"/>
  <c r="AR25" i="125"/>
  <c r="AS25" i="125"/>
  <c r="AT25" i="125"/>
  <c r="AU25" i="125"/>
  <c r="AV25" i="125"/>
  <c r="AW25" i="125"/>
  <c r="AP26" i="125"/>
  <c r="AQ26" i="125"/>
  <c r="AR26" i="125"/>
  <c r="AS26" i="125"/>
  <c r="AT26" i="125"/>
  <c r="AU26" i="125"/>
  <c r="AV26" i="125"/>
  <c r="AW26" i="125"/>
  <c r="AP27" i="125"/>
  <c r="AQ27" i="125"/>
  <c r="AR27" i="125"/>
  <c r="AS27" i="125"/>
  <c r="AT27" i="125"/>
  <c r="AU27" i="125"/>
  <c r="AV27" i="125"/>
  <c r="AW27" i="125"/>
  <c r="AP28" i="125"/>
  <c r="AQ28" i="125"/>
  <c r="AR28" i="125"/>
  <c r="AS28" i="125"/>
  <c r="AT28" i="125"/>
  <c r="AU28" i="125"/>
  <c r="AV28" i="125"/>
  <c r="AW28" i="125"/>
  <c r="AP29" i="125"/>
  <c r="AQ29" i="125"/>
  <c r="AR29" i="125"/>
  <c r="AS29" i="125"/>
  <c r="AT29" i="125"/>
  <c r="AU29" i="125"/>
  <c r="AV29" i="125"/>
  <c r="AW29" i="125"/>
  <c r="AP30" i="125"/>
  <c r="AQ30" i="125"/>
  <c r="AR30" i="125"/>
  <c r="AS30" i="125"/>
  <c r="AT30" i="125"/>
  <c r="AU30" i="125"/>
  <c r="AV30" i="125"/>
  <c r="AW30" i="125"/>
  <c r="AP31" i="125"/>
  <c r="AQ31" i="125"/>
  <c r="AR31" i="125"/>
  <c r="AS31" i="125"/>
  <c r="AT31" i="125"/>
  <c r="AU31" i="125"/>
  <c r="AV31" i="125"/>
  <c r="AW31" i="125"/>
  <c r="AP32" i="125"/>
  <c r="AQ32" i="125"/>
  <c r="AR32" i="125"/>
  <c r="AS32" i="125"/>
  <c r="AT32" i="125"/>
  <c r="AU32" i="125"/>
  <c r="AV32" i="125"/>
  <c r="AW32" i="125"/>
  <c r="AP33" i="125"/>
  <c r="AQ33" i="125"/>
  <c r="AR33" i="125"/>
  <c r="AS33" i="125"/>
  <c r="AT33" i="125"/>
  <c r="AU33" i="125"/>
  <c r="AV33" i="125"/>
  <c r="AW33" i="125"/>
  <c r="AP34" i="125"/>
  <c r="AQ34" i="125"/>
  <c r="AR34" i="125"/>
  <c r="AS34" i="125"/>
  <c r="AT34" i="125"/>
  <c r="AU34" i="125"/>
  <c r="AV34" i="125"/>
  <c r="AW34" i="125"/>
  <c r="AO16" i="125"/>
  <c r="AO17" i="125"/>
  <c r="AO18" i="125"/>
  <c r="AO19" i="125"/>
  <c r="AO20" i="125"/>
  <c r="AO21" i="125"/>
  <c r="AO22" i="125"/>
  <c r="AO23" i="125"/>
  <c r="AO24" i="125"/>
  <c r="AO25" i="125"/>
  <c r="AO26" i="125"/>
  <c r="AO27" i="125"/>
  <c r="AO28" i="125"/>
  <c r="AO29" i="125"/>
  <c r="AO30" i="125"/>
  <c r="AO31" i="125"/>
  <c r="AO32" i="125"/>
  <c r="AO33" i="125"/>
  <c r="AO34" i="125"/>
  <c r="AA7" i="125"/>
  <c r="X9" i="125"/>
  <c r="AC9" i="125"/>
  <c r="AD9" i="125"/>
  <c r="AE9" i="125"/>
  <c r="AG9" i="125"/>
  <c r="AJ9" i="125"/>
  <c r="W16" i="125"/>
  <c r="X16" i="125"/>
  <c r="Y16" i="125"/>
  <c r="Z16" i="125"/>
  <c r="AA16" i="125"/>
  <c r="AB16" i="125"/>
  <c r="AC16" i="125"/>
  <c r="AD16" i="125"/>
  <c r="AE16" i="125"/>
  <c r="AF16" i="125"/>
  <c r="AG16" i="125"/>
  <c r="AH16" i="125"/>
  <c r="AI16" i="125"/>
  <c r="AJ16" i="125"/>
  <c r="AK16" i="125"/>
  <c r="AL16" i="125"/>
  <c r="W17" i="125"/>
  <c r="X17" i="125"/>
  <c r="Y17" i="125"/>
  <c r="Z17" i="125"/>
  <c r="AA17" i="125"/>
  <c r="AB17" i="125"/>
  <c r="AC17" i="125"/>
  <c r="AD17" i="125"/>
  <c r="AE17" i="125"/>
  <c r="AF17" i="125"/>
  <c r="AG17" i="125"/>
  <c r="AH17" i="125"/>
  <c r="AI17" i="125"/>
  <c r="AJ17" i="125"/>
  <c r="AK17" i="125"/>
  <c r="AL17" i="125"/>
  <c r="W18" i="125"/>
  <c r="X18" i="125"/>
  <c r="Y18" i="125"/>
  <c r="Z18" i="125"/>
  <c r="AA18" i="125"/>
  <c r="AB18" i="125"/>
  <c r="AC18" i="125"/>
  <c r="AD18" i="125"/>
  <c r="AE18" i="125"/>
  <c r="AF18" i="125"/>
  <c r="AG18" i="125"/>
  <c r="AH18" i="125"/>
  <c r="AI18" i="125"/>
  <c r="AJ18" i="125"/>
  <c r="AK18" i="125"/>
  <c r="AL18" i="125"/>
  <c r="W19" i="125"/>
  <c r="X19" i="125"/>
  <c r="Y19" i="125"/>
  <c r="Z19" i="125"/>
  <c r="AA19" i="125"/>
  <c r="AB19" i="125"/>
  <c r="AC19" i="125"/>
  <c r="AD19" i="125"/>
  <c r="AE19" i="125"/>
  <c r="AF19" i="125"/>
  <c r="AG19" i="125"/>
  <c r="AH19" i="125"/>
  <c r="AI19" i="125"/>
  <c r="AJ19" i="125"/>
  <c r="AK19" i="125"/>
  <c r="AL19" i="125"/>
  <c r="W20" i="125"/>
  <c r="X20" i="125"/>
  <c r="Y20" i="125"/>
  <c r="Z20" i="125"/>
  <c r="AA20" i="125"/>
  <c r="AB20" i="125"/>
  <c r="AC20" i="125"/>
  <c r="AD20" i="125"/>
  <c r="AE20" i="125"/>
  <c r="AF20" i="125"/>
  <c r="AG20" i="125"/>
  <c r="AH20" i="125"/>
  <c r="AI20" i="125"/>
  <c r="AJ20" i="125"/>
  <c r="AK20" i="125"/>
  <c r="AL20" i="125"/>
  <c r="W21" i="125"/>
  <c r="X21" i="125"/>
  <c r="Y21" i="125"/>
  <c r="Z21" i="125"/>
  <c r="AA21" i="125"/>
  <c r="AB21" i="125"/>
  <c r="AC21" i="125"/>
  <c r="AD21" i="125"/>
  <c r="AE21" i="125"/>
  <c r="AF21" i="125"/>
  <c r="AG21" i="125"/>
  <c r="AH21" i="125"/>
  <c r="AI21" i="125"/>
  <c r="AJ21" i="125"/>
  <c r="AK21" i="125"/>
  <c r="AL21" i="125"/>
  <c r="W22" i="125"/>
  <c r="X22" i="125"/>
  <c r="Y22" i="125"/>
  <c r="Z22" i="125"/>
  <c r="AA22" i="125"/>
  <c r="AB22" i="125"/>
  <c r="AC22" i="125"/>
  <c r="AD22" i="125"/>
  <c r="AE22" i="125"/>
  <c r="AF22" i="125"/>
  <c r="AG22" i="125"/>
  <c r="AH22" i="125"/>
  <c r="AI22" i="125"/>
  <c r="AJ22" i="125"/>
  <c r="AK22" i="125"/>
  <c r="AL22" i="125"/>
  <c r="W23" i="125"/>
  <c r="X23" i="125"/>
  <c r="Y23" i="125"/>
  <c r="Z23" i="125"/>
  <c r="AA23" i="125"/>
  <c r="AB23" i="125"/>
  <c r="AC23" i="125"/>
  <c r="AD23" i="125"/>
  <c r="AE23" i="125"/>
  <c r="AF23" i="125"/>
  <c r="AG23" i="125"/>
  <c r="AH23" i="125"/>
  <c r="AI23" i="125"/>
  <c r="AJ23" i="125"/>
  <c r="AK23" i="125"/>
  <c r="AL23" i="125"/>
  <c r="W24" i="125"/>
  <c r="X24" i="125"/>
  <c r="Y24" i="125"/>
  <c r="Z24" i="125"/>
  <c r="AA24" i="125"/>
  <c r="AB24" i="125"/>
  <c r="AC24" i="125"/>
  <c r="AD24" i="125"/>
  <c r="AE24" i="125"/>
  <c r="AF24" i="125"/>
  <c r="AG24" i="125"/>
  <c r="AH24" i="125"/>
  <c r="AI24" i="125"/>
  <c r="AJ24" i="125"/>
  <c r="AK24" i="125"/>
  <c r="AL24" i="125"/>
  <c r="W25" i="125"/>
  <c r="X25" i="125"/>
  <c r="Y25" i="125"/>
  <c r="Z25" i="125"/>
  <c r="AA25" i="125"/>
  <c r="AB25" i="125"/>
  <c r="AC25" i="125"/>
  <c r="AD25" i="125"/>
  <c r="AE25" i="125"/>
  <c r="AF25" i="125"/>
  <c r="AG25" i="125"/>
  <c r="AH25" i="125"/>
  <c r="AI25" i="125"/>
  <c r="AJ25" i="125"/>
  <c r="AK25" i="125"/>
  <c r="AL25" i="125"/>
  <c r="W26" i="125"/>
  <c r="X26" i="125"/>
  <c r="Y26" i="125"/>
  <c r="Z26" i="125"/>
  <c r="AA26" i="125"/>
  <c r="AB26" i="125"/>
  <c r="AC26" i="125"/>
  <c r="AD26" i="125"/>
  <c r="AE26" i="125"/>
  <c r="AF26" i="125"/>
  <c r="AG26" i="125"/>
  <c r="AH26" i="125"/>
  <c r="AI26" i="125"/>
  <c r="AJ26" i="125"/>
  <c r="AK26" i="125"/>
  <c r="AL26" i="125"/>
  <c r="W27" i="125"/>
  <c r="X27" i="125"/>
  <c r="Y27" i="125"/>
  <c r="Z27" i="125"/>
  <c r="AA27" i="125"/>
  <c r="AB27" i="125"/>
  <c r="AC27" i="125"/>
  <c r="AD27" i="125"/>
  <c r="AE27" i="125"/>
  <c r="AF27" i="125"/>
  <c r="AG27" i="125"/>
  <c r="AH27" i="125"/>
  <c r="AI27" i="125"/>
  <c r="AJ27" i="125"/>
  <c r="AK27" i="125"/>
  <c r="AL27" i="125"/>
  <c r="W28" i="125"/>
  <c r="X28" i="125"/>
  <c r="Y28" i="125"/>
  <c r="Z28" i="125"/>
  <c r="AA28" i="125"/>
  <c r="AB28" i="125"/>
  <c r="AC28" i="125"/>
  <c r="AD28" i="125"/>
  <c r="AE28" i="125"/>
  <c r="AF28" i="125"/>
  <c r="AG28" i="125"/>
  <c r="AH28" i="125"/>
  <c r="AI28" i="125"/>
  <c r="AJ28" i="125"/>
  <c r="AK28" i="125"/>
  <c r="AL28" i="125"/>
  <c r="W29" i="125"/>
  <c r="X29" i="125"/>
  <c r="Y29" i="125"/>
  <c r="Z29" i="125"/>
  <c r="AA29" i="125"/>
  <c r="AB29" i="125"/>
  <c r="AC29" i="125"/>
  <c r="AD29" i="125"/>
  <c r="AE29" i="125"/>
  <c r="AF29" i="125"/>
  <c r="AG29" i="125"/>
  <c r="AH29" i="125"/>
  <c r="AI29" i="125"/>
  <c r="AJ29" i="125"/>
  <c r="AK29" i="125"/>
  <c r="AL29" i="125"/>
  <c r="W30" i="125"/>
  <c r="X30" i="125"/>
  <c r="Y30" i="125"/>
  <c r="Z30" i="125"/>
  <c r="AA30" i="125"/>
  <c r="AB30" i="125"/>
  <c r="AC30" i="125"/>
  <c r="AD30" i="125"/>
  <c r="AE30" i="125"/>
  <c r="AF30" i="125"/>
  <c r="AG30" i="125"/>
  <c r="AH30" i="125"/>
  <c r="AI30" i="125"/>
  <c r="AJ30" i="125"/>
  <c r="AK30" i="125"/>
  <c r="AL30" i="125"/>
  <c r="W31" i="125"/>
  <c r="X31" i="125"/>
  <c r="Y31" i="125"/>
  <c r="Z31" i="125"/>
  <c r="AA31" i="125"/>
  <c r="AB31" i="125"/>
  <c r="AC31" i="125"/>
  <c r="AD31" i="125"/>
  <c r="AE31" i="125"/>
  <c r="AF31" i="125"/>
  <c r="AG31" i="125"/>
  <c r="AH31" i="125"/>
  <c r="AI31" i="125"/>
  <c r="AJ31" i="125"/>
  <c r="AK31" i="125"/>
  <c r="AL31" i="125"/>
  <c r="W32" i="125"/>
  <c r="X32" i="125"/>
  <c r="Y32" i="125"/>
  <c r="Z32" i="125"/>
  <c r="AA32" i="125"/>
  <c r="AB32" i="125"/>
  <c r="AC32" i="125"/>
  <c r="AD32" i="125"/>
  <c r="AE32" i="125"/>
  <c r="AF32" i="125"/>
  <c r="AG32" i="125"/>
  <c r="AH32" i="125"/>
  <c r="AI32" i="125"/>
  <c r="AJ32" i="125"/>
  <c r="AK32" i="125"/>
  <c r="AL32" i="125"/>
  <c r="W33" i="125"/>
  <c r="X33" i="125"/>
  <c r="Y33" i="125"/>
  <c r="Z33" i="125"/>
  <c r="AA33" i="125"/>
  <c r="AB33" i="125"/>
  <c r="AC33" i="125"/>
  <c r="AD33" i="125"/>
  <c r="AE33" i="125"/>
  <c r="AF33" i="125"/>
  <c r="AG33" i="125"/>
  <c r="AH33" i="125"/>
  <c r="AI33" i="125"/>
  <c r="AJ33" i="125"/>
  <c r="AK33" i="125"/>
  <c r="AL33" i="125"/>
  <c r="W34" i="125"/>
  <c r="X34" i="125"/>
  <c r="Y34" i="125"/>
  <c r="Z34" i="125"/>
  <c r="AA34" i="125"/>
  <c r="AB34" i="125"/>
  <c r="AC34" i="125"/>
  <c r="AD34" i="125"/>
  <c r="AE34" i="125"/>
  <c r="AF34" i="125"/>
  <c r="AG34" i="125"/>
  <c r="AH34" i="125"/>
  <c r="AI34" i="125"/>
  <c r="AJ34" i="125"/>
  <c r="AK34" i="125"/>
  <c r="AL34" i="125"/>
  <c r="K6" i="125"/>
  <c r="K7" i="125"/>
  <c r="K8" i="125"/>
  <c r="K9" i="125"/>
  <c r="K10" i="125"/>
  <c r="K11" i="125"/>
  <c r="K12" i="125"/>
  <c r="K13" i="125"/>
  <c r="K14" i="125"/>
  <c r="K15" i="125"/>
  <c r="K16" i="125"/>
  <c r="K17" i="125"/>
  <c r="K18" i="125"/>
  <c r="K19" i="125"/>
  <c r="K20" i="125"/>
  <c r="K21" i="125"/>
  <c r="K22" i="125"/>
  <c r="K23" i="125"/>
  <c r="K24" i="125"/>
  <c r="K25" i="125"/>
  <c r="K26" i="125"/>
  <c r="K27" i="125"/>
  <c r="K28" i="125"/>
  <c r="K29" i="125"/>
  <c r="K30" i="125"/>
  <c r="K31" i="125"/>
  <c r="K32" i="125"/>
  <c r="K33" i="125"/>
  <c r="K34" i="125"/>
  <c r="K5" i="125"/>
  <c r="B23" i="125"/>
  <c r="C23" i="125"/>
  <c r="E59" i="125"/>
  <c r="I32" i="125"/>
  <c r="I33" i="125"/>
  <c r="G10" i="125"/>
  <c r="F16" i="125"/>
  <c r="F49" i="125" s="1"/>
  <c r="F84" i="125" s="1"/>
  <c r="F29" i="125"/>
  <c r="F62" i="125" s="1"/>
  <c r="F97" i="125" s="1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AF9" i="125" l="1"/>
  <c r="AJ8" i="125"/>
  <c r="X8" i="125"/>
  <c r="AB7" i="125"/>
  <c r="AO7" i="125"/>
  <c r="Z7" i="125"/>
  <c r="AB9" i="125"/>
  <c r="AJ7" i="125"/>
  <c r="Y7" i="125"/>
  <c r="AF8" i="125"/>
  <c r="AA9" i="125"/>
  <c r="AE8" i="125"/>
  <c r="AI7" i="125"/>
  <c r="W7" i="125"/>
  <c r="X7" i="125"/>
  <c r="AL9" i="125"/>
  <c r="Z9" i="125"/>
  <c r="AD8" i="125"/>
  <c r="AH7" i="125"/>
  <c r="AL7" i="125"/>
  <c r="AK7" i="125"/>
  <c r="AK9" i="125"/>
  <c r="Y9" i="125"/>
  <c r="N77" i="125" s="1"/>
  <c r="AC8" i="125"/>
  <c r="AG7" i="125"/>
  <c r="W8" i="125"/>
  <c r="AH8" i="125"/>
  <c r="AF7" i="125"/>
  <c r="AI9" i="125"/>
  <c r="W9" i="125"/>
  <c r="AA8" i="125"/>
  <c r="AE7" i="125"/>
  <c r="AI8" i="125"/>
  <c r="AB8" i="125"/>
  <c r="AH9" i="125"/>
  <c r="AL8" i="125"/>
  <c r="Z8" i="125"/>
  <c r="O41" i="125" s="1"/>
  <c r="AD7" i="125"/>
  <c r="AO9" i="125"/>
  <c r="AG8" i="125"/>
  <c r="AK8" i="125"/>
  <c r="Y8" i="125"/>
  <c r="AC7" i="125"/>
  <c r="AO8" i="125"/>
  <c r="P77" i="125"/>
  <c r="N41" i="125"/>
  <c r="P42" i="125"/>
  <c r="L40" i="125"/>
  <c r="N76" i="125"/>
  <c r="Q5" i="125"/>
  <c r="L75" i="125"/>
  <c r="R5" i="125"/>
  <c r="M40" i="125"/>
  <c r="M75" i="125"/>
  <c r="L41" i="125"/>
  <c r="L76" i="125"/>
  <c r="O42" i="125"/>
  <c r="AE5" i="125"/>
  <c r="M42" i="125"/>
  <c r="M77" i="125"/>
  <c r="L42" i="125"/>
  <c r="L77" i="125"/>
  <c r="AC5" i="125"/>
  <c r="M76" i="125"/>
  <c r="AA5" i="125"/>
  <c r="AL5" i="125"/>
  <c r="U5" i="125"/>
  <c r="P40" i="125"/>
  <c r="P75" i="125"/>
  <c r="M41" i="125"/>
  <c r="T5" i="125"/>
  <c r="O40" i="125"/>
  <c r="O75" i="125"/>
  <c r="O77" i="125"/>
  <c r="S5" i="125"/>
  <c r="P41" i="125"/>
  <c r="N40" i="125"/>
  <c r="P76" i="125"/>
  <c r="N75" i="125"/>
  <c r="H15" i="125"/>
  <c r="H14" i="125"/>
  <c r="G9" i="125"/>
  <c r="I9" i="125"/>
  <c r="I8" i="125"/>
  <c r="I7" i="125"/>
  <c r="F6" i="125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AO5" i="125" l="1"/>
  <c r="AF5" i="125"/>
  <c r="X5" i="125"/>
  <c r="AB5" i="125"/>
  <c r="AI5" i="125"/>
  <c r="F39" i="125"/>
  <c r="AG6" i="125"/>
  <c r="AD6" i="125"/>
  <c r="AO6" i="125"/>
  <c r="AH6" i="125"/>
  <c r="AJ6" i="125"/>
  <c r="W6" i="125"/>
  <c r="AI6" i="125"/>
  <c r="X6" i="125"/>
  <c r="AC6" i="125"/>
  <c r="Y6" i="125"/>
  <c r="AK6" i="125"/>
  <c r="AE6" i="125"/>
  <c r="Z6" i="125"/>
  <c r="AL6" i="125"/>
  <c r="AA6" i="125"/>
  <c r="AB6" i="125"/>
  <c r="AF6" i="125"/>
  <c r="F43" i="125"/>
  <c r="AC10" i="125"/>
  <c r="AL10" i="125"/>
  <c r="AD10" i="125"/>
  <c r="AO10" i="125"/>
  <c r="AE10" i="125"/>
  <c r="AF10" i="125"/>
  <c r="Y10" i="125"/>
  <c r="AG10" i="125"/>
  <c r="X10" i="125"/>
  <c r="AH10" i="125"/>
  <c r="AJ10" i="125"/>
  <c r="W10" i="125"/>
  <c r="AI10" i="125"/>
  <c r="AK10" i="125"/>
  <c r="Z10" i="125"/>
  <c r="AA10" i="125"/>
  <c r="AB10" i="125"/>
  <c r="N42" i="125"/>
  <c r="O76" i="125"/>
  <c r="F47" i="125"/>
  <c r="Y14" i="125"/>
  <c r="AK14" i="125"/>
  <c r="Z14" i="125"/>
  <c r="AL14" i="125"/>
  <c r="AA14" i="125"/>
  <c r="AB14" i="125"/>
  <c r="AG14" i="125"/>
  <c r="AH14" i="125"/>
  <c r="AI14" i="125"/>
  <c r="AC14" i="125"/>
  <c r="AF14" i="125"/>
  <c r="AD14" i="125"/>
  <c r="AO14" i="125"/>
  <c r="AE14" i="125"/>
  <c r="W14" i="125"/>
  <c r="X14" i="125"/>
  <c r="AJ14" i="125"/>
  <c r="F44" i="125"/>
  <c r="Y11" i="125"/>
  <c r="AK11" i="125"/>
  <c r="AG11" i="125"/>
  <c r="AI11" i="125"/>
  <c r="Z11" i="125"/>
  <c r="AL11" i="125"/>
  <c r="AA11" i="125"/>
  <c r="AB11" i="125"/>
  <c r="AO11" i="125"/>
  <c r="AC11" i="125"/>
  <c r="AH11" i="125"/>
  <c r="AD11" i="125"/>
  <c r="AE11" i="125"/>
  <c r="AF11" i="125"/>
  <c r="W11" i="125"/>
  <c r="X11" i="125"/>
  <c r="AJ11" i="125"/>
  <c r="F45" i="125"/>
  <c r="AG12" i="125"/>
  <c r="AH12" i="125"/>
  <c r="W12" i="125"/>
  <c r="AI12" i="125"/>
  <c r="X12" i="125"/>
  <c r="AJ12" i="125"/>
  <c r="AC12" i="125"/>
  <c r="AD12" i="125"/>
  <c r="AO12" i="125"/>
  <c r="Y12" i="125"/>
  <c r="AK12" i="125"/>
  <c r="AE12" i="125"/>
  <c r="Z12" i="125"/>
  <c r="AL12" i="125"/>
  <c r="AA12" i="125"/>
  <c r="AB12" i="125"/>
  <c r="AF12" i="125"/>
  <c r="F46" i="125"/>
  <c r="AC13" i="125"/>
  <c r="AK13" i="125"/>
  <c r="Z13" i="125"/>
  <c r="AD13" i="125"/>
  <c r="AE13" i="125"/>
  <c r="AF13" i="125"/>
  <c r="AG13" i="125"/>
  <c r="Y13" i="125"/>
  <c r="AL13" i="125"/>
  <c r="AO13" i="125"/>
  <c r="AH13" i="125"/>
  <c r="W13" i="125"/>
  <c r="AI13" i="125"/>
  <c r="X13" i="125"/>
  <c r="AA13" i="125"/>
  <c r="AJ13" i="125"/>
  <c r="AB13" i="125"/>
  <c r="AD5" i="125"/>
  <c r="AG5" i="125"/>
  <c r="AJ5" i="125"/>
  <c r="AH5" i="125"/>
  <c r="Y5" i="125"/>
  <c r="AK5" i="125"/>
  <c r="W5" i="125"/>
  <c r="Z5" i="125"/>
  <c r="F48" i="125"/>
  <c r="AD15" i="125"/>
  <c r="AE15" i="125"/>
  <c r="AL15" i="125"/>
  <c r="AF15" i="125"/>
  <c r="AG15" i="125"/>
  <c r="AH15" i="125"/>
  <c r="W15" i="125"/>
  <c r="AI15" i="125"/>
  <c r="X15" i="125"/>
  <c r="AJ15" i="125"/>
  <c r="Z15" i="125"/>
  <c r="Y15" i="125"/>
  <c r="AK15" i="125"/>
  <c r="AO15" i="125"/>
  <c r="AA15" i="125"/>
  <c r="AB15" i="125"/>
  <c r="AC15" i="125"/>
  <c r="F81" i="125" l="1"/>
  <c r="M46" i="125"/>
  <c r="P46" i="125"/>
  <c r="O46" i="125"/>
  <c r="N46" i="125"/>
  <c r="M81" i="125"/>
  <c r="L46" i="125"/>
  <c r="O81" i="125"/>
  <c r="P81" i="125"/>
  <c r="N81" i="125"/>
  <c r="L81" i="125"/>
  <c r="F78" i="125"/>
  <c r="P78" i="125"/>
  <c r="O78" i="125"/>
  <c r="M43" i="125"/>
  <c r="L78" i="125"/>
  <c r="M78" i="125"/>
  <c r="O43" i="125"/>
  <c r="N78" i="125"/>
  <c r="P43" i="125"/>
  <c r="N43" i="125"/>
  <c r="L43" i="125"/>
  <c r="F83" i="125"/>
  <c r="O48" i="125"/>
  <c r="P48" i="125"/>
  <c r="O83" i="125"/>
  <c r="L83" i="125"/>
  <c r="N83" i="125"/>
  <c r="M83" i="125"/>
  <c r="L48" i="125"/>
  <c r="P83" i="125"/>
  <c r="N48" i="125"/>
  <c r="M48" i="125"/>
  <c r="F79" i="125"/>
  <c r="L44" i="125"/>
  <c r="O79" i="125"/>
  <c r="P44" i="125"/>
  <c r="M44" i="125"/>
  <c r="O44" i="125"/>
  <c r="P79" i="125"/>
  <c r="M79" i="125"/>
  <c r="N44" i="125"/>
  <c r="N79" i="125"/>
  <c r="L79" i="125"/>
  <c r="F80" i="125"/>
  <c r="N45" i="125"/>
  <c r="M45" i="125"/>
  <c r="L45" i="125"/>
  <c r="O45" i="125"/>
  <c r="O80" i="125"/>
  <c r="P45" i="125"/>
  <c r="M80" i="125"/>
  <c r="P80" i="125"/>
  <c r="L80" i="125"/>
  <c r="N80" i="125"/>
  <c r="F82" i="125"/>
  <c r="O47" i="125"/>
  <c r="L82" i="125"/>
  <c r="P47" i="125"/>
  <c r="O82" i="125"/>
  <c r="L47" i="125"/>
  <c r="M47" i="125"/>
  <c r="N82" i="125"/>
  <c r="P82" i="125"/>
  <c r="M82" i="125"/>
  <c r="N47" i="125"/>
  <c r="F74" i="125"/>
  <c r="L74" i="125"/>
  <c r="P74" i="125"/>
  <c r="O39" i="125"/>
  <c r="M39" i="125"/>
  <c r="N74" i="125"/>
  <c r="N39" i="125"/>
  <c r="P39" i="125"/>
  <c r="M74" i="125"/>
  <c r="O74" i="125"/>
  <c r="L39" i="125"/>
  <c r="C4" i="125"/>
  <c r="E90" i="125"/>
  <c r="E91" i="125"/>
  <c r="E92" i="125"/>
  <c r="E96" i="125"/>
  <c r="E98" i="125"/>
  <c r="I99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15" i="124"/>
  <c r="K16" i="124" s="1"/>
  <c r="K17" i="124" s="1"/>
  <c r="K18" i="124" s="1"/>
  <c r="K19" i="124" s="1"/>
  <c r="K20" i="124" s="1"/>
  <c r="K21" i="124" s="1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K5" i="124"/>
  <c r="K6" i="124" s="1"/>
  <c r="K7" i="124" s="1"/>
  <c r="K8" i="124" s="1"/>
  <c r="K9" i="124" s="1"/>
  <c r="K10" i="124" s="1"/>
  <c r="K11" i="124" s="1"/>
  <c r="K12" i="124" s="1"/>
  <c r="K13" i="124" s="1"/>
  <c r="K1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7" i="125" l="1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AN28" i="125" l="1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K101" i="125" l="1"/>
  <c r="K96" i="125"/>
  <c r="K93" i="125"/>
  <c r="K102" i="125"/>
  <c r="K94" i="125"/>
  <c r="K95" i="125"/>
  <c r="K97" i="125"/>
  <c r="K98" i="125"/>
  <c r="AQ4" i="125" l="1"/>
  <c r="AR4" i="125"/>
  <c r="AS4" i="125"/>
  <c r="AT4" i="125"/>
  <c r="AU4" i="125"/>
  <c r="AV4" i="125"/>
  <c r="AW4" i="125"/>
  <c r="AP4" i="125"/>
  <c r="K47" i="125" l="1"/>
  <c r="K49" i="125"/>
  <c r="K38" i="125"/>
  <c r="K44" i="125"/>
  <c r="K39" i="125"/>
  <c r="K74" i="125" s="1"/>
  <c r="K45" i="125"/>
  <c r="K40" i="125"/>
  <c r="M38" i="125" l="1"/>
  <c r="N38" i="125"/>
  <c r="O38" i="125"/>
  <c r="P38" i="125"/>
  <c r="Q38" i="125"/>
  <c r="S38" i="125"/>
  <c r="L38" i="125"/>
  <c r="R38" i="125"/>
  <c r="U38" i="125"/>
  <c r="T38" i="125"/>
  <c r="K50" i="125"/>
  <c r="K75" i="125"/>
  <c r="K56" i="125"/>
  <c r="K91" i="125" s="1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K85" i="125" l="1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D3" i="133" l="1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P8" i="125" l="1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N37" i="125"/>
  <c r="K73" i="125"/>
  <c r="Q37" i="125"/>
  <c r="R37" i="125"/>
  <c r="U37" i="125"/>
  <c r="M37" i="125"/>
  <c r="T37" i="125"/>
  <c r="L37" i="125"/>
  <c r="P37" i="125"/>
  <c r="M73" i="125" l="1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<sst xmlns="http://schemas.openxmlformats.org/spreadsheetml/2006/main" count="1848" uniqueCount="478">
  <si>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</si>
  <si>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</si>
  <si>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</si>
  <si>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</si>
  <si>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</si>
  <si>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</si>
  <si>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</si>
  <si>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</si>
  <si>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</si>
  <si>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</si>
  <si>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</si>
  <si>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</si>
  <si>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</si>
  <si>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</si>
  <si>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</si>
  <si>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</si>
  <si>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</si>
  <si>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</si>
  <si>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</si>
  <si>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</si>
  <si>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</si>
  <si>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</si>
  <si>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</si>
  <si>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</si>
  <si>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</si>
  <si>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</si>
  <si>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</si>
  <si>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</si>
  <si>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</si>
  <si>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</si>
  <si>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</si>
  <si>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</si>
  <si>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</si>
  <si>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</si>
  <si>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</si>
  <si>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</si>
  <si>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</si>
  <si>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</si>
  <si>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</si>
  <si>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</si>
  <si>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</si>
  <si>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</si>
  <si>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</si>
  <si>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</si>
  <si>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</si>
  <si>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</si>
  <si>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</si>
  <si>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</si>
  <si>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</si>
  <si>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</si>
  <si>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</si>
  <si>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</si>
  <si>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</si>
  <si>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</si>
  <si>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</si>
  <si>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</si>
  <si>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</si>
  <si>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</si>
  <si>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</si>
  <si>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</si>
  <si>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</si>
  <si>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</si>
  <si>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</si>
  <si>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</si>
  <si>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</si>
  <si>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</si>
  <si>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</si>
  <si>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</si>
  <si>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</si>
  <si>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</si>
  <si>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</si>
  <si>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</si>
  <si>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</si>
  <si>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</si>
  <si>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</si>
  <si>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</si>
  <si>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</si>
  <si>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</si>
  <si>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</si>
  <si>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</si>
  <si>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</si>
  <si>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</si>
  <si>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</si>
  <si>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</si>
  <si>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</si>
  <si>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</si>
  <si>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</si>
  <si>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</si>
  <si>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</si>
  <si>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</si>
  <si>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</si>
  <si>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</si>
  <si>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</si>
  <si>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</si>
  <si>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</si>
  <si>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</si>
  <si>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</si>
  <si>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</si>
  <si>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</si>
  <si>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</si>
  <si>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</si>
  <si>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</si>
  <si>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</si>
  <si>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</si>
  <si>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</si>
  <si>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</si>
  <si>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</si>
  <si>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</si>
  <si>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</si>
  <si>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</si>
  <si>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</si>
  <si>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</si>
  <si>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</si>
  <si>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</si>
  <si>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</si>
  <si>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</si>
  <si>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</si>
  <si>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</si>
  <si>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</si>
  <si>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</si>
  <si>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</si>
  <si>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</si>
  <si>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</si>
  <si>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</si>
  <si>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</si>
  <si>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</si>
  <si>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</si>
  <si>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</si>
  <si>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</si>
  <si>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</si>
  <si>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</si>
  <si>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</si>
  <si>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</si>
  <si>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</si>
  <si>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</si>
  <si>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</si>
  <si>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</si>
  <si>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</si>
  <si>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</si>
  <si>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</si>
  <si>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</si>
  <si>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</si>
  <si>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</si>
  <si>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</si>
  <si>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</si>
  <si>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</si>
  <si>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</si>
  <si>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</si>
  <si>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</si>
  <si>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</si>
  <si>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</si>
  <si>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</si>
  <si>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</si>
  <si>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</si>
  <si>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</si>
  <si>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</si>
  <si>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</si>
  <si>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</si>
  <si>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</si>
  <si>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</si>
  <si>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</si>
  <si>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</si>
  <si>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</si>
  <si>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</si>
  <si>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</si>
  <si>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</si>
  <si>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</si>
  <si>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</si>
  <si>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</si>
  <si>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</si>
  <si>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</si>
  <si>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</si>
  <si>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</si>
  <si>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</si>
  <si>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</si>
  <si>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</si>
  <si>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</si>
  <si>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</si>
  <si>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</si>
  <si>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</si>
  <si>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</si>
  <si>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</si>
  <si>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</si>
  <si>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</si>
  <si>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</si>
  <si>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</si>
  <si>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</si>
  <si>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</si>
  <si>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</si>
  <si>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</si>
  <si>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</si>
  <si>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</si>
  <si>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</si>
  <si>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</si>
  <si>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</si>
  <si>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</si>
  <si>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</si>
  <si>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</si>
  <si>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</si>
  <si>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</si>
  <si>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</si>
  <si>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</si>
  <si>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</si>
  <si>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</si>
  <si>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</si>
  <si>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</si>
  <si>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</si>
  <si>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</si>
  <si>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</si>
  <si>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</si>
  <si>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</si>
  <si>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</si>
  <si>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</si>
  <si>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</si>
  <si>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</si>
  <si>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</si>
  <si>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</si>
  <si>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</si>
  <si>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</si>
  <si>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</si>
  <si>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</si>
  <si>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</si>
  <si>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</si>
  <si>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</si>
  <si>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</si>
  <si>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</si>
  <si>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</si>
  <si>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</si>
  <si>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</si>
  <si>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</si>
  <si>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</si>
  <si>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</si>
  <si>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</si>
  <si>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</si>
  <si>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</si>
  <si>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</si>
  <si>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</si>
  <si>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</si>
  <si>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</si>
  <si>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</si>
  <si>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</si>
  <si>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</si>
  <si>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</si>
  <si>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</si>
  <si>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</si>
  <si>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</si>
  <si>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</si>
  <si>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</si>
  <si>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</si>
  <si>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</si>
  <si>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</si>
  <si>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</si>
  <si>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</si>
  <si>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</si>
  <si>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</si>
  <si>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</si>
  <si>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</si>
  <si>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</si>
  <si>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</si>
  <si>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</si>
  <si>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</si>
  <si>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</si>
  <si>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</si>
  <si>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</si>
  <si>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</si>
  <si>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</si>
  <si>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</si>
  <si>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</si>
  <si>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</si>
  <si>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</si>
  <si>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</si>
  <si>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</si>
  <si>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</si>
  <si>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</si>
  <si>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</si>
  <si>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</si>
  <si>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</si>
  <si>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</si>
  <si>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</si>
  <si>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</si>
  <si>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</si>
  <si>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</si>
  <si>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</si>
  <si>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</si>
  <si>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</si>
  <si>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</si>
  <si>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</si>
  <si>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</si>
  <si>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</si>
  <si>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</si>
  <si>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</si>
  <si>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</si>
  <si>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</si>
  <si>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</si>
  <si>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</si>
  <si>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</si>
  <si>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</si>
  <si>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</si>
  <si>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</si>
  <si>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</si>
  <si>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</si>
  <si>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</si>
  <si>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</si>
  <si>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</si>
  <si>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</si>
  <si>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</si>
  <si>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</si>
  <si>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</si>
  <si>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</si>
  <si>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</si>
  <si>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</si>
  <si>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</si>
  <si>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</si>
  <si>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</si>
  <si>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</si>
  <si>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</si>
  <si>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</si>
  <si>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</si>
  <si>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</si>
  <si>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</si>
  <si>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</si>
  <si>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</si>
  <si>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</si>
  <si>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</si>
  <si>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</si>
  <si>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</si>
  <si>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</si>
  <si>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</si>
  <si>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</si>
  <si>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</si>
  <si>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</si>
  <si>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</si>
  <si>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</si>
  <si>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</si>
  <si>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</si>
  <si>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</si>
  <si>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</si>
  <si>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</si>
  <si>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</si>
  <si>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</si>
  <si>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</si>
  <si>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</si>
  <si>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</si>
  <si>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</si>
  <si>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</si>
  <si>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</si>
  <si>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</si>
  <si>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</si>
  <si>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</si>
  <si>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</si>
  <si>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</si>
  <si>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</si>
  <si>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</si>
  <si>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</si>
  <si>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</si>
  <si>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</si>
  <si>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</si>
  <si>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</si>
  <si>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</si>
  <si>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</si>
  <si>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</si>
  <si>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</si>
  <si>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</si>
  <si>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</si>
  <si>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</si>
  <si>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</si>
  <si>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</si>
  <si>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</si>
  <si>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</si>
  <si>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</si>
  <si>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</si>
  <si>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</si>
  <si>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</si>
  <si>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</si>
  <si>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</si>
  <si>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</si>
  <si>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</si>
  <si>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</si>
  <si>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</si>
  <si>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</si>
  <si>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</si>
  <si>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</si>
  <si>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</si>
  <si>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</si>
  <si>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</si>
  <si>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</si>
  <si>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</si>
  <si>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</si>
  <si>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</si>
  <si>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</si>
  <si>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</si>
  <si>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</si>
  <si>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</si>
  <si>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</si>
  <si>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</si>
  <si>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</si>
  <si>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</si>
  <si>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</si>
  <si>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</si>
  <si>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</si>
  <si>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</si>
  <si>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</si>
  <si>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</si>
  <si>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</si>
  <si>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</si>
  <si>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</si>
  <si>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</si>
  <si>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</si>
  <si>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</si>
  <si>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</si>
  <si>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</si>
  <si>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</si>
  <si>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</si>
  <si>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</si>
  <si>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</si>
  <si>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</si>
  <si>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</si>
  <si>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</si>
  <si>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</si>
  <si>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</si>
  <si>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</si>
  <si>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</si>
  <si>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</si>
  <si>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</si>
  <si>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</si>
  <si>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</si>
  <si>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</si>
  <si>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</si>
  <si>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</si>
  <si>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</si>
  <si>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</si>
  <si>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</si>
  <si>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</si>
  <si>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</si>
  <si>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</si>
  <si>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</si>
  <si>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</si>
  <si>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</si>
  <si>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</si>
  <si>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</si>
  <si>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Location name</t>
  </si>
  <si>
    <t>Layer name</t>
  </si>
  <si>
    <t>location</t>
  </si>
  <si>
    <t>Output</t>
  </si>
  <si>
    <t>Preparer</t>
  </si>
  <si>
    <t>FKMV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</si>
  <si>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</si>
  <si>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</si>
  <si>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</si>
  <si>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</si>
  <si>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</si>
  <si>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</si>
  <si>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</si>
  <si>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</si>
  <si>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</si>
  <si>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</si>
  <si>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</si>
  <si>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</si>
  <si>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</si>
  <si>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</si>
  <si>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</si>
  <si>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</si>
  <si>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</si>
  <si>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</si>
  <si>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</si>
  <si>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</si>
  <si>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</si>
  <si>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</si>
  <si>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</si>
  <si>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</si>
  <si>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</si>
  <si>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L10</t>
  </si>
  <si>
    <t>32</t>
  </si>
  <si>
    <t>43</t>
  </si>
  <si>
    <t>47</t>
  </si>
  <si>
    <t>69</t>
  </si>
  <si>
    <t>11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</si>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</sst>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17" fillId="5" borderId="0" applyNumberFormat="0" applyBorder="0" applyAlignment="0" applyProtection="0"/>
    <xf numFmtId="0" fontId="15" fillId="0" borderId="0"/>
    <xf numFmtId="0" fontId="10" fillId="0" borderId="0"/>
    <xf numFmtId="0" fontId="7" fillId="0" borderId="0"/>
    <xf numFmtId="0" fontId="26" fillId="0" borderId="0"/>
    <xf numFmtId="0" fontId="5" fillId="0" borderId="0"/>
  </cellStyleXfs>
  <cellXfs count="177">
    <xf numFmtId="0" fontId="0" fillId="0" borderId="0" xfId="0"/>
    <xf numFmtId="0" fontId="16" fillId="0" borderId="0" xfId="0" applyFont="1"/>
    <xf numFmtId="0" fontId="15" fillId="0" borderId="0" xfId="2"/>
    <xf numFmtId="0" fontId="18" fillId="9" borderId="7" xfId="2" applyFont="1" applyFill="1" applyBorder="1"/>
    <xf numFmtId="2" fontId="18" fillId="0" borderId="2" xfId="2" applyNumberFormat="1" applyFont="1" applyBorder="1"/>
    <xf numFmtId="0" fontId="15" fillId="2" borderId="0" xfId="2" applyFill="1"/>
    <xf numFmtId="0" fontId="20" fillId="8" borderId="9" xfId="2" applyFont="1" applyFill="1" applyBorder="1"/>
    <xf numFmtId="0" fontId="15" fillId="9" borderId="0" xfId="2" applyFill="1" applyBorder="1"/>
    <xf numFmtId="0" fontId="15" fillId="10" borderId="12" xfId="2" applyFill="1" applyBorder="1"/>
    <xf numFmtId="0" fontId="20" fillId="8" borderId="14" xfId="2" applyFont="1" applyFill="1" applyBorder="1"/>
    <xf numFmtId="0" fontId="15" fillId="9" borderId="12" xfId="2" applyFill="1" applyBorder="1"/>
    <xf numFmtId="0" fontId="20" fillId="8" borderId="16" xfId="2" applyFont="1" applyFill="1" applyBorder="1"/>
    <xf numFmtId="0" fontId="20" fillId="3" borderId="5" xfId="2" applyFont="1" applyFill="1" applyBorder="1"/>
    <xf numFmtId="0" fontId="20" fillId="3" borderId="9" xfId="2" applyFont="1" applyFill="1" applyBorder="1"/>
    <xf numFmtId="0" fontId="20" fillId="3" borderId="14" xfId="2" applyFont="1" applyFill="1" applyBorder="1"/>
    <xf numFmtId="0" fontId="15" fillId="4" borderId="0" xfId="2" applyFill="1"/>
    <xf numFmtId="0" fontId="20" fillId="3" borderId="16" xfId="2" applyFont="1" applyFill="1" applyBorder="1"/>
    <xf numFmtId="0" fontId="18" fillId="9" borderId="8" xfId="2" applyFont="1" applyFill="1" applyBorder="1"/>
    <xf numFmtId="0" fontId="18" fillId="9" borderId="2" xfId="2" applyFont="1" applyFill="1" applyBorder="1"/>
    <xf numFmtId="0" fontId="15" fillId="9" borderId="13" xfId="2" applyFill="1" applyBorder="1"/>
    <xf numFmtId="0" fontId="15" fillId="9" borderId="1" xfId="2" applyFill="1" applyBorder="1"/>
    <xf numFmtId="0" fontId="15" fillId="9" borderId="19" xfId="2" applyFill="1" applyBorder="1"/>
    <xf numFmtId="0" fontId="15" fillId="9" borderId="20" xfId="2" applyFill="1" applyBorder="1"/>
    <xf numFmtId="0" fontId="18" fillId="0" borderId="16" xfId="2" applyFont="1" applyBorder="1"/>
    <xf numFmtId="0" fontId="15" fillId="0" borderId="0" xfId="2" applyBorder="1"/>
    <xf numFmtId="0" fontId="15" fillId="0" borderId="0" xfId="2" applyAlignment="1"/>
    <xf numFmtId="0" fontId="15" fillId="2" borderId="7" xfId="2" applyFill="1" applyBorder="1"/>
    <xf numFmtId="0" fontId="14" fillId="0" borderId="0" xfId="2" applyFont="1"/>
    <xf numFmtId="0" fontId="15" fillId="13" borderId="0" xfId="2" applyFill="1"/>
    <xf numFmtId="0" fontId="13" fillId="0" borderId="0" xfId="2" applyFont="1"/>
    <xf numFmtId="0" fontId="12" fillId="0" borderId="0" xfId="2" applyFont="1"/>
    <xf numFmtId="2" fontId="18" fillId="9" borderId="2" xfId="2" applyNumberFormat="1" applyFont="1" applyFill="1" applyBorder="1"/>
    <xf numFmtId="0" fontId="15" fillId="14" borderId="0" xfId="2" applyFill="1"/>
    <xf numFmtId="0" fontId="12" fillId="15" borderId="0" xfId="2" applyFont="1" applyFill="1"/>
    <xf numFmtId="0" fontId="15" fillId="15" borderId="0" xfId="2" applyFill="1"/>
    <xf numFmtId="0" fontId="15" fillId="16" borderId="0" xfId="2" applyFill="1"/>
    <xf numFmtId="0" fontId="20" fillId="11" borderId="10" xfId="2" applyFont="1" applyFill="1" applyBorder="1"/>
    <xf numFmtId="0" fontId="20" fillId="11" borderId="17" xfId="2" applyFont="1" applyFill="1" applyBorder="1"/>
    <xf numFmtId="0" fontId="21" fillId="0" borderId="0" xfId="0" applyFont="1"/>
    <xf numFmtId="0" fontId="11" fillId="0" borderId="0" xfId="2" applyFont="1"/>
    <xf numFmtId="0" fontId="9" fillId="0" borderId="0" xfId="2" applyFont="1"/>
    <xf numFmtId="0" fontId="18" fillId="18" borderId="20" xfId="2" applyFont="1" applyFill="1" applyBorder="1"/>
    <xf numFmtId="0" fontId="8" fillId="0" borderId="0" xfId="2" applyFont="1"/>
    <xf numFmtId="0" fontId="24" fillId="0" borderId="0" xfId="0" applyFont="1" applyBorder="1" applyAlignment="1">
      <alignment horizontal="right" vertical="center" wrapText="1"/>
    </xf>
    <xf numFmtId="11" fontId="15" fillId="0" borderId="0" xfId="2" applyNumberFormat="1"/>
    <xf numFmtId="0" fontId="6" fillId="9" borderId="0" xfId="2" applyFont="1" applyFill="1" applyBorder="1"/>
    <xf numFmtId="11" fontId="24" fillId="0" borderId="0" xfId="0" applyNumberFormat="1" applyFont="1" applyBorder="1" applyAlignment="1">
      <alignment horizontal="right" vertical="center" wrapText="1"/>
    </xf>
    <xf numFmtId="3" fontId="15" fillId="0" borderId="0" xfId="2" applyNumberFormat="1"/>
    <xf numFmtId="3" fontId="24" fillId="0" borderId="0" xfId="0" applyNumberFormat="1" applyFont="1" applyBorder="1" applyAlignment="1">
      <alignment horizontal="right" vertical="center" wrapText="1"/>
    </xf>
    <xf numFmtId="2" fontId="15" fillId="0" borderId="0" xfId="2" applyNumberFormat="1"/>
    <xf numFmtId="0" fontId="0" fillId="0" borderId="0" xfId="0" applyNumberFormat="1"/>
    <xf numFmtId="0" fontId="15" fillId="0" borderId="11" xfId="2" applyBorder="1"/>
    <xf numFmtId="0" fontId="15" fillId="11" borderId="11" xfId="2" applyFill="1" applyBorder="1"/>
    <xf numFmtId="0" fontId="17" fillId="5" borderId="21" xfId="1" applyBorder="1"/>
    <xf numFmtId="0" fontId="15" fillId="11" borderId="0" xfId="2" applyFill="1" applyBorder="1"/>
    <xf numFmtId="0" fontId="17" fillId="5" borderId="13" xfId="1" applyBorder="1"/>
    <xf numFmtId="0" fontId="17" fillId="5" borderId="0" xfId="1" applyBorder="1"/>
    <xf numFmtId="0" fontId="15" fillId="0" borderId="1" xfId="2" applyBorder="1"/>
    <xf numFmtId="0" fontId="15" fillId="11" borderId="1" xfId="2" applyFill="1" applyBorder="1"/>
    <xf numFmtId="0" fontId="17" fillId="5" borderId="1" xfId="1" applyBorder="1"/>
    <xf numFmtId="0" fontId="17" fillId="5" borderId="19" xfId="1" applyBorder="1"/>
    <xf numFmtId="0" fontId="18" fillId="0" borderId="19" xfId="2" applyFont="1" applyBorder="1"/>
    <xf numFmtId="0" fontId="18" fillId="0" borderId="17" xfId="2" applyFont="1" applyBorder="1"/>
    <xf numFmtId="0" fontId="18" fillId="0" borderId="2" xfId="2" applyFont="1" applyBorder="1"/>
    <xf numFmtId="0" fontId="18" fillId="0" borderId="8" xfId="2" applyFont="1" applyBorder="1" applyAlignment="1"/>
    <xf numFmtId="0" fontId="18" fillId="0" borderId="3" xfId="2" applyFont="1" applyBorder="1" applyAlignment="1"/>
    <xf numFmtId="0" fontId="18" fillId="18" borderId="0" xfId="2" applyFont="1" applyFill="1"/>
    <xf numFmtId="0" fontId="26" fillId="0" borderId="0" xfId="5"/>
    <xf numFmtId="0" fontId="16" fillId="0" borderId="0" xfId="5" quotePrefix="1" applyFont="1" applyAlignment="1">
      <alignment horizontal="center" vertical="center"/>
    </xf>
    <xf numFmtId="0" fontId="26" fillId="0" borderId="0" xfId="5" applyAlignment="1">
      <alignment horizontal="center" vertical="center"/>
    </xf>
    <xf numFmtId="0" fontId="26" fillId="0" borderId="0" xfId="5" applyAlignment="1">
      <alignment vertical="center"/>
    </xf>
    <xf numFmtId="0" fontId="3" fillId="0" borderId="0" xfId="2" applyFont="1"/>
    <xf numFmtId="0" fontId="18" fillId="9" borderId="20" xfId="2" applyFont="1" applyFill="1" applyBorder="1"/>
    <xf numFmtId="0" fontId="18" fillId="9" borderId="11" xfId="2" applyFont="1" applyFill="1" applyBorder="1"/>
    <xf numFmtId="0" fontId="18" fillId="9" borderId="21" xfId="2" applyFont="1" applyFill="1" applyBorder="1"/>
    <xf numFmtId="0" fontId="6" fillId="9" borderId="11" xfId="2" applyFont="1" applyFill="1" applyBorder="1"/>
    <xf numFmtId="0" fontId="15" fillId="9" borderId="11" xfId="2" applyFill="1" applyBorder="1"/>
    <xf numFmtId="0" fontId="15" fillId="9" borderId="21" xfId="2" applyFill="1" applyBorder="1"/>
    <xf numFmtId="0" fontId="15" fillId="9" borderId="7" xfId="2" applyFill="1" applyBorder="1"/>
    <xf numFmtId="0" fontId="15" fillId="9" borderId="17" xfId="2" applyFill="1" applyBorder="1"/>
    <xf numFmtId="0" fontId="2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0" fillId="0" borderId="1" xfId="0" applyBorder="1"/>
    <xf numFmtId="22" fontId="0" fillId="0" borderId="0" xfId="0" applyNumberFormat="1"/>
    <xf numFmtId="0" fontId="1" fillId="0" borderId="0" xfId="2" applyFont="1" applyBorder="1"/>
    <xf numFmtId="0" fontId="24" fillId="0" borderId="13" xfId="0" applyFont="1" applyBorder="1" applyAlignment="1">
      <alignment horizontal="right" vertical="center" wrapText="1"/>
    </xf>
    <xf numFmtId="0" fontId="15" fillId="0" borderId="13" xfId="2" applyBorder="1"/>
    <xf numFmtId="0" fontId="15" fillId="0" borderId="19" xfId="2" applyBorder="1"/>
    <xf numFmtId="0" fontId="15" fillId="10" borderId="7" xfId="2" applyFill="1" applyBorder="1"/>
    <xf numFmtId="0" fontId="15" fillId="10" borderId="17" xfId="2" applyFill="1" applyBorder="1"/>
    <xf numFmtId="0" fontId="23" fillId="0" borderId="0" xfId="0" applyFont="1" applyFill="1" applyBorder="1" applyAlignment="1">
      <alignment horizontal="right" vertical="center" wrapText="1"/>
    </xf>
    <xf numFmtId="0" fontId="4" fillId="0" borderId="0" xfId="2" applyFont="1" applyBorder="1"/>
    <xf numFmtId="0" fontId="20" fillId="3" borderId="6" xfId="2" applyFont="1" applyFill="1" applyBorder="1" applyAlignment="1">
      <alignment horizontal="left"/>
    </xf>
    <xf numFmtId="0" fontId="20" fillId="3" borderId="10" xfId="2" applyFont="1" applyFill="1" applyBorder="1" applyAlignment="1">
      <alignment horizontal="left"/>
    </xf>
    <xf numFmtId="0" fontId="20" fillId="3" borderId="15" xfId="2" applyFont="1" applyFill="1" applyBorder="1" applyAlignment="1">
      <alignment horizontal="left"/>
    </xf>
    <xf numFmtId="16" fontId="20" fillId="3" borderId="10" xfId="2" applyNumberFormat="1" applyFont="1" applyFill="1" applyBorder="1" applyAlignment="1">
      <alignment horizontal="left"/>
    </xf>
    <xf numFmtId="0" fontId="20" fillId="3" borderId="29" xfId="2" applyFont="1" applyFill="1" applyBorder="1" applyAlignment="1">
      <alignment horizontal="left"/>
    </xf>
    <xf numFmtId="0" fontId="18" fillId="6" borderId="8" xfId="2" applyFont="1" applyFill="1" applyBorder="1"/>
    <xf numFmtId="0" fontId="18" fillId="6" borderId="3" xfId="2" applyFont="1" applyFill="1" applyBorder="1"/>
    <xf numFmtId="0" fontId="18" fillId="6" borderId="30" xfId="2" applyFont="1" applyFill="1" applyBorder="1"/>
    <xf numFmtId="0" fontId="18" fillId="6" borderId="31" xfId="2" applyFont="1" applyFill="1" applyBorder="1"/>
    <xf numFmtId="0" fontId="18" fillId="6" borderId="32" xfId="2" applyFont="1" applyFill="1" applyBorder="1"/>
    <xf numFmtId="0" fontId="20" fillId="9" borderId="5" xfId="2" applyFont="1" applyFill="1" applyBorder="1"/>
    <xf numFmtId="0" fontId="20" fillId="9" borderId="6" xfId="2" applyFont="1" applyFill="1" applyBorder="1"/>
    <xf numFmtId="0" fontId="20" fillId="9" borderId="9" xfId="2" applyFont="1" applyFill="1" applyBorder="1"/>
    <xf numFmtId="0" fontId="20" fillId="9" borderId="10" xfId="2" applyFont="1" applyFill="1" applyBorder="1"/>
    <xf numFmtId="0" fontId="20" fillId="9" borderId="14" xfId="2" applyFont="1" applyFill="1" applyBorder="1"/>
    <xf numFmtId="0" fontId="20" fillId="9" borderId="15" xfId="2" applyFont="1" applyFill="1" applyBorder="1"/>
    <xf numFmtId="0" fontId="20" fillId="9" borderId="16" xfId="2" applyFont="1" applyFill="1" applyBorder="1"/>
    <xf numFmtId="0" fontId="20" fillId="9" borderId="17" xfId="2" applyFont="1" applyFill="1" applyBorder="1"/>
    <xf numFmtId="0" fontId="20" fillId="9" borderId="10" xfId="2" applyFont="1" applyFill="1" applyBorder="1" applyAlignment="1">
      <alignment horizontal="left"/>
    </xf>
    <xf numFmtId="0" fontId="18" fillId="6" borderId="2" xfId="2" applyFont="1" applyFill="1" applyBorder="1" applyAlignment="1"/>
    <xf numFmtId="0" fontId="18" fillId="6" borderId="4" xfId="2" applyFont="1" applyFill="1" applyBorder="1" applyAlignment="1"/>
    <xf numFmtId="0" fontId="18" fillId="6" borderId="3" xfId="2" applyFont="1" applyFill="1" applyBorder="1" applyAlignment="1"/>
    <xf numFmtId="0" fontId="18" fillId="20" borderId="8" xfId="2" applyFont="1" applyFill="1" applyBorder="1"/>
    <xf numFmtId="0" fontId="15" fillId="14" borderId="18" xfId="2" applyFill="1" applyBorder="1"/>
    <xf numFmtId="0" fontId="15" fillId="14" borderId="0" xfId="2" applyFill="1" applyBorder="1"/>
    <xf numFmtId="0" fontId="15" fillId="14" borderId="13" xfId="2" applyFill="1" applyBorder="1"/>
    <xf numFmtId="3" fontId="24" fillId="14" borderId="18" xfId="0" applyNumberFormat="1" applyFont="1" applyFill="1" applyBorder="1" applyAlignment="1">
      <alignment horizontal="right" vertical="center" wrapText="1"/>
    </xf>
    <xf numFmtId="3" fontId="24" fillId="14" borderId="0" xfId="0" applyNumberFormat="1" applyFont="1" applyFill="1" applyBorder="1" applyAlignment="1">
      <alignment horizontal="right" vertical="center" wrapText="1"/>
    </xf>
    <xf numFmtId="0" fontId="24" fillId="14" borderId="0" xfId="0" applyFont="1" applyFill="1" applyBorder="1" applyAlignment="1">
      <alignment horizontal="right" vertical="center" wrapText="1"/>
    </xf>
    <xf numFmtId="11" fontId="24" fillId="14" borderId="0" xfId="0" applyNumberFormat="1" applyFont="1" applyFill="1" applyBorder="1" applyAlignment="1">
      <alignment horizontal="right" vertical="center" wrapText="1"/>
    </xf>
    <xf numFmtId="3" fontId="24" fillId="14" borderId="16" xfId="0" applyNumberFormat="1" applyFont="1" applyFill="1" applyBorder="1" applyAlignment="1">
      <alignment horizontal="right" vertical="center" wrapText="1"/>
    </xf>
    <xf numFmtId="3" fontId="24" fillId="14" borderId="1" xfId="0" applyNumberFormat="1" applyFont="1" applyFill="1" applyBorder="1" applyAlignment="1">
      <alignment horizontal="right" vertical="center" wrapText="1"/>
    </xf>
    <xf numFmtId="0" fontId="24" fillId="14" borderId="1" xfId="0" applyFont="1" applyFill="1" applyBorder="1" applyAlignment="1">
      <alignment horizontal="right" vertical="center" wrapText="1"/>
    </xf>
    <xf numFmtId="0" fontId="15" fillId="14" borderId="1" xfId="2" applyFill="1" applyBorder="1"/>
    <xf numFmtId="0" fontId="15" fillId="14" borderId="19" xfId="2" applyFill="1" applyBorder="1"/>
    <xf numFmtId="0" fontId="18" fillId="7" borderId="8" xfId="2" applyFont="1" applyFill="1" applyBorder="1"/>
    <xf numFmtId="2" fontId="18" fillId="7" borderId="2" xfId="2" applyNumberFormat="1" applyFont="1" applyFill="1" applyBorder="1"/>
    <xf numFmtId="2" fontId="18" fillId="7" borderId="8" xfId="2" applyNumberFormat="1" applyFont="1" applyFill="1" applyBorder="1"/>
    <xf numFmtId="0" fontId="24" fillId="10" borderId="24" xfId="0" applyFont="1" applyFill="1" applyBorder="1" applyAlignment="1">
      <alignment horizontal="right" vertical="center" wrapText="1"/>
    </xf>
    <xf numFmtId="0" fontId="24" fillId="10" borderId="25" xfId="0" applyFont="1" applyFill="1" applyBorder="1" applyAlignment="1">
      <alignment horizontal="right" vertical="center" wrapText="1"/>
    </xf>
    <xf numFmtId="0" fontId="24" fillId="10" borderId="22" xfId="0" applyFont="1" applyFill="1" applyBorder="1" applyAlignment="1">
      <alignment horizontal="right" vertical="center" wrapText="1"/>
    </xf>
    <xf numFmtId="0" fontId="24" fillId="10" borderId="26" xfId="0" applyFont="1" applyFill="1" applyBorder="1" applyAlignment="1">
      <alignment horizontal="right" vertical="center" wrapText="1"/>
    </xf>
    <xf numFmtId="11" fontId="24" fillId="10" borderId="22" xfId="0" applyNumberFormat="1" applyFont="1" applyFill="1" applyBorder="1" applyAlignment="1">
      <alignment horizontal="right" vertical="center" wrapText="1"/>
    </xf>
    <xf numFmtId="0" fontId="16" fillId="10" borderId="22" xfId="0" applyFont="1" applyFill="1" applyBorder="1" applyAlignment="1">
      <alignment horizontal="right" vertical="center" wrapText="1"/>
    </xf>
    <xf numFmtId="11" fontId="16" fillId="10" borderId="22" xfId="0" applyNumberFormat="1" applyFont="1" applyFill="1" applyBorder="1" applyAlignment="1">
      <alignment horizontal="right" vertical="center" wrapText="1"/>
    </xf>
    <xf numFmtId="0" fontId="24" fillId="10" borderId="27" xfId="0" applyFont="1" applyFill="1" applyBorder="1" applyAlignment="1">
      <alignment horizontal="right" vertical="center" wrapText="1"/>
    </xf>
    <xf numFmtId="0" fontId="24" fillId="10" borderId="28" xfId="0" applyFont="1" applyFill="1" applyBorder="1" applyAlignment="1">
      <alignment horizontal="right" vertical="center" wrapText="1"/>
    </xf>
    <xf numFmtId="0" fontId="20" fillId="11" borderId="18" xfId="2" applyFont="1" applyFill="1" applyBorder="1"/>
    <xf numFmtId="0" fontId="1" fillId="0" borderId="0" xfId="2" applyFont="1" applyFill="1"/>
    <xf numFmtId="0" fontId="4" fillId="0" borderId="11" xfId="2" applyFont="1" applyBorder="1"/>
    <xf numFmtId="0" fontId="1" fillId="0" borderId="11" xfId="2" applyFont="1" applyBorder="1"/>
    <xf numFmtId="0" fontId="23" fillId="0" borderId="11" xfId="0" applyFont="1" applyFill="1" applyBorder="1" applyAlignment="1">
      <alignment horizontal="right" vertical="center" wrapText="1"/>
    </xf>
    <xf numFmtId="0" fontId="18" fillId="6" borderId="19" xfId="2" applyFont="1" applyFill="1" applyBorder="1"/>
    <xf numFmtId="0" fontId="18" fillId="6" borderId="33" xfId="2" applyFont="1" applyFill="1" applyBorder="1"/>
    <xf numFmtId="0" fontId="18" fillId="6" borderId="34" xfId="2" applyFont="1" applyFill="1" applyBorder="1"/>
    <xf numFmtId="0" fontId="18" fillId="6" borderId="35" xfId="2" applyFont="1" applyFill="1" applyBorder="1"/>
    <xf numFmtId="0" fontId="25" fillId="6" borderId="16" xfId="0" applyFont="1" applyFill="1" applyBorder="1" applyAlignment="1">
      <alignment vertical="center" wrapText="1"/>
    </xf>
    <xf numFmtId="0" fontId="18" fillId="6" borderId="2" xfId="2" applyFont="1" applyFill="1" applyBorder="1" applyAlignment="1">
      <alignment horizontal="center"/>
    </xf>
    <xf numFmtId="0" fontId="18" fillId="6" borderId="4" xfId="2" applyFont="1" applyFill="1" applyBorder="1" applyAlignment="1">
      <alignment horizontal="center"/>
    </xf>
    <xf numFmtId="0" fontId="18" fillId="6" borderId="3" xfId="2" applyFont="1" applyFill="1" applyBorder="1" applyAlignment="1">
      <alignment horizontal="center"/>
    </xf>
    <xf numFmtId="0" fontId="19" fillId="6" borderId="2" xfId="2" applyFont="1" applyFill="1" applyBorder="1" applyAlignment="1">
      <alignment horizontal="center"/>
    </xf>
    <xf numFmtId="0" fontId="19" fillId="6" borderId="3" xfId="2" applyFont="1" applyFill="1" applyBorder="1" applyAlignment="1">
      <alignment horizontal="center"/>
    </xf>
    <xf numFmtId="0" fontId="18" fillId="7" borderId="2" xfId="2" applyFont="1" applyFill="1" applyBorder="1" applyAlignment="1">
      <alignment horizontal="center"/>
    </xf>
    <xf numFmtId="0" fontId="18" fillId="7" borderId="4" xfId="2" applyFont="1" applyFill="1" applyBorder="1" applyAlignment="1">
      <alignment horizontal="center"/>
    </xf>
    <xf numFmtId="0" fontId="18" fillId="7" borderId="3" xfId="2" applyFont="1" applyFill="1" applyBorder="1" applyAlignment="1">
      <alignment horizontal="center"/>
    </xf>
    <xf numFmtId="0" fontId="18" fillId="20" borderId="2" xfId="2" applyFont="1" applyFill="1" applyBorder="1" applyAlignment="1">
      <alignment horizontal="center"/>
    </xf>
    <xf numFmtId="0" fontId="18" fillId="20" borderId="4" xfId="2" applyFont="1" applyFill="1" applyBorder="1" applyAlignment="1">
      <alignment horizontal="center"/>
    </xf>
    <xf numFmtId="0" fontId="18" fillId="20" borderId="3" xfId="2" applyFont="1" applyFill="1" applyBorder="1" applyAlignment="1">
      <alignment horizontal="center"/>
    </xf>
    <xf numFmtId="0" fontId="19" fillId="12" borderId="2" xfId="2" applyFont="1" applyFill="1" applyBorder="1" applyAlignment="1">
      <alignment horizontal="center"/>
    </xf>
    <xf numFmtId="0" fontId="19" fillId="12" borderId="3" xfId="2" applyFont="1" applyFill="1" applyBorder="1" applyAlignment="1">
      <alignment horizontal="center"/>
    </xf>
    <xf numFmtId="0" fontId="15" fillId="0" borderId="18" xfId="2" applyBorder="1" applyAlignment="1">
      <alignment horizontal="center" vertical="center"/>
    </xf>
    <xf numFmtId="0" fontId="15" fillId="0" borderId="16" xfId="2" applyBorder="1" applyAlignment="1">
      <alignment horizontal="center" vertical="center"/>
    </xf>
    <xf numFmtId="0" fontId="15" fillId="17" borderId="20" xfId="2" applyFill="1" applyBorder="1" applyAlignment="1">
      <alignment horizontal="center" vertical="center"/>
    </xf>
    <xf numFmtId="0" fontId="15" fillId="17" borderId="18" xfId="2" applyFill="1" applyBorder="1" applyAlignment="1">
      <alignment horizontal="center" vertical="center"/>
    </xf>
    <xf numFmtId="0" fontId="15" fillId="17" borderId="16" xfId="2" applyFill="1" applyBorder="1" applyAlignment="1">
      <alignment horizontal="center" vertical="center"/>
    </xf>
    <xf numFmtId="0" fontId="15" fillId="0" borderId="20" xfId="2" applyBorder="1" applyAlignment="1">
      <alignment horizontal="center" vertical="center"/>
    </xf>
    <xf numFmtId="0" fontId="15" fillId="0" borderId="20" xfId="2" applyBorder="1" applyAlignment="1">
      <alignment horizontal="center"/>
    </xf>
    <xf numFmtId="0" fontId="15" fillId="0" borderId="21" xfId="2" applyBorder="1" applyAlignment="1">
      <alignment horizontal="center"/>
    </xf>
    <xf numFmtId="0" fontId="15" fillId="0" borderId="16" xfId="2" applyBorder="1" applyAlignment="1">
      <alignment horizontal="center"/>
    </xf>
    <xf numFmtId="0" fontId="15" fillId="0" borderId="19" xfId="2" applyBorder="1" applyAlignment="1">
      <alignment horizont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6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63"/>
      <tableStyleElement type="headerRow" dxfId="162"/>
      <tableStyleElement type="totalRow" dxfId="161"/>
      <tableStyleElement type="firstColumn" dxfId="160"/>
      <tableStyleElement type="lastColumn" dxfId="159"/>
      <tableStyleElement type="firstRowStripe" dxfId="158"/>
      <tableStyleElement type="secondRowStripe" dxfId="157"/>
      <tableStyleElement type="firstColumnStripe" dxfId="156"/>
      <tableStyleElement type="secondColumnStripe" dxfId="155"/>
    </tableStyle>
    <tableStyle name="FKMV_style_2" pivot="0" count="7" xr9:uid="{1CBD89A1-94B2-445A-A0F4-05CE2395308B}">
      <tableStyleElement type="wholeTable" dxfId="154"/>
      <tableStyleElement type="totalRow" dxfId="153"/>
      <tableStyleElement type="firstColumn" dxfId="152"/>
      <tableStyleElement type="firstRowStripe" dxfId="151"/>
      <tableStyleElement type="secondRowStripe" dxfId="150"/>
      <tableStyleElement type="firstColumnStripe" dxfId="149"/>
      <tableStyleElement type="secondColumnStripe" dxfId="148"/>
    </tableStyle>
    <tableStyle name="FKMV_style_no_header" pivot="0" count="8" xr9:uid="{CD166963-8293-4761-9835-30B0A7BBACF7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firstRowStripe" dxfId="142"/>
      <tableStyleElement type="secondRowStripe" dxfId="141"/>
      <tableStyleElement type="firstColumnStripe" dxfId="140"/>
    </tableStyle>
    <tableStyle name="TableStyleLight9 2" pivot="0" count="9" xr9:uid="{DA6047FE-FBAE-4B42-870C-C23B7AE904CF}">
      <tableStyleElement type="wholeTable" dxfId="139"/>
      <tableStyleElement type="headerRow" dxfId="138"/>
      <tableStyleElement type="totalRow" dxfId="137"/>
      <tableStyleElement type="firstColumn" dxfId="136"/>
      <tableStyleElement type="lastColumn" dxfId="135"/>
      <tableStyleElement type="firstRowStripe" dxfId="134"/>
      <tableStyleElement type="secondRowStripe" dxfId="133"/>
      <tableStyleElement type="firstColumnStripe" dxfId="132"/>
      <tableStyleElement type="secondColumnStripe" dxfId="1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36195</xdr:colOff>
      <xdr:row>43</xdr:row>
      <xdr:rowOff>66675</xdr:rowOff>
    </xdr:from>
    <xdr:to>
      <xdr:col>2</xdr:col>
      <xdr:colOff>528955</xdr:colOff>
      <xdr:row>61</xdr:row>
      <xdr:rowOff>1121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" y="6943725"/>
          <a:ext cx="2944495" cy="3157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K34" totalsRowShown="0" headerRowDxfId="130" headerRowBorderDxfId="129" tableBorderDxfId="128" headerRowCellStyle="Normal 2" dataCellStyle="Normal 2">
  <autoFilter ref="E3:K34" xr:uid="{F2BBA6ED-B345-4E30-A8F2-060B345A733E}"/>
  <tableColumns count="7">
    <tableColumn id="1" xr3:uid="{414A84B1-08A7-4D5D-B5C2-577E6F30CC4C}" name="Layer switch" dataDxfId="127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  <tableColumn id="7" xr3:uid="{5C52C039-E227-4106-A974-BF831E711B64}" name="Soil layer" dataDxfId="126">
      <calculatedColumnFormula>IF('Control Panel'!$E4="","",K3+1)</calculatedColumnFormula>
    </tableColumn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186" tableType="queryTable" totalsRowShown="0">
  <autoFilter ref="A1:E186" xr:uid="{A11908FE-CA7E-4612-A1DE-4C3DC224AD35}"/>
  <tableColumns count="5">
    <tableColumn id="1" xr3:uid="{5C927C2C-2904-44BF-96B8-BE364C752530}" uniqueName="1" name="name" queryTableFieldId="1" dataDxfId="125"/>
    <tableColumn id="2" xr3:uid="{D3F255F2-2A86-4157-9656-81F9A8679A3F}" uniqueName="2" name="project" queryTableFieldId="2" dataDxfId="124"/>
    <tableColumn id="6" xr3:uid="{8269866A-3784-4AB0-B598-56EDFF3DBF0E}" uniqueName="6" name="location" queryTableFieldId="72" dataDxfId="123"/>
    <tableColumn id="3" xr3:uid="{6F32062A-6396-48AD-96E4-AC8769C16D3B}" uniqueName="3" name="rev" queryTableFieldId="3"/>
    <tableColumn id="7" xr3:uid="{AD4376A9-64FE-4ADA-8EEA-29CD7077745B}" uniqueName="7" name="soil_type" queryTableFieldId="73" dataDxfId="1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8" tableType="queryTable" totalsRowShown="0">
  <autoFilter ref="A1:BV8" xr:uid="{A5D94D1B-C464-4416-9FC1-BFC80439ADB3}"/>
  <tableColumns count="74">
    <tableColumn id="1" xr3:uid="{29D2CB5E-420C-4D47-A545-A4BDF692C1F1}" uniqueName="1" name="name" queryTableFieldId="1" dataDxfId="121"/>
    <tableColumn id="2" xr3:uid="{0352DEE9-A2F6-4B8A-8599-04C147D10F35}" uniqueName="2" name="project" queryTableFieldId="2" dataDxfId="120"/>
    <tableColumn id="70" xr3:uid="{23A5CF1E-2DF6-4154-9133-1A1A589311EF}" uniqueName="70" name="location" queryTableFieldId="73" dataDxfId="119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18"/>
    <tableColumn id="4" xr3:uid="{555920D1-D4C3-4246-B1CC-654778957766}" uniqueName="4" name="notes" queryTableFieldId="4" dataDxfId="117"/>
    <tableColumn id="5" xr3:uid="{3C8B1387-C128-40BC-85BE-2A2258FF5090}" uniqueName="5" name="soil_type" queryTableFieldId="71" dataDxfId="116"/>
    <tableColumn id="6" xr3:uid="{B120AA35-A36C-4373-9DD8-C12E4ADEA753}" uniqueName="6" name="y_u_F" queryTableFieldId="6" dataDxfId="115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114"/>
    <tableColumn id="22" xr3:uid="{DDF2E8CC-8F90-4165-A9DD-0C0446BC0AE9}" uniqueName="22" name="tetam_u_F" queryTableFieldId="22" dataDxfId="113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112"/>
    <tableColumn id="38" xr3:uid="{AE0DC746-D8B2-43F4-92F2-2255EDBA42E9}" uniqueName="38" name="yB_u_F" queryTableFieldId="38" dataDxfId="111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110"/>
    <tableColumn id="54" xr3:uid="{F50B2D1F-8054-4D43-9D9F-605E7F01705A}" uniqueName="54" name="tetaMb_u_F" queryTableFieldId="54" dataDxfId="109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08"/>
    <tableColumn id="73" xr3:uid="{7F7595CC-9CAA-4AAD-9334-8C8C80E205C7}" uniqueName="73" name="preparer" queryTableFieldId="76" dataDxfId="107"/>
    <tableColumn id="74" xr3:uid="{2B2245A3-98F1-41AC-A071-CEB18F3D2C6B}" uniqueName="74" name="timestamp" queryTableFieldId="77" dataDxfId="10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zoomScaleNormal="100" workbookViewId="0">
      <selection activeCell="D18" sqref="D18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16384" width="9.140625" style="2"/>
  </cols>
  <sheetData>
    <row r="1" spans="2:49" ht="12" thickBot="1" x14ac:dyDescent="0.2"/>
    <row r="2" spans="2:49" ht="15.75" customHeight="1" thickBot="1" x14ac:dyDescent="0.2">
      <c r="B2" s="157" t="s">
        <v>77</v>
      </c>
      <c r="C2" s="158"/>
      <c r="K2" s="116" t="s">
        <v>78</v>
      </c>
      <c r="L2" s="117"/>
      <c r="M2" s="117"/>
      <c r="N2" s="117"/>
      <c r="O2" s="117"/>
      <c r="P2" s="117"/>
      <c r="Q2" s="117"/>
      <c r="R2" s="117"/>
      <c r="S2" s="117"/>
      <c r="T2" s="117"/>
      <c r="U2" s="118"/>
      <c r="W2" s="162" t="s">
        <v>461</v>
      </c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4"/>
      <c r="AN2" s="159" t="s">
        <v>79</v>
      </c>
      <c r="AO2" s="160"/>
      <c r="AP2" s="160"/>
      <c r="AQ2" s="160"/>
      <c r="AR2" s="160"/>
      <c r="AS2" s="160"/>
      <c r="AT2" s="160"/>
      <c r="AU2" s="160"/>
      <c r="AV2" s="160"/>
      <c r="AW2" s="161"/>
    </row>
    <row r="3" spans="2:49" ht="13.5" customHeight="1" thickBot="1" x14ac:dyDescent="0.2">
      <c r="B3" s="107" t="s">
        <v>80</v>
      </c>
      <c r="C3" s="108" t="s">
        <v>184</v>
      </c>
      <c r="E3" s="149" t="s">
        <v>460</v>
      </c>
      <c r="F3" s="150" t="s">
        <v>455</v>
      </c>
      <c r="G3" s="151" t="s">
        <v>237</v>
      </c>
      <c r="H3" s="152" t="s">
        <v>440</v>
      </c>
      <c r="I3" s="152" t="s">
        <v>238</v>
      </c>
      <c r="J3" s="152" t="s">
        <v>441</v>
      </c>
      <c r="K3" s="153" t="s">
        <v>82</v>
      </c>
      <c r="L3" s="4" t="s">
        <v>83</v>
      </c>
      <c r="M3" s="4" t="s">
        <v>136</v>
      </c>
      <c r="N3" s="4" t="s">
        <v>85</v>
      </c>
      <c r="O3" s="4" t="s">
        <v>139</v>
      </c>
      <c r="P3" s="4" t="s">
        <v>137</v>
      </c>
      <c r="Q3" s="102" t="s">
        <v>180</v>
      </c>
      <c r="R3" s="102" t="s">
        <v>180</v>
      </c>
      <c r="S3" s="102" t="s">
        <v>180</v>
      </c>
      <c r="T3" s="102" t="s">
        <v>180</v>
      </c>
      <c r="U3" s="103" t="s">
        <v>180</v>
      </c>
      <c r="V3" s="40"/>
      <c r="W3" s="119" t="s">
        <v>91</v>
      </c>
      <c r="X3" s="119" t="s">
        <v>92</v>
      </c>
      <c r="Y3" s="119" t="s">
        <v>93</v>
      </c>
      <c r="Z3" s="119" t="s">
        <v>94</v>
      </c>
      <c r="AA3" s="119" t="s">
        <v>95</v>
      </c>
      <c r="AB3" s="119" t="s">
        <v>96</v>
      </c>
      <c r="AC3" s="119" t="s">
        <v>97</v>
      </c>
      <c r="AD3" s="119" t="s">
        <v>98</v>
      </c>
      <c r="AE3" s="119" t="s">
        <v>99</v>
      </c>
      <c r="AF3" s="119" t="s">
        <v>100</v>
      </c>
      <c r="AG3" s="119" t="s">
        <v>101</v>
      </c>
      <c r="AH3" s="119" t="s">
        <v>102</v>
      </c>
      <c r="AI3" s="119" t="s">
        <v>103</v>
      </c>
      <c r="AJ3" s="119" t="s">
        <v>104</v>
      </c>
      <c r="AK3" s="119" t="s">
        <v>105</v>
      </c>
      <c r="AL3" s="119" t="s">
        <v>106</v>
      </c>
      <c r="AN3" s="132" t="s">
        <v>82</v>
      </c>
      <c r="AO3" s="133" t="s">
        <v>180</v>
      </c>
      <c r="AP3" s="133" t="s">
        <v>180</v>
      </c>
      <c r="AQ3" s="133" t="s">
        <v>180</v>
      </c>
      <c r="AR3" s="133" t="s">
        <v>180</v>
      </c>
      <c r="AS3" s="133" t="s">
        <v>180</v>
      </c>
      <c r="AT3" s="133" t="s">
        <v>180</v>
      </c>
      <c r="AU3" s="133" t="s">
        <v>180</v>
      </c>
      <c r="AV3" s="133" t="s">
        <v>180</v>
      </c>
      <c r="AW3" s="134" t="s">
        <v>180</v>
      </c>
    </row>
    <row r="4" spans="2:49" ht="12" thickBot="1" x14ac:dyDescent="0.2">
      <c r="B4" s="109" t="s">
        <v>112</v>
      </c>
      <c r="C4" s="110" t="s">
        <v>470</v>
      </c>
      <c r="E4" s="147">
        <v>1</v>
      </c>
      <c r="F4" s="146" t="s">
        <v>382</v>
      </c>
      <c r="G4" s="146" t="s">
        <v>244</v>
      </c>
      <c r="H4" s="146" t="s">
        <v>454</v>
      </c>
      <c r="I4" s="51">
        <v>0</v>
      </c>
      <c r="J4" s="147" t="s">
        <v>410</v>
      </c>
      <c r="K4" s="148">
        <v>1</v>
      </c>
      <c r="L4" s="24"/>
      <c r="M4" s="24"/>
      <c r="N4" s="24"/>
      <c r="O4" s="24"/>
      <c r="P4" s="24"/>
      <c r="Q4" s="24"/>
      <c r="R4" s="43"/>
      <c r="S4" s="43"/>
      <c r="T4" s="43"/>
      <c r="U4" s="90"/>
      <c r="W4" s="120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2"/>
      <c r="AN4" s="93">
        <f>IF(K4="","",K4)</f>
        <v>1</v>
      </c>
      <c r="AO4" s="135"/>
      <c r="AP4" s="135"/>
      <c r="AQ4" s="135"/>
      <c r="AR4" s="135"/>
      <c r="AS4" s="135"/>
      <c r="AT4" s="135"/>
      <c r="AU4" s="135"/>
      <c r="AV4" s="135"/>
      <c r="AW4" s="136"/>
    </row>
    <row r="5" spans="2:49" ht="12" thickBot="1" x14ac:dyDescent="0.2">
      <c r="B5" s="111" t="s">
        <v>107</v>
      </c>
      <c r="C5" s="112" t="s">
        <v>108</v>
      </c>
      <c r="E5" s="89">
        <v>1</v>
      </c>
      <c r="F5" s="96" t="s">
        <v>351</v>
      </c>
      <c r="G5" s="96" t="s">
        <v>244</v>
      </c>
      <c r="H5" s="96" t="s">
        <v>454</v>
      </c>
      <c r="I5" s="24">
        <v>1</v>
      </c>
      <c r="J5" s="96" t="s">
        <v>411</v>
      </c>
      <c r="K5" s="95">
        <f>IF('Control Panel'!$E5="","",K4+1)</f>
        <v>2</v>
      </c>
      <c r="L5" s="24"/>
      <c r="M5" s="24"/>
      <c r="N5" s="24"/>
      <c r="O5" s="24"/>
      <c r="P5" s="24"/>
      <c r="Q5" s="24"/>
      <c r="R5" s="43"/>
      <c r="S5" s="43"/>
      <c r="T5" s="43"/>
      <c r="U5" s="90"/>
      <c r="W5" s="120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2"/>
      <c r="AN5" s="8">
        <f t="shared" ref="AN5:AN28" si="0">IF(K5="","",K5)</f>
        <v>2</v>
      </c>
      <c r="AO5" s="137"/>
      <c r="AP5" s="137"/>
      <c r="AQ5" s="137"/>
      <c r="AR5" s="137"/>
      <c r="AS5" s="137"/>
      <c r="AT5" s="137"/>
      <c r="AU5" s="137"/>
      <c r="AV5" s="137"/>
      <c r="AW5" s="138"/>
    </row>
    <row r="6" spans="2:49" ht="12" thickBot="1" x14ac:dyDescent="0.2">
      <c r="B6" s="109" t="s">
        <v>109</v>
      </c>
      <c r="C6" s="110" t="s">
        <v>110</v>
      </c>
      <c r="E6" s="89">
        <v>1</v>
      </c>
      <c r="F6" s="96" t="s">
        <v>330</v>
      </c>
      <c r="G6" s="96" t="s">
        <v>244</v>
      </c>
      <c r="H6" s="96" t="s">
        <v>454</v>
      </c>
      <c r="I6" s="24">
        <v>1</v>
      </c>
      <c r="J6" s="96" t="s">
        <v>412</v>
      </c>
      <c r="K6" s="95">
        <f>IF('Control Panel'!$E6="","",K5+1)</f>
        <v>3</v>
      </c>
      <c r="L6" s="24"/>
      <c r="M6" s="24"/>
      <c r="N6" s="24"/>
      <c r="O6" s="24"/>
      <c r="P6" s="24"/>
      <c r="Q6" s="24"/>
      <c r="R6" s="43"/>
      <c r="S6" s="43"/>
      <c r="T6" s="43"/>
      <c r="U6" s="90"/>
      <c r="W6" s="120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2"/>
      <c r="AN6" s="8">
        <f t="shared" si="0"/>
        <v>3</v>
      </c>
      <c r="AO6" s="137"/>
      <c r="AP6" s="137"/>
      <c r="AQ6" s="137"/>
      <c r="AR6" s="137"/>
      <c r="AS6" s="137"/>
      <c r="AT6" s="137"/>
      <c r="AU6" s="137"/>
      <c r="AV6" s="137"/>
      <c r="AW6" s="138"/>
    </row>
    <row r="7" spans="2:49" ht="12" thickBot="1" x14ac:dyDescent="0.2">
      <c r="B7" s="109" t="s">
        <v>111</v>
      </c>
      <c r="C7" s="110" t="s">
        <v>209</v>
      </c>
      <c r="E7" s="89">
        <v>1</v>
      </c>
      <c r="F7" s="96" t="s">
        <v>343</v>
      </c>
      <c r="G7" s="96" t="s">
        <v>244</v>
      </c>
      <c r="H7" s="96" t="s">
        <v>454</v>
      </c>
      <c r="I7" s="24">
        <v>1</v>
      </c>
      <c r="J7" s="96" t="s">
        <v>413</v>
      </c>
      <c r="K7" s="95">
        <f>IF('Control Panel'!$E7="","",K6+1)</f>
        <v>4</v>
      </c>
      <c r="L7" s="24"/>
      <c r="M7" s="24"/>
      <c r="N7" s="24"/>
      <c r="O7" s="24"/>
      <c r="P7" s="24"/>
      <c r="Q7" s="24"/>
      <c r="R7" s="43"/>
      <c r="S7" s="43"/>
      <c r="T7" s="43"/>
      <c r="U7" s="90"/>
      <c r="W7" s="120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2"/>
      <c r="AN7" s="8">
        <f t="shared" si="0"/>
        <v>4</v>
      </c>
      <c r="AO7" s="137"/>
      <c r="AP7" s="137"/>
      <c r="AQ7" s="137"/>
      <c r="AR7" s="137"/>
      <c r="AS7" s="137"/>
      <c r="AT7" s="137"/>
      <c r="AU7" s="137"/>
      <c r="AV7" s="137"/>
      <c r="AW7" s="138"/>
    </row>
    <row r="8" spans="2:49" ht="12" thickBot="1" x14ac:dyDescent="0.2">
      <c r="B8" s="109" t="s">
        <v>112</v>
      </c>
      <c r="C8" s="110" t="s">
        <v>113</v>
      </c>
      <c r="E8" s="89">
        <v>1</v>
      </c>
      <c r="F8" s="96" t="s">
        <v>355</v>
      </c>
      <c r="G8" s="96" t="s">
        <v>244</v>
      </c>
      <c r="H8" s="96" t="s">
        <v>454</v>
      </c>
      <c r="I8" s="24">
        <v>1</v>
      </c>
      <c r="J8" s="96" t="s">
        <v>414</v>
      </c>
      <c r="K8" s="95">
        <f>IF('Control Panel'!$E8="","",K7+1)</f>
        <v>5</v>
      </c>
      <c r="L8" s="24"/>
      <c r="M8" s="24"/>
      <c r="N8" s="24"/>
      <c r="O8" s="24"/>
      <c r="P8" s="24"/>
      <c r="Q8" s="24"/>
      <c r="R8" s="43"/>
      <c r="S8" s="43"/>
      <c r="T8" s="43"/>
      <c r="U8" s="90"/>
      <c r="W8" s="120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2"/>
      <c r="AN8" s="8">
        <f t="shared" si="0"/>
        <v>5</v>
      </c>
      <c r="AO8" s="137"/>
      <c r="AP8" s="137"/>
      <c r="AQ8" s="139"/>
      <c r="AR8" s="139"/>
      <c r="AS8" s="137"/>
      <c r="AT8" s="137"/>
      <c r="AU8" s="137"/>
      <c r="AV8" s="137"/>
      <c r="AW8" s="138"/>
    </row>
    <row r="9" spans="2:49" ht="12" thickBot="1" x14ac:dyDescent="0.2">
      <c r="B9" s="113" t="s">
        <v>114</v>
      </c>
      <c r="C9" s="114" t="s">
        <v>115</v>
      </c>
      <c r="E9" s="89">
        <v>1</v>
      </c>
      <c r="F9" s="96" t="s">
        <v>333</v>
      </c>
      <c r="G9" s="96" t="s">
        <v>244</v>
      </c>
      <c r="H9" s="96" t="s">
        <v>454</v>
      </c>
      <c r="I9" s="24">
        <v>1</v>
      </c>
      <c r="J9" s="96" t="s">
        <v>415</v>
      </c>
      <c r="K9" s="95">
        <f>IF('Control Panel'!$E9="","",K8+1)</f>
        <v>6</v>
      </c>
      <c r="L9" s="24"/>
      <c r="M9" s="24"/>
      <c r="N9" s="24"/>
      <c r="O9" s="24"/>
      <c r="P9" s="24"/>
      <c r="Q9" s="24"/>
      <c r="R9" s="43"/>
      <c r="S9" s="43"/>
      <c r="T9" s="43"/>
      <c r="U9" s="90"/>
      <c r="W9" s="120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2"/>
      <c r="AN9" s="8">
        <f t="shared" si="0"/>
        <v>6</v>
      </c>
      <c r="AO9" s="137"/>
      <c r="AP9" s="137"/>
      <c r="AQ9" s="137"/>
      <c r="AR9" s="137"/>
      <c r="AS9" s="137"/>
      <c r="AT9" s="137"/>
      <c r="AU9" s="137"/>
      <c r="AV9" s="137"/>
      <c r="AW9" s="138"/>
    </row>
    <row r="10" spans="2:49" ht="12" thickBot="1" x14ac:dyDescent="0.2">
      <c r="B10" s="157" t="s">
        <v>380</v>
      </c>
      <c r="C10" s="158"/>
      <c r="E10" s="89">
        <v>1</v>
      </c>
      <c r="F10" s="96" t="s">
        <v>382</v>
      </c>
      <c r="G10" s="96" t="s">
        <v>244</v>
      </c>
      <c r="H10" s="96" t="s">
        <v>454</v>
      </c>
      <c r="I10" s="24">
        <v>0</v>
      </c>
      <c r="J10" s="96" t="s">
        <v>416</v>
      </c>
      <c r="K10" s="95">
        <f>IF('Control Panel'!$E10="","",K9+1)</f>
        <v>7</v>
      </c>
      <c r="L10" s="24"/>
      <c r="M10" s="24"/>
      <c r="N10" s="24"/>
      <c r="O10" s="24"/>
      <c r="P10" s="24"/>
      <c r="Q10" s="24"/>
      <c r="R10" s="43"/>
      <c r="S10" s="43"/>
      <c r="T10" s="43"/>
      <c r="U10" s="90"/>
      <c r="W10" s="120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2"/>
      <c r="AN10" s="8">
        <f t="shared" si="0"/>
        <v>7</v>
      </c>
      <c r="AO10" s="137"/>
      <c r="AP10" s="137"/>
      <c r="AQ10" s="137"/>
      <c r="AR10" s="137"/>
      <c r="AS10" s="137"/>
      <c r="AT10" s="137"/>
      <c r="AU10" s="137"/>
      <c r="AV10" s="137"/>
      <c r="AW10" s="138"/>
    </row>
    <row r="11" spans="2:49" ht="12" thickBot="1" x14ac:dyDescent="0.2">
      <c r="B11" s="108" t="s">
        <v>194</v>
      </c>
      <c r="C11" s="108" t="s">
        <v>184</v>
      </c>
      <c r="E11" s="89">
        <v>1</v>
      </c>
      <c r="F11" s="96" t="s">
        <v>357</v>
      </c>
      <c r="G11" s="96" t="s">
        <v>244</v>
      </c>
      <c r="H11" s="96" t="s">
        <v>454</v>
      </c>
      <c r="I11" s="24">
        <v>1</v>
      </c>
      <c r="J11" s="96" t="s">
        <v>418</v>
      </c>
      <c r="K11" s="95">
        <f>IF('Control Panel'!$E11="","",K10+1)</f>
        <v>8</v>
      </c>
      <c r="L11" s="24"/>
      <c r="M11" s="24"/>
      <c r="N11" s="24"/>
      <c r="O11" s="24"/>
      <c r="P11" s="24"/>
      <c r="Q11" s="24"/>
      <c r="R11" s="43"/>
      <c r="S11" s="43"/>
      <c r="T11" s="43"/>
      <c r="U11" s="90"/>
      <c r="W11" s="120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2"/>
      <c r="AN11" s="8">
        <f t="shared" si="0"/>
        <v>8</v>
      </c>
      <c r="AO11" s="137"/>
      <c r="AP11" s="137"/>
      <c r="AQ11" s="137"/>
      <c r="AR11" s="137"/>
      <c r="AS11" s="137"/>
      <c r="AT11" s="137"/>
      <c r="AU11" s="137"/>
      <c r="AV11" s="137"/>
      <c r="AW11" s="138"/>
    </row>
    <row r="12" spans="2:49" ht="12" thickBot="1" x14ac:dyDescent="0.2">
      <c r="B12" s="110" t="s">
        <v>195</v>
      </c>
      <c r="C12" s="110" t="s">
        <v>184</v>
      </c>
      <c r="E12" s="89">
        <v>1</v>
      </c>
      <c r="F12" s="96" t="s">
        <v>357</v>
      </c>
      <c r="G12" s="96" t="s">
        <v>244</v>
      </c>
      <c r="H12" s="96" t="s">
        <v>454</v>
      </c>
      <c r="I12" s="24">
        <v>1</v>
      </c>
      <c r="J12" s="96" t="s">
        <v>438</v>
      </c>
      <c r="K12" s="95">
        <f>IF('Control Panel'!$E12="","",K11+1)</f>
        <v>9</v>
      </c>
      <c r="L12" s="24"/>
      <c r="M12" s="24"/>
      <c r="N12" s="24"/>
      <c r="O12" s="24"/>
      <c r="P12" s="24"/>
      <c r="Q12" s="24"/>
      <c r="R12" s="43"/>
      <c r="S12" s="43"/>
      <c r="T12" s="43"/>
      <c r="U12" s="90"/>
      <c r="W12" s="120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2"/>
      <c r="AN12" s="8">
        <f t="shared" si="0"/>
        <v>9</v>
      </c>
      <c r="AO12" s="137"/>
      <c r="AP12" s="137"/>
      <c r="AQ12" s="137"/>
      <c r="AR12" s="137"/>
      <c r="AS12" s="137"/>
      <c r="AT12" s="137"/>
      <c r="AU12" s="137"/>
      <c r="AV12" s="137"/>
      <c r="AW12" s="138"/>
    </row>
    <row r="13" spans="2:49" ht="12" thickBot="1" x14ac:dyDescent="0.2">
      <c r="B13" s="114" t="s">
        <v>196</v>
      </c>
      <c r="C13" s="114" t="s">
        <v>184</v>
      </c>
      <c r="E13" s="89">
        <v>1</v>
      </c>
      <c r="F13" s="96" t="s">
        <v>357</v>
      </c>
      <c r="G13" s="96" t="s">
        <v>244</v>
      </c>
      <c r="H13" s="96" t="s">
        <v>454</v>
      </c>
      <c r="I13" s="24">
        <v>1</v>
      </c>
      <c r="J13" s="96" t="s">
        <v>439</v>
      </c>
      <c r="K13" s="95">
        <f>IF('Control Panel'!$E13="","",K12+1)</f>
        <v>10</v>
      </c>
      <c r="L13" s="24"/>
      <c r="M13" s="24"/>
      <c r="N13" s="24"/>
      <c r="O13" s="24"/>
      <c r="P13" s="24"/>
      <c r="Q13" s="24"/>
      <c r="R13" s="43"/>
      <c r="S13" s="43"/>
      <c r="T13" s="43"/>
      <c r="U13" s="90"/>
      <c r="W13" s="120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2"/>
      <c r="AN13" s="8">
        <f t="shared" si="0"/>
        <v>10</v>
      </c>
      <c r="AO13" s="137"/>
      <c r="AP13" s="137"/>
      <c r="AQ13" s="137"/>
      <c r="AR13" s="137"/>
      <c r="AS13" s="137"/>
      <c r="AT13" s="137"/>
      <c r="AU13" s="137"/>
      <c r="AV13" s="137"/>
      <c r="AW13" s="138"/>
    </row>
    <row r="14" spans="2:49" ht="12" thickBot="1" x14ac:dyDescent="0.2">
      <c r="B14" s="157" t="s">
        <v>116</v>
      </c>
      <c r="C14" s="158"/>
      <c r="E14" s="89">
        <v>1</v>
      </c>
      <c r="F14" s="96" t="s">
        <v>382</v>
      </c>
      <c r="G14" s="96" t="s">
        <v>244</v>
      </c>
      <c r="H14" s="96" t="s">
        <v>454</v>
      </c>
      <c r="I14" s="24">
        <v>0</v>
      </c>
      <c r="J14" s="96" t="s">
        <v>417</v>
      </c>
      <c r="K14" s="95">
        <f>IF('Control Panel'!$E14="","",K13+1)</f>
        <v>11</v>
      </c>
      <c r="L14" s="24"/>
      <c r="M14" s="24"/>
      <c r="N14" s="24"/>
      <c r="O14" s="24"/>
      <c r="P14" s="24"/>
      <c r="Q14" s="24"/>
      <c r="R14" s="43"/>
      <c r="S14" s="43"/>
      <c r="T14" s="43"/>
      <c r="U14" s="90"/>
      <c r="W14" s="120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2"/>
      <c r="AN14" s="8">
        <f t="shared" si="0"/>
        <v>11</v>
      </c>
      <c r="AO14" s="137"/>
      <c r="AP14" s="137"/>
      <c r="AQ14" s="137"/>
      <c r="AR14" s="137"/>
      <c r="AS14" s="137"/>
      <c r="AT14" s="137"/>
      <c r="AU14" s="137"/>
      <c r="AV14" s="137"/>
      <c r="AW14" s="138"/>
    </row>
    <row r="15" spans="2:49" ht="12" thickBot="1" x14ac:dyDescent="0.2">
      <c r="B15" s="107" t="s">
        <v>117</v>
      </c>
      <c r="C15" s="108" t="s">
        <v>426</v>
      </c>
      <c r="E15" s="89"/>
      <c r="F15" s="96"/>
      <c r="G15" s="96"/>
      <c r="H15" s="24"/>
      <c r="I15" s="96"/>
      <c r="J15" s="96"/>
      <c r="K15" s="95" t="str">
        <f>IF('Control Panel'!$E15="","",K14+1)</f>
        <v/>
      </c>
      <c r="L15" s="24"/>
      <c r="M15" s="24"/>
      <c r="N15" s="24"/>
      <c r="O15" s="24"/>
      <c r="P15" s="24"/>
      <c r="Q15" s="24"/>
      <c r="R15" s="43"/>
      <c r="S15" s="43"/>
      <c r="T15" s="43"/>
      <c r="U15" s="90"/>
      <c r="W15" s="120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2"/>
      <c r="AN15" s="8" t="str">
        <f t="shared" si="0"/>
        <v/>
      </c>
      <c r="AO15" s="137"/>
      <c r="AP15" s="137"/>
      <c r="AQ15" s="137"/>
      <c r="AR15" s="137"/>
      <c r="AS15" s="137"/>
      <c r="AT15" s="137"/>
      <c r="AU15" s="137"/>
      <c r="AV15" s="137"/>
      <c r="AW15" s="138"/>
    </row>
    <row r="16" spans="2:49" ht="12" thickBot="1" x14ac:dyDescent="0.2">
      <c r="B16" s="109" t="s">
        <v>118</v>
      </c>
      <c r="C16" s="110" t="s">
        <v>185</v>
      </c>
      <c r="E16" s="89"/>
      <c r="F16" s="24"/>
      <c r="G16" s="24"/>
      <c r="H16" s="24"/>
      <c r="I16" s="24"/>
      <c r="J16" s="24"/>
      <c r="K16" s="95" t="str">
        <f>IF('Control Panel'!$E16="","",K15+1)</f>
        <v/>
      </c>
      <c r="L16" s="24"/>
      <c r="M16" s="24"/>
      <c r="N16" s="24"/>
      <c r="O16" s="24"/>
      <c r="P16" s="43"/>
      <c r="Q16" s="43"/>
      <c r="R16" s="43"/>
      <c r="S16" s="43"/>
      <c r="T16" s="43"/>
      <c r="U16" s="90"/>
      <c r="W16" s="120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2"/>
      <c r="AN16" s="8" t="str">
        <f t="shared" si="0"/>
        <v/>
      </c>
      <c r="AO16" s="137"/>
      <c r="AP16" s="137"/>
      <c r="AQ16" s="137"/>
      <c r="AR16" s="137"/>
      <c r="AS16" s="137"/>
      <c r="AT16" s="137"/>
      <c r="AU16" s="137"/>
      <c r="AV16" s="137"/>
      <c r="AW16" s="138"/>
    </row>
    <row r="17" spans="2:49" ht="12" thickBot="1" x14ac:dyDescent="0.2">
      <c r="B17" s="111" t="s">
        <v>119</v>
      </c>
      <c r="C17" s="112" t="s">
        <v>120</v>
      </c>
      <c r="E17" s="89"/>
      <c r="F17" s="24"/>
      <c r="G17" s="24"/>
      <c r="H17" s="24"/>
      <c r="I17" s="24"/>
      <c r="J17" s="24"/>
      <c r="K17" s="95" t="str">
        <f>IF('Control Panel'!$E17="","",K16+1)</f>
        <v/>
      </c>
      <c r="L17" s="24"/>
      <c r="M17" s="24"/>
      <c r="N17" s="24"/>
      <c r="O17" s="24"/>
      <c r="P17" s="43"/>
      <c r="Q17" s="43"/>
      <c r="R17" s="43"/>
      <c r="S17" s="43"/>
      <c r="T17" s="43"/>
      <c r="U17" s="90"/>
      <c r="W17" s="120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2"/>
      <c r="AN17" s="8" t="str">
        <f t="shared" si="0"/>
        <v/>
      </c>
      <c r="AO17" s="137"/>
      <c r="AP17" s="137"/>
      <c r="AQ17" s="137"/>
      <c r="AR17" s="137"/>
      <c r="AS17" s="137"/>
      <c r="AT17" s="137"/>
      <c r="AU17" s="137"/>
      <c r="AV17" s="137"/>
      <c r="AW17" s="138"/>
    </row>
    <row r="18" spans="2:49" ht="12" thickBot="1" x14ac:dyDescent="0.2">
      <c r="B18" s="109" t="s">
        <v>181</v>
      </c>
      <c r="C18" s="110" t="s">
        <v>468</v>
      </c>
      <c r="E18" s="89"/>
      <c r="F18" s="24"/>
      <c r="G18" s="24"/>
      <c r="H18" s="24"/>
      <c r="I18" s="24"/>
      <c r="J18" s="24"/>
      <c r="K18" s="95" t="str">
        <f>IF('Control Panel'!$E18="","",K17+1)</f>
        <v/>
      </c>
      <c r="L18" s="43"/>
      <c r="M18" s="43"/>
      <c r="N18" s="43"/>
      <c r="O18" s="43"/>
      <c r="P18" s="43"/>
      <c r="Q18" s="43"/>
      <c r="R18" s="43"/>
      <c r="S18" s="43"/>
      <c r="T18" s="43"/>
      <c r="U18" s="90"/>
      <c r="W18" s="120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2"/>
      <c r="AN18" s="8" t="str">
        <f t="shared" si="0"/>
        <v/>
      </c>
      <c r="AO18" s="137"/>
      <c r="AP18" s="137"/>
      <c r="AQ18" s="137"/>
      <c r="AR18" s="137"/>
      <c r="AS18" s="137"/>
      <c r="AT18" s="137"/>
      <c r="AU18" s="137"/>
      <c r="AV18" s="137"/>
      <c r="AW18" s="138"/>
    </row>
    <row r="19" spans="2:49" ht="12" thickBot="1" x14ac:dyDescent="0.2">
      <c r="B19" s="157" t="s">
        <v>443</v>
      </c>
      <c r="C19" s="158"/>
      <c r="E19" s="89"/>
      <c r="F19" s="24"/>
      <c r="G19" s="24"/>
      <c r="H19" s="24"/>
      <c r="I19" s="24"/>
      <c r="J19" s="24"/>
      <c r="K19" s="95" t="str">
        <f>IF('Control Panel'!$E19="","",K18+1)</f>
        <v/>
      </c>
      <c r="L19" s="43"/>
      <c r="M19" s="43"/>
      <c r="N19" s="43"/>
      <c r="O19" s="43"/>
      <c r="P19" s="43"/>
      <c r="Q19" s="43"/>
      <c r="R19" s="43"/>
      <c r="S19" s="43"/>
      <c r="T19" s="43"/>
      <c r="U19" s="90"/>
      <c r="W19" s="120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2"/>
      <c r="AN19" s="8" t="str">
        <f t="shared" si="0"/>
        <v/>
      </c>
      <c r="AO19" s="137"/>
      <c r="AP19" s="137"/>
      <c r="AQ19" s="137"/>
      <c r="AR19" s="137"/>
      <c r="AS19" s="137"/>
      <c r="AT19" s="137"/>
      <c r="AU19" s="137"/>
      <c r="AV19" s="137"/>
      <c r="AW19" s="138"/>
    </row>
    <row r="20" spans="2:49" ht="12" thickBot="1" x14ac:dyDescent="0.2">
      <c r="B20" s="107" t="s">
        <v>381</v>
      </c>
      <c r="C20" s="108" t="s">
        <v>81</v>
      </c>
      <c r="E20" s="89"/>
      <c r="F20" s="24"/>
      <c r="G20" s="24"/>
      <c r="H20" s="24"/>
      <c r="I20" s="24"/>
      <c r="J20" s="24"/>
      <c r="K20" s="95" t="str">
        <f>IF('Control Panel'!$E20="","",K19+1)</f>
        <v/>
      </c>
      <c r="L20" s="43"/>
      <c r="M20" s="43"/>
      <c r="N20" s="43"/>
      <c r="O20" s="43"/>
      <c r="P20" s="43"/>
      <c r="Q20" s="43"/>
      <c r="R20" s="43"/>
      <c r="S20" s="43"/>
      <c r="T20" s="43"/>
      <c r="U20" s="90"/>
      <c r="W20" s="120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2"/>
      <c r="AN20" s="8" t="str">
        <f t="shared" si="0"/>
        <v/>
      </c>
      <c r="AO20" s="137"/>
      <c r="AP20" s="137"/>
      <c r="AQ20" s="137"/>
      <c r="AR20" s="137"/>
      <c r="AS20" s="137"/>
      <c r="AT20" s="137"/>
      <c r="AU20" s="137"/>
      <c r="AV20" s="137"/>
      <c r="AW20" s="138"/>
    </row>
    <row r="21" spans="2:49" ht="12" thickBot="1" x14ac:dyDescent="0.2">
      <c r="B21" s="109" t="s">
        <v>389</v>
      </c>
      <c r="C21" s="110" t="s">
        <v>184</v>
      </c>
      <c r="E21" s="89"/>
      <c r="F21" s="24"/>
      <c r="G21" s="24"/>
      <c r="H21" s="24"/>
      <c r="I21" s="24"/>
      <c r="J21" s="24"/>
      <c r="K21" s="95" t="str">
        <f>IF('Control Panel'!$E21="","",K20+1)</f>
        <v/>
      </c>
      <c r="L21" s="43"/>
      <c r="M21" s="43"/>
      <c r="N21" s="43"/>
      <c r="O21" s="43"/>
      <c r="P21" s="43"/>
      <c r="Q21" s="43"/>
      <c r="R21" s="43"/>
      <c r="S21" s="43"/>
      <c r="T21" s="43"/>
      <c r="U21" s="90"/>
      <c r="W21" s="120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2"/>
      <c r="AN21" s="8" t="str">
        <f t="shared" si="0"/>
        <v/>
      </c>
      <c r="AO21" s="137"/>
      <c r="AP21" s="137"/>
      <c r="AQ21" s="137"/>
      <c r="AR21" s="137"/>
      <c r="AS21" s="137"/>
      <c r="AT21" s="137"/>
      <c r="AU21" s="137"/>
      <c r="AV21" s="137"/>
      <c r="AW21" s="138"/>
    </row>
    <row r="22" spans="2:49" ht="12" thickBot="1" x14ac:dyDescent="0.2">
      <c r="B22" s="111" t="s">
        <v>237</v>
      </c>
      <c r="C22" s="112" t="s">
        <v>409</v>
      </c>
      <c r="E22" s="89"/>
      <c r="F22" s="24"/>
      <c r="G22" s="24"/>
      <c r="H22" s="24"/>
      <c r="I22" s="24"/>
      <c r="J22" s="24"/>
      <c r="K22" s="95" t="str">
        <f>IF('Control Panel'!$E22="","",K21+1)</f>
        <v/>
      </c>
      <c r="L22" s="43"/>
      <c r="M22" s="43"/>
      <c r="N22" s="43"/>
      <c r="O22" s="43"/>
      <c r="P22" s="43"/>
      <c r="Q22" s="43"/>
      <c r="R22" s="43"/>
      <c r="S22" s="43"/>
      <c r="T22" s="43"/>
      <c r="U22" s="90"/>
      <c r="W22" s="120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2"/>
      <c r="AN22" s="8" t="str">
        <f t="shared" si="0"/>
        <v/>
      </c>
      <c r="AO22" s="137"/>
      <c r="AP22" s="137"/>
      <c r="AQ22" s="137"/>
      <c r="AR22" s="137"/>
      <c r="AS22" s="137"/>
      <c r="AT22" s="137"/>
      <c r="AU22" s="137"/>
      <c r="AV22" s="137"/>
      <c r="AW22" s="138"/>
    </row>
    <row r="23" spans="2:49" ht="12" thickBot="1" x14ac:dyDescent="0.2">
      <c r="B23" s="109" t="s">
        <v>440</v>
      </c>
      <c r="C23" s="115" t="s">
        <v>471</v>
      </c>
      <c r="E23" s="89"/>
      <c r="F23" s="24"/>
      <c r="G23" s="24"/>
      <c r="H23" s="24"/>
      <c r="I23" s="24"/>
      <c r="J23" s="24"/>
      <c r="K23" s="95" t="str">
        <f>IF('Control Panel'!$E23="","",K22+1)</f>
        <v/>
      </c>
      <c r="L23" s="43"/>
      <c r="M23" s="43"/>
      <c r="N23" s="43"/>
      <c r="O23" s="43"/>
      <c r="P23" s="43"/>
      <c r="Q23" s="43"/>
      <c r="R23" s="43"/>
      <c r="S23" s="43"/>
      <c r="T23" s="43"/>
      <c r="U23" s="90"/>
      <c r="W23" s="120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2"/>
      <c r="AN23" s="8" t="str">
        <f t="shared" si="0"/>
        <v/>
      </c>
      <c r="AO23" s="137"/>
      <c r="AP23" s="137"/>
      <c r="AQ23" s="137"/>
      <c r="AR23" s="137"/>
      <c r="AS23" s="137"/>
      <c r="AT23" s="137"/>
      <c r="AU23" s="137"/>
      <c r="AV23" s="137"/>
      <c r="AW23" s="138"/>
    </row>
    <row r="24" spans="2:49" ht="12" thickBot="1" x14ac:dyDescent="0.2">
      <c r="B24" s="109" t="s">
        <v>238</v>
      </c>
      <c r="C24" s="115">
        <v>11</v>
      </c>
      <c r="E24" s="89"/>
      <c r="F24" s="24"/>
      <c r="G24" s="24"/>
      <c r="H24" s="24"/>
      <c r="I24" s="24"/>
      <c r="J24" s="24"/>
      <c r="K24" s="95" t="str">
        <f>IF('Control Panel'!$E24="","",K23+1)</f>
        <v/>
      </c>
      <c r="L24" s="43"/>
      <c r="M24" s="43"/>
      <c r="N24" s="43"/>
      <c r="O24" s="43"/>
      <c r="P24" s="43"/>
      <c r="Q24" s="43"/>
      <c r="R24" s="43"/>
      <c r="S24" s="43"/>
      <c r="T24" s="43"/>
      <c r="U24" s="90"/>
      <c r="W24" s="120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2"/>
      <c r="AN24" s="8" t="str">
        <f t="shared" si="0"/>
        <v/>
      </c>
      <c r="AO24" s="137"/>
      <c r="AP24" s="137"/>
      <c r="AQ24" s="137"/>
      <c r="AR24" s="137"/>
      <c r="AS24" s="137"/>
      <c r="AT24" s="137"/>
      <c r="AU24" s="137"/>
      <c r="AV24" s="137"/>
      <c r="AW24" s="138"/>
    </row>
    <row r="25" spans="2:49" ht="15.75" thickBot="1" x14ac:dyDescent="0.2">
      <c r="B25" s="113" t="s">
        <v>444</v>
      </c>
      <c r="C25" s="114" t="s">
        <v>445</v>
      </c>
      <c r="E25" s="89"/>
      <c r="F25" s="24"/>
      <c r="G25" s="24"/>
      <c r="H25" s="24"/>
      <c r="I25" s="24"/>
      <c r="J25" s="24"/>
      <c r="K25" s="95" t="str">
        <f>IF('Control Panel'!$E25="","",K24+1)</f>
        <v/>
      </c>
      <c r="L25" s="43"/>
      <c r="M25" s="43"/>
      <c r="N25" s="43"/>
      <c r="O25" s="43"/>
      <c r="P25" s="43"/>
      <c r="Q25" s="43"/>
      <c r="R25" s="43"/>
      <c r="S25" s="43"/>
      <c r="T25" s="43"/>
      <c r="U25" s="90"/>
      <c r="W25" s="120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2"/>
      <c r="AN25" s="8" t="str">
        <f t="shared" si="0"/>
        <v/>
      </c>
      <c r="AO25" s="140"/>
      <c r="AP25" s="141"/>
      <c r="AQ25" s="137"/>
      <c r="AR25" s="139"/>
      <c r="AS25" s="137"/>
      <c r="AT25" s="137"/>
      <c r="AU25" s="137"/>
      <c r="AV25" s="137"/>
      <c r="AW25" s="138"/>
    </row>
    <row r="26" spans="2:49" ht="15.75" thickBot="1" x14ac:dyDescent="0.2">
      <c r="E26" s="89"/>
      <c r="F26" s="24"/>
      <c r="G26" s="24"/>
      <c r="H26" s="24"/>
      <c r="I26" s="24"/>
      <c r="J26" s="24"/>
      <c r="K26" s="95" t="str">
        <f>IF('Control Panel'!$E26="","",K25+1)</f>
        <v/>
      </c>
      <c r="L26" s="43"/>
      <c r="M26" s="43"/>
      <c r="N26" s="43"/>
      <c r="O26" s="43"/>
      <c r="P26" s="43"/>
      <c r="Q26" s="43"/>
      <c r="R26" s="43"/>
      <c r="S26" s="43"/>
      <c r="T26" s="43"/>
      <c r="U26" s="90"/>
      <c r="W26" s="120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2"/>
      <c r="AN26" s="8" t="str">
        <f t="shared" si="0"/>
        <v/>
      </c>
      <c r="AO26" s="140"/>
      <c r="AP26" s="141"/>
      <c r="AQ26" s="137"/>
      <c r="AR26" s="139"/>
      <c r="AS26" s="137"/>
      <c r="AT26" s="137"/>
      <c r="AU26" s="137"/>
      <c r="AV26" s="137"/>
      <c r="AW26" s="138"/>
    </row>
    <row r="27" spans="2:49" ht="12" thickBot="1" x14ac:dyDescent="0.2">
      <c r="E27" s="89"/>
      <c r="F27" s="24"/>
      <c r="G27" s="24"/>
      <c r="H27" s="24"/>
      <c r="I27" s="24"/>
      <c r="J27" s="24"/>
      <c r="K27" s="95" t="str">
        <f>IF('Control Panel'!$E27="","",K26+1)</f>
        <v/>
      </c>
      <c r="L27" s="43"/>
      <c r="M27" s="43"/>
      <c r="N27" s="43"/>
      <c r="O27" s="43"/>
      <c r="P27" s="43"/>
      <c r="Q27" s="43"/>
      <c r="R27" s="43"/>
      <c r="S27" s="43"/>
      <c r="T27" s="43"/>
      <c r="U27" s="90"/>
      <c r="W27" s="120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2"/>
      <c r="AN27" s="8" t="str">
        <f t="shared" si="0"/>
        <v/>
      </c>
      <c r="AO27" s="137"/>
      <c r="AP27" s="137"/>
      <c r="AQ27" s="137"/>
      <c r="AR27" s="137"/>
      <c r="AS27" s="137"/>
      <c r="AT27" s="137"/>
      <c r="AU27" s="137"/>
      <c r="AV27" s="137"/>
      <c r="AW27" s="138"/>
    </row>
    <row r="28" spans="2:49" ht="12" thickBot="1" x14ac:dyDescent="0.2">
      <c r="E28" s="89"/>
      <c r="F28" s="24"/>
      <c r="G28" s="24"/>
      <c r="H28" s="24"/>
      <c r="I28" s="24"/>
      <c r="J28" s="24"/>
      <c r="K28" s="95" t="str">
        <f>IF('Control Panel'!$E28="","",K27+1)</f>
        <v/>
      </c>
      <c r="L28" s="43"/>
      <c r="M28" s="43"/>
      <c r="N28" s="43"/>
      <c r="O28" s="43"/>
      <c r="P28" s="43"/>
      <c r="Q28" s="43"/>
      <c r="R28" s="43"/>
      <c r="S28" s="43"/>
      <c r="T28" s="43"/>
      <c r="U28" s="90"/>
      <c r="W28" s="120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2"/>
      <c r="AN28" s="8" t="str">
        <f t="shared" si="0"/>
        <v/>
      </c>
      <c r="AO28" s="137"/>
      <c r="AP28" s="137"/>
      <c r="AQ28" s="137"/>
      <c r="AR28" s="137"/>
      <c r="AS28" s="137"/>
      <c r="AT28" s="137"/>
      <c r="AU28" s="137"/>
      <c r="AV28" s="137"/>
      <c r="AW28" s="138"/>
    </row>
    <row r="29" spans="2:49" ht="12" thickBot="1" x14ac:dyDescent="0.2">
      <c r="E29" s="89"/>
      <c r="F29" s="24"/>
      <c r="G29" s="24"/>
      <c r="H29" s="24"/>
      <c r="I29" s="24"/>
      <c r="J29" s="24"/>
      <c r="K29" s="95" t="str">
        <f>IF('Control Panel'!$E29="","",K28+1)</f>
        <v/>
      </c>
      <c r="L29" s="43"/>
      <c r="M29" s="43"/>
      <c r="N29" s="43"/>
      <c r="O29" s="43"/>
      <c r="P29" s="43"/>
      <c r="Q29" s="43"/>
      <c r="R29" s="43"/>
      <c r="S29" s="43"/>
      <c r="T29" s="43"/>
      <c r="U29" s="90"/>
      <c r="W29" s="120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2"/>
      <c r="AN29" s="8"/>
      <c r="AO29" s="137"/>
      <c r="AP29" s="137"/>
      <c r="AQ29" s="137"/>
      <c r="AR29" s="137"/>
      <c r="AS29" s="137"/>
      <c r="AT29" s="137"/>
      <c r="AU29" s="137"/>
      <c r="AV29" s="137"/>
      <c r="AW29" s="138"/>
    </row>
    <row r="30" spans="2:49" ht="15.75" thickBot="1" x14ac:dyDescent="0.2">
      <c r="B30" s="165" t="s">
        <v>121</v>
      </c>
      <c r="C30" s="166"/>
      <c r="E30" s="89"/>
      <c r="F30" s="24"/>
      <c r="G30" s="24"/>
      <c r="H30" s="24"/>
      <c r="I30" s="24"/>
      <c r="J30" s="24"/>
      <c r="K30" s="95" t="str">
        <f>IF('Control Panel'!$E30="","",K29+1)</f>
        <v/>
      </c>
      <c r="L30" s="43"/>
      <c r="M30" s="43"/>
      <c r="N30" s="43"/>
      <c r="O30" s="43"/>
      <c r="P30" s="43"/>
      <c r="Q30" s="43"/>
      <c r="R30" s="43"/>
      <c r="S30" s="43"/>
      <c r="T30" s="43"/>
      <c r="U30" s="90"/>
      <c r="W30" s="120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2"/>
      <c r="AN30" s="8"/>
      <c r="AO30" s="140"/>
      <c r="AP30" s="141"/>
      <c r="AQ30" s="137"/>
      <c r="AR30" s="139"/>
      <c r="AS30" s="137"/>
      <c r="AT30" s="137"/>
      <c r="AU30" s="137"/>
      <c r="AV30" s="137"/>
      <c r="AW30" s="138"/>
    </row>
    <row r="31" spans="2:49" ht="12" thickBot="1" x14ac:dyDescent="0.2">
      <c r="B31" s="12" t="s">
        <v>122</v>
      </c>
      <c r="C31" s="97">
        <v>0.01</v>
      </c>
      <c r="E31" s="89"/>
      <c r="F31" s="24"/>
      <c r="G31" s="24"/>
      <c r="H31" s="24"/>
      <c r="I31" s="24"/>
      <c r="J31" s="24"/>
      <c r="K31" s="95" t="str">
        <f>IF('Control Panel'!$E31="","",K30+1)</f>
        <v/>
      </c>
      <c r="L31" s="24"/>
      <c r="M31" s="24"/>
      <c r="N31" s="24"/>
      <c r="O31" s="24"/>
      <c r="P31" s="24"/>
      <c r="Q31" s="24"/>
      <c r="R31" s="43"/>
      <c r="S31" s="43"/>
      <c r="T31" s="43"/>
      <c r="U31" s="90"/>
      <c r="W31" s="120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2"/>
      <c r="AN31" s="8"/>
      <c r="AO31" s="137"/>
      <c r="AP31" s="137"/>
      <c r="AQ31" s="137"/>
      <c r="AR31" s="137"/>
      <c r="AS31" s="137"/>
      <c r="AT31" s="137"/>
      <c r="AU31" s="137"/>
      <c r="AV31" s="137"/>
      <c r="AW31" s="138"/>
    </row>
    <row r="32" spans="2:49" ht="12" thickBot="1" x14ac:dyDescent="0.2">
      <c r="B32" s="13" t="s">
        <v>123</v>
      </c>
      <c r="C32" s="98">
        <v>0.01</v>
      </c>
      <c r="E32" s="89"/>
      <c r="F32" s="24"/>
      <c r="G32" s="24"/>
      <c r="H32" s="24"/>
      <c r="I32" s="24"/>
      <c r="J32" s="24"/>
      <c r="K32" s="95" t="str">
        <f>IF('Control Panel'!$E32="","",K31+1)</f>
        <v/>
      </c>
      <c r="L32" s="24"/>
      <c r="M32" s="24"/>
      <c r="N32" s="24"/>
      <c r="O32" s="24"/>
      <c r="P32" s="24"/>
      <c r="Q32" s="24"/>
      <c r="R32" s="24"/>
      <c r="S32" s="24"/>
      <c r="T32" s="24"/>
      <c r="U32" s="91"/>
      <c r="W32" s="123"/>
      <c r="X32" s="124"/>
      <c r="Y32" s="124"/>
      <c r="Z32" s="124"/>
      <c r="AA32" s="125"/>
      <c r="AB32" s="121"/>
      <c r="AC32" s="121"/>
      <c r="AD32" s="121"/>
      <c r="AE32" s="124"/>
      <c r="AF32" s="124"/>
      <c r="AG32" s="124"/>
      <c r="AH32" s="121"/>
      <c r="AI32" s="121"/>
      <c r="AJ32" s="121"/>
      <c r="AK32" s="121"/>
      <c r="AL32" s="122"/>
      <c r="AN32" s="8"/>
      <c r="AO32" s="137"/>
      <c r="AP32" s="137"/>
      <c r="AQ32" s="137"/>
      <c r="AR32" s="137"/>
      <c r="AS32" s="137"/>
      <c r="AT32" s="137"/>
      <c r="AU32" s="137"/>
      <c r="AV32" s="137"/>
      <c r="AW32" s="138"/>
    </row>
    <row r="33" spans="2:49" ht="15.75" thickBot="1" x14ac:dyDescent="0.2">
      <c r="B33" s="14" t="s">
        <v>124</v>
      </c>
      <c r="C33" s="99">
        <v>0.01</v>
      </c>
      <c r="E33" s="89"/>
      <c r="F33" s="24"/>
      <c r="G33" s="24"/>
      <c r="H33" s="24"/>
      <c r="I33" s="24"/>
      <c r="J33" s="24"/>
      <c r="K33" s="95" t="str">
        <f>IF('Control Panel'!$E33="","",K32+1)</f>
        <v/>
      </c>
      <c r="L33" s="24"/>
      <c r="M33" s="24"/>
      <c r="N33" s="24"/>
      <c r="O33" s="24"/>
      <c r="P33" s="24"/>
      <c r="Q33" s="24"/>
      <c r="R33" s="24"/>
      <c r="S33" s="24"/>
      <c r="T33" s="24"/>
      <c r="U33" s="91"/>
      <c r="W33" s="123"/>
      <c r="X33" s="126"/>
      <c r="Y33" s="126"/>
      <c r="Z33" s="124"/>
      <c r="AA33" s="125"/>
      <c r="AB33" s="121"/>
      <c r="AC33" s="121"/>
      <c r="AD33" s="121"/>
      <c r="AE33" s="124"/>
      <c r="AF33" s="126"/>
      <c r="AG33" s="126"/>
      <c r="AH33" s="121"/>
      <c r="AI33" s="121"/>
      <c r="AJ33" s="121"/>
      <c r="AK33" s="121"/>
      <c r="AL33" s="122"/>
      <c r="AN33" s="8"/>
      <c r="AO33" s="140"/>
      <c r="AP33" s="141"/>
      <c r="AQ33" s="137"/>
      <c r="AR33" s="139"/>
      <c r="AS33" s="137"/>
      <c r="AT33" s="137"/>
      <c r="AU33" s="137"/>
      <c r="AV33" s="137"/>
      <c r="AW33" s="138"/>
    </row>
    <row r="34" spans="2:49" ht="12" thickBot="1" x14ac:dyDescent="0.2">
      <c r="B34" s="13" t="s">
        <v>125</v>
      </c>
      <c r="C34" s="100" t="s">
        <v>197</v>
      </c>
      <c r="E34" s="89"/>
      <c r="F34" s="24"/>
      <c r="G34" s="24"/>
      <c r="H34" s="24"/>
      <c r="I34" s="24"/>
      <c r="J34" s="24"/>
      <c r="K34" s="95" t="str">
        <f>IF('Control Panel'!$E34="","",K33+1)</f>
        <v/>
      </c>
      <c r="L34" s="57"/>
      <c r="M34" s="57"/>
      <c r="N34" s="57"/>
      <c r="O34" s="57"/>
      <c r="P34" s="57"/>
      <c r="Q34" s="57"/>
      <c r="R34" s="57"/>
      <c r="S34" s="57"/>
      <c r="T34" s="57"/>
      <c r="U34" s="92"/>
      <c r="W34" s="127"/>
      <c r="X34" s="128"/>
      <c r="Y34" s="128"/>
      <c r="Z34" s="129"/>
      <c r="AA34" s="129"/>
      <c r="AB34" s="130"/>
      <c r="AC34" s="130"/>
      <c r="AD34" s="130"/>
      <c r="AE34" s="128"/>
      <c r="AF34" s="128"/>
      <c r="AG34" s="128"/>
      <c r="AH34" s="130"/>
      <c r="AI34" s="130"/>
      <c r="AJ34" s="130"/>
      <c r="AK34" s="130"/>
      <c r="AL34" s="131"/>
      <c r="AN34" s="94"/>
      <c r="AO34" s="142"/>
      <c r="AP34" s="142"/>
      <c r="AQ34" s="142"/>
      <c r="AR34" s="142"/>
      <c r="AS34" s="142"/>
      <c r="AT34" s="142"/>
      <c r="AU34" s="142"/>
      <c r="AV34" s="142"/>
      <c r="AW34" s="143"/>
    </row>
    <row r="35" spans="2:49" ht="12" thickBot="1" x14ac:dyDescent="0.2">
      <c r="B35" s="13" t="s">
        <v>126</v>
      </c>
      <c r="C35" s="100" t="s">
        <v>189</v>
      </c>
      <c r="E35" s="24"/>
      <c r="F35" s="24"/>
      <c r="G35" s="24"/>
      <c r="H35" s="24"/>
      <c r="I35" s="24"/>
      <c r="J35" s="24"/>
      <c r="W35" s="48"/>
      <c r="X35" s="48"/>
      <c r="Y35" s="43"/>
      <c r="Z35" s="43"/>
      <c r="AA35" s="43"/>
      <c r="AE35" s="48"/>
      <c r="AF35" s="48"/>
      <c r="AG35" s="43"/>
    </row>
    <row r="36" spans="2:49" ht="12" thickBot="1" x14ac:dyDescent="0.2">
      <c r="B36" s="13" t="s">
        <v>127</v>
      </c>
      <c r="C36" s="98" t="s">
        <v>189</v>
      </c>
      <c r="D36" s="24"/>
      <c r="E36" s="24"/>
      <c r="F36" s="24"/>
      <c r="G36" s="24"/>
      <c r="H36" s="24"/>
      <c r="I36" s="24"/>
      <c r="J36" s="24"/>
      <c r="K36" s="154" t="s">
        <v>130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W36" s="48"/>
      <c r="X36" s="48"/>
      <c r="Y36" s="48"/>
      <c r="Z36" s="48"/>
      <c r="AA36" s="43"/>
      <c r="AE36" s="48"/>
      <c r="AF36" s="48"/>
      <c r="AG36" s="48"/>
    </row>
    <row r="37" spans="2:49" ht="12" thickBot="1" x14ac:dyDescent="0.2">
      <c r="B37" s="13" t="s">
        <v>128</v>
      </c>
      <c r="C37" s="98" t="s">
        <v>189</v>
      </c>
      <c r="D37" s="24"/>
      <c r="E37" s="24"/>
      <c r="K37" s="3" t="s">
        <v>82</v>
      </c>
      <c r="L37" s="72" t="str">
        <f>L3</f>
        <v>y_u_1</v>
      </c>
      <c r="M37" s="73" t="str">
        <f t="shared" ref="M37:U37" si="1">M3</f>
        <v>p_u_1</v>
      </c>
      <c r="N37" s="73" t="str">
        <f t="shared" si="1"/>
        <v>k_p_1</v>
      </c>
      <c r="O37" s="73" t="str">
        <f>O3</f>
        <v>n_p_1</v>
      </c>
      <c r="P37" s="73" t="str">
        <f t="shared" si="1"/>
        <v>k_p_2</v>
      </c>
      <c r="Q37" s="73" t="str">
        <f>Q3</f>
        <v>NONE</v>
      </c>
      <c r="R37" s="73" t="str">
        <f t="shared" si="1"/>
        <v>NONE</v>
      </c>
      <c r="S37" s="73" t="str">
        <f t="shared" si="1"/>
        <v>NONE</v>
      </c>
      <c r="T37" s="73" t="str">
        <f t="shared" si="1"/>
        <v>NONE</v>
      </c>
      <c r="U37" s="74" t="str">
        <f t="shared" si="1"/>
        <v>NONE</v>
      </c>
      <c r="W37" s="48"/>
      <c r="X37" s="46"/>
      <c r="Y37" s="46"/>
      <c r="Z37" s="48"/>
      <c r="AA37" s="43"/>
      <c r="AE37" s="48"/>
      <c r="AF37" s="46"/>
      <c r="AG37" s="46"/>
    </row>
    <row r="38" spans="2:49" ht="12" thickBot="1" x14ac:dyDescent="0.2">
      <c r="B38" s="13" t="s">
        <v>129</v>
      </c>
      <c r="C38" s="98" t="s">
        <v>197</v>
      </c>
      <c r="K38" s="78">
        <f>IF(K4="","",K4)</f>
        <v>1</v>
      </c>
      <c r="L38" s="75"/>
      <c r="M38" s="75"/>
      <c r="N38" s="76"/>
      <c r="O38" s="76"/>
      <c r="P38" s="76"/>
      <c r="Q38" s="76"/>
      <c r="R38" s="76"/>
      <c r="S38" s="76"/>
      <c r="T38" s="76"/>
      <c r="U38" s="77"/>
      <c r="W38" s="48"/>
      <c r="X38" s="48"/>
      <c r="Y38" s="48"/>
      <c r="Z38" s="43"/>
      <c r="AA38" s="43"/>
      <c r="AE38" s="48"/>
      <c r="AF38" s="48"/>
      <c r="AG38" s="48"/>
    </row>
    <row r="39" spans="2:49" ht="12" thickBot="1" x14ac:dyDescent="0.2">
      <c r="B39" s="165" t="s">
        <v>462</v>
      </c>
      <c r="C39" s="166"/>
      <c r="K39" s="10">
        <f t="shared" ref="K39:K69" si="2">IF(K5="","",K5)</f>
        <v>2</v>
      </c>
      <c r="L39" s="45"/>
      <c r="M39" s="45"/>
      <c r="N39" s="7"/>
      <c r="O39" s="7"/>
      <c r="P39" s="7"/>
      <c r="Q39" s="7"/>
      <c r="R39" s="7"/>
      <c r="S39" s="7"/>
      <c r="T39" s="7"/>
      <c r="U39" s="19"/>
      <c r="W39" s="48"/>
      <c r="X39" s="48"/>
      <c r="Y39" s="43"/>
      <c r="Z39" s="43"/>
      <c r="AA39" s="43"/>
      <c r="AE39" s="48"/>
      <c r="AF39" s="48"/>
      <c r="AG39" s="43"/>
    </row>
    <row r="40" spans="2:49" x14ac:dyDescent="0.15">
      <c r="B40" s="12" t="s">
        <v>463</v>
      </c>
      <c r="C40" s="97">
        <v>1</v>
      </c>
      <c r="K40" s="10">
        <f t="shared" si="2"/>
        <v>3</v>
      </c>
      <c r="L40" s="45"/>
      <c r="M40" s="45"/>
      <c r="N40" s="7"/>
      <c r="O40" s="7"/>
      <c r="P40" s="7"/>
      <c r="Q40" s="7"/>
      <c r="R40" s="7"/>
      <c r="S40" s="7"/>
      <c r="T40" s="7"/>
      <c r="U40" s="19"/>
      <c r="W40" s="48"/>
      <c r="X40" s="48"/>
      <c r="Y40" s="48"/>
      <c r="Z40" s="48"/>
      <c r="AA40" s="43"/>
      <c r="AE40" s="48"/>
      <c r="AF40" s="48"/>
      <c r="AG40" s="48"/>
    </row>
    <row r="41" spans="2:49" ht="15" x14ac:dyDescent="0.25">
      <c r="B41" s="13" t="s">
        <v>464</v>
      </c>
      <c r="C41" s="98">
        <v>1</v>
      </c>
      <c r="K41" s="10">
        <f t="shared" si="2"/>
        <v>4</v>
      </c>
      <c r="L41" s="45"/>
      <c r="M41" s="45"/>
      <c r="N41" s="7"/>
      <c r="O41" s="7"/>
      <c r="P41" s="7"/>
      <c r="Q41" s="7"/>
      <c r="R41" s="7"/>
      <c r="S41" s="7"/>
      <c r="T41" s="7"/>
      <c r="U41" s="19"/>
      <c r="W41" s="48"/>
      <c r="X41" s="48"/>
      <c r="Y41" s="48"/>
      <c r="Z41" s="48"/>
      <c r="AA41" s="48"/>
      <c r="AB41" s="43"/>
      <c r="AU41"/>
    </row>
    <row r="42" spans="2:49" ht="15" x14ac:dyDescent="0.25">
      <c r="B42" s="14" t="s">
        <v>465</v>
      </c>
      <c r="C42" s="99">
        <v>1</v>
      </c>
      <c r="K42" s="10">
        <f t="shared" si="2"/>
        <v>5</v>
      </c>
      <c r="L42" s="45"/>
      <c r="M42" s="45"/>
      <c r="N42" s="7"/>
      <c r="O42" s="7"/>
      <c r="P42" s="7"/>
      <c r="Q42" s="7"/>
      <c r="R42" s="7"/>
      <c r="S42" s="7"/>
      <c r="T42" s="7"/>
      <c r="U42" s="19"/>
      <c r="W42" s="48"/>
      <c r="X42" s="48"/>
      <c r="Y42" s="48"/>
      <c r="Z42" s="48"/>
      <c r="AA42" s="48"/>
      <c r="AB42" s="43"/>
      <c r="AU42"/>
    </row>
    <row r="43" spans="2:49" ht="15.75" thickBot="1" x14ac:dyDescent="0.3">
      <c r="B43" s="16" t="s">
        <v>466</v>
      </c>
      <c r="C43" s="101">
        <v>1</v>
      </c>
      <c r="K43" s="10">
        <f t="shared" si="2"/>
        <v>6</v>
      </c>
      <c r="L43" s="45"/>
      <c r="M43" s="45"/>
      <c r="N43" s="7"/>
      <c r="O43" s="7"/>
      <c r="P43" s="7"/>
      <c r="Q43" s="7"/>
      <c r="R43" s="7"/>
      <c r="S43" s="7"/>
      <c r="T43" s="7"/>
      <c r="U43" s="19"/>
      <c r="W43" s="48"/>
      <c r="X43" s="48"/>
      <c r="Y43" s="48"/>
      <c r="Z43" s="48"/>
      <c r="AA43" s="48"/>
      <c r="AB43" s="43"/>
      <c r="AU43"/>
    </row>
    <row r="44" spans="2:49" ht="15" x14ac:dyDescent="0.25">
      <c r="K44" s="10">
        <f t="shared" si="2"/>
        <v>7</v>
      </c>
      <c r="L44" s="45"/>
      <c r="M44" s="45"/>
      <c r="N44" s="7"/>
      <c r="O44" s="7"/>
      <c r="P44" s="7"/>
      <c r="Q44" s="7"/>
      <c r="R44" s="7"/>
      <c r="S44" s="7"/>
      <c r="T44" s="7"/>
      <c r="U44" s="19"/>
      <c r="W44" s="43"/>
      <c r="X44" s="48"/>
      <c r="Y44" s="46"/>
      <c r="Z44" s="46"/>
      <c r="AA44" s="48"/>
      <c r="AB44" s="43"/>
      <c r="AU44"/>
    </row>
    <row r="45" spans="2:49" ht="15" x14ac:dyDescent="0.25">
      <c r="K45" s="10">
        <f t="shared" si="2"/>
        <v>8</v>
      </c>
      <c r="L45" s="45"/>
      <c r="M45" s="45"/>
      <c r="N45" s="7"/>
      <c r="O45" s="7"/>
      <c r="P45" s="7"/>
      <c r="Q45" s="7"/>
      <c r="R45" s="7"/>
      <c r="S45" s="7"/>
      <c r="T45" s="7"/>
      <c r="U45" s="19"/>
      <c r="W45" s="48"/>
      <c r="X45" s="48"/>
      <c r="Y45" s="48"/>
      <c r="Z45" s="48"/>
      <c r="AA45" s="43"/>
      <c r="AB45" s="43"/>
      <c r="AU45"/>
    </row>
    <row r="46" spans="2:49" ht="15" x14ac:dyDescent="0.25">
      <c r="K46" s="10">
        <f t="shared" si="2"/>
        <v>9</v>
      </c>
      <c r="L46" s="45"/>
      <c r="M46" s="45"/>
      <c r="N46" s="7"/>
      <c r="O46" s="7"/>
      <c r="P46" s="7"/>
      <c r="Q46" s="7"/>
      <c r="R46" s="7"/>
      <c r="S46" s="7"/>
      <c r="T46" s="7"/>
      <c r="U46" s="19"/>
      <c r="W46" s="48"/>
      <c r="X46" s="48"/>
      <c r="Y46" s="48"/>
      <c r="Z46" s="43"/>
      <c r="AA46" s="43"/>
      <c r="AB46" s="43"/>
      <c r="AU46" s="1"/>
    </row>
    <row r="47" spans="2:49" ht="15" x14ac:dyDescent="0.25">
      <c r="K47" s="10">
        <f t="shared" si="2"/>
        <v>10</v>
      </c>
      <c r="L47" s="45"/>
      <c r="M47" s="45"/>
      <c r="N47" s="7"/>
      <c r="O47" s="7"/>
      <c r="P47" s="7"/>
      <c r="Q47" s="7"/>
      <c r="R47" s="7"/>
      <c r="S47" s="7"/>
      <c r="T47" s="7"/>
      <c r="U47" s="19"/>
      <c r="W47" s="48"/>
      <c r="X47" s="48"/>
      <c r="Y47" s="48"/>
      <c r="Z47" s="48"/>
      <c r="AA47" s="48"/>
      <c r="AB47" s="43"/>
      <c r="AU47"/>
    </row>
    <row r="48" spans="2:49" ht="15" x14ac:dyDescent="0.25">
      <c r="K48" s="10">
        <f t="shared" si="2"/>
        <v>11</v>
      </c>
      <c r="L48" s="45"/>
      <c r="M48" s="45"/>
      <c r="N48" s="7"/>
      <c r="O48" s="7"/>
      <c r="P48" s="7"/>
      <c r="Q48" s="7"/>
      <c r="R48" s="7"/>
      <c r="S48" s="7"/>
      <c r="T48" s="7"/>
      <c r="U48" s="19"/>
      <c r="W48" s="43"/>
      <c r="X48" s="48"/>
      <c r="Y48" s="43"/>
      <c r="Z48" s="48"/>
      <c r="AA48" s="43"/>
      <c r="AB48" s="43"/>
      <c r="AU48"/>
    </row>
    <row r="49" spans="11:47" ht="15" x14ac:dyDescent="0.25">
      <c r="K49" s="10" t="str">
        <f t="shared" si="2"/>
        <v/>
      </c>
      <c r="L49" s="45"/>
      <c r="M49" s="45"/>
      <c r="N49" s="7"/>
      <c r="O49" s="7"/>
      <c r="P49" s="7"/>
      <c r="Q49" s="7"/>
      <c r="R49" s="7"/>
      <c r="S49" s="7"/>
      <c r="T49" s="7"/>
      <c r="U49" s="19"/>
      <c r="W49" s="48"/>
      <c r="X49" s="48"/>
      <c r="Y49" s="48"/>
      <c r="Z49" s="48"/>
      <c r="AA49" s="48"/>
      <c r="AB49" s="43"/>
      <c r="AU49"/>
    </row>
    <row r="50" spans="11:47" ht="15" x14ac:dyDescent="0.25">
      <c r="K50" s="10" t="str">
        <f t="shared" si="2"/>
        <v/>
      </c>
      <c r="L50" s="45"/>
      <c r="M50" s="45"/>
      <c r="N50" s="7"/>
      <c r="O50" s="7"/>
      <c r="P50" s="7"/>
      <c r="Q50" s="7"/>
      <c r="R50" s="7"/>
      <c r="S50" s="7"/>
      <c r="T50" s="7"/>
      <c r="U50" s="19"/>
      <c r="W50" s="48"/>
      <c r="X50" s="48"/>
      <c r="Y50" s="48"/>
      <c r="Z50" s="48"/>
      <c r="AA50" s="43"/>
      <c r="AB50" s="43"/>
      <c r="AU50"/>
    </row>
    <row r="51" spans="11:47" ht="15" x14ac:dyDescent="0.25">
      <c r="K51" s="10" t="str">
        <f t="shared" si="2"/>
        <v/>
      </c>
      <c r="L51" s="45"/>
      <c r="M51" s="45"/>
      <c r="N51" s="7"/>
      <c r="O51" s="7"/>
      <c r="P51" s="7"/>
      <c r="Q51" s="7"/>
      <c r="R51" s="7"/>
      <c r="S51" s="7"/>
      <c r="T51" s="7"/>
      <c r="U51" s="19"/>
      <c r="W51" s="49"/>
      <c r="AA51" s="44"/>
      <c r="AU51"/>
    </row>
    <row r="52" spans="11:47" ht="15" x14ac:dyDescent="0.25">
      <c r="K52" s="10" t="str">
        <f t="shared" si="2"/>
        <v/>
      </c>
      <c r="L52" s="7"/>
      <c r="M52" s="7"/>
      <c r="N52" s="7"/>
      <c r="O52" s="7"/>
      <c r="P52" s="7"/>
      <c r="Q52" s="7"/>
      <c r="R52" s="7"/>
      <c r="S52" s="7"/>
      <c r="T52" s="7"/>
      <c r="U52" s="19"/>
      <c r="W52" s="49"/>
      <c r="AA52" s="44"/>
      <c r="AU52"/>
    </row>
    <row r="53" spans="11:47" ht="15" x14ac:dyDescent="0.25">
      <c r="K53" s="10" t="str">
        <f t="shared" si="2"/>
        <v/>
      </c>
      <c r="L53" s="7"/>
      <c r="M53" s="7"/>
      <c r="N53" s="7"/>
      <c r="O53" s="7"/>
      <c r="P53" s="7"/>
      <c r="Q53" s="7"/>
      <c r="R53" s="7"/>
      <c r="S53" s="7"/>
      <c r="T53" s="7"/>
      <c r="U53" s="19"/>
      <c r="W53" s="49"/>
      <c r="AA53" s="44"/>
      <c r="AU53"/>
    </row>
    <row r="54" spans="11:47" ht="15" x14ac:dyDescent="0.25">
      <c r="K54" s="10" t="str">
        <f t="shared" si="2"/>
        <v/>
      </c>
      <c r="L54" s="7"/>
      <c r="M54" s="7"/>
      <c r="N54" s="7"/>
      <c r="O54" s="7"/>
      <c r="P54" s="7"/>
      <c r="Q54" s="7"/>
      <c r="R54" s="7"/>
      <c r="S54" s="7"/>
      <c r="T54" s="7"/>
      <c r="U54" s="19"/>
      <c r="W54" s="49"/>
      <c r="AA54" s="44"/>
      <c r="AU54"/>
    </row>
    <row r="55" spans="11:47" ht="15" x14ac:dyDescent="0.25">
      <c r="K55" s="10" t="str">
        <f t="shared" si="2"/>
        <v/>
      </c>
      <c r="L55" s="7"/>
      <c r="M55" s="7"/>
      <c r="N55" s="7"/>
      <c r="O55" s="7"/>
      <c r="P55" s="7"/>
      <c r="Q55" s="7"/>
      <c r="R55" s="7"/>
      <c r="S55" s="7"/>
      <c r="T55" s="7"/>
      <c r="U55" s="19"/>
      <c r="W55" s="49"/>
      <c r="AA55" s="44"/>
      <c r="AU55"/>
    </row>
    <row r="56" spans="11:47" ht="15" x14ac:dyDescent="0.25">
      <c r="K56" s="10" t="str">
        <f t="shared" si="2"/>
        <v/>
      </c>
      <c r="L56" s="7"/>
      <c r="M56" s="7"/>
      <c r="N56" s="7"/>
      <c r="O56" s="7"/>
      <c r="P56" s="7"/>
      <c r="Q56" s="7"/>
      <c r="R56" s="7"/>
      <c r="S56" s="7"/>
      <c r="T56" s="7"/>
      <c r="U56" s="19"/>
      <c r="W56" s="49"/>
      <c r="AA56" s="44"/>
      <c r="AU56"/>
    </row>
    <row r="57" spans="11:47" ht="15" x14ac:dyDescent="0.25">
      <c r="K57" s="10" t="str">
        <f t="shared" si="2"/>
        <v/>
      </c>
      <c r="L57" s="7"/>
      <c r="M57" s="7"/>
      <c r="N57" s="7"/>
      <c r="O57" s="7"/>
      <c r="P57" s="7"/>
      <c r="Q57" s="7"/>
      <c r="R57" s="7"/>
      <c r="S57" s="7"/>
      <c r="T57" s="7"/>
      <c r="U57" s="19"/>
      <c r="W57" s="49"/>
      <c r="AU57"/>
    </row>
    <row r="58" spans="11:47" x14ac:dyDescent="0.15">
      <c r="K58" s="10" t="str">
        <f t="shared" si="2"/>
        <v/>
      </c>
      <c r="L58" s="7"/>
      <c r="M58" s="7"/>
      <c r="N58" s="7"/>
      <c r="O58" s="7"/>
      <c r="P58" s="7"/>
      <c r="Q58" s="7"/>
      <c r="R58" s="7"/>
      <c r="S58" s="7"/>
      <c r="T58" s="7"/>
      <c r="U58" s="19"/>
      <c r="W58" s="49"/>
    </row>
    <row r="59" spans="11:47" x14ac:dyDescent="0.15">
      <c r="K59" s="10" t="str">
        <f t="shared" si="2"/>
        <v/>
      </c>
      <c r="L59" s="7"/>
      <c r="M59" s="7"/>
      <c r="N59" s="7"/>
      <c r="O59" s="7"/>
      <c r="P59" s="7"/>
      <c r="Q59" s="7"/>
      <c r="R59" s="7"/>
      <c r="S59" s="7"/>
      <c r="T59" s="7"/>
      <c r="U59" s="19"/>
      <c r="W59" s="49"/>
    </row>
    <row r="60" spans="11:47" x14ac:dyDescent="0.15">
      <c r="K60" s="10" t="str">
        <f t="shared" si="2"/>
        <v/>
      </c>
      <c r="L60" s="7"/>
      <c r="M60" s="7"/>
      <c r="N60" s="7"/>
      <c r="O60" s="7"/>
      <c r="P60" s="7"/>
      <c r="Q60" s="7"/>
      <c r="R60" s="7"/>
      <c r="S60" s="7"/>
      <c r="T60" s="7"/>
      <c r="U60" s="19"/>
      <c r="W60" s="49"/>
    </row>
    <row r="61" spans="11:47" x14ac:dyDescent="0.15">
      <c r="K61" s="10" t="str">
        <f t="shared" si="2"/>
        <v/>
      </c>
      <c r="L61" s="7"/>
      <c r="M61" s="7"/>
      <c r="N61" s="7"/>
      <c r="O61" s="7"/>
      <c r="P61" s="7"/>
      <c r="Q61" s="7"/>
      <c r="R61" s="7"/>
      <c r="S61" s="7"/>
      <c r="T61" s="7"/>
      <c r="U61" s="19"/>
    </row>
    <row r="62" spans="11:47" x14ac:dyDescent="0.15">
      <c r="K62" s="10" t="str">
        <f t="shared" si="2"/>
        <v/>
      </c>
      <c r="L62" s="7"/>
      <c r="M62" s="7"/>
      <c r="N62" s="7"/>
      <c r="O62" s="7"/>
      <c r="P62" s="7"/>
      <c r="Q62" s="7"/>
      <c r="R62" s="7"/>
      <c r="S62" s="7"/>
      <c r="T62" s="7"/>
      <c r="U62" s="19"/>
    </row>
    <row r="63" spans="11:47" x14ac:dyDescent="0.15">
      <c r="K63" s="10" t="str">
        <f t="shared" si="2"/>
        <v/>
      </c>
      <c r="L63" s="7"/>
      <c r="M63" s="7"/>
      <c r="N63" s="7"/>
      <c r="O63" s="7"/>
      <c r="P63" s="7"/>
      <c r="Q63" s="7"/>
      <c r="R63" s="7"/>
      <c r="S63" s="7"/>
      <c r="T63" s="7"/>
      <c r="U63" s="19"/>
    </row>
    <row r="64" spans="11:47" x14ac:dyDescent="0.15">
      <c r="K64" s="10" t="str">
        <f t="shared" si="2"/>
        <v/>
      </c>
      <c r="L64" s="7"/>
      <c r="M64" s="7"/>
      <c r="N64" s="7"/>
      <c r="O64" s="7"/>
      <c r="P64" s="7"/>
      <c r="Q64" s="7"/>
      <c r="R64" s="7"/>
      <c r="S64" s="7"/>
      <c r="T64" s="7"/>
      <c r="U64" s="19"/>
    </row>
    <row r="65" spans="11:21" x14ac:dyDescent="0.15">
      <c r="K65" s="10" t="str">
        <f t="shared" si="2"/>
        <v/>
      </c>
      <c r="L65" s="7"/>
      <c r="M65" s="7"/>
      <c r="N65" s="7"/>
      <c r="O65" s="7"/>
      <c r="P65" s="7"/>
      <c r="Q65" s="7"/>
      <c r="R65" s="7"/>
      <c r="S65" s="7"/>
      <c r="T65" s="7"/>
      <c r="U65" s="19"/>
    </row>
    <row r="66" spans="11:21" x14ac:dyDescent="0.15">
      <c r="K66" s="10" t="str">
        <f t="shared" si="2"/>
        <v/>
      </c>
      <c r="L66" s="7"/>
      <c r="M66" s="7"/>
      <c r="N66" s="7"/>
      <c r="O66" s="7"/>
      <c r="P66" s="7"/>
      <c r="Q66" s="7"/>
      <c r="R66" s="7"/>
      <c r="S66" s="7"/>
      <c r="T66" s="7"/>
      <c r="U66" s="19"/>
    </row>
    <row r="67" spans="11:21" x14ac:dyDescent="0.15">
      <c r="K67" s="10" t="str">
        <f t="shared" si="2"/>
        <v/>
      </c>
      <c r="L67" s="7"/>
      <c r="M67" s="7"/>
      <c r="N67" s="7"/>
      <c r="O67" s="7"/>
      <c r="P67" s="7"/>
      <c r="Q67" s="7"/>
      <c r="R67" s="7"/>
      <c r="S67" s="7"/>
      <c r="T67" s="7"/>
      <c r="U67" s="19"/>
    </row>
    <row r="68" spans="11:21" x14ac:dyDescent="0.15">
      <c r="K68" s="10" t="str">
        <f t="shared" si="2"/>
        <v/>
      </c>
      <c r="L68" s="7"/>
      <c r="M68" s="7"/>
      <c r="N68" s="7"/>
      <c r="O68" s="7"/>
      <c r="P68" s="7"/>
      <c r="Q68" s="7"/>
      <c r="R68" s="7"/>
      <c r="S68" s="7"/>
      <c r="T68" s="7"/>
      <c r="U68" s="19"/>
    </row>
    <row r="69" spans="11:21" ht="12" thickBot="1" x14ac:dyDescent="0.2">
      <c r="K69" s="79" t="str">
        <f t="shared" si="2"/>
        <v/>
      </c>
      <c r="L69" s="20"/>
      <c r="M69" s="20"/>
      <c r="N69" s="20"/>
      <c r="O69" s="20"/>
      <c r="P69" s="20"/>
      <c r="Q69" s="20"/>
      <c r="R69" s="20"/>
      <c r="S69" s="20"/>
      <c r="T69" s="20"/>
      <c r="U69" s="21"/>
    </row>
    <row r="70" spans="11:21" ht="12" thickBot="1" x14ac:dyDescent="0.2"/>
    <row r="71" spans="11:21" ht="12" thickBot="1" x14ac:dyDescent="0.2">
      <c r="K71" s="154" t="s">
        <v>131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</row>
    <row r="72" spans="11:21" ht="12" thickBot="1" x14ac:dyDescent="0.2">
      <c r="K72" s="17" t="s">
        <v>82</v>
      </c>
      <c r="L72" s="31" t="str">
        <f>L$3</f>
        <v>y_u_1</v>
      </c>
      <c r="M72" s="31" t="str">
        <f t="shared" ref="M72:U72" si="3">M$3</f>
        <v>p_u_1</v>
      </c>
      <c r="N72" s="31" t="str">
        <f t="shared" si="3"/>
        <v>k_p_1</v>
      </c>
      <c r="O72" s="31" t="str">
        <f>O$3</f>
        <v>n_p_1</v>
      </c>
      <c r="P72" s="31" t="str">
        <f t="shared" si="3"/>
        <v>k_p_2</v>
      </c>
      <c r="Q72" s="31" t="str">
        <f>Q$3</f>
        <v>NONE</v>
      </c>
      <c r="R72" s="31" t="str">
        <f t="shared" si="3"/>
        <v>NONE</v>
      </c>
      <c r="S72" s="31" t="str">
        <f t="shared" si="3"/>
        <v>NONE</v>
      </c>
      <c r="T72" s="31" t="str">
        <f t="shared" si="3"/>
        <v>NONE</v>
      </c>
      <c r="U72" s="31" t="str">
        <f t="shared" si="3"/>
        <v>NONE</v>
      </c>
    </row>
    <row r="73" spans="11:21" x14ac:dyDescent="0.15">
      <c r="K73" s="78">
        <f>IF(K4="","",K4)</f>
        <v>1</v>
      </c>
      <c r="L73" s="76"/>
      <c r="M73" s="76"/>
      <c r="N73" s="76"/>
      <c r="O73" s="76"/>
      <c r="P73" s="76"/>
      <c r="Q73" s="76"/>
      <c r="R73" s="76"/>
      <c r="S73" s="76"/>
      <c r="T73" s="76"/>
      <c r="U73" s="77"/>
    </row>
    <row r="74" spans="11:21" x14ac:dyDescent="0.15">
      <c r="K74" s="10">
        <f t="shared" ref="K74:K104" si="4">IF(K5="","",K5)</f>
        <v>2</v>
      </c>
      <c r="L74" s="7"/>
      <c r="M74" s="7"/>
      <c r="N74" s="7"/>
      <c r="O74" s="7"/>
      <c r="P74" s="7"/>
      <c r="Q74" s="7"/>
      <c r="R74" s="7"/>
      <c r="S74" s="7"/>
      <c r="T74" s="7"/>
      <c r="U74" s="19"/>
    </row>
    <row r="75" spans="11:21" x14ac:dyDescent="0.15">
      <c r="K75" s="10">
        <f t="shared" si="4"/>
        <v>3</v>
      </c>
      <c r="L75" s="7"/>
      <c r="M75" s="7"/>
      <c r="N75" s="7"/>
      <c r="O75" s="7"/>
      <c r="P75" s="7"/>
      <c r="Q75" s="7"/>
      <c r="R75" s="7"/>
      <c r="S75" s="7"/>
      <c r="T75" s="7"/>
      <c r="U75" s="19"/>
    </row>
    <row r="76" spans="11:21" x14ac:dyDescent="0.15">
      <c r="K76" s="10">
        <f t="shared" si="4"/>
        <v>4</v>
      </c>
      <c r="L76" s="7"/>
      <c r="M76" s="7"/>
      <c r="N76" s="7"/>
      <c r="O76" s="7"/>
      <c r="P76" s="7"/>
      <c r="Q76" s="7"/>
      <c r="R76" s="7"/>
      <c r="S76" s="7"/>
      <c r="T76" s="7"/>
      <c r="U76" s="19"/>
    </row>
    <row r="77" spans="11:21" x14ac:dyDescent="0.15">
      <c r="K77" s="10">
        <f t="shared" si="4"/>
        <v>5</v>
      </c>
      <c r="L77" s="7"/>
      <c r="M77" s="7"/>
      <c r="N77" s="7"/>
      <c r="O77" s="7"/>
      <c r="P77" s="7"/>
      <c r="Q77" s="7"/>
      <c r="R77" s="7"/>
      <c r="S77" s="7"/>
      <c r="T77" s="7"/>
      <c r="U77" s="19"/>
    </row>
    <row r="78" spans="11:21" x14ac:dyDescent="0.15">
      <c r="K78" s="10">
        <f t="shared" si="4"/>
        <v>6</v>
      </c>
      <c r="L78" s="7"/>
      <c r="M78" s="7"/>
      <c r="N78" s="7"/>
      <c r="O78" s="7"/>
      <c r="P78" s="7"/>
      <c r="Q78" s="7"/>
      <c r="R78" s="7"/>
      <c r="S78" s="7"/>
      <c r="T78" s="7"/>
      <c r="U78" s="19"/>
    </row>
    <row r="79" spans="11:21" x14ac:dyDescent="0.15">
      <c r="K79" s="10">
        <f t="shared" si="4"/>
        <v>7</v>
      </c>
      <c r="L79" s="7"/>
      <c r="M79" s="7"/>
      <c r="N79" s="7"/>
      <c r="O79" s="7"/>
      <c r="P79" s="7"/>
      <c r="Q79" s="7"/>
      <c r="R79" s="7"/>
      <c r="S79" s="7"/>
      <c r="T79" s="7"/>
      <c r="U79" s="19"/>
    </row>
    <row r="80" spans="11:21" x14ac:dyDescent="0.15">
      <c r="K80" s="10">
        <f t="shared" si="4"/>
        <v>8</v>
      </c>
      <c r="L80" s="7"/>
      <c r="M80" s="7"/>
      <c r="N80" s="7"/>
      <c r="O80" s="7"/>
      <c r="P80" s="7"/>
      <c r="Q80" s="7"/>
      <c r="R80" s="7"/>
      <c r="S80" s="7"/>
      <c r="T80" s="7"/>
      <c r="U80" s="19"/>
    </row>
    <row r="81" spans="11:21" x14ac:dyDescent="0.15">
      <c r="K81" s="10">
        <f t="shared" si="4"/>
        <v>9</v>
      </c>
      <c r="L81" s="7"/>
      <c r="M81" s="7"/>
      <c r="N81" s="7"/>
      <c r="O81" s="7"/>
      <c r="P81" s="7"/>
      <c r="Q81" s="7"/>
      <c r="R81" s="7"/>
      <c r="S81" s="7"/>
      <c r="T81" s="7"/>
      <c r="U81" s="19"/>
    </row>
    <row r="82" spans="11:21" x14ac:dyDescent="0.15">
      <c r="K82" s="10">
        <f t="shared" si="4"/>
        <v>10</v>
      </c>
      <c r="L82" s="7"/>
      <c r="M82" s="7"/>
      <c r="N82" s="7"/>
      <c r="O82" s="7"/>
      <c r="P82" s="7"/>
      <c r="Q82" s="7"/>
      <c r="R82" s="7"/>
      <c r="S82" s="7"/>
      <c r="T82" s="7"/>
      <c r="U82" s="19"/>
    </row>
    <row r="83" spans="11:21" x14ac:dyDescent="0.15">
      <c r="K83" s="10">
        <f t="shared" si="4"/>
        <v>11</v>
      </c>
      <c r="L83" s="7"/>
      <c r="M83" s="7"/>
      <c r="N83" s="7"/>
      <c r="O83" s="7"/>
      <c r="P83" s="7"/>
      <c r="Q83" s="7"/>
      <c r="R83" s="7"/>
      <c r="S83" s="7"/>
      <c r="T83" s="7"/>
      <c r="U83" s="19"/>
    </row>
    <row r="84" spans="11:21" x14ac:dyDescent="0.15">
      <c r="K84" s="10" t="str">
        <f t="shared" si="4"/>
        <v/>
      </c>
      <c r="L84" s="7"/>
      <c r="M84" s="7"/>
      <c r="N84" s="7"/>
      <c r="O84" s="7"/>
      <c r="P84" s="7"/>
      <c r="Q84" s="7"/>
      <c r="R84" s="7"/>
      <c r="S84" s="7"/>
      <c r="T84" s="7"/>
      <c r="U84" s="19"/>
    </row>
    <row r="85" spans="11:21" x14ac:dyDescent="0.15">
      <c r="K85" s="10" t="str">
        <f t="shared" si="4"/>
        <v/>
      </c>
      <c r="L85" s="7"/>
      <c r="M85" s="7"/>
      <c r="N85" s="7"/>
      <c r="O85" s="7"/>
      <c r="P85" s="7"/>
      <c r="Q85" s="7"/>
      <c r="R85" s="7"/>
      <c r="S85" s="7"/>
      <c r="T85" s="7"/>
      <c r="U85" s="19"/>
    </row>
    <row r="86" spans="11:21" x14ac:dyDescent="0.15">
      <c r="K86" s="10" t="str">
        <f t="shared" si="4"/>
        <v/>
      </c>
      <c r="L86" s="7"/>
      <c r="M86" s="7"/>
      <c r="N86" s="7"/>
      <c r="O86" s="7"/>
      <c r="P86" s="7"/>
      <c r="Q86" s="7"/>
      <c r="R86" s="7"/>
      <c r="S86" s="7"/>
      <c r="T86" s="7"/>
      <c r="U86" s="19"/>
    </row>
    <row r="87" spans="11:21" x14ac:dyDescent="0.15">
      <c r="K87" s="10" t="str">
        <f t="shared" si="4"/>
        <v/>
      </c>
      <c r="L87" s="7"/>
      <c r="M87" s="7"/>
      <c r="N87" s="7"/>
      <c r="O87" s="7"/>
      <c r="P87" s="7"/>
      <c r="Q87" s="7"/>
      <c r="R87" s="7"/>
      <c r="S87" s="7"/>
      <c r="T87" s="7"/>
      <c r="U87" s="19"/>
    </row>
    <row r="88" spans="11:21" x14ac:dyDescent="0.15">
      <c r="K88" s="10" t="str">
        <f t="shared" si="4"/>
        <v/>
      </c>
      <c r="L88" s="7"/>
      <c r="M88" s="7"/>
      <c r="N88" s="7"/>
      <c r="O88" s="7"/>
      <c r="P88" s="7"/>
      <c r="Q88" s="7"/>
      <c r="R88" s="7"/>
      <c r="S88" s="7"/>
      <c r="T88" s="7"/>
      <c r="U88" s="19"/>
    </row>
    <row r="89" spans="11:21" x14ac:dyDescent="0.15">
      <c r="K89" s="10" t="str">
        <f t="shared" si="4"/>
        <v/>
      </c>
      <c r="L89" s="7"/>
      <c r="M89" s="7"/>
      <c r="N89" s="7"/>
      <c r="O89" s="7"/>
      <c r="P89" s="7"/>
      <c r="Q89" s="7"/>
      <c r="R89" s="7"/>
      <c r="S89" s="7"/>
      <c r="T89" s="7"/>
      <c r="U89" s="19"/>
    </row>
    <row r="90" spans="11:21" x14ac:dyDescent="0.15">
      <c r="K90" s="10" t="str">
        <f t="shared" si="4"/>
        <v/>
      </c>
      <c r="L90" s="7"/>
      <c r="M90" s="7"/>
      <c r="N90" s="7"/>
      <c r="O90" s="7"/>
      <c r="P90" s="7"/>
      <c r="Q90" s="7"/>
      <c r="R90" s="7"/>
      <c r="S90" s="7"/>
      <c r="T90" s="7"/>
      <c r="U90" s="19"/>
    </row>
    <row r="91" spans="11:21" x14ac:dyDescent="0.15">
      <c r="K91" s="10" t="str">
        <f t="shared" si="4"/>
        <v/>
      </c>
      <c r="L91" s="7"/>
      <c r="M91" s="7"/>
      <c r="N91" s="7"/>
      <c r="O91" s="7"/>
      <c r="P91" s="7"/>
      <c r="Q91" s="7"/>
      <c r="R91" s="7"/>
      <c r="S91" s="7"/>
      <c r="T91" s="7"/>
      <c r="U91" s="19"/>
    </row>
    <row r="92" spans="11:21" x14ac:dyDescent="0.15">
      <c r="K92" s="10" t="str">
        <f t="shared" si="4"/>
        <v/>
      </c>
      <c r="L92" s="7"/>
      <c r="M92" s="7"/>
      <c r="N92" s="7"/>
      <c r="O92" s="7"/>
      <c r="P92" s="7"/>
      <c r="Q92" s="7"/>
      <c r="R92" s="7"/>
      <c r="S92" s="7"/>
      <c r="T92" s="7"/>
      <c r="U92" s="19"/>
    </row>
    <row r="93" spans="11:21" x14ac:dyDescent="0.15">
      <c r="K93" s="10" t="str">
        <f t="shared" si="4"/>
        <v/>
      </c>
      <c r="L93" s="7"/>
      <c r="M93" s="7"/>
      <c r="N93" s="7"/>
      <c r="O93" s="7"/>
      <c r="P93" s="7"/>
      <c r="Q93" s="7"/>
      <c r="R93" s="7"/>
      <c r="S93" s="7"/>
      <c r="T93" s="7"/>
      <c r="U93" s="19"/>
    </row>
    <row r="94" spans="11:21" x14ac:dyDescent="0.15">
      <c r="K94" s="10" t="str">
        <f t="shared" si="4"/>
        <v/>
      </c>
      <c r="L94" s="7"/>
      <c r="M94" s="7"/>
      <c r="N94" s="7"/>
      <c r="O94" s="7"/>
      <c r="P94" s="7"/>
      <c r="Q94" s="7"/>
      <c r="R94" s="7"/>
      <c r="S94" s="7"/>
      <c r="T94" s="7"/>
      <c r="U94" s="19"/>
    </row>
    <row r="95" spans="11:21" x14ac:dyDescent="0.15">
      <c r="K95" s="10" t="str">
        <f t="shared" si="4"/>
        <v/>
      </c>
      <c r="L95" s="7"/>
      <c r="M95" s="7"/>
      <c r="N95" s="7"/>
      <c r="O95" s="7"/>
      <c r="P95" s="7"/>
      <c r="Q95" s="7"/>
      <c r="R95" s="7"/>
      <c r="S95" s="7"/>
      <c r="T95" s="7"/>
      <c r="U95" s="19"/>
    </row>
    <row r="96" spans="11:21" x14ac:dyDescent="0.15">
      <c r="K96" s="10" t="str">
        <f t="shared" si="4"/>
        <v/>
      </c>
      <c r="L96" s="7"/>
      <c r="M96" s="7"/>
      <c r="N96" s="7"/>
      <c r="O96" s="7"/>
      <c r="P96" s="7"/>
      <c r="Q96" s="7"/>
      <c r="R96" s="7"/>
      <c r="S96" s="7"/>
      <c r="T96" s="7"/>
      <c r="U96" s="19"/>
    </row>
    <row r="97" spans="11:21" x14ac:dyDescent="0.15">
      <c r="K97" s="10" t="str">
        <f t="shared" si="4"/>
        <v/>
      </c>
      <c r="L97" s="7"/>
      <c r="M97" s="7"/>
      <c r="N97" s="7"/>
      <c r="O97" s="7"/>
      <c r="P97" s="7"/>
      <c r="Q97" s="7"/>
      <c r="R97" s="7"/>
      <c r="S97" s="7"/>
      <c r="T97" s="7"/>
      <c r="U97" s="19"/>
    </row>
    <row r="98" spans="11:21" x14ac:dyDescent="0.15">
      <c r="K98" s="10" t="str">
        <f t="shared" si="4"/>
        <v/>
      </c>
      <c r="L98" s="7"/>
      <c r="M98" s="7"/>
      <c r="N98" s="7"/>
      <c r="O98" s="7"/>
      <c r="P98" s="7"/>
      <c r="Q98" s="7"/>
      <c r="R98" s="7"/>
      <c r="S98" s="7"/>
      <c r="T98" s="7"/>
      <c r="U98" s="19"/>
    </row>
    <row r="99" spans="11:21" x14ac:dyDescent="0.15">
      <c r="K99" s="10" t="str">
        <f t="shared" si="4"/>
        <v/>
      </c>
      <c r="L99" s="7"/>
      <c r="M99" s="7"/>
      <c r="N99" s="7"/>
      <c r="O99" s="7"/>
      <c r="P99" s="7"/>
      <c r="Q99" s="7"/>
      <c r="R99" s="7"/>
      <c r="S99" s="7"/>
      <c r="T99" s="7"/>
      <c r="U99" s="19"/>
    </row>
    <row r="100" spans="11:21" x14ac:dyDescent="0.15">
      <c r="K100" s="10" t="str">
        <f t="shared" si="4"/>
        <v/>
      </c>
      <c r="L100" s="7"/>
      <c r="M100" s="7"/>
      <c r="N100" s="7"/>
      <c r="O100" s="7"/>
      <c r="P100" s="7"/>
      <c r="Q100" s="7"/>
      <c r="R100" s="7"/>
      <c r="S100" s="7"/>
      <c r="T100" s="7"/>
      <c r="U100" s="19"/>
    </row>
    <row r="101" spans="11:21" x14ac:dyDescent="0.15">
      <c r="K101" s="10" t="str">
        <f t="shared" si="4"/>
        <v/>
      </c>
      <c r="L101" s="7"/>
      <c r="M101" s="7"/>
      <c r="N101" s="7"/>
      <c r="O101" s="7"/>
      <c r="P101" s="7"/>
      <c r="Q101" s="7"/>
      <c r="R101" s="7"/>
      <c r="S101" s="7"/>
      <c r="T101" s="7"/>
      <c r="U101" s="19"/>
    </row>
    <row r="102" spans="11:21" x14ac:dyDescent="0.15">
      <c r="K102" s="10" t="str">
        <f t="shared" si="4"/>
        <v/>
      </c>
      <c r="L102" s="7"/>
      <c r="M102" s="7"/>
      <c r="N102" s="7"/>
      <c r="O102" s="7"/>
      <c r="P102" s="7"/>
      <c r="Q102" s="7"/>
      <c r="R102" s="7"/>
      <c r="S102" s="7"/>
      <c r="T102" s="7"/>
      <c r="U102" s="19"/>
    </row>
    <row r="103" spans="11:21" x14ac:dyDescent="0.15">
      <c r="K103" s="10" t="str">
        <f t="shared" si="4"/>
        <v/>
      </c>
      <c r="L103" s="7"/>
      <c r="M103" s="7"/>
      <c r="N103" s="7"/>
      <c r="O103" s="7"/>
      <c r="P103" s="7"/>
      <c r="Q103" s="7"/>
      <c r="R103" s="7"/>
      <c r="S103" s="7"/>
      <c r="T103" s="7"/>
      <c r="U103" s="19"/>
    </row>
    <row r="104" spans="11:21" ht="12" thickBot="1" x14ac:dyDescent="0.2">
      <c r="K104" s="79" t="str">
        <f t="shared" si="4"/>
        <v/>
      </c>
      <c r="L104" s="20"/>
      <c r="M104" s="20"/>
      <c r="N104" s="20"/>
      <c r="O104" s="20"/>
      <c r="P104" s="20"/>
      <c r="Q104" s="20"/>
      <c r="R104" s="20"/>
      <c r="S104" s="20"/>
      <c r="T104" s="20"/>
      <c r="U104" s="21"/>
    </row>
  </sheetData>
  <mergeCells count="10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</mergeCells>
  <phoneticPr fontId="22" type="noConversion"/>
  <dataValidations count="8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Q3:U3</xm:sqref>
        </x14:dataValidation>
        <x14:dataValidation type="list" allowBlank="1" showInputMessage="1" showErrorMessage="1" xr:uid="{98CC90B5-8F9C-46BD-AFD5-5EAA9BB8CDFA}">
          <x14:formula1>
            <xm:f>DataFilter!$A$2:$A$186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DataFilter!$B$2:$B$186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DataFilter!$D$2:$D$186</xm:f>
          </x14:formula1>
          <xm:sqref>H15:H34 I4:I14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186"/>
  <sheetViews>
    <sheetView workbookViewId="0">
      <selection activeCell="A7" sqref="A7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10.140625" bestFit="1" customWidth="1"/>
    <col min="4" max="4" width="5.85546875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442</v>
      </c>
      <c r="D1" t="s">
        <v>239</v>
      </c>
      <c r="E1" t="s">
        <v>422</v>
      </c>
    </row>
    <row r="2" spans="1:5" x14ac:dyDescent="0.25">
      <c r="A2" s="50" t="s">
        <v>385</v>
      </c>
      <c r="B2" s="50" t="s">
        <v>244</v>
      </c>
      <c r="C2" s="50" t="s">
        <v>454</v>
      </c>
      <c r="D2">
        <v>0</v>
      </c>
      <c r="E2" s="50" t="s">
        <v>379</v>
      </c>
    </row>
    <row r="3" spans="1:5" x14ac:dyDescent="0.25">
      <c r="A3" s="50" t="s">
        <v>386</v>
      </c>
      <c r="B3" s="50" t="s">
        <v>257</v>
      </c>
      <c r="C3" s="50" t="s">
        <v>454</v>
      </c>
      <c r="D3">
        <v>1</v>
      </c>
      <c r="E3" s="50" t="s">
        <v>379</v>
      </c>
    </row>
    <row r="4" spans="1:5" x14ac:dyDescent="0.25">
      <c r="A4" s="50" t="s">
        <v>382</v>
      </c>
      <c r="B4" s="50" t="s">
        <v>244</v>
      </c>
      <c r="C4" s="50" t="s">
        <v>454</v>
      </c>
      <c r="D4">
        <v>0</v>
      </c>
      <c r="E4" s="50" t="s">
        <v>379</v>
      </c>
    </row>
    <row r="5" spans="1:5" x14ac:dyDescent="0.25">
      <c r="A5" s="50" t="s">
        <v>215</v>
      </c>
      <c r="B5" s="50" t="s">
        <v>258</v>
      </c>
      <c r="C5" s="50" t="s">
        <v>472</v>
      </c>
      <c r="D5">
        <v>1</v>
      </c>
      <c r="E5" s="50" t="s">
        <v>378</v>
      </c>
    </row>
    <row r="6" spans="1:5" x14ac:dyDescent="0.25">
      <c r="A6" s="50" t="s">
        <v>216</v>
      </c>
      <c r="B6" s="50" t="s">
        <v>258</v>
      </c>
      <c r="C6" s="50" t="s">
        <v>472</v>
      </c>
      <c r="D6">
        <v>1</v>
      </c>
      <c r="E6" s="50" t="s">
        <v>378</v>
      </c>
    </row>
    <row r="7" spans="1:5" x14ac:dyDescent="0.25">
      <c r="A7" s="50" t="s">
        <v>217</v>
      </c>
      <c r="B7" s="50" t="s">
        <v>258</v>
      </c>
      <c r="C7" s="50" t="s">
        <v>472</v>
      </c>
      <c r="D7">
        <v>1</v>
      </c>
      <c r="E7" s="50" t="s">
        <v>378</v>
      </c>
    </row>
    <row r="8" spans="1:5" x14ac:dyDescent="0.25">
      <c r="A8" s="50" t="s">
        <v>213</v>
      </c>
      <c r="B8" s="50" t="s">
        <v>258</v>
      </c>
      <c r="C8" s="50" t="s">
        <v>472</v>
      </c>
      <c r="D8">
        <v>1</v>
      </c>
      <c r="E8" s="50" t="s">
        <v>378</v>
      </c>
    </row>
    <row r="9" spans="1:5" x14ac:dyDescent="0.25">
      <c r="A9" s="50" t="s">
        <v>218</v>
      </c>
      <c r="B9" s="50" t="s">
        <v>258</v>
      </c>
      <c r="C9" s="50" t="s">
        <v>472</v>
      </c>
      <c r="D9">
        <v>1</v>
      </c>
      <c r="E9" s="50" t="s">
        <v>378</v>
      </c>
    </row>
    <row r="10" spans="1:5" x14ac:dyDescent="0.25">
      <c r="A10" s="50" t="s">
        <v>219</v>
      </c>
      <c r="B10" s="50" t="s">
        <v>258</v>
      </c>
      <c r="C10" s="50" t="s">
        <v>472</v>
      </c>
      <c r="D10">
        <v>1</v>
      </c>
      <c r="E10" s="50" t="s">
        <v>378</v>
      </c>
    </row>
    <row r="11" spans="1:5" x14ac:dyDescent="0.25">
      <c r="A11" s="50" t="s">
        <v>220</v>
      </c>
      <c r="B11" s="50" t="s">
        <v>258</v>
      </c>
      <c r="C11" s="50" t="s">
        <v>472</v>
      </c>
      <c r="D11">
        <v>1</v>
      </c>
      <c r="E11" s="50" t="s">
        <v>378</v>
      </c>
    </row>
    <row r="12" spans="1:5" x14ac:dyDescent="0.25">
      <c r="A12" s="50" t="s">
        <v>221</v>
      </c>
      <c r="B12" s="50" t="s">
        <v>258</v>
      </c>
      <c r="C12" s="50" t="s">
        <v>472</v>
      </c>
      <c r="D12">
        <v>1</v>
      </c>
      <c r="E12" s="50" t="s">
        <v>378</v>
      </c>
    </row>
    <row r="13" spans="1:5" x14ac:dyDescent="0.25">
      <c r="A13" s="50" t="s">
        <v>222</v>
      </c>
      <c r="B13" s="50" t="s">
        <v>258</v>
      </c>
      <c r="C13" s="50" t="s">
        <v>472</v>
      </c>
      <c r="D13">
        <v>1</v>
      </c>
      <c r="E13" s="50" t="s">
        <v>378</v>
      </c>
    </row>
    <row r="14" spans="1:5" x14ac:dyDescent="0.25">
      <c r="A14" s="50" t="s">
        <v>223</v>
      </c>
      <c r="B14" s="50" t="s">
        <v>258</v>
      </c>
      <c r="C14" s="50" t="s">
        <v>472</v>
      </c>
      <c r="D14">
        <v>1</v>
      </c>
      <c r="E14" s="50" t="s">
        <v>378</v>
      </c>
    </row>
    <row r="15" spans="1:5" x14ac:dyDescent="0.25">
      <c r="A15" s="50" t="s">
        <v>224</v>
      </c>
      <c r="B15" s="50" t="s">
        <v>258</v>
      </c>
      <c r="C15" s="50" t="s">
        <v>472</v>
      </c>
      <c r="D15">
        <v>1</v>
      </c>
      <c r="E15" s="50" t="s">
        <v>378</v>
      </c>
    </row>
    <row r="16" spans="1:5" x14ac:dyDescent="0.25">
      <c r="A16" s="50" t="s">
        <v>225</v>
      </c>
      <c r="B16" s="50" t="s">
        <v>258</v>
      </c>
      <c r="C16" s="50" t="s">
        <v>472</v>
      </c>
      <c r="D16">
        <v>1</v>
      </c>
      <c r="E16" s="50" t="s">
        <v>378</v>
      </c>
    </row>
    <row r="17" spans="1:5" x14ac:dyDescent="0.25">
      <c r="A17" s="50" t="s">
        <v>226</v>
      </c>
      <c r="B17" s="50" t="s">
        <v>258</v>
      </c>
      <c r="C17" s="50" t="s">
        <v>472</v>
      </c>
      <c r="D17">
        <v>1</v>
      </c>
      <c r="E17" s="50" t="s">
        <v>378</v>
      </c>
    </row>
    <row r="18" spans="1:5" x14ac:dyDescent="0.25">
      <c r="A18" s="50" t="s">
        <v>214</v>
      </c>
      <c r="B18" s="50" t="s">
        <v>258</v>
      </c>
      <c r="C18" s="50" t="s">
        <v>472</v>
      </c>
      <c r="D18">
        <v>1</v>
      </c>
      <c r="E18" s="50" t="s">
        <v>379</v>
      </c>
    </row>
    <row r="19" spans="1:5" x14ac:dyDescent="0.25">
      <c r="A19" s="50" t="s">
        <v>259</v>
      </c>
      <c r="B19" s="50" t="s">
        <v>258</v>
      </c>
      <c r="C19" s="50" t="s">
        <v>472</v>
      </c>
      <c r="D19">
        <v>1</v>
      </c>
      <c r="E19" s="50" t="s">
        <v>378</v>
      </c>
    </row>
    <row r="20" spans="1:5" x14ac:dyDescent="0.25">
      <c r="A20" s="50" t="s">
        <v>245</v>
      </c>
      <c r="B20" s="50" t="s">
        <v>258</v>
      </c>
      <c r="C20" s="50" t="s">
        <v>472</v>
      </c>
      <c r="D20">
        <v>1</v>
      </c>
      <c r="E20" s="50" t="s">
        <v>378</v>
      </c>
    </row>
    <row r="21" spans="1:5" x14ac:dyDescent="0.25">
      <c r="A21" s="50" t="s">
        <v>246</v>
      </c>
      <c r="B21" s="50" t="s">
        <v>258</v>
      </c>
      <c r="C21" s="50" t="s">
        <v>472</v>
      </c>
      <c r="D21">
        <v>1</v>
      </c>
      <c r="E21" s="50" t="s">
        <v>378</v>
      </c>
    </row>
    <row r="22" spans="1:5" x14ac:dyDescent="0.25">
      <c r="A22" s="50" t="s">
        <v>247</v>
      </c>
      <c r="B22" s="50" t="s">
        <v>258</v>
      </c>
      <c r="C22" s="50" t="s">
        <v>472</v>
      </c>
      <c r="D22">
        <v>1</v>
      </c>
      <c r="E22" s="50" t="s">
        <v>378</v>
      </c>
    </row>
    <row r="23" spans="1:5" x14ac:dyDescent="0.25">
      <c r="A23" s="50" t="s">
        <v>248</v>
      </c>
      <c r="B23" s="50" t="s">
        <v>258</v>
      </c>
      <c r="C23" s="50" t="s">
        <v>472</v>
      </c>
      <c r="D23">
        <v>1</v>
      </c>
      <c r="E23" s="50" t="s">
        <v>378</v>
      </c>
    </row>
    <row r="24" spans="1:5" x14ac:dyDescent="0.25">
      <c r="A24" s="50" t="s">
        <v>249</v>
      </c>
      <c r="B24" s="50" t="s">
        <v>258</v>
      </c>
      <c r="C24" s="50" t="s">
        <v>472</v>
      </c>
      <c r="D24">
        <v>1</v>
      </c>
      <c r="E24" s="50" t="s">
        <v>378</v>
      </c>
    </row>
    <row r="25" spans="1:5" x14ac:dyDescent="0.25">
      <c r="A25" s="50" t="s">
        <v>260</v>
      </c>
      <c r="B25" s="50" t="s">
        <v>258</v>
      </c>
      <c r="C25" s="50" t="s">
        <v>472</v>
      </c>
      <c r="D25">
        <v>1</v>
      </c>
      <c r="E25" s="50" t="s">
        <v>379</v>
      </c>
    </row>
    <row r="26" spans="1:5" x14ac:dyDescent="0.25">
      <c r="A26" s="50" t="s">
        <v>250</v>
      </c>
      <c r="B26" s="50" t="s">
        <v>258</v>
      </c>
      <c r="C26" s="50" t="s">
        <v>472</v>
      </c>
      <c r="D26">
        <v>1</v>
      </c>
      <c r="E26" s="50" t="s">
        <v>378</v>
      </c>
    </row>
    <row r="27" spans="1:5" x14ac:dyDescent="0.25">
      <c r="A27" s="50" t="s">
        <v>251</v>
      </c>
      <c r="B27" s="50" t="s">
        <v>258</v>
      </c>
      <c r="C27" s="50" t="s">
        <v>472</v>
      </c>
      <c r="D27">
        <v>1</v>
      </c>
      <c r="E27" s="50" t="s">
        <v>378</v>
      </c>
    </row>
    <row r="28" spans="1:5" x14ac:dyDescent="0.25">
      <c r="A28" s="50" t="s">
        <v>252</v>
      </c>
      <c r="B28" s="50" t="s">
        <v>258</v>
      </c>
      <c r="C28" s="50" t="s">
        <v>472</v>
      </c>
      <c r="D28">
        <v>1</v>
      </c>
      <c r="E28" s="50" t="s">
        <v>378</v>
      </c>
    </row>
    <row r="29" spans="1:5" x14ac:dyDescent="0.25">
      <c r="A29" s="50" t="s">
        <v>253</v>
      </c>
      <c r="B29" s="50" t="s">
        <v>258</v>
      </c>
      <c r="C29" s="50" t="s">
        <v>472</v>
      </c>
      <c r="D29">
        <v>1</v>
      </c>
      <c r="E29" s="50" t="s">
        <v>378</v>
      </c>
    </row>
    <row r="30" spans="1:5" x14ac:dyDescent="0.25">
      <c r="A30" s="50" t="s">
        <v>254</v>
      </c>
      <c r="B30" s="50" t="s">
        <v>258</v>
      </c>
      <c r="C30" s="50" t="s">
        <v>472</v>
      </c>
      <c r="D30">
        <v>1</v>
      </c>
      <c r="E30" s="50" t="s">
        <v>378</v>
      </c>
    </row>
    <row r="31" spans="1:5" x14ac:dyDescent="0.25">
      <c r="A31" s="50" t="s">
        <v>255</v>
      </c>
      <c r="B31" s="50" t="s">
        <v>258</v>
      </c>
      <c r="C31" s="50" t="s">
        <v>472</v>
      </c>
      <c r="D31">
        <v>1</v>
      </c>
      <c r="E31" s="50" t="s">
        <v>378</v>
      </c>
    </row>
    <row r="32" spans="1:5" x14ac:dyDescent="0.25">
      <c r="A32" s="50" t="s">
        <v>256</v>
      </c>
      <c r="B32" s="50" t="s">
        <v>258</v>
      </c>
      <c r="C32" s="50" t="s">
        <v>472</v>
      </c>
      <c r="D32">
        <v>1</v>
      </c>
      <c r="E32" s="50" t="s">
        <v>378</v>
      </c>
    </row>
    <row r="33" spans="1:5" x14ac:dyDescent="0.25">
      <c r="A33" s="50" t="s">
        <v>261</v>
      </c>
      <c r="B33" s="50" t="s">
        <v>258</v>
      </c>
      <c r="C33" s="50" t="s">
        <v>473</v>
      </c>
      <c r="D33">
        <v>1</v>
      </c>
      <c r="E33" s="50" t="s">
        <v>378</v>
      </c>
    </row>
    <row r="34" spans="1:5" x14ac:dyDescent="0.25">
      <c r="A34" s="50" t="s">
        <v>262</v>
      </c>
      <c r="B34" s="50" t="s">
        <v>258</v>
      </c>
      <c r="C34" s="50" t="s">
        <v>473</v>
      </c>
      <c r="D34">
        <v>1</v>
      </c>
      <c r="E34" s="50" t="s">
        <v>378</v>
      </c>
    </row>
    <row r="35" spans="1:5" x14ac:dyDescent="0.25">
      <c r="A35" s="50" t="s">
        <v>263</v>
      </c>
      <c r="B35" s="50" t="s">
        <v>258</v>
      </c>
      <c r="C35" s="50" t="s">
        <v>473</v>
      </c>
      <c r="D35">
        <v>1</v>
      </c>
      <c r="E35" s="50" t="s">
        <v>378</v>
      </c>
    </row>
    <row r="36" spans="1:5" x14ac:dyDescent="0.25">
      <c r="A36" s="50" t="s">
        <v>264</v>
      </c>
      <c r="B36" s="50" t="s">
        <v>258</v>
      </c>
      <c r="C36" s="50" t="s">
        <v>473</v>
      </c>
      <c r="D36">
        <v>1</v>
      </c>
      <c r="E36" s="50" t="s">
        <v>378</v>
      </c>
    </row>
    <row r="37" spans="1:5" x14ac:dyDescent="0.25">
      <c r="A37" s="50" t="s">
        <v>265</v>
      </c>
      <c r="B37" s="50" t="s">
        <v>258</v>
      </c>
      <c r="C37" s="50" t="s">
        <v>473</v>
      </c>
      <c r="D37">
        <v>1</v>
      </c>
      <c r="E37" s="50" t="s">
        <v>378</v>
      </c>
    </row>
    <row r="38" spans="1:5" x14ac:dyDescent="0.25">
      <c r="A38" s="50" t="s">
        <v>266</v>
      </c>
      <c r="B38" s="50" t="s">
        <v>258</v>
      </c>
      <c r="C38" s="50" t="s">
        <v>473</v>
      </c>
      <c r="D38">
        <v>1</v>
      </c>
      <c r="E38" s="50" t="s">
        <v>379</v>
      </c>
    </row>
    <row r="39" spans="1:5" x14ac:dyDescent="0.25">
      <c r="A39" s="50" t="s">
        <v>267</v>
      </c>
      <c r="B39" s="50" t="s">
        <v>258</v>
      </c>
      <c r="C39" s="50" t="s">
        <v>473</v>
      </c>
      <c r="D39">
        <v>1</v>
      </c>
      <c r="E39" s="50" t="s">
        <v>379</v>
      </c>
    </row>
    <row r="40" spans="1:5" x14ac:dyDescent="0.25">
      <c r="A40" s="50" t="s">
        <v>268</v>
      </c>
      <c r="B40" s="50" t="s">
        <v>258</v>
      </c>
      <c r="C40" s="50" t="s">
        <v>473</v>
      </c>
      <c r="D40">
        <v>1</v>
      </c>
      <c r="E40" s="50" t="s">
        <v>378</v>
      </c>
    </row>
    <row r="41" spans="1:5" x14ac:dyDescent="0.25">
      <c r="A41" s="50" t="s">
        <v>269</v>
      </c>
      <c r="B41" s="50" t="s">
        <v>258</v>
      </c>
      <c r="C41" s="50" t="s">
        <v>473</v>
      </c>
      <c r="D41">
        <v>1</v>
      </c>
      <c r="E41" s="50" t="s">
        <v>378</v>
      </c>
    </row>
    <row r="42" spans="1:5" x14ac:dyDescent="0.25">
      <c r="A42" s="50" t="s">
        <v>270</v>
      </c>
      <c r="B42" s="50" t="s">
        <v>258</v>
      </c>
      <c r="C42" s="50" t="s">
        <v>473</v>
      </c>
      <c r="D42">
        <v>1</v>
      </c>
      <c r="E42" s="50" t="s">
        <v>378</v>
      </c>
    </row>
    <row r="43" spans="1:5" x14ac:dyDescent="0.25">
      <c r="A43" s="50" t="s">
        <v>271</v>
      </c>
      <c r="B43" s="50" t="s">
        <v>258</v>
      </c>
      <c r="C43" s="50" t="s">
        <v>473</v>
      </c>
      <c r="D43">
        <v>1</v>
      </c>
      <c r="E43" s="50" t="s">
        <v>378</v>
      </c>
    </row>
    <row r="44" spans="1:5" x14ac:dyDescent="0.25">
      <c r="A44" s="50" t="s">
        <v>272</v>
      </c>
      <c r="B44" s="50" t="s">
        <v>258</v>
      </c>
      <c r="C44" s="50" t="s">
        <v>473</v>
      </c>
      <c r="D44">
        <v>1</v>
      </c>
      <c r="E44" s="50" t="s">
        <v>378</v>
      </c>
    </row>
    <row r="45" spans="1:5" x14ac:dyDescent="0.25">
      <c r="A45" s="50" t="s">
        <v>273</v>
      </c>
      <c r="B45" s="50" t="s">
        <v>258</v>
      </c>
      <c r="C45" s="50" t="s">
        <v>473</v>
      </c>
      <c r="D45">
        <v>1</v>
      </c>
      <c r="E45" s="50" t="s">
        <v>379</v>
      </c>
    </row>
    <row r="46" spans="1:5" x14ac:dyDescent="0.25">
      <c r="A46" s="50" t="s">
        <v>274</v>
      </c>
      <c r="B46" s="50" t="s">
        <v>258</v>
      </c>
      <c r="C46" s="50" t="s">
        <v>473</v>
      </c>
      <c r="D46">
        <v>1</v>
      </c>
      <c r="E46" s="50" t="s">
        <v>379</v>
      </c>
    </row>
    <row r="47" spans="1:5" x14ac:dyDescent="0.25">
      <c r="A47" s="50" t="s">
        <v>231</v>
      </c>
      <c r="B47" s="50" t="s">
        <v>258</v>
      </c>
      <c r="C47" s="50" t="s">
        <v>474</v>
      </c>
      <c r="D47">
        <v>1</v>
      </c>
      <c r="E47" s="50" t="s">
        <v>378</v>
      </c>
    </row>
    <row r="48" spans="1:5" x14ac:dyDescent="0.25">
      <c r="A48" s="50" t="s">
        <v>234</v>
      </c>
      <c r="B48" s="50" t="s">
        <v>258</v>
      </c>
      <c r="C48" s="50" t="s">
        <v>474</v>
      </c>
      <c r="D48">
        <v>1</v>
      </c>
      <c r="E48" s="50" t="s">
        <v>378</v>
      </c>
    </row>
    <row r="49" spans="1:5" x14ac:dyDescent="0.25">
      <c r="A49" s="50" t="s">
        <v>232</v>
      </c>
      <c r="B49" s="50" t="s">
        <v>258</v>
      </c>
      <c r="C49" s="50" t="s">
        <v>474</v>
      </c>
      <c r="D49">
        <v>1</v>
      </c>
      <c r="E49" s="50" t="s">
        <v>379</v>
      </c>
    </row>
    <row r="50" spans="1:5" x14ac:dyDescent="0.25">
      <c r="A50" s="50" t="s">
        <v>233</v>
      </c>
      <c r="B50" s="50" t="s">
        <v>258</v>
      </c>
      <c r="C50" s="50" t="s">
        <v>474</v>
      </c>
      <c r="D50">
        <v>1</v>
      </c>
      <c r="E50" s="50" t="s">
        <v>379</v>
      </c>
    </row>
    <row r="51" spans="1:5" x14ac:dyDescent="0.25">
      <c r="A51" s="50" t="s">
        <v>236</v>
      </c>
      <c r="B51" s="50" t="s">
        <v>258</v>
      </c>
      <c r="C51" s="50" t="s">
        <v>474</v>
      </c>
      <c r="D51">
        <v>1</v>
      </c>
      <c r="E51" s="50" t="s">
        <v>378</v>
      </c>
    </row>
    <row r="52" spans="1:5" x14ac:dyDescent="0.25">
      <c r="A52" s="50" t="s">
        <v>235</v>
      </c>
      <c r="B52" s="50" t="s">
        <v>258</v>
      </c>
      <c r="C52" s="50" t="s">
        <v>474</v>
      </c>
      <c r="D52">
        <v>1</v>
      </c>
      <c r="E52" s="50" t="s">
        <v>378</v>
      </c>
    </row>
    <row r="53" spans="1:5" x14ac:dyDescent="0.25">
      <c r="A53" s="50" t="s">
        <v>227</v>
      </c>
      <c r="B53" s="50" t="s">
        <v>258</v>
      </c>
      <c r="C53" s="50" t="s">
        <v>474</v>
      </c>
      <c r="D53">
        <v>1</v>
      </c>
      <c r="E53" s="50" t="s">
        <v>378</v>
      </c>
    </row>
    <row r="54" spans="1:5" x14ac:dyDescent="0.25">
      <c r="A54" s="50" t="s">
        <v>228</v>
      </c>
      <c r="B54" s="50" t="s">
        <v>258</v>
      </c>
      <c r="C54" s="50" t="s">
        <v>474</v>
      </c>
      <c r="D54">
        <v>1</v>
      </c>
      <c r="E54" s="50" t="s">
        <v>379</v>
      </c>
    </row>
    <row r="55" spans="1:5" x14ac:dyDescent="0.25">
      <c r="A55" s="50" t="s">
        <v>229</v>
      </c>
      <c r="B55" s="50" t="s">
        <v>258</v>
      </c>
      <c r="C55" s="50" t="s">
        <v>474</v>
      </c>
      <c r="D55">
        <v>1</v>
      </c>
      <c r="E55" s="50" t="s">
        <v>379</v>
      </c>
    </row>
    <row r="56" spans="1:5" x14ac:dyDescent="0.25">
      <c r="A56" s="50" t="s">
        <v>230</v>
      </c>
      <c r="B56" s="50" t="s">
        <v>258</v>
      </c>
      <c r="C56" s="50" t="s">
        <v>474</v>
      </c>
      <c r="D56">
        <v>1</v>
      </c>
      <c r="E56" s="50" t="s">
        <v>379</v>
      </c>
    </row>
    <row r="57" spans="1:5" x14ac:dyDescent="0.25">
      <c r="A57" s="50" t="s">
        <v>200</v>
      </c>
      <c r="B57" s="50" t="s">
        <v>258</v>
      </c>
      <c r="C57" s="50" t="s">
        <v>475</v>
      </c>
      <c r="D57">
        <v>1</v>
      </c>
      <c r="E57" s="50" t="s">
        <v>378</v>
      </c>
    </row>
    <row r="58" spans="1:5" x14ac:dyDescent="0.25">
      <c r="A58" s="50" t="s">
        <v>201</v>
      </c>
      <c r="B58" s="50" t="s">
        <v>258</v>
      </c>
      <c r="C58" s="50" t="s">
        <v>475</v>
      </c>
      <c r="D58">
        <v>1</v>
      </c>
      <c r="E58" s="50" t="s">
        <v>378</v>
      </c>
    </row>
    <row r="59" spans="1:5" x14ac:dyDescent="0.25">
      <c r="A59" s="50" t="s">
        <v>202</v>
      </c>
      <c r="B59" s="50" t="s">
        <v>258</v>
      </c>
      <c r="C59" s="50" t="s">
        <v>475</v>
      </c>
      <c r="D59">
        <v>1</v>
      </c>
      <c r="E59" s="50" t="s">
        <v>378</v>
      </c>
    </row>
    <row r="60" spans="1:5" x14ac:dyDescent="0.25">
      <c r="A60" s="50" t="s">
        <v>203</v>
      </c>
      <c r="B60" s="50" t="s">
        <v>258</v>
      </c>
      <c r="C60" s="50" t="s">
        <v>475</v>
      </c>
      <c r="D60">
        <v>1</v>
      </c>
      <c r="E60" s="50" t="s">
        <v>378</v>
      </c>
    </row>
    <row r="61" spans="1:5" x14ac:dyDescent="0.25">
      <c r="A61" s="50" t="s">
        <v>204</v>
      </c>
      <c r="B61" s="50" t="s">
        <v>258</v>
      </c>
      <c r="C61" s="50" t="s">
        <v>475</v>
      </c>
      <c r="D61">
        <v>1</v>
      </c>
      <c r="E61" s="50" t="s">
        <v>379</v>
      </c>
    </row>
    <row r="62" spans="1:5" x14ac:dyDescent="0.25">
      <c r="A62" s="50" t="s">
        <v>205</v>
      </c>
      <c r="B62" s="50" t="s">
        <v>258</v>
      </c>
      <c r="C62" s="50" t="s">
        <v>475</v>
      </c>
      <c r="D62">
        <v>1</v>
      </c>
      <c r="E62" s="50" t="s">
        <v>378</v>
      </c>
    </row>
    <row r="63" spans="1:5" x14ac:dyDescent="0.25">
      <c r="A63" s="50" t="s">
        <v>206</v>
      </c>
      <c r="B63" s="50" t="s">
        <v>258</v>
      </c>
      <c r="C63" s="50" t="s">
        <v>475</v>
      </c>
      <c r="D63">
        <v>1</v>
      </c>
      <c r="E63" s="50" t="s">
        <v>378</v>
      </c>
    </row>
    <row r="64" spans="1:5" x14ac:dyDescent="0.25">
      <c r="A64" s="50" t="s">
        <v>207</v>
      </c>
      <c r="B64" s="50" t="s">
        <v>258</v>
      </c>
      <c r="C64" s="50" t="s">
        <v>475</v>
      </c>
      <c r="D64">
        <v>1</v>
      </c>
      <c r="E64" s="50" t="s">
        <v>378</v>
      </c>
    </row>
    <row r="65" spans="1:5" x14ac:dyDescent="0.25">
      <c r="A65" s="50" t="s">
        <v>208</v>
      </c>
      <c r="B65" s="50" t="s">
        <v>258</v>
      </c>
      <c r="C65" s="50" t="s">
        <v>475</v>
      </c>
      <c r="D65">
        <v>1</v>
      </c>
      <c r="E65" s="50" t="s">
        <v>379</v>
      </c>
    </row>
    <row r="66" spans="1:5" x14ac:dyDescent="0.25">
      <c r="A66" s="50" t="s">
        <v>198</v>
      </c>
      <c r="B66" s="50" t="s">
        <v>258</v>
      </c>
      <c r="C66" s="50" t="s">
        <v>475</v>
      </c>
      <c r="D66">
        <v>1</v>
      </c>
      <c r="E66" s="50" t="s">
        <v>379</v>
      </c>
    </row>
    <row r="67" spans="1:5" x14ac:dyDescent="0.25">
      <c r="A67" s="50" t="s">
        <v>199</v>
      </c>
      <c r="B67" s="50" t="s">
        <v>258</v>
      </c>
      <c r="C67" s="50" t="s">
        <v>475</v>
      </c>
      <c r="D67">
        <v>1</v>
      </c>
      <c r="E67" s="50" t="s">
        <v>378</v>
      </c>
    </row>
    <row r="68" spans="1:5" x14ac:dyDescent="0.25">
      <c r="A68" s="50" t="s">
        <v>387</v>
      </c>
      <c r="B68" s="50" t="s">
        <v>257</v>
      </c>
      <c r="C68" s="50" t="s">
        <v>454</v>
      </c>
      <c r="D68">
        <v>1</v>
      </c>
      <c r="E68" s="50" t="s">
        <v>379</v>
      </c>
    </row>
    <row r="69" spans="1:5" x14ac:dyDescent="0.25">
      <c r="A69" s="50" t="s">
        <v>446</v>
      </c>
      <c r="B69" s="50" t="s">
        <v>409</v>
      </c>
      <c r="C69" s="50" t="s">
        <v>476</v>
      </c>
      <c r="D69">
        <v>13</v>
      </c>
      <c r="E69" s="50" t="s">
        <v>379</v>
      </c>
    </row>
    <row r="70" spans="1:5" x14ac:dyDescent="0.25">
      <c r="A70" s="50" t="s">
        <v>447</v>
      </c>
      <c r="B70" s="50" t="s">
        <v>409</v>
      </c>
      <c r="C70" s="50" t="s">
        <v>476</v>
      </c>
      <c r="D70">
        <v>13</v>
      </c>
      <c r="E70" s="50" t="s">
        <v>379</v>
      </c>
    </row>
    <row r="71" spans="1:5" x14ac:dyDescent="0.25">
      <c r="A71" s="50" t="s">
        <v>448</v>
      </c>
      <c r="B71" s="50" t="s">
        <v>409</v>
      </c>
      <c r="C71" s="50" t="s">
        <v>476</v>
      </c>
      <c r="D71">
        <v>13</v>
      </c>
      <c r="E71" s="50" t="s">
        <v>379</v>
      </c>
    </row>
    <row r="72" spans="1:5" x14ac:dyDescent="0.25">
      <c r="A72" s="50" t="s">
        <v>449</v>
      </c>
      <c r="B72" s="50" t="s">
        <v>409</v>
      </c>
      <c r="C72" s="50" t="s">
        <v>476</v>
      </c>
      <c r="D72">
        <v>13</v>
      </c>
      <c r="E72" s="50" t="s">
        <v>379</v>
      </c>
    </row>
    <row r="73" spans="1:5" x14ac:dyDescent="0.25">
      <c r="A73" s="50" t="s">
        <v>450</v>
      </c>
      <c r="B73" s="50" t="s">
        <v>409</v>
      </c>
      <c r="C73" s="50" t="s">
        <v>476</v>
      </c>
      <c r="D73">
        <v>13</v>
      </c>
      <c r="E73" s="50" t="s">
        <v>378</v>
      </c>
    </row>
    <row r="74" spans="1:5" x14ac:dyDescent="0.25">
      <c r="A74" s="50" t="s">
        <v>451</v>
      </c>
      <c r="B74" s="50" t="s">
        <v>409</v>
      </c>
      <c r="C74" s="50" t="s">
        <v>476</v>
      </c>
      <c r="D74">
        <v>13</v>
      </c>
      <c r="E74" s="50" t="s">
        <v>378</v>
      </c>
    </row>
    <row r="75" spans="1:5" x14ac:dyDescent="0.25">
      <c r="A75" s="50" t="s">
        <v>452</v>
      </c>
      <c r="B75" s="50" t="s">
        <v>409</v>
      </c>
      <c r="C75" s="50" t="s">
        <v>476</v>
      </c>
      <c r="D75">
        <v>13</v>
      </c>
      <c r="E75" s="50" t="s">
        <v>378</v>
      </c>
    </row>
    <row r="76" spans="1:5" x14ac:dyDescent="0.25">
      <c r="A76" s="50" t="s">
        <v>453</v>
      </c>
      <c r="B76" s="50" t="s">
        <v>409</v>
      </c>
      <c r="C76" s="50" t="s">
        <v>476</v>
      </c>
      <c r="D76">
        <v>13</v>
      </c>
      <c r="E76" s="50" t="s">
        <v>378</v>
      </c>
    </row>
    <row r="77" spans="1:5" x14ac:dyDescent="0.25">
      <c r="A77" s="50" t="s">
        <v>416</v>
      </c>
      <c r="B77" s="50" t="s">
        <v>409</v>
      </c>
      <c r="C77" s="50" t="s">
        <v>475</v>
      </c>
      <c r="D77">
        <v>16</v>
      </c>
      <c r="E77" s="50" t="s">
        <v>379</v>
      </c>
    </row>
    <row r="78" spans="1:5" x14ac:dyDescent="0.25">
      <c r="A78" s="50" t="s">
        <v>411</v>
      </c>
      <c r="B78" s="50" t="s">
        <v>409</v>
      </c>
      <c r="C78" s="50" t="s">
        <v>475</v>
      </c>
      <c r="D78">
        <v>16</v>
      </c>
      <c r="E78" s="50" t="s">
        <v>378</v>
      </c>
    </row>
    <row r="79" spans="1:5" x14ac:dyDescent="0.25">
      <c r="A79" s="50" t="s">
        <v>412</v>
      </c>
      <c r="B79" s="50" t="s">
        <v>409</v>
      </c>
      <c r="C79" s="50" t="s">
        <v>475</v>
      </c>
      <c r="D79">
        <v>16</v>
      </c>
      <c r="E79" s="50" t="s">
        <v>378</v>
      </c>
    </row>
    <row r="80" spans="1:5" x14ac:dyDescent="0.25">
      <c r="A80" s="50" t="s">
        <v>413</v>
      </c>
      <c r="B80" s="50" t="s">
        <v>409</v>
      </c>
      <c r="C80" s="50" t="s">
        <v>475</v>
      </c>
      <c r="D80">
        <v>16</v>
      </c>
      <c r="E80" s="50" t="s">
        <v>378</v>
      </c>
    </row>
    <row r="81" spans="1:5" x14ac:dyDescent="0.25">
      <c r="A81" s="50" t="s">
        <v>414</v>
      </c>
      <c r="B81" s="50" t="s">
        <v>409</v>
      </c>
      <c r="C81" s="50" t="s">
        <v>475</v>
      </c>
      <c r="D81">
        <v>16</v>
      </c>
      <c r="E81" s="50" t="s">
        <v>378</v>
      </c>
    </row>
    <row r="82" spans="1:5" x14ac:dyDescent="0.25">
      <c r="A82" s="50" t="s">
        <v>275</v>
      </c>
      <c r="B82" s="50" t="s">
        <v>276</v>
      </c>
      <c r="C82" s="50" t="s">
        <v>454</v>
      </c>
      <c r="D82">
        <v>0</v>
      </c>
      <c r="E82" s="50" t="s">
        <v>378</v>
      </c>
    </row>
    <row r="83" spans="1:5" x14ac:dyDescent="0.25">
      <c r="A83" s="50" t="s">
        <v>277</v>
      </c>
      <c r="B83" s="50" t="s">
        <v>276</v>
      </c>
      <c r="C83" s="50" t="s">
        <v>454</v>
      </c>
      <c r="D83">
        <v>0</v>
      </c>
      <c r="E83" s="50" t="s">
        <v>378</v>
      </c>
    </row>
    <row r="84" spans="1:5" x14ac:dyDescent="0.25">
      <c r="A84" s="50" t="s">
        <v>193</v>
      </c>
      <c r="B84" s="50" t="s">
        <v>276</v>
      </c>
      <c r="C84" s="50" t="s">
        <v>454</v>
      </c>
      <c r="D84">
        <v>0</v>
      </c>
      <c r="E84" s="50" t="s">
        <v>378</v>
      </c>
    </row>
    <row r="85" spans="1:5" x14ac:dyDescent="0.25">
      <c r="A85" s="50" t="s">
        <v>191</v>
      </c>
      <c r="B85" s="50" t="s">
        <v>276</v>
      </c>
      <c r="C85" s="50" t="s">
        <v>454</v>
      </c>
      <c r="D85">
        <v>0</v>
      </c>
      <c r="E85" s="50" t="s">
        <v>378</v>
      </c>
    </row>
    <row r="86" spans="1:5" x14ac:dyDescent="0.25">
      <c r="A86" s="50" t="s">
        <v>278</v>
      </c>
      <c r="B86" s="50" t="s">
        <v>244</v>
      </c>
      <c r="C86" s="50" t="s">
        <v>454</v>
      </c>
      <c r="D86">
        <v>1</v>
      </c>
      <c r="E86" s="50" t="s">
        <v>378</v>
      </c>
    </row>
    <row r="87" spans="1:5" x14ac:dyDescent="0.25">
      <c r="A87" s="50" t="s">
        <v>279</v>
      </c>
      <c r="B87" s="50" t="s">
        <v>244</v>
      </c>
      <c r="C87" s="50" t="s">
        <v>454</v>
      </c>
      <c r="D87">
        <v>1</v>
      </c>
      <c r="E87" s="50" t="s">
        <v>378</v>
      </c>
    </row>
    <row r="88" spans="1:5" x14ac:dyDescent="0.25">
      <c r="A88" s="50" t="s">
        <v>280</v>
      </c>
      <c r="B88" s="50" t="s">
        <v>244</v>
      </c>
      <c r="C88" s="50" t="s">
        <v>454</v>
      </c>
      <c r="D88">
        <v>1</v>
      </c>
      <c r="E88" s="50" t="s">
        <v>378</v>
      </c>
    </row>
    <row r="89" spans="1:5" x14ac:dyDescent="0.25">
      <c r="A89" s="50" t="s">
        <v>281</v>
      </c>
      <c r="B89" s="50" t="s">
        <v>244</v>
      </c>
      <c r="C89" s="50" t="s">
        <v>454</v>
      </c>
      <c r="D89">
        <v>1</v>
      </c>
      <c r="E89" s="50" t="s">
        <v>378</v>
      </c>
    </row>
    <row r="90" spans="1:5" x14ac:dyDescent="0.25">
      <c r="A90" s="50" t="s">
        <v>282</v>
      </c>
      <c r="B90" s="50" t="s">
        <v>244</v>
      </c>
      <c r="C90" s="50" t="s">
        <v>454</v>
      </c>
      <c r="D90">
        <v>1</v>
      </c>
      <c r="E90" s="50" t="s">
        <v>378</v>
      </c>
    </row>
    <row r="91" spans="1:5" x14ac:dyDescent="0.25">
      <c r="A91" s="50" t="s">
        <v>283</v>
      </c>
      <c r="B91" s="50" t="s">
        <v>244</v>
      </c>
      <c r="C91" s="50" t="s">
        <v>454</v>
      </c>
      <c r="D91">
        <v>1</v>
      </c>
      <c r="E91" s="50" t="s">
        <v>378</v>
      </c>
    </row>
    <row r="92" spans="1:5" x14ac:dyDescent="0.25">
      <c r="A92" s="50" t="s">
        <v>284</v>
      </c>
      <c r="B92" s="50" t="s">
        <v>244</v>
      </c>
      <c r="C92" s="50" t="s">
        <v>454</v>
      </c>
      <c r="D92">
        <v>1</v>
      </c>
      <c r="E92" s="50" t="s">
        <v>378</v>
      </c>
    </row>
    <row r="93" spans="1:5" x14ac:dyDescent="0.25">
      <c r="A93" s="50" t="s">
        <v>285</v>
      </c>
      <c r="B93" s="50" t="s">
        <v>244</v>
      </c>
      <c r="C93" s="50" t="s">
        <v>454</v>
      </c>
      <c r="D93">
        <v>1</v>
      </c>
      <c r="E93" s="50" t="s">
        <v>378</v>
      </c>
    </row>
    <row r="94" spans="1:5" x14ac:dyDescent="0.25">
      <c r="A94" s="50" t="s">
        <v>286</v>
      </c>
      <c r="B94" s="50" t="s">
        <v>244</v>
      </c>
      <c r="C94" s="50" t="s">
        <v>454</v>
      </c>
      <c r="D94">
        <v>1</v>
      </c>
      <c r="E94" s="50" t="s">
        <v>378</v>
      </c>
    </row>
    <row r="95" spans="1:5" x14ac:dyDescent="0.25">
      <c r="A95" s="50" t="s">
        <v>287</v>
      </c>
      <c r="B95" s="50" t="s">
        <v>244</v>
      </c>
      <c r="C95" s="50" t="s">
        <v>454</v>
      </c>
      <c r="D95">
        <v>1</v>
      </c>
      <c r="E95" s="50" t="s">
        <v>378</v>
      </c>
    </row>
    <row r="96" spans="1:5" x14ac:dyDescent="0.25">
      <c r="A96" s="50" t="s">
        <v>288</v>
      </c>
      <c r="B96" s="50" t="s">
        <v>244</v>
      </c>
      <c r="C96" s="50" t="s">
        <v>454</v>
      </c>
      <c r="D96">
        <v>1</v>
      </c>
      <c r="E96" s="50" t="s">
        <v>378</v>
      </c>
    </row>
    <row r="97" spans="1:5" x14ac:dyDescent="0.25">
      <c r="A97" s="50" t="s">
        <v>289</v>
      </c>
      <c r="B97" s="50" t="s">
        <v>244</v>
      </c>
      <c r="C97" s="50" t="s">
        <v>454</v>
      </c>
      <c r="D97">
        <v>1</v>
      </c>
      <c r="E97" s="50" t="s">
        <v>378</v>
      </c>
    </row>
    <row r="98" spans="1:5" x14ac:dyDescent="0.25">
      <c r="A98" s="50" t="s">
        <v>290</v>
      </c>
      <c r="B98" s="50" t="s">
        <v>244</v>
      </c>
      <c r="C98" s="50" t="s">
        <v>454</v>
      </c>
      <c r="D98">
        <v>1</v>
      </c>
      <c r="E98" s="50" t="s">
        <v>378</v>
      </c>
    </row>
    <row r="99" spans="1:5" x14ac:dyDescent="0.25">
      <c r="A99" s="50" t="s">
        <v>291</v>
      </c>
      <c r="B99" s="50" t="s">
        <v>244</v>
      </c>
      <c r="C99" s="50" t="s">
        <v>454</v>
      </c>
      <c r="D99">
        <v>1</v>
      </c>
      <c r="E99" s="50" t="s">
        <v>378</v>
      </c>
    </row>
    <row r="100" spans="1:5" x14ac:dyDescent="0.25">
      <c r="A100" s="50" t="s">
        <v>292</v>
      </c>
      <c r="B100" s="50" t="s">
        <v>244</v>
      </c>
      <c r="C100" s="50" t="s">
        <v>454</v>
      </c>
      <c r="D100">
        <v>1</v>
      </c>
      <c r="E100" s="50" t="s">
        <v>378</v>
      </c>
    </row>
    <row r="101" spans="1:5" x14ac:dyDescent="0.25">
      <c r="A101" s="50" t="s">
        <v>293</v>
      </c>
      <c r="B101" s="50" t="s">
        <v>244</v>
      </c>
      <c r="C101" s="50" t="s">
        <v>454</v>
      </c>
      <c r="D101">
        <v>1</v>
      </c>
      <c r="E101" s="50" t="s">
        <v>378</v>
      </c>
    </row>
    <row r="102" spans="1:5" x14ac:dyDescent="0.25">
      <c r="A102" s="50" t="s">
        <v>294</v>
      </c>
      <c r="B102" s="50" t="s">
        <v>244</v>
      </c>
      <c r="C102" s="50" t="s">
        <v>454</v>
      </c>
      <c r="D102">
        <v>1</v>
      </c>
      <c r="E102" s="50" t="s">
        <v>378</v>
      </c>
    </row>
    <row r="103" spans="1:5" x14ac:dyDescent="0.25">
      <c r="A103" s="50" t="s">
        <v>295</v>
      </c>
      <c r="B103" s="50" t="s">
        <v>244</v>
      </c>
      <c r="C103" s="50" t="s">
        <v>454</v>
      </c>
      <c r="D103">
        <v>1</v>
      </c>
      <c r="E103" s="50" t="s">
        <v>378</v>
      </c>
    </row>
    <row r="104" spans="1:5" x14ac:dyDescent="0.25">
      <c r="A104" s="50" t="s">
        <v>296</v>
      </c>
      <c r="B104" s="50" t="s">
        <v>244</v>
      </c>
      <c r="C104" s="50" t="s">
        <v>454</v>
      </c>
      <c r="D104">
        <v>1</v>
      </c>
      <c r="E104" s="50" t="s">
        <v>378</v>
      </c>
    </row>
    <row r="105" spans="1:5" x14ac:dyDescent="0.25">
      <c r="A105" s="50" t="s">
        <v>297</v>
      </c>
      <c r="B105" s="50" t="s">
        <v>244</v>
      </c>
      <c r="C105" s="50" t="s">
        <v>454</v>
      </c>
      <c r="D105">
        <v>1</v>
      </c>
      <c r="E105" s="50" t="s">
        <v>378</v>
      </c>
    </row>
    <row r="106" spans="1:5" x14ac:dyDescent="0.25">
      <c r="A106" s="50" t="s">
        <v>298</v>
      </c>
      <c r="B106" s="50" t="s">
        <v>244</v>
      </c>
      <c r="C106" s="50" t="s">
        <v>454</v>
      </c>
      <c r="D106">
        <v>1</v>
      </c>
      <c r="E106" s="50" t="s">
        <v>378</v>
      </c>
    </row>
    <row r="107" spans="1:5" x14ac:dyDescent="0.25">
      <c r="A107" s="50" t="s">
        <v>299</v>
      </c>
      <c r="B107" s="50" t="s">
        <v>244</v>
      </c>
      <c r="C107" s="50" t="s">
        <v>454</v>
      </c>
      <c r="D107">
        <v>1</v>
      </c>
      <c r="E107" s="50" t="s">
        <v>378</v>
      </c>
    </row>
    <row r="108" spans="1:5" x14ac:dyDescent="0.25">
      <c r="A108" s="50" t="s">
        <v>300</v>
      </c>
      <c r="B108" s="50" t="s">
        <v>244</v>
      </c>
      <c r="C108" s="50" t="s">
        <v>454</v>
      </c>
      <c r="D108">
        <v>1</v>
      </c>
      <c r="E108" s="50" t="s">
        <v>378</v>
      </c>
    </row>
    <row r="109" spans="1:5" x14ac:dyDescent="0.25">
      <c r="A109" s="50" t="s">
        <v>301</v>
      </c>
      <c r="B109" s="50" t="s">
        <v>244</v>
      </c>
      <c r="C109" s="50" t="s">
        <v>454</v>
      </c>
      <c r="D109">
        <v>1</v>
      </c>
      <c r="E109" s="50" t="s">
        <v>378</v>
      </c>
    </row>
    <row r="110" spans="1:5" x14ac:dyDescent="0.25">
      <c r="A110" s="50" t="s">
        <v>302</v>
      </c>
      <c r="B110" s="50" t="s">
        <v>244</v>
      </c>
      <c r="C110" s="50" t="s">
        <v>454</v>
      </c>
      <c r="D110">
        <v>1</v>
      </c>
      <c r="E110" s="50" t="s">
        <v>378</v>
      </c>
    </row>
    <row r="111" spans="1:5" x14ac:dyDescent="0.25">
      <c r="A111" s="50" t="s">
        <v>303</v>
      </c>
      <c r="B111" s="50" t="s">
        <v>244</v>
      </c>
      <c r="C111" s="50" t="s">
        <v>454</v>
      </c>
      <c r="D111">
        <v>1</v>
      </c>
      <c r="E111" s="50" t="s">
        <v>378</v>
      </c>
    </row>
    <row r="112" spans="1:5" x14ac:dyDescent="0.25">
      <c r="A112" s="50" t="s">
        <v>304</v>
      </c>
      <c r="B112" s="50" t="s">
        <v>244</v>
      </c>
      <c r="C112" s="50" t="s">
        <v>454</v>
      </c>
      <c r="D112">
        <v>1</v>
      </c>
      <c r="E112" s="50" t="s">
        <v>378</v>
      </c>
    </row>
    <row r="113" spans="1:5" x14ac:dyDescent="0.25">
      <c r="A113" s="50" t="s">
        <v>305</v>
      </c>
      <c r="B113" s="50" t="s">
        <v>244</v>
      </c>
      <c r="C113" s="50" t="s">
        <v>454</v>
      </c>
      <c r="D113">
        <v>1</v>
      </c>
      <c r="E113" s="50" t="s">
        <v>378</v>
      </c>
    </row>
    <row r="114" spans="1:5" x14ac:dyDescent="0.25">
      <c r="A114" s="50" t="s">
        <v>306</v>
      </c>
      <c r="B114" s="50" t="s">
        <v>244</v>
      </c>
      <c r="C114" s="50" t="s">
        <v>454</v>
      </c>
      <c r="D114">
        <v>1</v>
      </c>
      <c r="E114" s="50" t="s">
        <v>378</v>
      </c>
    </row>
    <row r="115" spans="1:5" x14ac:dyDescent="0.25">
      <c r="A115" s="50" t="s">
        <v>307</v>
      </c>
      <c r="B115" s="50" t="s">
        <v>244</v>
      </c>
      <c r="C115" s="50" t="s">
        <v>454</v>
      </c>
      <c r="D115">
        <v>1</v>
      </c>
      <c r="E115" s="50" t="s">
        <v>378</v>
      </c>
    </row>
    <row r="116" spans="1:5" x14ac:dyDescent="0.25">
      <c r="A116" s="50" t="s">
        <v>308</v>
      </c>
      <c r="B116" s="50" t="s">
        <v>244</v>
      </c>
      <c r="C116" s="50" t="s">
        <v>454</v>
      </c>
      <c r="D116">
        <v>1</v>
      </c>
      <c r="E116" s="50" t="s">
        <v>378</v>
      </c>
    </row>
    <row r="117" spans="1:5" x14ac:dyDescent="0.25">
      <c r="A117" s="50" t="s">
        <v>309</v>
      </c>
      <c r="B117" s="50" t="s">
        <v>244</v>
      </c>
      <c r="C117" s="50" t="s">
        <v>454</v>
      </c>
      <c r="D117">
        <v>1</v>
      </c>
      <c r="E117" s="50" t="s">
        <v>378</v>
      </c>
    </row>
    <row r="118" spans="1:5" x14ac:dyDescent="0.25">
      <c r="A118" s="50" t="s">
        <v>310</v>
      </c>
      <c r="B118" s="50" t="s">
        <v>244</v>
      </c>
      <c r="C118" s="50" t="s">
        <v>454</v>
      </c>
      <c r="D118">
        <v>1</v>
      </c>
      <c r="E118" s="50" t="s">
        <v>378</v>
      </c>
    </row>
    <row r="119" spans="1:5" x14ac:dyDescent="0.25">
      <c r="A119" s="50" t="s">
        <v>311</v>
      </c>
      <c r="B119" s="50" t="s">
        <v>244</v>
      </c>
      <c r="C119" s="50" t="s">
        <v>454</v>
      </c>
      <c r="D119">
        <v>1</v>
      </c>
      <c r="E119" s="50" t="s">
        <v>378</v>
      </c>
    </row>
    <row r="120" spans="1:5" x14ac:dyDescent="0.25">
      <c r="A120" s="50" t="s">
        <v>312</v>
      </c>
      <c r="B120" s="50" t="s">
        <v>244</v>
      </c>
      <c r="C120" s="50" t="s">
        <v>454</v>
      </c>
      <c r="D120">
        <v>1</v>
      </c>
      <c r="E120" s="50" t="s">
        <v>378</v>
      </c>
    </row>
    <row r="121" spans="1:5" x14ac:dyDescent="0.25">
      <c r="A121" s="50" t="s">
        <v>313</v>
      </c>
      <c r="B121" s="50" t="s">
        <v>244</v>
      </c>
      <c r="C121" s="50" t="s">
        <v>454</v>
      </c>
      <c r="D121">
        <v>1</v>
      </c>
      <c r="E121" s="50" t="s">
        <v>378</v>
      </c>
    </row>
    <row r="122" spans="1:5" x14ac:dyDescent="0.25">
      <c r="A122" s="50" t="s">
        <v>314</v>
      </c>
      <c r="B122" s="50" t="s">
        <v>244</v>
      </c>
      <c r="C122" s="50" t="s">
        <v>454</v>
      </c>
      <c r="D122">
        <v>1</v>
      </c>
      <c r="E122" s="50" t="s">
        <v>378</v>
      </c>
    </row>
    <row r="123" spans="1:5" x14ac:dyDescent="0.25">
      <c r="A123" s="50" t="s">
        <v>315</v>
      </c>
      <c r="B123" s="50" t="s">
        <v>244</v>
      </c>
      <c r="C123" s="50" t="s">
        <v>454</v>
      </c>
      <c r="D123">
        <v>1</v>
      </c>
      <c r="E123" s="50" t="s">
        <v>378</v>
      </c>
    </row>
    <row r="124" spans="1:5" x14ac:dyDescent="0.25">
      <c r="A124" s="50" t="s">
        <v>316</v>
      </c>
      <c r="B124" s="50" t="s">
        <v>244</v>
      </c>
      <c r="C124" s="50" t="s">
        <v>454</v>
      </c>
      <c r="D124">
        <v>1</v>
      </c>
      <c r="E124" s="50" t="s">
        <v>378</v>
      </c>
    </row>
    <row r="125" spans="1:5" x14ac:dyDescent="0.25">
      <c r="A125" s="50" t="s">
        <v>317</v>
      </c>
      <c r="B125" s="50" t="s">
        <v>244</v>
      </c>
      <c r="C125" s="50" t="s">
        <v>454</v>
      </c>
      <c r="D125">
        <v>1</v>
      </c>
      <c r="E125" s="50" t="s">
        <v>378</v>
      </c>
    </row>
    <row r="126" spans="1:5" x14ac:dyDescent="0.25">
      <c r="A126" s="50" t="s">
        <v>318</v>
      </c>
      <c r="B126" s="50" t="s">
        <v>244</v>
      </c>
      <c r="C126" s="50" t="s">
        <v>454</v>
      </c>
      <c r="D126">
        <v>1</v>
      </c>
      <c r="E126" s="50" t="s">
        <v>378</v>
      </c>
    </row>
    <row r="127" spans="1:5" x14ac:dyDescent="0.25">
      <c r="A127" s="50" t="s">
        <v>319</v>
      </c>
      <c r="B127" s="50" t="s">
        <v>244</v>
      </c>
      <c r="C127" s="50" t="s">
        <v>454</v>
      </c>
      <c r="D127">
        <v>1</v>
      </c>
      <c r="E127" s="50" t="s">
        <v>378</v>
      </c>
    </row>
    <row r="128" spans="1:5" x14ac:dyDescent="0.25">
      <c r="A128" s="50" t="s">
        <v>320</v>
      </c>
      <c r="B128" s="50" t="s">
        <v>244</v>
      </c>
      <c r="C128" s="50" t="s">
        <v>454</v>
      </c>
      <c r="D128">
        <v>1</v>
      </c>
      <c r="E128" s="50" t="s">
        <v>378</v>
      </c>
    </row>
    <row r="129" spans="1:5" x14ac:dyDescent="0.25">
      <c r="A129" s="50" t="s">
        <v>321</v>
      </c>
      <c r="B129" s="50" t="s">
        <v>244</v>
      </c>
      <c r="C129" s="50" t="s">
        <v>454</v>
      </c>
      <c r="D129">
        <v>1</v>
      </c>
      <c r="E129" s="50" t="s">
        <v>378</v>
      </c>
    </row>
    <row r="130" spans="1:5" x14ac:dyDescent="0.25">
      <c r="A130" s="50" t="s">
        <v>322</v>
      </c>
      <c r="B130" s="50" t="s">
        <v>244</v>
      </c>
      <c r="C130" s="50" t="s">
        <v>454</v>
      </c>
      <c r="D130">
        <v>1</v>
      </c>
      <c r="E130" s="50" t="s">
        <v>378</v>
      </c>
    </row>
    <row r="131" spans="1:5" x14ac:dyDescent="0.25">
      <c r="A131" s="50" t="s">
        <v>323</v>
      </c>
      <c r="B131" s="50" t="s">
        <v>244</v>
      </c>
      <c r="C131" s="50" t="s">
        <v>454</v>
      </c>
      <c r="D131">
        <v>1</v>
      </c>
      <c r="E131" s="50" t="s">
        <v>378</v>
      </c>
    </row>
    <row r="132" spans="1:5" x14ac:dyDescent="0.25">
      <c r="A132" s="50" t="s">
        <v>324</v>
      </c>
      <c r="B132" s="50" t="s">
        <v>244</v>
      </c>
      <c r="C132" s="50" t="s">
        <v>454</v>
      </c>
      <c r="D132">
        <v>1</v>
      </c>
      <c r="E132" s="50" t="s">
        <v>378</v>
      </c>
    </row>
    <row r="133" spans="1:5" x14ac:dyDescent="0.25">
      <c r="A133" s="50" t="s">
        <v>325</v>
      </c>
      <c r="B133" s="50" t="s">
        <v>244</v>
      </c>
      <c r="C133" s="50" t="s">
        <v>454</v>
      </c>
      <c r="D133">
        <v>1</v>
      </c>
      <c r="E133" s="50" t="s">
        <v>378</v>
      </c>
    </row>
    <row r="134" spans="1:5" x14ac:dyDescent="0.25">
      <c r="A134" s="50" t="s">
        <v>326</v>
      </c>
      <c r="B134" s="50" t="s">
        <v>244</v>
      </c>
      <c r="C134" s="50" t="s">
        <v>454</v>
      </c>
      <c r="D134">
        <v>1</v>
      </c>
      <c r="E134" s="50" t="s">
        <v>378</v>
      </c>
    </row>
    <row r="135" spans="1:5" x14ac:dyDescent="0.25">
      <c r="A135" s="50" t="s">
        <v>327</v>
      </c>
      <c r="B135" s="50" t="s">
        <v>244</v>
      </c>
      <c r="C135" s="50" t="s">
        <v>454</v>
      </c>
      <c r="D135">
        <v>1</v>
      </c>
      <c r="E135" s="50" t="s">
        <v>378</v>
      </c>
    </row>
    <row r="136" spans="1:5" x14ac:dyDescent="0.25">
      <c r="A136" s="50" t="s">
        <v>328</v>
      </c>
      <c r="B136" s="50" t="s">
        <v>244</v>
      </c>
      <c r="C136" s="50" t="s">
        <v>454</v>
      </c>
      <c r="D136">
        <v>1</v>
      </c>
      <c r="E136" s="50" t="s">
        <v>378</v>
      </c>
    </row>
    <row r="137" spans="1:5" x14ac:dyDescent="0.25">
      <c r="A137" s="50" t="s">
        <v>329</v>
      </c>
      <c r="B137" s="50" t="s">
        <v>244</v>
      </c>
      <c r="C137" s="50" t="s">
        <v>454</v>
      </c>
      <c r="D137">
        <v>1</v>
      </c>
      <c r="E137" s="50" t="s">
        <v>378</v>
      </c>
    </row>
    <row r="138" spans="1:5" x14ac:dyDescent="0.25">
      <c r="A138" s="50" t="s">
        <v>330</v>
      </c>
      <c r="B138" s="50" t="s">
        <v>244</v>
      </c>
      <c r="C138" s="50" t="s">
        <v>454</v>
      </c>
      <c r="D138">
        <v>1</v>
      </c>
      <c r="E138" s="50" t="s">
        <v>378</v>
      </c>
    </row>
    <row r="139" spans="1:5" x14ac:dyDescent="0.25">
      <c r="A139" s="50" t="s">
        <v>331</v>
      </c>
      <c r="B139" s="50" t="s">
        <v>244</v>
      </c>
      <c r="C139" s="50" t="s">
        <v>454</v>
      </c>
      <c r="D139">
        <v>1</v>
      </c>
      <c r="E139" s="50" t="s">
        <v>378</v>
      </c>
    </row>
    <row r="140" spans="1:5" x14ac:dyDescent="0.25">
      <c r="A140" s="50" t="s">
        <v>332</v>
      </c>
      <c r="B140" s="50" t="s">
        <v>244</v>
      </c>
      <c r="C140" s="50" t="s">
        <v>454</v>
      </c>
      <c r="D140">
        <v>1</v>
      </c>
      <c r="E140" s="50" t="s">
        <v>378</v>
      </c>
    </row>
    <row r="141" spans="1:5" x14ac:dyDescent="0.25">
      <c r="A141" s="50" t="s">
        <v>333</v>
      </c>
      <c r="B141" s="50" t="s">
        <v>244</v>
      </c>
      <c r="C141" s="50" t="s">
        <v>454</v>
      </c>
      <c r="D141">
        <v>1</v>
      </c>
      <c r="E141" s="50" t="s">
        <v>378</v>
      </c>
    </row>
    <row r="142" spans="1:5" x14ac:dyDescent="0.25">
      <c r="A142" s="50" t="s">
        <v>334</v>
      </c>
      <c r="B142" s="50" t="s">
        <v>244</v>
      </c>
      <c r="C142" s="50" t="s">
        <v>454</v>
      </c>
      <c r="D142">
        <v>1</v>
      </c>
      <c r="E142" s="50" t="s">
        <v>378</v>
      </c>
    </row>
    <row r="143" spans="1:5" x14ac:dyDescent="0.25">
      <c r="A143" s="50" t="s">
        <v>335</v>
      </c>
      <c r="B143" s="50" t="s">
        <v>244</v>
      </c>
      <c r="C143" s="50" t="s">
        <v>454</v>
      </c>
      <c r="D143">
        <v>1</v>
      </c>
      <c r="E143" s="50" t="s">
        <v>378</v>
      </c>
    </row>
    <row r="144" spans="1:5" x14ac:dyDescent="0.25">
      <c r="A144" s="50" t="s">
        <v>336</v>
      </c>
      <c r="B144" s="50" t="s">
        <v>244</v>
      </c>
      <c r="C144" s="50" t="s">
        <v>454</v>
      </c>
      <c r="D144">
        <v>1</v>
      </c>
      <c r="E144" s="50" t="s">
        <v>378</v>
      </c>
    </row>
    <row r="145" spans="1:5" x14ac:dyDescent="0.25">
      <c r="A145" s="50" t="s">
        <v>337</v>
      </c>
      <c r="B145" s="50" t="s">
        <v>244</v>
      </c>
      <c r="C145" s="50" t="s">
        <v>454</v>
      </c>
      <c r="D145">
        <v>1</v>
      </c>
      <c r="E145" s="50" t="s">
        <v>378</v>
      </c>
    </row>
    <row r="146" spans="1:5" x14ac:dyDescent="0.25">
      <c r="A146" s="50" t="s">
        <v>338</v>
      </c>
      <c r="B146" s="50" t="s">
        <v>244</v>
      </c>
      <c r="C146" s="50" t="s">
        <v>454</v>
      </c>
      <c r="D146">
        <v>1</v>
      </c>
      <c r="E146" s="50" t="s">
        <v>378</v>
      </c>
    </row>
    <row r="147" spans="1:5" x14ac:dyDescent="0.25">
      <c r="A147" s="50" t="s">
        <v>339</v>
      </c>
      <c r="B147" s="50" t="s">
        <v>244</v>
      </c>
      <c r="C147" s="50" t="s">
        <v>454</v>
      </c>
      <c r="D147">
        <v>1</v>
      </c>
      <c r="E147" s="50" t="s">
        <v>378</v>
      </c>
    </row>
    <row r="148" spans="1:5" x14ac:dyDescent="0.25">
      <c r="A148" s="50" t="s">
        <v>340</v>
      </c>
      <c r="B148" s="50" t="s">
        <v>244</v>
      </c>
      <c r="C148" s="50" t="s">
        <v>454</v>
      </c>
      <c r="D148">
        <v>1</v>
      </c>
      <c r="E148" s="50" t="s">
        <v>378</v>
      </c>
    </row>
    <row r="149" spans="1:5" x14ac:dyDescent="0.25">
      <c r="A149" s="50" t="s">
        <v>341</v>
      </c>
      <c r="B149" s="50" t="s">
        <v>244</v>
      </c>
      <c r="C149" s="50" t="s">
        <v>454</v>
      </c>
      <c r="D149">
        <v>1</v>
      </c>
      <c r="E149" s="50" t="s">
        <v>378</v>
      </c>
    </row>
    <row r="150" spans="1:5" x14ac:dyDescent="0.25">
      <c r="A150" s="50" t="s">
        <v>342</v>
      </c>
      <c r="B150" s="50" t="s">
        <v>244</v>
      </c>
      <c r="C150" s="50" t="s">
        <v>454</v>
      </c>
      <c r="D150">
        <v>1</v>
      </c>
      <c r="E150" s="50" t="s">
        <v>378</v>
      </c>
    </row>
    <row r="151" spans="1:5" x14ac:dyDescent="0.25">
      <c r="A151" s="50" t="s">
        <v>343</v>
      </c>
      <c r="B151" s="50" t="s">
        <v>244</v>
      </c>
      <c r="C151" s="50" t="s">
        <v>454</v>
      </c>
      <c r="D151">
        <v>1</v>
      </c>
      <c r="E151" s="50" t="s">
        <v>378</v>
      </c>
    </row>
    <row r="152" spans="1:5" x14ac:dyDescent="0.25">
      <c r="A152" s="50" t="s">
        <v>344</v>
      </c>
      <c r="B152" s="50" t="s">
        <v>244</v>
      </c>
      <c r="C152" s="50" t="s">
        <v>454</v>
      </c>
      <c r="D152">
        <v>1</v>
      </c>
      <c r="E152" s="50" t="s">
        <v>378</v>
      </c>
    </row>
    <row r="153" spans="1:5" x14ac:dyDescent="0.25">
      <c r="A153" s="50" t="s">
        <v>345</v>
      </c>
      <c r="B153" s="50" t="s">
        <v>244</v>
      </c>
      <c r="C153" s="50" t="s">
        <v>454</v>
      </c>
      <c r="D153">
        <v>1</v>
      </c>
      <c r="E153" s="50" t="s">
        <v>378</v>
      </c>
    </row>
    <row r="154" spans="1:5" x14ac:dyDescent="0.25">
      <c r="A154" s="50" t="s">
        <v>346</v>
      </c>
      <c r="B154" s="50" t="s">
        <v>244</v>
      </c>
      <c r="C154" s="50" t="s">
        <v>454</v>
      </c>
      <c r="D154">
        <v>1</v>
      </c>
      <c r="E154" s="50" t="s">
        <v>378</v>
      </c>
    </row>
    <row r="155" spans="1:5" x14ac:dyDescent="0.25">
      <c r="A155" s="50" t="s">
        <v>347</v>
      </c>
      <c r="B155" s="50" t="s">
        <v>244</v>
      </c>
      <c r="C155" s="50" t="s">
        <v>454</v>
      </c>
      <c r="D155">
        <v>1</v>
      </c>
      <c r="E155" s="50" t="s">
        <v>378</v>
      </c>
    </row>
    <row r="156" spans="1:5" x14ac:dyDescent="0.25">
      <c r="A156" s="50" t="s">
        <v>348</v>
      </c>
      <c r="B156" s="50" t="s">
        <v>244</v>
      </c>
      <c r="C156" s="50" t="s">
        <v>454</v>
      </c>
      <c r="D156">
        <v>1</v>
      </c>
      <c r="E156" s="50" t="s">
        <v>378</v>
      </c>
    </row>
    <row r="157" spans="1:5" x14ac:dyDescent="0.25">
      <c r="A157" s="50" t="s">
        <v>349</v>
      </c>
      <c r="B157" s="50" t="s">
        <v>244</v>
      </c>
      <c r="C157" s="50" t="s">
        <v>454</v>
      </c>
      <c r="D157">
        <v>1</v>
      </c>
      <c r="E157" s="50" t="s">
        <v>378</v>
      </c>
    </row>
    <row r="158" spans="1:5" x14ac:dyDescent="0.25">
      <c r="A158" s="50" t="s">
        <v>350</v>
      </c>
      <c r="B158" s="50" t="s">
        <v>244</v>
      </c>
      <c r="C158" s="50" t="s">
        <v>454</v>
      </c>
      <c r="D158">
        <v>1</v>
      </c>
      <c r="E158" s="50" t="s">
        <v>378</v>
      </c>
    </row>
    <row r="159" spans="1:5" x14ac:dyDescent="0.25">
      <c r="A159" s="50" t="s">
        <v>351</v>
      </c>
      <c r="B159" s="50" t="s">
        <v>244</v>
      </c>
      <c r="C159" s="50" t="s">
        <v>454</v>
      </c>
      <c r="D159">
        <v>1</v>
      </c>
      <c r="E159" s="50" t="s">
        <v>378</v>
      </c>
    </row>
    <row r="160" spans="1:5" x14ac:dyDescent="0.25">
      <c r="A160" s="50" t="s">
        <v>352</v>
      </c>
      <c r="B160" s="50" t="s">
        <v>244</v>
      </c>
      <c r="C160" s="50" t="s">
        <v>454</v>
      </c>
      <c r="D160">
        <v>1</v>
      </c>
      <c r="E160" s="50" t="s">
        <v>378</v>
      </c>
    </row>
    <row r="161" spans="1:5" x14ac:dyDescent="0.25">
      <c r="A161" s="50" t="s">
        <v>353</v>
      </c>
      <c r="B161" s="50" t="s">
        <v>244</v>
      </c>
      <c r="C161" s="50" t="s">
        <v>454</v>
      </c>
      <c r="D161">
        <v>1</v>
      </c>
      <c r="E161" s="50" t="s">
        <v>378</v>
      </c>
    </row>
    <row r="162" spans="1:5" x14ac:dyDescent="0.25">
      <c r="A162" s="50" t="s">
        <v>354</v>
      </c>
      <c r="B162" s="50" t="s">
        <v>244</v>
      </c>
      <c r="C162" s="50" t="s">
        <v>454</v>
      </c>
      <c r="D162">
        <v>1</v>
      </c>
      <c r="E162" s="50" t="s">
        <v>378</v>
      </c>
    </row>
    <row r="163" spans="1:5" x14ac:dyDescent="0.25">
      <c r="A163" s="50" t="s">
        <v>355</v>
      </c>
      <c r="B163" s="50" t="s">
        <v>244</v>
      </c>
      <c r="C163" s="50" t="s">
        <v>454</v>
      </c>
      <c r="D163">
        <v>1</v>
      </c>
      <c r="E163" s="50" t="s">
        <v>378</v>
      </c>
    </row>
    <row r="164" spans="1:5" x14ac:dyDescent="0.25">
      <c r="A164" s="50" t="s">
        <v>356</v>
      </c>
      <c r="B164" s="50" t="s">
        <v>244</v>
      </c>
      <c r="C164" s="50" t="s">
        <v>454</v>
      </c>
      <c r="D164">
        <v>1</v>
      </c>
      <c r="E164" s="50" t="s">
        <v>378</v>
      </c>
    </row>
    <row r="165" spans="1:5" x14ac:dyDescent="0.25">
      <c r="A165" s="50" t="s">
        <v>357</v>
      </c>
      <c r="B165" s="50" t="s">
        <v>244</v>
      </c>
      <c r="C165" s="50" t="s">
        <v>454</v>
      </c>
      <c r="D165">
        <v>1</v>
      </c>
      <c r="E165" s="50" t="s">
        <v>378</v>
      </c>
    </row>
    <row r="166" spans="1:5" x14ac:dyDescent="0.25">
      <c r="A166" s="50" t="s">
        <v>358</v>
      </c>
      <c r="B166" s="50" t="s">
        <v>244</v>
      </c>
      <c r="C166" s="50" t="s">
        <v>454</v>
      </c>
      <c r="D166">
        <v>1</v>
      </c>
      <c r="E166" s="50" t="s">
        <v>378</v>
      </c>
    </row>
    <row r="167" spans="1:5" x14ac:dyDescent="0.25">
      <c r="A167" s="50" t="s">
        <v>359</v>
      </c>
      <c r="B167" s="50" t="s">
        <v>244</v>
      </c>
      <c r="C167" s="50" t="s">
        <v>454</v>
      </c>
      <c r="D167">
        <v>1</v>
      </c>
      <c r="E167" s="50" t="s">
        <v>378</v>
      </c>
    </row>
    <row r="168" spans="1:5" x14ac:dyDescent="0.25">
      <c r="A168" s="50" t="s">
        <v>360</v>
      </c>
      <c r="B168" s="50" t="s">
        <v>244</v>
      </c>
      <c r="C168" s="50" t="s">
        <v>454</v>
      </c>
      <c r="D168">
        <v>1</v>
      </c>
      <c r="E168" s="50" t="s">
        <v>378</v>
      </c>
    </row>
    <row r="169" spans="1:5" x14ac:dyDescent="0.25">
      <c r="A169" s="50" t="s">
        <v>361</v>
      </c>
      <c r="B169" s="50" t="s">
        <v>244</v>
      </c>
      <c r="C169" s="50" t="s">
        <v>454</v>
      </c>
      <c r="D169">
        <v>1</v>
      </c>
      <c r="E169" s="50" t="s">
        <v>378</v>
      </c>
    </row>
    <row r="170" spans="1:5" x14ac:dyDescent="0.25">
      <c r="A170" s="50" t="s">
        <v>362</v>
      </c>
      <c r="B170" s="50" t="s">
        <v>244</v>
      </c>
      <c r="C170" s="50" t="s">
        <v>454</v>
      </c>
      <c r="D170">
        <v>1</v>
      </c>
      <c r="E170" s="50" t="s">
        <v>378</v>
      </c>
    </row>
    <row r="171" spans="1:5" x14ac:dyDescent="0.25">
      <c r="A171" s="50" t="s">
        <v>363</v>
      </c>
      <c r="B171" s="50" t="s">
        <v>244</v>
      </c>
      <c r="C171" s="50" t="s">
        <v>454</v>
      </c>
      <c r="D171">
        <v>1</v>
      </c>
      <c r="E171" s="50" t="s">
        <v>378</v>
      </c>
    </row>
    <row r="172" spans="1:5" x14ac:dyDescent="0.25">
      <c r="A172" s="50" t="s">
        <v>364</v>
      </c>
      <c r="B172" s="50" t="s">
        <v>244</v>
      </c>
      <c r="C172" s="50" t="s">
        <v>454</v>
      </c>
      <c r="D172">
        <v>1</v>
      </c>
      <c r="E172" s="50" t="s">
        <v>378</v>
      </c>
    </row>
    <row r="173" spans="1:5" x14ac:dyDescent="0.25">
      <c r="A173" s="50" t="s">
        <v>365</v>
      </c>
      <c r="B173" s="50" t="s">
        <v>244</v>
      </c>
      <c r="C173" s="50" t="s">
        <v>454</v>
      </c>
      <c r="D173">
        <v>1</v>
      </c>
      <c r="E173" s="50" t="s">
        <v>378</v>
      </c>
    </row>
    <row r="174" spans="1:5" x14ac:dyDescent="0.25">
      <c r="A174" s="50" t="s">
        <v>366</v>
      </c>
      <c r="B174" s="50" t="s">
        <v>244</v>
      </c>
      <c r="C174" s="50" t="s">
        <v>454</v>
      </c>
      <c r="D174">
        <v>1</v>
      </c>
      <c r="E174" s="50" t="s">
        <v>378</v>
      </c>
    </row>
    <row r="175" spans="1:5" x14ac:dyDescent="0.25">
      <c r="A175" s="50" t="s">
        <v>367</v>
      </c>
      <c r="B175" s="50" t="s">
        <v>244</v>
      </c>
      <c r="C175" s="50" t="s">
        <v>454</v>
      </c>
      <c r="D175">
        <v>1</v>
      </c>
      <c r="E175" s="50" t="s">
        <v>378</v>
      </c>
    </row>
    <row r="176" spans="1:5" x14ac:dyDescent="0.25">
      <c r="A176" s="50" t="s">
        <v>368</v>
      </c>
      <c r="B176" s="50" t="s">
        <v>244</v>
      </c>
      <c r="C176" s="50" t="s">
        <v>454</v>
      </c>
      <c r="D176">
        <v>1</v>
      </c>
      <c r="E176" s="50" t="s">
        <v>378</v>
      </c>
    </row>
    <row r="177" spans="1:5" x14ac:dyDescent="0.25">
      <c r="A177" s="50" t="s">
        <v>369</v>
      </c>
      <c r="B177" s="50" t="s">
        <v>244</v>
      </c>
      <c r="C177" s="50" t="s">
        <v>454</v>
      </c>
      <c r="D177">
        <v>1</v>
      </c>
      <c r="E177" s="50" t="s">
        <v>378</v>
      </c>
    </row>
    <row r="178" spans="1:5" x14ac:dyDescent="0.25">
      <c r="A178" s="50" t="s">
        <v>370</v>
      </c>
      <c r="B178" s="50" t="s">
        <v>244</v>
      </c>
      <c r="C178" s="50" t="s">
        <v>454</v>
      </c>
      <c r="D178">
        <v>1</v>
      </c>
      <c r="E178" s="50" t="s">
        <v>378</v>
      </c>
    </row>
    <row r="179" spans="1:5" x14ac:dyDescent="0.25">
      <c r="A179" s="50" t="s">
        <v>371</v>
      </c>
      <c r="B179" s="50" t="s">
        <v>244</v>
      </c>
      <c r="C179" s="50" t="s">
        <v>454</v>
      </c>
      <c r="D179">
        <v>1</v>
      </c>
      <c r="E179" s="50" t="s">
        <v>378</v>
      </c>
    </row>
    <row r="180" spans="1:5" x14ac:dyDescent="0.25">
      <c r="A180" s="50" t="s">
        <v>372</v>
      </c>
      <c r="B180" s="50" t="s">
        <v>244</v>
      </c>
      <c r="C180" s="50" t="s">
        <v>454</v>
      </c>
      <c r="D180">
        <v>1</v>
      </c>
      <c r="E180" s="50" t="s">
        <v>378</v>
      </c>
    </row>
    <row r="181" spans="1:5" x14ac:dyDescent="0.25">
      <c r="A181" s="50" t="s">
        <v>373</v>
      </c>
      <c r="B181" s="50" t="s">
        <v>244</v>
      </c>
      <c r="C181" s="50" t="s">
        <v>454</v>
      </c>
      <c r="D181">
        <v>1</v>
      </c>
      <c r="E181" s="50" t="s">
        <v>378</v>
      </c>
    </row>
    <row r="182" spans="1:5" x14ac:dyDescent="0.25">
      <c r="A182" s="50" t="s">
        <v>374</v>
      </c>
      <c r="B182" s="50" t="s">
        <v>244</v>
      </c>
      <c r="C182" s="50" t="s">
        <v>454</v>
      </c>
      <c r="D182">
        <v>1</v>
      </c>
      <c r="E182" s="50" t="s">
        <v>378</v>
      </c>
    </row>
    <row r="183" spans="1:5" x14ac:dyDescent="0.25">
      <c r="A183" s="50" t="s">
        <v>375</v>
      </c>
      <c r="B183" s="50" t="s">
        <v>244</v>
      </c>
      <c r="C183" s="50" t="s">
        <v>454</v>
      </c>
      <c r="D183">
        <v>1</v>
      </c>
      <c r="E183" s="50" t="s">
        <v>378</v>
      </c>
    </row>
    <row r="184" spans="1:5" x14ac:dyDescent="0.25">
      <c r="A184" s="50" t="s">
        <v>376</v>
      </c>
      <c r="B184" s="50" t="s">
        <v>244</v>
      </c>
      <c r="C184" s="50" t="s">
        <v>454</v>
      </c>
      <c r="D184">
        <v>1</v>
      </c>
      <c r="E184" s="50" t="s">
        <v>378</v>
      </c>
    </row>
    <row r="185" spans="1:5" x14ac:dyDescent="0.25">
      <c r="A185" s="50" t="s">
        <v>377</v>
      </c>
      <c r="B185" s="50" t="s">
        <v>244</v>
      </c>
      <c r="C185" s="50" t="s">
        <v>454</v>
      </c>
      <c r="D185">
        <v>1</v>
      </c>
      <c r="E185" s="50" t="s">
        <v>378</v>
      </c>
    </row>
    <row r="186" spans="1:5" x14ac:dyDescent="0.25">
      <c r="A186" s="50" t="s">
        <v>388</v>
      </c>
      <c r="B186" s="50" t="s">
        <v>257</v>
      </c>
      <c r="C186" s="50" t="s">
        <v>454</v>
      </c>
      <c r="D186">
        <v>1</v>
      </c>
      <c r="E186" s="50" t="s">
        <v>379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8"/>
  <sheetViews>
    <sheetView topLeftCell="BA1" zoomScale="78" workbookViewId="0">
      <selection activeCell="G39" sqref="G39"/>
    </sheetView>
  </sheetViews>
  <sheetFormatPr defaultRowHeight="15" x14ac:dyDescent="0.25"/>
  <cols>
    <col min="1" max="1" width="13.140625" bestFit="1" customWidth="1"/>
    <col min="2" max="2" width="10" bestFit="1" customWidth="1"/>
    <col min="3" max="3" width="10.7109375" bestFit="1" customWidth="1"/>
    <col min="4" max="4" width="6.5703125" bestFit="1" customWidth="1"/>
    <col min="5" max="5" width="11.7109375" bestFit="1" customWidth="1"/>
    <col min="6" max="6" width="9.28515625" bestFit="1" customWidth="1"/>
    <col min="7" max="7" width="24.5703125" bestFit="1" customWidth="1"/>
    <col min="8" max="8" width="11.42578125" bestFit="1" customWidth="1"/>
    <col min="9" max="9" width="8.5703125" bestFit="1" customWidth="1"/>
    <col min="10" max="10" width="9" bestFit="1" customWidth="1"/>
    <col min="11" max="13" width="8.7109375" bestFit="1" customWidth="1"/>
    <col min="14" max="16" width="9" bestFit="1" customWidth="1"/>
    <col min="17" max="17" width="8.5703125" bestFit="1" customWidth="1"/>
    <col min="18" max="18" width="8.7109375" bestFit="1" customWidth="1"/>
    <col min="19" max="19" width="10" bestFit="1" customWidth="1"/>
    <col min="20" max="21" width="8.7109375" bestFit="1" customWidth="1"/>
    <col min="22" max="22" width="11.140625" bestFit="1" customWidth="1"/>
    <col min="23" max="24" width="9" bestFit="1" customWidth="1"/>
    <col min="25" max="25" width="12.7109375" bestFit="1" customWidth="1"/>
    <col min="26" max="28" width="13" bestFit="1" customWidth="1"/>
    <col min="29" max="29" width="9.28515625" bestFit="1" customWidth="1"/>
    <col min="30" max="30" width="10.5703125" bestFit="1" customWidth="1"/>
    <col min="31" max="32" width="9.42578125" bestFit="1" customWidth="1"/>
    <col min="33" max="33" width="9.140625" bestFit="1" customWidth="1"/>
    <col min="34" max="37" width="9.28515625" bestFit="1" customWidth="1"/>
    <col min="38" max="40" width="9.42578125" bestFit="1" customWidth="1"/>
    <col min="41" max="41" width="9.7109375" bestFit="1" customWidth="1"/>
    <col min="42" max="42" width="10.5703125" bestFit="1" customWidth="1"/>
    <col min="43" max="44" width="9.85546875" bestFit="1" customWidth="1"/>
    <col min="45" max="45" width="10" bestFit="1" customWidth="1"/>
    <col min="46" max="46" width="10.5703125" bestFit="1" customWidth="1"/>
    <col min="47" max="48" width="10.28515625" bestFit="1" customWidth="1"/>
    <col min="49" max="49" width="8.7109375" bestFit="1" customWidth="1"/>
    <col min="50" max="50" width="10.5703125" bestFit="1" customWidth="1"/>
    <col min="51" max="53" width="9" bestFit="1" customWidth="1"/>
    <col min="54" max="54" width="11.7109375" bestFit="1" customWidth="1"/>
    <col min="55" max="55" width="10" bestFit="1" customWidth="1"/>
    <col min="56" max="56" width="9.140625" bestFit="1" customWidth="1"/>
    <col min="57" max="57" width="14" bestFit="1" customWidth="1"/>
    <col min="58" max="60" width="14.28515625" bestFit="1" customWidth="1"/>
    <col min="61" max="61" width="10.5703125" bestFit="1" customWidth="1"/>
    <col min="62" max="62" width="11.7109375" bestFit="1" customWidth="1"/>
    <col min="63" max="64" width="10.7109375" bestFit="1" customWidth="1"/>
    <col min="65" max="65" width="10.42578125" bestFit="1" customWidth="1"/>
    <col min="66" max="69" width="10.5703125" bestFit="1" customWidth="1"/>
    <col min="70" max="72" width="10.7109375" bestFit="1" customWidth="1"/>
    <col min="73" max="73" width="11.28515625" bestFit="1" customWidth="1"/>
    <col min="74" max="74" width="17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442</v>
      </c>
      <c r="D1" t="s">
        <v>239</v>
      </c>
      <c r="E1" t="s">
        <v>456</v>
      </c>
      <c r="F1" t="s">
        <v>457</v>
      </c>
      <c r="G1" t="s">
        <v>421</v>
      </c>
      <c r="H1" t="s">
        <v>422</v>
      </c>
      <c r="I1" s="81" t="s">
        <v>91</v>
      </c>
      <c r="J1" s="82" t="s">
        <v>83</v>
      </c>
      <c r="K1" s="82" t="s">
        <v>134</v>
      </c>
      <c r="L1" s="82" t="s">
        <v>135</v>
      </c>
      <c r="M1" s="82" t="s">
        <v>240</v>
      </c>
      <c r="N1" s="82" t="s">
        <v>241</v>
      </c>
      <c r="O1" s="82" t="s">
        <v>242</v>
      </c>
      <c r="P1" s="82" t="s">
        <v>243</v>
      </c>
      <c r="Q1" s="82" t="s">
        <v>93</v>
      </c>
      <c r="R1" s="82" t="s">
        <v>85</v>
      </c>
      <c r="S1" s="82" t="s">
        <v>137</v>
      </c>
      <c r="T1" s="82" t="s">
        <v>138</v>
      </c>
      <c r="U1" s="82" t="s">
        <v>94</v>
      </c>
      <c r="V1" s="82" t="s">
        <v>139</v>
      </c>
      <c r="W1" s="82" t="s">
        <v>140</v>
      </c>
      <c r="X1" s="83" t="s">
        <v>141</v>
      </c>
      <c r="Y1" s="81" t="s">
        <v>95</v>
      </c>
      <c r="Z1" s="82" t="s">
        <v>87</v>
      </c>
      <c r="AA1" s="82" t="s">
        <v>142</v>
      </c>
      <c r="AB1" s="82" t="s">
        <v>89</v>
      </c>
      <c r="AC1" s="82" t="s">
        <v>96</v>
      </c>
      <c r="AD1" s="82" t="s">
        <v>143</v>
      </c>
      <c r="AE1" s="82" t="s">
        <v>144</v>
      </c>
      <c r="AF1" s="82" t="s">
        <v>145</v>
      </c>
      <c r="AG1" s="82" t="s">
        <v>97</v>
      </c>
      <c r="AH1" s="82" t="s">
        <v>146</v>
      </c>
      <c r="AI1" s="82" t="s">
        <v>147</v>
      </c>
      <c r="AJ1" s="82" t="s">
        <v>148</v>
      </c>
      <c r="AK1" s="82" t="s">
        <v>98</v>
      </c>
      <c r="AL1" s="82" t="s">
        <v>149</v>
      </c>
      <c r="AM1" s="82" t="s">
        <v>150</v>
      </c>
      <c r="AN1" s="83" t="s">
        <v>152</v>
      </c>
      <c r="AO1" s="81" t="s">
        <v>99</v>
      </c>
      <c r="AP1" s="82" t="s">
        <v>90</v>
      </c>
      <c r="AQ1" s="82" t="s">
        <v>153</v>
      </c>
      <c r="AR1" s="82" t="s">
        <v>154</v>
      </c>
      <c r="AS1" s="82" t="s">
        <v>100</v>
      </c>
      <c r="AT1" s="82" t="s">
        <v>155</v>
      </c>
      <c r="AU1" s="82" t="s">
        <v>156</v>
      </c>
      <c r="AV1" s="82" t="s">
        <v>157</v>
      </c>
      <c r="AW1" s="82" t="s">
        <v>101</v>
      </c>
      <c r="AX1" s="82" t="s">
        <v>158</v>
      </c>
      <c r="AY1" s="82" t="s">
        <v>159</v>
      </c>
      <c r="AZ1" s="82" t="s">
        <v>160</v>
      </c>
      <c r="BA1" s="82" t="s">
        <v>102</v>
      </c>
      <c r="BB1" s="82" t="s">
        <v>161</v>
      </c>
      <c r="BC1" s="82" t="s">
        <v>162</v>
      </c>
      <c r="BD1" s="83" t="s">
        <v>163</v>
      </c>
      <c r="BE1" s="81" t="s">
        <v>103</v>
      </c>
      <c r="BF1" s="82" t="s">
        <v>164</v>
      </c>
      <c r="BG1" s="82" t="s">
        <v>165</v>
      </c>
      <c r="BH1" s="82" t="s">
        <v>166</v>
      </c>
      <c r="BI1" s="82" t="s">
        <v>104</v>
      </c>
      <c r="BJ1" s="82" t="s">
        <v>167</v>
      </c>
      <c r="BK1" s="82" t="s">
        <v>168</v>
      </c>
      <c r="BL1" s="82" t="s">
        <v>169</v>
      </c>
      <c r="BM1" s="82" t="s">
        <v>105</v>
      </c>
      <c r="BN1" s="82" t="s">
        <v>88</v>
      </c>
      <c r="BO1" s="82" t="s">
        <v>170</v>
      </c>
      <c r="BP1" s="82" t="s">
        <v>171</v>
      </c>
      <c r="BQ1" s="82" t="s">
        <v>106</v>
      </c>
      <c r="BR1" s="82" t="s">
        <v>172</v>
      </c>
      <c r="BS1" s="82" t="s">
        <v>173</v>
      </c>
      <c r="BT1" s="83" t="s">
        <v>174</v>
      </c>
      <c r="BU1" t="s">
        <v>458</v>
      </c>
      <c r="BV1" t="s">
        <v>459</v>
      </c>
    </row>
    <row r="2" spans="1:74" x14ac:dyDescent="0.25">
      <c r="A2" s="50" t="s">
        <v>382</v>
      </c>
      <c r="B2" s="50" t="s">
        <v>244</v>
      </c>
      <c r="C2" s="50" t="s">
        <v>454</v>
      </c>
      <c r="D2">
        <v>0</v>
      </c>
      <c r="E2">
        <v>0</v>
      </c>
      <c r="F2" s="50">
        <v>0</v>
      </c>
      <c r="G2" s="50" t="s">
        <v>424</v>
      </c>
      <c r="H2" s="50" t="s">
        <v>379</v>
      </c>
      <c r="I2" s="84">
        <v>0</v>
      </c>
      <c r="J2" s="85">
        <v>200</v>
      </c>
      <c r="K2" s="85">
        <v>0</v>
      </c>
      <c r="L2" s="85">
        <v>0</v>
      </c>
      <c r="M2" s="85">
        <v>2</v>
      </c>
      <c r="N2" s="85">
        <v>10.210000000000001</v>
      </c>
      <c r="O2" s="85">
        <v>-7.22</v>
      </c>
      <c r="P2" s="85">
        <v>-0.33</v>
      </c>
      <c r="Q2" s="85">
        <v>1</v>
      </c>
      <c r="R2" s="85">
        <v>-1.1000000000000001</v>
      </c>
      <c r="S2" s="85">
        <v>8.1199999999999992</v>
      </c>
      <c r="T2" s="85">
        <v>0</v>
      </c>
      <c r="U2" s="85">
        <v>1</v>
      </c>
      <c r="V2" s="85">
        <v>-0.05</v>
      </c>
      <c r="W2" s="85">
        <v>0.92</v>
      </c>
      <c r="X2" s="86">
        <v>0</v>
      </c>
      <c r="Y2" s="84">
        <v>0</v>
      </c>
      <c r="Z2" s="85">
        <v>10</v>
      </c>
      <c r="AA2" s="85">
        <v>0</v>
      </c>
      <c r="AB2" s="85">
        <v>0</v>
      </c>
      <c r="AC2" s="85">
        <v>1</v>
      </c>
      <c r="AD2" s="85">
        <v>-0.04</v>
      </c>
      <c r="AE2" s="85">
        <v>0.38</v>
      </c>
      <c r="AF2" s="85">
        <v>0</v>
      </c>
      <c r="AG2" s="85">
        <v>1</v>
      </c>
      <c r="AH2" s="85">
        <v>-0.11</v>
      </c>
      <c r="AI2" s="85">
        <v>0.97</v>
      </c>
      <c r="AJ2" s="85">
        <v>0</v>
      </c>
      <c r="AK2" s="85">
        <v>0</v>
      </c>
      <c r="AL2" s="85">
        <v>1E-4</v>
      </c>
      <c r="AM2" s="85">
        <v>0</v>
      </c>
      <c r="AN2" s="86">
        <v>0</v>
      </c>
      <c r="AO2" s="84">
        <v>0</v>
      </c>
      <c r="AP2" s="85">
        <v>300</v>
      </c>
      <c r="AQ2" s="85">
        <v>0</v>
      </c>
      <c r="AR2" s="85">
        <v>0</v>
      </c>
      <c r="AS2" s="85">
        <v>1</v>
      </c>
      <c r="AT2" s="85">
        <v>7.0000000000000007E-2</v>
      </c>
      <c r="AU2" s="85">
        <v>0.6</v>
      </c>
      <c r="AV2" s="85">
        <v>0</v>
      </c>
      <c r="AW2" s="85">
        <v>1</v>
      </c>
      <c r="AX2" s="85">
        <v>-0.32</v>
      </c>
      <c r="AY2" s="85">
        <v>2.56</v>
      </c>
      <c r="AZ2" s="85">
        <v>0</v>
      </c>
      <c r="BA2" s="85">
        <v>1</v>
      </c>
      <c r="BB2" s="85">
        <v>-0.03</v>
      </c>
      <c r="BC2" s="85">
        <v>0.74</v>
      </c>
      <c r="BD2" s="86">
        <v>0</v>
      </c>
      <c r="BE2" s="84">
        <v>0</v>
      </c>
      <c r="BF2" s="85">
        <v>200</v>
      </c>
      <c r="BG2" s="85">
        <v>0</v>
      </c>
      <c r="BH2" s="85">
        <v>0</v>
      </c>
      <c r="BI2" s="85">
        <v>1</v>
      </c>
      <c r="BJ2" s="85">
        <v>-0.08</v>
      </c>
      <c r="BK2" s="85">
        <v>0.65</v>
      </c>
      <c r="BL2" s="85">
        <v>0</v>
      </c>
      <c r="BM2" s="85">
        <v>1</v>
      </c>
      <c r="BN2" s="85">
        <v>-3.0000000000000001E-3</v>
      </c>
      <c r="BO2" s="85">
        <v>0.2</v>
      </c>
      <c r="BP2" s="85">
        <v>0</v>
      </c>
      <c r="BQ2" s="85">
        <v>1</v>
      </c>
      <c r="BR2" s="85">
        <v>-0.16</v>
      </c>
      <c r="BS2" s="85">
        <v>1.01</v>
      </c>
      <c r="BT2" s="86">
        <v>0</v>
      </c>
      <c r="BU2" s="50" t="s">
        <v>395</v>
      </c>
      <c r="BV2" s="88">
        <v>44580.76048611111</v>
      </c>
    </row>
    <row r="3" spans="1:74" x14ac:dyDescent="0.25">
      <c r="A3" s="50" t="s">
        <v>330</v>
      </c>
      <c r="B3" s="50" t="s">
        <v>244</v>
      </c>
      <c r="C3" s="50" t="s">
        <v>454</v>
      </c>
      <c r="D3">
        <v>1</v>
      </c>
      <c r="E3">
        <v>0</v>
      </c>
      <c r="F3" s="50" t="s">
        <v>477</v>
      </c>
      <c r="G3" s="50" t="s">
        <v>425</v>
      </c>
      <c r="H3" s="50" t="s">
        <v>378</v>
      </c>
      <c r="I3" s="84">
        <v>0</v>
      </c>
      <c r="J3" s="85">
        <v>94.5184</v>
      </c>
      <c r="K3" s="85">
        <v>0</v>
      </c>
      <c r="L3" s="85">
        <v>0</v>
      </c>
      <c r="M3" s="85">
        <v>1</v>
      </c>
      <c r="N3" s="85">
        <v>-4.6464999999999996</v>
      </c>
      <c r="O3" s="85">
        <v>14.8651</v>
      </c>
      <c r="P3" s="85">
        <v>0</v>
      </c>
      <c r="Q3" s="85">
        <v>1</v>
      </c>
      <c r="R3" s="85">
        <v>-0.91779999999999995</v>
      </c>
      <c r="S3" s="85">
        <v>8.3390079999999998</v>
      </c>
      <c r="T3" s="85">
        <v>0</v>
      </c>
      <c r="U3" s="85">
        <v>0</v>
      </c>
      <c r="V3" s="85">
        <v>0.95168079999999999</v>
      </c>
      <c r="W3" s="85">
        <v>0</v>
      </c>
      <c r="X3" s="86">
        <v>0</v>
      </c>
      <c r="Y3" s="84">
        <v>0</v>
      </c>
      <c r="Z3" s="85">
        <v>20</v>
      </c>
      <c r="AA3" s="85">
        <v>0</v>
      </c>
      <c r="AB3" s="85">
        <v>0</v>
      </c>
      <c r="AC3" s="85">
        <v>1</v>
      </c>
      <c r="AD3" s="85">
        <v>-8.5835999999999996E-2</v>
      </c>
      <c r="AE3" s="85">
        <v>0.26050000000000001</v>
      </c>
      <c r="AF3" s="85">
        <v>0</v>
      </c>
      <c r="AG3" s="85">
        <v>0</v>
      </c>
      <c r="AH3" s="85">
        <v>17</v>
      </c>
      <c r="AI3" s="85">
        <v>0</v>
      </c>
      <c r="AJ3" s="85">
        <v>0</v>
      </c>
      <c r="AK3" s="85">
        <v>0</v>
      </c>
      <c r="AL3" s="85">
        <v>1E-4</v>
      </c>
      <c r="AM3" s="85">
        <v>0</v>
      </c>
      <c r="AN3" s="86">
        <v>0</v>
      </c>
      <c r="AO3" s="84">
        <v>1</v>
      </c>
      <c r="AP3" s="85">
        <v>-0.22350800000000001</v>
      </c>
      <c r="AQ3" s="85">
        <v>2.12948</v>
      </c>
      <c r="AR3" s="85">
        <v>0</v>
      </c>
      <c r="AS3" s="85">
        <v>1</v>
      </c>
      <c r="AT3" s="85">
        <v>-5.0056000000000003E-2</v>
      </c>
      <c r="AU3" s="85">
        <v>0.547296</v>
      </c>
      <c r="AV3" s="85">
        <v>0</v>
      </c>
      <c r="AW3" s="85">
        <v>1</v>
      </c>
      <c r="AX3" s="85">
        <v>-0.24832099999999999</v>
      </c>
      <c r="AY3" s="85">
        <v>4.8334000000000001</v>
      </c>
      <c r="AZ3" s="85">
        <v>0</v>
      </c>
      <c r="BA3" s="85">
        <v>1</v>
      </c>
      <c r="BB3" s="85">
        <v>-3.4234000000000001E-2</v>
      </c>
      <c r="BC3" s="85">
        <v>0.54632400000000003</v>
      </c>
      <c r="BD3" s="86">
        <v>0</v>
      </c>
      <c r="BE3" s="84">
        <v>0</v>
      </c>
      <c r="BF3" s="85">
        <v>44.89</v>
      </c>
      <c r="BG3" s="85">
        <v>0</v>
      </c>
      <c r="BH3" s="85">
        <v>0</v>
      </c>
      <c r="BI3" s="85">
        <v>1</v>
      </c>
      <c r="BJ3" s="85">
        <v>-3.0649599999999999E-2</v>
      </c>
      <c r="BK3" s="85">
        <v>0.30757000000000001</v>
      </c>
      <c r="BL3" s="85">
        <v>0</v>
      </c>
      <c r="BM3" s="85">
        <v>0</v>
      </c>
      <c r="BN3" s="85">
        <v>0.35149999999999998</v>
      </c>
      <c r="BO3" s="85">
        <v>0</v>
      </c>
      <c r="BP3" s="85">
        <v>0</v>
      </c>
      <c r="BQ3" s="85">
        <v>0</v>
      </c>
      <c r="BR3" s="85">
        <v>0.57921599999999995</v>
      </c>
      <c r="BS3" s="85">
        <v>0</v>
      </c>
      <c r="BT3" s="86">
        <v>0</v>
      </c>
      <c r="BU3" s="50" t="s">
        <v>395</v>
      </c>
      <c r="BV3" s="88">
        <v>44580.76048611111</v>
      </c>
    </row>
    <row r="4" spans="1:74" x14ac:dyDescent="0.25">
      <c r="A4" s="50" t="s">
        <v>333</v>
      </c>
      <c r="B4" s="50" t="s">
        <v>244</v>
      </c>
      <c r="C4" s="50" t="s">
        <v>454</v>
      </c>
      <c r="D4">
        <v>1</v>
      </c>
      <c r="E4">
        <v>0</v>
      </c>
      <c r="F4" s="50" t="s">
        <v>477</v>
      </c>
      <c r="G4" s="50" t="s">
        <v>425</v>
      </c>
      <c r="H4" s="50" t="s">
        <v>378</v>
      </c>
      <c r="I4" s="84">
        <v>0</v>
      </c>
      <c r="J4" s="85">
        <v>91.755099999999999</v>
      </c>
      <c r="K4" s="85">
        <v>0</v>
      </c>
      <c r="L4" s="85">
        <v>0</v>
      </c>
      <c r="M4" s="85">
        <v>1</v>
      </c>
      <c r="N4" s="85">
        <v>-4.9135</v>
      </c>
      <c r="O4" s="85">
        <v>15.6418</v>
      </c>
      <c r="P4" s="85">
        <v>0</v>
      </c>
      <c r="Q4" s="85">
        <v>1</v>
      </c>
      <c r="R4" s="85">
        <v>-0.91779999999999995</v>
      </c>
      <c r="S4" s="85">
        <v>8.3180619999999994</v>
      </c>
      <c r="T4" s="85">
        <v>0</v>
      </c>
      <c r="U4" s="85">
        <v>0</v>
      </c>
      <c r="V4" s="85">
        <v>0.95353869999999996</v>
      </c>
      <c r="W4" s="85">
        <v>0</v>
      </c>
      <c r="X4" s="86">
        <v>0</v>
      </c>
      <c r="Y4" s="84">
        <v>0</v>
      </c>
      <c r="Z4" s="85">
        <v>20</v>
      </c>
      <c r="AA4" s="85">
        <v>0</v>
      </c>
      <c r="AB4" s="85">
        <v>0</v>
      </c>
      <c r="AC4" s="85">
        <v>1</v>
      </c>
      <c r="AD4" s="85">
        <v>-7.9779000000000003E-2</v>
      </c>
      <c r="AE4" s="85">
        <v>0.26050000000000001</v>
      </c>
      <c r="AF4" s="85">
        <v>0</v>
      </c>
      <c r="AG4" s="85">
        <v>0</v>
      </c>
      <c r="AH4" s="85">
        <v>17</v>
      </c>
      <c r="AI4" s="85">
        <v>0</v>
      </c>
      <c r="AJ4" s="85">
        <v>0</v>
      </c>
      <c r="AK4" s="85">
        <v>0</v>
      </c>
      <c r="AL4" s="85">
        <v>1E-4</v>
      </c>
      <c r="AM4" s="85">
        <v>0</v>
      </c>
      <c r="AN4" s="86">
        <v>0</v>
      </c>
      <c r="AO4" s="84">
        <v>1</v>
      </c>
      <c r="AP4" s="85">
        <v>-0.244562</v>
      </c>
      <c r="AQ4" s="85">
        <v>2.21597</v>
      </c>
      <c r="AR4" s="85">
        <v>0</v>
      </c>
      <c r="AS4" s="85">
        <v>1</v>
      </c>
      <c r="AT4" s="85">
        <v>-5.4873999999999999E-2</v>
      </c>
      <c r="AU4" s="85">
        <v>0.57128400000000001</v>
      </c>
      <c r="AV4" s="85">
        <v>0</v>
      </c>
      <c r="AW4" s="85">
        <v>1</v>
      </c>
      <c r="AX4" s="85">
        <v>-0.26119700000000001</v>
      </c>
      <c r="AY4" s="85">
        <v>4.7438500000000001</v>
      </c>
      <c r="AZ4" s="85">
        <v>0</v>
      </c>
      <c r="BA4" s="85">
        <v>1</v>
      </c>
      <c r="BB4" s="85">
        <v>-3.63355E-2</v>
      </c>
      <c r="BC4" s="85">
        <v>0.57024600000000003</v>
      </c>
      <c r="BD4" s="86">
        <v>0</v>
      </c>
      <c r="BE4" s="84">
        <v>0</v>
      </c>
      <c r="BF4" s="85">
        <v>44.89</v>
      </c>
      <c r="BG4" s="85">
        <v>0</v>
      </c>
      <c r="BH4" s="85">
        <v>0</v>
      </c>
      <c r="BI4" s="85">
        <v>1</v>
      </c>
      <c r="BJ4" s="85">
        <v>-3.33619E-2</v>
      </c>
      <c r="BK4" s="85">
        <v>0.31869999999999998</v>
      </c>
      <c r="BL4" s="85">
        <v>0</v>
      </c>
      <c r="BM4" s="85">
        <v>0</v>
      </c>
      <c r="BN4" s="85">
        <v>0.35149999999999998</v>
      </c>
      <c r="BO4" s="85">
        <v>0</v>
      </c>
      <c r="BP4" s="85">
        <v>0</v>
      </c>
      <c r="BQ4" s="85">
        <v>0</v>
      </c>
      <c r="BR4" s="85">
        <v>0.59417399999999998</v>
      </c>
      <c r="BS4" s="85">
        <v>0</v>
      </c>
      <c r="BT4" s="86">
        <v>0</v>
      </c>
      <c r="BU4" s="50" t="s">
        <v>395</v>
      </c>
      <c r="BV4" s="88">
        <v>44580.76048611111</v>
      </c>
    </row>
    <row r="5" spans="1:74" x14ac:dyDescent="0.25">
      <c r="A5" s="50" t="s">
        <v>343</v>
      </c>
      <c r="B5" s="50" t="s">
        <v>244</v>
      </c>
      <c r="C5" s="50" t="s">
        <v>454</v>
      </c>
      <c r="D5">
        <v>1</v>
      </c>
      <c r="E5">
        <v>0</v>
      </c>
      <c r="F5" s="50" t="s">
        <v>477</v>
      </c>
      <c r="G5" s="50" t="s">
        <v>425</v>
      </c>
      <c r="H5" s="50" t="s">
        <v>378</v>
      </c>
      <c r="I5" s="84">
        <v>0</v>
      </c>
      <c r="J5" s="85">
        <v>83.465199999999996</v>
      </c>
      <c r="K5" s="85">
        <v>0</v>
      </c>
      <c r="L5" s="85">
        <v>0</v>
      </c>
      <c r="M5" s="85">
        <v>1</v>
      </c>
      <c r="N5" s="85">
        <v>-5.7145000000000001</v>
      </c>
      <c r="O5" s="85">
        <v>17.971900000000002</v>
      </c>
      <c r="P5" s="85">
        <v>0</v>
      </c>
      <c r="Q5" s="85">
        <v>1</v>
      </c>
      <c r="R5" s="85">
        <v>-0.91779999999999995</v>
      </c>
      <c r="S5" s="85">
        <v>8.2552240000000001</v>
      </c>
      <c r="T5" s="85">
        <v>0</v>
      </c>
      <c r="U5" s="85">
        <v>0</v>
      </c>
      <c r="V5" s="85">
        <v>0.95911239999999998</v>
      </c>
      <c r="W5" s="85">
        <v>0</v>
      </c>
      <c r="X5" s="86">
        <v>0</v>
      </c>
      <c r="Y5" s="84">
        <v>0</v>
      </c>
      <c r="Z5" s="85">
        <v>20</v>
      </c>
      <c r="AA5" s="85">
        <v>0</v>
      </c>
      <c r="AB5" s="85">
        <v>0</v>
      </c>
      <c r="AC5" s="85">
        <v>1</v>
      </c>
      <c r="AD5" s="85">
        <v>-6.1608000000000003E-2</v>
      </c>
      <c r="AE5" s="85">
        <v>0.26050000000000001</v>
      </c>
      <c r="AF5" s="85">
        <v>0</v>
      </c>
      <c r="AG5" s="85">
        <v>0</v>
      </c>
      <c r="AH5" s="85">
        <v>17</v>
      </c>
      <c r="AI5" s="85">
        <v>0</v>
      </c>
      <c r="AJ5" s="85">
        <v>0</v>
      </c>
      <c r="AK5" s="85">
        <v>0</v>
      </c>
      <c r="AL5" s="85">
        <v>1E-4</v>
      </c>
      <c r="AM5" s="85">
        <v>0</v>
      </c>
      <c r="AN5" s="86">
        <v>0</v>
      </c>
      <c r="AO5" s="84">
        <v>1</v>
      </c>
      <c r="AP5" s="85">
        <v>-0.307724</v>
      </c>
      <c r="AQ5" s="85">
        <v>2.4754399999999999</v>
      </c>
      <c r="AR5" s="85">
        <v>0</v>
      </c>
      <c r="AS5" s="85">
        <v>1</v>
      </c>
      <c r="AT5" s="85">
        <v>-6.9328000000000001E-2</v>
      </c>
      <c r="AU5" s="85">
        <v>0.64324800000000004</v>
      </c>
      <c r="AV5" s="85">
        <v>0</v>
      </c>
      <c r="AW5" s="85">
        <v>1</v>
      </c>
      <c r="AX5" s="85">
        <v>-0.29982500000000001</v>
      </c>
      <c r="AY5" s="85">
        <v>4.4752000000000001</v>
      </c>
      <c r="AZ5" s="85">
        <v>0</v>
      </c>
      <c r="BA5" s="85">
        <v>1</v>
      </c>
      <c r="BB5" s="85">
        <v>-4.2639999999999997E-2</v>
      </c>
      <c r="BC5" s="85">
        <v>0.64201200000000003</v>
      </c>
      <c r="BD5" s="86">
        <v>0</v>
      </c>
      <c r="BE5" s="84">
        <v>0</v>
      </c>
      <c r="BF5" s="85">
        <v>44.89</v>
      </c>
      <c r="BG5" s="85">
        <v>0</v>
      </c>
      <c r="BH5" s="85">
        <v>0</v>
      </c>
      <c r="BI5" s="85">
        <v>1</v>
      </c>
      <c r="BJ5" s="85">
        <v>-4.1498800000000002E-2</v>
      </c>
      <c r="BK5" s="85">
        <v>0.35209000000000001</v>
      </c>
      <c r="BL5" s="85">
        <v>0</v>
      </c>
      <c r="BM5" s="85">
        <v>0</v>
      </c>
      <c r="BN5" s="85">
        <v>0.35149999999999998</v>
      </c>
      <c r="BO5" s="85">
        <v>0</v>
      </c>
      <c r="BP5" s="85">
        <v>0</v>
      </c>
      <c r="BQ5" s="85">
        <v>0</v>
      </c>
      <c r="BR5" s="85">
        <v>0.63904799999999995</v>
      </c>
      <c r="BS5" s="85">
        <v>0</v>
      </c>
      <c r="BT5" s="86">
        <v>0</v>
      </c>
      <c r="BU5" s="50" t="s">
        <v>395</v>
      </c>
      <c r="BV5" s="88">
        <v>44580.76048611111</v>
      </c>
    </row>
    <row r="6" spans="1:74" x14ac:dyDescent="0.25">
      <c r="A6" s="50" t="s">
        <v>351</v>
      </c>
      <c r="B6" s="50" t="s">
        <v>244</v>
      </c>
      <c r="C6" s="50" t="s">
        <v>454</v>
      </c>
      <c r="D6">
        <v>1</v>
      </c>
      <c r="E6">
        <v>0</v>
      </c>
      <c r="F6" s="50" t="s">
        <v>477</v>
      </c>
      <c r="G6" s="50" t="s">
        <v>425</v>
      </c>
      <c r="H6" s="50" t="s">
        <v>378</v>
      </c>
      <c r="I6" s="84">
        <v>0</v>
      </c>
      <c r="J6" s="85">
        <v>77.017499999999998</v>
      </c>
      <c r="K6" s="85">
        <v>0</v>
      </c>
      <c r="L6" s="85">
        <v>0</v>
      </c>
      <c r="M6" s="85">
        <v>1</v>
      </c>
      <c r="N6" s="85">
        <v>-6.3375000000000004</v>
      </c>
      <c r="O6" s="85">
        <v>19.784199999999998</v>
      </c>
      <c r="P6" s="85">
        <v>0</v>
      </c>
      <c r="Q6" s="85">
        <v>1</v>
      </c>
      <c r="R6" s="85">
        <v>-0.91779999999999995</v>
      </c>
      <c r="S6" s="85">
        <v>8.2063500000000005</v>
      </c>
      <c r="T6" s="85">
        <v>0</v>
      </c>
      <c r="U6" s="85">
        <v>0</v>
      </c>
      <c r="V6" s="85">
        <v>0.96344750000000001</v>
      </c>
      <c r="W6" s="85">
        <v>0</v>
      </c>
      <c r="X6" s="86">
        <v>0</v>
      </c>
      <c r="Y6" s="84">
        <v>0</v>
      </c>
      <c r="Z6" s="85">
        <v>20</v>
      </c>
      <c r="AA6" s="85">
        <v>0</v>
      </c>
      <c r="AB6" s="85">
        <v>0</v>
      </c>
      <c r="AC6" s="85">
        <v>1</v>
      </c>
      <c r="AD6" s="85">
        <v>-4.7475000000000003E-2</v>
      </c>
      <c r="AE6" s="85">
        <v>0.26050000000000001</v>
      </c>
      <c r="AF6" s="85">
        <v>0</v>
      </c>
      <c r="AG6" s="85">
        <v>0</v>
      </c>
      <c r="AH6" s="85">
        <v>17</v>
      </c>
      <c r="AI6" s="85">
        <v>0</v>
      </c>
      <c r="AJ6" s="85">
        <v>0</v>
      </c>
      <c r="AK6" s="85">
        <v>0</v>
      </c>
      <c r="AL6" s="85">
        <v>1E-4</v>
      </c>
      <c r="AM6" s="85">
        <v>0</v>
      </c>
      <c r="AN6" s="86">
        <v>0</v>
      </c>
      <c r="AO6" s="84">
        <v>1</v>
      </c>
      <c r="AP6" s="85">
        <v>-0.35685</v>
      </c>
      <c r="AQ6" s="85">
        <v>2.6772499999999999</v>
      </c>
      <c r="AR6" s="85">
        <v>0</v>
      </c>
      <c r="AS6" s="85">
        <v>1</v>
      </c>
      <c r="AT6" s="85">
        <v>-8.0570000000000003E-2</v>
      </c>
      <c r="AU6" s="85">
        <v>0.69921999999999995</v>
      </c>
      <c r="AV6" s="85">
        <v>0</v>
      </c>
      <c r="AW6" s="85">
        <v>1</v>
      </c>
      <c r="AX6" s="85">
        <v>-0.32986900000000002</v>
      </c>
      <c r="AY6" s="85">
        <v>4.2662500000000003</v>
      </c>
      <c r="AZ6" s="85">
        <v>0</v>
      </c>
      <c r="BA6" s="85">
        <v>1</v>
      </c>
      <c r="BB6" s="85">
        <v>-4.7543500000000002E-2</v>
      </c>
      <c r="BC6" s="85">
        <v>0.69782999999999995</v>
      </c>
      <c r="BD6" s="86">
        <v>0</v>
      </c>
      <c r="BE6" s="84">
        <v>0</v>
      </c>
      <c r="BF6" s="85">
        <v>44.89</v>
      </c>
      <c r="BG6" s="85">
        <v>0</v>
      </c>
      <c r="BH6" s="85">
        <v>0</v>
      </c>
      <c r="BI6" s="85">
        <v>1</v>
      </c>
      <c r="BJ6" s="85">
        <v>-4.7827500000000002E-2</v>
      </c>
      <c r="BK6" s="85">
        <v>0.37806000000000001</v>
      </c>
      <c r="BL6" s="85">
        <v>0</v>
      </c>
      <c r="BM6" s="85">
        <v>0</v>
      </c>
      <c r="BN6" s="85">
        <v>0.35149999999999998</v>
      </c>
      <c r="BO6" s="85">
        <v>0</v>
      </c>
      <c r="BP6" s="85">
        <v>0</v>
      </c>
      <c r="BQ6" s="85">
        <v>0</v>
      </c>
      <c r="BR6" s="85">
        <v>0.67395000000000005</v>
      </c>
      <c r="BS6" s="85">
        <v>0</v>
      </c>
      <c r="BT6" s="86">
        <v>0</v>
      </c>
      <c r="BU6" s="50" t="s">
        <v>395</v>
      </c>
      <c r="BV6" s="88">
        <v>44580.76048611111</v>
      </c>
    </row>
    <row r="7" spans="1:74" x14ac:dyDescent="0.25">
      <c r="A7" s="50" t="s">
        <v>355</v>
      </c>
      <c r="B7" s="50" t="s">
        <v>244</v>
      </c>
      <c r="C7" s="50" t="s">
        <v>454</v>
      </c>
      <c r="D7">
        <v>1</v>
      </c>
      <c r="E7">
        <v>0</v>
      </c>
      <c r="F7" s="50" t="s">
        <v>477</v>
      </c>
      <c r="G7" s="50" t="s">
        <v>425</v>
      </c>
      <c r="H7" s="50" t="s">
        <v>378</v>
      </c>
      <c r="I7" s="84">
        <v>0</v>
      </c>
      <c r="J7" s="85">
        <v>73.333100000000002</v>
      </c>
      <c r="K7" s="85">
        <v>0</v>
      </c>
      <c r="L7" s="85">
        <v>0</v>
      </c>
      <c r="M7" s="85">
        <v>1</v>
      </c>
      <c r="N7" s="85">
        <v>-6.6935000000000002</v>
      </c>
      <c r="O7" s="85">
        <v>20.819800000000001</v>
      </c>
      <c r="P7" s="85">
        <v>0</v>
      </c>
      <c r="Q7" s="85">
        <v>1</v>
      </c>
      <c r="R7" s="85">
        <v>-0.91779999999999995</v>
      </c>
      <c r="S7" s="85">
        <v>8.1784219999999994</v>
      </c>
      <c r="T7" s="85">
        <v>0</v>
      </c>
      <c r="U7" s="85">
        <v>0</v>
      </c>
      <c r="V7" s="85">
        <v>0.96592469999999997</v>
      </c>
      <c r="W7" s="85">
        <v>0</v>
      </c>
      <c r="X7" s="86">
        <v>0</v>
      </c>
      <c r="Y7" s="84">
        <v>0</v>
      </c>
      <c r="Z7" s="85">
        <v>20</v>
      </c>
      <c r="AA7" s="85">
        <v>0</v>
      </c>
      <c r="AB7" s="85">
        <v>0</v>
      </c>
      <c r="AC7" s="85">
        <v>1</v>
      </c>
      <c r="AD7" s="85">
        <v>-3.9399000000000003E-2</v>
      </c>
      <c r="AE7" s="85">
        <v>0.26050000000000001</v>
      </c>
      <c r="AF7" s="85">
        <v>0</v>
      </c>
      <c r="AG7" s="85">
        <v>0</v>
      </c>
      <c r="AH7" s="85">
        <v>17</v>
      </c>
      <c r="AI7" s="85">
        <v>0</v>
      </c>
      <c r="AJ7" s="85">
        <v>0</v>
      </c>
      <c r="AK7" s="85">
        <v>0</v>
      </c>
      <c r="AL7" s="85">
        <v>1E-4</v>
      </c>
      <c r="AM7" s="85">
        <v>0</v>
      </c>
      <c r="AN7" s="86">
        <v>0</v>
      </c>
      <c r="AO7" s="84">
        <v>1</v>
      </c>
      <c r="AP7" s="85">
        <v>-0.38492199999999999</v>
      </c>
      <c r="AQ7" s="85">
        <v>2.79257</v>
      </c>
      <c r="AR7" s="85">
        <v>0</v>
      </c>
      <c r="AS7" s="85">
        <v>1</v>
      </c>
      <c r="AT7" s="85">
        <v>-8.6994000000000002E-2</v>
      </c>
      <c r="AU7" s="85">
        <v>0.73120399999999997</v>
      </c>
      <c r="AV7" s="85">
        <v>0</v>
      </c>
      <c r="AW7" s="85">
        <v>1</v>
      </c>
      <c r="AX7" s="85">
        <v>-0.34703699999999998</v>
      </c>
      <c r="AY7" s="85">
        <v>4.1468499999999997</v>
      </c>
      <c r="AZ7" s="85">
        <v>0</v>
      </c>
      <c r="BA7" s="85">
        <v>1</v>
      </c>
      <c r="BB7" s="85">
        <v>-5.0345500000000001E-2</v>
      </c>
      <c r="BC7" s="85">
        <v>0.72972599999999999</v>
      </c>
      <c r="BD7" s="86">
        <v>0</v>
      </c>
      <c r="BE7" s="84">
        <v>0</v>
      </c>
      <c r="BF7" s="85">
        <v>44.89</v>
      </c>
      <c r="BG7" s="85">
        <v>0</v>
      </c>
      <c r="BH7" s="85">
        <v>0</v>
      </c>
      <c r="BI7" s="85">
        <v>1</v>
      </c>
      <c r="BJ7" s="85">
        <v>-5.1443900000000001E-2</v>
      </c>
      <c r="BK7" s="85">
        <v>0.39290000000000003</v>
      </c>
      <c r="BL7" s="85">
        <v>0</v>
      </c>
      <c r="BM7" s="85">
        <v>0</v>
      </c>
      <c r="BN7" s="85">
        <v>0.35149999999999998</v>
      </c>
      <c r="BO7" s="85">
        <v>0</v>
      </c>
      <c r="BP7" s="85">
        <v>0</v>
      </c>
      <c r="BQ7" s="85">
        <v>0</v>
      </c>
      <c r="BR7" s="85">
        <v>0.69389400000000001</v>
      </c>
      <c r="BS7" s="85">
        <v>0</v>
      </c>
      <c r="BT7" s="86">
        <v>0</v>
      </c>
      <c r="BU7" s="50" t="s">
        <v>395</v>
      </c>
      <c r="BV7" s="88">
        <v>44580.76048611111</v>
      </c>
    </row>
    <row r="8" spans="1:74" ht="15.75" thickBot="1" x14ac:dyDescent="0.3">
      <c r="A8" s="50" t="s">
        <v>357</v>
      </c>
      <c r="B8" s="50" t="s">
        <v>244</v>
      </c>
      <c r="C8" s="50" t="s">
        <v>454</v>
      </c>
      <c r="D8">
        <v>1</v>
      </c>
      <c r="E8">
        <v>0</v>
      </c>
      <c r="F8" s="50" t="s">
        <v>477</v>
      </c>
      <c r="G8" s="50" t="s">
        <v>425</v>
      </c>
      <c r="H8" s="50" t="s">
        <v>378</v>
      </c>
      <c r="I8" s="84">
        <v>0</v>
      </c>
      <c r="J8" s="87">
        <v>72.412000000000006</v>
      </c>
      <c r="K8" s="87">
        <v>0</v>
      </c>
      <c r="L8" s="87">
        <v>0</v>
      </c>
      <c r="M8" s="87">
        <v>1</v>
      </c>
      <c r="N8" s="87">
        <v>-6.7824999999999998</v>
      </c>
      <c r="O8" s="87">
        <v>21.078700000000001</v>
      </c>
      <c r="P8" s="87">
        <v>0</v>
      </c>
      <c r="Q8" s="87">
        <v>1</v>
      </c>
      <c r="R8" s="87">
        <v>-0.91779999999999995</v>
      </c>
      <c r="S8" s="87">
        <v>8.1714400000000005</v>
      </c>
      <c r="T8" s="87">
        <v>0</v>
      </c>
      <c r="U8" s="87">
        <v>0</v>
      </c>
      <c r="V8" s="87">
        <v>0.96654399999999996</v>
      </c>
      <c r="W8" s="87">
        <v>0</v>
      </c>
      <c r="X8" s="86">
        <v>0</v>
      </c>
      <c r="Y8" s="84">
        <v>0</v>
      </c>
      <c r="Z8" s="87">
        <v>20</v>
      </c>
      <c r="AA8" s="87">
        <v>0</v>
      </c>
      <c r="AB8" s="87">
        <v>0</v>
      </c>
      <c r="AC8" s="87">
        <v>1</v>
      </c>
      <c r="AD8" s="87">
        <v>-3.7379999999999997E-2</v>
      </c>
      <c r="AE8" s="87">
        <v>0.26050000000000001</v>
      </c>
      <c r="AF8" s="87">
        <v>0</v>
      </c>
      <c r="AG8" s="87">
        <v>0</v>
      </c>
      <c r="AH8" s="87">
        <v>17</v>
      </c>
      <c r="AI8" s="87">
        <v>0</v>
      </c>
      <c r="AJ8" s="87">
        <v>0</v>
      </c>
      <c r="AK8" s="87">
        <v>0</v>
      </c>
      <c r="AL8" s="87">
        <v>1E-4</v>
      </c>
      <c r="AM8" s="87">
        <v>0</v>
      </c>
      <c r="AN8" s="86">
        <v>0</v>
      </c>
      <c r="AO8" s="84">
        <v>1</v>
      </c>
      <c r="AP8" s="87">
        <v>-0.39194000000000001</v>
      </c>
      <c r="AQ8" s="87">
        <v>2.8214000000000001</v>
      </c>
      <c r="AR8" s="87">
        <v>0</v>
      </c>
      <c r="AS8" s="87">
        <v>1</v>
      </c>
      <c r="AT8" s="87">
        <v>-8.8599999999999998E-2</v>
      </c>
      <c r="AU8" s="87">
        <v>0.73919999999999997</v>
      </c>
      <c r="AV8" s="87">
        <v>0</v>
      </c>
      <c r="AW8" s="87">
        <v>1</v>
      </c>
      <c r="AX8" s="87">
        <v>-0.351329</v>
      </c>
      <c r="AY8" s="87">
        <v>4.117</v>
      </c>
      <c r="AZ8" s="87">
        <v>0</v>
      </c>
      <c r="BA8" s="87">
        <v>1</v>
      </c>
      <c r="BB8" s="87">
        <v>-5.1046000000000001E-2</v>
      </c>
      <c r="BC8" s="87">
        <v>0.73770000000000002</v>
      </c>
      <c r="BD8" s="86">
        <v>0</v>
      </c>
      <c r="BE8" s="84">
        <v>0</v>
      </c>
      <c r="BF8" s="87">
        <v>44.89</v>
      </c>
      <c r="BG8" s="87">
        <v>0</v>
      </c>
      <c r="BH8" s="87">
        <v>0</v>
      </c>
      <c r="BI8" s="87">
        <v>1</v>
      </c>
      <c r="BJ8" s="87">
        <v>-5.2347999999999999E-2</v>
      </c>
      <c r="BK8" s="87">
        <v>0.39661000000000002</v>
      </c>
      <c r="BL8" s="87">
        <v>0</v>
      </c>
      <c r="BM8" s="87">
        <v>0</v>
      </c>
      <c r="BN8" s="87">
        <v>0.35149999999999998</v>
      </c>
      <c r="BO8" s="87">
        <v>0</v>
      </c>
      <c r="BP8" s="87">
        <v>0</v>
      </c>
      <c r="BQ8" s="87">
        <v>0</v>
      </c>
      <c r="BR8" s="87">
        <v>0.69887999999999995</v>
      </c>
      <c r="BS8" s="87">
        <v>0</v>
      </c>
      <c r="BT8" s="86">
        <v>0</v>
      </c>
      <c r="BU8" s="50" t="s">
        <v>395</v>
      </c>
      <c r="BV8" s="88">
        <v>44580.76048611111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I4" sqref="I4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1" t="s">
        <v>419</v>
      </c>
      <c r="AL1" s="42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154" t="s">
        <v>78</v>
      </c>
      <c r="L3" s="155"/>
      <c r="M3" s="155"/>
      <c r="N3" s="155"/>
      <c r="O3" s="155"/>
      <c r="P3" s="155"/>
      <c r="Q3" s="155"/>
      <c r="R3" s="155"/>
      <c r="S3" s="155"/>
      <c r="T3" s="155"/>
      <c r="U3" s="156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0</v>
      </c>
      <c r="E4" s="102" t="s">
        <v>460</v>
      </c>
      <c r="F4" s="104" t="s">
        <v>455</v>
      </c>
      <c r="G4" s="105" t="s">
        <v>237</v>
      </c>
      <c r="H4" s="106" t="s">
        <v>440</v>
      </c>
      <c r="I4" s="106" t="s">
        <v>238</v>
      </c>
      <c r="J4" s="106" t="s">
        <v>441</v>
      </c>
      <c r="K4" s="3" t="s">
        <v>82</v>
      </c>
      <c r="L4" s="41" t="str">
        <f>IF('Control Panel'!L$3="NONE","",'Control Panel'!L$3)</f>
        <v>y_u_1</v>
      </c>
      <c r="M4" s="41" t="str">
        <f>IF('Control Panel'!M$3="NONE","",'Control Panel'!M$3)</f>
        <v>p_u_1</v>
      </c>
      <c r="N4" s="41" t="str">
        <f>IF('Control Panel'!N$3="NONE","",'Control Panel'!N$3)</f>
        <v>k_p_1</v>
      </c>
      <c r="O4" s="41" t="str">
        <f>IF('Control Panel'!O$3="NONE","",'Control Panel'!O$3)</f>
        <v>n_p_1</v>
      </c>
      <c r="P4" s="41" t="str">
        <f>IF('Control Panel'!P$3="NONE","",'Control Panel'!P$3)</f>
        <v>k_p_2</v>
      </c>
      <c r="Q4" s="41" t="str">
        <f>IF('Control Panel'!Q$3="NONE","",'Control Panel'!Q$3)</f>
        <v/>
      </c>
      <c r="R4" s="41" t="str">
        <f>IF('Control Panel'!R$3="NONE","",'Control Panel'!R$3)</f>
        <v/>
      </c>
      <c r="S4" s="41" t="str">
        <f>IF('Control Panel'!S$3="NONE","",'Control Panel'!S$3)</f>
        <v/>
      </c>
      <c r="T4" s="41" t="str">
        <f>IF('Control Panel'!T$3="NONE","",'Control Panel'!T$3)</f>
        <v/>
      </c>
      <c r="U4" s="41" t="str">
        <f>IF('Control Panel'!U$3="NONE","",'Control Panel'!U$3)</f>
        <v/>
      </c>
      <c r="V4" s="66"/>
      <c r="W4" s="15" t="str">
        <f>'Control Panel'!W3</f>
        <v>y_u_F</v>
      </c>
      <c r="X4" s="15" t="str">
        <f>'Control Panel'!X3</f>
        <v>p_u_F</v>
      </c>
      <c r="Y4" s="15" t="str">
        <f>'Control Panel'!Y3</f>
        <v>k_p_F</v>
      </c>
      <c r="Z4" s="15" t="str">
        <f>'Control Panel'!Z3</f>
        <v>n_p_F</v>
      </c>
      <c r="AA4" s="15" t="str">
        <f>'Control Panel'!AA3</f>
        <v>tetam_u_F</v>
      </c>
      <c r="AB4" s="15" t="str">
        <f>'Control Panel'!AB3</f>
        <v>m_u_F</v>
      </c>
      <c r="AC4" s="15" t="str">
        <f>'Control Panel'!AC3</f>
        <v>k_m_F</v>
      </c>
      <c r="AD4" s="15" t="str">
        <f>'Control Panel'!AD3</f>
        <v>n_m_F</v>
      </c>
      <c r="AE4" s="15" t="str">
        <f>'Control Panel'!AE3</f>
        <v>yB_u_F</v>
      </c>
      <c r="AF4" s="15" t="str">
        <f>'Control Panel'!AF3</f>
        <v>HB_u_F</v>
      </c>
      <c r="AG4" s="15" t="str">
        <f>'Control Panel'!AG3</f>
        <v>k_H_F</v>
      </c>
      <c r="AH4" s="15" t="str">
        <f>'Control Panel'!AH3</f>
        <v>n_H_F</v>
      </c>
      <c r="AI4" s="15" t="str">
        <f>'Control Panel'!AI3</f>
        <v>tetaMb_u_F</v>
      </c>
      <c r="AJ4" s="15" t="str">
        <f>'Control Panel'!AJ3</f>
        <v>MB_u_F</v>
      </c>
      <c r="AK4" s="15" t="str">
        <f>'Control Panel'!AK3</f>
        <v>k_Mb_F</v>
      </c>
      <c r="AL4" s="15" t="str">
        <f>'Control Panel'!AL3</f>
        <v>n_Mb_F</v>
      </c>
      <c r="AN4" s="33" t="s">
        <v>190</v>
      </c>
      <c r="AO4" s="34" t="str">
        <f>IF('Control Panel'!AO3=Exchange!$AL$1,Exchange!$AH$4,'Control Panel'!AO3)</f>
        <v>n_H_F</v>
      </c>
      <c r="AP4" s="34" t="str">
        <f>IF('Control Panel'!AP3=Exchange!$AL$1,"",'Control Panel'!AP3)</f>
        <v/>
      </c>
      <c r="AQ4" s="34" t="str">
        <f>IF('Control Panel'!AQ3=Exchange!$AL$1,"",'Control Panel'!AQ3)</f>
        <v/>
      </c>
      <c r="AR4" s="34" t="str">
        <f>IF('Control Panel'!AR3=Exchange!$AL$1,"",'Control Panel'!AR3)</f>
        <v/>
      </c>
      <c r="AS4" s="34" t="str">
        <f>IF('Control Panel'!AS3=Exchange!$AL$1,"",'Control Panel'!AS3)</f>
        <v/>
      </c>
      <c r="AT4" s="34" t="str">
        <f>IF('Control Panel'!AT3=Exchange!$AL$1,"",'Control Panel'!AT3)</f>
        <v/>
      </c>
      <c r="AU4" s="34" t="str">
        <f>IF('Control Panel'!AU3=Exchange!$AL$1,"",'Control Panel'!AU3)</f>
        <v/>
      </c>
      <c r="AV4" s="34" t="str">
        <f>IF('Control Panel'!AV3=Exchange!$AL$1,"",'Control Panel'!AV3)</f>
        <v/>
      </c>
      <c r="AW4" s="34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Cowden_Clay</v>
      </c>
      <c r="G5" s="2" t="str">
        <f>IF(E5=1,IF('Control Panel'!G4="","",'Control Panel'!G4),"")</f>
        <v>PISA</v>
      </c>
      <c r="H5" s="2" t="str">
        <f>IF(E5=1,IF('Control Panel'!H4="","",'Control Panel'!H4),"")</f>
        <v>NA</v>
      </c>
      <c r="I5" s="2">
        <f>IF(E5=1,IF('Control Panel'!I4="","",'Control Panel'!I4),"")</f>
        <v>0</v>
      </c>
      <c r="J5" s="2" t="str">
        <f>IF(E5=1,IF('Control Panel'!J4="","",'Control Panel'!J4),"")</f>
        <v>Loc_69_Clay_1</v>
      </c>
      <c r="K5" s="26">
        <f>IF(E5=1,IF('Control Panel'!K4="","",'Control Panel'!K4),"")</f>
        <v>1</v>
      </c>
      <c r="L5" s="22">
        <f>IF($K5="","",IF(L$4="","",IF('Control Panel'!L4="",VLOOKUP($F5,'Table Output'!$A:$BW,MATCH(L$4,'Table Output'!$A$1:$BT$1,0),),'Control Panel'!L4)))</f>
        <v>200</v>
      </c>
      <c r="M5" s="22">
        <f>IF($K5="","",IF(M$4="","",IF('Control Panel'!M4="",VLOOKUP($F5,'Table Output'!$A:$BW,MATCH(M$4,'Table Output'!$A$1:$BT$1,0),),'Control Panel'!M4)))</f>
        <v>10.210000000000001</v>
      </c>
      <c r="N5" s="22">
        <f>IF($K5="","",IF(N$4="","",IF('Control Panel'!N4="",VLOOKUP($F5,'Table Output'!$A:$BW,MATCH(N$4,'Table Output'!$A$1:$BT$1,0),),'Control Panel'!N4)))</f>
        <v>-1.1000000000000001</v>
      </c>
      <c r="O5" s="22">
        <f>IF($K5="","",IF(O$4="","",IF('Control Panel'!O4="",VLOOKUP($F5,'Table Output'!$A:$BW,MATCH(O$4,'Table Output'!$A$1:$BT$1,0),),'Control Panel'!O4)))</f>
        <v>-0.05</v>
      </c>
      <c r="P5" s="22">
        <f>IF($K5="","",IF(P$4="","",IF('Control Panel'!P4="",VLOOKUP($F5,'Table Output'!$A:$BW,MATCH(P$4,'Table Output'!$A$1:$BT$1,0),),'Control Panel'!P4)))</f>
        <v>8.1199999999999992</v>
      </c>
      <c r="Q5" s="22" t="str">
        <f>IF($K5="","",IF(Q$4="","",IF('Control Panel'!Q4="",VLOOKUP($F5,'Table Output'!$A:$BW,MATCH(Q$4,'Table Output'!$A$1:$BT$1,0),),'Control Panel'!Q4)))</f>
        <v/>
      </c>
      <c r="R5" s="22" t="str">
        <f>IF($K5="","",IF(R$4="","",IF('Control Panel'!R4="",VLOOKUP($F5,'Table Output'!$A:$BW,MATCH(R$4,'Table Output'!$A$1:$BT$1,0),),'Control Panel'!R4)))</f>
        <v/>
      </c>
      <c r="S5" s="22" t="str">
        <f>IF($K5="","",IF(S$4="","",IF('Control Panel'!S4="",VLOOKUP($F5,'Table Output'!$A:$BW,MATCH(S$4,'Table Output'!$A$1:$BT$1,0),),'Control Panel'!S4)))</f>
        <v/>
      </c>
      <c r="T5" s="22" t="str">
        <f>IF($K5="","",IF(T$4="","",IF('Control Panel'!T4="",VLOOKUP($F5,'Table Output'!$A:$BW,MATCH(T$4,'Table Output'!$A$1:$BT$1,0),),'Control Panel'!T4)))</f>
        <v/>
      </c>
      <c r="U5" s="22" t="str">
        <f>IF($K5="","",IF(U$4="","",IF('Control Panel'!U4="",VLOOKUP($F5,'Table Output'!$A:$BW,MATCH(U$4,'Table Output'!$A$1:$BT$1,0),),'Control Panel'!U4)))</f>
        <v/>
      </c>
      <c r="W5" s="22">
        <f>IF($K5="","",IF('Control Panel'!W4="",VLOOKUP($F5,'Table Output'!$A$2:$BW$99998,MATCH(W$4,'Table Output'!$A$1:$BT$1,0),),'Control Panel'!W4))</f>
        <v>0</v>
      </c>
      <c r="X5" s="22">
        <f>IF($K5="","",IF('Control Panel'!X4="",VLOOKUP($F5,'Table Output'!$A$2:$BW$99998,MATCH(X$4,'Table Output'!$A$1:$BT$1,0),),'Control Panel'!X4))</f>
        <v>2</v>
      </c>
      <c r="Y5" s="22">
        <f>IF($K5="","",IF('Control Panel'!Y4="",VLOOKUP($F5,'Table Output'!$A$2:$BW$99998,MATCH(Y$4,'Table Output'!$A$1:$BT$1,0),),'Control Panel'!Y4))</f>
        <v>1</v>
      </c>
      <c r="Z5" s="22">
        <f>IF($K5="","",IF('Control Panel'!Z4="",VLOOKUP($F5,'Table Output'!$A$2:$BW$99998,MATCH(Z$4,'Table Output'!$A$1:$BT$1,0),),'Control Panel'!Z4))</f>
        <v>1</v>
      </c>
      <c r="AA5" s="22">
        <f>IF($K5="","",IF('Control Panel'!AA4="",VLOOKUP($F5,'Table Output'!$A$2:$BW$99998,MATCH(AA$4,'Table Output'!$A$1:$BT$1,0),),'Control Panel'!AA4))</f>
        <v>0</v>
      </c>
      <c r="AB5" s="22">
        <f>IF($K5="","",IF('Control Panel'!AB4="",VLOOKUP($F5,'Table Output'!$A$2:$BW$99998,MATCH(AB$4,'Table Output'!$A$1:$BT$1,0),),'Control Panel'!AB4))</f>
        <v>1</v>
      </c>
      <c r="AC5" s="22">
        <f>IF($K5="","",IF('Control Panel'!AC4="",VLOOKUP($F5,'Table Output'!$A$2:$BW$99998,MATCH(AC$4,'Table Output'!$A$1:$BT$1,0),),'Control Panel'!AC4))</f>
        <v>1</v>
      </c>
      <c r="AD5" s="22">
        <f>IF($K5="","",IF('Control Panel'!AD4="",VLOOKUP($F5,'Table Output'!$A$2:$BW$99998,MATCH(AD$4,'Table Output'!$A$1:$BT$1,0),),'Control Panel'!AD4))</f>
        <v>0</v>
      </c>
      <c r="AE5" s="22">
        <f>IF($K5="","",IF('Control Panel'!AE4="",VLOOKUP($F5,'Table Output'!$A$2:$BW$99998,MATCH(AE$4,'Table Output'!$A$1:$BT$1,0),),'Control Panel'!AE4))</f>
        <v>0</v>
      </c>
      <c r="AF5" s="22">
        <f>IF($K5="","",IF('Control Panel'!AF4="",VLOOKUP($F5,'Table Output'!$A$2:$BW$99998,MATCH(AF$4,'Table Output'!$A$1:$BT$1,0),),'Control Panel'!AF4))</f>
        <v>1</v>
      </c>
      <c r="AG5" s="22">
        <f>IF($K5="","",IF('Control Panel'!AG4="",VLOOKUP($F5,'Table Output'!$A$2:$BW$99998,MATCH(AG$4,'Table Output'!$A$1:$BT$1,0),),'Control Panel'!AG4))</f>
        <v>1</v>
      </c>
      <c r="AH5" s="22">
        <f>IF($K5="","",IF('Control Panel'!AH4="",VLOOKUP($F5,'Table Output'!$A$2:$BW$99998,MATCH(AH$4,'Table Output'!$A$1:$BT$1,0),),'Control Panel'!AH4))</f>
        <v>1</v>
      </c>
      <c r="AI5" s="22">
        <f>IF($K5="","",IF('Control Panel'!AI4="",VLOOKUP($F5,'Table Output'!$A$2:$BW$99998,MATCH(AI$4,'Table Output'!$A$1:$BT$1,0),),'Control Panel'!AI4))</f>
        <v>0</v>
      </c>
      <c r="AJ5" s="22">
        <f>IF($K5="","",IF('Control Panel'!AJ4="",VLOOKUP($F5,'Table Output'!$A$2:$BW$99998,MATCH(AJ$4,'Table Output'!$A$1:$BT$1,0),),'Control Panel'!AJ4))</f>
        <v>1</v>
      </c>
      <c r="AK5" s="22">
        <f>IF($K5="","",IF('Control Panel'!AK4="",VLOOKUP($F5,'Table Output'!$A$2:$BW$99998,MATCH(AK$4,'Table Output'!$A$1:$BT$1,0),),'Control Panel'!AK4))</f>
        <v>1</v>
      </c>
      <c r="AL5" s="22">
        <f>IF($K5="","",IF('Control Panel'!AL4="",VLOOKUP($F5,'Table Output'!$A$2:$BW$99998,MATCH(AL$4,'Table Output'!$A$1:$BT$1,0),),'Control Panel'!AL4))</f>
        <v>1</v>
      </c>
      <c r="AN5" s="35">
        <f>K5</f>
        <v>1</v>
      </c>
      <c r="AO5" s="32">
        <f>IF(AO$4="","",IF($K5="","",IF('Control Panel'!AO4="",VLOOKUP($F5,'Table Output'!$A$2:$BW$99998,MATCH(AO$4,'Table Output'!$A$1:$BT$1,0),FALSE),'Control Panel'!AO4)))</f>
        <v>1</v>
      </c>
      <c r="AP5" s="32" t="str">
        <f>IF(AP$4="","",IF($K5="","",IF('Control Panel'!AP4="",VLOOKUP($F5,'Table Output'!$A$2:$BW$99998,MATCH(AP$4,'Table Output'!$A$1:$BT$1,0),FALSE),'Control Panel'!AP4)))</f>
        <v/>
      </c>
      <c r="AQ5" s="32" t="str">
        <f>IF(AQ$4="","",IF($K5="","",IF('Control Panel'!AQ4="",VLOOKUP($F5,'Table Output'!$A$2:$BW$99998,MATCH(AQ$4,'Table Output'!$A$1:$BT$1,0),FALSE),'Control Panel'!AQ4)))</f>
        <v/>
      </c>
      <c r="AR5" s="32" t="str">
        <f>IF(AR$4="","",IF($K5="","",IF('Control Panel'!AR4="",VLOOKUP($F5,'Table Output'!$A$2:$BW$99998,MATCH(AR$4,'Table Output'!$A$1:$BT$1,0),FALSE),'Control Panel'!AR4)))</f>
        <v/>
      </c>
      <c r="AS5" s="32" t="str">
        <f>IF(AS$4="","",IF($K5="","",IF('Control Panel'!AS4="",VLOOKUP($F5,'Table Output'!$A$2:$BW$99998,MATCH(AS$4,'Table Output'!$A$1:$BT$1,0),FALSE),'Control Panel'!AS4)))</f>
        <v/>
      </c>
      <c r="AT5" s="32" t="str">
        <f>IF(AT$4="","",IF($K5="","",IF('Control Panel'!AT4="",VLOOKUP($F5,'Table Output'!$A$2:$BW$99998,MATCH(AT$4,'Table Output'!$A$1:$BT$1,0),FALSE),'Control Panel'!AT4)))</f>
        <v/>
      </c>
      <c r="AU5" s="32" t="str">
        <f>IF(AU$4="","",IF($K5="","",IF('Control Panel'!AU4="",VLOOKUP($F5,'Table Output'!$A$2:$BW$99998,MATCH(AU$4,'Table Output'!$A$1:$BT$1,0),FALSE),'Control Panel'!AU4)))</f>
        <v/>
      </c>
      <c r="AV5" s="32" t="str">
        <f>IF(AV$4="","",IF($K5="","",IF('Control Panel'!AV4="",VLOOKUP($F5,'Table Output'!$A$2:$BW$99998,MATCH(AV$4,'Table Output'!$A$1:$BT$1,0),FALSE),'Control Panel'!AV4)))</f>
        <v/>
      </c>
      <c r="AW5" s="32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Sand_75</v>
      </c>
      <c r="G6" s="2" t="str">
        <f>IF(E6=1,IF('Control Panel'!G5="","",'Control Panel'!G5),"")</f>
        <v>PISA</v>
      </c>
      <c r="H6" s="2" t="str">
        <f>IF(E6=1,IF('Control Panel'!H5="","",'Control Panel'!H5),"")</f>
        <v>NA</v>
      </c>
      <c r="I6" s="2">
        <f>IF(E6=1,IF('Control Panel'!I5="","",'Control Panel'!I5),"")</f>
        <v>1</v>
      </c>
      <c r="J6" s="2" t="str">
        <f>IF(E6=1,IF('Control Panel'!J5="","",'Control Panel'!J5),"")</f>
        <v>Loc_69_Sand_1</v>
      </c>
      <c r="K6" s="26">
        <f>IF(E6=1,IF('Control Panel'!K5="","",'Control Panel'!K5),"")</f>
        <v>2</v>
      </c>
      <c r="L6" s="22">
        <f>IF($K6="","",IF(L$4="","",IF('Control Panel'!L5="",VLOOKUP($F6,'Table Output'!$A:$BW,MATCH(L$4,'Table Output'!$A$1:$BT$1,0),),'Control Panel'!L5)))</f>
        <v>77.017499999999998</v>
      </c>
      <c r="M6" s="22">
        <f>IF($K6="","",IF(M$4="","",IF('Control Panel'!M5="",VLOOKUP($F6,'Table Output'!$A:$BW,MATCH(M$4,'Table Output'!$A$1:$BT$1,0),),'Control Panel'!M5)))</f>
        <v>-6.3375000000000004</v>
      </c>
      <c r="N6" s="22">
        <f>IF($K6="","",IF(N$4="","",IF('Control Panel'!N5="",VLOOKUP($F6,'Table Output'!$A:$BW,MATCH(N$4,'Table Output'!$A$1:$BT$1,0),),'Control Panel'!N5)))</f>
        <v>-0.91779999999999995</v>
      </c>
      <c r="O6" s="22">
        <f>IF($K6="","",IF(O$4="","",IF('Control Panel'!O5="",VLOOKUP($F6,'Table Output'!$A:$BW,MATCH(O$4,'Table Output'!$A$1:$BT$1,0),),'Control Panel'!O5)))</f>
        <v>0.96344750000000001</v>
      </c>
      <c r="P6" s="22">
        <f>IF($K6="","",IF(P$4="","",IF('Control Panel'!P5="",VLOOKUP($F6,'Table Output'!$A:$BW,MATCH(P$4,'Table Output'!$A$1:$BT$1,0),),'Control Panel'!P5)))</f>
        <v>8.2063500000000005</v>
      </c>
      <c r="Q6" s="22" t="str">
        <f>IF($K6="","",IF(Q$4="","",IF('Control Panel'!Q5="",VLOOKUP($F6,'Table Output'!$A:$BW,MATCH(Q$4,'Table Output'!$A$1:$BT$1,0),),'Control Panel'!Q5)))</f>
        <v/>
      </c>
      <c r="R6" s="22" t="str">
        <f>IF($K6="","",IF(R$4="","",IF('Control Panel'!R5="",VLOOKUP($F6,'Table Output'!$A:$BW,MATCH(R$4,'Table Output'!$A$1:$BT$1,0),),'Control Panel'!R5)))</f>
        <v/>
      </c>
      <c r="S6" s="22" t="str">
        <f>IF($K6="","",IF(S$4="","",IF('Control Panel'!S5="",VLOOKUP($F6,'Table Output'!$A:$BW,MATCH(S$4,'Table Output'!$A$1:$BT$1,0),),'Control Panel'!S5)))</f>
        <v/>
      </c>
      <c r="T6" s="22" t="str">
        <f>IF($K6="","",IF(T$4="","",IF('Control Panel'!T5="",VLOOKUP($F6,'Table Output'!$A:$BW,MATCH(T$4,'Table Output'!$A$1:$BT$1,0),),'Control Panel'!T5)))</f>
        <v/>
      </c>
      <c r="U6" s="22" t="str">
        <f>IF($K6="","",IF(U$4="","",IF('Control Panel'!U5="",VLOOKUP($F6,'Table Output'!$A:$BW,MATCH(U$4,'Table Output'!$A$1:$BT$1,0),),'Control Panel'!U5)))</f>
        <v/>
      </c>
      <c r="W6" s="22">
        <f>IF($K6="","",IF('Control Panel'!W5="",VLOOKUP($F6,'Table Output'!$A$2:$BW$99998,MATCH(W$4,'Table Output'!$A$1:$BT$1,0),),'Control Panel'!W5))</f>
        <v>0</v>
      </c>
      <c r="X6" s="22">
        <f>IF($K6="","",IF('Control Panel'!X5="",VLOOKUP($F6,'Table Output'!$A$2:$BW$99998,MATCH(X$4,'Table Output'!$A$1:$BT$1,0),),'Control Panel'!X5))</f>
        <v>1</v>
      </c>
      <c r="Y6" s="22">
        <f>IF($K6="","",IF('Control Panel'!Y5="",VLOOKUP($F6,'Table Output'!$A$2:$BW$99998,MATCH(Y$4,'Table Output'!$A$1:$BT$1,0),),'Control Panel'!Y5))</f>
        <v>1</v>
      </c>
      <c r="Z6" s="22">
        <f>IF($K6="","",IF('Control Panel'!Z5="",VLOOKUP($F6,'Table Output'!$A$2:$BW$99998,MATCH(Z$4,'Table Output'!$A$1:$BT$1,0),),'Control Panel'!Z5))</f>
        <v>0</v>
      </c>
      <c r="AA6" s="22">
        <f>IF($K6="","",IF('Control Panel'!AA5="",VLOOKUP($F6,'Table Output'!$A$2:$BW$99998,MATCH(AA$4,'Table Output'!$A$1:$BT$1,0),),'Control Panel'!AA5))</f>
        <v>0</v>
      </c>
      <c r="AB6" s="22">
        <f>IF($K6="","",IF('Control Panel'!AB5="",VLOOKUP($F6,'Table Output'!$A$2:$BW$99998,MATCH(AB$4,'Table Output'!$A$1:$BT$1,0),),'Control Panel'!AB5))</f>
        <v>1</v>
      </c>
      <c r="AC6" s="22">
        <f>IF($K6="","",IF('Control Panel'!AC5="",VLOOKUP($F6,'Table Output'!$A$2:$BW$99998,MATCH(AC$4,'Table Output'!$A$1:$BT$1,0),),'Control Panel'!AC5))</f>
        <v>0</v>
      </c>
      <c r="AD6" s="22">
        <f>IF($K6="","",IF('Control Panel'!AD5="",VLOOKUP($F6,'Table Output'!$A$2:$BW$99998,MATCH(AD$4,'Table Output'!$A$1:$BT$1,0),),'Control Panel'!AD5))</f>
        <v>0</v>
      </c>
      <c r="AE6" s="22">
        <f>IF($K6="","",IF('Control Panel'!AE5="",VLOOKUP($F6,'Table Output'!$A$2:$BW$99998,MATCH(AE$4,'Table Output'!$A$1:$BT$1,0),),'Control Panel'!AE5))</f>
        <v>1</v>
      </c>
      <c r="AF6" s="22">
        <f>IF($K6="","",IF('Control Panel'!AF5="",VLOOKUP($F6,'Table Output'!$A$2:$BW$99998,MATCH(AF$4,'Table Output'!$A$1:$BT$1,0),),'Control Panel'!AF5))</f>
        <v>1</v>
      </c>
      <c r="AG6" s="22">
        <f>IF($K6="","",IF('Control Panel'!AG5="",VLOOKUP($F6,'Table Output'!$A$2:$BW$99998,MATCH(AG$4,'Table Output'!$A$1:$BT$1,0),),'Control Panel'!AG5))</f>
        <v>1</v>
      </c>
      <c r="AH6" s="22">
        <f>IF($K6="","",IF('Control Panel'!AH5="",VLOOKUP($F6,'Table Output'!$A$2:$BW$99998,MATCH(AH$4,'Table Output'!$A$1:$BT$1,0),),'Control Panel'!AH5))</f>
        <v>1</v>
      </c>
      <c r="AI6" s="22">
        <f>IF($K6="","",IF('Control Panel'!AI5="",VLOOKUP($F6,'Table Output'!$A$2:$BW$99998,MATCH(AI$4,'Table Output'!$A$1:$BT$1,0),),'Control Panel'!AI5))</f>
        <v>0</v>
      </c>
      <c r="AJ6" s="22">
        <f>IF($K6="","",IF('Control Panel'!AJ5="",VLOOKUP($F6,'Table Output'!$A$2:$BW$99998,MATCH(AJ$4,'Table Output'!$A$1:$BT$1,0),),'Control Panel'!AJ5))</f>
        <v>1</v>
      </c>
      <c r="AK6" s="22">
        <f>IF($K6="","",IF('Control Panel'!AK5="",VLOOKUP($F6,'Table Output'!$A$2:$BW$99998,MATCH(AK$4,'Table Output'!$A$1:$BT$1,0),),'Control Panel'!AK5))</f>
        <v>0</v>
      </c>
      <c r="AL6" s="22">
        <f>IF($K6="","",IF('Control Panel'!AL5="",VLOOKUP($F6,'Table Output'!$A$2:$BW$99998,MATCH(AL$4,'Table Output'!$A$1:$BT$1,0),),'Control Panel'!AL5))</f>
        <v>0</v>
      </c>
      <c r="AN6" s="35">
        <f t="shared" ref="AN6:AN24" si="0">K6</f>
        <v>2</v>
      </c>
      <c r="AO6" s="32">
        <f>IF(AO$4="","",IF($K6="","",IF('Control Panel'!AO5="",VLOOKUP($F6,'Table Output'!$A$2:$BW$99998,MATCH(AO$4,'Table Output'!$A$1:$BT$1,0),FALSE),'Control Panel'!AO5)))</f>
        <v>1</v>
      </c>
      <c r="AP6" s="32" t="str">
        <f>IF(AP$4="","",IF($K6="","",IF('Control Panel'!AP5="",VLOOKUP($F6,'Table Output'!$A$2:$BW$99998,MATCH(AP$4,'Table Output'!$A$1:$BT$1,0),FALSE),'Control Panel'!AP5)))</f>
        <v/>
      </c>
      <c r="AQ6" s="32" t="str">
        <f>IF(AQ$4="","",IF($K6="","",IF('Control Panel'!AQ5="",VLOOKUP($F6,'Table Output'!$A$2:$BW$99998,MATCH(AQ$4,'Table Output'!$A$1:$BT$1,0),FALSE),'Control Panel'!AQ5)))</f>
        <v/>
      </c>
      <c r="AR6" s="32" t="str">
        <f>IF(AR$4="","",IF($K6="","",IF('Control Panel'!AR5="",VLOOKUP($F6,'Table Output'!$A$2:$BW$99998,MATCH(AR$4,'Table Output'!$A$1:$BT$1,0),FALSE),'Control Panel'!AR5)))</f>
        <v/>
      </c>
      <c r="AS6" s="32" t="str">
        <f>IF(AS$4="","",IF($K6="","",IF('Control Panel'!AS5="",VLOOKUP($F6,'Table Output'!$A$2:$BW$99998,MATCH(AS$4,'Table Output'!$A$1:$BT$1,0),FALSE),'Control Panel'!AS5)))</f>
        <v/>
      </c>
      <c r="AT6" s="32" t="str">
        <f>IF(AT$4="","",IF($K6="","",IF('Control Panel'!AT5="",VLOOKUP($F6,'Table Output'!$A$2:$BW$99998,MATCH(AT$4,'Table Output'!$A$1:$BT$1,0),FALSE),'Control Panel'!AT5)))</f>
        <v/>
      </c>
      <c r="AU6" s="32" t="str">
        <f>IF(AU$4="","",IF($K6="","",IF('Control Panel'!AU5="",VLOOKUP($F6,'Table Output'!$A$2:$BW$99998,MATCH(AU$4,'Table Output'!$A$1:$BT$1,0),FALSE),'Control Panel'!AU5)))</f>
        <v/>
      </c>
      <c r="AV6" s="32" t="str">
        <f>IF(AV$4="","",IF($K6="","",IF('Control Panel'!AV5="",VLOOKUP($F6,'Table Output'!$A$2:$BW$99998,MATCH(AV$4,'Table Output'!$A$1:$BT$1,0),FALSE),'Control Panel'!AV5)))</f>
        <v/>
      </c>
      <c r="AW6" s="32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Sand_56</v>
      </c>
      <c r="G7" s="2" t="str">
        <f>IF(E7=1,IF('Control Panel'!G6="","",'Control Panel'!G6),"")</f>
        <v>PISA</v>
      </c>
      <c r="H7" s="2" t="str">
        <f>IF(E7=1,IF('Control Panel'!H6="","",'Control Panel'!H6),"")</f>
        <v>NA</v>
      </c>
      <c r="I7" s="2">
        <f>IF(E7=1,IF('Control Panel'!I6="","",'Control Panel'!I6),"")</f>
        <v>1</v>
      </c>
      <c r="J7" s="2" t="str">
        <f>IF(E7=1,IF('Control Panel'!J6="","",'Control Panel'!J6),"")</f>
        <v>Loc_69_Sand_2</v>
      </c>
      <c r="K7" s="26">
        <f>IF(E7=1,IF('Control Panel'!K6="","",'Control Panel'!K6),"")</f>
        <v>3</v>
      </c>
      <c r="L7" s="22">
        <f>IF($K7="","",IF(L$4="","",IF('Control Panel'!L6="",VLOOKUP($F7,'Table Output'!$A:$BW,MATCH(L$4,'Table Output'!$A$1:$BT$1,0),),'Control Panel'!L6)))</f>
        <v>94.5184</v>
      </c>
      <c r="M7" s="22">
        <f>IF($K7="","",IF(M$4="","",IF('Control Panel'!M6="",VLOOKUP($F7,'Table Output'!$A:$BW,MATCH(M$4,'Table Output'!$A$1:$BT$1,0),),'Control Panel'!M6)))</f>
        <v>-4.6464999999999996</v>
      </c>
      <c r="N7" s="22">
        <f>IF($K7="","",IF(N$4="","",IF('Control Panel'!N6="",VLOOKUP($F7,'Table Output'!$A:$BW,MATCH(N$4,'Table Output'!$A$1:$BT$1,0),),'Control Panel'!N6)))</f>
        <v>-0.91779999999999995</v>
      </c>
      <c r="O7" s="22">
        <f>IF($K7="","",IF(O$4="","",IF('Control Panel'!O6="",VLOOKUP($F7,'Table Output'!$A:$BW,MATCH(O$4,'Table Output'!$A$1:$BT$1,0),),'Control Panel'!O6)))</f>
        <v>0.95168079999999999</v>
      </c>
      <c r="P7" s="22">
        <f>IF($K7="","",IF(P$4="","",IF('Control Panel'!P6="",VLOOKUP($F7,'Table Output'!$A:$BW,MATCH(P$4,'Table Output'!$A$1:$BT$1,0),),'Control Panel'!P6)))</f>
        <v>8.3390079999999998</v>
      </c>
      <c r="Q7" s="22" t="str">
        <f>IF($K7="","",IF(Q$4="","",IF('Control Panel'!Q6="",VLOOKUP($F7,'Table Output'!$A:$BW,MATCH(Q$4,'Table Output'!$A$1:$BT$1,0),),'Control Panel'!Q6)))</f>
        <v/>
      </c>
      <c r="R7" s="22" t="str">
        <f>IF($K7="","",IF(R$4="","",IF('Control Panel'!R6="",VLOOKUP($F7,'Table Output'!$A:$BW,MATCH(R$4,'Table Output'!$A$1:$BT$1,0),),'Control Panel'!R6)))</f>
        <v/>
      </c>
      <c r="S7" s="22" t="str">
        <f>IF($K7="","",IF(S$4="","",IF('Control Panel'!S6="",VLOOKUP($F7,'Table Output'!$A:$BW,MATCH(S$4,'Table Output'!$A$1:$BT$1,0),),'Control Panel'!S6)))</f>
        <v/>
      </c>
      <c r="T7" s="22" t="str">
        <f>IF($K7="","",IF(T$4="","",IF('Control Panel'!T6="",VLOOKUP($F7,'Table Output'!$A:$BW,MATCH(T$4,'Table Output'!$A$1:$BT$1,0),),'Control Panel'!T6)))</f>
        <v/>
      </c>
      <c r="U7" s="22" t="str">
        <f>IF($K7="","",IF(U$4="","",IF('Control Panel'!U6="",VLOOKUP($F7,'Table Output'!$A:$BW,MATCH(U$4,'Table Output'!$A$1:$BT$1,0),),'Control Panel'!U6)))</f>
        <v/>
      </c>
      <c r="W7" s="22">
        <f>IF($K7="","",IF('Control Panel'!W6="",VLOOKUP($F7,'Table Output'!$A$2:$BW$99998,MATCH(W$4,'Table Output'!$A$1:$BT$1,0),),'Control Panel'!W6))</f>
        <v>0</v>
      </c>
      <c r="X7" s="22">
        <f>IF($K7="","",IF('Control Panel'!X6="",VLOOKUP($F7,'Table Output'!$A$2:$BW$99998,MATCH(X$4,'Table Output'!$A$1:$BT$1,0),),'Control Panel'!X6))</f>
        <v>1</v>
      </c>
      <c r="Y7" s="22">
        <f>IF($K7="","",IF('Control Panel'!Y6="",VLOOKUP($F7,'Table Output'!$A$2:$BW$99998,MATCH(Y$4,'Table Output'!$A$1:$BT$1,0),),'Control Panel'!Y6))</f>
        <v>1</v>
      </c>
      <c r="Z7" s="22">
        <f>IF($K7="","",IF('Control Panel'!Z6="",VLOOKUP($F7,'Table Output'!$A$2:$BW$99998,MATCH(Z$4,'Table Output'!$A$1:$BT$1,0),),'Control Panel'!Z6))</f>
        <v>0</v>
      </c>
      <c r="AA7" s="22">
        <f>IF($K7="","",IF('Control Panel'!AA6="",VLOOKUP($F7,'Table Output'!$A$2:$BW$99998,MATCH(AA$4,'Table Output'!$A$1:$BT$1,0),),'Control Panel'!AA6))</f>
        <v>0</v>
      </c>
      <c r="AB7" s="22">
        <f>IF($K7="","",IF('Control Panel'!AB6="",VLOOKUP($F7,'Table Output'!$A$2:$BW$99998,MATCH(AB$4,'Table Output'!$A$1:$BT$1,0),),'Control Panel'!AB6))</f>
        <v>1</v>
      </c>
      <c r="AC7" s="22">
        <f>IF($K7="","",IF('Control Panel'!AC6="",VLOOKUP($F7,'Table Output'!$A$2:$BW$99998,MATCH(AC$4,'Table Output'!$A$1:$BT$1,0),),'Control Panel'!AC6))</f>
        <v>0</v>
      </c>
      <c r="AD7" s="22">
        <f>IF($K7="","",IF('Control Panel'!AD6="",VLOOKUP($F7,'Table Output'!$A$2:$BW$99998,MATCH(AD$4,'Table Output'!$A$1:$BT$1,0),),'Control Panel'!AD6))</f>
        <v>0</v>
      </c>
      <c r="AE7" s="22">
        <f>IF($K7="","",IF('Control Panel'!AE6="",VLOOKUP($F7,'Table Output'!$A$2:$BW$99998,MATCH(AE$4,'Table Output'!$A$1:$BT$1,0),),'Control Panel'!AE6))</f>
        <v>1</v>
      </c>
      <c r="AF7" s="22">
        <f>IF($K7="","",IF('Control Panel'!AF6="",VLOOKUP($F7,'Table Output'!$A$2:$BW$99998,MATCH(AF$4,'Table Output'!$A$1:$BT$1,0),),'Control Panel'!AF6))</f>
        <v>1</v>
      </c>
      <c r="AG7" s="22">
        <f>IF($K7="","",IF('Control Panel'!AG6="",VLOOKUP($F7,'Table Output'!$A$2:$BW$99998,MATCH(AG$4,'Table Output'!$A$1:$BT$1,0),),'Control Panel'!AG6))</f>
        <v>1</v>
      </c>
      <c r="AH7" s="22">
        <f>IF($K7="","",IF('Control Panel'!AH6="",VLOOKUP($F7,'Table Output'!$A$2:$BW$99998,MATCH(AH$4,'Table Output'!$A$1:$BT$1,0),),'Control Panel'!AH6))</f>
        <v>1</v>
      </c>
      <c r="AI7" s="22">
        <f>IF($K7="","",IF('Control Panel'!AI6="",VLOOKUP($F7,'Table Output'!$A$2:$BW$99998,MATCH(AI$4,'Table Output'!$A$1:$BT$1,0),),'Control Panel'!AI6))</f>
        <v>0</v>
      </c>
      <c r="AJ7" s="22">
        <f>IF($K7="","",IF('Control Panel'!AJ6="",VLOOKUP($F7,'Table Output'!$A$2:$BW$99998,MATCH(AJ$4,'Table Output'!$A$1:$BT$1,0),),'Control Panel'!AJ6))</f>
        <v>1</v>
      </c>
      <c r="AK7" s="22">
        <f>IF($K7="","",IF('Control Panel'!AK6="",VLOOKUP($F7,'Table Output'!$A$2:$BW$99998,MATCH(AK$4,'Table Output'!$A$1:$BT$1,0),),'Control Panel'!AK6))</f>
        <v>0</v>
      </c>
      <c r="AL7" s="22">
        <f>IF($K7="","",IF('Control Panel'!AL6="",VLOOKUP($F7,'Table Output'!$A$2:$BW$99998,MATCH(AL$4,'Table Output'!$A$1:$BT$1,0),),'Control Panel'!AL6))</f>
        <v>0</v>
      </c>
      <c r="AN7" s="35">
        <f t="shared" si="0"/>
        <v>3</v>
      </c>
      <c r="AO7" s="32">
        <f>IF(AO$4="","",IF($K7="","",IF('Control Panel'!AO6="",VLOOKUP($F7,'Table Output'!$A$2:$BW$99998,MATCH(AO$4,'Table Output'!$A$1:$BT$1,0),FALSE),'Control Panel'!AO6)))</f>
        <v>1</v>
      </c>
      <c r="AP7" s="32" t="str">
        <f>IF(AP$4="","",IF($K7="","",IF('Control Panel'!AP6="",VLOOKUP($F7,'Table Output'!$A$2:$BW$99998,MATCH(AP$4,'Table Output'!$A$1:$BT$1,0),FALSE),'Control Panel'!AP6)))</f>
        <v/>
      </c>
      <c r="AQ7" s="32" t="str">
        <f>IF(AQ$4="","",IF($K7="","",IF('Control Panel'!AQ6="",VLOOKUP($F7,'Table Output'!$A$2:$BW$99998,MATCH(AQ$4,'Table Output'!$A$1:$BT$1,0),FALSE),'Control Panel'!AQ6)))</f>
        <v/>
      </c>
      <c r="AR7" s="32" t="str">
        <f>IF(AR$4="","",IF($K7="","",IF('Control Panel'!AR6="",VLOOKUP($F7,'Table Output'!$A$2:$BW$99998,MATCH(AR$4,'Table Output'!$A$1:$BT$1,0),FALSE),'Control Panel'!AR6)))</f>
        <v/>
      </c>
      <c r="AS7" s="32" t="str">
        <f>IF(AS$4="","",IF($K7="","",IF('Control Panel'!AS6="",VLOOKUP($F7,'Table Output'!$A$2:$BW$99998,MATCH(AS$4,'Table Output'!$A$1:$BT$1,0),FALSE),'Control Panel'!AS6)))</f>
        <v/>
      </c>
      <c r="AT7" s="32" t="str">
        <f>IF(AT$4="","",IF($K7="","",IF('Control Panel'!AT6="",VLOOKUP($F7,'Table Output'!$A$2:$BW$99998,MATCH(AT$4,'Table Output'!$A$1:$BT$1,0),FALSE),'Control Panel'!AT6)))</f>
        <v/>
      </c>
      <c r="AU7" s="32" t="str">
        <f>IF(AU$4="","",IF($K7="","",IF('Control Panel'!AU6="",VLOOKUP($F7,'Table Output'!$A$2:$BW$99998,MATCH(AU$4,'Table Output'!$A$1:$BT$1,0),FALSE),'Control Panel'!AU6)))</f>
        <v/>
      </c>
      <c r="AV7" s="32" t="str">
        <f>IF(AV$4="","",IF($K7="","",IF('Control Panel'!AV6="",VLOOKUP($F7,'Table Output'!$A$2:$BW$99998,MATCH(AV$4,'Table Output'!$A$1:$BT$1,0),FALSE),'Control Panel'!AV6)))</f>
        <v/>
      </c>
      <c r="AW7" s="32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Sand_68</v>
      </c>
      <c r="G8" s="2" t="str">
        <f>IF(E8=1,IF('Control Panel'!G7="","",'Control Panel'!G7),"")</f>
        <v>PISA</v>
      </c>
      <c r="H8" s="2" t="str">
        <f>IF(E8=1,IF('Control Panel'!H7="","",'Control Panel'!H7),"")</f>
        <v>NA</v>
      </c>
      <c r="I8" s="2">
        <f>IF(E8=1,IF('Control Panel'!I7="","",'Control Panel'!I7),"")</f>
        <v>1</v>
      </c>
      <c r="J8" s="2" t="str">
        <f>IF(E8=1,IF('Control Panel'!J7="","",'Control Panel'!J7),"")</f>
        <v>Loc_69_Sand_3</v>
      </c>
      <c r="K8" s="26">
        <f>IF(E8=1,IF('Control Panel'!K7="","",'Control Panel'!K7),"")</f>
        <v>4</v>
      </c>
      <c r="L8" s="22">
        <f>IF($K8="","",IF(L$4="","",IF('Control Panel'!L7="",VLOOKUP($F8,'Table Output'!$A:$BW,MATCH(L$4,'Table Output'!$A$1:$BT$1,0),),'Control Panel'!L7)))</f>
        <v>83.465199999999996</v>
      </c>
      <c r="M8" s="22">
        <f>IF($K8="","",IF(M$4="","",IF('Control Panel'!M7="",VLOOKUP($F8,'Table Output'!$A:$BW,MATCH(M$4,'Table Output'!$A$1:$BT$1,0),),'Control Panel'!M7)))</f>
        <v>-5.7145000000000001</v>
      </c>
      <c r="N8" s="22">
        <f>IF($K8="","",IF(N$4="","",IF('Control Panel'!N7="",VLOOKUP($F8,'Table Output'!$A:$BW,MATCH(N$4,'Table Output'!$A$1:$BT$1,0),),'Control Panel'!N7)))</f>
        <v>-0.91779999999999995</v>
      </c>
      <c r="O8" s="22">
        <f>IF($K8="","",IF(O$4="","",IF('Control Panel'!O7="",VLOOKUP($F8,'Table Output'!$A:$BW,MATCH(O$4,'Table Output'!$A$1:$BT$1,0),),'Control Panel'!O7)))</f>
        <v>0.95911239999999998</v>
      </c>
      <c r="P8" s="22">
        <f>IF($K8="","",IF(P$4="","",IF('Control Panel'!P7="",VLOOKUP($F8,'Table Output'!$A:$BW,MATCH(P$4,'Table Output'!$A$1:$BT$1,0),),'Control Panel'!P7)))</f>
        <v>8.2552240000000001</v>
      </c>
      <c r="Q8" s="22" t="str">
        <f>IF($K8="","",IF(Q$4="","",IF('Control Panel'!Q7="",VLOOKUP($F8,'Table Output'!$A:$BW,MATCH(Q$4,'Table Output'!$A$1:$BT$1,0),),'Control Panel'!Q7)))</f>
        <v/>
      </c>
      <c r="R8" s="22" t="str">
        <f>IF($K8="","",IF(R$4="","",IF('Control Panel'!R7="",VLOOKUP($F8,'Table Output'!$A:$BW,MATCH(R$4,'Table Output'!$A$1:$BT$1,0),),'Control Panel'!R7)))</f>
        <v/>
      </c>
      <c r="S8" s="22" t="str">
        <f>IF($K8="","",IF(S$4="","",IF('Control Panel'!S7="",VLOOKUP($F8,'Table Output'!$A:$BW,MATCH(S$4,'Table Output'!$A$1:$BT$1,0),),'Control Panel'!S7)))</f>
        <v/>
      </c>
      <c r="T8" s="22" t="str">
        <f>IF($K8="","",IF(T$4="","",IF('Control Panel'!T7="",VLOOKUP($F8,'Table Output'!$A:$BW,MATCH(T$4,'Table Output'!$A$1:$BT$1,0),),'Control Panel'!T7)))</f>
        <v/>
      </c>
      <c r="U8" s="22" t="str">
        <f>IF($K8="","",IF(U$4="","",IF('Control Panel'!U7="",VLOOKUP($F8,'Table Output'!$A:$BW,MATCH(U$4,'Table Output'!$A$1:$BT$1,0),),'Control Panel'!U7)))</f>
        <v/>
      </c>
      <c r="W8" s="22">
        <f>IF($K8="","",IF('Control Panel'!W7="",VLOOKUP($F8,'Table Output'!$A$2:$BW$99998,MATCH(W$4,'Table Output'!$A$1:$BT$1,0),),'Control Panel'!W7))</f>
        <v>0</v>
      </c>
      <c r="X8" s="22">
        <f>IF($K8="","",IF('Control Panel'!X7="",VLOOKUP($F8,'Table Output'!$A$2:$BW$99998,MATCH(X$4,'Table Output'!$A$1:$BT$1,0),),'Control Panel'!X7))</f>
        <v>1</v>
      </c>
      <c r="Y8" s="22">
        <f>IF($K8="","",IF('Control Panel'!Y7="",VLOOKUP($F8,'Table Output'!$A$2:$BW$99998,MATCH(Y$4,'Table Output'!$A$1:$BT$1,0),),'Control Panel'!Y7))</f>
        <v>1</v>
      </c>
      <c r="Z8" s="22">
        <f>IF($K8="","",IF('Control Panel'!Z7="",VLOOKUP($F8,'Table Output'!$A$2:$BW$99998,MATCH(Z$4,'Table Output'!$A$1:$BT$1,0),),'Control Panel'!Z7))</f>
        <v>0</v>
      </c>
      <c r="AA8" s="22">
        <f>IF($K8="","",IF('Control Panel'!AA7="",VLOOKUP($F8,'Table Output'!$A$2:$BW$99998,MATCH(AA$4,'Table Output'!$A$1:$BT$1,0),),'Control Panel'!AA7))</f>
        <v>0</v>
      </c>
      <c r="AB8" s="22">
        <f>IF($K8="","",IF('Control Panel'!AB7="",VLOOKUP($F8,'Table Output'!$A$2:$BW$99998,MATCH(AB$4,'Table Output'!$A$1:$BT$1,0),),'Control Panel'!AB7))</f>
        <v>1</v>
      </c>
      <c r="AC8" s="22">
        <f>IF($K8="","",IF('Control Panel'!AC7="",VLOOKUP($F8,'Table Output'!$A$2:$BW$99998,MATCH(AC$4,'Table Output'!$A$1:$BT$1,0),),'Control Panel'!AC7))</f>
        <v>0</v>
      </c>
      <c r="AD8" s="22">
        <f>IF($K8="","",IF('Control Panel'!AD7="",VLOOKUP($F8,'Table Output'!$A$2:$BW$99998,MATCH(AD$4,'Table Output'!$A$1:$BT$1,0),),'Control Panel'!AD7))</f>
        <v>0</v>
      </c>
      <c r="AE8" s="22">
        <f>IF($K8="","",IF('Control Panel'!AE7="",VLOOKUP($F8,'Table Output'!$A$2:$BW$99998,MATCH(AE$4,'Table Output'!$A$1:$BT$1,0),),'Control Panel'!AE7))</f>
        <v>1</v>
      </c>
      <c r="AF8" s="22">
        <f>IF($K8="","",IF('Control Panel'!AF7="",VLOOKUP($F8,'Table Output'!$A$2:$BW$99998,MATCH(AF$4,'Table Output'!$A$1:$BT$1,0),),'Control Panel'!AF7))</f>
        <v>1</v>
      </c>
      <c r="AG8" s="22">
        <f>IF($K8="","",IF('Control Panel'!AG7="",VLOOKUP($F8,'Table Output'!$A$2:$BW$99998,MATCH(AG$4,'Table Output'!$A$1:$BT$1,0),),'Control Panel'!AG7))</f>
        <v>1</v>
      </c>
      <c r="AH8" s="22">
        <f>IF($K8="","",IF('Control Panel'!AH7="",VLOOKUP($F8,'Table Output'!$A$2:$BW$99998,MATCH(AH$4,'Table Output'!$A$1:$BT$1,0),),'Control Panel'!AH7))</f>
        <v>1</v>
      </c>
      <c r="AI8" s="22">
        <f>IF($K8="","",IF('Control Panel'!AI7="",VLOOKUP($F8,'Table Output'!$A$2:$BW$99998,MATCH(AI$4,'Table Output'!$A$1:$BT$1,0),),'Control Panel'!AI7))</f>
        <v>0</v>
      </c>
      <c r="AJ8" s="22">
        <f>IF($K8="","",IF('Control Panel'!AJ7="",VLOOKUP($F8,'Table Output'!$A$2:$BW$99998,MATCH(AJ$4,'Table Output'!$A$1:$BT$1,0),),'Control Panel'!AJ7))</f>
        <v>1</v>
      </c>
      <c r="AK8" s="22">
        <f>IF($K8="","",IF('Control Panel'!AK7="",VLOOKUP($F8,'Table Output'!$A$2:$BW$99998,MATCH(AK$4,'Table Output'!$A$1:$BT$1,0),),'Control Panel'!AK7))</f>
        <v>0</v>
      </c>
      <c r="AL8" s="22">
        <f>IF($K8="","",IF('Control Panel'!AL7="",VLOOKUP($F8,'Table Output'!$A$2:$BW$99998,MATCH(AL$4,'Table Output'!$A$1:$BT$1,0),),'Control Panel'!AL7))</f>
        <v>0</v>
      </c>
      <c r="AN8" s="35">
        <f t="shared" si="0"/>
        <v>4</v>
      </c>
      <c r="AO8" s="32">
        <f>IF(AO$4="","",IF($K8="","",IF('Control Panel'!AO7="",VLOOKUP($F8,'Table Output'!$A$2:$BW$99998,MATCH(AO$4,'Table Output'!$A$1:$BT$1,0),FALSE),'Control Panel'!AO7)))</f>
        <v>1</v>
      </c>
      <c r="AP8" s="32" t="str">
        <f>IF(AP$4="","",IF($K8="","",IF('Control Panel'!AP7="",VLOOKUP($F8,'Table Output'!$A$2:$BW$99998,MATCH(AP$4,'Table Output'!$A$1:$BT$1,0),FALSE),'Control Panel'!AP7)))</f>
        <v/>
      </c>
      <c r="AQ8" s="32" t="str">
        <f>IF(AQ$4="","",IF($K8="","",IF('Control Panel'!AQ7="",VLOOKUP($F8,'Table Output'!$A$2:$BW$99998,MATCH(AQ$4,'Table Output'!$A$1:$BT$1,0),FALSE),'Control Panel'!AQ7)))</f>
        <v/>
      </c>
      <c r="AR8" s="32" t="str">
        <f>IF(AR$4="","",IF($K8="","",IF('Control Panel'!AR7="",VLOOKUP($F8,'Table Output'!$A$2:$BW$99998,MATCH(AR$4,'Table Output'!$A$1:$BT$1,0),FALSE),'Control Panel'!AR7)))</f>
        <v/>
      </c>
      <c r="AS8" s="32" t="str">
        <f>IF(AS$4="","",IF($K8="","",IF('Control Panel'!AS7="",VLOOKUP($F8,'Table Output'!$A$2:$BW$99998,MATCH(AS$4,'Table Output'!$A$1:$BT$1,0),FALSE),'Control Panel'!AS7)))</f>
        <v/>
      </c>
      <c r="AT8" s="32" t="str">
        <f>IF(AT$4="","",IF($K8="","",IF('Control Panel'!AT7="",VLOOKUP($F8,'Table Output'!$A$2:$BW$99998,MATCH(AT$4,'Table Output'!$A$1:$BT$1,0),FALSE),'Control Panel'!AT7)))</f>
        <v/>
      </c>
      <c r="AU8" s="32" t="str">
        <f>IF(AU$4="","",IF($K8="","",IF('Control Panel'!AU7="",VLOOKUP($F8,'Table Output'!$A$2:$BW$99998,MATCH(AU$4,'Table Output'!$A$1:$BT$1,0),FALSE),'Control Panel'!AU7)))</f>
        <v/>
      </c>
      <c r="AV8" s="32" t="str">
        <f>IF(AV$4="","",IF($K8="","",IF('Control Panel'!AV7="",VLOOKUP($F8,'Table Output'!$A$2:$BW$99998,MATCH(AV$4,'Table Output'!$A$1:$BT$1,0),FALSE),'Control Panel'!AV7)))</f>
        <v/>
      </c>
      <c r="AW8" s="32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Sand_79</v>
      </c>
      <c r="G9" s="2" t="str">
        <f>IF(E9=1,IF('Control Panel'!G8="","",'Control Panel'!G8),"")</f>
        <v>PISA</v>
      </c>
      <c r="H9" s="2" t="str">
        <f>IF(E9=1,IF('Control Panel'!H8="","",'Control Panel'!H8),"")</f>
        <v>NA</v>
      </c>
      <c r="I9" s="2">
        <f>IF(E9=1,IF('Control Panel'!I8="","",'Control Panel'!I8),"")</f>
        <v>1</v>
      </c>
      <c r="J9" s="2" t="str">
        <f>IF(E9=1,IF('Control Panel'!J8="","",'Control Panel'!J8),"")</f>
        <v>Loc_69_Sand_4</v>
      </c>
      <c r="K9" s="26">
        <f>IF(E9=1,IF('Control Panel'!K8="","",'Control Panel'!K8),"")</f>
        <v>5</v>
      </c>
      <c r="L9" s="22">
        <f>IF($K9="","",IF(L$4="","",IF('Control Panel'!L8="",VLOOKUP($F9,'Table Output'!$A:$BW,MATCH(L$4,'Table Output'!$A$1:$BT$1,0),),'Control Panel'!L8)))</f>
        <v>73.333100000000002</v>
      </c>
      <c r="M9" s="22">
        <f>IF($K9="","",IF(M$4="","",IF('Control Panel'!M8="",VLOOKUP($F9,'Table Output'!$A:$BW,MATCH(M$4,'Table Output'!$A$1:$BT$1,0),),'Control Panel'!M8)))</f>
        <v>-6.6935000000000002</v>
      </c>
      <c r="N9" s="22">
        <f>IF($K9="","",IF(N$4="","",IF('Control Panel'!N8="",VLOOKUP($F9,'Table Output'!$A:$BW,MATCH(N$4,'Table Output'!$A$1:$BT$1,0),),'Control Panel'!N8)))</f>
        <v>-0.91779999999999995</v>
      </c>
      <c r="O9" s="22">
        <f>IF($K9="","",IF(O$4="","",IF('Control Panel'!O8="",VLOOKUP($F9,'Table Output'!$A:$BW,MATCH(O$4,'Table Output'!$A$1:$BT$1,0),),'Control Panel'!O8)))</f>
        <v>0.96592469999999997</v>
      </c>
      <c r="P9" s="22">
        <f>IF($K9="","",IF(P$4="","",IF('Control Panel'!P8="",VLOOKUP($F9,'Table Output'!$A:$BW,MATCH(P$4,'Table Output'!$A$1:$BT$1,0),),'Control Panel'!P8)))</f>
        <v>8.1784219999999994</v>
      </c>
      <c r="Q9" s="22" t="str">
        <f>IF($K9="","",IF(Q$4="","",IF('Control Panel'!Q8="",VLOOKUP($F9,'Table Output'!$A:$BW,MATCH(Q$4,'Table Output'!$A$1:$BT$1,0),),'Control Panel'!Q8)))</f>
        <v/>
      </c>
      <c r="R9" s="22" t="str">
        <f>IF($K9="","",IF(R$4="","",IF('Control Panel'!R8="",VLOOKUP($F9,'Table Output'!$A:$BW,MATCH(R$4,'Table Output'!$A$1:$BT$1,0),),'Control Panel'!R8)))</f>
        <v/>
      </c>
      <c r="S9" s="22" t="str">
        <f>IF($K9="","",IF(S$4="","",IF('Control Panel'!S8="",VLOOKUP($F9,'Table Output'!$A:$BW,MATCH(S$4,'Table Output'!$A$1:$BT$1,0),),'Control Panel'!S8)))</f>
        <v/>
      </c>
      <c r="T9" s="22" t="str">
        <f>IF($K9="","",IF(T$4="","",IF('Control Panel'!T8="",VLOOKUP($F9,'Table Output'!$A:$BW,MATCH(T$4,'Table Output'!$A$1:$BT$1,0),),'Control Panel'!T8)))</f>
        <v/>
      </c>
      <c r="U9" s="22" t="str">
        <f>IF($K9="","",IF(U$4="","",IF('Control Panel'!U8="",VLOOKUP($F9,'Table Output'!$A:$BW,MATCH(U$4,'Table Output'!$A$1:$BT$1,0),),'Control Panel'!U8)))</f>
        <v/>
      </c>
      <c r="W9" s="22">
        <f>IF($K9="","",IF('Control Panel'!W8="",VLOOKUP($F9,'Table Output'!$A$2:$BW$99998,MATCH(W$4,'Table Output'!$A$1:$BT$1,0),),'Control Panel'!W8))</f>
        <v>0</v>
      </c>
      <c r="X9" s="22">
        <f>IF($K9="","",IF('Control Panel'!X8="",VLOOKUP($F9,'Table Output'!$A$2:$BW$99998,MATCH(X$4,'Table Output'!$A$1:$BT$1,0),),'Control Panel'!X8))</f>
        <v>1</v>
      </c>
      <c r="Y9" s="22">
        <f>IF($K9="","",IF('Control Panel'!Y8="",VLOOKUP($F9,'Table Output'!$A$2:$BW$99998,MATCH(Y$4,'Table Output'!$A$1:$BT$1,0),),'Control Panel'!Y8))</f>
        <v>1</v>
      </c>
      <c r="Z9" s="22">
        <f>IF($K9="","",IF('Control Panel'!Z8="",VLOOKUP($F9,'Table Output'!$A$2:$BW$99998,MATCH(Z$4,'Table Output'!$A$1:$BT$1,0),),'Control Panel'!Z8))</f>
        <v>0</v>
      </c>
      <c r="AA9" s="22">
        <f>IF($K9="","",IF('Control Panel'!AA8="",VLOOKUP($F9,'Table Output'!$A$2:$BW$99998,MATCH(AA$4,'Table Output'!$A$1:$BT$1,0),),'Control Panel'!AA8))</f>
        <v>0</v>
      </c>
      <c r="AB9" s="22">
        <f>IF($K9="","",IF('Control Panel'!AB8="",VLOOKUP($F9,'Table Output'!$A$2:$BW$99998,MATCH(AB$4,'Table Output'!$A$1:$BT$1,0),),'Control Panel'!AB8))</f>
        <v>1</v>
      </c>
      <c r="AC9" s="22">
        <f>IF($K9="","",IF('Control Panel'!AC8="",VLOOKUP($F9,'Table Output'!$A$2:$BW$99998,MATCH(AC$4,'Table Output'!$A$1:$BT$1,0),),'Control Panel'!AC8))</f>
        <v>0</v>
      </c>
      <c r="AD9" s="22">
        <f>IF($K9="","",IF('Control Panel'!AD8="",VLOOKUP($F9,'Table Output'!$A$2:$BW$99998,MATCH(AD$4,'Table Output'!$A$1:$BT$1,0),),'Control Panel'!AD8))</f>
        <v>0</v>
      </c>
      <c r="AE9" s="22">
        <f>IF($K9="","",IF('Control Panel'!AE8="",VLOOKUP($F9,'Table Output'!$A$2:$BW$99998,MATCH(AE$4,'Table Output'!$A$1:$BT$1,0),),'Control Panel'!AE8))</f>
        <v>1</v>
      </c>
      <c r="AF9" s="22">
        <f>IF($K9="","",IF('Control Panel'!AF8="",VLOOKUP($F9,'Table Output'!$A$2:$BW$99998,MATCH(AF$4,'Table Output'!$A$1:$BT$1,0),),'Control Panel'!AF8))</f>
        <v>1</v>
      </c>
      <c r="AG9" s="22">
        <f>IF($K9="","",IF('Control Panel'!AG8="",VLOOKUP($F9,'Table Output'!$A$2:$BW$99998,MATCH(AG$4,'Table Output'!$A$1:$BT$1,0),),'Control Panel'!AG8))</f>
        <v>1</v>
      </c>
      <c r="AH9" s="22">
        <f>IF($K9="","",IF('Control Panel'!AH8="",VLOOKUP($F9,'Table Output'!$A$2:$BW$99998,MATCH(AH$4,'Table Output'!$A$1:$BT$1,0),),'Control Panel'!AH8))</f>
        <v>1</v>
      </c>
      <c r="AI9" s="22">
        <f>IF($K9="","",IF('Control Panel'!AI8="",VLOOKUP($F9,'Table Output'!$A$2:$BW$99998,MATCH(AI$4,'Table Output'!$A$1:$BT$1,0),),'Control Panel'!AI8))</f>
        <v>0</v>
      </c>
      <c r="AJ9" s="22">
        <f>IF($K9="","",IF('Control Panel'!AJ8="",VLOOKUP($F9,'Table Output'!$A$2:$BW$99998,MATCH(AJ$4,'Table Output'!$A$1:$BT$1,0),),'Control Panel'!AJ8))</f>
        <v>1</v>
      </c>
      <c r="AK9" s="22">
        <f>IF($K9="","",IF('Control Panel'!AK8="",VLOOKUP($F9,'Table Output'!$A$2:$BW$99998,MATCH(AK$4,'Table Output'!$A$1:$BT$1,0),),'Control Panel'!AK8))</f>
        <v>0</v>
      </c>
      <c r="AL9" s="22">
        <f>IF($K9="","",IF('Control Panel'!AL8="",VLOOKUP($F9,'Table Output'!$A$2:$BW$99998,MATCH(AL$4,'Table Output'!$A$1:$BT$1,0),),'Control Panel'!AL8))</f>
        <v>0</v>
      </c>
      <c r="AN9" s="35">
        <f t="shared" si="0"/>
        <v>5</v>
      </c>
      <c r="AO9" s="32">
        <f>IF(AO$4="","",IF($K9="","",IF('Control Panel'!AO8="",VLOOKUP($F9,'Table Output'!$A$2:$BW$99998,MATCH(AO$4,'Table Output'!$A$1:$BT$1,0),FALSE),'Control Panel'!AO8)))</f>
        <v>1</v>
      </c>
      <c r="AP9" s="32" t="str">
        <f>IF(AP$4="","",IF($K9="","",IF('Control Panel'!AP8="",VLOOKUP($F9,'Table Output'!$A$2:$BW$99998,MATCH(AP$4,'Table Output'!$A$1:$BT$1,0),FALSE),'Control Panel'!AP8)))</f>
        <v/>
      </c>
      <c r="AQ9" s="32" t="str">
        <f>IF(AQ$4="","",IF($K9="","",IF('Control Panel'!AQ8="",VLOOKUP($F9,'Table Output'!$A$2:$BW$99998,MATCH(AQ$4,'Table Output'!$A$1:$BT$1,0),FALSE),'Control Panel'!AQ8)))</f>
        <v/>
      </c>
      <c r="AR9" s="32" t="str">
        <f>IF(AR$4="","",IF($K9="","",IF('Control Panel'!AR8="",VLOOKUP($F9,'Table Output'!$A$2:$BW$99998,MATCH(AR$4,'Table Output'!$A$1:$BT$1,0),FALSE),'Control Panel'!AR8)))</f>
        <v/>
      </c>
      <c r="AS9" s="32" t="str">
        <f>IF(AS$4="","",IF($K9="","",IF('Control Panel'!AS8="",VLOOKUP($F9,'Table Output'!$A$2:$BW$99998,MATCH(AS$4,'Table Output'!$A$1:$BT$1,0),FALSE),'Control Panel'!AS8)))</f>
        <v/>
      </c>
      <c r="AT9" s="32" t="str">
        <f>IF(AT$4="","",IF($K9="","",IF('Control Panel'!AT8="",VLOOKUP($F9,'Table Output'!$A$2:$BW$99998,MATCH(AT$4,'Table Output'!$A$1:$BT$1,0),FALSE),'Control Panel'!AT8)))</f>
        <v/>
      </c>
      <c r="AU9" s="32" t="str">
        <f>IF(AU$4="","",IF($K9="","",IF('Control Panel'!AU8="",VLOOKUP($F9,'Table Output'!$A$2:$BW$99998,MATCH(AU$4,'Table Output'!$A$1:$BT$1,0),FALSE),'Control Panel'!AU8)))</f>
        <v/>
      </c>
      <c r="AV9" s="32" t="str">
        <f>IF(AV$4="","",IF($K9="","",IF('Control Panel'!AV8="",VLOOKUP($F9,'Table Output'!$A$2:$BW$99998,MATCH(AV$4,'Table Output'!$A$1:$BT$1,0),FALSE),'Control Panel'!AV8)))</f>
        <v/>
      </c>
      <c r="AW9" s="32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Sand_59</v>
      </c>
      <c r="G10" s="2" t="str">
        <f>IF(E10=1,IF('Control Panel'!G9="","",'Control Panel'!G9),"")</f>
        <v>PISA</v>
      </c>
      <c r="H10" s="2" t="str">
        <f>IF(E10=1,IF('Control Panel'!H9="","",'Control Panel'!H9),"")</f>
        <v>NA</v>
      </c>
      <c r="I10" s="2">
        <f>IF(E10=1,IF('Control Panel'!I9="","",'Control Panel'!I9),"")</f>
        <v>1</v>
      </c>
      <c r="J10" s="2" t="str">
        <f>IF(E10=1,IF('Control Panel'!J9="","",'Control Panel'!J9),"")</f>
        <v>Loc_69_Sand_5</v>
      </c>
      <c r="K10" s="26">
        <f>IF(E10=1,IF('Control Panel'!K9="","",'Control Panel'!K9),"")</f>
        <v>6</v>
      </c>
      <c r="L10" s="22">
        <f>IF($K10="","",IF(L$4="","",IF('Control Panel'!L9="",VLOOKUP($F10,'Table Output'!$A:$BW,MATCH(L$4,'Table Output'!$A$1:$BT$1,0),),'Control Panel'!L9)))</f>
        <v>91.755099999999999</v>
      </c>
      <c r="M10" s="22">
        <f>IF($K10="","",IF(M$4="","",IF('Control Panel'!M9="",VLOOKUP($F10,'Table Output'!$A:$BW,MATCH(M$4,'Table Output'!$A$1:$BT$1,0),),'Control Panel'!M9)))</f>
        <v>-4.9135</v>
      </c>
      <c r="N10" s="22">
        <f>IF($K10="","",IF(N$4="","",IF('Control Panel'!N9="",VLOOKUP($F10,'Table Output'!$A:$BW,MATCH(N$4,'Table Output'!$A$1:$BT$1,0),),'Control Panel'!N9)))</f>
        <v>-0.91779999999999995</v>
      </c>
      <c r="O10" s="22">
        <f>IF($K10="","",IF(O$4="","",IF('Control Panel'!O9="",VLOOKUP($F10,'Table Output'!$A:$BW,MATCH(O$4,'Table Output'!$A$1:$BT$1,0),),'Control Panel'!O9)))</f>
        <v>0.95353869999999996</v>
      </c>
      <c r="P10" s="22">
        <f>IF($K10="","",IF(P$4="","",IF('Control Panel'!P9="",VLOOKUP($F10,'Table Output'!$A:$BW,MATCH(P$4,'Table Output'!$A$1:$BT$1,0),),'Control Panel'!P9)))</f>
        <v>8.3180619999999994</v>
      </c>
      <c r="Q10" s="22" t="str">
        <f>IF($K10="","",IF(Q$4="","",IF('Control Panel'!Q9="",VLOOKUP($F10,'Table Output'!$A:$BW,MATCH(Q$4,'Table Output'!$A$1:$BT$1,0),),'Control Panel'!Q9)))</f>
        <v/>
      </c>
      <c r="R10" s="22" t="str">
        <f>IF($K10="","",IF(R$4="","",IF('Control Panel'!R9="",VLOOKUP($F10,'Table Output'!$A:$BW,MATCH(R$4,'Table Output'!$A$1:$BT$1,0),),'Control Panel'!R9)))</f>
        <v/>
      </c>
      <c r="S10" s="22" t="str">
        <f>IF($K10="","",IF(S$4="","",IF('Control Panel'!S9="",VLOOKUP($F10,'Table Output'!$A:$BW,MATCH(S$4,'Table Output'!$A$1:$BT$1,0),),'Control Panel'!S9)))</f>
        <v/>
      </c>
      <c r="T10" s="22" t="str">
        <f>IF($K10="","",IF(T$4="","",IF('Control Panel'!T9="",VLOOKUP($F10,'Table Output'!$A:$BW,MATCH(T$4,'Table Output'!$A$1:$BT$1,0),),'Control Panel'!T9)))</f>
        <v/>
      </c>
      <c r="U10" s="22" t="str">
        <f>IF($K10="","",IF(U$4="","",IF('Control Panel'!U9="",VLOOKUP($F10,'Table Output'!$A:$BW,MATCH(U$4,'Table Output'!$A$1:$BT$1,0),),'Control Panel'!U9)))</f>
        <v/>
      </c>
      <c r="W10" s="22">
        <f>IF($K10="","",IF('Control Panel'!W9="",VLOOKUP($F10,'Table Output'!$A$2:$BW$99998,MATCH(W$4,'Table Output'!$A$1:$BT$1,0),),'Control Panel'!W9))</f>
        <v>0</v>
      </c>
      <c r="X10" s="22">
        <f>IF($K10="","",IF('Control Panel'!X9="",VLOOKUP($F10,'Table Output'!$A$2:$BW$99998,MATCH(X$4,'Table Output'!$A$1:$BT$1,0),),'Control Panel'!X9))</f>
        <v>1</v>
      </c>
      <c r="Y10" s="22">
        <f>IF($K10="","",IF('Control Panel'!Y9="",VLOOKUP($F10,'Table Output'!$A$2:$BW$99998,MATCH(Y$4,'Table Output'!$A$1:$BT$1,0),),'Control Panel'!Y9))</f>
        <v>1</v>
      </c>
      <c r="Z10" s="22">
        <f>IF($K10="","",IF('Control Panel'!Z9="",VLOOKUP($F10,'Table Output'!$A$2:$BW$99998,MATCH(Z$4,'Table Output'!$A$1:$BT$1,0),),'Control Panel'!Z9))</f>
        <v>0</v>
      </c>
      <c r="AA10" s="22">
        <f>IF($K10="","",IF('Control Panel'!AA9="",VLOOKUP($F10,'Table Output'!$A$2:$BW$99998,MATCH(AA$4,'Table Output'!$A$1:$BT$1,0),),'Control Panel'!AA9))</f>
        <v>0</v>
      </c>
      <c r="AB10" s="22">
        <f>IF($K10="","",IF('Control Panel'!AB9="",VLOOKUP($F10,'Table Output'!$A$2:$BW$99998,MATCH(AB$4,'Table Output'!$A$1:$BT$1,0),),'Control Panel'!AB9))</f>
        <v>1</v>
      </c>
      <c r="AC10" s="22">
        <f>IF($K10="","",IF('Control Panel'!AC9="",VLOOKUP($F10,'Table Output'!$A$2:$BW$99998,MATCH(AC$4,'Table Output'!$A$1:$BT$1,0),),'Control Panel'!AC9))</f>
        <v>0</v>
      </c>
      <c r="AD10" s="22">
        <f>IF($K10="","",IF('Control Panel'!AD9="",VLOOKUP($F10,'Table Output'!$A$2:$BW$99998,MATCH(AD$4,'Table Output'!$A$1:$BT$1,0),),'Control Panel'!AD9))</f>
        <v>0</v>
      </c>
      <c r="AE10" s="22">
        <f>IF($K10="","",IF('Control Panel'!AE9="",VLOOKUP($F10,'Table Output'!$A$2:$BW$99998,MATCH(AE$4,'Table Output'!$A$1:$BT$1,0),),'Control Panel'!AE9))</f>
        <v>1</v>
      </c>
      <c r="AF10" s="22">
        <f>IF($K10="","",IF('Control Panel'!AF9="",VLOOKUP($F10,'Table Output'!$A$2:$BW$99998,MATCH(AF$4,'Table Output'!$A$1:$BT$1,0),),'Control Panel'!AF9))</f>
        <v>1</v>
      </c>
      <c r="AG10" s="22">
        <f>IF($K10="","",IF('Control Panel'!AG9="",VLOOKUP($F10,'Table Output'!$A$2:$BW$99998,MATCH(AG$4,'Table Output'!$A$1:$BT$1,0),),'Control Panel'!AG9))</f>
        <v>1</v>
      </c>
      <c r="AH10" s="22">
        <f>IF($K10="","",IF('Control Panel'!AH9="",VLOOKUP($F10,'Table Output'!$A$2:$BW$99998,MATCH(AH$4,'Table Output'!$A$1:$BT$1,0),),'Control Panel'!AH9))</f>
        <v>1</v>
      </c>
      <c r="AI10" s="22">
        <f>IF($K10="","",IF('Control Panel'!AI9="",VLOOKUP($F10,'Table Output'!$A$2:$BW$99998,MATCH(AI$4,'Table Output'!$A$1:$BT$1,0),),'Control Panel'!AI9))</f>
        <v>0</v>
      </c>
      <c r="AJ10" s="22">
        <f>IF($K10="","",IF('Control Panel'!AJ9="",VLOOKUP($F10,'Table Output'!$A$2:$BW$99998,MATCH(AJ$4,'Table Output'!$A$1:$BT$1,0),),'Control Panel'!AJ9))</f>
        <v>1</v>
      </c>
      <c r="AK10" s="22">
        <f>IF($K10="","",IF('Control Panel'!AK9="",VLOOKUP($F10,'Table Output'!$A$2:$BW$99998,MATCH(AK$4,'Table Output'!$A$1:$BT$1,0),),'Control Panel'!AK9))</f>
        <v>0</v>
      </c>
      <c r="AL10" s="22">
        <f>IF($K10="","",IF('Control Panel'!AL9="",VLOOKUP($F10,'Table Output'!$A$2:$BW$99998,MATCH(AL$4,'Table Output'!$A$1:$BT$1,0),),'Control Panel'!AL9))</f>
        <v>0</v>
      </c>
      <c r="AN10" s="35">
        <f t="shared" si="0"/>
        <v>6</v>
      </c>
      <c r="AO10" s="32">
        <f>IF(AO$4="","",IF($K10="","",IF('Control Panel'!AO9="",VLOOKUP($F10,'Table Output'!$A$2:$BW$99998,MATCH(AO$4,'Table Output'!$A$1:$BT$1,0),FALSE),'Control Panel'!AO9)))</f>
        <v>1</v>
      </c>
      <c r="AP10" s="32" t="str">
        <f>IF(AP$4="","",IF($K10="","",IF('Control Panel'!AP9="",VLOOKUP($F10,'Table Output'!$A$2:$BW$99998,MATCH(AP$4,'Table Output'!$A$1:$BT$1,0),FALSE),'Control Panel'!AP9)))</f>
        <v/>
      </c>
      <c r="AQ10" s="32" t="str">
        <f>IF(AQ$4="","",IF($K10="","",IF('Control Panel'!AQ9="",VLOOKUP($F10,'Table Output'!$A$2:$BW$99998,MATCH(AQ$4,'Table Output'!$A$1:$BT$1,0),FALSE),'Control Panel'!AQ9)))</f>
        <v/>
      </c>
      <c r="AR10" s="32" t="str">
        <f>IF(AR$4="","",IF($K10="","",IF('Control Panel'!AR9="",VLOOKUP($F10,'Table Output'!$A$2:$BW$99998,MATCH(AR$4,'Table Output'!$A$1:$BT$1,0),FALSE),'Control Panel'!AR9)))</f>
        <v/>
      </c>
      <c r="AS10" s="32" t="str">
        <f>IF(AS$4="","",IF($K10="","",IF('Control Panel'!AS9="",VLOOKUP($F10,'Table Output'!$A$2:$BW$99998,MATCH(AS$4,'Table Output'!$A$1:$BT$1,0),FALSE),'Control Panel'!AS9)))</f>
        <v/>
      </c>
      <c r="AT10" s="32" t="str">
        <f>IF(AT$4="","",IF($K10="","",IF('Control Panel'!AT9="",VLOOKUP($F10,'Table Output'!$A$2:$BW$99998,MATCH(AT$4,'Table Output'!$A$1:$BT$1,0),FALSE),'Control Panel'!AT9)))</f>
        <v/>
      </c>
      <c r="AU10" s="32" t="str">
        <f>IF(AU$4="","",IF($K10="","",IF('Control Panel'!AU9="",VLOOKUP($F10,'Table Output'!$A$2:$BW$99998,MATCH(AU$4,'Table Output'!$A$1:$BT$1,0),FALSE),'Control Panel'!AU9)))</f>
        <v/>
      </c>
      <c r="AV10" s="32" t="str">
        <f>IF(AV$4="","",IF($K10="","",IF('Control Panel'!AV9="",VLOOKUP($F10,'Table Output'!$A$2:$BW$99998,MATCH(AV$4,'Table Output'!$A$1:$BT$1,0),FALSE),'Control Panel'!AV9)))</f>
        <v/>
      </c>
      <c r="AW10" s="32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Cowden_Clay</v>
      </c>
      <c r="G11" s="2" t="str">
        <f>IF(E11=1,IF('Control Panel'!G10="","",'Control Panel'!G10),"")</f>
        <v>PISA</v>
      </c>
      <c r="H11" s="2" t="str">
        <f>IF(E11=1,IF('Control Panel'!H10="","",'Control Panel'!H10),"")</f>
        <v>NA</v>
      </c>
      <c r="I11" s="2">
        <f>IF(E11=1,IF('Control Panel'!I10="","",'Control Panel'!I10),"")</f>
        <v>0</v>
      </c>
      <c r="J11" s="2" t="str">
        <f>IF(E11=1,IF('Control Panel'!J10="","",'Control Panel'!J10),"")</f>
        <v>Loc_69_Clay_2</v>
      </c>
      <c r="K11" s="26">
        <f>IF(E11=1,IF('Control Panel'!K10="","",'Control Panel'!K10),"")</f>
        <v>7</v>
      </c>
      <c r="L11" s="22">
        <f>IF($K11="","",IF(L$4="","",IF('Control Panel'!L10="",VLOOKUP($F11,'Table Output'!$A:$BW,MATCH(L$4,'Table Output'!$A$1:$BT$1,0),),'Control Panel'!L10)))</f>
        <v>200</v>
      </c>
      <c r="M11" s="22">
        <f>IF($K11="","",IF(M$4="","",IF('Control Panel'!M10="",VLOOKUP($F11,'Table Output'!$A:$BW,MATCH(M$4,'Table Output'!$A$1:$BT$1,0),),'Control Panel'!M10)))</f>
        <v>10.210000000000001</v>
      </c>
      <c r="N11" s="22">
        <f>IF($K11="","",IF(N$4="","",IF('Control Panel'!N10="",VLOOKUP($F11,'Table Output'!$A:$BW,MATCH(N$4,'Table Output'!$A$1:$BT$1,0),),'Control Panel'!N10)))</f>
        <v>-1.1000000000000001</v>
      </c>
      <c r="O11" s="22">
        <f>IF($K11="","",IF(O$4="","",IF('Control Panel'!O10="",VLOOKUP($F11,'Table Output'!$A:$BW,MATCH(O$4,'Table Output'!$A$1:$BT$1,0),),'Control Panel'!O10)))</f>
        <v>-0.05</v>
      </c>
      <c r="P11" s="22">
        <f>IF($K11="","",IF(P$4="","",IF('Control Panel'!P10="",VLOOKUP($F11,'Table Output'!$A:$BW,MATCH(P$4,'Table Output'!$A$1:$BT$1,0),),'Control Panel'!P10)))</f>
        <v>8.1199999999999992</v>
      </c>
      <c r="Q11" s="22" t="str">
        <f>IF($K11="","",IF(Q$4="","",IF('Control Panel'!Q10="",VLOOKUP($F11,'Table Output'!$A:$BW,MATCH(Q$4,'Table Output'!$A$1:$BT$1,0),),'Control Panel'!Q10)))</f>
        <v/>
      </c>
      <c r="R11" s="22" t="str">
        <f>IF($K11="","",IF(R$4="","",IF('Control Panel'!R10="",VLOOKUP($F11,'Table Output'!$A:$BW,MATCH(R$4,'Table Output'!$A$1:$BT$1,0),),'Control Panel'!R10)))</f>
        <v/>
      </c>
      <c r="S11" s="22" t="str">
        <f>IF($K11="","",IF(S$4="","",IF('Control Panel'!S10="",VLOOKUP($F11,'Table Output'!$A:$BW,MATCH(S$4,'Table Output'!$A$1:$BT$1,0),),'Control Panel'!S10)))</f>
        <v/>
      </c>
      <c r="T11" s="22" t="str">
        <f>IF($K11="","",IF(T$4="","",IF('Control Panel'!T10="",VLOOKUP($F11,'Table Output'!$A:$BW,MATCH(T$4,'Table Output'!$A$1:$BT$1,0),),'Control Panel'!T10)))</f>
        <v/>
      </c>
      <c r="U11" s="22" t="str">
        <f>IF($K11="","",IF(U$4="","",IF('Control Panel'!U10="",VLOOKUP($F11,'Table Output'!$A:$BW,MATCH(U$4,'Table Output'!$A$1:$BT$1,0),),'Control Panel'!U10)))</f>
        <v/>
      </c>
      <c r="W11" s="22">
        <f>IF($K11="","",IF('Control Panel'!W10="",VLOOKUP($F11,'Table Output'!$A$2:$BW$99998,MATCH(W$4,'Table Output'!$A$1:$BT$1,0),),'Control Panel'!W10))</f>
        <v>0</v>
      </c>
      <c r="X11" s="22">
        <f>IF($K11="","",IF('Control Panel'!X10="",VLOOKUP($F11,'Table Output'!$A$2:$BW$99998,MATCH(X$4,'Table Output'!$A$1:$BT$1,0),),'Control Panel'!X10))</f>
        <v>2</v>
      </c>
      <c r="Y11" s="22">
        <f>IF($K11="","",IF('Control Panel'!Y10="",VLOOKUP($F11,'Table Output'!$A$2:$BW$99998,MATCH(Y$4,'Table Output'!$A$1:$BT$1,0),),'Control Panel'!Y10))</f>
        <v>1</v>
      </c>
      <c r="Z11" s="22">
        <f>IF($K11="","",IF('Control Panel'!Z10="",VLOOKUP($F11,'Table Output'!$A$2:$BW$99998,MATCH(Z$4,'Table Output'!$A$1:$BT$1,0),),'Control Panel'!Z10))</f>
        <v>1</v>
      </c>
      <c r="AA11" s="22">
        <f>IF($K11="","",IF('Control Panel'!AA10="",VLOOKUP($F11,'Table Output'!$A$2:$BW$99998,MATCH(AA$4,'Table Output'!$A$1:$BT$1,0),),'Control Panel'!AA10))</f>
        <v>0</v>
      </c>
      <c r="AB11" s="22">
        <f>IF($K11="","",IF('Control Panel'!AB10="",VLOOKUP($F11,'Table Output'!$A$2:$BW$99998,MATCH(AB$4,'Table Output'!$A$1:$BT$1,0),),'Control Panel'!AB10))</f>
        <v>1</v>
      </c>
      <c r="AC11" s="22">
        <f>IF($K11="","",IF('Control Panel'!AC10="",VLOOKUP($F11,'Table Output'!$A$2:$BW$99998,MATCH(AC$4,'Table Output'!$A$1:$BT$1,0),),'Control Panel'!AC10))</f>
        <v>1</v>
      </c>
      <c r="AD11" s="22">
        <f>IF($K11="","",IF('Control Panel'!AD10="",VLOOKUP($F11,'Table Output'!$A$2:$BW$99998,MATCH(AD$4,'Table Output'!$A$1:$BT$1,0),),'Control Panel'!AD10))</f>
        <v>0</v>
      </c>
      <c r="AE11" s="22">
        <f>IF($K11="","",IF('Control Panel'!AE10="",VLOOKUP($F11,'Table Output'!$A$2:$BW$99998,MATCH(AE$4,'Table Output'!$A$1:$BT$1,0),),'Control Panel'!AE10))</f>
        <v>0</v>
      </c>
      <c r="AF11" s="22">
        <f>IF($K11="","",IF('Control Panel'!AF10="",VLOOKUP($F11,'Table Output'!$A$2:$BW$99998,MATCH(AF$4,'Table Output'!$A$1:$BT$1,0),),'Control Panel'!AF10))</f>
        <v>1</v>
      </c>
      <c r="AG11" s="22">
        <f>IF($K11="","",IF('Control Panel'!AG10="",VLOOKUP($F11,'Table Output'!$A$2:$BW$99998,MATCH(AG$4,'Table Output'!$A$1:$BT$1,0),),'Control Panel'!AG10))</f>
        <v>1</v>
      </c>
      <c r="AH11" s="22">
        <f>IF($K11="","",IF('Control Panel'!AH10="",VLOOKUP($F11,'Table Output'!$A$2:$BW$99998,MATCH(AH$4,'Table Output'!$A$1:$BT$1,0),),'Control Panel'!AH10))</f>
        <v>1</v>
      </c>
      <c r="AI11" s="22">
        <f>IF($K11="","",IF('Control Panel'!AI10="",VLOOKUP($F11,'Table Output'!$A$2:$BW$99998,MATCH(AI$4,'Table Output'!$A$1:$BT$1,0),),'Control Panel'!AI10))</f>
        <v>0</v>
      </c>
      <c r="AJ11" s="22">
        <f>IF($K11="","",IF('Control Panel'!AJ10="",VLOOKUP($F11,'Table Output'!$A$2:$BW$99998,MATCH(AJ$4,'Table Output'!$A$1:$BT$1,0),),'Control Panel'!AJ10))</f>
        <v>1</v>
      </c>
      <c r="AK11" s="22">
        <f>IF($K11="","",IF('Control Panel'!AK10="",VLOOKUP($F11,'Table Output'!$A$2:$BW$99998,MATCH(AK$4,'Table Output'!$A$1:$BT$1,0),),'Control Panel'!AK10))</f>
        <v>1</v>
      </c>
      <c r="AL11" s="22">
        <f>IF($K11="","",IF('Control Panel'!AL10="",VLOOKUP($F11,'Table Output'!$A$2:$BW$99998,MATCH(AL$4,'Table Output'!$A$1:$BT$1,0),),'Control Panel'!AL10))</f>
        <v>1</v>
      </c>
      <c r="AN11" s="35">
        <f t="shared" si="0"/>
        <v>7</v>
      </c>
      <c r="AO11" s="32">
        <f>IF(AO$4="","",IF($K11="","",IF('Control Panel'!AO10="",VLOOKUP($F11,'Table Output'!$A$2:$BW$99998,MATCH(AO$4,'Table Output'!$A$1:$BT$1,0),FALSE),'Control Panel'!AO10)))</f>
        <v>1</v>
      </c>
      <c r="AP11" s="32" t="str">
        <f>IF(AP$4="","",IF($K11="","",IF('Control Panel'!AP10="",VLOOKUP($F11,'Table Output'!$A$2:$BW$99998,MATCH(AP$4,'Table Output'!$A$1:$BT$1,0),FALSE),'Control Panel'!AP10)))</f>
        <v/>
      </c>
      <c r="AQ11" s="32" t="str">
        <f>IF(AQ$4="","",IF($K11="","",IF('Control Panel'!AQ10="",VLOOKUP($F11,'Table Output'!$A$2:$BW$99998,MATCH(AQ$4,'Table Output'!$A$1:$BT$1,0),FALSE),'Control Panel'!AQ10)))</f>
        <v/>
      </c>
      <c r="AR11" s="32" t="str">
        <f>IF(AR$4="","",IF($K11="","",IF('Control Panel'!AR10="",VLOOKUP($F11,'Table Output'!$A$2:$BW$99998,MATCH(AR$4,'Table Output'!$A$1:$BT$1,0),FALSE),'Control Panel'!AR10)))</f>
        <v/>
      </c>
      <c r="AS11" s="32" t="str">
        <f>IF(AS$4="","",IF($K11="","",IF('Control Panel'!AS10="",VLOOKUP($F11,'Table Output'!$A$2:$BW$99998,MATCH(AS$4,'Table Output'!$A$1:$BT$1,0),FALSE),'Control Panel'!AS10)))</f>
        <v/>
      </c>
      <c r="AT11" s="32" t="str">
        <f>IF(AT$4="","",IF($K11="","",IF('Control Panel'!AT10="",VLOOKUP($F11,'Table Output'!$A$2:$BW$99998,MATCH(AT$4,'Table Output'!$A$1:$BT$1,0),FALSE),'Control Panel'!AT10)))</f>
        <v/>
      </c>
      <c r="AU11" s="32" t="str">
        <f>IF(AU$4="","",IF($K11="","",IF('Control Panel'!AU10="",VLOOKUP($F11,'Table Output'!$A$2:$BW$99998,MATCH(AU$4,'Table Output'!$A$1:$BT$1,0),FALSE),'Control Panel'!AU10)))</f>
        <v/>
      </c>
      <c r="AV11" s="32" t="str">
        <f>IF(AV$4="","",IF($K11="","",IF('Control Panel'!AV10="",VLOOKUP($F11,'Table Output'!$A$2:$BW$99998,MATCH(AV$4,'Table Output'!$A$1:$BT$1,0),FALSE),'Control Panel'!AV10)))</f>
        <v/>
      </c>
      <c r="AW11" s="32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Sand_80</v>
      </c>
      <c r="G12" s="2" t="str">
        <f>IF(E12=1,IF('Control Panel'!G11="","",'Control Panel'!G11),"")</f>
        <v>PISA</v>
      </c>
      <c r="H12" s="2" t="str">
        <f>IF(E12=1,IF('Control Panel'!H11="","",'Control Panel'!H11),"")</f>
        <v>NA</v>
      </c>
      <c r="I12" s="2">
        <f>IF(E12=1,IF('Control Panel'!I11="","",'Control Panel'!I11),"")</f>
        <v>1</v>
      </c>
      <c r="J12" s="2" t="str">
        <f>IF(E12=1,IF('Control Panel'!J11="","",'Control Panel'!J11),"")</f>
        <v>Loc_69_Sand_6</v>
      </c>
      <c r="K12" s="26">
        <f>IF(E12=1,IF('Control Panel'!K11="","",'Control Panel'!K11),"")</f>
        <v>8</v>
      </c>
      <c r="L12" s="22">
        <f>IF($K12="","",IF(L$4="","",IF('Control Panel'!L11="",VLOOKUP($F12,'Table Output'!$A:$BW,MATCH(L$4,'Table Output'!$A$1:$BT$1,0),),'Control Panel'!L11)))</f>
        <v>72.412000000000006</v>
      </c>
      <c r="M12" s="22">
        <f>IF($K12="","",IF(M$4="","",IF('Control Panel'!M11="",VLOOKUP($F12,'Table Output'!$A:$BW,MATCH(M$4,'Table Output'!$A$1:$BT$1,0),),'Control Panel'!M11)))</f>
        <v>-6.7824999999999998</v>
      </c>
      <c r="N12" s="22">
        <f>IF($K12="","",IF(N$4="","",IF('Control Panel'!N11="",VLOOKUP($F12,'Table Output'!$A:$BW,MATCH(N$4,'Table Output'!$A$1:$BT$1,0),),'Control Panel'!N11)))</f>
        <v>-0.91779999999999995</v>
      </c>
      <c r="O12" s="22">
        <f>IF($K12="","",IF(O$4="","",IF('Control Panel'!O11="",VLOOKUP($F12,'Table Output'!$A:$BW,MATCH(O$4,'Table Output'!$A$1:$BT$1,0),),'Control Panel'!O11)))</f>
        <v>0.96654399999999996</v>
      </c>
      <c r="P12" s="22">
        <f>IF($K12="","",IF(P$4="","",IF('Control Panel'!P11="",VLOOKUP($F12,'Table Output'!$A:$BW,MATCH(P$4,'Table Output'!$A$1:$BT$1,0),),'Control Panel'!P11)))</f>
        <v>8.1714400000000005</v>
      </c>
      <c r="Q12" s="22" t="str">
        <f>IF($K12="","",IF(Q$4="","",IF('Control Panel'!Q11="",VLOOKUP($F12,'Table Output'!$A:$BW,MATCH(Q$4,'Table Output'!$A$1:$BT$1,0),),'Control Panel'!Q11)))</f>
        <v/>
      </c>
      <c r="R12" s="22" t="str">
        <f>IF($K12="","",IF(R$4="","",IF('Control Panel'!R11="",VLOOKUP($F12,'Table Output'!$A:$BW,MATCH(R$4,'Table Output'!$A$1:$BT$1,0),),'Control Panel'!R11)))</f>
        <v/>
      </c>
      <c r="S12" s="22" t="str">
        <f>IF($K12="","",IF(S$4="","",IF('Control Panel'!S11="",VLOOKUP($F12,'Table Output'!$A:$BW,MATCH(S$4,'Table Output'!$A$1:$BT$1,0),),'Control Panel'!S11)))</f>
        <v/>
      </c>
      <c r="T12" s="22" t="str">
        <f>IF($K12="","",IF(T$4="","",IF('Control Panel'!T11="",VLOOKUP($F12,'Table Output'!$A:$BW,MATCH(T$4,'Table Output'!$A$1:$BT$1,0),),'Control Panel'!T11)))</f>
        <v/>
      </c>
      <c r="U12" s="22" t="str">
        <f>IF($K12="","",IF(U$4="","",IF('Control Panel'!U11="",VLOOKUP($F12,'Table Output'!$A:$BW,MATCH(U$4,'Table Output'!$A$1:$BT$1,0),),'Control Panel'!U11)))</f>
        <v/>
      </c>
      <c r="W12" s="22">
        <f>IF($K12="","",IF('Control Panel'!W11="",VLOOKUP($F12,'Table Output'!$A$2:$BW$99998,MATCH(W$4,'Table Output'!$A$1:$BT$1,0),),'Control Panel'!W11))</f>
        <v>0</v>
      </c>
      <c r="X12" s="22">
        <f>IF($K12="","",IF('Control Panel'!X11="",VLOOKUP($F12,'Table Output'!$A$2:$BW$99998,MATCH(X$4,'Table Output'!$A$1:$BT$1,0),),'Control Panel'!X11))</f>
        <v>1</v>
      </c>
      <c r="Y12" s="22">
        <f>IF($K12="","",IF('Control Panel'!Y11="",VLOOKUP($F12,'Table Output'!$A$2:$BW$99998,MATCH(Y$4,'Table Output'!$A$1:$BT$1,0),),'Control Panel'!Y11))</f>
        <v>1</v>
      </c>
      <c r="Z12" s="22">
        <f>IF($K12="","",IF('Control Panel'!Z11="",VLOOKUP($F12,'Table Output'!$A$2:$BW$99998,MATCH(Z$4,'Table Output'!$A$1:$BT$1,0),),'Control Panel'!Z11))</f>
        <v>0</v>
      </c>
      <c r="AA12" s="22">
        <f>IF($K12="","",IF('Control Panel'!AA11="",VLOOKUP($F12,'Table Output'!$A$2:$BW$99998,MATCH(AA$4,'Table Output'!$A$1:$BT$1,0),),'Control Panel'!AA11))</f>
        <v>0</v>
      </c>
      <c r="AB12" s="22">
        <f>IF($K12="","",IF('Control Panel'!AB11="",VLOOKUP($F12,'Table Output'!$A$2:$BW$99998,MATCH(AB$4,'Table Output'!$A$1:$BT$1,0),),'Control Panel'!AB11))</f>
        <v>1</v>
      </c>
      <c r="AC12" s="22">
        <f>IF($K12="","",IF('Control Panel'!AC11="",VLOOKUP($F12,'Table Output'!$A$2:$BW$99998,MATCH(AC$4,'Table Output'!$A$1:$BT$1,0),),'Control Panel'!AC11))</f>
        <v>0</v>
      </c>
      <c r="AD12" s="22">
        <f>IF($K12="","",IF('Control Panel'!AD11="",VLOOKUP($F12,'Table Output'!$A$2:$BW$99998,MATCH(AD$4,'Table Output'!$A$1:$BT$1,0),),'Control Panel'!AD11))</f>
        <v>0</v>
      </c>
      <c r="AE12" s="22">
        <f>IF($K12="","",IF('Control Panel'!AE11="",VLOOKUP($F12,'Table Output'!$A$2:$BW$99998,MATCH(AE$4,'Table Output'!$A$1:$BT$1,0),),'Control Panel'!AE11))</f>
        <v>1</v>
      </c>
      <c r="AF12" s="22">
        <f>IF($K12="","",IF('Control Panel'!AF11="",VLOOKUP($F12,'Table Output'!$A$2:$BW$99998,MATCH(AF$4,'Table Output'!$A$1:$BT$1,0),),'Control Panel'!AF11))</f>
        <v>1</v>
      </c>
      <c r="AG12" s="22">
        <f>IF($K12="","",IF('Control Panel'!AG11="",VLOOKUP($F12,'Table Output'!$A$2:$BW$99998,MATCH(AG$4,'Table Output'!$A$1:$BT$1,0),),'Control Panel'!AG11))</f>
        <v>1</v>
      </c>
      <c r="AH12" s="22">
        <f>IF($K12="","",IF('Control Panel'!AH11="",VLOOKUP($F12,'Table Output'!$A$2:$BW$99998,MATCH(AH$4,'Table Output'!$A$1:$BT$1,0),),'Control Panel'!AH11))</f>
        <v>1</v>
      </c>
      <c r="AI12" s="22">
        <f>IF($K12="","",IF('Control Panel'!AI11="",VLOOKUP($F12,'Table Output'!$A$2:$BW$99998,MATCH(AI$4,'Table Output'!$A$1:$BT$1,0),),'Control Panel'!AI11))</f>
        <v>0</v>
      </c>
      <c r="AJ12" s="22">
        <f>IF($K12="","",IF('Control Panel'!AJ11="",VLOOKUP($F12,'Table Output'!$A$2:$BW$99998,MATCH(AJ$4,'Table Output'!$A$1:$BT$1,0),),'Control Panel'!AJ11))</f>
        <v>1</v>
      </c>
      <c r="AK12" s="22">
        <f>IF($K12="","",IF('Control Panel'!AK11="",VLOOKUP($F12,'Table Output'!$A$2:$BW$99998,MATCH(AK$4,'Table Output'!$A$1:$BT$1,0),),'Control Panel'!AK11))</f>
        <v>0</v>
      </c>
      <c r="AL12" s="22">
        <f>IF($K12="","",IF('Control Panel'!AL11="",VLOOKUP($F12,'Table Output'!$A$2:$BW$99998,MATCH(AL$4,'Table Output'!$A$1:$BT$1,0),),'Control Panel'!AL11))</f>
        <v>0</v>
      </c>
      <c r="AN12" s="35">
        <f t="shared" si="0"/>
        <v>8</v>
      </c>
      <c r="AO12" s="32">
        <f>IF(AO$4="","",IF($K12="","",IF('Control Panel'!AO11="",VLOOKUP($F12,'Table Output'!$A$2:$BW$99998,MATCH(AO$4,'Table Output'!$A$1:$BT$1,0),FALSE),'Control Panel'!AO11)))</f>
        <v>1</v>
      </c>
      <c r="AP12" s="32" t="str">
        <f>IF(AP$4="","",IF($K12="","",IF('Control Panel'!AP11="",VLOOKUP($F12,'Table Output'!$A$2:$BW$99998,MATCH(AP$4,'Table Output'!$A$1:$BT$1,0),FALSE),'Control Panel'!AP11)))</f>
        <v/>
      </c>
      <c r="AQ12" s="32" t="str">
        <f>IF(AQ$4="","",IF($K12="","",IF('Control Panel'!AQ11="",VLOOKUP($F12,'Table Output'!$A$2:$BW$99998,MATCH(AQ$4,'Table Output'!$A$1:$BT$1,0),FALSE),'Control Panel'!AQ11)))</f>
        <v/>
      </c>
      <c r="AR12" s="32" t="str">
        <f>IF(AR$4="","",IF($K12="","",IF('Control Panel'!AR11="",VLOOKUP($F12,'Table Output'!$A$2:$BW$99998,MATCH(AR$4,'Table Output'!$A$1:$BT$1,0),FALSE),'Control Panel'!AR11)))</f>
        <v/>
      </c>
      <c r="AS12" s="32" t="str">
        <f>IF(AS$4="","",IF($K12="","",IF('Control Panel'!AS11="",VLOOKUP($F12,'Table Output'!$A$2:$BW$99998,MATCH(AS$4,'Table Output'!$A$1:$BT$1,0),FALSE),'Control Panel'!AS11)))</f>
        <v/>
      </c>
      <c r="AT12" s="32" t="str">
        <f>IF(AT$4="","",IF($K12="","",IF('Control Panel'!AT11="",VLOOKUP($F12,'Table Output'!$A$2:$BW$99998,MATCH(AT$4,'Table Output'!$A$1:$BT$1,0),FALSE),'Control Panel'!AT11)))</f>
        <v/>
      </c>
      <c r="AU12" s="32" t="str">
        <f>IF(AU$4="","",IF($K12="","",IF('Control Panel'!AU11="",VLOOKUP($F12,'Table Output'!$A$2:$BW$99998,MATCH(AU$4,'Table Output'!$A$1:$BT$1,0),FALSE),'Control Panel'!AU11)))</f>
        <v/>
      </c>
      <c r="AV12" s="32" t="str">
        <f>IF(AV$4="","",IF($K12="","",IF('Control Panel'!AV11="",VLOOKUP($F12,'Table Output'!$A$2:$BW$99998,MATCH(AV$4,'Table Output'!$A$1:$BT$1,0),FALSE),'Control Panel'!AV11)))</f>
        <v/>
      </c>
      <c r="AW12" s="32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Sand_80</v>
      </c>
      <c r="G13" s="2" t="str">
        <f>IF(E13=1,IF('Control Panel'!G12="","",'Control Panel'!G12),"")</f>
        <v>PISA</v>
      </c>
      <c r="H13" s="2" t="str">
        <f>IF(E13=1,IF('Control Panel'!H12="","",'Control Panel'!H12),"")</f>
        <v>NA</v>
      </c>
      <c r="I13" s="2">
        <f>IF(E13=1,IF('Control Panel'!I12="","",'Control Panel'!I12),"")</f>
        <v>1</v>
      </c>
      <c r="J13" s="2" t="str">
        <f>IF(E13=1,IF('Control Panel'!J12="","",'Control Panel'!J12),"")</f>
        <v>Loc_69_Sand_7</v>
      </c>
      <c r="K13" s="26">
        <f>IF(E13=1,IF('Control Panel'!K12="","",'Control Panel'!K12),"")</f>
        <v>9</v>
      </c>
      <c r="L13" s="22">
        <f>IF($K13="","",IF(L$4="","",IF('Control Panel'!L12="",VLOOKUP($F13,'Table Output'!$A:$BW,MATCH(L$4,'Table Output'!$A$1:$BT$1,0),),'Control Panel'!L12)))</f>
        <v>72.412000000000006</v>
      </c>
      <c r="M13" s="22">
        <f>IF($K13="","",IF(M$4="","",IF('Control Panel'!M12="",VLOOKUP($F13,'Table Output'!$A:$BW,MATCH(M$4,'Table Output'!$A$1:$BT$1,0),),'Control Panel'!M12)))</f>
        <v>-6.7824999999999998</v>
      </c>
      <c r="N13" s="22">
        <f>IF($K13="","",IF(N$4="","",IF('Control Panel'!N12="",VLOOKUP($F13,'Table Output'!$A:$BW,MATCH(N$4,'Table Output'!$A$1:$BT$1,0),),'Control Panel'!N12)))</f>
        <v>-0.91779999999999995</v>
      </c>
      <c r="O13" s="22">
        <f>IF($K13="","",IF(O$4="","",IF('Control Panel'!O12="",VLOOKUP($F13,'Table Output'!$A:$BW,MATCH(O$4,'Table Output'!$A$1:$BT$1,0),),'Control Panel'!O12)))</f>
        <v>0.96654399999999996</v>
      </c>
      <c r="P13" s="22">
        <f>IF($K13="","",IF(P$4="","",IF('Control Panel'!P12="",VLOOKUP($F13,'Table Output'!$A:$BW,MATCH(P$4,'Table Output'!$A$1:$BT$1,0),),'Control Panel'!P12)))</f>
        <v>8.1714400000000005</v>
      </c>
      <c r="Q13" s="22" t="str">
        <f>IF($K13="","",IF(Q$4="","",IF('Control Panel'!Q12="",VLOOKUP($F13,'Table Output'!$A:$BW,MATCH(Q$4,'Table Output'!$A$1:$BT$1,0),),'Control Panel'!Q12)))</f>
        <v/>
      </c>
      <c r="R13" s="22" t="str">
        <f>IF($K13="","",IF(R$4="","",IF('Control Panel'!R12="",VLOOKUP($F13,'Table Output'!$A:$BW,MATCH(R$4,'Table Output'!$A$1:$BT$1,0),),'Control Panel'!R12)))</f>
        <v/>
      </c>
      <c r="S13" s="22" t="str">
        <f>IF($K13="","",IF(S$4="","",IF('Control Panel'!S12="",VLOOKUP($F13,'Table Output'!$A:$BW,MATCH(S$4,'Table Output'!$A$1:$BT$1,0),),'Control Panel'!S12)))</f>
        <v/>
      </c>
      <c r="T13" s="22" t="str">
        <f>IF($K13="","",IF(T$4="","",IF('Control Panel'!T12="",VLOOKUP($F13,'Table Output'!$A:$BW,MATCH(T$4,'Table Output'!$A$1:$BT$1,0),),'Control Panel'!T12)))</f>
        <v/>
      </c>
      <c r="U13" s="22" t="str">
        <f>IF($K13="","",IF(U$4="","",IF('Control Panel'!U12="",VLOOKUP($F13,'Table Output'!$A:$BW,MATCH(U$4,'Table Output'!$A$1:$BT$1,0),),'Control Panel'!U12)))</f>
        <v/>
      </c>
      <c r="W13" s="22">
        <f>IF($K13="","",IF('Control Panel'!W12="",VLOOKUP($F13,'Table Output'!$A$2:$BW$99998,MATCH(W$4,'Table Output'!$A$1:$BT$1,0),),'Control Panel'!W12))</f>
        <v>0</v>
      </c>
      <c r="X13" s="22">
        <f>IF($K13="","",IF('Control Panel'!X12="",VLOOKUP($F13,'Table Output'!$A$2:$BW$99998,MATCH(X$4,'Table Output'!$A$1:$BT$1,0),),'Control Panel'!X12))</f>
        <v>1</v>
      </c>
      <c r="Y13" s="22">
        <f>IF($K13="","",IF('Control Panel'!Y12="",VLOOKUP($F13,'Table Output'!$A$2:$BW$99998,MATCH(Y$4,'Table Output'!$A$1:$BT$1,0),),'Control Panel'!Y12))</f>
        <v>1</v>
      </c>
      <c r="Z13" s="22">
        <f>IF($K13="","",IF('Control Panel'!Z12="",VLOOKUP($F13,'Table Output'!$A$2:$BW$99998,MATCH(Z$4,'Table Output'!$A$1:$BT$1,0),),'Control Panel'!Z12))</f>
        <v>0</v>
      </c>
      <c r="AA13" s="22">
        <f>IF($K13="","",IF('Control Panel'!AA12="",VLOOKUP($F13,'Table Output'!$A$2:$BW$99998,MATCH(AA$4,'Table Output'!$A$1:$BT$1,0),),'Control Panel'!AA12))</f>
        <v>0</v>
      </c>
      <c r="AB13" s="22">
        <f>IF($K13="","",IF('Control Panel'!AB12="",VLOOKUP($F13,'Table Output'!$A$2:$BW$99998,MATCH(AB$4,'Table Output'!$A$1:$BT$1,0),),'Control Panel'!AB12))</f>
        <v>1</v>
      </c>
      <c r="AC13" s="22">
        <f>IF($K13="","",IF('Control Panel'!AC12="",VLOOKUP($F13,'Table Output'!$A$2:$BW$99998,MATCH(AC$4,'Table Output'!$A$1:$BT$1,0),),'Control Panel'!AC12))</f>
        <v>0</v>
      </c>
      <c r="AD13" s="22">
        <f>IF($K13="","",IF('Control Panel'!AD12="",VLOOKUP($F13,'Table Output'!$A$2:$BW$99998,MATCH(AD$4,'Table Output'!$A$1:$BT$1,0),),'Control Panel'!AD12))</f>
        <v>0</v>
      </c>
      <c r="AE13" s="22">
        <f>IF($K13="","",IF('Control Panel'!AE12="",VLOOKUP($F13,'Table Output'!$A$2:$BW$99998,MATCH(AE$4,'Table Output'!$A$1:$BT$1,0),),'Control Panel'!AE12))</f>
        <v>1</v>
      </c>
      <c r="AF13" s="22">
        <f>IF($K13="","",IF('Control Panel'!AF12="",VLOOKUP($F13,'Table Output'!$A$2:$BW$99998,MATCH(AF$4,'Table Output'!$A$1:$BT$1,0),),'Control Panel'!AF12))</f>
        <v>1</v>
      </c>
      <c r="AG13" s="22">
        <f>IF($K13="","",IF('Control Panel'!AG12="",VLOOKUP($F13,'Table Output'!$A$2:$BW$99998,MATCH(AG$4,'Table Output'!$A$1:$BT$1,0),),'Control Panel'!AG12))</f>
        <v>1</v>
      </c>
      <c r="AH13" s="22">
        <f>IF($K13="","",IF('Control Panel'!AH12="",VLOOKUP($F13,'Table Output'!$A$2:$BW$99998,MATCH(AH$4,'Table Output'!$A$1:$BT$1,0),),'Control Panel'!AH12))</f>
        <v>1</v>
      </c>
      <c r="AI13" s="22">
        <f>IF($K13="","",IF('Control Panel'!AI12="",VLOOKUP($F13,'Table Output'!$A$2:$BW$99998,MATCH(AI$4,'Table Output'!$A$1:$BT$1,0),),'Control Panel'!AI12))</f>
        <v>0</v>
      </c>
      <c r="AJ13" s="22">
        <f>IF($K13="","",IF('Control Panel'!AJ12="",VLOOKUP($F13,'Table Output'!$A$2:$BW$99998,MATCH(AJ$4,'Table Output'!$A$1:$BT$1,0),),'Control Panel'!AJ12))</f>
        <v>1</v>
      </c>
      <c r="AK13" s="22">
        <f>IF($K13="","",IF('Control Panel'!AK12="",VLOOKUP($F13,'Table Output'!$A$2:$BW$99998,MATCH(AK$4,'Table Output'!$A$1:$BT$1,0),),'Control Panel'!AK12))</f>
        <v>0</v>
      </c>
      <c r="AL13" s="22">
        <f>IF($K13="","",IF('Control Panel'!AL12="",VLOOKUP($F13,'Table Output'!$A$2:$BW$99998,MATCH(AL$4,'Table Output'!$A$1:$BT$1,0),),'Control Panel'!AL12))</f>
        <v>0</v>
      </c>
      <c r="AN13" s="35">
        <f t="shared" si="0"/>
        <v>9</v>
      </c>
      <c r="AO13" s="32">
        <f>IF(AO$4="","",IF($K13="","",IF('Control Panel'!AO12="",VLOOKUP($F13,'Table Output'!$A$2:$BW$99998,MATCH(AO$4,'Table Output'!$A$1:$BT$1,0),FALSE),'Control Panel'!AO12)))</f>
        <v>1</v>
      </c>
      <c r="AP13" s="32" t="str">
        <f>IF(AP$4="","",IF($K13="","",IF('Control Panel'!AP12="",VLOOKUP($F13,'Table Output'!$A$2:$BW$99998,MATCH(AP$4,'Table Output'!$A$1:$BT$1,0),FALSE),'Control Panel'!AP12)))</f>
        <v/>
      </c>
      <c r="AQ13" s="32" t="str">
        <f>IF(AQ$4="","",IF($K13="","",IF('Control Panel'!AQ12="",VLOOKUP($F13,'Table Output'!$A$2:$BW$99998,MATCH(AQ$4,'Table Output'!$A$1:$BT$1,0),FALSE),'Control Panel'!AQ12)))</f>
        <v/>
      </c>
      <c r="AR13" s="32" t="str">
        <f>IF(AR$4="","",IF($K13="","",IF('Control Panel'!AR12="",VLOOKUP($F13,'Table Output'!$A$2:$BW$99998,MATCH(AR$4,'Table Output'!$A$1:$BT$1,0),FALSE),'Control Panel'!AR12)))</f>
        <v/>
      </c>
      <c r="AS13" s="32" t="str">
        <f>IF(AS$4="","",IF($K13="","",IF('Control Panel'!AS12="",VLOOKUP($F13,'Table Output'!$A$2:$BW$99998,MATCH(AS$4,'Table Output'!$A$1:$BT$1,0),FALSE),'Control Panel'!AS12)))</f>
        <v/>
      </c>
      <c r="AT13" s="32" t="str">
        <f>IF(AT$4="","",IF($K13="","",IF('Control Panel'!AT12="",VLOOKUP($F13,'Table Output'!$A$2:$BW$99998,MATCH(AT$4,'Table Output'!$A$1:$BT$1,0),FALSE),'Control Panel'!AT12)))</f>
        <v/>
      </c>
      <c r="AU13" s="32" t="str">
        <f>IF(AU$4="","",IF($K13="","",IF('Control Panel'!AU12="",VLOOKUP($F13,'Table Output'!$A$2:$BW$99998,MATCH(AU$4,'Table Output'!$A$1:$BT$1,0),FALSE),'Control Panel'!AU12)))</f>
        <v/>
      </c>
      <c r="AV13" s="32" t="str">
        <f>IF(AV$4="","",IF($K13="","",IF('Control Panel'!AV12="",VLOOKUP($F13,'Table Output'!$A$2:$BW$99998,MATCH(AV$4,'Table Output'!$A$1:$BT$1,0),FALSE),'Control Panel'!AV12)))</f>
        <v/>
      </c>
      <c r="AW13" s="32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Sand_80</v>
      </c>
      <c r="G14" s="2" t="str">
        <f>IF(E14=1,IF('Control Panel'!G13="","",'Control Panel'!G13),"")</f>
        <v>PISA</v>
      </c>
      <c r="H14" s="2" t="str">
        <f>IF(E14=1,IF('Control Panel'!H13="","",'Control Panel'!H13),"")</f>
        <v>NA</v>
      </c>
      <c r="I14" s="2">
        <f>IF(E14=1,IF('Control Panel'!I13="","",'Control Panel'!I13),"")</f>
        <v>1</v>
      </c>
      <c r="J14" s="2" t="str">
        <f>IF(E14=1,IF('Control Panel'!J13="","",'Control Panel'!J13),"")</f>
        <v>Loc_69_Sand_8</v>
      </c>
      <c r="K14" s="26">
        <f>IF(E14=1,IF('Control Panel'!K13="","",'Control Panel'!K13),"")</f>
        <v>10</v>
      </c>
      <c r="L14" s="22">
        <f>IF($K14="","",IF(L$4="","",IF('Control Panel'!L13="",VLOOKUP($F14,'Table Output'!$A:$BW,MATCH(L$4,'Table Output'!$A$1:$BT$1,0),),'Control Panel'!L13)))</f>
        <v>72.412000000000006</v>
      </c>
      <c r="M14" s="22">
        <f>IF($K14="","",IF(M$4="","",IF('Control Panel'!M13="",VLOOKUP($F14,'Table Output'!$A:$BW,MATCH(M$4,'Table Output'!$A$1:$BT$1,0),),'Control Panel'!M13)))</f>
        <v>-6.7824999999999998</v>
      </c>
      <c r="N14" s="22">
        <f>IF($K14="","",IF(N$4="","",IF('Control Panel'!N13="",VLOOKUP($F14,'Table Output'!$A:$BW,MATCH(N$4,'Table Output'!$A$1:$BT$1,0),),'Control Panel'!N13)))</f>
        <v>-0.91779999999999995</v>
      </c>
      <c r="O14" s="22">
        <f>IF($K14="","",IF(O$4="","",IF('Control Panel'!O13="",VLOOKUP($F14,'Table Output'!$A:$BW,MATCH(O$4,'Table Output'!$A$1:$BT$1,0),),'Control Panel'!O13)))</f>
        <v>0.96654399999999996</v>
      </c>
      <c r="P14" s="22">
        <f>IF($K14="","",IF(P$4="","",IF('Control Panel'!P13="",VLOOKUP($F14,'Table Output'!$A:$BW,MATCH(P$4,'Table Output'!$A$1:$BT$1,0),),'Control Panel'!P13)))</f>
        <v>8.1714400000000005</v>
      </c>
      <c r="Q14" s="22" t="str">
        <f>IF($K14="","",IF(Q$4="","",IF('Control Panel'!Q13="",VLOOKUP($F14,'Table Output'!$A:$BW,MATCH(Q$4,'Table Output'!$A$1:$BT$1,0),),'Control Panel'!Q13)))</f>
        <v/>
      </c>
      <c r="R14" s="22" t="str">
        <f>IF($K14="","",IF(R$4="","",IF('Control Panel'!R13="",VLOOKUP($F14,'Table Output'!$A:$BW,MATCH(R$4,'Table Output'!$A$1:$BT$1,0),),'Control Panel'!R13)))</f>
        <v/>
      </c>
      <c r="S14" s="22" t="str">
        <f>IF($K14="","",IF(S$4="","",IF('Control Panel'!S13="",VLOOKUP($F14,'Table Output'!$A:$BW,MATCH(S$4,'Table Output'!$A$1:$BT$1,0),),'Control Panel'!S13)))</f>
        <v/>
      </c>
      <c r="T14" s="22" t="str">
        <f>IF($K14="","",IF(T$4="","",IF('Control Panel'!T13="",VLOOKUP($F14,'Table Output'!$A:$BW,MATCH(T$4,'Table Output'!$A$1:$BT$1,0),),'Control Panel'!T13)))</f>
        <v/>
      </c>
      <c r="U14" s="22" t="str">
        <f>IF($K14="","",IF(U$4="","",IF('Control Panel'!U13="",VLOOKUP($F14,'Table Output'!$A:$BW,MATCH(U$4,'Table Output'!$A$1:$BT$1,0),),'Control Panel'!U13)))</f>
        <v/>
      </c>
      <c r="W14" s="22">
        <f>IF($K14="","",IF('Control Panel'!W13="",VLOOKUP($F14,'Table Output'!$A$2:$BW$99998,MATCH(W$4,'Table Output'!$A$1:$BT$1,0),),'Control Panel'!W13))</f>
        <v>0</v>
      </c>
      <c r="X14" s="22">
        <f>IF($K14="","",IF('Control Panel'!X13="",VLOOKUP($F14,'Table Output'!$A$2:$BW$99998,MATCH(X$4,'Table Output'!$A$1:$BT$1,0),),'Control Panel'!X13))</f>
        <v>1</v>
      </c>
      <c r="Y14" s="22">
        <f>IF($K14="","",IF('Control Panel'!Y13="",VLOOKUP($F14,'Table Output'!$A$2:$BW$99998,MATCH(Y$4,'Table Output'!$A$1:$BT$1,0),),'Control Panel'!Y13))</f>
        <v>1</v>
      </c>
      <c r="Z14" s="22">
        <f>IF($K14="","",IF('Control Panel'!Z13="",VLOOKUP($F14,'Table Output'!$A$2:$BW$99998,MATCH(Z$4,'Table Output'!$A$1:$BT$1,0),),'Control Panel'!Z13))</f>
        <v>0</v>
      </c>
      <c r="AA14" s="22">
        <f>IF($K14="","",IF('Control Panel'!AA13="",VLOOKUP($F14,'Table Output'!$A$2:$BW$99998,MATCH(AA$4,'Table Output'!$A$1:$BT$1,0),),'Control Panel'!AA13))</f>
        <v>0</v>
      </c>
      <c r="AB14" s="22">
        <f>IF($K14="","",IF('Control Panel'!AB13="",VLOOKUP($F14,'Table Output'!$A$2:$BW$99998,MATCH(AB$4,'Table Output'!$A$1:$BT$1,0),),'Control Panel'!AB13))</f>
        <v>1</v>
      </c>
      <c r="AC14" s="22">
        <f>IF($K14="","",IF('Control Panel'!AC13="",VLOOKUP($F14,'Table Output'!$A$2:$BW$99998,MATCH(AC$4,'Table Output'!$A$1:$BT$1,0),),'Control Panel'!AC13))</f>
        <v>0</v>
      </c>
      <c r="AD14" s="22">
        <f>IF($K14="","",IF('Control Panel'!AD13="",VLOOKUP($F14,'Table Output'!$A$2:$BW$99998,MATCH(AD$4,'Table Output'!$A$1:$BT$1,0),),'Control Panel'!AD13))</f>
        <v>0</v>
      </c>
      <c r="AE14" s="22">
        <f>IF($K14="","",IF('Control Panel'!AE13="",VLOOKUP($F14,'Table Output'!$A$2:$BW$99998,MATCH(AE$4,'Table Output'!$A$1:$BT$1,0),),'Control Panel'!AE13))</f>
        <v>1</v>
      </c>
      <c r="AF14" s="22">
        <f>IF($K14="","",IF('Control Panel'!AF13="",VLOOKUP($F14,'Table Output'!$A$2:$BW$99998,MATCH(AF$4,'Table Output'!$A$1:$BT$1,0),),'Control Panel'!AF13))</f>
        <v>1</v>
      </c>
      <c r="AG14" s="22">
        <f>IF($K14="","",IF('Control Panel'!AG13="",VLOOKUP($F14,'Table Output'!$A$2:$BW$99998,MATCH(AG$4,'Table Output'!$A$1:$BT$1,0),),'Control Panel'!AG13))</f>
        <v>1</v>
      </c>
      <c r="AH14" s="22">
        <f>IF($K14="","",IF('Control Panel'!AH13="",VLOOKUP($F14,'Table Output'!$A$2:$BW$99998,MATCH(AH$4,'Table Output'!$A$1:$BT$1,0),),'Control Panel'!AH13))</f>
        <v>1</v>
      </c>
      <c r="AI14" s="22">
        <f>IF($K14="","",IF('Control Panel'!AI13="",VLOOKUP($F14,'Table Output'!$A$2:$BW$99998,MATCH(AI$4,'Table Output'!$A$1:$BT$1,0),),'Control Panel'!AI13))</f>
        <v>0</v>
      </c>
      <c r="AJ14" s="22">
        <f>IF($K14="","",IF('Control Panel'!AJ13="",VLOOKUP($F14,'Table Output'!$A$2:$BW$99998,MATCH(AJ$4,'Table Output'!$A$1:$BT$1,0),),'Control Panel'!AJ13))</f>
        <v>1</v>
      </c>
      <c r="AK14" s="22">
        <f>IF($K14="","",IF('Control Panel'!AK13="",VLOOKUP($F14,'Table Output'!$A$2:$BW$99998,MATCH(AK$4,'Table Output'!$A$1:$BT$1,0),),'Control Panel'!AK13))</f>
        <v>0</v>
      </c>
      <c r="AL14" s="22">
        <f>IF($K14="","",IF('Control Panel'!AL13="",VLOOKUP($F14,'Table Output'!$A$2:$BW$99998,MATCH(AL$4,'Table Output'!$A$1:$BT$1,0),),'Control Panel'!AL13))</f>
        <v>0</v>
      </c>
      <c r="AN14" s="35">
        <f t="shared" si="0"/>
        <v>10</v>
      </c>
      <c r="AO14" s="32">
        <f>IF(AO$4="","",IF($K14="","",IF('Control Panel'!AO13="",VLOOKUP($F14,'Table Output'!$A$2:$BW$99998,MATCH(AO$4,'Table Output'!$A$1:$BT$1,0),FALSE),'Control Panel'!AO13)))</f>
        <v>1</v>
      </c>
      <c r="AP14" s="32" t="str">
        <f>IF(AP$4="","",IF($K14="","",IF('Control Panel'!AP13="",VLOOKUP($F14,'Table Output'!$A$2:$BW$99998,MATCH(AP$4,'Table Output'!$A$1:$BT$1,0),FALSE),'Control Panel'!AP13)))</f>
        <v/>
      </c>
      <c r="AQ14" s="32" t="str">
        <f>IF(AQ$4="","",IF($K14="","",IF('Control Panel'!AQ13="",VLOOKUP($F14,'Table Output'!$A$2:$BW$99998,MATCH(AQ$4,'Table Output'!$A$1:$BT$1,0),FALSE),'Control Panel'!AQ13)))</f>
        <v/>
      </c>
      <c r="AR14" s="32" t="str">
        <f>IF(AR$4="","",IF($K14="","",IF('Control Panel'!AR13="",VLOOKUP($F14,'Table Output'!$A$2:$BW$99998,MATCH(AR$4,'Table Output'!$A$1:$BT$1,0),FALSE),'Control Panel'!AR13)))</f>
        <v/>
      </c>
      <c r="AS14" s="32" t="str">
        <f>IF(AS$4="","",IF($K14="","",IF('Control Panel'!AS13="",VLOOKUP($F14,'Table Output'!$A$2:$BW$99998,MATCH(AS$4,'Table Output'!$A$1:$BT$1,0),FALSE),'Control Panel'!AS13)))</f>
        <v/>
      </c>
      <c r="AT14" s="32" t="str">
        <f>IF(AT$4="","",IF($K14="","",IF('Control Panel'!AT13="",VLOOKUP($F14,'Table Output'!$A$2:$BW$99998,MATCH(AT$4,'Table Output'!$A$1:$BT$1,0),FALSE),'Control Panel'!AT13)))</f>
        <v/>
      </c>
      <c r="AU14" s="32" t="str">
        <f>IF(AU$4="","",IF($K14="","",IF('Control Panel'!AU13="",VLOOKUP($F14,'Table Output'!$A$2:$BW$99998,MATCH(AU$4,'Table Output'!$A$1:$BT$1,0),FALSE),'Control Panel'!AU13)))</f>
        <v/>
      </c>
      <c r="AV14" s="32" t="str">
        <f>IF(AV$4="","",IF($K14="","",IF('Control Panel'!AV13="",VLOOKUP($F14,'Table Output'!$A$2:$BW$99998,MATCH(AV$4,'Table Output'!$A$1:$BT$1,0),FALSE),'Control Panel'!AV13)))</f>
        <v/>
      </c>
      <c r="AW14" s="32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benchmark</v>
      </c>
      <c r="E15" s="2">
        <f>IF('Control Panel'!E14="","",'Control Panel'!E14)</f>
        <v>1</v>
      </c>
      <c r="F15" s="2" t="str">
        <f>IF(E15=1,IF('Control Panel'!F14="","",'Control Panel'!F14),"")</f>
        <v>Cowden_Clay</v>
      </c>
      <c r="G15" s="2" t="str">
        <f>IF(E15=1,IF('Control Panel'!G14="","",'Control Panel'!G14),"")</f>
        <v>PISA</v>
      </c>
      <c r="H15" s="2" t="str">
        <f>IF(E15=1,IF('Control Panel'!H14="","",'Control Panel'!H14),"")</f>
        <v>NA</v>
      </c>
      <c r="I15" s="2">
        <f>IF(E15=1,IF('Control Panel'!I14="","",'Control Panel'!I14),"")</f>
        <v>0</v>
      </c>
      <c r="J15" s="2" t="str">
        <f>IF(E15=1,IF('Control Panel'!J14="","",'Control Panel'!J14),"")</f>
        <v>Loc_69_Clay_3</v>
      </c>
      <c r="K15" s="26">
        <f>IF(E15=1,IF('Control Panel'!K14="","",'Control Panel'!K14),"")</f>
        <v>11</v>
      </c>
      <c r="L15" s="22">
        <f>IF($K15="","",IF(L$4="","",IF('Control Panel'!L14="",VLOOKUP($F15,'Table Output'!$A:$BW,MATCH(L$4,'Table Output'!$A$1:$BT$1,0),),'Control Panel'!L14)))</f>
        <v>200</v>
      </c>
      <c r="M15" s="22">
        <f>IF($K15="","",IF(M$4="","",IF('Control Panel'!M14="",VLOOKUP($F15,'Table Output'!$A:$BW,MATCH(M$4,'Table Output'!$A$1:$BT$1,0),),'Control Panel'!M14)))</f>
        <v>10.210000000000001</v>
      </c>
      <c r="N15" s="22">
        <f>IF($K15="","",IF(N$4="","",IF('Control Panel'!N14="",VLOOKUP($F15,'Table Output'!$A:$BW,MATCH(N$4,'Table Output'!$A$1:$BT$1,0),),'Control Panel'!N14)))</f>
        <v>-1.1000000000000001</v>
      </c>
      <c r="O15" s="22">
        <f>IF($K15="","",IF(O$4="","",IF('Control Panel'!O14="",VLOOKUP($F15,'Table Output'!$A:$BW,MATCH(O$4,'Table Output'!$A$1:$BT$1,0),),'Control Panel'!O14)))</f>
        <v>-0.05</v>
      </c>
      <c r="P15" s="22">
        <f>IF($K15="","",IF(P$4="","",IF('Control Panel'!P14="",VLOOKUP($F15,'Table Output'!$A:$BW,MATCH(P$4,'Table Output'!$A$1:$BT$1,0),),'Control Panel'!P14)))</f>
        <v>8.1199999999999992</v>
      </c>
      <c r="Q15" s="22" t="str">
        <f>IF($K15="","",IF(Q$4="","",IF('Control Panel'!Q14="",VLOOKUP($F15,'Table Output'!$A:$BW,MATCH(Q$4,'Table Output'!$A$1:$BT$1,0),),'Control Panel'!Q14)))</f>
        <v/>
      </c>
      <c r="R15" s="22" t="str">
        <f>IF($K15="","",IF(R$4="","",IF('Control Panel'!R14="",VLOOKUP($F15,'Table Output'!$A:$BW,MATCH(R$4,'Table Output'!$A$1:$BT$1,0),),'Control Panel'!R14)))</f>
        <v/>
      </c>
      <c r="S15" s="22" t="str">
        <f>IF($K15="","",IF(S$4="","",IF('Control Panel'!S14="",VLOOKUP($F15,'Table Output'!$A:$BW,MATCH(S$4,'Table Output'!$A$1:$BT$1,0),),'Control Panel'!S14)))</f>
        <v/>
      </c>
      <c r="T15" s="22" t="str">
        <f>IF($K15="","",IF(T$4="","",IF('Control Panel'!T14="",VLOOKUP($F15,'Table Output'!$A:$BW,MATCH(T$4,'Table Output'!$A$1:$BT$1,0),),'Control Panel'!T14)))</f>
        <v/>
      </c>
      <c r="U15" s="22" t="str">
        <f>IF($K15="","",IF(U$4="","",IF('Control Panel'!U14="",VLOOKUP($F15,'Table Output'!$A:$BW,MATCH(U$4,'Table Output'!$A$1:$BT$1,0),),'Control Panel'!U14)))</f>
        <v/>
      </c>
      <c r="W15" s="22">
        <f>IF($K15="","",IF('Control Panel'!W14="",VLOOKUP($F15,'Table Output'!$A$2:$BW$99998,MATCH(W$4,'Table Output'!$A$1:$BT$1,0),),'Control Panel'!W14))</f>
        <v>0</v>
      </c>
      <c r="X15" s="22">
        <f>IF($K15="","",IF('Control Panel'!X14="",VLOOKUP($F15,'Table Output'!$A$2:$BW$99998,MATCH(X$4,'Table Output'!$A$1:$BT$1,0),),'Control Panel'!X14))</f>
        <v>2</v>
      </c>
      <c r="Y15" s="22">
        <f>IF($K15="","",IF('Control Panel'!Y14="",VLOOKUP($F15,'Table Output'!$A$2:$BW$99998,MATCH(Y$4,'Table Output'!$A$1:$BT$1,0),),'Control Panel'!Y14))</f>
        <v>1</v>
      </c>
      <c r="Z15" s="22">
        <f>IF($K15="","",IF('Control Panel'!Z14="",VLOOKUP($F15,'Table Output'!$A$2:$BW$99998,MATCH(Z$4,'Table Output'!$A$1:$BT$1,0),),'Control Panel'!Z14))</f>
        <v>1</v>
      </c>
      <c r="AA15" s="22">
        <f>IF($K15="","",IF('Control Panel'!AA14="",VLOOKUP($F15,'Table Output'!$A$2:$BW$99998,MATCH(AA$4,'Table Output'!$A$1:$BT$1,0),),'Control Panel'!AA14))</f>
        <v>0</v>
      </c>
      <c r="AB15" s="22">
        <f>IF($K15="","",IF('Control Panel'!AB14="",VLOOKUP($F15,'Table Output'!$A$2:$BW$99998,MATCH(AB$4,'Table Output'!$A$1:$BT$1,0),),'Control Panel'!AB14))</f>
        <v>1</v>
      </c>
      <c r="AC15" s="22">
        <f>IF($K15="","",IF('Control Panel'!AC14="",VLOOKUP($F15,'Table Output'!$A$2:$BW$99998,MATCH(AC$4,'Table Output'!$A$1:$BT$1,0),),'Control Panel'!AC14))</f>
        <v>1</v>
      </c>
      <c r="AD15" s="22">
        <f>IF($K15="","",IF('Control Panel'!AD14="",VLOOKUP($F15,'Table Output'!$A$2:$BW$99998,MATCH(AD$4,'Table Output'!$A$1:$BT$1,0),),'Control Panel'!AD14))</f>
        <v>0</v>
      </c>
      <c r="AE15" s="22">
        <f>IF($K15="","",IF('Control Panel'!AE14="",VLOOKUP($F15,'Table Output'!$A$2:$BW$99998,MATCH(AE$4,'Table Output'!$A$1:$BT$1,0),),'Control Panel'!AE14))</f>
        <v>0</v>
      </c>
      <c r="AF15" s="22">
        <f>IF($K15="","",IF('Control Panel'!AF14="",VLOOKUP($F15,'Table Output'!$A$2:$BW$99998,MATCH(AF$4,'Table Output'!$A$1:$BT$1,0),),'Control Panel'!AF14))</f>
        <v>1</v>
      </c>
      <c r="AG15" s="22">
        <f>IF($K15="","",IF('Control Panel'!AG14="",VLOOKUP($F15,'Table Output'!$A$2:$BW$99998,MATCH(AG$4,'Table Output'!$A$1:$BT$1,0),),'Control Panel'!AG14))</f>
        <v>1</v>
      </c>
      <c r="AH15" s="22">
        <f>IF($K15="","",IF('Control Panel'!AH14="",VLOOKUP($F15,'Table Output'!$A$2:$BW$99998,MATCH(AH$4,'Table Output'!$A$1:$BT$1,0),),'Control Panel'!AH14))</f>
        <v>1</v>
      </c>
      <c r="AI15" s="22">
        <f>IF($K15="","",IF('Control Panel'!AI14="",VLOOKUP($F15,'Table Output'!$A$2:$BW$99998,MATCH(AI$4,'Table Output'!$A$1:$BT$1,0),),'Control Panel'!AI14))</f>
        <v>0</v>
      </c>
      <c r="AJ15" s="22">
        <f>IF($K15="","",IF('Control Panel'!AJ14="",VLOOKUP($F15,'Table Output'!$A$2:$BW$99998,MATCH(AJ$4,'Table Output'!$A$1:$BT$1,0),),'Control Panel'!AJ14))</f>
        <v>1</v>
      </c>
      <c r="AK15" s="22">
        <f>IF($K15="","",IF('Control Panel'!AK14="",VLOOKUP($F15,'Table Output'!$A$2:$BW$99998,MATCH(AK$4,'Table Output'!$A$1:$BT$1,0),),'Control Panel'!AK14))</f>
        <v>1</v>
      </c>
      <c r="AL15" s="22">
        <f>IF($K15="","",IF('Control Panel'!AL14="",VLOOKUP($F15,'Table Output'!$A$2:$BW$99998,MATCH(AL$4,'Table Output'!$A$1:$BT$1,0),),'Control Panel'!AL14))</f>
        <v>1</v>
      </c>
      <c r="AN15" s="35">
        <f t="shared" si="0"/>
        <v>11</v>
      </c>
      <c r="AO15" s="32">
        <f>IF(AO$4="","",IF($K15="","",IF('Control Panel'!AO14="",VLOOKUP($F15,'Table Output'!$A$2:$BW$99998,MATCH(AO$4,'Table Output'!$A$1:$BT$1,0),FALSE),'Control Panel'!AO14)))</f>
        <v>1</v>
      </c>
      <c r="AP15" s="32" t="str">
        <f>IF(AP$4="","",IF($K15="","",IF('Control Panel'!AP14="",VLOOKUP($F15,'Table Output'!$A$2:$BW$99998,MATCH(AP$4,'Table Output'!$A$1:$BT$1,0),FALSE),'Control Panel'!AP14)))</f>
        <v/>
      </c>
      <c r="AQ15" s="32" t="str">
        <f>IF(AQ$4="","",IF($K15="","",IF('Control Panel'!AQ14="",VLOOKUP($F15,'Table Output'!$A$2:$BW$99998,MATCH(AQ$4,'Table Output'!$A$1:$BT$1,0),FALSE),'Control Panel'!AQ14)))</f>
        <v/>
      </c>
      <c r="AR15" s="32" t="str">
        <f>IF(AR$4="","",IF($K15="","",IF('Control Panel'!AR14="",VLOOKUP($F15,'Table Output'!$A$2:$BW$99998,MATCH(AR$4,'Table Output'!$A$1:$BT$1,0),FALSE),'Control Panel'!AR14)))</f>
        <v/>
      </c>
      <c r="AS15" s="32" t="str">
        <f>IF(AS$4="","",IF($K15="","",IF('Control Panel'!AS14="",VLOOKUP($F15,'Table Output'!$A$2:$BW$99998,MATCH(AS$4,'Table Output'!$A$1:$BT$1,0),FALSE),'Control Panel'!AS14)))</f>
        <v/>
      </c>
      <c r="AT15" s="32" t="str">
        <f>IF(AT$4="","",IF($K15="","",IF('Control Panel'!AT14="",VLOOKUP($F15,'Table Output'!$A$2:$BW$99998,MATCH(AT$4,'Table Output'!$A$1:$BT$1,0),FALSE),'Control Panel'!AT14)))</f>
        <v/>
      </c>
      <c r="AU15" s="32" t="str">
        <f>IF(AU$4="","",IF($K15="","",IF('Control Panel'!AU14="",VLOOKUP($F15,'Table Output'!$A$2:$BW$99998,MATCH(AU$4,'Table Output'!$A$1:$BT$1,0),FALSE),'Control Panel'!AU14)))</f>
        <v/>
      </c>
      <c r="AV15" s="32" t="str">
        <f>IF(AV$4="","",IF($K15="","",IF('Control Panel'!AV14="",VLOOKUP($F15,'Table Output'!$A$2:$BW$99998,MATCH(AV$4,'Table Output'!$A$1:$BT$1,0),FALSE),'Control Panel'!AV14)))</f>
        <v/>
      </c>
      <c r="AW15" s="32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D_10,D_200</v>
      </c>
      <c r="E16" s="2" t="str">
        <f>IF('Control Panel'!E15="","",'Control Panel'!E15)</f>
        <v/>
      </c>
      <c r="F16" s="2" t="str">
        <f>IF(E16=1,IF('Control Panel'!F15="","",'Control Panel'!F15),"")</f>
        <v/>
      </c>
      <c r="G16" s="2" t="str">
        <f>IF(E16=1,IF('Control Panel'!G15="","",'Control Panel'!G15),"")</f>
        <v/>
      </c>
      <c r="H16" s="2" t="str">
        <f>IF(E16=1,IF('Control Panel'!H15="","",'Control Panel'!H15),"")</f>
        <v/>
      </c>
      <c r="I16" s="2" t="str">
        <f>IF(E16=1,IF('Control Panel'!I15="","",'Control Panel'!I15),"")</f>
        <v/>
      </c>
      <c r="J16" s="2" t="str">
        <f>IF(E16=1,IF('Control Panel'!J15="","",'Control Panel'!J15),"")</f>
        <v/>
      </c>
      <c r="K16" s="26" t="str">
        <f>IF(E16=1,IF('Control Panel'!K15="","",'Control Panel'!K15),"")</f>
        <v/>
      </c>
      <c r="L16" s="22" t="str">
        <f>IF($K16="","",IF(L$4="","",IF('Control Panel'!L15="",VLOOKUP($F16,'Table Output'!$A:$BW,MATCH(L$4,'Table Output'!$A$1:$BT$1,0),),'Control Panel'!L15)))</f>
        <v/>
      </c>
      <c r="M16" s="22" t="str">
        <f>IF($K16="","",IF(M$4="","",IF('Control Panel'!M15="",VLOOKUP($F16,'Table Output'!$A:$BW,MATCH(M$4,'Table Output'!$A$1:$BT$1,0),),'Control Panel'!M15)))</f>
        <v/>
      </c>
      <c r="N16" s="22" t="str">
        <f>IF($K16="","",IF(N$4="","",IF('Control Panel'!N15="",VLOOKUP($F16,'Table Output'!$A:$BW,MATCH(N$4,'Table Output'!$A$1:$BT$1,0),),'Control Panel'!N15)))</f>
        <v/>
      </c>
      <c r="O16" s="22" t="str">
        <f>IF($K16="","",IF(O$4="","",IF('Control Panel'!O15="",VLOOKUP($F16,'Table Output'!$A:$BW,MATCH(O$4,'Table Output'!$A$1:$BT$1,0),),'Control Panel'!O15)))</f>
        <v/>
      </c>
      <c r="P16" s="22" t="str">
        <f>IF($K16="","",IF(P$4="","",IF('Control Panel'!P15="",VLOOKUP($F16,'Table Output'!$A:$BW,MATCH(P$4,'Table Output'!$A$1:$BT$1,0),),'Control Panel'!P15)))</f>
        <v/>
      </c>
      <c r="Q16" s="22" t="str">
        <f>IF($K16="","",IF(Q$4="","",IF('Control Panel'!Q15="",VLOOKUP($F16,'Table Output'!$A:$BW,MATCH(Q$4,'Table Output'!$A$1:$BT$1,0),),'Control Panel'!Q15)))</f>
        <v/>
      </c>
      <c r="R16" s="22" t="str">
        <f>IF($K16="","",IF(R$4="","",IF('Control Panel'!R15="",VLOOKUP($F16,'Table Output'!$A:$BW,MATCH(R$4,'Table Output'!$A$1:$BT$1,0),),'Control Panel'!R15)))</f>
        <v/>
      </c>
      <c r="S16" s="22" t="str">
        <f>IF($K16="","",IF(S$4="","",IF('Control Panel'!S15="",VLOOKUP($F16,'Table Output'!$A:$BW,MATCH(S$4,'Table Output'!$A$1:$BT$1,0),),'Control Panel'!S15)))</f>
        <v/>
      </c>
      <c r="T16" s="22" t="str">
        <f>IF($K16="","",IF(T$4="","",IF('Control Panel'!T15="",VLOOKUP($F16,'Table Output'!$A:$BW,MATCH(T$4,'Table Output'!$A$1:$BT$1,0),),'Control Panel'!T15)))</f>
        <v/>
      </c>
      <c r="U16" s="22" t="str">
        <f>IF($K16="","",IF(U$4="","",IF('Control Panel'!U15="",VLOOKUP($F16,'Table Output'!$A:$BW,MATCH(U$4,'Table Output'!$A$1:$BT$1,0),),'Control Panel'!U15)))</f>
        <v/>
      </c>
      <c r="W16" s="22" t="str">
        <f>IF($K16="","",IF('Control Panel'!W15="",VLOOKUP($F16,'Table Output'!$A$2:$BW$99998,MATCH(W$4,'Table Output'!$A$1:$BT$1,0),),'Control Panel'!W15))</f>
        <v/>
      </c>
      <c r="X16" s="22" t="str">
        <f>IF($K16="","",IF('Control Panel'!X15="",VLOOKUP($F16,'Table Output'!$A$2:$BW$99998,MATCH(X$4,'Table Output'!$A$1:$BT$1,0),),'Control Panel'!X15))</f>
        <v/>
      </c>
      <c r="Y16" s="22" t="str">
        <f>IF($K16="","",IF('Control Panel'!Y15="",VLOOKUP($F16,'Table Output'!$A$2:$BW$99998,MATCH(Y$4,'Table Output'!$A$1:$BT$1,0),),'Control Panel'!Y15))</f>
        <v/>
      </c>
      <c r="Z16" s="22" t="str">
        <f>IF($K16="","",IF('Control Panel'!Z15="",VLOOKUP($F16,'Table Output'!$A$2:$BW$99998,MATCH(Z$4,'Table Output'!$A$1:$BT$1,0),),'Control Panel'!Z15))</f>
        <v/>
      </c>
      <c r="AA16" s="22" t="str">
        <f>IF($K16="","",IF('Control Panel'!AA15="",VLOOKUP($F16,'Table Output'!$A$2:$BW$99998,MATCH(AA$4,'Table Output'!$A$1:$BT$1,0),),'Control Panel'!AA15))</f>
        <v/>
      </c>
      <c r="AB16" s="22" t="str">
        <f>IF($K16="","",IF('Control Panel'!AB15="",VLOOKUP($F16,'Table Output'!$A$2:$BW$99998,MATCH(AB$4,'Table Output'!$A$1:$BT$1,0),),'Control Panel'!AB15))</f>
        <v/>
      </c>
      <c r="AC16" s="22" t="str">
        <f>IF($K16="","",IF('Control Panel'!AC15="",VLOOKUP($F16,'Table Output'!$A$2:$BW$99998,MATCH(AC$4,'Table Output'!$A$1:$BT$1,0),),'Control Panel'!AC15))</f>
        <v/>
      </c>
      <c r="AD16" s="22" t="str">
        <f>IF($K16="","",IF('Control Panel'!AD15="",VLOOKUP($F16,'Table Output'!$A$2:$BW$99998,MATCH(AD$4,'Table Output'!$A$1:$BT$1,0),),'Control Panel'!AD15))</f>
        <v/>
      </c>
      <c r="AE16" s="22" t="str">
        <f>IF($K16="","",IF('Control Panel'!AE15="",VLOOKUP($F16,'Table Output'!$A$2:$BW$99998,MATCH(AE$4,'Table Output'!$A$1:$BT$1,0),),'Control Panel'!AE15))</f>
        <v/>
      </c>
      <c r="AF16" s="22" t="str">
        <f>IF($K16="","",IF('Control Panel'!AF15="",VLOOKUP($F16,'Table Output'!$A$2:$BW$99998,MATCH(AF$4,'Table Output'!$A$1:$BT$1,0),),'Control Panel'!AF15))</f>
        <v/>
      </c>
      <c r="AG16" s="22" t="str">
        <f>IF($K16="","",IF('Control Panel'!AG15="",VLOOKUP($F16,'Table Output'!$A$2:$BW$99998,MATCH(AG$4,'Table Output'!$A$1:$BT$1,0),),'Control Panel'!AG15))</f>
        <v/>
      </c>
      <c r="AH16" s="22" t="str">
        <f>IF($K16="","",IF('Control Panel'!AH15="",VLOOKUP($F16,'Table Output'!$A$2:$BW$99998,MATCH(AH$4,'Table Output'!$A$1:$BT$1,0),),'Control Panel'!AH15))</f>
        <v/>
      </c>
      <c r="AI16" s="22" t="str">
        <f>IF($K16="","",IF('Control Panel'!AI15="",VLOOKUP($F16,'Table Output'!$A$2:$BW$99998,MATCH(AI$4,'Table Output'!$A$1:$BT$1,0),),'Control Panel'!AI15))</f>
        <v/>
      </c>
      <c r="AJ16" s="22" t="str">
        <f>IF($K16="","",IF('Control Panel'!AJ15="",VLOOKUP($F16,'Table Output'!$A$2:$BW$99998,MATCH(AJ$4,'Table Output'!$A$1:$BT$1,0),),'Control Panel'!AJ15))</f>
        <v/>
      </c>
      <c r="AK16" s="22" t="str">
        <f>IF($K16="","",IF('Control Panel'!AK15="",VLOOKUP($F16,'Table Output'!$A$2:$BW$99998,MATCH(AK$4,'Table Output'!$A$1:$BT$1,0),),'Control Panel'!AK15))</f>
        <v/>
      </c>
      <c r="AL16" s="22" t="str">
        <f>IF($K16="","",IF('Control Panel'!AL15="",VLOOKUP($F16,'Table Output'!$A$2:$BW$99998,MATCH(AL$4,'Table Output'!$A$1:$BT$1,0),),'Control Panel'!AL15))</f>
        <v/>
      </c>
      <c r="AN16" s="35" t="str">
        <f t="shared" si="0"/>
        <v/>
      </c>
      <c r="AO16" s="32" t="str">
        <f>IF(AO$4="","",IF($K16="","",IF('Control Panel'!AO15="",VLOOKUP($F16,'Table Output'!$A$2:$BW$99998,MATCH(AO$4,'Table Output'!$A$1:$BT$1,0),FALSE),'Control Panel'!AO15)))</f>
        <v/>
      </c>
      <c r="AP16" s="32" t="str">
        <f>IF(AP$4="","",IF($K16="","",IF('Control Panel'!AP15="",VLOOKUP($F16,'Table Output'!$A$2:$BW$99998,MATCH(AP$4,'Table Output'!$A$1:$BT$1,0),FALSE),'Control Panel'!AP15)))</f>
        <v/>
      </c>
      <c r="AQ16" s="32" t="str">
        <f>IF(AQ$4="","",IF($K16="","",IF('Control Panel'!AQ15="",VLOOKUP($F16,'Table Output'!$A$2:$BW$99998,MATCH(AQ$4,'Table Output'!$A$1:$BT$1,0),FALSE),'Control Panel'!AQ15)))</f>
        <v/>
      </c>
      <c r="AR16" s="32" t="str">
        <f>IF(AR$4="","",IF($K16="","",IF('Control Panel'!AR15="",VLOOKUP($F16,'Table Output'!$A$2:$BW$99998,MATCH(AR$4,'Table Output'!$A$1:$BT$1,0),FALSE),'Control Panel'!AR15)))</f>
        <v/>
      </c>
      <c r="AS16" s="32" t="str">
        <f>IF(AS$4="","",IF($K16="","",IF('Control Panel'!AS15="",VLOOKUP($F16,'Table Output'!$A$2:$BW$99998,MATCH(AS$4,'Table Output'!$A$1:$BT$1,0),FALSE),'Control Panel'!AS15)))</f>
        <v/>
      </c>
      <c r="AT16" s="32" t="str">
        <f>IF(AT$4="","",IF($K16="","",IF('Control Panel'!AT15="",VLOOKUP($F16,'Table Output'!$A$2:$BW$99998,MATCH(AT$4,'Table Output'!$A$1:$BT$1,0),FALSE),'Control Panel'!AT15)))</f>
        <v/>
      </c>
      <c r="AU16" s="32" t="str">
        <f>IF(AU$4="","",IF($K16="","",IF('Control Panel'!AU15="",VLOOKUP($F16,'Table Output'!$A$2:$BW$99998,MATCH(AU$4,'Table Output'!$A$1:$BT$1,0),FALSE),'Control Panel'!AU15)))</f>
        <v/>
      </c>
      <c r="AV16" s="32" t="str">
        <f>IF(AV$4="","",IF($K16="","",IF('Control Panel'!AV15="",VLOOKUP($F16,'Table Output'!$A$2:$BW$99998,MATCH(AV$4,'Table Output'!$A$1:$BT$1,0),FALSE),'Control Panel'!AV15)))</f>
        <v/>
      </c>
      <c r="AW16" s="32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 t="str">
        <f>IF('Control Panel'!E16="","",'Control Panel'!E16)</f>
        <v/>
      </c>
      <c r="F17" s="2" t="str">
        <f>IF(E17=1,IF('Control Panel'!F16="","",'Control Panel'!F16),"")</f>
        <v/>
      </c>
      <c r="G17" s="2" t="str">
        <f>IF(E17=1,IF('Control Panel'!G16="","",'Control Panel'!G16),"")</f>
        <v/>
      </c>
      <c r="H17" s="2" t="str">
        <f>IF(E17=1,IF('Control Panel'!H16="","",'Control Panel'!H16),"")</f>
        <v/>
      </c>
      <c r="I17" s="2" t="str">
        <f>IF(E17=1,IF('Control Panel'!I16="","",'Control Panel'!I16),"")</f>
        <v/>
      </c>
      <c r="J17" s="2" t="str">
        <f>IF(E17=1,IF('Control Panel'!J16="","",'Control Panel'!J16),"")</f>
        <v/>
      </c>
      <c r="K17" s="26" t="str">
        <f>IF(E17=1,IF('Control Panel'!K16="","",'Control Panel'!K16),"")</f>
        <v/>
      </c>
      <c r="L17" s="22" t="str">
        <f>IF($K17="","",IF(L$4="","",IF('Control Panel'!L16="",VLOOKUP($F17,'Table Output'!$A:$BW,MATCH(L$4,'Table Output'!$A$1:$BT$1,0),),'Control Panel'!L16)))</f>
        <v/>
      </c>
      <c r="M17" s="22" t="str">
        <f>IF($K17="","",IF(M$4="","",IF('Control Panel'!M16="",VLOOKUP($F17,'Table Output'!$A:$BW,MATCH(M$4,'Table Output'!$A$1:$BT$1,0),),'Control Panel'!M16)))</f>
        <v/>
      </c>
      <c r="N17" s="22" t="str">
        <f>IF($K17="","",IF(N$4="","",IF('Control Panel'!N16="",VLOOKUP($F17,'Table Output'!$A:$BW,MATCH(N$4,'Table Output'!$A$1:$BT$1,0),),'Control Panel'!N16)))</f>
        <v/>
      </c>
      <c r="O17" s="22" t="str">
        <f>IF($K17="","",IF(O$4="","",IF('Control Panel'!O16="",VLOOKUP($F17,'Table Output'!$A:$BW,MATCH(O$4,'Table Output'!$A$1:$BT$1,0),),'Control Panel'!O16)))</f>
        <v/>
      </c>
      <c r="P17" s="22" t="str">
        <f>IF($K17="","",IF(P$4="","",IF('Control Panel'!P16="",VLOOKUP($F17,'Table Output'!$A:$BW,MATCH(P$4,'Table Output'!$A$1:$BT$1,0),),'Control Panel'!P16)))</f>
        <v/>
      </c>
      <c r="Q17" s="22" t="str">
        <f>IF($K17="","",IF(Q$4="","",IF('Control Panel'!Q16="",VLOOKUP($F17,'Table Output'!$A:$BW,MATCH(Q$4,'Table Output'!$A$1:$BT$1,0),),'Control Panel'!Q16)))</f>
        <v/>
      </c>
      <c r="R17" s="22" t="str">
        <f>IF($K17="","",IF(R$4="","",IF('Control Panel'!R16="",VLOOKUP($F17,'Table Output'!$A:$BW,MATCH(R$4,'Table Output'!$A$1:$BT$1,0),),'Control Panel'!R16)))</f>
        <v/>
      </c>
      <c r="S17" s="22" t="str">
        <f>IF($K17="","",IF(S$4="","",IF('Control Panel'!S16="",VLOOKUP($F17,'Table Output'!$A:$BW,MATCH(S$4,'Table Output'!$A$1:$BT$1,0),),'Control Panel'!S16)))</f>
        <v/>
      </c>
      <c r="T17" s="22" t="str">
        <f>IF($K17="","",IF(T$4="","",IF('Control Panel'!T16="",VLOOKUP($F17,'Table Output'!$A:$BW,MATCH(T$4,'Table Output'!$A$1:$BT$1,0),),'Control Panel'!T16)))</f>
        <v/>
      </c>
      <c r="U17" s="22" t="str">
        <f>IF($K17="","",IF(U$4="","",IF('Control Panel'!U16="",VLOOKUP($F17,'Table Output'!$A:$BW,MATCH(U$4,'Table Output'!$A$1:$BT$1,0),),'Control Panel'!U16)))</f>
        <v/>
      </c>
      <c r="W17" s="22" t="str">
        <f>IF($K17="","",IF('Control Panel'!W16="",VLOOKUP($F17,'Table Output'!$A$2:$BW$99998,MATCH(W$4,'Table Output'!$A$1:$BT$1,0),),'Control Panel'!W16))</f>
        <v/>
      </c>
      <c r="X17" s="22" t="str">
        <f>IF($K17="","",IF('Control Panel'!X16="",VLOOKUP($F17,'Table Output'!$A$2:$BW$99998,MATCH(X$4,'Table Output'!$A$1:$BT$1,0),),'Control Panel'!X16))</f>
        <v/>
      </c>
      <c r="Y17" s="22" t="str">
        <f>IF($K17="","",IF('Control Panel'!Y16="",VLOOKUP($F17,'Table Output'!$A$2:$BW$99998,MATCH(Y$4,'Table Output'!$A$1:$BT$1,0),),'Control Panel'!Y16))</f>
        <v/>
      </c>
      <c r="Z17" s="22" t="str">
        <f>IF($K17="","",IF('Control Panel'!Z16="",VLOOKUP($F17,'Table Output'!$A$2:$BW$99998,MATCH(Z$4,'Table Output'!$A$1:$BT$1,0),),'Control Panel'!Z16))</f>
        <v/>
      </c>
      <c r="AA17" s="22" t="str">
        <f>IF($K17="","",IF('Control Panel'!AA16="",VLOOKUP($F17,'Table Output'!$A$2:$BW$99998,MATCH(AA$4,'Table Output'!$A$1:$BT$1,0),),'Control Panel'!AA16))</f>
        <v/>
      </c>
      <c r="AB17" s="22" t="str">
        <f>IF($K17="","",IF('Control Panel'!AB16="",VLOOKUP($F17,'Table Output'!$A$2:$BW$99998,MATCH(AB$4,'Table Output'!$A$1:$BT$1,0),),'Control Panel'!AB16))</f>
        <v/>
      </c>
      <c r="AC17" s="22" t="str">
        <f>IF($K17="","",IF('Control Panel'!AC16="",VLOOKUP($F17,'Table Output'!$A$2:$BW$99998,MATCH(AC$4,'Table Output'!$A$1:$BT$1,0),),'Control Panel'!AC16))</f>
        <v/>
      </c>
      <c r="AD17" s="22" t="str">
        <f>IF($K17="","",IF('Control Panel'!AD16="",VLOOKUP($F17,'Table Output'!$A$2:$BW$99998,MATCH(AD$4,'Table Output'!$A$1:$BT$1,0),),'Control Panel'!AD16))</f>
        <v/>
      </c>
      <c r="AE17" s="22" t="str">
        <f>IF($K17="","",IF('Control Panel'!AE16="",VLOOKUP($F17,'Table Output'!$A$2:$BW$99998,MATCH(AE$4,'Table Output'!$A$1:$BT$1,0),),'Control Panel'!AE16))</f>
        <v/>
      </c>
      <c r="AF17" s="22" t="str">
        <f>IF($K17="","",IF('Control Panel'!AF16="",VLOOKUP($F17,'Table Output'!$A$2:$BW$99998,MATCH(AF$4,'Table Output'!$A$1:$BT$1,0),),'Control Panel'!AF16))</f>
        <v/>
      </c>
      <c r="AG17" s="22" t="str">
        <f>IF($K17="","",IF('Control Panel'!AG16="",VLOOKUP($F17,'Table Output'!$A$2:$BW$99998,MATCH(AG$4,'Table Output'!$A$1:$BT$1,0),),'Control Panel'!AG16))</f>
        <v/>
      </c>
      <c r="AH17" s="22" t="str">
        <f>IF($K17="","",IF('Control Panel'!AH16="",VLOOKUP($F17,'Table Output'!$A$2:$BW$99998,MATCH(AH$4,'Table Output'!$A$1:$BT$1,0),),'Control Panel'!AH16))</f>
        <v/>
      </c>
      <c r="AI17" s="22" t="str">
        <f>IF($K17="","",IF('Control Panel'!AI16="",VLOOKUP($F17,'Table Output'!$A$2:$BW$99998,MATCH(AI$4,'Table Output'!$A$1:$BT$1,0),),'Control Panel'!AI16))</f>
        <v/>
      </c>
      <c r="AJ17" s="22" t="str">
        <f>IF($K17="","",IF('Control Panel'!AJ16="",VLOOKUP($F17,'Table Output'!$A$2:$BW$99998,MATCH(AJ$4,'Table Output'!$A$1:$BT$1,0),),'Control Panel'!AJ16))</f>
        <v/>
      </c>
      <c r="AK17" s="22" t="str">
        <f>IF($K17="","",IF('Control Panel'!AK16="",VLOOKUP($F17,'Table Output'!$A$2:$BW$99998,MATCH(AK$4,'Table Output'!$A$1:$BT$1,0),),'Control Panel'!AK16))</f>
        <v/>
      </c>
      <c r="AL17" s="22" t="str">
        <f>IF($K17="","",IF('Control Panel'!AL16="",VLOOKUP($F17,'Table Output'!$A$2:$BW$99998,MATCH(AL$4,'Table Output'!$A$1:$BT$1,0),),'Control Panel'!AL16))</f>
        <v/>
      </c>
      <c r="AN17" s="35" t="str">
        <f t="shared" si="0"/>
        <v/>
      </c>
      <c r="AO17" s="32" t="str">
        <f>IF(AO$4="","",IF($K17="","",IF('Control Panel'!AO16="",VLOOKUP($F17,'Table Output'!$A$2:$BW$99998,MATCH(AO$4,'Table Output'!$A$1:$BT$1,0),FALSE),'Control Panel'!AO16)))</f>
        <v/>
      </c>
      <c r="AP17" s="32" t="str">
        <f>IF(AP$4="","",IF($K17="","",IF('Control Panel'!AP16="",VLOOKUP($F17,'Table Output'!$A$2:$BW$99998,MATCH(AP$4,'Table Output'!$A$1:$BT$1,0),FALSE),'Control Panel'!AP16)))</f>
        <v/>
      </c>
      <c r="AQ17" s="32" t="str">
        <f>IF(AQ$4="","",IF($K17="","",IF('Control Panel'!AQ16="",VLOOKUP($F17,'Table Output'!$A$2:$BW$99998,MATCH(AQ$4,'Table Output'!$A$1:$BT$1,0),FALSE),'Control Panel'!AQ16)))</f>
        <v/>
      </c>
      <c r="AR17" s="32" t="str">
        <f>IF(AR$4="","",IF($K17="","",IF('Control Panel'!AR16="",VLOOKUP($F17,'Table Output'!$A$2:$BW$99998,MATCH(AR$4,'Table Output'!$A$1:$BT$1,0),FALSE),'Control Panel'!AR16)))</f>
        <v/>
      </c>
      <c r="AS17" s="32" t="str">
        <f>IF(AS$4="","",IF($K17="","",IF('Control Panel'!AS16="",VLOOKUP($F17,'Table Output'!$A$2:$BW$99998,MATCH(AS$4,'Table Output'!$A$1:$BT$1,0),FALSE),'Control Panel'!AS16)))</f>
        <v/>
      </c>
      <c r="AT17" s="32" t="str">
        <f>IF(AT$4="","",IF($K17="","",IF('Control Panel'!AT16="",VLOOKUP($F17,'Table Output'!$A$2:$BW$99998,MATCH(AT$4,'Table Output'!$A$1:$BT$1,0),FALSE),'Control Panel'!AT16)))</f>
        <v/>
      </c>
      <c r="AU17" s="32" t="str">
        <f>IF(AU$4="","",IF($K17="","",IF('Control Panel'!AU16="",VLOOKUP($F17,'Table Output'!$A$2:$BW$99998,MATCH(AU$4,'Table Output'!$A$1:$BT$1,0),FALSE),'Control Panel'!AU16)))</f>
        <v/>
      </c>
      <c r="AV17" s="32" t="str">
        <f>IF(AV$4="","",IF($K17="","",IF('Control Panel'!AV16="",VLOOKUP($F17,'Table Output'!$A$2:$BW$99998,MATCH(AV$4,'Table Output'!$A$1:$BT$1,0),FALSE),'Control Panel'!AV16)))</f>
        <v/>
      </c>
      <c r="AW17" s="32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 t="str">
        <f>IF('Control Panel'!E17="","",'Control Panel'!E17)</f>
        <v/>
      </c>
      <c r="F18" s="2" t="str">
        <f>IF(E18=1,IF('Control Panel'!F17="","",'Control Panel'!F17),"")</f>
        <v/>
      </c>
      <c r="G18" s="2" t="str">
        <f>IF(E18=1,IF('Control Panel'!G17="","",'Control Panel'!G17),"")</f>
        <v/>
      </c>
      <c r="H18" s="2" t="str">
        <f>IF(E18=1,IF('Control Panel'!H17="","",'Control Panel'!H17),"")</f>
        <v/>
      </c>
      <c r="I18" s="2" t="str">
        <f>IF(E18=1,IF('Control Panel'!I17="","",'Control Panel'!I17),"")</f>
        <v/>
      </c>
      <c r="J18" s="2" t="str">
        <f>IF(E18=1,IF('Control Panel'!J17="","",'Control Panel'!J17),"")</f>
        <v/>
      </c>
      <c r="K18" s="26" t="str">
        <f>IF(E18=1,IF('Control Panel'!K17="","",'Control Panel'!K17),"")</f>
        <v/>
      </c>
      <c r="L18" s="22" t="str">
        <f>IF($K18="","",IF(L$4="","",IF('Control Panel'!L17="",VLOOKUP($F18,'Table Output'!$A:$BW,MATCH(L$4,'Table Output'!$A$1:$BT$1,0),),'Control Panel'!L17)))</f>
        <v/>
      </c>
      <c r="M18" s="22" t="str">
        <f>IF($K18="","",IF(M$4="","",IF('Control Panel'!M17="",VLOOKUP($F18,'Table Output'!$A:$BW,MATCH(M$4,'Table Output'!$A$1:$BT$1,0),),'Control Panel'!M17)))</f>
        <v/>
      </c>
      <c r="N18" s="22" t="str">
        <f>IF($K18="","",IF(N$4="","",IF('Control Panel'!N17="",VLOOKUP($F18,'Table Output'!$A:$BW,MATCH(N$4,'Table Output'!$A$1:$BT$1,0),),'Control Panel'!N17)))</f>
        <v/>
      </c>
      <c r="O18" s="22" t="str">
        <f>IF($K18="","",IF(O$4="","",IF('Control Panel'!O17="",VLOOKUP($F18,'Table Output'!$A:$BW,MATCH(O$4,'Table Output'!$A$1:$BT$1,0),),'Control Panel'!O17)))</f>
        <v/>
      </c>
      <c r="P18" s="22" t="str">
        <f>IF($K18="","",IF(P$4="","",IF('Control Panel'!P17="",VLOOKUP($F18,'Table Output'!$A:$BW,MATCH(P$4,'Table Output'!$A$1:$BT$1,0),),'Control Panel'!P17)))</f>
        <v/>
      </c>
      <c r="Q18" s="22" t="str">
        <f>IF($K18="","",IF(Q$4="","",IF('Control Panel'!Q17="",VLOOKUP($F18,'Table Output'!$A:$BW,MATCH(Q$4,'Table Output'!$A$1:$BT$1,0),),'Control Panel'!Q17)))</f>
        <v/>
      </c>
      <c r="R18" s="22" t="str">
        <f>IF($K18="","",IF(R$4="","",IF('Control Panel'!R17="",VLOOKUP($F18,'Table Output'!$A:$BW,MATCH(R$4,'Table Output'!$A$1:$BT$1,0),),'Control Panel'!R17)))</f>
        <v/>
      </c>
      <c r="S18" s="22" t="str">
        <f>IF($K18="","",IF(S$4="","",IF('Control Panel'!S17="",VLOOKUP($F18,'Table Output'!$A:$BW,MATCH(S$4,'Table Output'!$A$1:$BT$1,0),),'Control Panel'!S17)))</f>
        <v/>
      </c>
      <c r="T18" s="22" t="str">
        <f>IF($K18="","",IF(T$4="","",IF('Control Panel'!T17="",VLOOKUP($F18,'Table Output'!$A:$BW,MATCH(T$4,'Table Output'!$A$1:$BT$1,0),),'Control Panel'!T17)))</f>
        <v/>
      </c>
      <c r="U18" s="22" t="str">
        <f>IF($K18="","",IF(U$4="","",IF('Control Panel'!U17="",VLOOKUP($F18,'Table Output'!$A:$BW,MATCH(U$4,'Table Output'!$A$1:$BT$1,0),),'Control Panel'!U17)))</f>
        <v/>
      </c>
      <c r="W18" s="22" t="str">
        <f>IF($K18="","",IF('Control Panel'!W17="",VLOOKUP($F18,'Table Output'!$A$2:$BW$99998,MATCH(W$4,'Table Output'!$A$1:$BT$1,0),),'Control Panel'!W17))</f>
        <v/>
      </c>
      <c r="X18" s="22" t="str">
        <f>IF($K18="","",IF('Control Panel'!X17="",VLOOKUP($F18,'Table Output'!$A$2:$BW$99998,MATCH(X$4,'Table Output'!$A$1:$BT$1,0),),'Control Panel'!X17))</f>
        <v/>
      </c>
      <c r="Y18" s="22" t="str">
        <f>IF($K18="","",IF('Control Panel'!Y17="",VLOOKUP($F18,'Table Output'!$A$2:$BW$99998,MATCH(Y$4,'Table Output'!$A$1:$BT$1,0),),'Control Panel'!Y17))</f>
        <v/>
      </c>
      <c r="Z18" s="22" t="str">
        <f>IF($K18="","",IF('Control Panel'!Z17="",VLOOKUP($F18,'Table Output'!$A$2:$BW$99998,MATCH(Z$4,'Table Output'!$A$1:$BT$1,0),),'Control Panel'!Z17))</f>
        <v/>
      </c>
      <c r="AA18" s="22" t="str">
        <f>IF($K18="","",IF('Control Panel'!AA17="",VLOOKUP($F18,'Table Output'!$A$2:$BW$99998,MATCH(AA$4,'Table Output'!$A$1:$BT$1,0),),'Control Panel'!AA17))</f>
        <v/>
      </c>
      <c r="AB18" s="22" t="str">
        <f>IF($K18="","",IF('Control Panel'!AB17="",VLOOKUP($F18,'Table Output'!$A$2:$BW$99998,MATCH(AB$4,'Table Output'!$A$1:$BT$1,0),),'Control Panel'!AB17))</f>
        <v/>
      </c>
      <c r="AC18" s="22" t="str">
        <f>IF($K18="","",IF('Control Panel'!AC17="",VLOOKUP($F18,'Table Output'!$A$2:$BW$99998,MATCH(AC$4,'Table Output'!$A$1:$BT$1,0),),'Control Panel'!AC17))</f>
        <v/>
      </c>
      <c r="AD18" s="22" t="str">
        <f>IF($K18="","",IF('Control Panel'!AD17="",VLOOKUP($F18,'Table Output'!$A$2:$BW$99998,MATCH(AD$4,'Table Output'!$A$1:$BT$1,0),),'Control Panel'!AD17))</f>
        <v/>
      </c>
      <c r="AE18" s="22" t="str">
        <f>IF($K18="","",IF('Control Panel'!AE17="",VLOOKUP($F18,'Table Output'!$A$2:$BW$99998,MATCH(AE$4,'Table Output'!$A$1:$BT$1,0),),'Control Panel'!AE17))</f>
        <v/>
      </c>
      <c r="AF18" s="22" t="str">
        <f>IF($K18="","",IF('Control Panel'!AF17="",VLOOKUP($F18,'Table Output'!$A$2:$BW$99998,MATCH(AF$4,'Table Output'!$A$1:$BT$1,0),),'Control Panel'!AF17))</f>
        <v/>
      </c>
      <c r="AG18" s="22" t="str">
        <f>IF($K18="","",IF('Control Panel'!AG17="",VLOOKUP($F18,'Table Output'!$A$2:$BW$99998,MATCH(AG$4,'Table Output'!$A$1:$BT$1,0),),'Control Panel'!AG17))</f>
        <v/>
      </c>
      <c r="AH18" s="22" t="str">
        <f>IF($K18="","",IF('Control Panel'!AH17="",VLOOKUP($F18,'Table Output'!$A$2:$BW$99998,MATCH(AH$4,'Table Output'!$A$1:$BT$1,0),),'Control Panel'!AH17))</f>
        <v/>
      </c>
      <c r="AI18" s="22" t="str">
        <f>IF($K18="","",IF('Control Panel'!AI17="",VLOOKUP($F18,'Table Output'!$A$2:$BW$99998,MATCH(AI$4,'Table Output'!$A$1:$BT$1,0),),'Control Panel'!AI17))</f>
        <v/>
      </c>
      <c r="AJ18" s="22" t="str">
        <f>IF($K18="","",IF('Control Panel'!AJ17="",VLOOKUP($F18,'Table Output'!$A$2:$BW$99998,MATCH(AJ$4,'Table Output'!$A$1:$BT$1,0),),'Control Panel'!AJ17))</f>
        <v/>
      </c>
      <c r="AK18" s="22" t="str">
        <f>IF($K18="","",IF('Control Panel'!AK17="",VLOOKUP($F18,'Table Output'!$A$2:$BW$99998,MATCH(AK$4,'Table Output'!$A$1:$BT$1,0),),'Control Panel'!AK17))</f>
        <v/>
      </c>
      <c r="AL18" s="22" t="str">
        <f>IF($K18="","",IF('Control Panel'!AL17="",VLOOKUP($F18,'Table Output'!$A$2:$BW$99998,MATCH(AL$4,'Table Output'!$A$1:$BT$1,0),),'Control Panel'!AL17))</f>
        <v/>
      </c>
      <c r="AN18" s="35" t="str">
        <f t="shared" si="0"/>
        <v/>
      </c>
      <c r="AO18" s="32" t="str">
        <f>IF(AO$4="","",IF($K18="","",IF('Control Panel'!AO17="",VLOOKUP($F18,'Table Output'!$A$2:$BW$99998,MATCH(AO$4,'Table Output'!$A$1:$BT$1,0),FALSE),'Control Panel'!AO17)))</f>
        <v/>
      </c>
      <c r="AP18" s="32" t="str">
        <f>IF(AP$4="","",IF($K18="","",IF('Control Panel'!AP17="",VLOOKUP($F18,'Table Output'!$A$2:$BW$99998,MATCH(AP$4,'Table Output'!$A$1:$BT$1,0),FALSE),'Control Panel'!AP17)))</f>
        <v/>
      </c>
      <c r="AQ18" s="32" t="str">
        <f>IF(AQ$4="","",IF($K18="","",IF('Control Panel'!AQ17="",VLOOKUP($F18,'Table Output'!$A$2:$BW$99998,MATCH(AQ$4,'Table Output'!$A$1:$BT$1,0),FALSE),'Control Panel'!AQ17)))</f>
        <v/>
      </c>
      <c r="AR18" s="32" t="str">
        <f>IF(AR$4="","",IF($K18="","",IF('Control Panel'!AR17="",VLOOKUP($F18,'Table Output'!$A$2:$BW$99998,MATCH(AR$4,'Table Output'!$A$1:$BT$1,0),FALSE),'Control Panel'!AR17)))</f>
        <v/>
      </c>
      <c r="AS18" s="32" t="str">
        <f>IF(AS$4="","",IF($K18="","",IF('Control Panel'!AS17="",VLOOKUP($F18,'Table Output'!$A$2:$BW$99998,MATCH(AS$4,'Table Output'!$A$1:$BT$1,0),FALSE),'Control Panel'!AS17)))</f>
        <v/>
      </c>
      <c r="AT18" s="32" t="str">
        <f>IF(AT$4="","",IF($K18="","",IF('Control Panel'!AT17="",VLOOKUP($F18,'Table Output'!$A$2:$BW$99998,MATCH(AT$4,'Table Output'!$A$1:$BT$1,0),FALSE),'Control Panel'!AT17)))</f>
        <v/>
      </c>
      <c r="AU18" s="32" t="str">
        <f>IF(AU$4="","",IF($K18="","",IF('Control Panel'!AU17="",VLOOKUP($F18,'Table Output'!$A$2:$BW$99998,MATCH(AU$4,'Table Output'!$A$1:$BT$1,0),FALSE),'Control Panel'!AU17)))</f>
        <v/>
      </c>
      <c r="AV18" s="32" t="str">
        <f>IF(AV$4="","",IF($K18="","",IF('Control Panel'!AV17="",VLOOKUP($F18,'Table Output'!$A$2:$BW$99998,MATCH(AV$4,'Table Output'!$A$1:$BT$1,0),FALSE),'Control Panel'!AV17)))</f>
        <v/>
      </c>
      <c r="AW18" s="32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6" t="str">
        <f>IF(E19=1,IF('Control Panel'!K18="","",'Control Panel'!K18),"")</f>
        <v/>
      </c>
      <c r="L19" s="22" t="str">
        <f>IF($K19="","",IF(L$4="","",IF('Control Panel'!L18="",VLOOKUP($F19,'Table Output'!$A:$BW,MATCH(L$4,'Table Output'!$A$1:$BT$1,0),),'Control Panel'!L18)))</f>
        <v/>
      </c>
      <c r="M19" s="22" t="str">
        <f>IF($K19="","",IF(M$4="","",IF('Control Panel'!M18="",VLOOKUP($F19,'Table Output'!$A:$BW,MATCH(M$4,'Table Output'!$A$1:$BT$1,0),),'Control Panel'!M18)))</f>
        <v/>
      </c>
      <c r="N19" s="22" t="str">
        <f>IF($K19="","",IF(N$4="","",IF('Control Panel'!N18="",VLOOKUP($F19,'Table Output'!$A:$BW,MATCH(N$4,'Table Output'!$A$1:$BT$1,0),),'Control Panel'!N18)))</f>
        <v/>
      </c>
      <c r="O19" s="22" t="str">
        <f>IF($K19="","",IF(O$4="","",IF('Control Panel'!O18="",VLOOKUP($F19,'Table Output'!$A:$BW,MATCH(O$4,'Table Output'!$A$1:$BT$1,0),),'Control Panel'!O18)))</f>
        <v/>
      </c>
      <c r="P19" s="22" t="str">
        <f>IF($K19="","",IF(P$4="","",IF('Control Panel'!P18="",VLOOKUP($F19,'Table Output'!$A:$BW,MATCH(P$4,'Table Output'!$A$1:$BT$1,0),),'Control Panel'!P18)))</f>
        <v/>
      </c>
      <c r="Q19" s="22" t="str">
        <f>IF($K19="","",IF(Q$4="","",IF('Control Panel'!Q18="",VLOOKUP($F19,'Table Output'!$A:$BW,MATCH(Q$4,'Table Output'!$A$1:$BT$1,0),),'Control Panel'!Q18)))</f>
        <v/>
      </c>
      <c r="R19" s="22" t="str">
        <f>IF($K19="","",IF(R$4="","",IF('Control Panel'!R18="",VLOOKUP($F19,'Table Output'!$A:$BW,MATCH(R$4,'Table Output'!$A$1:$BT$1,0),),'Control Panel'!R18)))</f>
        <v/>
      </c>
      <c r="S19" s="22" t="str">
        <f>IF($K19="","",IF(S$4="","",IF('Control Panel'!S18="",VLOOKUP($F19,'Table Output'!$A:$BW,MATCH(S$4,'Table Output'!$A$1:$BT$1,0),),'Control Panel'!S18)))</f>
        <v/>
      </c>
      <c r="T19" s="22" t="str">
        <f>IF($K19="","",IF(T$4="","",IF('Control Panel'!T18="",VLOOKUP($F19,'Table Output'!$A:$BW,MATCH(T$4,'Table Output'!$A$1:$BT$1,0),),'Control Panel'!T18)))</f>
        <v/>
      </c>
      <c r="U19" s="22" t="str">
        <f>IF($K19="","",IF(U$4="","",IF('Control Panel'!U18="",VLOOKUP($F19,'Table Output'!$A:$BW,MATCH(U$4,'Table Output'!$A$1:$BT$1,0),),'Control Panel'!U18)))</f>
        <v/>
      </c>
      <c r="W19" s="22" t="str">
        <f>IF($K19="","",IF('Control Panel'!W18="",VLOOKUP($F19,'Table Output'!$A$2:$BW$99998,MATCH(W$4,'Table Output'!$A$1:$BT$1,0),),'Control Panel'!W18))</f>
        <v/>
      </c>
      <c r="X19" s="22" t="str">
        <f>IF($K19="","",IF('Control Panel'!X18="",VLOOKUP($F19,'Table Output'!$A$2:$BW$99998,MATCH(X$4,'Table Output'!$A$1:$BT$1,0),),'Control Panel'!X18))</f>
        <v/>
      </c>
      <c r="Y19" s="22" t="str">
        <f>IF($K19="","",IF('Control Panel'!Y18="",VLOOKUP($F19,'Table Output'!$A$2:$BW$99998,MATCH(Y$4,'Table Output'!$A$1:$BT$1,0),),'Control Panel'!Y18))</f>
        <v/>
      </c>
      <c r="Z19" s="22" t="str">
        <f>IF($K19="","",IF('Control Panel'!Z18="",VLOOKUP($F19,'Table Output'!$A$2:$BW$99998,MATCH(Z$4,'Table Output'!$A$1:$BT$1,0),),'Control Panel'!Z18))</f>
        <v/>
      </c>
      <c r="AA19" s="22" t="str">
        <f>IF($K19="","",IF('Control Panel'!AA18="",VLOOKUP($F19,'Table Output'!$A$2:$BW$99998,MATCH(AA$4,'Table Output'!$A$1:$BT$1,0),),'Control Panel'!AA18))</f>
        <v/>
      </c>
      <c r="AB19" s="22" t="str">
        <f>IF($K19="","",IF('Control Panel'!AB18="",VLOOKUP($F19,'Table Output'!$A$2:$BW$99998,MATCH(AB$4,'Table Output'!$A$1:$BT$1,0),),'Control Panel'!AB18))</f>
        <v/>
      </c>
      <c r="AC19" s="22" t="str">
        <f>IF($K19="","",IF('Control Panel'!AC18="",VLOOKUP($F19,'Table Output'!$A$2:$BW$99998,MATCH(AC$4,'Table Output'!$A$1:$BT$1,0),),'Control Panel'!AC18))</f>
        <v/>
      </c>
      <c r="AD19" s="22" t="str">
        <f>IF($K19="","",IF('Control Panel'!AD18="",VLOOKUP($F19,'Table Output'!$A$2:$BW$99998,MATCH(AD$4,'Table Output'!$A$1:$BT$1,0),),'Control Panel'!AD18))</f>
        <v/>
      </c>
      <c r="AE19" s="22" t="str">
        <f>IF($K19="","",IF('Control Panel'!AE18="",VLOOKUP($F19,'Table Output'!$A$2:$BW$99998,MATCH(AE$4,'Table Output'!$A$1:$BT$1,0),),'Control Panel'!AE18))</f>
        <v/>
      </c>
      <c r="AF19" s="22" t="str">
        <f>IF($K19="","",IF('Control Panel'!AF18="",VLOOKUP($F19,'Table Output'!$A$2:$BW$99998,MATCH(AF$4,'Table Output'!$A$1:$BT$1,0),),'Control Panel'!AF18))</f>
        <v/>
      </c>
      <c r="AG19" s="22" t="str">
        <f>IF($K19="","",IF('Control Panel'!AG18="",VLOOKUP($F19,'Table Output'!$A$2:$BW$99998,MATCH(AG$4,'Table Output'!$A$1:$BT$1,0),),'Control Panel'!AG18))</f>
        <v/>
      </c>
      <c r="AH19" s="22" t="str">
        <f>IF($K19="","",IF('Control Panel'!AH18="",VLOOKUP($F19,'Table Output'!$A$2:$BW$99998,MATCH(AH$4,'Table Output'!$A$1:$BT$1,0),),'Control Panel'!AH18))</f>
        <v/>
      </c>
      <c r="AI19" s="22" t="str">
        <f>IF($K19="","",IF('Control Panel'!AI18="",VLOOKUP($F19,'Table Output'!$A$2:$BW$99998,MATCH(AI$4,'Table Output'!$A$1:$BT$1,0),),'Control Panel'!AI18))</f>
        <v/>
      </c>
      <c r="AJ19" s="22" t="str">
        <f>IF($K19="","",IF('Control Panel'!AJ18="",VLOOKUP($F19,'Table Output'!$A$2:$BW$99998,MATCH(AJ$4,'Table Output'!$A$1:$BT$1,0),),'Control Panel'!AJ18))</f>
        <v/>
      </c>
      <c r="AK19" s="22" t="str">
        <f>IF($K19="","",IF('Control Panel'!AK18="",VLOOKUP($F19,'Table Output'!$A$2:$BW$99998,MATCH(AK$4,'Table Output'!$A$1:$BT$1,0),),'Control Panel'!AK18))</f>
        <v/>
      </c>
      <c r="AL19" s="22" t="str">
        <f>IF($K19="","",IF('Control Panel'!AL18="",VLOOKUP($F19,'Table Output'!$A$2:$BW$99998,MATCH(AL$4,'Table Output'!$A$1:$BT$1,0),),'Control Panel'!AL18))</f>
        <v/>
      </c>
      <c r="AN19" s="35" t="str">
        <f t="shared" si="0"/>
        <v/>
      </c>
      <c r="AO19" s="32" t="str">
        <f>IF(AO$4="","",IF($K19="","",IF('Control Panel'!AO18="",VLOOKUP($F19,'Table Output'!$A$2:$BW$99998,MATCH(AO$4,'Table Output'!$A$1:$BT$1,0),FALSE),'Control Panel'!AO18)))</f>
        <v/>
      </c>
      <c r="AP19" s="32" t="str">
        <f>IF(AP$4="","",IF($K19="","",IF('Control Panel'!AP18="",VLOOKUP($F19,'Table Output'!$A$2:$BW$99998,MATCH(AP$4,'Table Output'!$A$1:$BT$1,0),FALSE),'Control Panel'!AP18)))</f>
        <v/>
      </c>
      <c r="AQ19" s="32" t="str">
        <f>IF(AQ$4="","",IF($K19="","",IF('Control Panel'!AQ18="",VLOOKUP($F19,'Table Output'!$A$2:$BW$99998,MATCH(AQ$4,'Table Output'!$A$1:$BT$1,0),FALSE),'Control Panel'!AQ18)))</f>
        <v/>
      </c>
      <c r="AR19" s="32" t="str">
        <f>IF(AR$4="","",IF($K19="","",IF('Control Panel'!AR18="",VLOOKUP($F19,'Table Output'!$A$2:$BW$99998,MATCH(AR$4,'Table Output'!$A$1:$BT$1,0),FALSE),'Control Panel'!AR18)))</f>
        <v/>
      </c>
      <c r="AS19" s="32" t="str">
        <f>IF(AS$4="","",IF($K19="","",IF('Control Panel'!AS18="",VLOOKUP($F19,'Table Output'!$A$2:$BW$99998,MATCH(AS$4,'Table Output'!$A$1:$BT$1,0),FALSE),'Control Panel'!AS18)))</f>
        <v/>
      </c>
      <c r="AT19" s="32" t="str">
        <f>IF(AT$4="","",IF($K19="","",IF('Control Panel'!AT18="",VLOOKUP($F19,'Table Output'!$A$2:$BW$99998,MATCH(AT$4,'Table Output'!$A$1:$BT$1,0),FALSE),'Control Panel'!AT18)))</f>
        <v/>
      </c>
      <c r="AU19" s="32" t="str">
        <f>IF(AU$4="","",IF($K19="","",IF('Control Panel'!AU18="",VLOOKUP($F19,'Table Output'!$A$2:$BW$99998,MATCH(AU$4,'Table Output'!$A$1:$BT$1,0),FALSE),'Control Panel'!AU18)))</f>
        <v/>
      </c>
      <c r="AV19" s="32" t="str">
        <f>IF(AV$4="","",IF($K19="","",IF('Control Panel'!AV18="",VLOOKUP($F19,'Table Output'!$A$2:$BW$99998,MATCH(AV$4,'Table Output'!$A$1:$BT$1,0),FALSE),'Control Panel'!AV18)))</f>
        <v/>
      </c>
      <c r="AW19" s="32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1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6" t="str">
        <f>IF(E20=1,IF('Control Panel'!K19="","",'Control Panel'!K19),"")</f>
        <v/>
      </c>
      <c r="L20" s="22" t="str">
        <f>IF($K20="","",IF(L$4="","",IF('Control Panel'!L19="",VLOOKUP($F20,'Table Output'!$A:$BW,MATCH(L$4,'Table Output'!$A$1:$BT$1,0),),'Control Panel'!L19)))</f>
        <v/>
      </c>
      <c r="M20" s="22" t="str">
        <f>IF($K20="","",IF(M$4="","",IF('Control Panel'!M19="",VLOOKUP($F20,'Table Output'!$A:$BW,MATCH(M$4,'Table Output'!$A$1:$BT$1,0),),'Control Panel'!M19)))</f>
        <v/>
      </c>
      <c r="N20" s="22" t="str">
        <f>IF($K20="","",IF(N$4="","",IF('Control Panel'!N19="",VLOOKUP($F20,'Table Output'!$A:$BW,MATCH(N$4,'Table Output'!$A$1:$BT$1,0),),'Control Panel'!N19)))</f>
        <v/>
      </c>
      <c r="O20" s="22" t="str">
        <f>IF($K20="","",IF(O$4="","",IF('Control Panel'!O19="",VLOOKUP($F20,'Table Output'!$A:$BW,MATCH(O$4,'Table Output'!$A$1:$BT$1,0),),'Control Panel'!O19)))</f>
        <v/>
      </c>
      <c r="P20" s="22" t="str">
        <f>IF($K20="","",IF(P$4="","",IF('Control Panel'!P19="",VLOOKUP($F20,'Table Output'!$A:$BW,MATCH(P$4,'Table Output'!$A$1:$BT$1,0),),'Control Panel'!P19)))</f>
        <v/>
      </c>
      <c r="Q20" s="22" t="str">
        <f>IF($K20="","",IF(Q$4="","",IF('Control Panel'!Q19="",VLOOKUP($F20,'Table Output'!$A:$BW,MATCH(Q$4,'Table Output'!$A$1:$BT$1,0),),'Control Panel'!Q19)))</f>
        <v/>
      </c>
      <c r="R20" s="22" t="str">
        <f>IF($K20="","",IF(R$4="","",IF('Control Panel'!R19="",VLOOKUP($F20,'Table Output'!$A:$BW,MATCH(R$4,'Table Output'!$A$1:$BT$1,0),),'Control Panel'!R19)))</f>
        <v/>
      </c>
      <c r="S20" s="22" t="str">
        <f>IF($K20="","",IF(S$4="","",IF('Control Panel'!S19="",VLOOKUP($F20,'Table Output'!$A:$BW,MATCH(S$4,'Table Output'!$A$1:$BT$1,0),),'Control Panel'!S19)))</f>
        <v/>
      </c>
      <c r="T20" s="22" t="str">
        <f>IF($K20="","",IF(T$4="","",IF('Control Panel'!T19="",VLOOKUP($F20,'Table Output'!$A:$BW,MATCH(T$4,'Table Output'!$A$1:$BT$1,0),),'Control Panel'!T19)))</f>
        <v/>
      </c>
      <c r="U20" s="22" t="str">
        <f>IF($K20="","",IF(U$4="","",IF('Control Panel'!U19="",VLOOKUP($F20,'Table Output'!$A:$BW,MATCH(U$4,'Table Output'!$A$1:$BT$1,0),),'Control Panel'!U19)))</f>
        <v/>
      </c>
      <c r="W20" s="22" t="str">
        <f>IF($K20="","",IF('Control Panel'!W19="",VLOOKUP($F20,'Table Output'!$A$2:$BW$99998,MATCH(W$4,'Table Output'!$A$1:$BT$1,0),),'Control Panel'!W19))</f>
        <v/>
      </c>
      <c r="X20" s="22" t="str">
        <f>IF($K20="","",IF('Control Panel'!X19="",VLOOKUP($F20,'Table Output'!$A$2:$BW$99998,MATCH(X$4,'Table Output'!$A$1:$BT$1,0),),'Control Panel'!X19))</f>
        <v/>
      </c>
      <c r="Y20" s="22" t="str">
        <f>IF($K20="","",IF('Control Panel'!Y19="",VLOOKUP($F20,'Table Output'!$A$2:$BW$99998,MATCH(Y$4,'Table Output'!$A$1:$BT$1,0),),'Control Panel'!Y19))</f>
        <v/>
      </c>
      <c r="Z20" s="22" t="str">
        <f>IF($K20="","",IF('Control Panel'!Z19="",VLOOKUP($F20,'Table Output'!$A$2:$BW$99998,MATCH(Z$4,'Table Output'!$A$1:$BT$1,0),),'Control Panel'!Z19))</f>
        <v/>
      </c>
      <c r="AA20" s="22" t="str">
        <f>IF($K20="","",IF('Control Panel'!AA19="",VLOOKUP($F20,'Table Output'!$A$2:$BW$99998,MATCH(AA$4,'Table Output'!$A$1:$BT$1,0),),'Control Panel'!AA19))</f>
        <v/>
      </c>
      <c r="AB20" s="22" t="str">
        <f>IF($K20="","",IF('Control Panel'!AB19="",VLOOKUP($F20,'Table Output'!$A$2:$BW$99998,MATCH(AB$4,'Table Output'!$A$1:$BT$1,0),),'Control Panel'!AB19))</f>
        <v/>
      </c>
      <c r="AC20" s="22" t="str">
        <f>IF($K20="","",IF('Control Panel'!AC19="",VLOOKUP($F20,'Table Output'!$A$2:$BW$99998,MATCH(AC$4,'Table Output'!$A$1:$BT$1,0),),'Control Panel'!AC19))</f>
        <v/>
      </c>
      <c r="AD20" s="22" t="str">
        <f>IF($K20="","",IF('Control Panel'!AD19="",VLOOKUP($F20,'Table Output'!$A$2:$BW$99998,MATCH(AD$4,'Table Output'!$A$1:$BT$1,0),),'Control Panel'!AD19))</f>
        <v/>
      </c>
      <c r="AE20" s="22" t="str">
        <f>IF($K20="","",IF('Control Panel'!AE19="",VLOOKUP($F20,'Table Output'!$A$2:$BW$99998,MATCH(AE$4,'Table Output'!$A$1:$BT$1,0),),'Control Panel'!AE19))</f>
        <v/>
      </c>
      <c r="AF20" s="22" t="str">
        <f>IF($K20="","",IF('Control Panel'!AF19="",VLOOKUP($F20,'Table Output'!$A$2:$BW$99998,MATCH(AF$4,'Table Output'!$A$1:$BT$1,0),),'Control Panel'!AF19))</f>
        <v/>
      </c>
      <c r="AG20" s="22" t="str">
        <f>IF($K20="","",IF('Control Panel'!AG19="",VLOOKUP($F20,'Table Output'!$A$2:$BW$99998,MATCH(AG$4,'Table Output'!$A$1:$BT$1,0),),'Control Panel'!AG19))</f>
        <v/>
      </c>
      <c r="AH20" s="22" t="str">
        <f>IF($K20="","",IF('Control Panel'!AH19="",VLOOKUP($F20,'Table Output'!$A$2:$BW$99998,MATCH(AH$4,'Table Output'!$A$1:$BT$1,0),),'Control Panel'!AH19))</f>
        <v/>
      </c>
      <c r="AI20" s="22" t="str">
        <f>IF($K20="","",IF('Control Panel'!AI19="",VLOOKUP($F20,'Table Output'!$A$2:$BW$99998,MATCH(AI$4,'Table Output'!$A$1:$BT$1,0),),'Control Panel'!AI19))</f>
        <v/>
      </c>
      <c r="AJ20" s="22" t="str">
        <f>IF($K20="","",IF('Control Panel'!AJ19="",VLOOKUP($F20,'Table Output'!$A$2:$BW$99998,MATCH(AJ$4,'Table Output'!$A$1:$BT$1,0),),'Control Panel'!AJ19))</f>
        <v/>
      </c>
      <c r="AK20" s="22" t="str">
        <f>IF($K20="","",IF('Control Panel'!AK19="",VLOOKUP($F20,'Table Output'!$A$2:$BW$99998,MATCH(AK$4,'Table Output'!$A$1:$BT$1,0),),'Control Panel'!AK19))</f>
        <v/>
      </c>
      <c r="AL20" s="22" t="str">
        <f>IF($K20="","",IF('Control Panel'!AL19="",VLOOKUP($F20,'Table Output'!$A$2:$BW$99998,MATCH(AL$4,'Table Output'!$A$1:$BT$1,0),),'Control Panel'!AL19))</f>
        <v/>
      </c>
      <c r="AN20" s="35" t="str">
        <f t="shared" si="0"/>
        <v/>
      </c>
      <c r="AO20" s="32" t="str">
        <f>IF(AO$4="","",IF($K20="","",IF('Control Panel'!AO19="",VLOOKUP($F20,'Table Output'!$A$2:$BW$99998,MATCH(AO$4,'Table Output'!$A$1:$BT$1,0),FALSE),'Control Panel'!AO19)))</f>
        <v/>
      </c>
      <c r="AP20" s="32" t="str">
        <f>IF(AP$4="","",IF($K20="","",IF('Control Panel'!AP19="",VLOOKUP($F20,'Table Output'!$A$2:$BW$99998,MATCH(AP$4,'Table Output'!$A$1:$BT$1,0),FALSE),'Control Panel'!AP19)))</f>
        <v/>
      </c>
      <c r="AQ20" s="32" t="str">
        <f>IF(AQ$4="","",IF($K20="","",IF('Control Panel'!AQ19="",VLOOKUP($F20,'Table Output'!$A$2:$BW$99998,MATCH(AQ$4,'Table Output'!$A$1:$BT$1,0),FALSE),'Control Panel'!AQ19)))</f>
        <v/>
      </c>
      <c r="AR20" s="32" t="str">
        <f>IF(AR$4="","",IF($K20="","",IF('Control Panel'!AR19="",VLOOKUP($F20,'Table Output'!$A$2:$BW$99998,MATCH(AR$4,'Table Output'!$A$1:$BT$1,0),FALSE),'Control Panel'!AR19)))</f>
        <v/>
      </c>
      <c r="AS20" s="32" t="str">
        <f>IF(AS$4="","",IF($K20="","",IF('Control Panel'!AS19="",VLOOKUP($F20,'Table Output'!$A$2:$BW$99998,MATCH(AS$4,'Table Output'!$A$1:$BT$1,0),FALSE),'Control Panel'!AS19)))</f>
        <v/>
      </c>
      <c r="AT20" s="32" t="str">
        <f>IF(AT$4="","",IF($K20="","",IF('Control Panel'!AT19="",VLOOKUP($F20,'Table Output'!$A$2:$BW$99998,MATCH(AT$4,'Table Output'!$A$1:$BT$1,0),FALSE),'Control Panel'!AT19)))</f>
        <v/>
      </c>
      <c r="AU20" s="32" t="str">
        <f>IF(AU$4="","",IF($K20="","",IF('Control Panel'!AU19="",VLOOKUP($F20,'Table Output'!$A$2:$BW$99998,MATCH(AU$4,'Table Output'!$A$1:$BT$1,0),FALSE),'Control Panel'!AU19)))</f>
        <v/>
      </c>
      <c r="AV20" s="32" t="str">
        <f>IF(AV$4="","",IF($K20="","",IF('Control Panel'!AV19="",VLOOKUP($F20,'Table Output'!$A$2:$BW$99998,MATCH(AV$4,'Table Output'!$A$1:$BT$1,0),FALSE),'Control Panel'!AV19)))</f>
        <v/>
      </c>
      <c r="AW20" s="32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6" t="str">
        <f>IF(E21=1,IF('Control Panel'!K20="","",'Control Panel'!K20),"")</f>
        <v/>
      </c>
      <c r="L21" s="22" t="str">
        <f>IF($K21="","",IF(L$4="","",IF('Control Panel'!L20="",VLOOKUP($F21,'Table Output'!$A:$BW,MATCH(L$4,'Table Output'!$A$1:$BT$1,0),),'Control Panel'!L20)))</f>
        <v/>
      </c>
      <c r="M21" s="22" t="str">
        <f>IF($K21="","",IF(M$4="","",IF('Control Panel'!M20="",VLOOKUP($F21,'Table Output'!$A:$BW,MATCH(M$4,'Table Output'!$A$1:$BT$1,0),),'Control Panel'!M20)))</f>
        <v/>
      </c>
      <c r="N21" s="22" t="str">
        <f>IF($K21="","",IF(N$4="","",IF('Control Panel'!N20="",VLOOKUP($F21,'Table Output'!$A:$BW,MATCH(N$4,'Table Output'!$A$1:$BT$1,0),),'Control Panel'!N20)))</f>
        <v/>
      </c>
      <c r="O21" s="22" t="str">
        <f>IF($K21="","",IF(O$4="","",IF('Control Panel'!O20="",VLOOKUP($F21,'Table Output'!$A:$BW,MATCH(O$4,'Table Output'!$A$1:$BT$1,0),),'Control Panel'!O20)))</f>
        <v/>
      </c>
      <c r="P21" s="22" t="str">
        <f>IF($K21="","",IF(P$4="","",IF('Control Panel'!P20="",VLOOKUP($F21,'Table Output'!$A:$BW,MATCH(P$4,'Table Output'!$A$1:$BT$1,0),),'Control Panel'!P20)))</f>
        <v/>
      </c>
      <c r="Q21" s="22" t="str">
        <f>IF($K21="","",IF(Q$4="","",IF('Control Panel'!Q20="",VLOOKUP($F21,'Table Output'!$A:$BW,MATCH(Q$4,'Table Output'!$A$1:$BT$1,0),),'Control Panel'!Q20)))</f>
        <v/>
      </c>
      <c r="R21" s="22" t="str">
        <f>IF($K21="","",IF(R$4="","",IF('Control Panel'!R20="",VLOOKUP($F21,'Table Output'!$A:$BW,MATCH(R$4,'Table Output'!$A$1:$BT$1,0),),'Control Panel'!R20)))</f>
        <v/>
      </c>
      <c r="S21" s="22" t="str">
        <f>IF($K21="","",IF(S$4="","",IF('Control Panel'!S20="",VLOOKUP($F21,'Table Output'!$A:$BW,MATCH(S$4,'Table Output'!$A$1:$BT$1,0),),'Control Panel'!S20)))</f>
        <v/>
      </c>
      <c r="T21" s="22" t="str">
        <f>IF($K21="","",IF(T$4="","",IF('Control Panel'!T20="",VLOOKUP($F21,'Table Output'!$A:$BW,MATCH(T$4,'Table Output'!$A$1:$BT$1,0),),'Control Panel'!T20)))</f>
        <v/>
      </c>
      <c r="U21" s="22" t="str">
        <f>IF($K21="","",IF(U$4="","",IF('Control Panel'!U20="",VLOOKUP($F21,'Table Output'!$A:$BW,MATCH(U$4,'Table Output'!$A$1:$BT$1,0),),'Control Panel'!U20)))</f>
        <v/>
      </c>
      <c r="W21" s="22" t="str">
        <f>IF($K21="","",IF('Control Panel'!W20="",VLOOKUP($F21,'Table Output'!$A$2:$BW$99998,MATCH(W$4,'Table Output'!$A$1:$BT$1,0),),'Control Panel'!W20))</f>
        <v/>
      </c>
      <c r="X21" s="22" t="str">
        <f>IF($K21="","",IF('Control Panel'!X20="",VLOOKUP($F21,'Table Output'!$A$2:$BW$99998,MATCH(X$4,'Table Output'!$A$1:$BT$1,0),),'Control Panel'!X20))</f>
        <v/>
      </c>
      <c r="Y21" s="22" t="str">
        <f>IF($K21="","",IF('Control Panel'!Y20="",VLOOKUP($F21,'Table Output'!$A$2:$BW$99998,MATCH(Y$4,'Table Output'!$A$1:$BT$1,0),),'Control Panel'!Y20))</f>
        <v/>
      </c>
      <c r="Z21" s="22" t="str">
        <f>IF($K21="","",IF('Control Panel'!Z20="",VLOOKUP($F21,'Table Output'!$A$2:$BW$99998,MATCH(Z$4,'Table Output'!$A$1:$BT$1,0),),'Control Panel'!Z20))</f>
        <v/>
      </c>
      <c r="AA21" s="22" t="str">
        <f>IF($K21="","",IF('Control Panel'!AA20="",VLOOKUP($F21,'Table Output'!$A$2:$BW$99998,MATCH(AA$4,'Table Output'!$A$1:$BT$1,0),),'Control Panel'!AA20))</f>
        <v/>
      </c>
      <c r="AB21" s="22" t="str">
        <f>IF($K21="","",IF('Control Panel'!AB20="",VLOOKUP($F21,'Table Output'!$A$2:$BW$99998,MATCH(AB$4,'Table Output'!$A$1:$BT$1,0),),'Control Panel'!AB20))</f>
        <v/>
      </c>
      <c r="AC21" s="22" t="str">
        <f>IF($K21="","",IF('Control Panel'!AC20="",VLOOKUP($F21,'Table Output'!$A$2:$BW$99998,MATCH(AC$4,'Table Output'!$A$1:$BT$1,0),),'Control Panel'!AC20))</f>
        <v/>
      </c>
      <c r="AD21" s="22" t="str">
        <f>IF($K21="","",IF('Control Panel'!AD20="",VLOOKUP($F21,'Table Output'!$A$2:$BW$99998,MATCH(AD$4,'Table Output'!$A$1:$BT$1,0),),'Control Panel'!AD20))</f>
        <v/>
      </c>
      <c r="AE21" s="22" t="str">
        <f>IF($K21="","",IF('Control Panel'!AE20="",VLOOKUP($F21,'Table Output'!$A$2:$BW$99998,MATCH(AE$4,'Table Output'!$A$1:$BT$1,0),),'Control Panel'!AE20))</f>
        <v/>
      </c>
      <c r="AF21" s="22" t="str">
        <f>IF($K21="","",IF('Control Panel'!AF20="",VLOOKUP($F21,'Table Output'!$A$2:$BW$99998,MATCH(AF$4,'Table Output'!$A$1:$BT$1,0),),'Control Panel'!AF20))</f>
        <v/>
      </c>
      <c r="AG21" s="22" t="str">
        <f>IF($K21="","",IF('Control Panel'!AG20="",VLOOKUP($F21,'Table Output'!$A$2:$BW$99998,MATCH(AG$4,'Table Output'!$A$1:$BT$1,0),),'Control Panel'!AG20))</f>
        <v/>
      </c>
      <c r="AH21" s="22" t="str">
        <f>IF($K21="","",IF('Control Panel'!AH20="",VLOOKUP($F21,'Table Output'!$A$2:$BW$99998,MATCH(AH$4,'Table Output'!$A$1:$BT$1,0),),'Control Panel'!AH20))</f>
        <v/>
      </c>
      <c r="AI21" s="22" t="str">
        <f>IF($K21="","",IF('Control Panel'!AI20="",VLOOKUP($F21,'Table Output'!$A$2:$BW$99998,MATCH(AI$4,'Table Output'!$A$1:$BT$1,0),),'Control Panel'!AI20))</f>
        <v/>
      </c>
      <c r="AJ21" s="22" t="str">
        <f>IF($K21="","",IF('Control Panel'!AJ20="",VLOOKUP($F21,'Table Output'!$A$2:$BW$99998,MATCH(AJ$4,'Table Output'!$A$1:$BT$1,0),),'Control Panel'!AJ20))</f>
        <v/>
      </c>
      <c r="AK21" s="22" t="str">
        <f>IF($K21="","",IF('Control Panel'!AK20="",VLOOKUP($F21,'Table Output'!$A$2:$BW$99998,MATCH(AK$4,'Table Output'!$A$1:$BT$1,0),),'Control Panel'!AK20))</f>
        <v/>
      </c>
      <c r="AL21" s="22" t="str">
        <f>IF($K21="","",IF('Control Panel'!AL20="",VLOOKUP($F21,'Table Output'!$A$2:$BW$99998,MATCH(AL$4,'Table Output'!$A$1:$BT$1,0),),'Control Panel'!AL20))</f>
        <v/>
      </c>
      <c r="AN21" s="35" t="str">
        <f t="shared" si="0"/>
        <v/>
      </c>
      <c r="AO21" s="32" t="str">
        <f>IF(AO$4="","",IF($K21="","",IF('Control Panel'!AO20="",VLOOKUP($F21,'Table Output'!$A$2:$BW$99998,MATCH(AO$4,'Table Output'!$A$1:$BT$1,0),FALSE),'Control Panel'!AO20)))</f>
        <v/>
      </c>
      <c r="AP21" s="32" t="str">
        <f>IF(AP$4="","",IF($K21="","",IF('Control Panel'!AP20="",VLOOKUP($F21,'Table Output'!$A$2:$BW$99998,MATCH(AP$4,'Table Output'!$A$1:$BT$1,0),FALSE),'Control Panel'!AP20)))</f>
        <v/>
      </c>
      <c r="AQ21" s="32" t="str">
        <f>IF(AQ$4="","",IF($K21="","",IF('Control Panel'!AQ20="",VLOOKUP($F21,'Table Output'!$A$2:$BW$99998,MATCH(AQ$4,'Table Output'!$A$1:$BT$1,0),FALSE),'Control Panel'!AQ20)))</f>
        <v/>
      </c>
      <c r="AR21" s="32" t="str">
        <f>IF(AR$4="","",IF($K21="","",IF('Control Panel'!AR20="",VLOOKUP($F21,'Table Output'!$A$2:$BW$99998,MATCH(AR$4,'Table Output'!$A$1:$BT$1,0),FALSE),'Control Panel'!AR20)))</f>
        <v/>
      </c>
      <c r="AS21" s="32" t="str">
        <f>IF(AS$4="","",IF($K21="","",IF('Control Panel'!AS20="",VLOOKUP($F21,'Table Output'!$A$2:$BW$99998,MATCH(AS$4,'Table Output'!$A$1:$BT$1,0),FALSE),'Control Panel'!AS20)))</f>
        <v/>
      </c>
      <c r="AT21" s="32" t="str">
        <f>IF(AT$4="","",IF($K21="","",IF('Control Panel'!AT20="",VLOOKUP($F21,'Table Output'!$A$2:$BW$99998,MATCH(AT$4,'Table Output'!$A$1:$BT$1,0),FALSE),'Control Panel'!AT20)))</f>
        <v/>
      </c>
      <c r="AU21" s="32" t="str">
        <f>IF(AU$4="","",IF($K21="","",IF('Control Panel'!AU20="",VLOOKUP($F21,'Table Output'!$A$2:$BW$99998,MATCH(AU$4,'Table Output'!$A$1:$BT$1,0),FALSE),'Control Panel'!AU20)))</f>
        <v/>
      </c>
      <c r="AV21" s="32" t="str">
        <f>IF(AV$4="","",IF($K21="","",IF('Control Panel'!AV20="",VLOOKUP($F21,'Table Output'!$A$2:$BW$99998,MATCH(AV$4,'Table Output'!$A$1:$BT$1,0),FALSE),'Control Panel'!AV20)))</f>
        <v/>
      </c>
      <c r="AW21" s="32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6" t="str">
        <f>IF(E22=1,IF('Control Panel'!K21="","",'Control Panel'!K21),"")</f>
        <v/>
      </c>
      <c r="L22" s="22" t="str">
        <f>IF($K22="","",IF(L$4="","",IF('Control Panel'!L21="",VLOOKUP($F22,'Table Output'!$A:$BW,MATCH(L$4,'Table Output'!$A$1:$BT$1,0),),'Control Panel'!L21)))</f>
        <v/>
      </c>
      <c r="M22" s="22" t="str">
        <f>IF($K22="","",IF(M$4="","",IF('Control Panel'!M21="",VLOOKUP($F22,'Table Output'!$A:$BW,MATCH(M$4,'Table Output'!$A$1:$BT$1,0),),'Control Panel'!M21)))</f>
        <v/>
      </c>
      <c r="N22" s="22" t="str">
        <f>IF($K22="","",IF(N$4="","",IF('Control Panel'!N21="",VLOOKUP($F22,'Table Output'!$A:$BW,MATCH(N$4,'Table Output'!$A$1:$BT$1,0),),'Control Panel'!N21)))</f>
        <v/>
      </c>
      <c r="O22" s="22" t="str">
        <f>IF($K22="","",IF(O$4="","",IF('Control Panel'!O21="",VLOOKUP($F22,'Table Output'!$A:$BW,MATCH(O$4,'Table Output'!$A$1:$BT$1,0),),'Control Panel'!O21)))</f>
        <v/>
      </c>
      <c r="P22" s="22" t="str">
        <f>IF($K22="","",IF(P$4="","",IF('Control Panel'!P21="",VLOOKUP($F22,'Table Output'!$A:$BW,MATCH(P$4,'Table Output'!$A$1:$BT$1,0),),'Control Panel'!P21)))</f>
        <v/>
      </c>
      <c r="Q22" s="22" t="str">
        <f>IF($K22="","",IF(Q$4="","",IF('Control Panel'!Q21="",VLOOKUP($F22,'Table Output'!$A:$BW,MATCH(Q$4,'Table Output'!$A$1:$BT$1,0),),'Control Panel'!Q21)))</f>
        <v/>
      </c>
      <c r="R22" s="22" t="str">
        <f>IF($K22="","",IF(R$4="","",IF('Control Panel'!R21="",VLOOKUP($F22,'Table Output'!$A:$BW,MATCH(R$4,'Table Output'!$A$1:$BT$1,0),),'Control Panel'!R21)))</f>
        <v/>
      </c>
      <c r="S22" s="22" t="str">
        <f>IF($K22="","",IF(S$4="","",IF('Control Panel'!S21="",VLOOKUP($F22,'Table Output'!$A:$BW,MATCH(S$4,'Table Output'!$A$1:$BT$1,0),),'Control Panel'!S21)))</f>
        <v/>
      </c>
      <c r="T22" s="22" t="str">
        <f>IF($K22="","",IF(T$4="","",IF('Control Panel'!T21="",VLOOKUP($F22,'Table Output'!$A:$BW,MATCH(T$4,'Table Output'!$A$1:$BT$1,0),),'Control Panel'!T21)))</f>
        <v/>
      </c>
      <c r="U22" s="22" t="str">
        <f>IF($K22="","",IF(U$4="","",IF('Control Panel'!U21="",VLOOKUP($F22,'Table Output'!$A:$BW,MATCH(U$4,'Table Output'!$A$1:$BT$1,0),),'Control Panel'!U21)))</f>
        <v/>
      </c>
      <c r="W22" s="22" t="str">
        <f>IF($K22="","",IF('Control Panel'!W21="",VLOOKUP($F22,'Table Output'!$A$2:$BW$99998,MATCH(W$4,'Table Output'!$A$1:$BT$1,0),),'Control Panel'!W21))</f>
        <v/>
      </c>
      <c r="X22" s="22" t="str">
        <f>IF($K22="","",IF('Control Panel'!X21="",VLOOKUP($F22,'Table Output'!$A$2:$BW$99998,MATCH(X$4,'Table Output'!$A$1:$BT$1,0),),'Control Panel'!X21))</f>
        <v/>
      </c>
      <c r="Y22" s="22" t="str">
        <f>IF($K22="","",IF('Control Panel'!Y21="",VLOOKUP($F22,'Table Output'!$A$2:$BW$99998,MATCH(Y$4,'Table Output'!$A$1:$BT$1,0),),'Control Panel'!Y21))</f>
        <v/>
      </c>
      <c r="Z22" s="22" t="str">
        <f>IF($K22="","",IF('Control Panel'!Z21="",VLOOKUP($F22,'Table Output'!$A$2:$BW$99998,MATCH(Z$4,'Table Output'!$A$1:$BT$1,0),),'Control Panel'!Z21))</f>
        <v/>
      </c>
      <c r="AA22" s="22" t="str">
        <f>IF($K22="","",IF('Control Panel'!AA21="",VLOOKUP($F22,'Table Output'!$A$2:$BW$99998,MATCH(AA$4,'Table Output'!$A$1:$BT$1,0),),'Control Panel'!AA21))</f>
        <v/>
      </c>
      <c r="AB22" s="22" t="str">
        <f>IF($K22="","",IF('Control Panel'!AB21="",VLOOKUP($F22,'Table Output'!$A$2:$BW$99998,MATCH(AB$4,'Table Output'!$A$1:$BT$1,0),),'Control Panel'!AB21))</f>
        <v/>
      </c>
      <c r="AC22" s="22" t="str">
        <f>IF($K22="","",IF('Control Panel'!AC21="",VLOOKUP($F22,'Table Output'!$A$2:$BW$99998,MATCH(AC$4,'Table Output'!$A$1:$BT$1,0),),'Control Panel'!AC21))</f>
        <v/>
      </c>
      <c r="AD22" s="22" t="str">
        <f>IF($K22="","",IF('Control Panel'!AD21="",VLOOKUP($F22,'Table Output'!$A$2:$BW$99998,MATCH(AD$4,'Table Output'!$A$1:$BT$1,0),),'Control Panel'!AD21))</f>
        <v/>
      </c>
      <c r="AE22" s="22" t="str">
        <f>IF($K22="","",IF('Control Panel'!AE21="",VLOOKUP($F22,'Table Output'!$A$2:$BW$99998,MATCH(AE$4,'Table Output'!$A$1:$BT$1,0),),'Control Panel'!AE21))</f>
        <v/>
      </c>
      <c r="AF22" s="22" t="str">
        <f>IF($K22="","",IF('Control Panel'!AF21="",VLOOKUP($F22,'Table Output'!$A$2:$BW$99998,MATCH(AF$4,'Table Output'!$A$1:$BT$1,0),),'Control Panel'!AF21))</f>
        <v/>
      </c>
      <c r="AG22" s="22" t="str">
        <f>IF($K22="","",IF('Control Panel'!AG21="",VLOOKUP($F22,'Table Output'!$A$2:$BW$99998,MATCH(AG$4,'Table Output'!$A$1:$BT$1,0),),'Control Panel'!AG21))</f>
        <v/>
      </c>
      <c r="AH22" s="22" t="str">
        <f>IF($K22="","",IF('Control Panel'!AH21="",VLOOKUP($F22,'Table Output'!$A$2:$BW$99998,MATCH(AH$4,'Table Output'!$A$1:$BT$1,0),),'Control Panel'!AH21))</f>
        <v/>
      </c>
      <c r="AI22" s="22" t="str">
        <f>IF($K22="","",IF('Control Panel'!AI21="",VLOOKUP($F22,'Table Output'!$A$2:$BW$99998,MATCH(AI$4,'Table Output'!$A$1:$BT$1,0),),'Control Panel'!AI21))</f>
        <v/>
      </c>
      <c r="AJ22" s="22" t="str">
        <f>IF($K22="","",IF('Control Panel'!AJ21="",VLOOKUP($F22,'Table Output'!$A$2:$BW$99998,MATCH(AJ$4,'Table Output'!$A$1:$BT$1,0),),'Control Panel'!AJ21))</f>
        <v/>
      </c>
      <c r="AK22" s="22" t="str">
        <f>IF($K22="","",IF('Control Panel'!AK21="",VLOOKUP($F22,'Table Output'!$A$2:$BW$99998,MATCH(AK$4,'Table Output'!$A$1:$BT$1,0),),'Control Panel'!AK21))</f>
        <v/>
      </c>
      <c r="AL22" s="22" t="str">
        <f>IF($K22="","",IF('Control Panel'!AL21="",VLOOKUP($F22,'Table Output'!$A$2:$BW$99998,MATCH(AL$4,'Table Output'!$A$1:$BT$1,0),),'Control Panel'!AL21))</f>
        <v/>
      </c>
      <c r="AN22" s="35" t="str">
        <f t="shared" si="0"/>
        <v/>
      </c>
      <c r="AO22" s="32" t="str">
        <f>IF(AO$4="","",IF($K22="","",IF('Control Panel'!AO21="",VLOOKUP($F22,'Table Output'!$A$2:$BW$99998,MATCH(AO$4,'Table Output'!$A$1:$BT$1,0),FALSE),'Control Panel'!AO21)))</f>
        <v/>
      </c>
      <c r="AP22" s="32" t="str">
        <f>IF(AP$4="","",IF($K22="","",IF('Control Panel'!AP21="",VLOOKUP($F22,'Table Output'!$A$2:$BW$99998,MATCH(AP$4,'Table Output'!$A$1:$BT$1,0),FALSE),'Control Panel'!AP21)))</f>
        <v/>
      </c>
      <c r="AQ22" s="32" t="str">
        <f>IF(AQ$4="","",IF($K22="","",IF('Control Panel'!AQ21="",VLOOKUP($F22,'Table Output'!$A$2:$BW$99998,MATCH(AQ$4,'Table Output'!$A$1:$BT$1,0),FALSE),'Control Panel'!AQ21)))</f>
        <v/>
      </c>
      <c r="AR22" s="32" t="str">
        <f>IF(AR$4="","",IF($K22="","",IF('Control Panel'!AR21="",VLOOKUP($F22,'Table Output'!$A$2:$BW$99998,MATCH(AR$4,'Table Output'!$A$1:$BT$1,0),FALSE),'Control Panel'!AR21)))</f>
        <v/>
      </c>
      <c r="AS22" s="32" t="str">
        <f>IF(AS$4="","",IF($K22="","",IF('Control Panel'!AS21="",VLOOKUP($F22,'Table Output'!$A$2:$BW$99998,MATCH(AS$4,'Table Output'!$A$1:$BT$1,0),FALSE),'Control Panel'!AS21)))</f>
        <v/>
      </c>
      <c r="AT22" s="32" t="str">
        <f>IF(AT$4="","",IF($K22="","",IF('Control Panel'!AT21="",VLOOKUP($F22,'Table Output'!$A$2:$BW$99998,MATCH(AT$4,'Table Output'!$A$1:$BT$1,0),FALSE),'Control Panel'!AT21)))</f>
        <v/>
      </c>
      <c r="AU22" s="32" t="str">
        <f>IF(AU$4="","",IF($K22="","",IF('Control Panel'!AU21="",VLOOKUP($F22,'Table Output'!$A$2:$BW$99998,MATCH(AU$4,'Table Output'!$A$1:$BT$1,0),FALSE),'Control Panel'!AU21)))</f>
        <v/>
      </c>
      <c r="AV22" s="32" t="str">
        <f>IF(AV$4="","",IF($K22="","",IF('Control Panel'!AV21="",VLOOKUP($F22,'Table Output'!$A$2:$BW$99998,MATCH(AV$4,'Table Output'!$A$1:$BT$1,0),FALSE),'Control Panel'!AV21)))</f>
        <v/>
      </c>
      <c r="AW22" s="32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L10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6" t="str">
        <f>IF(E23=1,IF('Control Panel'!K22="","",'Control Panel'!K22),"")</f>
        <v/>
      </c>
      <c r="L23" s="22" t="str">
        <f>IF($K23="","",IF(L$4="","",IF('Control Panel'!L22="",VLOOKUP($F23,'Table Output'!$A:$BW,MATCH(L$4,'Table Output'!$A$1:$BT$1,0),),'Control Panel'!L22)))</f>
        <v/>
      </c>
      <c r="M23" s="22" t="str">
        <f>IF($K23="","",IF(M$4="","",IF('Control Panel'!M22="",VLOOKUP($F23,'Table Output'!$A:$BW,MATCH(M$4,'Table Output'!$A$1:$BT$1,0),),'Control Panel'!M22)))</f>
        <v/>
      </c>
      <c r="N23" s="22" t="str">
        <f>IF($K23="","",IF(N$4="","",IF('Control Panel'!N22="",VLOOKUP($F23,'Table Output'!$A:$BW,MATCH(N$4,'Table Output'!$A$1:$BT$1,0),),'Control Panel'!N22)))</f>
        <v/>
      </c>
      <c r="O23" s="22" t="str">
        <f>IF($K23="","",IF(O$4="","",IF('Control Panel'!O22="",VLOOKUP($F23,'Table Output'!$A:$BW,MATCH(O$4,'Table Output'!$A$1:$BT$1,0),),'Control Panel'!O22)))</f>
        <v/>
      </c>
      <c r="P23" s="22" t="str">
        <f>IF($K23="","",IF(P$4="","",IF('Control Panel'!P22="",VLOOKUP($F23,'Table Output'!$A:$BW,MATCH(P$4,'Table Output'!$A$1:$BT$1,0),),'Control Panel'!P22)))</f>
        <v/>
      </c>
      <c r="Q23" s="22" t="str">
        <f>IF($K23="","",IF(Q$4="","",IF('Control Panel'!Q22="",VLOOKUP($F23,'Table Output'!$A:$BW,MATCH(Q$4,'Table Output'!$A$1:$BT$1,0),),'Control Panel'!Q22)))</f>
        <v/>
      </c>
      <c r="R23" s="22" t="str">
        <f>IF($K23="","",IF(R$4="","",IF('Control Panel'!R22="",VLOOKUP($F23,'Table Output'!$A:$BW,MATCH(R$4,'Table Output'!$A$1:$BT$1,0),),'Control Panel'!R22)))</f>
        <v/>
      </c>
      <c r="S23" s="22" t="str">
        <f>IF($K23="","",IF(S$4="","",IF('Control Panel'!S22="",VLOOKUP($F23,'Table Output'!$A:$BW,MATCH(S$4,'Table Output'!$A$1:$BT$1,0),),'Control Panel'!S22)))</f>
        <v/>
      </c>
      <c r="T23" s="22" t="str">
        <f>IF($K23="","",IF(T$4="","",IF('Control Panel'!T22="",VLOOKUP($F23,'Table Output'!$A:$BW,MATCH(T$4,'Table Output'!$A$1:$BT$1,0),),'Control Panel'!T22)))</f>
        <v/>
      </c>
      <c r="U23" s="22" t="str">
        <f>IF($K23="","",IF(U$4="","",IF('Control Panel'!U22="",VLOOKUP($F23,'Table Output'!$A:$BW,MATCH(U$4,'Table Output'!$A$1:$BT$1,0),),'Control Panel'!U22)))</f>
        <v/>
      </c>
      <c r="W23" s="22" t="str">
        <f>IF($K23="","",IF('Control Panel'!W22="",VLOOKUP($F23,'Table Output'!$A$2:$BW$99998,MATCH(W$4,'Table Output'!$A$1:$BT$1,0),),'Control Panel'!W22))</f>
        <v/>
      </c>
      <c r="X23" s="22" t="str">
        <f>IF($K23="","",IF('Control Panel'!X22="",VLOOKUP($F23,'Table Output'!$A$2:$BW$99998,MATCH(X$4,'Table Output'!$A$1:$BT$1,0),),'Control Panel'!X22))</f>
        <v/>
      </c>
      <c r="Y23" s="22" t="str">
        <f>IF($K23="","",IF('Control Panel'!Y22="",VLOOKUP($F23,'Table Output'!$A$2:$BW$99998,MATCH(Y$4,'Table Output'!$A$1:$BT$1,0),),'Control Panel'!Y22))</f>
        <v/>
      </c>
      <c r="Z23" s="22" t="str">
        <f>IF($K23="","",IF('Control Panel'!Z22="",VLOOKUP($F23,'Table Output'!$A$2:$BW$99998,MATCH(Z$4,'Table Output'!$A$1:$BT$1,0),),'Control Panel'!Z22))</f>
        <v/>
      </c>
      <c r="AA23" s="22" t="str">
        <f>IF($K23="","",IF('Control Panel'!AA22="",VLOOKUP($F23,'Table Output'!$A$2:$BW$99998,MATCH(AA$4,'Table Output'!$A$1:$BT$1,0),),'Control Panel'!AA22))</f>
        <v/>
      </c>
      <c r="AB23" s="22" t="str">
        <f>IF($K23="","",IF('Control Panel'!AB22="",VLOOKUP($F23,'Table Output'!$A$2:$BW$99998,MATCH(AB$4,'Table Output'!$A$1:$BT$1,0),),'Control Panel'!AB22))</f>
        <v/>
      </c>
      <c r="AC23" s="22" t="str">
        <f>IF($K23="","",IF('Control Panel'!AC22="",VLOOKUP($F23,'Table Output'!$A$2:$BW$99998,MATCH(AC$4,'Table Output'!$A$1:$BT$1,0),),'Control Panel'!AC22))</f>
        <v/>
      </c>
      <c r="AD23" s="22" t="str">
        <f>IF($K23="","",IF('Control Panel'!AD22="",VLOOKUP($F23,'Table Output'!$A$2:$BW$99998,MATCH(AD$4,'Table Output'!$A$1:$BT$1,0),),'Control Panel'!AD22))</f>
        <v/>
      </c>
      <c r="AE23" s="22" t="str">
        <f>IF($K23="","",IF('Control Panel'!AE22="",VLOOKUP($F23,'Table Output'!$A$2:$BW$99998,MATCH(AE$4,'Table Output'!$A$1:$BT$1,0),),'Control Panel'!AE22))</f>
        <v/>
      </c>
      <c r="AF23" s="22" t="str">
        <f>IF($K23="","",IF('Control Panel'!AF22="",VLOOKUP($F23,'Table Output'!$A$2:$BW$99998,MATCH(AF$4,'Table Output'!$A$1:$BT$1,0),),'Control Panel'!AF22))</f>
        <v/>
      </c>
      <c r="AG23" s="22" t="str">
        <f>IF($K23="","",IF('Control Panel'!AG22="",VLOOKUP($F23,'Table Output'!$A$2:$BW$99998,MATCH(AG$4,'Table Output'!$A$1:$BT$1,0),),'Control Panel'!AG22))</f>
        <v/>
      </c>
      <c r="AH23" s="22" t="str">
        <f>IF($K23="","",IF('Control Panel'!AH22="",VLOOKUP($F23,'Table Output'!$A$2:$BW$99998,MATCH(AH$4,'Table Output'!$A$1:$BT$1,0),),'Control Panel'!AH22))</f>
        <v/>
      </c>
      <c r="AI23" s="22" t="str">
        <f>IF($K23="","",IF('Control Panel'!AI22="",VLOOKUP($F23,'Table Output'!$A$2:$BW$99998,MATCH(AI$4,'Table Output'!$A$1:$BT$1,0),),'Control Panel'!AI22))</f>
        <v/>
      </c>
      <c r="AJ23" s="22" t="str">
        <f>IF($K23="","",IF('Control Panel'!AJ22="",VLOOKUP($F23,'Table Output'!$A$2:$BW$99998,MATCH(AJ$4,'Table Output'!$A$1:$BT$1,0),),'Control Panel'!AJ22))</f>
        <v/>
      </c>
      <c r="AK23" s="22" t="str">
        <f>IF($K23="","",IF('Control Panel'!AK22="",VLOOKUP($F23,'Table Output'!$A$2:$BW$99998,MATCH(AK$4,'Table Output'!$A$1:$BT$1,0),),'Control Panel'!AK22))</f>
        <v/>
      </c>
      <c r="AL23" s="22" t="str">
        <f>IF($K23="","",IF('Control Panel'!AL22="",VLOOKUP($F23,'Table Output'!$A$2:$BW$99998,MATCH(AL$4,'Table Output'!$A$1:$BT$1,0),),'Control Panel'!AL22))</f>
        <v/>
      </c>
      <c r="AN23" s="35" t="str">
        <f t="shared" si="0"/>
        <v/>
      </c>
      <c r="AO23" s="32" t="str">
        <f>IF(AO$4="","",IF($K23="","",IF('Control Panel'!AO22="",VLOOKUP($F23,'Table Output'!$A$2:$BW$99998,MATCH(AO$4,'Table Output'!$A$1:$BT$1,0),FALSE),'Control Panel'!AO22)))</f>
        <v/>
      </c>
      <c r="AP23" s="32" t="str">
        <f>IF(AP$4="","",IF($K23="","",IF('Control Panel'!AP22="",VLOOKUP($F23,'Table Output'!$A$2:$BW$99998,MATCH(AP$4,'Table Output'!$A$1:$BT$1,0),FALSE),'Control Panel'!AP22)))</f>
        <v/>
      </c>
      <c r="AQ23" s="32" t="str">
        <f>IF(AQ$4="","",IF($K23="","",IF('Control Panel'!AQ22="",VLOOKUP($F23,'Table Output'!$A$2:$BW$99998,MATCH(AQ$4,'Table Output'!$A$1:$BT$1,0),FALSE),'Control Panel'!AQ22)))</f>
        <v/>
      </c>
      <c r="AR23" s="32" t="str">
        <f>IF(AR$4="","",IF($K23="","",IF('Control Panel'!AR22="",VLOOKUP($F23,'Table Output'!$A$2:$BW$99998,MATCH(AR$4,'Table Output'!$A$1:$BT$1,0),FALSE),'Control Panel'!AR22)))</f>
        <v/>
      </c>
      <c r="AS23" s="32" t="str">
        <f>IF(AS$4="","",IF($K23="","",IF('Control Panel'!AS22="",VLOOKUP($F23,'Table Output'!$A$2:$BW$99998,MATCH(AS$4,'Table Output'!$A$1:$BT$1,0),FALSE),'Control Panel'!AS22)))</f>
        <v/>
      </c>
      <c r="AT23" s="32" t="str">
        <f>IF(AT$4="","",IF($K23="","",IF('Control Panel'!AT22="",VLOOKUP($F23,'Table Output'!$A$2:$BW$99998,MATCH(AT$4,'Table Output'!$A$1:$BT$1,0),FALSE),'Control Panel'!AT22)))</f>
        <v/>
      </c>
      <c r="AU23" s="32" t="str">
        <f>IF(AU$4="","",IF($K23="","",IF('Control Panel'!AU22="",VLOOKUP($F23,'Table Output'!$A$2:$BW$99998,MATCH(AU$4,'Table Output'!$A$1:$BT$1,0),FALSE),'Control Panel'!AU22)))</f>
        <v/>
      </c>
      <c r="AV23" s="32" t="str">
        <f>IF(AV$4="","",IF($K23="","",IF('Control Panel'!AV22="",VLOOKUP($F23,'Table Output'!$A$2:$BW$99998,MATCH(AV$4,'Table Output'!$A$1:$BT$1,0),FALSE),'Control Panel'!AV22)))</f>
        <v/>
      </c>
      <c r="AW23" s="32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11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6" t="str">
        <f>IF(E24=1,IF('Control Panel'!K23="","",'Control Panel'!K23),"")</f>
        <v/>
      </c>
      <c r="L24" s="22" t="str">
        <f>IF($K24="","",IF(L$4="","",IF('Control Panel'!L23="",VLOOKUP($F24,'Table Output'!$A:$BW,MATCH(L$4,'Table Output'!$A$1:$BT$1,0),),'Control Panel'!L23)))</f>
        <v/>
      </c>
      <c r="M24" s="22" t="str">
        <f>IF($K24="","",IF(M$4="","",IF('Control Panel'!M23="",VLOOKUP($F24,'Table Output'!$A:$BW,MATCH(M$4,'Table Output'!$A$1:$BT$1,0),),'Control Panel'!M23)))</f>
        <v/>
      </c>
      <c r="N24" s="22" t="str">
        <f>IF($K24="","",IF(N$4="","",IF('Control Panel'!N23="",VLOOKUP($F24,'Table Output'!$A:$BW,MATCH(N$4,'Table Output'!$A$1:$BT$1,0),),'Control Panel'!N23)))</f>
        <v/>
      </c>
      <c r="O24" s="22" t="str">
        <f>IF($K24="","",IF(O$4="","",IF('Control Panel'!O23="",VLOOKUP($F24,'Table Output'!$A:$BW,MATCH(O$4,'Table Output'!$A$1:$BT$1,0),),'Control Panel'!O23)))</f>
        <v/>
      </c>
      <c r="P24" s="22" t="str">
        <f>IF($K24="","",IF(P$4="","",IF('Control Panel'!P23="",VLOOKUP($F24,'Table Output'!$A:$BW,MATCH(P$4,'Table Output'!$A$1:$BT$1,0),),'Control Panel'!P23)))</f>
        <v/>
      </c>
      <c r="Q24" s="22" t="str">
        <f>IF($K24="","",IF(Q$4="","",IF('Control Panel'!Q23="",VLOOKUP($F24,'Table Output'!$A:$BW,MATCH(Q$4,'Table Output'!$A$1:$BT$1,0),),'Control Panel'!Q23)))</f>
        <v/>
      </c>
      <c r="R24" s="22" t="str">
        <f>IF($K24="","",IF(R$4="","",IF('Control Panel'!R23="",VLOOKUP($F24,'Table Output'!$A:$BW,MATCH(R$4,'Table Output'!$A$1:$BT$1,0),),'Control Panel'!R23)))</f>
        <v/>
      </c>
      <c r="S24" s="22" t="str">
        <f>IF($K24="","",IF(S$4="","",IF('Control Panel'!S23="",VLOOKUP($F24,'Table Output'!$A:$BW,MATCH(S$4,'Table Output'!$A$1:$BT$1,0),),'Control Panel'!S23)))</f>
        <v/>
      </c>
      <c r="T24" s="22" t="str">
        <f>IF($K24="","",IF(T$4="","",IF('Control Panel'!T23="",VLOOKUP($F24,'Table Output'!$A:$BW,MATCH(T$4,'Table Output'!$A$1:$BT$1,0),),'Control Panel'!T23)))</f>
        <v/>
      </c>
      <c r="U24" s="22" t="str">
        <f>IF($K24="","",IF(U$4="","",IF('Control Panel'!U23="",VLOOKUP($F24,'Table Output'!$A:$BW,MATCH(U$4,'Table Output'!$A$1:$BT$1,0),),'Control Panel'!U23)))</f>
        <v/>
      </c>
      <c r="W24" s="22" t="str">
        <f>IF($K24="","",IF('Control Panel'!W23="",VLOOKUP($F24,'Table Output'!$A$2:$BW$99998,MATCH(W$4,'Table Output'!$A$1:$BT$1,0),),'Control Panel'!W23))</f>
        <v/>
      </c>
      <c r="X24" s="22" t="str">
        <f>IF($K24="","",IF('Control Panel'!X23="",VLOOKUP($F24,'Table Output'!$A$2:$BW$99998,MATCH(X$4,'Table Output'!$A$1:$BT$1,0),),'Control Panel'!X23))</f>
        <v/>
      </c>
      <c r="Y24" s="22" t="str">
        <f>IF($K24="","",IF('Control Panel'!Y23="",VLOOKUP($F24,'Table Output'!$A$2:$BW$99998,MATCH(Y$4,'Table Output'!$A$1:$BT$1,0),),'Control Panel'!Y23))</f>
        <v/>
      </c>
      <c r="Z24" s="22" t="str">
        <f>IF($K24="","",IF('Control Panel'!Z23="",VLOOKUP($F24,'Table Output'!$A$2:$BW$99998,MATCH(Z$4,'Table Output'!$A$1:$BT$1,0),),'Control Panel'!Z23))</f>
        <v/>
      </c>
      <c r="AA24" s="22" t="str">
        <f>IF($K24="","",IF('Control Panel'!AA23="",VLOOKUP($F24,'Table Output'!$A$2:$BW$99998,MATCH(AA$4,'Table Output'!$A$1:$BT$1,0),),'Control Panel'!AA23))</f>
        <v/>
      </c>
      <c r="AB24" s="22" t="str">
        <f>IF($K24="","",IF('Control Panel'!AB23="",VLOOKUP($F24,'Table Output'!$A$2:$BW$99998,MATCH(AB$4,'Table Output'!$A$1:$BT$1,0),),'Control Panel'!AB23))</f>
        <v/>
      </c>
      <c r="AC24" s="22" t="str">
        <f>IF($K24="","",IF('Control Panel'!AC23="",VLOOKUP($F24,'Table Output'!$A$2:$BW$99998,MATCH(AC$4,'Table Output'!$A$1:$BT$1,0),),'Control Panel'!AC23))</f>
        <v/>
      </c>
      <c r="AD24" s="22" t="str">
        <f>IF($K24="","",IF('Control Panel'!AD23="",VLOOKUP($F24,'Table Output'!$A$2:$BW$99998,MATCH(AD$4,'Table Output'!$A$1:$BT$1,0),),'Control Panel'!AD23))</f>
        <v/>
      </c>
      <c r="AE24" s="22" t="str">
        <f>IF($K24="","",IF('Control Panel'!AE23="",VLOOKUP($F24,'Table Output'!$A$2:$BW$99998,MATCH(AE$4,'Table Output'!$A$1:$BT$1,0),),'Control Panel'!AE23))</f>
        <v/>
      </c>
      <c r="AF24" s="22" t="str">
        <f>IF($K24="","",IF('Control Panel'!AF23="",VLOOKUP($F24,'Table Output'!$A$2:$BW$99998,MATCH(AF$4,'Table Output'!$A$1:$BT$1,0),),'Control Panel'!AF23))</f>
        <v/>
      </c>
      <c r="AG24" s="22" t="str">
        <f>IF($K24="","",IF('Control Panel'!AG23="",VLOOKUP($F24,'Table Output'!$A$2:$BW$99998,MATCH(AG$4,'Table Output'!$A$1:$BT$1,0),),'Control Panel'!AG23))</f>
        <v/>
      </c>
      <c r="AH24" s="22" t="str">
        <f>IF($K24="","",IF('Control Panel'!AH23="",VLOOKUP($F24,'Table Output'!$A$2:$BW$99998,MATCH(AH$4,'Table Output'!$A$1:$BT$1,0),),'Control Panel'!AH23))</f>
        <v/>
      </c>
      <c r="AI24" s="22" t="str">
        <f>IF($K24="","",IF('Control Panel'!AI23="",VLOOKUP($F24,'Table Output'!$A$2:$BW$99998,MATCH(AI$4,'Table Output'!$A$1:$BT$1,0),),'Control Panel'!AI23))</f>
        <v/>
      </c>
      <c r="AJ24" s="22" t="str">
        <f>IF($K24="","",IF('Control Panel'!AJ23="",VLOOKUP($F24,'Table Output'!$A$2:$BW$99998,MATCH(AJ$4,'Table Output'!$A$1:$BT$1,0),),'Control Panel'!AJ23))</f>
        <v/>
      </c>
      <c r="AK24" s="22" t="str">
        <f>IF($K24="","",IF('Control Panel'!AK23="",VLOOKUP($F24,'Table Output'!$A$2:$BW$99998,MATCH(AK$4,'Table Output'!$A$1:$BT$1,0),),'Control Panel'!AK23))</f>
        <v/>
      </c>
      <c r="AL24" s="22" t="str">
        <f>IF($K24="","",IF('Control Panel'!AL23="",VLOOKUP($F24,'Table Output'!$A$2:$BW$99998,MATCH(AL$4,'Table Output'!$A$1:$BT$1,0),),'Control Panel'!AL23))</f>
        <v/>
      </c>
      <c r="AN24" s="35" t="str">
        <f t="shared" si="0"/>
        <v/>
      </c>
      <c r="AO24" s="32" t="str">
        <f>IF(AO$4="","",IF($K24="","",IF('Control Panel'!AO23="",VLOOKUP($F24,'Table Output'!$A$2:$BW$99998,MATCH(AO$4,'Table Output'!$A$1:$BT$1,0),FALSE),'Control Panel'!AO23)))</f>
        <v/>
      </c>
      <c r="AP24" s="32" t="str">
        <f>IF(AP$4="","",IF($K24="","",IF('Control Panel'!AP23="",VLOOKUP($F24,'Table Output'!$A$2:$BW$99998,MATCH(AP$4,'Table Output'!$A$1:$BT$1,0),FALSE),'Control Panel'!AP23)))</f>
        <v/>
      </c>
      <c r="AQ24" s="32" t="str">
        <f>IF(AQ$4="","",IF($K24="","",IF('Control Panel'!AQ23="",VLOOKUP($F24,'Table Output'!$A$2:$BW$99998,MATCH(AQ$4,'Table Output'!$A$1:$BT$1,0),FALSE),'Control Panel'!AQ23)))</f>
        <v/>
      </c>
      <c r="AR24" s="32" t="str">
        <f>IF(AR$4="","",IF($K24="","",IF('Control Panel'!AR23="",VLOOKUP($F24,'Table Output'!$A$2:$BW$99998,MATCH(AR$4,'Table Output'!$A$1:$BT$1,0),FALSE),'Control Panel'!AR23)))</f>
        <v/>
      </c>
      <c r="AS24" s="32" t="str">
        <f>IF(AS$4="","",IF($K24="","",IF('Control Panel'!AS23="",VLOOKUP($F24,'Table Output'!$A$2:$BW$99998,MATCH(AS$4,'Table Output'!$A$1:$BT$1,0),FALSE),'Control Panel'!AS23)))</f>
        <v/>
      </c>
      <c r="AT24" s="32" t="str">
        <f>IF(AT$4="","",IF($K24="","",IF('Control Panel'!AT23="",VLOOKUP($F24,'Table Output'!$A$2:$BW$99998,MATCH(AT$4,'Table Output'!$A$1:$BT$1,0),FALSE),'Control Panel'!AT23)))</f>
        <v/>
      </c>
      <c r="AU24" s="32" t="str">
        <f>IF(AU$4="","",IF($K24="","",IF('Control Panel'!AU23="",VLOOKUP($F24,'Table Output'!$A$2:$BW$99998,MATCH(AU$4,'Table Output'!$A$1:$BT$1,0),FALSE),'Control Panel'!AU23)))</f>
        <v/>
      </c>
      <c r="AV24" s="32" t="str">
        <f>IF(AV$4="","",IF($K24="","",IF('Control Panel'!AV23="",VLOOKUP($F24,'Table Output'!$A$2:$BW$99998,MATCH(AV$4,'Table Output'!$A$1:$BT$1,0),FALSE),'Control Panel'!AV23)))</f>
        <v/>
      </c>
      <c r="AW24" s="32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FKMV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6" t="str">
        <f>IF(E25=1,IF('Control Panel'!K24="","",'Control Panel'!K24),"")</f>
        <v/>
      </c>
      <c r="L25" s="22" t="str">
        <f>IF($K25="","",IF(L$4="","",IF('Control Panel'!L24="",VLOOKUP($F25,'Table Output'!$A:$BW,MATCH(L$4,'Table Output'!$A$1:$BT$1,0),),'Control Panel'!L24)))</f>
        <v/>
      </c>
      <c r="M25" s="22" t="str">
        <f>IF($K25="","",IF(M$4="","",IF('Control Panel'!M24="",VLOOKUP($F25,'Table Output'!$A:$BW,MATCH(M$4,'Table Output'!$A$1:$BT$1,0),),'Control Panel'!M24)))</f>
        <v/>
      </c>
      <c r="N25" s="22" t="str">
        <f>IF($K25="","",IF(N$4="","",IF('Control Panel'!N24="",VLOOKUP($F25,'Table Output'!$A:$BW,MATCH(N$4,'Table Output'!$A$1:$BT$1,0),),'Control Panel'!N24)))</f>
        <v/>
      </c>
      <c r="O25" s="22" t="str">
        <f>IF($K25="","",IF(O$4="","",IF('Control Panel'!O24="",VLOOKUP($F25,'Table Output'!$A:$BW,MATCH(O$4,'Table Output'!$A$1:$BT$1,0),),'Control Panel'!O24)))</f>
        <v/>
      </c>
      <c r="P25" s="22" t="str">
        <f>IF($K25="","",IF(P$4="","",IF('Control Panel'!P24="",VLOOKUP($F25,'Table Output'!$A:$BW,MATCH(P$4,'Table Output'!$A$1:$BT$1,0),),'Control Panel'!P24)))</f>
        <v/>
      </c>
      <c r="Q25" s="22" t="str">
        <f>IF($K25="","",IF(Q$4="","",IF('Control Panel'!Q24="",VLOOKUP($F25,'Table Output'!$A:$BW,MATCH(Q$4,'Table Output'!$A$1:$BT$1,0),),'Control Panel'!Q24)))</f>
        <v/>
      </c>
      <c r="R25" s="22" t="str">
        <f>IF($K25="","",IF(R$4="","",IF('Control Panel'!R24="",VLOOKUP($F25,'Table Output'!$A:$BW,MATCH(R$4,'Table Output'!$A$1:$BT$1,0),),'Control Panel'!R24)))</f>
        <v/>
      </c>
      <c r="S25" s="22" t="str">
        <f>IF($K25="","",IF(S$4="","",IF('Control Panel'!S24="",VLOOKUP($F25,'Table Output'!$A:$BW,MATCH(S$4,'Table Output'!$A$1:$BT$1,0),),'Control Panel'!S24)))</f>
        <v/>
      </c>
      <c r="T25" s="22" t="str">
        <f>IF($K25="","",IF(T$4="","",IF('Control Panel'!T24="",VLOOKUP($F25,'Table Output'!$A:$BW,MATCH(T$4,'Table Output'!$A$1:$BT$1,0),),'Control Panel'!T24)))</f>
        <v/>
      </c>
      <c r="U25" s="22" t="str">
        <f>IF($K25="","",IF(U$4="","",IF('Control Panel'!U24="",VLOOKUP($F25,'Table Output'!$A:$BW,MATCH(U$4,'Table Output'!$A$1:$BT$1,0),),'Control Panel'!U24)))</f>
        <v/>
      </c>
      <c r="W25" s="22" t="str">
        <f>IF($K25="","",IF('Control Panel'!W24="",VLOOKUP($F25,'Table Output'!$A$2:$BW$99998,MATCH(W$4,'Table Output'!$A$1:$BT$1,0),),'Control Panel'!W24))</f>
        <v/>
      </c>
      <c r="X25" s="22" t="str">
        <f>IF($K25="","",IF('Control Panel'!X24="",VLOOKUP($F25,'Table Output'!$A$2:$BW$99998,MATCH(X$4,'Table Output'!$A$1:$BT$1,0),),'Control Panel'!X24))</f>
        <v/>
      </c>
      <c r="Y25" s="22" t="str">
        <f>IF($K25="","",IF('Control Panel'!Y24="",VLOOKUP($F25,'Table Output'!$A$2:$BW$99998,MATCH(Y$4,'Table Output'!$A$1:$BT$1,0),),'Control Panel'!Y24))</f>
        <v/>
      </c>
      <c r="Z25" s="22" t="str">
        <f>IF($K25="","",IF('Control Panel'!Z24="",VLOOKUP($F25,'Table Output'!$A$2:$BW$99998,MATCH(Z$4,'Table Output'!$A$1:$BT$1,0),),'Control Panel'!Z24))</f>
        <v/>
      </c>
      <c r="AA25" s="22" t="str">
        <f>IF($K25="","",IF('Control Panel'!AA24="",VLOOKUP($F25,'Table Output'!$A$2:$BW$99998,MATCH(AA$4,'Table Output'!$A$1:$BT$1,0),),'Control Panel'!AA24))</f>
        <v/>
      </c>
      <c r="AB25" s="22" t="str">
        <f>IF($K25="","",IF('Control Panel'!AB24="",VLOOKUP($F25,'Table Output'!$A$2:$BW$99998,MATCH(AB$4,'Table Output'!$A$1:$BT$1,0),),'Control Panel'!AB24))</f>
        <v/>
      </c>
      <c r="AC25" s="22" t="str">
        <f>IF($K25="","",IF('Control Panel'!AC24="",VLOOKUP($F25,'Table Output'!$A$2:$BW$99998,MATCH(AC$4,'Table Output'!$A$1:$BT$1,0),),'Control Panel'!AC24))</f>
        <v/>
      </c>
      <c r="AD25" s="22" t="str">
        <f>IF($K25="","",IF('Control Panel'!AD24="",VLOOKUP($F25,'Table Output'!$A$2:$BW$99998,MATCH(AD$4,'Table Output'!$A$1:$BT$1,0),),'Control Panel'!AD24))</f>
        <v/>
      </c>
      <c r="AE25" s="22" t="str">
        <f>IF($K25="","",IF('Control Panel'!AE24="",VLOOKUP($F25,'Table Output'!$A$2:$BW$99998,MATCH(AE$4,'Table Output'!$A$1:$BT$1,0),),'Control Panel'!AE24))</f>
        <v/>
      </c>
      <c r="AF25" s="22" t="str">
        <f>IF($K25="","",IF('Control Panel'!AF24="",VLOOKUP($F25,'Table Output'!$A$2:$BW$99998,MATCH(AF$4,'Table Output'!$A$1:$BT$1,0),),'Control Panel'!AF24))</f>
        <v/>
      </c>
      <c r="AG25" s="22" t="str">
        <f>IF($K25="","",IF('Control Panel'!AG24="",VLOOKUP($F25,'Table Output'!$A$2:$BW$99998,MATCH(AG$4,'Table Output'!$A$1:$BT$1,0),),'Control Panel'!AG24))</f>
        <v/>
      </c>
      <c r="AH25" s="22" t="str">
        <f>IF($K25="","",IF('Control Panel'!AH24="",VLOOKUP($F25,'Table Output'!$A$2:$BW$99998,MATCH(AH$4,'Table Output'!$A$1:$BT$1,0),),'Control Panel'!AH24))</f>
        <v/>
      </c>
      <c r="AI25" s="22" t="str">
        <f>IF($K25="","",IF('Control Panel'!AI24="",VLOOKUP($F25,'Table Output'!$A$2:$BW$99998,MATCH(AI$4,'Table Output'!$A$1:$BT$1,0),),'Control Panel'!AI24))</f>
        <v/>
      </c>
      <c r="AJ25" s="22" t="str">
        <f>IF($K25="","",IF('Control Panel'!AJ24="",VLOOKUP($F25,'Table Output'!$A$2:$BW$99998,MATCH(AJ$4,'Table Output'!$A$1:$BT$1,0),),'Control Panel'!AJ24))</f>
        <v/>
      </c>
      <c r="AK25" s="22" t="str">
        <f>IF($K25="","",IF('Control Panel'!AK24="",VLOOKUP($F25,'Table Output'!$A$2:$BW$99998,MATCH(AK$4,'Table Output'!$A$1:$BT$1,0),),'Control Panel'!AK24))</f>
        <v/>
      </c>
      <c r="AL25" s="22" t="str">
        <f>IF($K25="","",IF('Control Panel'!AL24="",VLOOKUP($F25,'Table Output'!$A$2:$BW$99998,MATCH(AL$4,'Table Output'!$A$1:$BT$1,0),),'Control Panel'!AL24))</f>
        <v/>
      </c>
      <c r="AN25" s="35" t="str">
        <f t="shared" ref="AN25:AN34" si="1">K25</f>
        <v/>
      </c>
      <c r="AO25" s="32" t="str">
        <f>IF(AO$4="","",IF($K25="","",IF('Control Panel'!AO24="",VLOOKUP($F25,'Table Output'!$A$2:$BW$99998,MATCH(AO$4,'Table Output'!$A$1:$BT$1,0),FALSE),'Control Panel'!AO24)))</f>
        <v/>
      </c>
      <c r="AP25" s="32" t="str">
        <f>IF(AP$4="","",IF($K25="","",IF('Control Panel'!AP24="",VLOOKUP($F25,'Table Output'!$A$2:$BW$99998,MATCH(AP$4,'Table Output'!$A$1:$BT$1,0),FALSE),'Control Panel'!AP24)))</f>
        <v/>
      </c>
      <c r="AQ25" s="32" t="str">
        <f>IF(AQ$4="","",IF($K25="","",IF('Control Panel'!AQ24="",VLOOKUP($F25,'Table Output'!$A$2:$BW$99998,MATCH(AQ$4,'Table Output'!$A$1:$BT$1,0),FALSE),'Control Panel'!AQ24)))</f>
        <v/>
      </c>
      <c r="AR25" s="32" t="str">
        <f>IF(AR$4="","",IF($K25="","",IF('Control Panel'!AR24="",VLOOKUP($F25,'Table Output'!$A$2:$BW$99998,MATCH(AR$4,'Table Output'!$A$1:$BT$1,0),FALSE),'Control Panel'!AR24)))</f>
        <v/>
      </c>
      <c r="AS25" s="32" t="str">
        <f>IF(AS$4="","",IF($K25="","",IF('Control Panel'!AS24="",VLOOKUP($F25,'Table Output'!$A$2:$BW$99998,MATCH(AS$4,'Table Output'!$A$1:$BT$1,0),FALSE),'Control Panel'!AS24)))</f>
        <v/>
      </c>
      <c r="AT25" s="32" t="str">
        <f>IF(AT$4="","",IF($K25="","",IF('Control Panel'!AT24="",VLOOKUP($F25,'Table Output'!$A$2:$BW$99998,MATCH(AT$4,'Table Output'!$A$1:$BT$1,0),FALSE),'Control Panel'!AT24)))</f>
        <v/>
      </c>
      <c r="AU25" s="32" t="str">
        <f>IF(AU$4="","",IF($K25="","",IF('Control Panel'!AU24="",VLOOKUP($F25,'Table Output'!$A$2:$BW$99998,MATCH(AU$4,'Table Output'!$A$1:$BT$1,0),FALSE),'Control Panel'!AU24)))</f>
        <v/>
      </c>
      <c r="AV25" s="32" t="str">
        <f>IF(AV$4="","",IF($K25="","",IF('Control Panel'!AV24="",VLOOKUP($F25,'Table Output'!$A$2:$BW$99998,MATCH(AV$4,'Table Output'!$A$1:$BT$1,0),FALSE),'Control Panel'!AV24)))</f>
        <v/>
      </c>
      <c r="AW25" s="32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6" t="str">
        <f>IF(E26=1,IF('Control Panel'!K25="","",'Control Panel'!K25),"")</f>
        <v/>
      </c>
      <c r="L26" s="22" t="str">
        <f>IF($K26="","",IF(L$4="","",IF('Control Panel'!L25="",VLOOKUP($F26,'Table Output'!$A:$BW,MATCH(L$4,'Table Output'!$A$1:$BT$1,0),),'Control Panel'!L25)))</f>
        <v/>
      </c>
      <c r="M26" s="22" t="str">
        <f>IF($K26="","",IF(M$4="","",IF('Control Panel'!M25="",VLOOKUP($F26,'Table Output'!$A:$BW,MATCH(M$4,'Table Output'!$A$1:$BT$1,0),),'Control Panel'!M25)))</f>
        <v/>
      </c>
      <c r="N26" s="22" t="str">
        <f>IF($K26="","",IF(N$4="","",IF('Control Panel'!N25="",VLOOKUP($F26,'Table Output'!$A:$BW,MATCH(N$4,'Table Output'!$A$1:$BT$1,0),),'Control Panel'!N25)))</f>
        <v/>
      </c>
      <c r="O26" s="22" t="str">
        <f>IF($K26="","",IF(O$4="","",IF('Control Panel'!O25="",VLOOKUP($F26,'Table Output'!$A:$BW,MATCH(O$4,'Table Output'!$A$1:$BT$1,0),),'Control Panel'!O25)))</f>
        <v/>
      </c>
      <c r="P26" s="22" t="str">
        <f>IF($K26="","",IF(P$4="","",IF('Control Panel'!P25="",VLOOKUP($F26,'Table Output'!$A:$BW,MATCH(P$4,'Table Output'!$A$1:$BT$1,0),),'Control Panel'!P25)))</f>
        <v/>
      </c>
      <c r="Q26" s="22" t="str">
        <f>IF($K26="","",IF(Q$4="","",IF('Control Panel'!Q25="",VLOOKUP($F26,'Table Output'!$A:$BW,MATCH(Q$4,'Table Output'!$A$1:$BT$1,0),),'Control Panel'!Q25)))</f>
        <v/>
      </c>
      <c r="R26" s="22" t="str">
        <f>IF($K26="","",IF(R$4="","",IF('Control Panel'!R25="",VLOOKUP($F26,'Table Output'!$A:$BW,MATCH(R$4,'Table Output'!$A$1:$BT$1,0),),'Control Panel'!R25)))</f>
        <v/>
      </c>
      <c r="S26" s="22" t="str">
        <f>IF($K26="","",IF(S$4="","",IF('Control Panel'!S25="",VLOOKUP($F26,'Table Output'!$A:$BW,MATCH(S$4,'Table Output'!$A$1:$BT$1,0),),'Control Panel'!S25)))</f>
        <v/>
      </c>
      <c r="T26" s="22" t="str">
        <f>IF($K26="","",IF(T$4="","",IF('Control Panel'!T25="",VLOOKUP($F26,'Table Output'!$A:$BW,MATCH(T$4,'Table Output'!$A$1:$BT$1,0),),'Control Panel'!T25)))</f>
        <v/>
      </c>
      <c r="U26" s="22" t="str">
        <f>IF($K26="","",IF(U$4="","",IF('Control Panel'!U25="",VLOOKUP($F26,'Table Output'!$A:$BW,MATCH(U$4,'Table Output'!$A$1:$BT$1,0),),'Control Panel'!U25)))</f>
        <v/>
      </c>
      <c r="W26" s="22" t="str">
        <f>IF($K26="","",IF('Control Panel'!W25="",VLOOKUP($F26,'Table Output'!$A$2:$BW$99998,MATCH(W$4,'Table Output'!$A$1:$BT$1,0),),'Control Panel'!W25))</f>
        <v/>
      </c>
      <c r="X26" s="22" t="str">
        <f>IF($K26="","",IF('Control Panel'!X25="",VLOOKUP($F26,'Table Output'!$A$2:$BW$99998,MATCH(X$4,'Table Output'!$A$1:$BT$1,0),),'Control Panel'!X25))</f>
        <v/>
      </c>
      <c r="Y26" s="22" t="str">
        <f>IF($K26="","",IF('Control Panel'!Y25="",VLOOKUP($F26,'Table Output'!$A$2:$BW$99998,MATCH(Y$4,'Table Output'!$A$1:$BT$1,0),),'Control Panel'!Y25))</f>
        <v/>
      </c>
      <c r="Z26" s="22" t="str">
        <f>IF($K26="","",IF('Control Panel'!Z25="",VLOOKUP($F26,'Table Output'!$A$2:$BW$99998,MATCH(Z$4,'Table Output'!$A$1:$BT$1,0),),'Control Panel'!Z25))</f>
        <v/>
      </c>
      <c r="AA26" s="22" t="str">
        <f>IF($K26="","",IF('Control Panel'!AA25="",VLOOKUP($F26,'Table Output'!$A$2:$BW$99998,MATCH(AA$4,'Table Output'!$A$1:$BT$1,0),),'Control Panel'!AA25))</f>
        <v/>
      </c>
      <c r="AB26" s="22" t="str">
        <f>IF($K26="","",IF('Control Panel'!AB25="",VLOOKUP($F26,'Table Output'!$A$2:$BW$99998,MATCH(AB$4,'Table Output'!$A$1:$BT$1,0),),'Control Panel'!AB25))</f>
        <v/>
      </c>
      <c r="AC26" s="22" t="str">
        <f>IF($K26="","",IF('Control Panel'!AC25="",VLOOKUP($F26,'Table Output'!$A$2:$BW$99998,MATCH(AC$4,'Table Output'!$A$1:$BT$1,0),),'Control Panel'!AC25))</f>
        <v/>
      </c>
      <c r="AD26" s="22" t="str">
        <f>IF($K26="","",IF('Control Panel'!AD25="",VLOOKUP($F26,'Table Output'!$A$2:$BW$99998,MATCH(AD$4,'Table Output'!$A$1:$BT$1,0),),'Control Panel'!AD25))</f>
        <v/>
      </c>
      <c r="AE26" s="22" t="str">
        <f>IF($K26="","",IF('Control Panel'!AE25="",VLOOKUP($F26,'Table Output'!$A$2:$BW$99998,MATCH(AE$4,'Table Output'!$A$1:$BT$1,0),),'Control Panel'!AE25))</f>
        <v/>
      </c>
      <c r="AF26" s="22" t="str">
        <f>IF($K26="","",IF('Control Panel'!AF25="",VLOOKUP($F26,'Table Output'!$A$2:$BW$99998,MATCH(AF$4,'Table Output'!$A$1:$BT$1,0),),'Control Panel'!AF25))</f>
        <v/>
      </c>
      <c r="AG26" s="22" t="str">
        <f>IF($K26="","",IF('Control Panel'!AG25="",VLOOKUP($F26,'Table Output'!$A$2:$BW$99998,MATCH(AG$4,'Table Output'!$A$1:$BT$1,0),),'Control Panel'!AG25))</f>
        <v/>
      </c>
      <c r="AH26" s="22" t="str">
        <f>IF($K26="","",IF('Control Panel'!AH25="",VLOOKUP($F26,'Table Output'!$A$2:$BW$99998,MATCH(AH$4,'Table Output'!$A$1:$BT$1,0),),'Control Panel'!AH25))</f>
        <v/>
      </c>
      <c r="AI26" s="22" t="str">
        <f>IF($K26="","",IF('Control Panel'!AI25="",VLOOKUP($F26,'Table Output'!$A$2:$BW$99998,MATCH(AI$4,'Table Output'!$A$1:$BT$1,0),),'Control Panel'!AI25))</f>
        <v/>
      </c>
      <c r="AJ26" s="22" t="str">
        <f>IF($K26="","",IF('Control Panel'!AJ25="",VLOOKUP($F26,'Table Output'!$A$2:$BW$99998,MATCH(AJ$4,'Table Output'!$A$1:$BT$1,0),),'Control Panel'!AJ25))</f>
        <v/>
      </c>
      <c r="AK26" s="22" t="str">
        <f>IF($K26="","",IF('Control Panel'!AK25="",VLOOKUP($F26,'Table Output'!$A$2:$BW$99998,MATCH(AK$4,'Table Output'!$A$1:$BT$1,0),),'Control Panel'!AK25))</f>
        <v/>
      </c>
      <c r="AL26" s="22" t="str">
        <f>IF($K26="","",IF('Control Panel'!AL25="",VLOOKUP($F26,'Table Output'!$A$2:$BW$99998,MATCH(AL$4,'Table Output'!$A$1:$BT$1,0),),'Control Panel'!AL25))</f>
        <v/>
      </c>
      <c r="AN26" s="35" t="str">
        <f t="shared" si="1"/>
        <v/>
      </c>
      <c r="AO26" s="32" t="str">
        <f>IF(AO$4="","",IF($K26="","",IF('Control Panel'!AO25="",VLOOKUP($F26,'Table Output'!$A$2:$BW$99998,MATCH(AO$4,'Table Output'!$A$1:$BT$1,0),FALSE),'Control Panel'!AO25)))</f>
        <v/>
      </c>
      <c r="AP26" s="32" t="str">
        <f>IF(AP$4="","",IF($K26="","",IF('Control Panel'!AP25="",VLOOKUP($F26,'Table Output'!$A$2:$BW$99998,MATCH(AP$4,'Table Output'!$A$1:$BT$1,0),FALSE),'Control Panel'!AP25)))</f>
        <v/>
      </c>
      <c r="AQ26" s="32" t="str">
        <f>IF(AQ$4="","",IF($K26="","",IF('Control Panel'!AQ25="",VLOOKUP($F26,'Table Output'!$A$2:$BW$99998,MATCH(AQ$4,'Table Output'!$A$1:$BT$1,0),FALSE),'Control Panel'!AQ25)))</f>
        <v/>
      </c>
      <c r="AR26" s="32" t="str">
        <f>IF(AR$4="","",IF($K26="","",IF('Control Panel'!AR25="",VLOOKUP($F26,'Table Output'!$A$2:$BW$99998,MATCH(AR$4,'Table Output'!$A$1:$BT$1,0),FALSE),'Control Panel'!AR25)))</f>
        <v/>
      </c>
      <c r="AS26" s="32" t="str">
        <f>IF(AS$4="","",IF($K26="","",IF('Control Panel'!AS25="",VLOOKUP($F26,'Table Output'!$A$2:$BW$99998,MATCH(AS$4,'Table Output'!$A$1:$BT$1,0),FALSE),'Control Panel'!AS25)))</f>
        <v/>
      </c>
      <c r="AT26" s="32" t="str">
        <f>IF(AT$4="","",IF($K26="","",IF('Control Panel'!AT25="",VLOOKUP($F26,'Table Output'!$A$2:$BW$99998,MATCH(AT$4,'Table Output'!$A$1:$BT$1,0),FALSE),'Control Panel'!AT25)))</f>
        <v/>
      </c>
      <c r="AU26" s="32" t="str">
        <f>IF(AU$4="","",IF($K26="","",IF('Control Panel'!AU25="",VLOOKUP($F26,'Table Output'!$A$2:$BW$99998,MATCH(AU$4,'Table Output'!$A$1:$BT$1,0),FALSE),'Control Panel'!AU25)))</f>
        <v/>
      </c>
      <c r="AV26" s="32" t="str">
        <f>IF(AV$4="","",IF($K26="","",IF('Control Panel'!AV25="",VLOOKUP($F26,'Table Output'!$A$2:$BW$99998,MATCH(AV$4,'Table Output'!$A$1:$BT$1,0),FALSE),'Control Panel'!AV25)))</f>
        <v/>
      </c>
      <c r="AW26" s="32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6" t="str">
        <f>IF(E27=1,IF('Control Panel'!K26="","",'Control Panel'!K26),"")</f>
        <v/>
      </c>
      <c r="L27" s="22" t="str">
        <f>IF($K27="","",IF(L$4="","",IF('Control Panel'!L26="",VLOOKUP($F27,'Table Output'!$A:$BW,MATCH(L$4,'Table Output'!$A$1:$BT$1,0),),'Control Panel'!L26)))</f>
        <v/>
      </c>
      <c r="M27" s="22" t="str">
        <f>IF($K27="","",IF(M$4="","",IF('Control Panel'!M26="",VLOOKUP($F27,'Table Output'!$A:$BW,MATCH(M$4,'Table Output'!$A$1:$BT$1,0),),'Control Panel'!M26)))</f>
        <v/>
      </c>
      <c r="N27" s="22" t="str">
        <f>IF($K27="","",IF(N$4="","",IF('Control Panel'!N26="",VLOOKUP($F27,'Table Output'!$A:$BW,MATCH(N$4,'Table Output'!$A$1:$BT$1,0),),'Control Panel'!N26)))</f>
        <v/>
      </c>
      <c r="O27" s="22" t="str">
        <f>IF($K27="","",IF(O$4="","",IF('Control Panel'!O26="",VLOOKUP($F27,'Table Output'!$A:$BW,MATCH(O$4,'Table Output'!$A$1:$BT$1,0),),'Control Panel'!O26)))</f>
        <v/>
      </c>
      <c r="P27" s="22" t="str">
        <f>IF($K27="","",IF(P$4="","",IF('Control Panel'!P26="",VLOOKUP($F27,'Table Output'!$A:$BW,MATCH(P$4,'Table Output'!$A$1:$BT$1,0),),'Control Panel'!P26)))</f>
        <v/>
      </c>
      <c r="Q27" s="22" t="str">
        <f>IF($K27="","",IF(Q$4="","",IF('Control Panel'!Q26="",VLOOKUP($F27,'Table Output'!$A:$BW,MATCH(Q$4,'Table Output'!$A$1:$BT$1,0),),'Control Panel'!Q26)))</f>
        <v/>
      </c>
      <c r="R27" s="22" t="str">
        <f>IF($K27="","",IF(R$4="","",IF('Control Panel'!R26="",VLOOKUP($F27,'Table Output'!$A:$BW,MATCH(R$4,'Table Output'!$A$1:$BT$1,0),),'Control Panel'!R26)))</f>
        <v/>
      </c>
      <c r="S27" s="22" t="str">
        <f>IF($K27="","",IF(S$4="","",IF('Control Panel'!S26="",VLOOKUP($F27,'Table Output'!$A:$BW,MATCH(S$4,'Table Output'!$A$1:$BT$1,0),),'Control Panel'!S26)))</f>
        <v/>
      </c>
      <c r="T27" s="22" t="str">
        <f>IF($K27="","",IF(T$4="","",IF('Control Panel'!T26="",VLOOKUP($F27,'Table Output'!$A:$BW,MATCH(T$4,'Table Output'!$A$1:$BT$1,0),),'Control Panel'!T26)))</f>
        <v/>
      </c>
      <c r="U27" s="22" t="str">
        <f>IF($K27="","",IF(U$4="","",IF('Control Panel'!U26="",VLOOKUP($F27,'Table Output'!$A:$BW,MATCH(U$4,'Table Output'!$A$1:$BT$1,0),),'Control Panel'!U26)))</f>
        <v/>
      </c>
      <c r="W27" s="22" t="str">
        <f>IF($K27="","",IF('Control Panel'!W26="",VLOOKUP($F27,'Table Output'!$A$2:$BW$99998,MATCH(W$4,'Table Output'!$A$1:$BT$1,0),),'Control Panel'!W26))</f>
        <v/>
      </c>
      <c r="X27" s="22" t="str">
        <f>IF($K27="","",IF('Control Panel'!X26="",VLOOKUP($F27,'Table Output'!$A$2:$BW$99998,MATCH(X$4,'Table Output'!$A$1:$BT$1,0),),'Control Panel'!X26))</f>
        <v/>
      </c>
      <c r="Y27" s="22" t="str">
        <f>IF($K27="","",IF('Control Panel'!Y26="",VLOOKUP($F27,'Table Output'!$A$2:$BW$99998,MATCH(Y$4,'Table Output'!$A$1:$BT$1,0),),'Control Panel'!Y26))</f>
        <v/>
      </c>
      <c r="Z27" s="22" t="str">
        <f>IF($K27="","",IF('Control Panel'!Z26="",VLOOKUP($F27,'Table Output'!$A$2:$BW$99998,MATCH(Z$4,'Table Output'!$A$1:$BT$1,0),),'Control Panel'!Z26))</f>
        <v/>
      </c>
      <c r="AA27" s="22" t="str">
        <f>IF($K27="","",IF('Control Panel'!AA26="",VLOOKUP($F27,'Table Output'!$A$2:$BW$99998,MATCH(AA$4,'Table Output'!$A$1:$BT$1,0),),'Control Panel'!AA26))</f>
        <v/>
      </c>
      <c r="AB27" s="22" t="str">
        <f>IF($K27="","",IF('Control Panel'!AB26="",VLOOKUP($F27,'Table Output'!$A$2:$BW$99998,MATCH(AB$4,'Table Output'!$A$1:$BT$1,0),),'Control Panel'!AB26))</f>
        <v/>
      </c>
      <c r="AC27" s="22" t="str">
        <f>IF($K27="","",IF('Control Panel'!AC26="",VLOOKUP($F27,'Table Output'!$A$2:$BW$99998,MATCH(AC$4,'Table Output'!$A$1:$BT$1,0),),'Control Panel'!AC26))</f>
        <v/>
      </c>
      <c r="AD27" s="22" t="str">
        <f>IF($K27="","",IF('Control Panel'!AD26="",VLOOKUP($F27,'Table Output'!$A$2:$BW$99998,MATCH(AD$4,'Table Output'!$A$1:$BT$1,0),),'Control Panel'!AD26))</f>
        <v/>
      </c>
      <c r="AE27" s="22" t="str">
        <f>IF($K27="","",IF('Control Panel'!AE26="",VLOOKUP($F27,'Table Output'!$A$2:$BW$99998,MATCH(AE$4,'Table Output'!$A$1:$BT$1,0),),'Control Panel'!AE26))</f>
        <v/>
      </c>
      <c r="AF27" s="22" t="str">
        <f>IF($K27="","",IF('Control Panel'!AF26="",VLOOKUP($F27,'Table Output'!$A$2:$BW$99998,MATCH(AF$4,'Table Output'!$A$1:$BT$1,0),),'Control Panel'!AF26))</f>
        <v/>
      </c>
      <c r="AG27" s="22" t="str">
        <f>IF($K27="","",IF('Control Panel'!AG26="",VLOOKUP($F27,'Table Output'!$A$2:$BW$99998,MATCH(AG$4,'Table Output'!$A$1:$BT$1,0),),'Control Panel'!AG26))</f>
        <v/>
      </c>
      <c r="AH27" s="22" t="str">
        <f>IF($K27="","",IF('Control Panel'!AH26="",VLOOKUP($F27,'Table Output'!$A$2:$BW$99998,MATCH(AH$4,'Table Output'!$A$1:$BT$1,0),),'Control Panel'!AH26))</f>
        <v/>
      </c>
      <c r="AI27" s="22" t="str">
        <f>IF($K27="","",IF('Control Panel'!AI26="",VLOOKUP($F27,'Table Output'!$A$2:$BW$99998,MATCH(AI$4,'Table Output'!$A$1:$BT$1,0),),'Control Panel'!AI26))</f>
        <v/>
      </c>
      <c r="AJ27" s="22" t="str">
        <f>IF($K27="","",IF('Control Panel'!AJ26="",VLOOKUP($F27,'Table Output'!$A$2:$BW$99998,MATCH(AJ$4,'Table Output'!$A$1:$BT$1,0),),'Control Panel'!AJ26))</f>
        <v/>
      </c>
      <c r="AK27" s="22" t="str">
        <f>IF($K27="","",IF('Control Panel'!AK26="",VLOOKUP($F27,'Table Output'!$A$2:$BW$99998,MATCH(AK$4,'Table Output'!$A$1:$BT$1,0),),'Control Panel'!AK26))</f>
        <v/>
      </c>
      <c r="AL27" s="22" t="str">
        <f>IF($K27="","",IF('Control Panel'!AL26="",VLOOKUP($F27,'Table Output'!$A$2:$BW$99998,MATCH(AL$4,'Table Output'!$A$1:$BT$1,0),),'Control Panel'!AL26))</f>
        <v/>
      </c>
      <c r="AN27" s="35" t="str">
        <f t="shared" si="1"/>
        <v/>
      </c>
      <c r="AO27" s="32" t="str">
        <f>IF(AO$4="","",IF($K27="","",IF('Control Panel'!AO26="",VLOOKUP($F27,'Table Output'!$A$2:$BW$99998,MATCH(AO$4,'Table Output'!$A$1:$BT$1,0),FALSE),'Control Panel'!AO26)))</f>
        <v/>
      </c>
      <c r="AP27" s="32" t="str">
        <f>IF(AP$4="","",IF($K27="","",IF('Control Panel'!AP26="",VLOOKUP($F27,'Table Output'!$A$2:$BW$99998,MATCH(AP$4,'Table Output'!$A$1:$BT$1,0),FALSE),'Control Panel'!AP26)))</f>
        <v/>
      </c>
      <c r="AQ27" s="32" t="str">
        <f>IF(AQ$4="","",IF($K27="","",IF('Control Panel'!AQ26="",VLOOKUP($F27,'Table Output'!$A$2:$BW$99998,MATCH(AQ$4,'Table Output'!$A$1:$BT$1,0),FALSE),'Control Panel'!AQ26)))</f>
        <v/>
      </c>
      <c r="AR27" s="32" t="str">
        <f>IF(AR$4="","",IF($K27="","",IF('Control Panel'!AR26="",VLOOKUP($F27,'Table Output'!$A$2:$BW$99998,MATCH(AR$4,'Table Output'!$A$1:$BT$1,0),FALSE),'Control Panel'!AR26)))</f>
        <v/>
      </c>
      <c r="AS27" s="32" t="str">
        <f>IF(AS$4="","",IF($K27="","",IF('Control Panel'!AS26="",VLOOKUP($F27,'Table Output'!$A$2:$BW$99998,MATCH(AS$4,'Table Output'!$A$1:$BT$1,0),FALSE),'Control Panel'!AS26)))</f>
        <v/>
      </c>
      <c r="AT27" s="32" t="str">
        <f>IF(AT$4="","",IF($K27="","",IF('Control Panel'!AT26="",VLOOKUP($F27,'Table Output'!$A$2:$BW$99998,MATCH(AT$4,'Table Output'!$A$1:$BT$1,0),FALSE),'Control Panel'!AT26)))</f>
        <v/>
      </c>
      <c r="AU27" s="32" t="str">
        <f>IF(AU$4="","",IF($K27="","",IF('Control Panel'!AU26="",VLOOKUP($F27,'Table Output'!$A$2:$BW$99998,MATCH(AU$4,'Table Output'!$A$1:$BT$1,0),FALSE),'Control Panel'!AU26)))</f>
        <v/>
      </c>
      <c r="AV27" s="32" t="str">
        <f>IF(AV$4="","",IF($K27="","",IF('Control Panel'!AV26="",VLOOKUP($F27,'Table Output'!$A$2:$BW$99998,MATCH(AV$4,'Table Output'!$A$1:$BT$1,0),FALSE),'Control Panel'!AV26)))</f>
        <v/>
      </c>
      <c r="AW27" s="32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6" t="str">
        <f>IF(E28=1,IF('Control Panel'!K27="","",'Control Panel'!K27),"")</f>
        <v/>
      </c>
      <c r="L28" s="22" t="str">
        <f>IF($K28="","",IF(L$4="","",IF('Control Panel'!L27="",VLOOKUP($F28,'Table Output'!$A:$BW,MATCH(L$4,'Table Output'!$A$1:$BT$1,0),),'Control Panel'!L27)))</f>
        <v/>
      </c>
      <c r="M28" s="22" t="str">
        <f>IF($K28="","",IF(M$4="","",IF('Control Panel'!M27="",VLOOKUP($F28,'Table Output'!$A:$BW,MATCH(M$4,'Table Output'!$A$1:$BT$1,0),),'Control Panel'!M27)))</f>
        <v/>
      </c>
      <c r="N28" s="22" t="str">
        <f>IF($K28="","",IF(N$4="","",IF('Control Panel'!N27="",VLOOKUP($F28,'Table Output'!$A:$BW,MATCH(N$4,'Table Output'!$A$1:$BT$1,0),),'Control Panel'!N27)))</f>
        <v/>
      </c>
      <c r="O28" s="22" t="str">
        <f>IF($K28="","",IF(O$4="","",IF('Control Panel'!O27="",VLOOKUP($F28,'Table Output'!$A:$BW,MATCH(O$4,'Table Output'!$A$1:$BT$1,0),),'Control Panel'!O27)))</f>
        <v/>
      </c>
      <c r="P28" s="22" t="str">
        <f>IF($K28="","",IF(P$4="","",IF('Control Panel'!P27="",VLOOKUP($F28,'Table Output'!$A:$BW,MATCH(P$4,'Table Output'!$A$1:$BT$1,0),),'Control Panel'!P27)))</f>
        <v/>
      </c>
      <c r="Q28" s="22" t="str">
        <f>IF($K28="","",IF(Q$4="","",IF('Control Panel'!Q27="",VLOOKUP($F28,'Table Output'!$A:$BW,MATCH(Q$4,'Table Output'!$A$1:$BT$1,0),),'Control Panel'!Q27)))</f>
        <v/>
      </c>
      <c r="R28" s="22" t="str">
        <f>IF($K28="","",IF(R$4="","",IF('Control Panel'!R27="",VLOOKUP($F28,'Table Output'!$A:$BW,MATCH(R$4,'Table Output'!$A$1:$BT$1,0),),'Control Panel'!R27)))</f>
        <v/>
      </c>
      <c r="S28" s="22" t="str">
        <f>IF($K28="","",IF(S$4="","",IF('Control Panel'!S27="",VLOOKUP($F28,'Table Output'!$A:$BW,MATCH(S$4,'Table Output'!$A$1:$BT$1,0),),'Control Panel'!S27)))</f>
        <v/>
      </c>
      <c r="T28" s="22" t="str">
        <f>IF($K28="","",IF(T$4="","",IF('Control Panel'!T27="",VLOOKUP($F28,'Table Output'!$A:$BW,MATCH(T$4,'Table Output'!$A$1:$BT$1,0),),'Control Panel'!T27)))</f>
        <v/>
      </c>
      <c r="U28" s="22" t="str">
        <f>IF($K28="","",IF(U$4="","",IF('Control Panel'!U27="",VLOOKUP($F28,'Table Output'!$A:$BW,MATCH(U$4,'Table Output'!$A$1:$BT$1,0),),'Control Panel'!U27)))</f>
        <v/>
      </c>
      <c r="W28" s="22" t="str">
        <f>IF($K28="","",IF('Control Panel'!W27="",VLOOKUP($F28,'Table Output'!$A$2:$BW$99998,MATCH(W$4,'Table Output'!$A$1:$BT$1,0),),'Control Panel'!W27))</f>
        <v/>
      </c>
      <c r="X28" s="22" t="str">
        <f>IF($K28="","",IF('Control Panel'!X27="",VLOOKUP($F28,'Table Output'!$A$2:$BW$99998,MATCH(X$4,'Table Output'!$A$1:$BT$1,0),),'Control Panel'!X27))</f>
        <v/>
      </c>
      <c r="Y28" s="22" t="str">
        <f>IF($K28="","",IF('Control Panel'!Y27="",VLOOKUP($F28,'Table Output'!$A$2:$BW$99998,MATCH(Y$4,'Table Output'!$A$1:$BT$1,0),),'Control Panel'!Y27))</f>
        <v/>
      </c>
      <c r="Z28" s="22" t="str">
        <f>IF($K28="","",IF('Control Panel'!Z27="",VLOOKUP($F28,'Table Output'!$A$2:$BW$99998,MATCH(Z$4,'Table Output'!$A$1:$BT$1,0),),'Control Panel'!Z27))</f>
        <v/>
      </c>
      <c r="AA28" s="22" t="str">
        <f>IF($K28="","",IF('Control Panel'!AA27="",VLOOKUP($F28,'Table Output'!$A$2:$BW$99998,MATCH(AA$4,'Table Output'!$A$1:$BT$1,0),),'Control Panel'!AA27))</f>
        <v/>
      </c>
      <c r="AB28" s="22" t="str">
        <f>IF($K28="","",IF('Control Panel'!AB27="",VLOOKUP($F28,'Table Output'!$A$2:$BW$99998,MATCH(AB$4,'Table Output'!$A$1:$BT$1,0),),'Control Panel'!AB27))</f>
        <v/>
      </c>
      <c r="AC28" s="22" t="str">
        <f>IF($K28="","",IF('Control Panel'!AC27="",VLOOKUP($F28,'Table Output'!$A$2:$BW$99998,MATCH(AC$4,'Table Output'!$A$1:$BT$1,0),),'Control Panel'!AC27))</f>
        <v/>
      </c>
      <c r="AD28" s="22" t="str">
        <f>IF($K28="","",IF('Control Panel'!AD27="",VLOOKUP($F28,'Table Output'!$A$2:$BW$99998,MATCH(AD$4,'Table Output'!$A$1:$BT$1,0),),'Control Panel'!AD27))</f>
        <v/>
      </c>
      <c r="AE28" s="22" t="str">
        <f>IF($K28="","",IF('Control Panel'!AE27="",VLOOKUP($F28,'Table Output'!$A$2:$BW$99998,MATCH(AE$4,'Table Output'!$A$1:$BT$1,0),),'Control Panel'!AE27))</f>
        <v/>
      </c>
      <c r="AF28" s="22" t="str">
        <f>IF($K28="","",IF('Control Panel'!AF27="",VLOOKUP($F28,'Table Output'!$A$2:$BW$99998,MATCH(AF$4,'Table Output'!$A$1:$BT$1,0),),'Control Panel'!AF27))</f>
        <v/>
      </c>
      <c r="AG28" s="22" t="str">
        <f>IF($K28="","",IF('Control Panel'!AG27="",VLOOKUP($F28,'Table Output'!$A$2:$BW$99998,MATCH(AG$4,'Table Output'!$A$1:$BT$1,0),),'Control Panel'!AG27))</f>
        <v/>
      </c>
      <c r="AH28" s="22" t="str">
        <f>IF($K28="","",IF('Control Panel'!AH27="",VLOOKUP($F28,'Table Output'!$A$2:$BW$99998,MATCH(AH$4,'Table Output'!$A$1:$BT$1,0),),'Control Panel'!AH27))</f>
        <v/>
      </c>
      <c r="AI28" s="22" t="str">
        <f>IF($K28="","",IF('Control Panel'!AI27="",VLOOKUP($F28,'Table Output'!$A$2:$BW$99998,MATCH(AI$4,'Table Output'!$A$1:$BT$1,0),),'Control Panel'!AI27))</f>
        <v/>
      </c>
      <c r="AJ28" s="22" t="str">
        <f>IF($K28="","",IF('Control Panel'!AJ27="",VLOOKUP($F28,'Table Output'!$A$2:$BW$99998,MATCH(AJ$4,'Table Output'!$A$1:$BT$1,0),),'Control Panel'!AJ27))</f>
        <v/>
      </c>
      <c r="AK28" s="22" t="str">
        <f>IF($K28="","",IF('Control Panel'!AK27="",VLOOKUP($F28,'Table Output'!$A$2:$BW$99998,MATCH(AK$4,'Table Output'!$A$1:$BT$1,0),),'Control Panel'!AK27))</f>
        <v/>
      </c>
      <c r="AL28" s="22" t="str">
        <f>IF($K28="","",IF('Control Panel'!AL27="",VLOOKUP($F28,'Table Output'!$A$2:$BW$99998,MATCH(AL$4,'Table Output'!$A$1:$BT$1,0),),'Control Panel'!AL27))</f>
        <v/>
      </c>
      <c r="AN28" s="35" t="str">
        <f t="shared" si="1"/>
        <v/>
      </c>
      <c r="AO28" s="32" t="str">
        <f>IF(AO$4="","",IF($K28="","",IF('Control Panel'!AO27="",VLOOKUP($F28,'Table Output'!$A$2:$BW$99998,MATCH(AO$4,'Table Output'!$A$1:$BT$1,0),FALSE),'Control Panel'!AO27)))</f>
        <v/>
      </c>
      <c r="AP28" s="32" t="str">
        <f>IF(AP$4="","",IF($K28="","",IF('Control Panel'!AP27="",VLOOKUP($F28,'Table Output'!$A$2:$BW$99998,MATCH(AP$4,'Table Output'!$A$1:$BT$1,0),FALSE),'Control Panel'!AP27)))</f>
        <v/>
      </c>
      <c r="AQ28" s="32" t="str">
        <f>IF(AQ$4="","",IF($K28="","",IF('Control Panel'!AQ27="",VLOOKUP($F28,'Table Output'!$A$2:$BW$99998,MATCH(AQ$4,'Table Output'!$A$1:$BT$1,0),FALSE),'Control Panel'!AQ27)))</f>
        <v/>
      </c>
      <c r="AR28" s="32" t="str">
        <f>IF(AR$4="","",IF($K28="","",IF('Control Panel'!AR27="",VLOOKUP($F28,'Table Output'!$A$2:$BW$99998,MATCH(AR$4,'Table Output'!$A$1:$BT$1,0),FALSE),'Control Panel'!AR27)))</f>
        <v/>
      </c>
      <c r="AS28" s="32" t="str">
        <f>IF(AS$4="","",IF($K28="","",IF('Control Panel'!AS27="",VLOOKUP($F28,'Table Output'!$A$2:$BW$99998,MATCH(AS$4,'Table Output'!$A$1:$BT$1,0),FALSE),'Control Panel'!AS27)))</f>
        <v/>
      </c>
      <c r="AT28" s="32" t="str">
        <f>IF(AT$4="","",IF($K28="","",IF('Control Panel'!AT27="",VLOOKUP($F28,'Table Output'!$A$2:$BW$99998,MATCH(AT$4,'Table Output'!$A$1:$BT$1,0),FALSE),'Control Panel'!AT27)))</f>
        <v/>
      </c>
      <c r="AU28" s="32" t="str">
        <f>IF(AU$4="","",IF($K28="","",IF('Control Panel'!AU27="",VLOOKUP($F28,'Table Output'!$A$2:$BW$99998,MATCH(AU$4,'Table Output'!$A$1:$BT$1,0),FALSE),'Control Panel'!AU27)))</f>
        <v/>
      </c>
      <c r="AV28" s="32" t="str">
        <f>IF(AV$4="","",IF($K28="","",IF('Control Panel'!AV27="",VLOOKUP($F28,'Table Output'!$A$2:$BW$99998,MATCH(AV$4,'Table Output'!$A$1:$BT$1,0),FALSE),'Control Panel'!AV27)))</f>
        <v/>
      </c>
      <c r="AW28" s="32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6" t="str">
        <f>IF(E29=1,IF('Control Panel'!K28="","",'Control Panel'!K28),"")</f>
        <v/>
      </c>
      <c r="L29" s="22" t="str">
        <f>IF($K29="","",IF(L$4="","",IF('Control Panel'!L28="",VLOOKUP($F29,'Table Output'!$A:$BW,MATCH(L$4,'Table Output'!$A$1:$BT$1,0),),'Control Panel'!L28)))</f>
        <v/>
      </c>
      <c r="M29" s="22" t="str">
        <f>IF($K29="","",IF(M$4="","",IF('Control Panel'!M28="",VLOOKUP($F29,'Table Output'!$A:$BW,MATCH(M$4,'Table Output'!$A$1:$BT$1,0),),'Control Panel'!M28)))</f>
        <v/>
      </c>
      <c r="N29" s="22" t="str">
        <f>IF($K29="","",IF(N$4="","",IF('Control Panel'!N28="",VLOOKUP($F29,'Table Output'!$A:$BW,MATCH(N$4,'Table Output'!$A$1:$BT$1,0),),'Control Panel'!N28)))</f>
        <v/>
      </c>
      <c r="O29" s="22" t="str">
        <f>IF($K29="","",IF(O$4="","",IF('Control Panel'!O28="",VLOOKUP($F29,'Table Output'!$A:$BW,MATCH(O$4,'Table Output'!$A$1:$BT$1,0),),'Control Panel'!O28)))</f>
        <v/>
      </c>
      <c r="P29" s="22" t="str">
        <f>IF($K29="","",IF(P$4="","",IF('Control Panel'!P28="",VLOOKUP($F29,'Table Output'!$A:$BW,MATCH(P$4,'Table Output'!$A$1:$BT$1,0),),'Control Panel'!P28)))</f>
        <v/>
      </c>
      <c r="Q29" s="22" t="str">
        <f>IF($K29="","",IF(Q$4="","",IF('Control Panel'!Q28="",VLOOKUP($F29,'Table Output'!$A:$BW,MATCH(Q$4,'Table Output'!$A$1:$BT$1,0),),'Control Panel'!Q28)))</f>
        <v/>
      </c>
      <c r="R29" s="22" t="str">
        <f>IF($K29="","",IF(R$4="","",IF('Control Panel'!R28="",VLOOKUP($F29,'Table Output'!$A:$BW,MATCH(R$4,'Table Output'!$A$1:$BT$1,0),),'Control Panel'!R28)))</f>
        <v/>
      </c>
      <c r="S29" s="22" t="str">
        <f>IF($K29="","",IF(S$4="","",IF('Control Panel'!S28="",VLOOKUP($F29,'Table Output'!$A:$BW,MATCH(S$4,'Table Output'!$A$1:$BT$1,0),),'Control Panel'!S28)))</f>
        <v/>
      </c>
      <c r="T29" s="22" t="str">
        <f>IF($K29="","",IF(T$4="","",IF('Control Panel'!T28="",VLOOKUP($F29,'Table Output'!$A:$BW,MATCH(T$4,'Table Output'!$A$1:$BT$1,0),),'Control Panel'!T28)))</f>
        <v/>
      </c>
      <c r="U29" s="22" t="str">
        <f>IF($K29="","",IF(U$4="","",IF('Control Panel'!U28="",VLOOKUP($F29,'Table Output'!$A:$BW,MATCH(U$4,'Table Output'!$A$1:$BT$1,0),),'Control Panel'!U28)))</f>
        <v/>
      </c>
      <c r="W29" s="22" t="str">
        <f>IF($K29="","",IF('Control Panel'!W28="",VLOOKUP($F29,'Table Output'!$A$2:$BW$99998,MATCH(W$4,'Table Output'!$A$1:$BT$1,0),),'Control Panel'!W28))</f>
        <v/>
      </c>
      <c r="X29" s="22" t="str">
        <f>IF($K29="","",IF('Control Panel'!X28="",VLOOKUP($F29,'Table Output'!$A$2:$BW$99998,MATCH(X$4,'Table Output'!$A$1:$BT$1,0),),'Control Panel'!X28))</f>
        <v/>
      </c>
      <c r="Y29" s="22" t="str">
        <f>IF($K29="","",IF('Control Panel'!Y28="",VLOOKUP($F29,'Table Output'!$A$2:$BW$99998,MATCH(Y$4,'Table Output'!$A$1:$BT$1,0),),'Control Panel'!Y28))</f>
        <v/>
      </c>
      <c r="Z29" s="22" t="str">
        <f>IF($K29="","",IF('Control Panel'!Z28="",VLOOKUP($F29,'Table Output'!$A$2:$BW$99998,MATCH(Z$4,'Table Output'!$A$1:$BT$1,0),),'Control Panel'!Z28))</f>
        <v/>
      </c>
      <c r="AA29" s="22" t="str">
        <f>IF($K29="","",IF('Control Panel'!AA28="",VLOOKUP($F29,'Table Output'!$A$2:$BW$99998,MATCH(AA$4,'Table Output'!$A$1:$BT$1,0),),'Control Panel'!AA28))</f>
        <v/>
      </c>
      <c r="AB29" s="22" t="str">
        <f>IF($K29="","",IF('Control Panel'!AB28="",VLOOKUP($F29,'Table Output'!$A$2:$BW$99998,MATCH(AB$4,'Table Output'!$A$1:$BT$1,0),),'Control Panel'!AB28))</f>
        <v/>
      </c>
      <c r="AC29" s="22" t="str">
        <f>IF($K29="","",IF('Control Panel'!AC28="",VLOOKUP($F29,'Table Output'!$A$2:$BW$99998,MATCH(AC$4,'Table Output'!$A$1:$BT$1,0),),'Control Panel'!AC28))</f>
        <v/>
      </c>
      <c r="AD29" s="22" t="str">
        <f>IF($K29="","",IF('Control Panel'!AD28="",VLOOKUP($F29,'Table Output'!$A$2:$BW$99998,MATCH(AD$4,'Table Output'!$A$1:$BT$1,0),),'Control Panel'!AD28))</f>
        <v/>
      </c>
      <c r="AE29" s="22" t="str">
        <f>IF($K29="","",IF('Control Panel'!AE28="",VLOOKUP($F29,'Table Output'!$A$2:$BW$99998,MATCH(AE$4,'Table Output'!$A$1:$BT$1,0),),'Control Panel'!AE28))</f>
        <v/>
      </c>
      <c r="AF29" s="22" t="str">
        <f>IF($K29="","",IF('Control Panel'!AF28="",VLOOKUP($F29,'Table Output'!$A$2:$BW$99998,MATCH(AF$4,'Table Output'!$A$1:$BT$1,0),),'Control Panel'!AF28))</f>
        <v/>
      </c>
      <c r="AG29" s="22" t="str">
        <f>IF($K29="","",IF('Control Panel'!AG28="",VLOOKUP($F29,'Table Output'!$A$2:$BW$99998,MATCH(AG$4,'Table Output'!$A$1:$BT$1,0),),'Control Panel'!AG28))</f>
        <v/>
      </c>
      <c r="AH29" s="22" t="str">
        <f>IF($K29="","",IF('Control Panel'!AH28="",VLOOKUP($F29,'Table Output'!$A$2:$BW$99998,MATCH(AH$4,'Table Output'!$A$1:$BT$1,0),),'Control Panel'!AH28))</f>
        <v/>
      </c>
      <c r="AI29" s="22" t="str">
        <f>IF($K29="","",IF('Control Panel'!AI28="",VLOOKUP($F29,'Table Output'!$A$2:$BW$99998,MATCH(AI$4,'Table Output'!$A$1:$BT$1,0),),'Control Panel'!AI28))</f>
        <v/>
      </c>
      <c r="AJ29" s="22" t="str">
        <f>IF($K29="","",IF('Control Panel'!AJ28="",VLOOKUP($F29,'Table Output'!$A$2:$BW$99998,MATCH(AJ$4,'Table Output'!$A$1:$BT$1,0),),'Control Panel'!AJ28))</f>
        <v/>
      </c>
      <c r="AK29" s="22" t="str">
        <f>IF($K29="","",IF('Control Panel'!AK28="",VLOOKUP($F29,'Table Output'!$A$2:$BW$99998,MATCH(AK$4,'Table Output'!$A$1:$BT$1,0),),'Control Panel'!AK28))</f>
        <v/>
      </c>
      <c r="AL29" s="22" t="str">
        <f>IF($K29="","",IF('Control Panel'!AL28="",VLOOKUP($F29,'Table Output'!$A$2:$BW$99998,MATCH(AL$4,'Table Output'!$A$1:$BT$1,0),),'Control Panel'!AL28))</f>
        <v/>
      </c>
      <c r="AN29" s="35" t="str">
        <f t="shared" si="1"/>
        <v/>
      </c>
      <c r="AO29" s="32" t="str">
        <f>IF(AO$4="","",IF($K29="","",IF('Control Panel'!AO28="",VLOOKUP($F29,'Table Output'!$A$2:$BW$99998,MATCH(AO$4,'Table Output'!$A$1:$BT$1,0),FALSE),'Control Panel'!AO28)))</f>
        <v/>
      </c>
      <c r="AP29" s="32" t="str">
        <f>IF(AP$4="","",IF($K29="","",IF('Control Panel'!AP28="",VLOOKUP($F29,'Table Output'!$A$2:$BW$99998,MATCH(AP$4,'Table Output'!$A$1:$BT$1,0),FALSE),'Control Panel'!AP28)))</f>
        <v/>
      </c>
      <c r="AQ29" s="32" t="str">
        <f>IF(AQ$4="","",IF($K29="","",IF('Control Panel'!AQ28="",VLOOKUP($F29,'Table Output'!$A$2:$BW$99998,MATCH(AQ$4,'Table Output'!$A$1:$BT$1,0),FALSE),'Control Panel'!AQ28)))</f>
        <v/>
      </c>
      <c r="AR29" s="32" t="str">
        <f>IF(AR$4="","",IF($K29="","",IF('Control Panel'!AR28="",VLOOKUP($F29,'Table Output'!$A$2:$BW$99998,MATCH(AR$4,'Table Output'!$A$1:$BT$1,0),FALSE),'Control Panel'!AR28)))</f>
        <v/>
      </c>
      <c r="AS29" s="32" t="str">
        <f>IF(AS$4="","",IF($K29="","",IF('Control Panel'!AS28="",VLOOKUP($F29,'Table Output'!$A$2:$BW$99998,MATCH(AS$4,'Table Output'!$A$1:$BT$1,0),FALSE),'Control Panel'!AS28)))</f>
        <v/>
      </c>
      <c r="AT29" s="32" t="str">
        <f>IF(AT$4="","",IF($K29="","",IF('Control Panel'!AT28="",VLOOKUP($F29,'Table Output'!$A$2:$BW$99998,MATCH(AT$4,'Table Output'!$A$1:$BT$1,0),FALSE),'Control Panel'!AT28)))</f>
        <v/>
      </c>
      <c r="AU29" s="32" t="str">
        <f>IF(AU$4="","",IF($K29="","",IF('Control Panel'!AU28="",VLOOKUP($F29,'Table Output'!$A$2:$BW$99998,MATCH(AU$4,'Table Output'!$A$1:$BT$1,0),FALSE),'Control Panel'!AU28)))</f>
        <v/>
      </c>
      <c r="AV29" s="32" t="str">
        <f>IF(AV$4="","",IF($K29="","",IF('Control Panel'!AV28="",VLOOKUP($F29,'Table Output'!$A$2:$BW$99998,MATCH(AV$4,'Table Output'!$A$1:$BT$1,0),FALSE),'Control Panel'!AV28)))</f>
        <v/>
      </c>
      <c r="AW29" s="32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6" t="str">
        <f>IF(E30=1,IF('Control Panel'!K29="","",'Control Panel'!K29),"")</f>
        <v/>
      </c>
      <c r="L30" s="22" t="str">
        <f>IF($K30="","",IF(L$4="","",IF('Control Panel'!L29="",VLOOKUP($F30,'Table Output'!$A:$BW,MATCH(L$4,'Table Output'!$A$1:$BT$1,0),),'Control Panel'!L29)))</f>
        <v/>
      </c>
      <c r="M30" s="22" t="str">
        <f>IF($K30="","",IF(M$4="","",IF('Control Panel'!M29="",VLOOKUP($F30,'Table Output'!$A:$BW,MATCH(M$4,'Table Output'!$A$1:$BT$1,0),),'Control Panel'!M29)))</f>
        <v/>
      </c>
      <c r="N30" s="22" t="str">
        <f>IF($K30="","",IF(N$4="","",IF('Control Panel'!N29="",VLOOKUP($F30,'Table Output'!$A:$BW,MATCH(N$4,'Table Output'!$A$1:$BT$1,0),),'Control Panel'!N29)))</f>
        <v/>
      </c>
      <c r="O30" s="22" t="str">
        <f>IF($K30="","",IF(O$4="","",IF('Control Panel'!O29="",VLOOKUP($F30,'Table Output'!$A:$BW,MATCH(O$4,'Table Output'!$A$1:$BT$1,0),),'Control Panel'!O29)))</f>
        <v/>
      </c>
      <c r="P30" s="22" t="str">
        <f>IF($K30="","",IF(P$4="","",IF('Control Panel'!P29="",VLOOKUP($F30,'Table Output'!$A:$BW,MATCH(P$4,'Table Output'!$A$1:$BT$1,0),),'Control Panel'!P29)))</f>
        <v/>
      </c>
      <c r="Q30" s="22" t="str">
        <f>IF($K30="","",IF(Q$4="","",IF('Control Panel'!Q29="",VLOOKUP($F30,'Table Output'!$A:$BW,MATCH(Q$4,'Table Output'!$A$1:$BT$1,0),),'Control Panel'!Q29)))</f>
        <v/>
      </c>
      <c r="R30" s="22" t="str">
        <f>IF($K30="","",IF(R$4="","",IF('Control Panel'!R29="",VLOOKUP($F30,'Table Output'!$A:$BW,MATCH(R$4,'Table Output'!$A$1:$BT$1,0),),'Control Panel'!R29)))</f>
        <v/>
      </c>
      <c r="S30" s="22" t="str">
        <f>IF($K30="","",IF(S$4="","",IF('Control Panel'!S29="",VLOOKUP($F30,'Table Output'!$A:$BW,MATCH(S$4,'Table Output'!$A$1:$BT$1,0),),'Control Panel'!S29)))</f>
        <v/>
      </c>
      <c r="T30" s="22" t="str">
        <f>IF($K30="","",IF(T$4="","",IF('Control Panel'!T29="",VLOOKUP($F30,'Table Output'!$A:$BW,MATCH(T$4,'Table Output'!$A$1:$BT$1,0),),'Control Panel'!T29)))</f>
        <v/>
      </c>
      <c r="U30" s="22" t="str">
        <f>IF($K30="","",IF(U$4="","",IF('Control Panel'!U29="",VLOOKUP($F30,'Table Output'!$A:$BW,MATCH(U$4,'Table Output'!$A$1:$BT$1,0),),'Control Panel'!U29)))</f>
        <v/>
      </c>
      <c r="W30" s="22" t="str">
        <f>IF($K30="","",IF('Control Panel'!W29="",VLOOKUP($F30,'Table Output'!$A$2:$BW$99998,MATCH(W$4,'Table Output'!$A$1:$BT$1,0),),'Control Panel'!W29))</f>
        <v/>
      </c>
      <c r="X30" s="22" t="str">
        <f>IF($K30="","",IF('Control Panel'!X29="",VLOOKUP($F30,'Table Output'!$A$2:$BW$99998,MATCH(X$4,'Table Output'!$A$1:$BT$1,0),),'Control Panel'!X29))</f>
        <v/>
      </c>
      <c r="Y30" s="22" t="str">
        <f>IF($K30="","",IF('Control Panel'!Y29="",VLOOKUP($F30,'Table Output'!$A$2:$BW$99998,MATCH(Y$4,'Table Output'!$A$1:$BT$1,0),),'Control Panel'!Y29))</f>
        <v/>
      </c>
      <c r="Z30" s="22" t="str">
        <f>IF($K30="","",IF('Control Panel'!Z29="",VLOOKUP($F30,'Table Output'!$A$2:$BW$99998,MATCH(Z$4,'Table Output'!$A$1:$BT$1,0),),'Control Panel'!Z29))</f>
        <v/>
      </c>
      <c r="AA30" s="22" t="str">
        <f>IF($K30="","",IF('Control Panel'!AA29="",VLOOKUP($F30,'Table Output'!$A$2:$BW$99998,MATCH(AA$4,'Table Output'!$A$1:$BT$1,0),),'Control Panel'!AA29))</f>
        <v/>
      </c>
      <c r="AB30" s="22" t="str">
        <f>IF($K30="","",IF('Control Panel'!AB29="",VLOOKUP($F30,'Table Output'!$A$2:$BW$99998,MATCH(AB$4,'Table Output'!$A$1:$BT$1,0),),'Control Panel'!AB29))</f>
        <v/>
      </c>
      <c r="AC30" s="22" t="str">
        <f>IF($K30="","",IF('Control Panel'!AC29="",VLOOKUP($F30,'Table Output'!$A$2:$BW$99998,MATCH(AC$4,'Table Output'!$A$1:$BT$1,0),),'Control Panel'!AC29))</f>
        <v/>
      </c>
      <c r="AD30" s="22" t="str">
        <f>IF($K30="","",IF('Control Panel'!AD29="",VLOOKUP($F30,'Table Output'!$A$2:$BW$99998,MATCH(AD$4,'Table Output'!$A$1:$BT$1,0),),'Control Panel'!AD29))</f>
        <v/>
      </c>
      <c r="AE30" s="22" t="str">
        <f>IF($K30="","",IF('Control Panel'!AE29="",VLOOKUP($F30,'Table Output'!$A$2:$BW$99998,MATCH(AE$4,'Table Output'!$A$1:$BT$1,0),),'Control Panel'!AE29))</f>
        <v/>
      </c>
      <c r="AF30" s="22" t="str">
        <f>IF($K30="","",IF('Control Panel'!AF29="",VLOOKUP($F30,'Table Output'!$A$2:$BW$99998,MATCH(AF$4,'Table Output'!$A$1:$BT$1,0),),'Control Panel'!AF29))</f>
        <v/>
      </c>
      <c r="AG30" s="22" t="str">
        <f>IF($K30="","",IF('Control Panel'!AG29="",VLOOKUP($F30,'Table Output'!$A$2:$BW$99998,MATCH(AG$4,'Table Output'!$A$1:$BT$1,0),),'Control Panel'!AG29))</f>
        <v/>
      </c>
      <c r="AH30" s="22" t="str">
        <f>IF($K30="","",IF('Control Panel'!AH29="",VLOOKUP($F30,'Table Output'!$A$2:$BW$99998,MATCH(AH$4,'Table Output'!$A$1:$BT$1,0),),'Control Panel'!AH29))</f>
        <v/>
      </c>
      <c r="AI30" s="22" t="str">
        <f>IF($K30="","",IF('Control Panel'!AI29="",VLOOKUP($F30,'Table Output'!$A$2:$BW$99998,MATCH(AI$4,'Table Output'!$A$1:$BT$1,0),),'Control Panel'!AI29))</f>
        <v/>
      </c>
      <c r="AJ30" s="22" t="str">
        <f>IF($K30="","",IF('Control Panel'!AJ29="",VLOOKUP($F30,'Table Output'!$A$2:$BW$99998,MATCH(AJ$4,'Table Output'!$A$1:$BT$1,0),),'Control Panel'!AJ29))</f>
        <v/>
      </c>
      <c r="AK30" s="22" t="str">
        <f>IF($K30="","",IF('Control Panel'!AK29="",VLOOKUP($F30,'Table Output'!$A$2:$BW$99998,MATCH(AK$4,'Table Output'!$A$1:$BT$1,0),),'Control Panel'!AK29))</f>
        <v/>
      </c>
      <c r="AL30" s="22" t="str">
        <f>IF($K30="","",IF('Control Panel'!AL29="",VLOOKUP($F30,'Table Output'!$A$2:$BW$99998,MATCH(AL$4,'Table Output'!$A$1:$BT$1,0),),'Control Panel'!AL29))</f>
        <v/>
      </c>
      <c r="AN30" s="35" t="str">
        <f t="shared" si="1"/>
        <v/>
      </c>
      <c r="AO30" s="32" t="str">
        <f>IF(AO$4="","",IF($K30="","",IF('Control Panel'!AO29="",VLOOKUP($F30,'Table Output'!$A$2:$BW$99998,MATCH(AO$4,'Table Output'!$A$1:$BT$1,0),FALSE),'Control Panel'!AO29)))</f>
        <v/>
      </c>
      <c r="AP30" s="32" t="str">
        <f>IF(AP$4="","",IF($K30="","",IF('Control Panel'!AP29="",VLOOKUP($F30,'Table Output'!$A$2:$BW$99998,MATCH(AP$4,'Table Output'!$A$1:$BT$1,0),FALSE),'Control Panel'!AP29)))</f>
        <v/>
      </c>
      <c r="AQ30" s="32" t="str">
        <f>IF(AQ$4="","",IF($K30="","",IF('Control Panel'!AQ29="",VLOOKUP($F30,'Table Output'!$A$2:$BW$99998,MATCH(AQ$4,'Table Output'!$A$1:$BT$1,0),FALSE),'Control Panel'!AQ29)))</f>
        <v/>
      </c>
      <c r="AR30" s="32" t="str">
        <f>IF(AR$4="","",IF($K30="","",IF('Control Panel'!AR29="",VLOOKUP($F30,'Table Output'!$A$2:$BW$99998,MATCH(AR$4,'Table Output'!$A$1:$BT$1,0),FALSE),'Control Panel'!AR29)))</f>
        <v/>
      </c>
      <c r="AS30" s="32" t="str">
        <f>IF(AS$4="","",IF($K30="","",IF('Control Panel'!AS29="",VLOOKUP($F30,'Table Output'!$A$2:$BW$99998,MATCH(AS$4,'Table Output'!$A$1:$BT$1,0),FALSE),'Control Panel'!AS29)))</f>
        <v/>
      </c>
      <c r="AT30" s="32" t="str">
        <f>IF(AT$4="","",IF($K30="","",IF('Control Panel'!AT29="",VLOOKUP($F30,'Table Output'!$A$2:$BW$99998,MATCH(AT$4,'Table Output'!$A$1:$BT$1,0),FALSE),'Control Panel'!AT29)))</f>
        <v/>
      </c>
      <c r="AU30" s="32" t="str">
        <f>IF(AU$4="","",IF($K30="","",IF('Control Panel'!AU29="",VLOOKUP($F30,'Table Output'!$A$2:$BW$99998,MATCH(AU$4,'Table Output'!$A$1:$BT$1,0),FALSE),'Control Panel'!AU29)))</f>
        <v/>
      </c>
      <c r="AV30" s="32" t="str">
        <f>IF(AV$4="","",IF($K30="","",IF('Control Panel'!AV29="",VLOOKUP($F30,'Table Output'!$A$2:$BW$99998,MATCH(AV$4,'Table Output'!$A$1:$BT$1,0),FALSE),'Control Panel'!AV29)))</f>
        <v/>
      </c>
      <c r="AW30" s="32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6" t="str">
        <f>IF(E31=1,IF('Control Panel'!K30="","",'Control Panel'!K30),"")</f>
        <v/>
      </c>
      <c r="L31" s="22" t="str">
        <f>IF($K31="","",IF(L$4="","",IF('Control Panel'!L30="",VLOOKUP($F31,'Table Output'!$A:$BW,MATCH(L$4,'Table Output'!$A$1:$BT$1,0),),'Control Panel'!L30)))</f>
        <v/>
      </c>
      <c r="M31" s="22" t="str">
        <f>IF($K31="","",IF(M$4="","",IF('Control Panel'!M30="",VLOOKUP($F31,'Table Output'!$A:$BW,MATCH(M$4,'Table Output'!$A$1:$BT$1,0),),'Control Panel'!M30)))</f>
        <v/>
      </c>
      <c r="N31" s="22" t="str">
        <f>IF($K31="","",IF(N$4="","",IF('Control Panel'!N30="",VLOOKUP($F31,'Table Output'!$A:$BW,MATCH(N$4,'Table Output'!$A$1:$BT$1,0),),'Control Panel'!N30)))</f>
        <v/>
      </c>
      <c r="O31" s="22" t="str">
        <f>IF($K31="","",IF(O$4="","",IF('Control Panel'!O30="",VLOOKUP($F31,'Table Output'!$A:$BW,MATCH(O$4,'Table Output'!$A$1:$BT$1,0),),'Control Panel'!O30)))</f>
        <v/>
      </c>
      <c r="P31" s="22" t="str">
        <f>IF($K31="","",IF(P$4="","",IF('Control Panel'!P30="",VLOOKUP($F31,'Table Output'!$A:$BW,MATCH(P$4,'Table Output'!$A$1:$BT$1,0),),'Control Panel'!P30)))</f>
        <v/>
      </c>
      <c r="Q31" s="22" t="str">
        <f>IF($K31="","",IF(Q$4="","",IF('Control Panel'!Q30="",VLOOKUP($F31,'Table Output'!$A:$BW,MATCH(Q$4,'Table Output'!$A$1:$BT$1,0),),'Control Panel'!Q30)))</f>
        <v/>
      </c>
      <c r="R31" s="22" t="str">
        <f>IF($K31="","",IF(R$4="","",IF('Control Panel'!R30="",VLOOKUP($F31,'Table Output'!$A:$BW,MATCH(R$4,'Table Output'!$A$1:$BT$1,0),),'Control Panel'!R30)))</f>
        <v/>
      </c>
      <c r="S31" s="22" t="str">
        <f>IF($K31="","",IF(S$4="","",IF('Control Panel'!S30="",VLOOKUP($F31,'Table Output'!$A:$BW,MATCH(S$4,'Table Output'!$A$1:$BT$1,0),),'Control Panel'!S30)))</f>
        <v/>
      </c>
      <c r="T31" s="22" t="str">
        <f>IF($K31="","",IF(T$4="","",IF('Control Panel'!T30="",VLOOKUP($F31,'Table Output'!$A:$BW,MATCH(T$4,'Table Output'!$A$1:$BT$1,0),),'Control Panel'!T30)))</f>
        <v/>
      </c>
      <c r="U31" s="22" t="str">
        <f>IF($K31="","",IF(U$4="","",IF('Control Panel'!U30="",VLOOKUP($F31,'Table Output'!$A:$BW,MATCH(U$4,'Table Output'!$A$1:$BT$1,0),),'Control Panel'!U30)))</f>
        <v/>
      </c>
      <c r="W31" s="22" t="str">
        <f>IF($K31="","",IF('Control Panel'!W30="",VLOOKUP($F31,'Table Output'!$A$2:$BW$99998,MATCH(W$4,'Table Output'!$A$1:$BT$1,0),),'Control Panel'!W30))</f>
        <v/>
      </c>
      <c r="X31" s="22" t="str">
        <f>IF($K31="","",IF('Control Panel'!X30="",VLOOKUP($F31,'Table Output'!$A$2:$BW$99998,MATCH(X$4,'Table Output'!$A$1:$BT$1,0),),'Control Panel'!X30))</f>
        <v/>
      </c>
      <c r="Y31" s="22" t="str">
        <f>IF($K31="","",IF('Control Panel'!Y30="",VLOOKUP($F31,'Table Output'!$A$2:$BW$99998,MATCH(Y$4,'Table Output'!$A$1:$BT$1,0),),'Control Panel'!Y30))</f>
        <v/>
      </c>
      <c r="Z31" s="22" t="str">
        <f>IF($K31="","",IF('Control Panel'!Z30="",VLOOKUP($F31,'Table Output'!$A$2:$BW$99998,MATCH(Z$4,'Table Output'!$A$1:$BT$1,0),),'Control Panel'!Z30))</f>
        <v/>
      </c>
      <c r="AA31" s="22" t="str">
        <f>IF($K31="","",IF('Control Panel'!AA30="",VLOOKUP($F31,'Table Output'!$A$2:$BW$99998,MATCH(AA$4,'Table Output'!$A$1:$BT$1,0),),'Control Panel'!AA30))</f>
        <v/>
      </c>
      <c r="AB31" s="22" t="str">
        <f>IF($K31="","",IF('Control Panel'!AB30="",VLOOKUP($F31,'Table Output'!$A$2:$BW$99998,MATCH(AB$4,'Table Output'!$A$1:$BT$1,0),),'Control Panel'!AB30))</f>
        <v/>
      </c>
      <c r="AC31" s="22" t="str">
        <f>IF($K31="","",IF('Control Panel'!AC30="",VLOOKUP($F31,'Table Output'!$A$2:$BW$99998,MATCH(AC$4,'Table Output'!$A$1:$BT$1,0),),'Control Panel'!AC30))</f>
        <v/>
      </c>
      <c r="AD31" s="22" t="str">
        <f>IF($K31="","",IF('Control Panel'!AD30="",VLOOKUP($F31,'Table Output'!$A$2:$BW$99998,MATCH(AD$4,'Table Output'!$A$1:$BT$1,0),),'Control Panel'!AD30))</f>
        <v/>
      </c>
      <c r="AE31" s="22" t="str">
        <f>IF($K31="","",IF('Control Panel'!AE30="",VLOOKUP($F31,'Table Output'!$A$2:$BW$99998,MATCH(AE$4,'Table Output'!$A$1:$BT$1,0),),'Control Panel'!AE30))</f>
        <v/>
      </c>
      <c r="AF31" s="22" t="str">
        <f>IF($K31="","",IF('Control Panel'!AF30="",VLOOKUP($F31,'Table Output'!$A$2:$BW$99998,MATCH(AF$4,'Table Output'!$A$1:$BT$1,0),),'Control Panel'!AF30))</f>
        <v/>
      </c>
      <c r="AG31" s="22" t="str">
        <f>IF($K31="","",IF('Control Panel'!AG30="",VLOOKUP($F31,'Table Output'!$A$2:$BW$99998,MATCH(AG$4,'Table Output'!$A$1:$BT$1,0),),'Control Panel'!AG30))</f>
        <v/>
      </c>
      <c r="AH31" s="22" t="str">
        <f>IF($K31="","",IF('Control Panel'!AH30="",VLOOKUP($F31,'Table Output'!$A$2:$BW$99998,MATCH(AH$4,'Table Output'!$A$1:$BT$1,0),),'Control Panel'!AH30))</f>
        <v/>
      </c>
      <c r="AI31" s="22" t="str">
        <f>IF($K31="","",IF('Control Panel'!AI30="",VLOOKUP($F31,'Table Output'!$A$2:$BW$99998,MATCH(AI$4,'Table Output'!$A$1:$BT$1,0),),'Control Panel'!AI30))</f>
        <v/>
      </c>
      <c r="AJ31" s="22" t="str">
        <f>IF($K31="","",IF('Control Panel'!AJ30="",VLOOKUP($F31,'Table Output'!$A$2:$BW$99998,MATCH(AJ$4,'Table Output'!$A$1:$BT$1,0),),'Control Panel'!AJ30))</f>
        <v/>
      </c>
      <c r="AK31" s="22" t="str">
        <f>IF($K31="","",IF('Control Panel'!AK30="",VLOOKUP($F31,'Table Output'!$A$2:$BW$99998,MATCH(AK$4,'Table Output'!$A$1:$BT$1,0),),'Control Panel'!AK30))</f>
        <v/>
      </c>
      <c r="AL31" s="22" t="str">
        <f>IF($K31="","",IF('Control Panel'!AL30="",VLOOKUP($F31,'Table Output'!$A$2:$BW$99998,MATCH(AL$4,'Table Output'!$A$1:$BT$1,0),),'Control Panel'!AL30))</f>
        <v/>
      </c>
      <c r="AN31" s="35" t="str">
        <f t="shared" si="1"/>
        <v/>
      </c>
      <c r="AO31" s="32" t="str">
        <f>IF(AO$4="","",IF($K31="","",IF('Control Panel'!AO30="",VLOOKUP($F31,'Table Output'!$A$2:$BW$99998,MATCH(AO$4,'Table Output'!$A$1:$BT$1,0),FALSE),'Control Panel'!AO30)))</f>
        <v/>
      </c>
      <c r="AP31" s="32" t="str">
        <f>IF(AP$4="","",IF($K31="","",IF('Control Panel'!AP30="",VLOOKUP($F31,'Table Output'!$A$2:$BW$99998,MATCH(AP$4,'Table Output'!$A$1:$BT$1,0),FALSE),'Control Panel'!AP30)))</f>
        <v/>
      </c>
      <c r="AQ31" s="32" t="str">
        <f>IF(AQ$4="","",IF($K31="","",IF('Control Panel'!AQ30="",VLOOKUP($F31,'Table Output'!$A$2:$BW$99998,MATCH(AQ$4,'Table Output'!$A$1:$BT$1,0),FALSE),'Control Panel'!AQ30)))</f>
        <v/>
      </c>
      <c r="AR31" s="32" t="str">
        <f>IF(AR$4="","",IF($K31="","",IF('Control Panel'!AR30="",VLOOKUP($F31,'Table Output'!$A$2:$BW$99998,MATCH(AR$4,'Table Output'!$A$1:$BT$1,0),FALSE),'Control Panel'!AR30)))</f>
        <v/>
      </c>
      <c r="AS31" s="32" t="str">
        <f>IF(AS$4="","",IF($K31="","",IF('Control Panel'!AS30="",VLOOKUP($F31,'Table Output'!$A$2:$BW$99998,MATCH(AS$4,'Table Output'!$A$1:$BT$1,0),FALSE),'Control Panel'!AS30)))</f>
        <v/>
      </c>
      <c r="AT31" s="32" t="str">
        <f>IF(AT$4="","",IF($K31="","",IF('Control Panel'!AT30="",VLOOKUP($F31,'Table Output'!$A$2:$BW$99998,MATCH(AT$4,'Table Output'!$A$1:$BT$1,0),FALSE),'Control Panel'!AT30)))</f>
        <v/>
      </c>
      <c r="AU31" s="32" t="str">
        <f>IF(AU$4="","",IF($K31="","",IF('Control Panel'!AU30="",VLOOKUP($F31,'Table Output'!$A$2:$BW$99998,MATCH(AU$4,'Table Output'!$A$1:$BT$1,0),FALSE),'Control Panel'!AU30)))</f>
        <v/>
      </c>
      <c r="AV31" s="32" t="str">
        <f>IF(AV$4="","",IF($K31="","",IF('Control Panel'!AV30="",VLOOKUP($F31,'Table Output'!$A$2:$BW$99998,MATCH(AV$4,'Table Output'!$A$1:$BT$1,0),FALSE),'Control Panel'!AV30)))</f>
        <v/>
      </c>
      <c r="AW31" s="32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6" t="str">
        <f>IF(E32=1,IF('Control Panel'!K31="","",'Control Panel'!K31),"")</f>
        <v/>
      </c>
      <c r="L32" s="22" t="str">
        <f>IF($K32="","",IF(L$4="","",IF('Control Panel'!L31="",VLOOKUP($F32,'Table Output'!$A:$BW,MATCH(L$4,'Table Output'!$A$1:$BT$1,0),),'Control Panel'!L31)))</f>
        <v/>
      </c>
      <c r="M32" s="22" t="str">
        <f>IF($K32="","",IF(M$4="","",IF('Control Panel'!M31="",VLOOKUP($F32,'Table Output'!$A:$BW,MATCH(M$4,'Table Output'!$A$1:$BT$1,0),),'Control Panel'!M31)))</f>
        <v/>
      </c>
      <c r="N32" s="22" t="str">
        <f>IF($K32="","",IF(N$4="","",IF('Control Panel'!N31="",VLOOKUP($F32,'Table Output'!$A:$BW,MATCH(N$4,'Table Output'!$A$1:$BT$1,0),),'Control Panel'!N31)))</f>
        <v/>
      </c>
      <c r="O32" s="22" t="str">
        <f>IF($K32="","",IF(O$4="","",IF('Control Panel'!O31="",VLOOKUP($F32,'Table Output'!$A:$BW,MATCH(O$4,'Table Output'!$A$1:$BT$1,0),),'Control Panel'!O31)))</f>
        <v/>
      </c>
      <c r="P32" s="22" t="str">
        <f>IF($K32="","",IF(P$4="","",IF('Control Panel'!P31="",VLOOKUP($F32,'Table Output'!$A:$BW,MATCH(P$4,'Table Output'!$A$1:$BT$1,0),),'Control Panel'!P31)))</f>
        <v/>
      </c>
      <c r="Q32" s="22" t="str">
        <f>IF($K32="","",IF(Q$4="","",IF('Control Panel'!Q31="",VLOOKUP($F32,'Table Output'!$A:$BW,MATCH(Q$4,'Table Output'!$A$1:$BT$1,0),),'Control Panel'!Q31)))</f>
        <v/>
      </c>
      <c r="R32" s="22" t="str">
        <f>IF($K32="","",IF(R$4="","",IF('Control Panel'!R31="",VLOOKUP($F32,'Table Output'!$A:$BW,MATCH(R$4,'Table Output'!$A$1:$BT$1,0),),'Control Panel'!R31)))</f>
        <v/>
      </c>
      <c r="S32" s="22" t="str">
        <f>IF($K32="","",IF(S$4="","",IF('Control Panel'!S31="",VLOOKUP($F32,'Table Output'!$A:$BW,MATCH(S$4,'Table Output'!$A$1:$BT$1,0),),'Control Panel'!S31)))</f>
        <v/>
      </c>
      <c r="T32" s="22" t="str">
        <f>IF($K32="","",IF(T$4="","",IF('Control Panel'!T31="",VLOOKUP($F32,'Table Output'!$A:$BW,MATCH(T$4,'Table Output'!$A$1:$BT$1,0),),'Control Panel'!T31)))</f>
        <v/>
      </c>
      <c r="U32" s="22" t="str">
        <f>IF($K32="","",IF(U$4="","",IF('Control Panel'!U31="",VLOOKUP($F32,'Table Output'!$A:$BW,MATCH(U$4,'Table Output'!$A$1:$BT$1,0),),'Control Panel'!U31)))</f>
        <v/>
      </c>
      <c r="W32" s="22" t="str">
        <f>IF($K32="","",IF('Control Panel'!W31="",VLOOKUP($F32,'Table Output'!$A$2:$BW$99998,MATCH(W$4,'Table Output'!$A$1:$BT$1,0),),'Control Panel'!W31))</f>
        <v/>
      </c>
      <c r="X32" s="22" t="str">
        <f>IF($K32="","",IF('Control Panel'!X31="",VLOOKUP($F32,'Table Output'!$A$2:$BW$99998,MATCH(X$4,'Table Output'!$A$1:$BT$1,0),),'Control Panel'!X31))</f>
        <v/>
      </c>
      <c r="Y32" s="22" t="str">
        <f>IF($K32="","",IF('Control Panel'!Y31="",VLOOKUP($F32,'Table Output'!$A$2:$BW$99998,MATCH(Y$4,'Table Output'!$A$1:$BT$1,0),),'Control Panel'!Y31))</f>
        <v/>
      </c>
      <c r="Z32" s="22" t="str">
        <f>IF($K32="","",IF('Control Panel'!Z31="",VLOOKUP($F32,'Table Output'!$A$2:$BW$99998,MATCH(Z$4,'Table Output'!$A$1:$BT$1,0),),'Control Panel'!Z31))</f>
        <v/>
      </c>
      <c r="AA32" s="22" t="str">
        <f>IF($K32="","",IF('Control Panel'!AA31="",VLOOKUP($F32,'Table Output'!$A$2:$BW$99998,MATCH(AA$4,'Table Output'!$A$1:$BT$1,0),),'Control Panel'!AA31))</f>
        <v/>
      </c>
      <c r="AB32" s="22" t="str">
        <f>IF($K32="","",IF('Control Panel'!AB31="",VLOOKUP($F32,'Table Output'!$A$2:$BW$99998,MATCH(AB$4,'Table Output'!$A$1:$BT$1,0),),'Control Panel'!AB31))</f>
        <v/>
      </c>
      <c r="AC32" s="22" t="str">
        <f>IF($K32="","",IF('Control Panel'!AC31="",VLOOKUP($F32,'Table Output'!$A$2:$BW$99998,MATCH(AC$4,'Table Output'!$A$1:$BT$1,0),),'Control Panel'!AC31))</f>
        <v/>
      </c>
      <c r="AD32" s="22" t="str">
        <f>IF($K32="","",IF('Control Panel'!AD31="",VLOOKUP($F32,'Table Output'!$A$2:$BW$99998,MATCH(AD$4,'Table Output'!$A$1:$BT$1,0),),'Control Panel'!AD31))</f>
        <v/>
      </c>
      <c r="AE32" s="22" t="str">
        <f>IF($K32="","",IF('Control Panel'!AE31="",VLOOKUP($F32,'Table Output'!$A$2:$BW$99998,MATCH(AE$4,'Table Output'!$A$1:$BT$1,0),),'Control Panel'!AE31))</f>
        <v/>
      </c>
      <c r="AF32" s="22" t="str">
        <f>IF($K32="","",IF('Control Panel'!AF31="",VLOOKUP($F32,'Table Output'!$A$2:$BW$99998,MATCH(AF$4,'Table Output'!$A$1:$BT$1,0),),'Control Panel'!AF31))</f>
        <v/>
      </c>
      <c r="AG32" s="22" t="str">
        <f>IF($K32="","",IF('Control Panel'!AG31="",VLOOKUP($F32,'Table Output'!$A$2:$BW$99998,MATCH(AG$4,'Table Output'!$A$1:$BT$1,0),),'Control Panel'!AG31))</f>
        <v/>
      </c>
      <c r="AH32" s="22" t="str">
        <f>IF($K32="","",IF('Control Panel'!AH31="",VLOOKUP($F32,'Table Output'!$A$2:$BW$99998,MATCH(AH$4,'Table Output'!$A$1:$BT$1,0),),'Control Panel'!AH31))</f>
        <v/>
      </c>
      <c r="AI32" s="22" t="str">
        <f>IF($K32="","",IF('Control Panel'!AI31="",VLOOKUP($F32,'Table Output'!$A$2:$BW$99998,MATCH(AI$4,'Table Output'!$A$1:$BT$1,0),),'Control Panel'!AI31))</f>
        <v/>
      </c>
      <c r="AJ32" s="22" t="str">
        <f>IF($K32="","",IF('Control Panel'!AJ31="",VLOOKUP($F32,'Table Output'!$A$2:$BW$99998,MATCH(AJ$4,'Table Output'!$A$1:$BT$1,0),),'Control Panel'!AJ31))</f>
        <v/>
      </c>
      <c r="AK32" s="22" t="str">
        <f>IF($K32="","",IF('Control Panel'!AK31="",VLOOKUP($F32,'Table Output'!$A$2:$BW$99998,MATCH(AK$4,'Table Output'!$A$1:$BT$1,0),),'Control Panel'!AK31))</f>
        <v/>
      </c>
      <c r="AL32" s="22" t="str">
        <f>IF($K32="","",IF('Control Panel'!AL31="",VLOOKUP($F32,'Table Output'!$A$2:$BW$99998,MATCH(AL$4,'Table Output'!$A$1:$BT$1,0),),'Control Panel'!AL31))</f>
        <v/>
      </c>
      <c r="AN32" s="35" t="str">
        <f t="shared" si="1"/>
        <v/>
      </c>
      <c r="AO32" s="32" t="str">
        <f>IF(AO$4="","",IF($K32="","",IF('Control Panel'!AO31="",VLOOKUP($F32,'Table Output'!$A$2:$BW$99998,MATCH(AO$4,'Table Output'!$A$1:$BT$1,0),FALSE),'Control Panel'!AO31)))</f>
        <v/>
      </c>
      <c r="AP32" s="32" t="str">
        <f>IF(AP$4="","",IF($K32="","",IF('Control Panel'!AP31="",VLOOKUP($F32,'Table Output'!$A$2:$BW$99998,MATCH(AP$4,'Table Output'!$A$1:$BT$1,0),FALSE),'Control Panel'!AP31)))</f>
        <v/>
      </c>
      <c r="AQ32" s="32" t="str">
        <f>IF(AQ$4="","",IF($K32="","",IF('Control Panel'!AQ31="",VLOOKUP($F32,'Table Output'!$A$2:$BW$99998,MATCH(AQ$4,'Table Output'!$A$1:$BT$1,0),FALSE),'Control Panel'!AQ31)))</f>
        <v/>
      </c>
      <c r="AR32" s="32" t="str">
        <f>IF(AR$4="","",IF($K32="","",IF('Control Panel'!AR31="",VLOOKUP($F32,'Table Output'!$A$2:$BW$99998,MATCH(AR$4,'Table Output'!$A$1:$BT$1,0),FALSE),'Control Panel'!AR31)))</f>
        <v/>
      </c>
      <c r="AS32" s="32" t="str">
        <f>IF(AS$4="","",IF($K32="","",IF('Control Panel'!AS31="",VLOOKUP($F32,'Table Output'!$A$2:$BW$99998,MATCH(AS$4,'Table Output'!$A$1:$BT$1,0),FALSE),'Control Panel'!AS31)))</f>
        <v/>
      </c>
      <c r="AT32" s="32" t="str">
        <f>IF(AT$4="","",IF($K32="","",IF('Control Panel'!AT31="",VLOOKUP($F32,'Table Output'!$A$2:$BW$99998,MATCH(AT$4,'Table Output'!$A$1:$BT$1,0),FALSE),'Control Panel'!AT31)))</f>
        <v/>
      </c>
      <c r="AU32" s="32" t="str">
        <f>IF(AU$4="","",IF($K32="","",IF('Control Panel'!AU31="",VLOOKUP($F32,'Table Output'!$A$2:$BW$99998,MATCH(AU$4,'Table Output'!$A$1:$BT$1,0),FALSE),'Control Panel'!AU31)))</f>
        <v/>
      </c>
      <c r="AV32" s="32" t="str">
        <f>IF(AV$4="","",IF($K32="","",IF('Control Panel'!AV31="",VLOOKUP($F32,'Table Output'!$A$2:$BW$99998,MATCH(AV$4,'Table Output'!$A$1:$BT$1,0),FALSE),'Control Panel'!AV31)))</f>
        <v/>
      </c>
      <c r="AW32" s="32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6" t="str">
        <f>IF(E33=1,IF('Control Panel'!K32="","",'Control Panel'!K32),"")</f>
        <v/>
      </c>
      <c r="L33" s="22" t="str">
        <f>IF($K33="","",IF(L$4="","",IF('Control Panel'!L32="",VLOOKUP($F33,'Table Output'!$A:$BW,MATCH(L$4,'Table Output'!$A$1:$BT$1,0),),'Control Panel'!L32)))</f>
        <v/>
      </c>
      <c r="M33" s="22" t="str">
        <f>IF($K33="","",IF(M$4="","",IF('Control Panel'!M32="",VLOOKUP($F33,'Table Output'!$A:$BW,MATCH(M$4,'Table Output'!$A$1:$BT$1,0),),'Control Panel'!M32)))</f>
        <v/>
      </c>
      <c r="N33" s="22" t="str">
        <f>IF($K33="","",IF(N$4="","",IF('Control Panel'!N32="",VLOOKUP($F33,'Table Output'!$A:$BW,MATCH(N$4,'Table Output'!$A$1:$BT$1,0),),'Control Panel'!N32)))</f>
        <v/>
      </c>
      <c r="O33" s="22" t="str">
        <f>IF($K33="","",IF(O$4="","",IF('Control Panel'!O32="",VLOOKUP($F33,'Table Output'!$A:$BW,MATCH(O$4,'Table Output'!$A$1:$BT$1,0),),'Control Panel'!O32)))</f>
        <v/>
      </c>
      <c r="P33" s="22" t="str">
        <f>IF($K33="","",IF(P$4="","",IF('Control Panel'!P32="",VLOOKUP($F33,'Table Output'!$A:$BW,MATCH(P$4,'Table Output'!$A$1:$BT$1,0),),'Control Panel'!P32)))</f>
        <v/>
      </c>
      <c r="Q33" s="22" t="str">
        <f>IF($K33="","",IF(Q$4="","",IF('Control Panel'!Q32="",VLOOKUP($F33,'Table Output'!$A:$BW,MATCH(Q$4,'Table Output'!$A$1:$BT$1,0),),'Control Panel'!Q32)))</f>
        <v/>
      </c>
      <c r="R33" s="22" t="str">
        <f>IF($K33="","",IF(R$4="","",IF('Control Panel'!R32="",VLOOKUP($F33,'Table Output'!$A:$BW,MATCH(R$4,'Table Output'!$A$1:$BT$1,0),),'Control Panel'!R32)))</f>
        <v/>
      </c>
      <c r="S33" s="22" t="str">
        <f>IF($K33="","",IF(S$4="","",IF('Control Panel'!S32="",VLOOKUP($F33,'Table Output'!$A:$BW,MATCH(S$4,'Table Output'!$A$1:$BT$1,0),),'Control Panel'!S32)))</f>
        <v/>
      </c>
      <c r="T33" s="22" t="str">
        <f>IF($K33="","",IF(T$4="","",IF('Control Panel'!T32="",VLOOKUP($F33,'Table Output'!$A:$BW,MATCH(T$4,'Table Output'!$A$1:$BT$1,0),),'Control Panel'!T32)))</f>
        <v/>
      </c>
      <c r="U33" s="22" t="str">
        <f>IF($K33="","",IF(U$4="","",IF('Control Panel'!U32="",VLOOKUP($F33,'Table Output'!$A:$BW,MATCH(U$4,'Table Output'!$A$1:$BT$1,0),),'Control Panel'!U32)))</f>
        <v/>
      </c>
      <c r="W33" s="22" t="str">
        <f>IF($K33="","",IF('Control Panel'!W32="",VLOOKUP($F33,'Table Output'!$A$2:$BW$99998,MATCH(W$4,'Table Output'!$A$1:$BT$1,0),),'Control Panel'!W32))</f>
        <v/>
      </c>
      <c r="X33" s="22" t="str">
        <f>IF($K33="","",IF('Control Panel'!X32="",VLOOKUP($F33,'Table Output'!$A$2:$BW$99998,MATCH(X$4,'Table Output'!$A$1:$BT$1,0),),'Control Panel'!X32))</f>
        <v/>
      </c>
      <c r="Y33" s="22" t="str">
        <f>IF($K33="","",IF('Control Panel'!Y32="",VLOOKUP($F33,'Table Output'!$A$2:$BW$99998,MATCH(Y$4,'Table Output'!$A$1:$BT$1,0),),'Control Panel'!Y32))</f>
        <v/>
      </c>
      <c r="Z33" s="22" t="str">
        <f>IF($K33="","",IF('Control Panel'!Z32="",VLOOKUP($F33,'Table Output'!$A$2:$BW$99998,MATCH(Z$4,'Table Output'!$A$1:$BT$1,0),),'Control Panel'!Z32))</f>
        <v/>
      </c>
      <c r="AA33" s="22" t="str">
        <f>IF($K33="","",IF('Control Panel'!AA32="",VLOOKUP($F33,'Table Output'!$A$2:$BW$99998,MATCH(AA$4,'Table Output'!$A$1:$BT$1,0),),'Control Panel'!AA32))</f>
        <v/>
      </c>
      <c r="AB33" s="22" t="str">
        <f>IF($K33="","",IF('Control Panel'!AB32="",VLOOKUP($F33,'Table Output'!$A$2:$BW$99998,MATCH(AB$4,'Table Output'!$A$1:$BT$1,0),),'Control Panel'!AB32))</f>
        <v/>
      </c>
      <c r="AC33" s="22" t="str">
        <f>IF($K33="","",IF('Control Panel'!AC32="",VLOOKUP($F33,'Table Output'!$A$2:$BW$99998,MATCH(AC$4,'Table Output'!$A$1:$BT$1,0),),'Control Panel'!AC32))</f>
        <v/>
      </c>
      <c r="AD33" s="22" t="str">
        <f>IF($K33="","",IF('Control Panel'!AD32="",VLOOKUP($F33,'Table Output'!$A$2:$BW$99998,MATCH(AD$4,'Table Output'!$A$1:$BT$1,0),),'Control Panel'!AD32))</f>
        <v/>
      </c>
      <c r="AE33" s="22" t="str">
        <f>IF($K33="","",IF('Control Panel'!AE32="",VLOOKUP($F33,'Table Output'!$A$2:$BW$99998,MATCH(AE$4,'Table Output'!$A$1:$BT$1,0),),'Control Panel'!AE32))</f>
        <v/>
      </c>
      <c r="AF33" s="22" t="str">
        <f>IF($K33="","",IF('Control Panel'!AF32="",VLOOKUP($F33,'Table Output'!$A$2:$BW$99998,MATCH(AF$4,'Table Output'!$A$1:$BT$1,0),),'Control Panel'!AF32))</f>
        <v/>
      </c>
      <c r="AG33" s="22" t="str">
        <f>IF($K33="","",IF('Control Panel'!AG32="",VLOOKUP($F33,'Table Output'!$A$2:$BW$99998,MATCH(AG$4,'Table Output'!$A$1:$BT$1,0),),'Control Panel'!AG32))</f>
        <v/>
      </c>
      <c r="AH33" s="22" t="str">
        <f>IF($K33="","",IF('Control Panel'!AH32="",VLOOKUP($F33,'Table Output'!$A$2:$BW$99998,MATCH(AH$4,'Table Output'!$A$1:$BT$1,0),),'Control Panel'!AH32))</f>
        <v/>
      </c>
      <c r="AI33" s="22" t="str">
        <f>IF($K33="","",IF('Control Panel'!AI32="",VLOOKUP($F33,'Table Output'!$A$2:$BW$99998,MATCH(AI$4,'Table Output'!$A$1:$BT$1,0),),'Control Panel'!AI32))</f>
        <v/>
      </c>
      <c r="AJ33" s="22" t="str">
        <f>IF($K33="","",IF('Control Panel'!AJ32="",VLOOKUP($F33,'Table Output'!$A$2:$BW$99998,MATCH(AJ$4,'Table Output'!$A$1:$BT$1,0),),'Control Panel'!AJ32))</f>
        <v/>
      </c>
      <c r="AK33" s="22" t="str">
        <f>IF($K33="","",IF('Control Panel'!AK32="",VLOOKUP($F33,'Table Output'!$A$2:$BW$99998,MATCH(AK$4,'Table Output'!$A$1:$BT$1,0),),'Control Panel'!AK32))</f>
        <v/>
      </c>
      <c r="AL33" s="22" t="str">
        <f>IF($K33="","",IF('Control Panel'!AL32="",VLOOKUP($F33,'Table Output'!$A$2:$BW$99998,MATCH(AL$4,'Table Output'!$A$1:$BT$1,0),),'Control Panel'!AL32))</f>
        <v/>
      </c>
      <c r="AN33" s="35" t="str">
        <f t="shared" si="1"/>
        <v/>
      </c>
      <c r="AO33" s="32" t="str">
        <f>IF(AO$4="","",IF($K33="","",IF('Control Panel'!AO32="",VLOOKUP($F33,'Table Output'!$A$2:$BW$99998,MATCH(AO$4,'Table Output'!$A$1:$BT$1,0),FALSE),'Control Panel'!AO32)))</f>
        <v/>
      </c>
      <c r="AP33" s="32" t="str">
        <f>IF(AP$4="","",IF($K33="","",IF('Control Panel'!AP32="",VLOOKUP($F33,'Table Output'!$A$2:$BW$99998,MATCH(AP$4,'Table Output'!$A$1:$BT$1,0),FALSE),'Control Panel'!AP32)))</f>
        <v/>
      </c>
      <c r="AQ33" s="32" t="str">
        <f>IF(AQ$4="","",IF($K33="","",IF('Control Panel'!AQ32="",VLOOKUP($F33,'Table Output'!$A$2:$BW$99998,MATCH(AQ$4,'Table Output'!$A$1:$BT$1,0),FALSE),'Control Panel'!AQ32)))</f>
        <v/>
      </c>
      <c r="AR33" s="32" t="str">
        <f>IF(AR$4="","",IF($K33="","",IF('Control Panel'!AR32="",VLOOKUP($F33,'Table Output'!$A$2:$BW$99998,MATCH(AR$4,'Table Output'!$A$1:$BT$1,0),FALSE),'Control Panel'!AR32)))</f>
        <v/>
      </c>
      <c r="AS33" s="32" t="str">
        <f>IF(AS$4="","",IF($K33="","",IF('Control Panel'!AS32="",VLOOKUP($F33,'Table Output'!$A$2:$BW$99998,MATCH(AS$4,'Table Output'!$A$1:$BT$1,0),FALSE),'Control Panel'!AS32)))</f>
        <v/>
      </c>
      <c r="AT33" s="32" t="str">
        <f>IF(AT$4="","",IF($K33="","",IF('Control Panel'!AT32="",VLOOKUP($F33,'Table Output'!$A$2:$BW$99998,MATCH(AT$4,'Table Output'!$A$1:$BT$1,0),FALSE),'Control Panel'!AT32)))</f>
        <v/>
      </c>
      <c r="AU33" s="32" t="str">
        <f>IF(AU$4="","",IF($K33="","",IF('Control Panel'!AU32="",VLOOKUP($F33,'Table Output'!$A$2:$BW$99998,MATCH(AU$4,'Table Output'!$A$1:$BT$1,0),FALSE),'Control Panel'!AU32)))</f>
        <v/>
      </c>
      <c r="AV33" s="32" t="str">
        <f>IF(AV$4="","",IF($K33="","",IF('Control Panel'!AV32="",VLOOKUP($F33,'Table Output'!$A$2:$BW$99998,MATCH(AV$4,'Table Output'!$A$1:$BT$1,0),FALSE),'Control Panel'!AV32)))</f>
        <v/>
      </c>
      <c r="AW33" s="32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6" t="str">
        <f>IF(E34=1,IF('Control Panel'!K33="","",'Control Panel'!K33),"")</f>
        <v/>
      </c>
      <c r="L34" s="22" t="str">
        <f>IF($K34="","",IF(L$4="","",IF('Control Panel'!L33="",VLOOKUP($F34,'Table Output'!$A:$BW,MATCH(L$4,'Table Output'!$A$1:$BT$1,0),),'Control Panel'!L33)))</f>
        <v/>
      </c>
      <c r="M34" s="22" t="str">
        <f>IF($K34="","",IF(M$4="","",IF('Control Panel'!M33="",VLOOKUP($F34,'Table Output'!$A:$BW,MATCH(M$4,'Table Output'!$A$1:$BT$1,0),),'Control Panel'!M33)))</f>
        <v/>
      </c>
      <c r="N34" s="22" t="str">
        <f>IF($K34="","",IF(N$4="","",IF('Control Panel'!N33="",VLOOKUP($F34,'Table Output'!$A:$BW,MATCH(N$4,'Table Output'!$A$1:$BT$1,0),),'Control Panel'!N33)))</f>
        <v/>
      </c>
      <c r="O34" s="22" t="str">
        <f>IF($K34="","",IF(O$4="","",IF('Control Panel'!O33="",VLOOKUP($F34,'Table Output'!$A:$BW,MATCH(O$4,'Table Output'!$A$1:$BT$1,0),),'Control Panel'!O33)))</f>
        <v/>
      </c>
      <c r="P34" s="22" t="str">
        <f>IF($K34="","",IF(P$4="","",IF('Control Panel'!P33="",VLOOKUP($F34,'Table Output'!$A:$BW,MATCH(P$4,'Table Output'!$A$1:$BT$1,0),),'Control Panel'!P33)))</f>
        <v/>
      </c>
      <c r="Q34" s="22" t="str">
        <f>IF($K34="","",IF(Q$4="","",IF('Control Panel'!Q33="",VLOOKUP($F34,'Table Output'!$A:$BW,MATCH(Q$4,'Table Output'!$A$1:$BT$1,0),),'Control Panel'!Q33)))</f>
        <v/>
      </c>
      <c r="R34" s="22" t="str">
        <f>IF($K34="","",IF(R$4="","",IF('Control Panel'!R33="",VLOOKUP($F34,'Table Output'!$A:$BW,MATCH(R$4,'Table Output'!$A$1:$BT$1,0),),'Control Panel'!R33)))</f>
        <v/>
      </c>
      <c r="S34" s="22" t="str">
        <f>IF($K34="","",IF(S$4="","",IF('Control Panel'!S33="",VLOOKUP($F34,'Table Output'!$A:$BW,MATCH(S$4,'Table Output'!$A$1:$BT$1,0),),'Control Panel'!S33)))</f>
        <v/>
      </c>
      <c r="T34" s="22" t="str">
        <f>IF($K34="","",IF(T$4="","",IF('Control Panel'!T33="",VLOOKUP($F34,'Table Output'!$A:$BW,MATCH(T$4,'Table Output'!$A$1:$BT$1,0),),'Control Panel'!T33)))</f>
        <v/>
      </c>
      <c r="U34" s="22" t="str">
        <f>IF($K34="","",IF(U$4="","",IF('Control Panel'!U33="",VLOOKUP($F34,'Table Output'!$A:$BW,MATCH(U$4,'Table Output'!$A$1:$BT$1,0),),'Control Panel'!U33)))</f>
        <v/>
      </c>
      <c r="W34" s="22" t="str">
        <f>IF($K34="","",IF('Control Panel'!W33="",VLOOKUP($F34,'Table Output'!$A$2:$BW$99998,MATCH(W$4,'Table Output'!$A$1:$BT$1,0),),'Control Panel'!W33))</f>
        <v/>
      </c>
      <c r="X34" s="22" t="str">
        <f>IF($K34="","",IF('Control Panel'!X33="",VLOOKUP($F34,'Table Output'!$A$2:$BW$99998,MATCH(X$4,'Table Output'!$A$1:$BT$1,0),),'Control Panel'!X33))</f>
        <v/>
      </c>
      <c r="Y34" s="22" t="str">
        <f>IF($K34="","",IF('Control Panel'!Y33="",VLOOKUP($F34,'Table Output'!$A$2:$BW$99998,MATCH(Y$4,'Table Output'!$A$1:$BT$1,0),),'Control Panel'!Y33))</f>
        <v/>
      </c>
      <c r="Z34" s="22" t="str">
        <f>IF($K34="","",IF('Control Panel'!Z33="",VLOOKUP($F34,'Table Output'!$A$2:$BW$99998,MATCH(Z$4,'Table Output'!$A$1:$BT$1,0),),'Control Panel'!Z33))</f>
        <v/>
      </c>
      <c r="AA34" s="22" t="str">
        <f>IF($K34="","",IF('Control Panel'!AA33="",VLOOKUP($F34,'Table Output'!$A$2:$BW$99998,MATCH(AA$4,'Table Output'!$A$1:$BT$1,0),),'Control Panel'!AA33))</f>
        <v/>
      </c>
      <c r="AB34" s="22" t="str">
        <f>IF($K34="","",IF('Control Panel'!AB33="",VLOOKUP($F34,'Table Output'!$A$2:$BW$99998,MATCH(AB$4,'Table Output'!$A$1:$BT$1,0),),'Control Panel'!AB33))</f>
        <v/>
      </c>
      <c r="AC34" s="22" t="str">
        <f>IF($K34="","",IF('Control Panel'!AC33="",VLOOKUP($F34,'Table Output'!$A$2:$BW$99998,MATCH(AC$4,'Table Output'!$A$1:$BT$1,0),),'Control Panel'!AC33))</f>
        <v/>
      </c>
      <c r="AD34" s="22" t="str">
        <f>IF($K34="","",IF('Control Panel'!AD33="",VLOOKUP($F34,'Table Output'!$A$2:$BW$99998,MATCH(AD$4,'Table Output'!$A$1:$BT$1,0),),'Control Panel'!AD33))</f>
        <v/>
      </c>
      <c r="AE34" s="22" t="str">
        <f>IF($K34="","",IF('Control Panel'!AE33="",VLOOKUP($F34,'Table Output'!$A$2:$BW$99998,MATCH(AE$4,'Table Output'!$A$1:$BT$1,0),),'Control Panel'!AE33))</f>
        <v/>
      </c>
      <c r="AF34" s="22" t="str">
        <f>IF($K34="","",IF('Control Panel'!AF33="",VLOOKUP($F34,'Table Output'!$A$2:$BW$99998,MATCH(AF$4,'Table Output'!$A$1:$BT$1,0),),'Control Panel'!AF33))</f>
        <v/>
      </c>
      <c r="AG34" s="22" t="str">
        <f>IF($K34="","",IF('Control Panel'!AG33="",VLOOKUP($F34,'Table Output'!$A$2:$BW$99998,MATCH(AG$4,'Table Output'!$A$1:$BT$1,0),),'Control Panel'!AG33))</f>
        <v/>
      </c>
      <c r="AH34" s="22" t="str">
        <f>IF($K34="","",IF('Control Panel'!AH33="",VLOOKUP($F34,'Table Output'!$A$2:$BW$99998,MATCH(AH$4,'Table Output'!$A$1:$BT$1,0),),'Control Panel'!AH33))</f>
        <v/>
      </c>
      <c r="AI34" s="22" t="str">
        <f>IF($K34="","",IF('Control Panel'!AI33="",VLOOKUP($F34,'Table Output'!$A$2:$BW$99998,MATCH(AI$4,'Table Output'!$A$1:$BT$1,0),),'Control Panel'!AI33))</f>
        <v/>
      </c>
      <c r="AJ34" s="22" t="str">
        <f>IF($K34="","",IF('Control Panel'!AJ33="",VLOOKUP($F34,'Table Output'!$A$2:$BW$99998,MATCH(AJ$4,'Table Output'!$A$1:$BT$1,0),),'Control Panel'!AJ33))</f>
        <v/>
      </c>
      <c r="AK34" s="22" t="str">
        <f>IF($K34="","",IF('Control Panel'!AK33="",VLOOKUP($F34,'Table Output'!$A$2:$BW$99998,MATCH(AK$4,'Table Output'!$A$1:$BT$1,0),),'Control Panel'!AK33))</f>
        <v/>
      </c>
      <c r="AL34" s="22" t="str">
        <f>IF($K34="","",IF('Control Panel'!AL33="",VLOOKUP($F34,'Table Output'!$A$2:$BW$99998,MATCH(AL$4,'Table Output'!$A$1:$BT$1,0),),'Control Panel'!AL33))</f>
        <v/>
      </c>
      <c r="AN34" s="35" t="str">
        <f t="shared" si="1"/>
        <v/>
      </c>
      <c r="AO34" s="32" t="str">
        <f>IF(AO$4="","",IF($K34="","",IF('Control Panel'!AO33="",VLOOKUP($F34,'Table Output'!$A$2:$BW$99998,MATCH(AO$4,'Table Output'!$A$1:$BT$1,0),FALSE),'Control Panel'!AO33)))</f>
        <v/>
      </c>
      <c r="AP34" s="32" t="str">
        <f>IF(AP$4="","",IF($K34="","",IF('Control Panel'!AP33="",VLOOKUP($F34,'Table Output'!$A$2:$BW$99998,MATCH(AP$4,'Table Output'!$A$1:$BT$1,0),FALSE),'Control Panel'!AP33)))</f>
        <v/>
      </c>
      <c r="AQ34" s="32" t="str">
        <f>IF(AQ$4="","",IF($K34="","",IF('Control Panel'!AQ33="",VLOOKUP($F34,'Table Output'!$A$2:$BW$99998,MATCH(AQ$4,'Table Output'!$A$1:$BT$1,0),FALSE),'Control Panel'!AQ33)))</f>
        <v/>
      </c>
      <c r="AR34" s="32" t="str">
        <f>IF(AR$4="","",IF($K34="","",IF('Control Panel'!AR33="",VLOOKUP($F34,'Table Output'!$A$2:$BW$99998,MATCH(AR$4,'Table Output'!$A$1:$BT$1,0),FALSE),'Control Panel'!AR33)))</f>
        <v/>
      </c>
      <c r="AS34" s="32" t="str">
        <f>IF(AS$4="","",IF($K34="","",IF('Control Panel'!AS33="",VLOOKUP($F34,'Table Output'!$A$2:$BW$99998,MATCH(AS$4,'Table Output'!$A$1:$BT$1,0),FALSE),'Control Panel'!AS33)))</f>
        <v/>
      </c>
      <c r="AT34" s="32" t="str">
        <f>IF(AT$4="","",IF($K34="","",IF('Control Panel'!AT33="",VLOOKUP($F34,'Table Output'!$A$2:$BW$99998,MATCH(AT$4,'Table Output'!$A$1:$BT$1,0),FALSE),'Control Panel'!AT33)))</f>
        <v/>
      </c>
      <c r="AU34" s="32" t="str">
        <f>IF(AU$4="","",IF($K34="","",IF('Control Panel'!AU33="",VLOOKUP($F34,'Table Output'!$A$2:$BW$99998,MATCH(AU$4,'Table Output'!$A$1:$BT$1,0),FALSE),'Control Panel'!AU33)))</f>
        <v/>
      </c>
      <c r="AV34" s="32" t="str">
        <f>IF(AV$4="","",IF($K34="","",IF('Control Panel'!AV33="",VLOOKUP($F34,'Table Output'!$A$2:$BW$99998,MATCH(AV$4,'Table Output'!$A$1:$BT$1,0),FALSE),'Control Panel'!AV33)))</f>
        <v/>
      </c>
      <c r="AW34" s="32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154" t="s">
        <v>151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7" t="s">
        <v>82</v>
      </c>
      <c r="L37" s="18" t="str">
        <f>L4</f>
        <v>y_u_1</v>
      </c>
      <c r="M37" s="18" t="str">
        <f t="shared" ref="M37:U37" si="2">M4</f>
        <v>p_u_1</v>
      </c>
      <c r="N37" s="18" t="str">
        <f t="shared" si="2"/>
        <v>k_p_1</v>
      </c>
      <c r="O37" s="18" t="str">
        <f t="shared" si="2"/>
        <v>n_p_1</v>
      </c>
      <c r="P37" s="18" t="str">
        <f t="shared" si="2"/>
        <v>k_p_2</v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2&amp;1</v>
      </c>
      <c r="F38" s="2" t="str">
        <f>F5</f>
        <v>Cowden_Clay</v>
      </c>
      <c r="K38" s="5">
        <f>K5</f>
        <v>1</v>
      </c>
      <c r="L38" s="28">
        <f>IF($K38="","",IF(L$37="","",IF('Control Panel'!L38="",IF(VLOOKUP($F38,'Table Output'!$A$1:$H$99998,8,FALSE)="Sand",VLOOKUP(L$37,BoundParameters_HiddenSheetSAND!$B$3:$E$50,MATCH(VLOOKUP($K38,$K$5:$AL$34,MATCH(VLOOKUP(L$37,$BJ$3:$BK$50,2,FALSE),$K$4:$AL$4,0),FALSE),BoundParameters_HiddenSheetCLAY!$B$1:$E$1,0),FALSE),IF(VLOOKUP($F38,'Table Output'!$A$1:$H$99998,8,FALSE)="Clay",VLOOKUP(L$37,BoundParameters_HiddenSheetCLAY!$B$3:$E$50,MATCH(VLOOKUP($K38,$K$5:$AL$34,MATCH(VLOOKUP(L$37,$BJ$3:$BK$50,2,FALSE),$K$4:$AL$4,0),FALSE),BoundParameters_HiddenSheetCLAY!$B$1:$E$1,0),FALSE))),'Control Panel'!L38)))</f>
        <v>30</v>
      </c>
      <c r="M38" s="28">
        <f>IF($K38="","",IF(M$37="","",IF('Control Panel'!M38="",IF(VLOOKUP($F38,'Table Output'!$A$1:$H$99998,8,FALSE)="Sand",VLOOKUP(M$37,BoundParameters_HiddenSheetSAND!$B$3:$E$50,MATCH(VLOOKUP($K38,$K$5:$AL$34,MATCH(VLOOKUP(M$37,$BJ$3:$BK$50,2,FALSE),$K$4:$AL$4,0),FALSE),BoundParameters_HiddenSheetCLAY!$B$1:$E$1,0),FALSE),IF(VLOOKUP($F38,'Table Output'!$A$1:$H$99998,8,FALSE)="Clay",VLOOKUP(M$37,BoundParameters_HiddenSheetCLAY!$B$3:$E$50,MATCH(VLOOKUP($K38,$K$5:$AL$34,MATCH(VLOOKUP(M$37,$BJ$3:$BK$50,2,FALSE),$K$4:$AL$4,0),FALSE),BoundParameters_HiddenSheetCLAY!$B$1:$E$1,0),FALSE))),'Control Panel'!M38)))</f>
        <v>7.2110000000000003</v>
      </c>
      <c r="N38" s="28">
        <f>IF($K38="","",IF(N$37="","",IF('Control Panel'!N38="",IF(VLOOKUP($F38,'Table Output'!$A$1:$H$99998,8,FALSE)="Sand",VLOOKUP(N$37,BoundParameters_HiddenSheetSAND!$B$3:$E$50,MATCH(VLOOKUP($K38,$K$5:$AL$34,MATCH(VLOOKUP(N$37,$BJ$3:$BK$50,2,FALSE),$K$4:$AL$4,0),FALSE),BoundParameters_HiddenSheetCLAY!$B$1:$E$1,0),FALSE),IF(VLOOKUP($F38,'Table Output'!$A$1:$H$99998,8,FALSE)="Clay",VLOOKUP(N$37,BoundParameters_HiddenSheetCLAY!$B$3:$E$50,MATCH(VLOOKUP($K38,$K$5:$AL$34,MATCH(VLOOKUP(N$37,$BJ$3:$BK$50,2,FALSE),$K$4:$AL$4,0),FALSE),BoundParameters_HiddenSheetCLAY!$B$1:$E$1,0),FALSE))),'Control Panel'!N38)))</f>
        <v>-2.4</v>
      </c>
      <c r="O38" s="28">
        <f>IF($K38="","",IF(O$37="","",IF('Control Panel'!O38="",IF(VLOOKUP($F38,'Table Output'!$A$1:$H$99998,8,FALSE)="Sand",VLOOKUP(O$37,BoundParameters_HiddenSheetSAND!$B$3:$E$50,MATCH(VLOOKUP($K38,$K$5:$AL$34,MATCH(VLOOKUP(O$37,$BJ$3:$BK$50,2,FALSE),$K$4:$AL$4,0),FALSE),BoundParameters_HiddenSheetCLAY!$B$1:$E$1,0),FALSE),IF(VLOOKUP($F38,'Table Output'!$A$1:$H$99998,8,FALSE)="Clay",VLOOKUP(O$37,BoundParameters_HiddenSheetCLAY!$B$3:$E$50,MATCH(VLOOKUP($K38,$K$5:$AL$34,MATCH(VLOOKUP(O$37,$BJ$3:$BK$50,2,FALSE),$K$4:$AL$4,0),FALSE),BoundParameters_HiddenSheetCLAY!$B$1:$E$1,0),FALSE))),'Control Panel'!O38)))</f>
        <v>-1.5</v>
      </c>
      <c r="P38" s="28">
        <f>IF($K38="","",IF(P$37="","",IF('Control Panel'!P38="",IF(VLOOKUP($F38,'Table Output'!$A$1:$H$99998,8,FALSE)="Sand",VLOOKUP(P$37,BoundParameters_HiddenSheetSAND!$B$3:$E$50,MATCH(VLOOKUP($K38,$K$5:$AL$34,MATCH(VLOOKUP(P$37,$BJ$3:$BK$50,2,FALSE),$K$4:$AL$4,0),FALSE),BoundParameters_HiddenSheetCLAY!$B$1:$E$1,0),FALSE),IF(VLOOKUP($F38,'Table Output'!$A$1:$H$99998,8,FALSE)="Clay",VLOOKUP(P$37,BoundParameters_HiddenSheetCLAY!$B$3:$E$50,MATCH(VLOOKUP($K38,$K$5:$AL$34,MATCH(VLOOKUP(P$37,$BJ$3:$BK$50,2,FALSE),$K$4:$AL$4,0),FALSE),BoundParameters_HiddenSheetCLAY!$B$1:$E$1,0),FALSE))),'Control Panel'!P38)))</f>
        <v>0.5</v>
      </c>
      <c r="Q38" s="28" t="str">
        <f>IF($K38="","",IF(Q$37="","",IF('Control Panel'!Q38="",IF(VLOOKUP($F38,'Table Output'!$A$1:$H$99998,8,FALSE)="Sand",VLOOKUP(Q$37,BoundParameters_HiddenSheetSAND!$B$3:$E$50,MATCH(VLOOKUP($K38,$K$5:$AL$34,MATCH(VLOOKUP(Q$37,$BJ$3:$BK$50,2,FALSE),$K$4:$AL$4,0),FALSE),BoundParameters_HiddenSheetCLAY!$B$1:$E$1,0),FALSE),IF(VLOOKUP($F38,'Table Output'!$A$1:$H$99998,8,FALSE)="Clay",VLOOKUP(Q$37,BoundParameters_HiddenSheetCLAY!$B$3:$E$50,MATCH(VLOOKUP($K38,$K$5:$AL$34,MATCH(VLOOKUP(Q$37,$BJ$3:$BK$50,2,FALSE),$K$4:$AL$4,0),FALSE),BoundParameters_HiddenSheetCLAY!$B$1:$E$1,0),FALSE))),'Control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8" t="str">
        <f>IF($K38="","",IF(R$37="","",IF('Control Panel'!R38="",IF(VLOOKUP($F38,'Table Output'!$A$1:$H$99998,8,FALSE)="Sand",VLOOKUP(R$37,BoundParameters_HiddenSheetSAND!$B$3:$E$50,MATCH(VLOOKUP($K38,$K$5:$AL$34,MATCH(VLOOKUP(R$37,$BJ$3:$BK$50,2,FALSE),$K$4:$AL$4,0),FALSE),BoundParameters_HiddenSheetCLAY!$B$1:$E$1,0),FALSE),IF(VLOOKUP($F38,'Table Output'!$A$1:$H$99998,8,FALSE)="Clay",VLOOKUP(R$37,BoundParameters_HiddenSheetCLAY!$B$3:$E$50,MATCH(VLOOKUP($K38,$K$5:$AL$34,MATCH(VLOOKUP(R$37,$BJ$3:$BK$50,2,FALSE),$K$4:$AL$4,0),FALSE),BoundParameters_HiddenSheetCLAY!$B$1:$E$1,0),FALSE))),'Control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8" t="str">
        <f>IF($K38="","",IF(S$37="","",IF('Control Panel'!S38="",IF(VLOOKUP($F38,'Table Output'!$A$1:$H$99998,8,FALSE)="Sand",VLOOKUP(S$37,BoundParameters_HiddenSheetSAND!$B$3:$E$50,MATCH(VLOOKUP($K38,$K$5:$AL$34,MATCH(VLOOKUP(S$37,$BJ$3:$BK$50,2,FALSE),$K$4:$AL$4,0),FALSE),BoundParameters_HiddenSheetCLAY!$B$1:$E$1,0),FALSE),IF(VLOOKUP($F38,'Table Output'!$A$1:$H$99998,8,FALSE)="Clay",VLOOKUP(S$37,BoundParameters_HiddenSheetCLAY!$B$3:$E$50,MATCH(VLOOKUP($K38,$K$5:$AL$34,MATCH(VLOOKUP(S$37,$BJ$3:$BK$50,2,FALSE),$K$4:$AL$4,0),FALSE),BoundParameters_HiddenSheetCLAY!$B$1:$E$1,0),FALSE))),'Control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8" t="str">
        <f>IF($K38="","",IF(T$37="","",IF('Control Panel'!T38="",IF(VLOOKUP($F38,'Table Output'!$A$1:$H$99998,8,FALSE)="Sand",VLOOKUP(T$37,BoundParameters_HiddenSheetSAND!$B$3:$E$50,MATCH(VLOOKUP($K38,$K$5:$AL$34,MATCH(VLOOKUP(T$37,$BJ$3:$BK$50,2,FALSE),$K$4:$AL$4,0),FALSE),BoundParameters_HiddenSheetCLAY!$B$1:$E$1,0),FALSE),IF(VLOOKUP($F38,'Table Output'!$A$1:$H$99998,8,FALSE)="Clay",VLOOKUP(T$37,BoundParameters_HiddenSheetCLAY!$B$3:$E$50,MATCH(VLOOKUP($K38,$K$5:$AL$34,MATCH(VLOOKUP(T$37,$BJ$3:$BK$50,2,FALSE),$K$4:$AL$4,0),FALSE),BoundParameters_HiddenSheetCLAY!$B$1:$E$1,0),FALSE))),'Control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8" t="str">
        <f>IF($K38="","",IF(U$37="","",IF('Control Panel'!U38="",IF(VLOOKUP($F38,'Table Output'!$A$1:$H$99998,8,FALSE)="Sand",VLOOKUP(U$37,BoundParameters_HiddenSheetSAND!$B$3:$E$50,MATCH(VLOOKUP($K38,$K$5:$AL$34,MATCH(VLOOKUP(U$37,$BJ$3:$BK$50,2,FALSE),$K$4:$AL$4,0),FALSE),BoundParameters_HiddenSheetCLAY!$B$1:$E$1,0),FALSE),IF(VLOOKUP($F38,'Table Output'!$A$1:$H$99998,8,FALSE)="Clay",VLOOKUP(U$37,BoundParameters_HiddenSheetCLAY!$B$3:$E$50,MATCH(VLOOKUP($K38,$K$5:$AL$34,MATCH(VLOOKUP(U$37,$BJ$3:$BK$50,2,FALSE),$K$4:$AL$4,0),FALSE),BoundParameters_HiddenSheetCLAY!$B$1:$E$1,0),FALSE))),'Control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8"/>
      <c r="W38" s="47">
        <v>639966268303430</v>
      </c>
      <c r="X38" s="47">
        <v>100962642597654</v>
      </c>
      <c r="Y38" s="47">
        <v>-476818531357738</v>
      </c>
      <c r="Z38" s="47">
        <v>-129987990211606</v>
      </c>
      <c r="AA38" s="47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Sand_75</v>
      </c>
      <c r="K39" s="5">
        <f t="shared" ref="K39:K62" si="4">K6</f>
        <v>2</v>
      </c>
      <c r="L39" s="28">
        <f>IF($K39="","",IF(L$37="","",IF('Control Panel'!L39="",IF(VLOOKUP($F39,'Table Output'!$A$1:$H$99998,8,FALSE)="Sand",VLOOKUP(L$37,BoundParameters_HiddenSheetSAND!$B$3:$E$50,MATCH(VLOOKUP($K39,$K$5:$AL$34,MATCH(VLOOKUP(L$37,$BJ$3:$BK$50,2,FALSE),$K$4:$AL$4,0),FALSE),BoundParameters_HiddenSheetCLAY!$B$1:$E$1,0),FALSE),IF(VLOOKUP($F39,'Table Output'!$A$1:$H$99998,8,FALSE)="Clay",VLOOKUP(L$37,BoundParameters_HiddenSheetCLAY!$B$3:$E$50,MATCH(VLOOKUP($K39,$K$5:$AL$34,MATCH(VLOOKUP(L$37,$BJ$3:$BK$50,2,FALSE),$K$4:$AL$4,0),FALSE),BoundParameters_HiddenSheetCLAY!$B$1:$E$1,0),FALSE))),'Control Panel'!L39)))</f>
        <v>30</v>
      </c>
      <c r="M39" s="28">
        <f>IF($K39="","",IF(M$37="","",IF('Control Panel'!M39="",IF(VLOOKUP($F39,'Table Output'!$A$1:$H$99998,8,FALSE)="Sand",VLOOKUP(M$37,BoundParameters_HiddenSheetSAND!$B$3:$E$50,MATCH(VLOOKUP($K39,$K$5:$AL$34,MATCH(VLOOKUP(M$37,$BJ$3:$BK$50,2,FALSE),$K$4:$AL$4,0),FALSE),BoundParameters_HiddenSheetCLAY!$B$1:$E$1,0),FALSE),IF(VLOOKUP($F39,'Table Output'!$A$1:$H$99998,8,FALSE)="Clay",VLOOKUP(M$37,BoundParameters_HiddenSheetCLAY!$B$3:$E$50,MATCH(VLOOKUP($K39,$K$5:$AL$34,MATCH(VLOOKUP(M$37,$BJ$3:$BK$50,2,FALSE),$K$4:$AL$4,0),FALSE),BoundParameters_HiddenSheetCLAY!$B$1:$E$1,0),FALSE))),'Control Panel'!M39)))</f>
        <v>-120</v>
      </c>
      <c r="N39" s="28">
        <f>IF($K39="","",IF(N$37="","",IF('Control Panel'!N39="",IF(VLOOKUP($F39,'Table Output'!$A$1:$H$99998,8,FALSE)="Sand",VLOOKUP(N$37,BoundParameters_HiddenSheetSAND!$B$3:$E$50,MATCH(VLOOKUP($K39,$K$5:$AL$34,MATCH(VLOOKUP(N$37,$BJ$3:$BK$50,2,FALSE),$K$4:$AL$4,0),FALSE),BoundParameters_HiddenSheetCLAY!$B$1:$E$1,0),FALSE),IF(VLOOKUP($F39,'Table Output'!$A$1:$H$99998,8,FALSE)="Clay",VLOOKUP(N$37,BoundParameters_HiddenSheetCLAY!$B$3:$E$50,MATCH(VLOOKUP($K39,$K$5:$AL$34,MATCH(VLOOKUP(N$37,$BJ$3:$BK$50,2,FALSE),$K$4:$AL$4,0),FALSE),BoundParameters_HiddenSheetCLAY!$B$1:$E$1,0),FALSE))),'Control Panel'!N39)))</f>
        <v>-35</v>
      </c>
      <c r="O39" s="28">
        <f>IF($K39="","",IF(O$37="","",IF('Control Panel'!O39="",IF(VLOOKUP($F39,'Table Output'!$A$1:$H$99998,8,FALSE)="Sand",VLOOKUP(O$37,BoundParameters_HiddenSheetSAND!$B$3:$E$50,MATCH(VLOOKUP($K39,$K$5:$AL$34,MATCH(VLOOKUP(O$37,$BJ$3:$BK$50,2,FALSE),$K$4:$AL$4,0),FALSE),BoundParameters_HiddenSheetCLAY!$B$1:$E$1,0),FALSE),IF(VLOOKUP($F39,'Table Output'!$A$1:$H$99998,8,FALSE)="Clay",VLOOKUP(O$37,BoundParameters_HiddenSheetCLAY!$B$3:$E$50,MATCH(VLOOKUP($K39,$K$5:$AL$34,MATCH(VLOOKUP(O$37,$BJ$3:$BK$50,2,FALSE),$K$4:$AL$4,0),FALSE),BoundParameters_HiddenSheetCLAY!$B$1:$E$1,0),FALSE))),'Control Panel'!O39)))</f>
        <v>0</v>
      </c>
      <c r="P39" s="28">
        <f>IF($K39="","",IF(P$37="","",IF('Control Panel'!P39="",IF(VLOOKUP($F39,'Table Output'!$A$1:$H$99998,8,FALSE)="Sand",VLOOKUP(P$37,BoundParameters_HiddenSheetSAND!$B$3:$E$50,MATCH(VLOOKUP($K39,$K$5:$AL$34,MATCH(VLOOKUP(P$37,$BJ$3:$BK$50,2,FALSE),$K$4:$AL$4,0),FALSE),BoundParameters_HiddenSheetCLAY!$B$1:$E$1,0),FALSE),IF(VLOOKUP($F39,'Table Output'!$A$1:$H$99998,8,FALSE)="Clay",VLOOKUP(P$37,BoundParameters_HiddenSheetCLAY!$B$3:$E$50,MATCH(VLOOKUP($K39,$K$5:$AL$34,MATCH(VLOOKUP(P$37,$BJ$3:$BK$50,2,FALSE),$K$4:$AL$4,0),FALSE),BoundParameters_HiddenSheetCLAY!$B$1:$E$1,0),FALSE))),'Control Panel'!P39)))</f>
        <v>0.2</v>
      </c>
      <c r="Q39" s="28" t="str">
        <f>IF($K39="","",IF(Q$37="","",IF('Control Panel'!Q39="",IF(VLOOKUP($F39,'Table Output'!$A$1:$H$99998,8,FALSE)="Sand",VLOOKUP(Q$37,BoundParameters_HiddenSheetSAND!$B$3:$E$50,MATCH(VLOOKUP($K39,$K$5:$AL$34,MATCH(VLOOKUP(Q$37,$BJ$3:$BK$50,2,FALSE),$K$4:$AL$4,0),FALSE),BoundParameters_HiddenSheetCLAY!$B$1:$E$1,0),FALSE),IF(VLOOKUP($F39,'Table Output'!$A$1:$H$99998,8,FALSE)="Clay",VLOOKUP(Q$37,BoundParameters_HiddenSheetCLAY!$B$3:$E$50,MATCH(VLOOKUP($K39,$K$5:$AL$34,MATCH(VLOOKUP(Q$37,$BJ$3:$BK$50,2,FALSE),$K$4:$AL$4,0),FALSE),BoundParameters_HiddenSheetCLAY!$B$1:$E$1,0),FALSE))),'Control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8" t="str">
        <f>IF($K39="","",IF(R$37="","",IF('Control Panel'!R39="",IF(VLOOKUP($F39,'Table Output'!$A$1:$H$99998,8,FALSE)="Sand",VLOOKUP(R$37,BoundParameters_HiddenSheetSAND!$B$3:$E$50,MATCH(VLOOKUP($K39,$K$5:$AL$34,MATCH(VLOOKUP(R$37,$BJ$3:$BK$50,2,FALSE),$K$4:$AL$4,0),FALSE),BoundParameters_HiddenSheetCLAY!$B$1:$E$1,0),FALSE),IF(VLOOKUP($F39,'Table Output'!$A$1:$H$99998,8,FALSE)="Clay",VLOOKUP(R$37,BoundParameters_HiddenSheetCLAY!$B$3:$E$50,MATCH(VLOOKUP($K39,$K$5:$AL$34,MATCH(VLOOKUP(R$37,$BJ$3:$BK$50,2,FALSE),$K$4:$AL$4,0),FALSE),BoundParameters_HiddenSheetCLAY!$B$1:$E$1,0),FALSE))),'Control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8" t="str">
        <f>IF($K39="","",IF(S$37="","",IF('Control Panel'!S39="",IF(VLOOKUP($F39,'Table Output'!$A$1:$H$99998,8,FALSE)="Sand",VLOOKUP(S$37,BoundParameters_HiddenSheetSAND!$B$3:$E$50,MATCH(VLOOKUP($K39,$K$5:$AL$34,MATCH(VLOOKUP(S$37,$BJ$3:$BK$50,2,FALSE),$K$4:$AL$4,0),FALSE),BoundParameters_HiddenSheetCLAY!$B$1:$E$1,0),FALSE),IF(VLOOKUP($F39,'Table Output'!$A$1:$H$99998,8,FALSE)="Clay",VLOOKUP(S$37,BoundParameters_HiddenSheetCLAY!$B$3:$E$50,MATCH(VLOOKUP($K39,$K$5:$AL$34,MATCH(VLOOKUP(S$37,$BJ$3:$BK$50,2,FALSE),$K$4:$AL$4,0),FALSE),BoundParameters_HiddenSheetCLAY!$B$1:$E$1,0),FALSE))),'Control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8" t="str">
        <f>IF($K39="","",IF(T$37="","",IF('Control Panel'!T39="",IF(VLOOKUP($F39,'Table Output'!$A$1:$H$99998,8,FALSE)="Sand",VLOOKUP(T$37,BoundParameters_HiddenSheetSAND!$B$3:$E$50,MATCH(VLOOKUP($K39,$K$5:$AL$34,MATCH(VLOOKUP(T$37,$BJ$3:$BK$50,2,FALSE),$K$4:$AL$4,0),FALSE),BoundParameters_HiddenSheetCLAY!$B$1:$E$1,0),FALSE),IF(VLOOKUP($F39,'Table Output'!$A$1:$H$99998,8,FALSE)="Clay",VLOOKUP(T$37,BoundParameters_HiddenSheetCLAY!$B$3:$E$50,MATCH(VLOOKUP($K39,$K$5:$AL$34,MATCH(VLOOKUP(T$37,$BJ$3:$BK$50,2,FALSE),$K$4:$AL$4,0),FALSE),BoundParameters_HiddenSheetCLAY!$B$1:$E$1,0),FALSE))),'Control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8" t="str">
        <f>IF($K39="","",IF(U$37="","",IF('Control Panel'!U39="",IF(VLOOKUP($F39,'Table Output'!$A$1:$H$99998,8,FALSE)="Sand",VLOOKUP(U$37,BoundParameters_HiddenSheetSAND!$B$3:$E$50,MATCH(VLOOKUP($K39,$K$5:$AL$34,MATCH(VLOOKUP(U$37,$BJ$3:$BK$50,2,FALSE),$K$4:$AL$4,0),FALSE),BoundParameters_HiddenSheetCLAY!$B$1:$E$1,0),FALSE),IF(VLOOKUP($F39,'Table Output'!$A$1:$H$99998,8,FALSE)="Clay",VLOOKUP(U$37,BoundParameters_HiddenSheetCLAY!$B$3:$E$50,MATCH(VLOOKUP($K39,$K$5:$AL$34,MATCH(VLOOKUP(U$37,$BJ$3:$BK$50,2,FALSE),$K$4:$AL$4,0),FALSE),BoundParameters_HiddenSheetCLAY!$B$1:$E$1,0),FALSE))),'Control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9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Sand_56</v>
      </c>
      <c r="K40" s="5">
        <f t="shared" si="4"/>
        <v>3</v>
      </c>
      <c r="L40" s="28">
        <f>IF($K40="","",IF(L$37="","",IF('Control Panel'!L40="",IF(VLOOKUP($F40,'Table Output'!$A$1:$H$99998,8,FALSE)="Sand",VLOOKUP(L$37,BoundParameters_HiddenSheetSAND!$B$3:$E$50,MATCH(VLOOKUP($K40,$K$5:$AL$34,MATCH(VLOOKUP(L$37,$BJ$3:$BK$50,2,FALSE),$K$4:$AL$4,0),FALSE),BoundParameters_HiddenSheetCLAY!$B$1:$E$1,0),FALSE),IF(VLOOKUP($F40,'Table Output'!$A$1:$H$99998,8,FALSE)="Clay",VLOOKUP(L$37,BoundParameters_HiddenSheetCLAY!$B$3:$E$50,MATCH(VLOOKUP($K40,$K$5:$AL$34,MATCH(VLOOKUP(L$37,$BJ$3:$BK$50,2,FALSE),$K$4:$AL$4,0),FALSE),BoundParameters_HiddenSheetCLAY!$B$1:$E$1,0),FALSE))),'Control Panel'!L40)))</f>
        <v>30</v>
      </c>
      <c r="M40" s="28">
        <f>IF($K40="","",IF(M$37="","",IF('Control Panel'!M40="",IF(VLOOKUP($F40,'Table Output'!$A$1:$H$99998,8,FALSE)="Sand",VLOOKUP(M$37,BoundParameters_HiddenSheetSAND!$B$3:$E$50,MATCH(VLOOKUP($K40,$K$5:$AL$34,MATCH(VLOOKUP(M$37,$BJ$3:$BK$50,2,FALSE),$K$4:$AL$4,0),FALSE),BoundParameters_HiddenSheetCLAY!$B$1:$E$1,0),FALSE),IF(VLOOKUP($F40,'Table Output'!$A$1:$H$99998,8,FALSE)="Clay",VLOOKUP(M$37,BoundParameters_HiddenSheetCLAY!$B$3:$E$50,MATCH(VLOOKUP($K40,$K$5:$AL$34,MATCH(VLOOKUP(M$37,$BJ$3:$BK$50,2,FALSE),$K$4:$AL$4,0),FALSE),BoundParameters_HiddenSheetCLAY!$B$1:$E$1,0),FALSE))),'Control Panel'!M40)))</f>
        <v>-120</v>
      </c>
      <c r="N40" s="28">
        <f>IF($K40="","",IF(N$37="","",IF('Control Panel'!N40="",IF(VLOOKUP($F40,'Table Output'!$A$1:$H$99998,8,FALSE)="Sand",VLOOKUP(N$37,BoundParameters_HiddenSheetSAND!$B$3:$E$50,MATCH(VLOOKUP($K40,$K$5:$AL$34,MATCH(VLOOKUP(N$37,$BJ$3:$BK$50,2,FALSE),$K$4:$AL$4,0),FALSE),BoundParameters_HiddenSheetCLAY!$B$1:$E$1,0),FALSE),IF(VLOOKUP($F40,'Table Output'!$A$1:$H$99998,8,FALSE)="Clay",VLOOKUP(N$37,BoundParameters_HiddenSheetCLAY!$B$3:$E$50,MATCH(VLOOKUP($K40,$K$5:$AL$34,MATCH(VLOOKUP(N$37,$BJ$3:$BK$50,2,FALSE),$K$4:$AL$4,0),FALSE),BoundParameters_HiddenSheetCLAY!$B$1:$E$1,0),FALSE))),'Control Panel'!N40)))</f>
        <v>-35</v>
      </c>
      <c r="O40" s="28">
        <f>IF($K40="","",IF(O$37="","",IF('Control Panel'!O40="",IF(VLOOKUP($F40,'Table Output'!$A$1:$H$99998,8,FALSE)="Sand",VLOOKUP(O$37,BoundParameters_HiddenSheetSAND!$B$3:$E$50,MATCH(VLOOKUP($K40,$K$5:$AL$34,MATCH(VLOOKUP(O$37,$BJ$3:$BK$50,2,FALSE),$K$4:$AL$4,0),FALSE),BoundParameters_HiddenSheetCLAY!$B$1:$E$1,0),FALSE),IF(VLOOKUP($F40,'Table Output'!$A$1:$H$99998,8,FALSE)="Clay",VLOOKUP(O$37,BoundParameters_HiddenSheetCLAY!$B$3:$E$50,MATCH(VLOOKUP($K40,$K$5:$AL$34,MATCH(VLOOKUP(O$37,$BJ$3:$BK$50,2,FALSE),$K$4:$AL$4,0),FALSE),BoundParameters_HiddenSheetCLAY!$B$1:$E$1,0),FALSE))),'Control Panel'!O40)))</f>
        <v>0</v>
      </c>
      <c r="P40" s="28">
        <f>IF($K40="","",IF(P$37="","",IF('Control Panel'!P40="",IF(VLOOKUP($F40,'Table Output'!$A$1:$H$99998,8,FALSE)="Sand",VLOOKUP(P$37,BoundParameters_HiddenSheetSAND!$B$3:$E$50,MATCH(VLOOKUP($K40,$K$5:$AL$34,MATCH(VLOOKUP(P$37,$BJ$3:$BK$50,2,FALSE),$K$4:$AL$4,0),FALSE),BoundParameters_HiddenSheetCLAY!$B$1:$E$1,0),FALSE),IF(VLOOKUP($F40,'Table Output'!$A$1:$H$99998,8,FALSE)="Clay",VLOOKUP(P$37,BoundParameters_HiddenSheetCLAY!$B$3:$E$50,MATCH(VLOOKUP($K40,$K$5:$AL$34,MATCH(VLOOKUP(P$37,$BJ$3:$BK$50,2,FALSE),$K$4:$AL$4,0),FALSE),BoundParameters_HiddenSheetCLAY!$B$1:$E$1,0),FALSE))),'Control Panel'!P40)))</f>
        <v>0.2</v>
      </c>
      <c r="Q40" s="28" t="str">
        <f>IF($K40="","",IF(Q$37="","",IF('Control Panel'!Q40="",IF(VLOOKUP($F40,'Table Output'!$A$1:$H$99998,8,FALSE)="Sand",VLOOKUP(Q$37,BoundParameters_HiddenSheetSAND!$B$3:$E$50,MATCH(VLOOKUP($K40,$K$5:$AL$34,MATCH(VLOOKUP(Q$37,$BJ$3:$BK$50,2,FALSE),$K$4:$AL$4,0),FALSE),BoundParameters_HiddenSheetCLAY!$B$1:$E$1,0),FALSE),IF(VLOOKUP($F40,'Table Output'!$A$1:$H$99998,8,FALSE)="Clay",VLOOKUP(Q$37,BoundParameters_HiddenSheetCLAY!$B$3:$E$50,MATCH(VLOOKUP($K40,$K$5:$AL$34,MATCH(VLOOKUP(Q$37,$BJ$3:$BK$50,2,FALSE),$K$4:$AL$4,0),FALSE),BoundParameters_HiddenSheetCLAY!$B$1:$E$1,0),FALSE))),'Control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8" t="str">
        <f>IF($K40="","",IF(R$37="","",IF('Control Panel'!R40="",IF(VLOOKUP($F40,'Table Output'!$A$1:$H$99998,8,FALSE)="Sand",VLOOKUP(R$37,BoundParameters_HiddenSheetSAND!$B$3:$E$50,MATCH(VLOOKUP($K40,$K$5:$AL$34,MATCH(VLOOKUP(R$37,$BJ$3:$BK$50,2,FALSE),$K$4:$AL$4,0),FALSE),BoundParameters_HiddenSheetCLAY!$B$1:$E$1,0),FALSE),IF(VLOOKUP($F40,'Table Output'!$A$1:$H$99998,8,FALSE)="Clay",VLOOKUP(R$37,BoundParameters_HiddenSheetCLAY!$B$3:$E$50,MATCH(VLOOKUP($K40,$K$5:$AL$34,MATCH(VLOOKUP(R$37,$BJ$3:$BK$50,2,FALSE),$K$4:$AL$4,0),FALSE),BoundParameters_HiddenSheetCLAY!$B$1:$E$1,0),FALSE))),'Control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8" t="str">
        <f>IF($K40="","",IF(S$37="","",IF('Control Panel'!S40="",IF(VLOOKUP($F40,'Table Output'!$A$1:$H$99998,8,FALSE)="Sand",VLOOKUP(S$37,BoundParameters_HiddenSheetSAND!$B$3:$E$50,MATCH(VLOOKUP($K40,$K$5:$AL$34,MATCH(VLOOKUP(S$37,$BJ$3:$BK$50,2,FALSE),$K$4:$AL$4,0),FALSE),BoundParameters_HiddenSheetCLAY!$B$1:$E$1,0),FALSE),IF(VLOOKUP($F40,'Table Output'!$A$1:$H$99998,8,FALSE)="Clay",VLOOKUP(S$37,BoundParameters_HiddenSheetCLAY!$B$3:$E$50,MATCH(VLOOKUP($K40,$K$5:$AL$34,MATCH(VLOOKUP(S$37,$BJ$3:$BK$50,2,FALSE),$K$4:$AL$4,0),FALSE),BoundParameters_HiddenSheetCLAY!$B$1:$E$1,0),FALSE))),'Control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8" t="str">
        <f>IF($K40="","",IF(T$37="","",IF('Control Panel'!T40="",IF(VLOOKUP($F40,'Table Output'!$A$1:$H$99998,8,FALSE)="Sand",VLOOKUP(T$37,BoundParameters_HiddenSheetSAND!$B$3:$E$50,MATCH(VLOOKUP($K40,$K$5:$AL$34,MATCH(VLOOKUP(T$37,$BJ$3:$BK$50,2,FALSE),$K$4:$AL$4,0),FALSE),BoundParameters_HiddenSheetCLAY!$B$1:$E$1,0),FALSE),IF(VLOOKUP($F40,'Table Output'!$A$1:$H$99998,8,FALSE)="Clay",VLOOKUP(T$37,BoundParameters_HiddenSheetCLAY!$B$3:$E$50,MATCH(VLOOKUP($K40,$K$5:$AL$34,MATCH(VLOOKUP(T$37,$BJ$3:$BK$50,2,FALSE),$K$4:$AL$4,0),FALSE),BoundParameters_HiddenSheetCLAY!$B$1:$E$1,0),FALSE))),'Control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8" t="str">
        <f>IF($K40="","",IF(U$37="","",IF('Control Panel'!U40="",IF(VLOOKUP($F40,'Table Output'!$A$1:$H$99998,8,FALSE)="Sand",VLOOKUP(U$37,BoundParameters_HiddenSheetSAND!$B$3:$E$50,MATCH(VLOOKUP($K40,$K$5:$AL$34,MATCH(VLOOKUP(U$37,$BJ$3:$BK$50,2,FALSE),$K$4:$AL$4,0),FALSE),BoundParameters_HiddenSheetCLAY!$B$1:$E$1,0),FALSE),IF(VLOOKUP($F40,'Table Output'!$A$1:$H$99998,8,FALSE)="Clay",VLOOKUP(U$37,BoundParameters_HiddenSheetCLAY!$B$3:$E$50,MATCH(VLOOKUP($K40,$K$5:$AL$34,MATCH(VLOOKUP(U$37,$BJ$3:$BK$50,2,FALSE),$K$4:$AL$4,0),FALSE),BoundParameters_HiddenSheetCLAY!$B$1:$E$1,0),FALSE))),'Control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9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Sand_68</v>
      </c>
      <c r="K41" s="5">
        <f t="shared" si="4"/>
        <v>4</v>
      </c>
      <c r="L41" s="28">
        <f>IF($K41="","",IF(L$37="","",IF('Control Panel'!L41="",IF(VLOOKUP($F41,'Table Output'!$A$1:$H$99998,8,FALSE)="Sand",VLOOKUP(L$37,BoundParameters_HiddenSheetSAND!$B$3:$E$50,MATCH(VLOOKUP($K41,$K$5:$AL$34,MATCH(VLOOKUP(L$37,$BJ$3:$BK$50,2,FALSE),$K$4:$AL$4,0),FALSE),BoundParameters_HiddenSheetCLAY!$B$1:$E$1,0),FALSE),IF(VLOOKUP($F41,'Table Output'!$A$1:$H$99998,8,FALSE)="Clay",VLOOKUP(L$37,BoundParameters_HiddenSheetCLAY!$B$3:$E$50,MATCH(VLOOKUP($K41,$K$5:$AL$34,MATCH(VLOOKUP(L$37,$BJ$3:$BK$50,2,FALSE),$K$4:$AL$4,0),FALSE),BoundParameters_HiddenSheetCLAY!$B$1:$E$1,0),FALSE))),'Control Panel'!L41)))</f>
        <v>30</v>
      </c>
      <c r="M41" s="28">
        <f>IF($K41="","",IF(M$37="","",IF('Control Panel'!M41="",IF(VLOOKUP($F41,'Table Output'!$A$1:$H$99998,8,FALSE)="Sand",VLOOKUP(M$37,BoundParameters_HiddenSheetSAND!$B$3:$E$50,MATCH(VLOOKUP($K41,$K$5:$AL$34,MATCH(VLOOKUP(M$37,$BJ$3:$BK$50,2,FALSE),$K$4:$AL$4,0),FALSE),BoundParameters_HiddenSheetCLAY!$B$1:$E$1,0),FALSE),IF(VLOOKUP($F41,'Table Output'!$A$1:$H$99998,8,FALSE)="Clay",VLOOKUP(M$37,BoundParameters_HiddenSheetCLAY!$B$3:$E$50,MATCH(VLOOKUP($K41,$K$5:$AL$34,MATCH(VLOOKUP(M$37,$BJ$3:$BK$50,2,FALSE),$K$4:$AL$4,0),FALSE),BoundParameters_HiddenSheetCLAY!$B$1:$E$1,0),FALSE))),'Control Panel'!M41)))</f>
        <v>-120</v>
      </c>
      <c r="N41" s="28">
        <f>IF($K41="","",IF(N$37="","",IF('Control Panel'!N41="",IF(VLOOKUP($F41,'Table Output'!$A$1:$H$99998,8,FALSE)="Sand",VLOOKUP(N$37,BoundParameters_HiddenSheetSAND!$B$3:$E$50,MATCH(VLOOKUP($K41,$K$5:$AL$34,MATCH(VLOOKUP(N$37,$BJ$3:$BK$50,2,FALSE),$K$4:$AL$4,0),FALSE),BoundParameters_HiddenSheetCLAY!$B$1:$E$1,0),FALSE),IF(VLOOKUP($F41,'Table Output'!$A$1:$H$99998,8,FALSE)="Clay",VLOOKUP(N$37,BoundParameters_HiddenSheetCLAY!$B$3:$E$50,MATCH(VLOOKUP($K41,$K$5:$AL$34,MATCH(VLOOKUP(N$37,$BJ$3:$BK$50,2,FALSE),$K$4:$AL$4,0),FALSE),BoundParameters_HiddenSheetCLAY!$B$1:$E$1,0),FALSE))),'Control Panel'!N41)))</f>
        <v>-35</v>
      </c>
      <c r="O41" s="28">
        <f>IF($K41="","",IF(O$37="","",IF('Control Panel'!O41="",IF(VLOOKUP($F41,'Table Output'!$A$1:$H$99998,8,FALSE)="Sand",VLOOKUP(O$37,BoundParameters_HiddenSheetSAND!$B$3:$E$50,MATCH(VLOOKUP($K41,$K$5:$AL$34,MATCH(VLOOKUP(O$37,$BJ$3:$BK$50,2,FALSE),$K$4:$AL$4,0),FALSE),BoundParameters_HiddenSheetCLAY!$B$1:$E$1,0),FALSE),IF(VLOOKUP($F41,'Table Output'!$A$1:$H$99998,8,FALSE)="Clay",VLOOKUP(O$37,BoundParameters_HiddenSheetCLAY!$B$3:$E$50,MATCH(VLOOKUP($K41,$K$5:$AL$34,MATCH(VLOOKUP(O$37,$BJ$3:$BK$50,2,FALSE),$K$4:$AL$4,0),FALSE),BoundParameters_HiddenSheetCLAY!$B$1:$E$1,0),FALSE))),'Control Panel'!O41)))</f>
        <v>0</v>
      </c>
      <c r="P41" s="28">
        <f>IF($K41="","",IF(P$37="","",IF('Control Panel'!P41="",IF(VLOOKUP($F41,'Table Output'!$A$1:$H$99998,8,FALSE)="Sand",VLOOKUP(P$37,BoundParameters_HiddenSheetSAND!$B$3:$E$50,MATCH(VLOOKUP($K41,$K$5:$AL$34,MATCH(VLOOKUP(P$37,$BJ$3:$BK$50,2,FALSE),$K$4:$AL$4,0),FALSE),BoundParameters_HiddenSheetCLAY!$B$1:$E$1,0),FALSE),IF(VLOOKUP($F41,'Table Output'!$A$1:$H$99998,8,FALSE)="Clay",VLOOKUP(P$37,BoundParameters_HiddenSheetCLAY!$B$3:$E$50,MATCH(VLOOKUP($K41,$K$5:$AL$34,MATCH(VLOOKUP(P$37,$BJ$3:$BK$50,2,FALSE),$K$4:$AL$4,0),FALSE),BoundParameters_HiddenSheetCLAY!$B$1:$E$1,0),FALSE))),'Control Panel'!P41)))</f>
        <v>0.2</v>
      </c>
      <c r="Q41" s="28" t="str">
        <f>IF($K41="","",IF(Q$37="","",IF('Control Panel'!Q41="",IF(VLOOKUP($F41,'Table Output'!$A$1:$H$99998,8,FALSE)="Sand",VLOOKUP(Q$37,BoundParameters_HiddenSheetSAND!$B$3:$E$50,MATCH(VLOOKUP($K41,$K$5:$AL$34,MATCH(VLOOKUP(Q$37,$BJ$3:$BK$50,2,FALSE),$K$4:$AL$4,0),FALSE),BoundParameters_HiddenSheetCLAY!$B$1:$E$1,0),FALSE),IF(VLOOKUP($F41,'Table Output'!$A$1:$H$99998,8,FALSE)="Clay",VLOOKUP(Q$37,BoundParameters_HiddenSheetCLAY!$B$3:$E$50,MATCH(VLOOKUP($K41,$K$5:$AL$34,MATCH(VLOOKUP(Q$37,$BJ$3:$BK$50,2,FALSE),$K$4:$AL$4,0),FALSE),BoundParameters_HiddenSheetCLAY!$B$1:$E$1,0),FALSE))),'Control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8" t="str">
        <f>IF($K41="","",IF(R$37="","",IF('Control Panel'!R41="",IF(VLOOKUP($F41,'Table Output'!$A$1:$H$99998,8,FALSE)="Sand",VLOOKUP(R$37,BoundParameters_HiddenSheetSAND!$B$3:$E$50,MATCH(VLOOKUP($K41,$K$5:$AL$34,MATCH(VLOOKUP(R$37,$BJ$3:$BK$50,2,FALSE),$K$4:$AL$4,0),FALSE),BoundParameters_HiddenSheetCLAY!$B$1:$E$1,0),FALSE),IF(VLOOKUP($F41,'Table Output'!$A$1:$H$99998,8,FALSE)="Clay",VLOOKUP(R$37,BoundParameters_HiddenSheetCLAY!$B$3:$E$50,MATCH(VLOOKUP($K41,$K$5:$AL$34,MATCH(VLOOKUP(R$37,$BJ$3:$BK$50,2,FALSE),$K$4:$AL$4,0),FALSE),BoundParameters_HiddenSheetCLAY!$B$1:$E$1,0),FALSE))),'Control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8" t="str">
        <f>IF($K41="","",IF(S$37="","",IF('Control Panel'!S41="",IF(VLOOKUP($F41,'Table Output'!$A$1:$H$99998,8,FALSE)="Sand",VLOOKUP(S$37,BoundParameters_HiddenSheetSAND!$B$3:$E$50,MATCH(VLOOKUP($K41,$K$5:$AL$34,MATCH(VLOOKUP(S$37,$BJ$3:$BK$50,2,FALSE),$K$4:$AL$4,0),FALSE),BoundParameters_HiddenSheetCLAY!$B$1:$E$1,0),FALSE),IF(VLOOKUP($F41,'Table Output'!$A$1:$H$99998,8,FALSE)="Clay",VLOOKUP(S$37,BoundParameters_HiddenSheetCLAY!$B$3:$E$50,MATCH(VLOOKUP($K41,$K$5:$AL$34,MATCH(VLOOKUP(S$37,$BJ$3:$BK$50,2,FALSE),$K$4:$AL$4,0),FALSE),BoundParameters_HiddenSheetCLAY!$B$1:$E$1,0),FALSE))),'Control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8" t="str">
        <f>IF($K41="","",IF(T$37="","",IF('Control Panel'!T41="",IF(VLOOKUP($F41,'Table Output'!$A$1:$H$99998,8,FALSE)="Sand",VLOOKUP(T$37,BoundParameters_HiddenSheetSAND!$B$3:$E$50,MATCH(VLOOKUP($K41,$K$5:$AL$34,MATCH(VLOOKUP(T$37,$BJ$3:$BK$50,2,FALSE),$K$4:$AL$4,0),FALSE),BoundParameters_HiddenSheetCLAY!$B$1:$E$1,0),FALSE),IF(VLOOKUP($F41,'Table Output'!$A$1:$H$99998,8,FALSE)="Clay",VLOOKUP(T$37,BoundParameters_HiddenSheetCLAY!$B$3:$E$50,MATCH(VLOOKUP($K41,$K$5:$AL$34,MATCH(VLOOKUP(T$37,$BJ$3:$BK$50,2,FALSE),$K$4:$AL$4,0),FALSE),BoundParameters_HiddenSheetCLAY!$B$1:$E$1,0),FALSE))),'Control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8" t="str">
        <f>IF($K41="","",IF(U$37="","",IF('Control Panel'!U41="",IF(VLOOKUP($F41,'Table Output'!$A$1:$H$99998,8,FALSE)="Sand",VLOOKUP(U$37,BoundParameters_HiddenSheetSAND!$B$3:$E$50,MATCH(VLOOKUP($K41,$K$5:$AL$34,MATCH(VLOOKUP(U$37,$BJ$3:$BK$50,2,FALSE),$K$4:$AL$4,0),FALSE),BoundParameters_HiddenSheetCLAY!$B$1:$E$1,0),FALSE),IF(VLOOKUP($F41,'Table Output'!$A$1:$H$99998,8,FALSE)="Clay",VLOOKUP(U$37,BoundParameters_HiddenSheetCLAY!$B$3:$E$50,MATCH(VLOOKUP($K41,$K$5:$AL$34,MATCH(VLOOKUP(U$37,$BJ$3:$BK$50,2,FALSE),$K$4:$AL$4,0),FALSE),BoundParameters_HiddenSheetCLAY!$B$1:$E$1,0),FALSE))),'Control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Sand_79</v>
      </c>
      <c r="K42" s="5">
        <f t="shared" si="4"/>
        <v>5</v>
      </c>
      <c r="L42" s="28">
        <f>IF($K42="","",IF(L$37="","",IF('Control Panel'!L42="",IF(VLOOKUP($F42,'Table Output'!$A$1:$H$99998,8,FALSE)="Sand",VLOOKUP(L$37,BoundParameters_HiddenSheetSAND!$B$3:$E$50,MATCH(VLOOKUP($K42,$K$5:$AL$34,MATCH(VLOOKUP(L$37,$BJ$3:$BK$50,2,FALSE),$K$4:$AL$4,0),FALSE),BoundParameters_HiddenSheetCLAY!$B$1:$E$1,0),FALSE),IF(VLOOKUP($F42,'Table Output'!$A$1:$H$99998,8,FALSE)="Clay",VLOOKUP(L$37,BoundParameters_HiddenSheetCLAY!$B$3:$E$50,MATCH(VLOOKUP($K42,$K$5:$AL$34,MATCH(VLOOKUP(L$37,$BJ$3:$BK$50,2,FALSE),$K$4:$AL$4,0),FALSE),BoundParameters_HiddenSheetCLAY!$B$1:$E$1,0),FALSE))),'Control Panel'!L42)))</f>
        <v>30</v>
      </c>
      <c r="M42" s="28">
        <f>IF($K42="","",IF(M$37="","",IF('Control Panel'!M42="",IF(VLOOKUP($F42,'Table Output'!$A$1:$H$99998,8,FALSE)="Sand",VLOOKUP(M$37,BoundParameters_HiddenSheetSAND!$B$3:$E$50,MATCH(VLOOKUP($K42,$K$5:$AL$34,MATCH(VLOOKUP(M$37,$BJ$3:$BK$50,2,FALSE),$K$4:$AL$4,0),FALSE),BoundParameters_HiddenSheetCLAY!$B$1:$E$1,0),FALSE),IF(VLOOKUP($F42,'Table Output'!$A$1:$H$99998,8,FALSE)="Clay",VLOOKUP(M$37,BoundParameters_HiddenSheetCLAY!$B$3:$E$50,MATCH(VLOOKUP($K42,$K$5:$AL$34,MATCH(VLOOKUP(M$37,$BJ$3:$BK$50,2,FALSE),$K$4:$AL$4,0),FALSE),BoundParameters_HiddenSheetCLAY!$B$1:$E$1,0),FALSE))),'Control Panel'!M42)))</f>
        <v>-120</v>
      </c>
      <c r="N42" s="28">
        <f>IF($K42="","",IF(N$37="","",IF('Control Panel'!N42="",IF(VLOOKUP($F42,'Table Output'!$A$1:$H$99998,8,FALSE)="Sand",VLOOKUP(N$37,BoundParameters_HiddenSheetSAND!$B$3:$E$50,MATCH(VLOOKUP($K42,$K$5:$AL$34,MATCH(VLOOKUP(N$37,$BJ$3:$BK$50,2,FALSE),$K$4:$AL$4,0),FALSE),BoundParameters_HiddenSheetCLAY!$B$1:$E$1,0),FALSE),IF(VLOOKUP($F42,'Table Output'!$A$1:$H$99998,8,FALSE)="Clay",VLOOKUP(N$37,BoundParameters_HiddenSheetCLAY!$B$3:$E$50,MATCH(VLOOKUP($K42,$K$5:$AL$34,MATCH(VLOOKUP(N$37,$BJ$3:$BK$50,2,FALSE),$K$4:$AL$4,0),FALSE),BoundParameters_HiddenSheetCLAY!$B$1:$E$1,0),FALSE))),'Control Panel'!N42)))</f>
        <v>-35</v>
      </c>
      <c r="O42" s="28">
        <f>IF($K42="","",IF(O$37="","",IF('Control Panel'!O42="",IF(VLOOKUP($F42,'Table Output'!$A$1:$H$99998,8,FALSE)="Sand",VLOOKUP(O$37,BoundParameters_HiddenSheetSAND!$B$3:$E$50,MATCH(VLOOKUP($K42,$K$5:$AL$34,MATCH(VLOOKUP(O$37,$BJ$3:$BK$50,2,FALSE),$K$4:$AL$4,0),FALSE),BoundParameters_HiddenSheetCLAY!$B$1:$E$1,0),FALSE),IF(VLOOKUP($F42,'Table Output'!$A$1:$H$99998,8,FALSE)="Clay",VLOOKUP(O$37,BoundParameters_HiddenSheetCLAY!$B$3:$E$50,MATCH(VLOOKUP($K42,$K$5:$AL$34,MATCH(VLOOKUP(O$37,$BJ$3:$BK$50,2,FALSE),$K$4:$AL$4,0),FALSE),BoundParameters_HiddenSheetCLAY!$B$1:$E$1,0),FALSE))),'Control Panel'!O42)))</f>
        <v>0</v>
      </c>
      <c r="P42" s="28">
        <f>IF($K42="","",IF(P$37="","",IF('Control Panel'!P42="",IF(VLOOKUP($F42,'Table Output'!$A$1:$H$99998,8,FALSE)="Sand",VLOOKUP(P$37,BoundParameters_HiddenSheetSAND!$B$3:$E$50,MATCH(VLOOKUP($K42,$K$5:$AL$34,MATCH(VLOOKUP(P$37,$BJ$3:$BK$50,2,FALSE),$K$4:$AL$4,0),FALSE),BoundParameters_HiddenSheetCLAY!$B$1:$E$1,0),FALSE),IF(VLOOKUP($F42,'Table Output'!$A$1:$H$99998,8,FALSE)="Clay",VLOOKUP(P$37,BoundParameters_HiddenSheetCLAY!$B$3:$E$50,MATCH(VLOOKUP($K42,$K$5:$AL$34,MATCH(VLOOKUP(P$37,$BJ$3:$BK$50,2,FALSE),$K$4:$AL$4,0),FALSE),BoundParameters_HiddenSheetCLAY!$B$1:$E$1,0),FALSE))),'Control Panel'!P42)))</f>
        <v>0.2</v>
      </c>
      <c r="Q42" s="28" t="str">
        <f>IF($K42="","",IF(Q$37="","",IF('Control Panel'!Q42="",IF(VLOOKUP($F42,'Table Output'!$A$1:$H$99998,8,FALSE)="Sand",VLOOKUP(Q$37,BoundParameters_HiddenSheetSAND!$B$3:$E$50,MATCH(VLOOKUP($K42,$K$5:$AL$34,MATCH(VLOOKUP(Q$37,$BJ$3:$BK$50,2,FALSE),$K$4:$AL$4,0),FALSE),BoundParameters_HiddenSheetCLAY!$B$1:$E$1,0),FALSE),IF(VLOOKUP($F42,'Table Output'!$A$1:$H$99998,8,FALSE)="Clay",VLOOKUP(Q$37,BoundParameters_HiddenSheetCLAY!$B$3:$E$50,MATCH(VLOOKUP($K42,$K$5:$AL$34,MATCH(VLOOKUP(Q$37,$BJ$3:$BK$50,2,FALSE),$K$4:$AL$4,0),FALSE),BoundParameters_HiddenSheetCLAY!$B$1:$E$1,0),FALSE))),'Control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8" t="str">
        <f>IF($K42="","",IF(R$37="","",IF('Control Panel'!R42="",IF(VLOOKUP($F42,'Table Output'!$A$1:$H$99998,8,FALSE)="Sand",VLOOKUP(R$37,BoundParameters_HiddenSheetSAND!$B$3:$E$50,MATCH(VLOOKUP($K42,$K$5:$AL$34,MATCH(VLOOKUP(R$37,$BJ$3:$BK$50,2,FALSE),$K$4:$AL$4,0),FALSE),BoundParameters_HiddenSheetCLAY!$B$1:$E$1,0),FALSE),IF(VLOOKUP($F42,'Table Output'!$A$1:$H$99998,8,FALSE)="Clay",VLOOKUP(R$37,BoundParameters_HiddenSheetCLAY!$B$3:$E$50,MATCH(VLOOKUP($K42,$K$5:$AL$34,MATCH(VLOOKUP(R$37,$BJ$3:$BK$50,2,FALSE),$K$4:$AL$4,0),FALSE),BoundParameters_HiddenSheetCLAY!$B$1:$E$1,0),FALSE))),'Control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8" t="str">
        <f>IF($K42="","",IF(S$37="","",IF('Control Panel'!S42="",IF(VLOOKUP($F42,'Table Output'!$A$1:$H$99998,8,FALSE)="Sand",VLOOKUP(S$37,BoundParameters_HiddenSheetSAND!$B$3:$E$50,MATCH(VLOOKUP($K42,$K$5:$AL$34,MATCH(VLOOKUP(S$37,$BJ$3:$BK$50,2,FALSE),$K$4:$AL$4,0),FALSE),BoundParameters_HiddenSheetCLAY!$B$1:$E$1,0),FALSE),IF(VLOOKUP($F42,'Table Output'!$A$1:$H$99998,8,FALSE)="Clay",VLOOKUP(S$37,BoundParameters_HiddenSheetCLAY!$B$3:$E$50,MATCH(VLOOKUP($K42,$K$5:$AL$34,MATCH(VLOOKUP(S$37,$BJ$3:$BK$50,2,FALSE),$K$4:$AL$4,0),FALSE),BoundParameters_HiddenSheetCLAY!$B$1:$E$1,0),FALSE))),'Control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8" t="str">
        <f>IF($K42="","",IF(T$37="","",IF('Control Panel'!T42="",IF(VLOOKUP($F42,'Table Output'!$A$1:$H$99998,8,FALSE)="Sand",VLOOKUP(T$37,BoundParameters_HiddenSheetSAND!$B$3:$E$50,MATCH(VLOOKUP($K42,$K$5:$AL$34,MATCH(VLOOKUP(T$37,$BJ$3:$BK$50,2,FALSE),$K$4:$AL$4,0),FALSE),BoundParameters_HiddenSheetCLAY!$B$1:$E$1,0),FALSE),IF(VLOOKUP($F42,'Table Output'!$A$1:$H$99998,8,FALSE)="Clay",VLOOKUP(T$37,BoundParameters_HiddenSheetCLAY!$B$3:$E$50,MATCH(VLOOKUP($K42,$K$5:$AL$34,MATCH(VLOOKUP(T$37,$BJ$3:$BK$50,2,FALSE),$K$4:$AL$4,0),FALSE),BoundParameters_HiddenSheetCLAY!$B$1:$E$1,0),FALSE))),'Control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8" t="str">
        <f>IF($K42="","",IF(U$37="","",IF('Control Panel'!U42="",IF(VLOOKUP($F42,'Table Output'!$A$1:$H$99998,8,FALSE)="Sand",VLOOKUP(U$37,BoundParameters_HiddenSheetSAND!$B$3:$E$50,MATCH(VLOOKUP($K42,$K$5:$AL$34,MATCH(VLOOKUP(U$37,$BJ$3:$BK$50,2,FALSE),$K$4:$AL$4,0),FALSE),BoundParameters_HiddenSheetCLAY!$B$1:$E$1,0),FALSE),IF(VLOOKUP($F42,'Table Output'!$A$1:$H$99998,8,FALSE)="Clay",VLOOKUP(U$37,BoundParameters_HiddenSheetCLAY!$B$3:$E$50,MATCH(VLOOKUP($K42,$K$5:$AL$34,MATCH(VLOOKUP(U$37,$BJ$3:$BK$50,2,FALSE),$K$4:$AL$4,0),FALSE),BoundParameters_HiddenSheetCLAY!$B$1:$E$1,0),FALSE))),'Control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Sand_59</v>
      </c>
      <c r="K43" s="5">
        <f t="shared" si="4"/>
        <v>6</v>
      </c>
      <c r="L43" s="28">
        <f>IF($K43="","",IF(L$37="","",IF('Control Panel'!L43="",IF(VLOOKUP($F43,'Table Output'!$A$1:$H$99998,8,FALSE)="Sand",VLOOKUP(L$37,BoundParameters_HiddenSheetSAND!$B$3:$E$50,MATCH(VLOOKUP($K43,$K$5:$AL$34,MATCH(VLOOKUP(L$37,$BJ$3:$BK$50,2,FALSE),$K$4:$AL$4,0),FALSE),BoundParameters_HiddenSheetCLAY!$B$1:$E$1,0),FALSE),IF(VLOOKUP($F43,'Table Output'!$A$1:$H$99998,8,FALSE)="Clay",VLOOKUP(L$37,BoundParameters_HiddenSheetCLAY!$B$3:$E$50,MATCH(VLOOKUP($K43,$K$5:$AL$34,MATCH(VLOOKUP(L$37,$BJ$3:$BK$50,2,FALSE),$K$4:$AL$4,0),FALSE),BoundParameters_HiddenSheetCLAY!$B$1:$E$1,0),FALSE))),'Control Panel'!L43)))</f>
        <v>30</v>
      </c>
      <c r="M43" s="28">
        <f>IF($K43="","",IF(M$37="","",IF('Control Panel'!M43="",IF(VLOOKUP($F43,'Table Output'!$A$1:$H$99998,8,FALSE)="Sand",VLOOKUP(M$37,BoundParameters_HiddenSheetSAND!$B$3:$E$50,MATCH(VLOOKUP($K43,$K$5:$AL$34,MATCH(VLOOKUP(M$37,$BJ$3:$BK$50,2,FALSE),$K$4:$AL$4,0),FALSE),BoundParameters_HiddenSheetCLAY!$B$1:$E$1,0),FALSE),IF(VLOOKUP($F43,'Table Output'!$A$1:$H$99998,8,FALSE)="Clay",VLOOKUP(M$37,BoundParameters_HiddenSheetCLAY!$B$3:$E$50,MATCH(VLOOKUP($K43,$K$5:$AL$34,MATCH(VLOOKUP(M$37,$BJ$3:$BK$50,2,FALSE),$K$4:$AL$4,0),FALSE),BoundParameters_HiddenSheetCLAY!$B$1:$E$1,0),FALSE))),'Control Panel'!M43)))</f>
        <v>-120</v>
      </c>
      <c r="N43" s="28">
        <f>IF($K43="","",IF(N$37="","",IF('Control Panel'!N43="",IF(VLOOKUP($F43,'Table Output'!$A$1:$H$99998,8,FALSE)="Sand",VLOOKUP(N$37,BoundParameters_HiddenSheetSAND!$B$3:$E$50,MATCH(VLOOKUP($K43,$K$5:$AL$34,MATCH(VLOOKUP(N$37,$BJ$3:$BK$50,2,FALSE),$K$4:$AL$4,0),FALSE),BoundParameters_HiddenSheetCLAY!$B$1:$E$1,0),FALSE),IF(VLOOKUP($F43,'Table Output'!$A$1:$H$99998,8,FALSE)="Clay",VLOOKUP(N$37,BoundParameters_HiddenSheetCLAY!$B$3:$E$50,MATCH(VLOOKUP($K43,$K$5:$AL$34,MATCH(VLOOKUP(N$37,$BJ$3:$BK$50,2,FALSE),$K$4:$AL$4,0),FALSE),BoundParameters_HiddenSheetCLAY!$B$1:$E$1,0),FALSE))),'Control Panel'!N43)))</f>
        <v>-35</v>
      </c>
      <c r="O43" s="28">
        <f>IF($K43="","",IF(O$37="","",IF('Control Panel'!O43="",IF(VLOOKUP($F43,'Table Output'!$A$1:$H$99998,8,FALSE)="Sand",VLOOKUP(O$37,BoundParameters_HiddenSheetSAND!$B$3:$E$50,MATCH(VLOOKUP($K43,$K$5:$AL$34,MATCH(VLOOKUP(O$37,$BJ$3:$BK$50,2,FALSE),$K$4:$AL$4,0),FALSE),BoundParameters_HiddenSheetCLAY!$B$1:$E$1,0),FALSE),IF(VLOOKUP($F43,'Table Output'!$A$1:$H$99998,8,FALSE)="Clay",VLOOKUP(O$37,BoundParameters_HiddenSheetCLAY!$B$3:$E$50,MATCH(VLOOKUP($K43,$K$5:$AL$34,MATCH(VLOOKUP(O$37,$BJ$3:$BK$50,2,FALSE),$K$4:$AL$4,0),FALSE),BoundParameters_HiddenSheetCLAY!$B$1:$E$1,0),FALSE))),'Control Panel'!O43)))</f>
        <v>0</v>
      </c>
      <c r="P43" s="28">
        <f>IF($K43="","",IF(P$37="","",IF('Control Panel'!P43="",IF(VLOOKUP($F43,'Table Output'!$A$1:$H$99998,8,FALSE)="Sand",VLOOKUP(P$37,BoundParameters_HiddenSheetSAND!$B$3:$E$50,MATCH(VLOOKUP($K43,$K$5:$AL$34,MATCH(VLOOKUP(P$37,$BJ$3:$BK$50,2,FALSE),$K$4:$AL$4,0),FALSE),BoundParameters_HiddenSheetCLAY!$B$1:$E$1,0),FALSE),IF(VLOOKUP($F43,'Table Output'!$A$1:$H$99998,8,FALSE)="Clay",VLOOKUP(P$37,BoundParameters_HiddenSheetCLAY!$B$3:$E$50,MATCH(VLOOKUP($K43,$K$5:$AL$34,MATCH(VLOOKUP(P$37,$BJ$3:$BK$50,2,FALSE),$K$4:$AL$4,0),FALSE),BoundParameters_HiddenSheetCLAY!$B$1:$E$1,0),FALSE))),'Control Panel'!P43)))</f>
        <v>0.2</v>
      </c>
      <c r="Q43" s="28" t="str">
        <f>IF($K43="","",IF(Q$37="","",IF('Control Panel'!Q43="",IF(VLOOKUP($F43,'Table Output'!$A$1:$H$99998,8,FALSE)="Sand",VLOOKUP(Q$37,BoundParameters_HiddenSheetSAND!$B$3:$E$50,MATCH(VLOOKUP($K43,$K$5:$AL$34,MATCH(VLOOKUP(Q$37,$BJ$3:$BK$50,2,FALSE),$K$4:$AL$4,0),FALSE),BoundParameters_HiddenSheetCLAY!$B$1:$E$1,0),FALSE),IF(VLOOKUP($F43,'Table Output'!$A$1:$H$99998,8,FALSE)="Clay",VLOOKUP(Q$37,BoundParameters_HiddenSheetCLAY!$B$3:$E$50,MATCH(VLOOKUP($K43,$K$5:$AL$34,MATCH(VLOOKUP(Q$37,$BJ$3:$BK$50,2,FALSE),$K$4:$AL$4,0),FALSE),BoundParameters_HiddenSheetCLAY!$B$1:$E$1,0),FALSE))),'Control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8" t="str">
        <f>IF($K43="","",IF(R$37="","",IF('Control Panel'!R43="",IF(VLOOKUP($F43,'Table Output'!$A$1:$H$99998,8,FALSE)="Sand",VLOOKUP(R$37,BoundParameters_HiddenSheetSAND!$B$3:$E$50,MATCH(VLOOKUP($K43,$K$5:$AL$34,MATCH(VLOOKUP(R$37,$BJ$3:$BK$50,2,FALSE),$K$4:$AL$4,0),FALSE),BoundParameters_HiddenSheetCLAY!$B$1:$E$1,0),FALSE),IF(VLOOKUP($F43,'Table Output'!$A$1:$H$99998,8,FALSE)="Clay",VLOOKUP(R$37,BoundParameters_HiddenSheetCLAY!$B$3:$E$50,MATCH(VLOOKUP($K43,$K$5:$AL$34,MATCH(VLOOKUP(R$37,$BJ$3:$BK$50,2,FALSE),$K$4:$AL$4,0),FALSE),BoundParameters_HiddenSheetCLAY!$B$1:$E$1,0),FALSE))),'Control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8" t="str">
        <f>IF($K43="","",IF(S$37="","",IF('Control Panel'!S43="",IF(VLOOKUP($F43,'Table Output'!$A$1:$H$99998,8,FALSE)="Sand",VLOOKUP(S$37,BoundParameters_HiddenSheetSAND!$B$3:$E$50,MATCH(VLOOKUP($K43,$K$5:$AL$34,MATCH(VLOOKUP(S$37,$BJ$3:$BK$50,2,FALSE),$K$4:$AL$4,0),FALSE),BoundParameters_HiddenSheetCLAY!$B$1:$E$1,0),FALSE),IF(VLOOKUP($F43,'Table Output'!$A$1:$H$99998,8,FALSE)="Clay",VLOOKUP(S$37,BoundParameters_HiddenSheetCLAY!$B$3:$E$50,MATCH(VLOOKUP($K43,$K$5:$AL$34,MATCH(VLOOKUP(S$37,$BJ$3:$BK$50,2,FALSE),$K$4:$AL$4,0),FALSE),BoundParameters_HiddenSheetCLAY!$B$1:$E$1,0),FALSE))),'Control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8" t="str">
        <f>IF($K43="","",IF(T$37="","",IF('Control Panel'!T43="",IF(VLOOKUP($F43,'Table Output'!$A$1:$H$99998,8,FALSE)="Sand",VLOOKUP(T$37,BoundParameters_HiddenSheetSAND!$B$3:$E$50,MATCH(VLOOKUP($K43,$K$5:$AL$34,MATCH(VLOOKUP(T$37,$BJ$3:$BK$50,2,FALSE),$K$4:$AL$4,0),FALSE),BoundParameters_HiddenSheetCLAY!$B$1:$E$1,0),FALSE),IF(VLOOKUP($F43,'Table Output'!$A$1:$H$99998,8,FALSE)="Clay",VLOOKUP(T$37,BoundParameters_HiddenSheetCLAY!$B$3:$E$50,MATCH(VLOOKUP($K43,$K$5:$AL$34,MATCH(VLOOKUP(T$37,$BJ$3:$BK$50,2,FALSE),$K$4:$AL$4,0),FALSE),BoundParameters_HiddenSheetCLAY!$B$1:$E$1,0),FALSE))),'Control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8" t="str">
        <f>IF($K43="","",IF(U$37="","",IF('Control Panel'!U43="",IF(VLOOKUP($F43,'Table Output'!$A$1:$H$99998,8,FALSE)="Sand",VLOOKUP(U$37,BoundParameters_HiddenSheetSAND!$B$3:$E$50,MATCH(VLOOKUP($K43,$K$5:$AL$34,MATCH(VLOOKUP(U$37,$BJ$3:$BK$50,2,FALSE),$K$4:$AL$4,0),FALSE),BoundParameters_HiddenSheetCLAY!$B$1:$E$1,0),FALSE),IF(VLOOKUP($F43,'Table Output'!$A$1:$H$99998,8,FALSE)="Clay",VLOOKUP(U$37,BoundParameters_HiddenSheetCLAY!$B$3:$E$50,MATCH(VLOOKUP($K43,$K$5:$AL$34,MATCH(VLOOKUP(U$37,$BJ$3:$BK$50,2,FALSE),$K$4:$AL$4,0),FALSE),BoundParameters_HiddenSheetCLAY!$B$1:$E$1,0),FALSE))),'Control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9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Cowden_Clay</v>
      </c>
      <c r="K44" s="5">
        <f t="shared" si="4"/>
        <v>7</v>
      </c>
      <c r="L44" s="28">
        <f>IF($K44="","",IF(L$37="","",IF('Control Panel'!L44="",IF(VLOOKUP($F44,'Table Output'!$A$1:$H$99998,8,FALSE)="Sand",VLOOKUP(L$37,BoundParameters_HiddenSheetSAND!$B$3:$E$50,MATCH(VLOOKUP($K44,$K$5:$AL$34,MATCH(VLOOKUP(L$37,$BJ$3:$BK$50,2,FALSE),$K$4:$AL$4,0),FALSE),BoundParameters_HiddenSheetCLAY!$B$1:$E$1,0),FALSE),IF(VLOOKUP($F44,'Table Output'!$A$1:$H$99998,8,FALSE)="Clay",VLOOKUP(L$37,BoundParameters_HiddenSheetCLAY!$B$3:$E$50,MATCH(VLOOKUP($K44,$K$5:$AL$34,MATCH(VLOOKUP(L$37,$BJ$3:$BK$50,2,FALSE),$K$4:$AL$4,0),FALSE),BoundParameters_HiddenSheetCLAY!$B$1:$E$1,0),FALSE))),'Control Panel'!L44)))</f>
        <v>30</v>
      </c>
      <c r="M44" s="28">
        <f>IF($K44="","",IF(M$37="","",IF('Control Panel'!M44="",IF(VLOOKUP($F44,'Table Output'!$A$1:$H$99998,8,FALSE)="Sand",VLOOKUP(M$37,BoundParameters_HiddenSheetSAND!$B$3:$E$50,MATCH(VLOOKUP($K44,$K$5:$AL$34,MATCH(VLOOKUP(M$37,$BJ$3:$BK$50,2,FALSE),$K$4:$AL$4,0),FALSE),BoundParameters_HiddenSheetCLAY!$B$1:$E$1,0),FALSE),IF(VLOOKUP($F44,'Table Output'!$A$1:$H$99998,8,FALSE)="Clay",VLOOKUP(M$37,BoundParameters_HiddenSheetCLAY!$B$3:$E$50,MATCH(VLOOKUP($K44,$K$5:$AL$34,MATCH(VLOOKUP(M$37,$BJ$3:$BK$50,2,FALSE),$K$4:$AL$4,0),FALSE),BoundParameters_HiddenSheetCLAY!$B$1:$E$1,0),FALSE))),'Control Panel'!M44)))</f>
        <v>7.2110000000000003</v>
      </c>
      <c r="N44" s="28">
        <f>IF($K44="","",IF(N$37="","",IF('Control Panel'!N44="",IF(VLOOKUP($F44,'Table Output'!$A$1:$H$99998,8,FALSE)="Sand",VLOOKUP(N$37,BoundParameters_HiddenSheetSAND!$B$3:$E$50,MATCH(VLOOKUP($K44,$K$5:$AL$34,MATCH(VLOOKUP(N$37,$BJ$3:$BK$50,2,FALSE),$K$4:$AL$4,0),FALSE),BoundParameters_HiddenSheetCLAY!$B$1:$E$1,0),FALSE),IF(VLOOKUP($F44,'Table Output'!$A$1:$H$99998,8,FALSE)="Clay",VLOOKUP(N$37,BoundParameters_HiddenSheetCLAY!$B$3:$E$50,MATCH(VLOOKUP($K44,$K$5:$AL$34,MATCH(VLOOKUP(N$37,$BJ$3:$BK$50,2,FALSE),$K$4:$AL$4,0),FALSE),BoundParameters_HiddenSheetCLAY!$B$1:$E$1,0),FALSE))),'Control Panel'!N44)))</f>
        <v>-2.4</v>
      </c>
      <c r="O44" s="28">
        <f>IF($K44="","",IF(O$37="","",IF('Control Panel'!O44="",IF(VLOOKUP($F44,'Table Output'!$A$1:$H$99998,8,FALSE)="Sand",VLOOKUP(O$37,BoundParameters_HiddenSheetSAND!$B$3:$E$50,MATCH(VLOOKUP($K44,$K$5:$AL$34,MATCH(VLOOKUP(O$37,$BJ$3:$BK$50,2,FALSE),$K$4:$AL$4,0),FALSE),BoundParameters_HiddenSheetCLAY!$B$1:$E$1,0),FALSE),IF(VLOOKUP($F44,'Table Output'!$A$1:$H$99998,8,FALSE)="Clay",VLOOKUP(O$37,BoundParameters_HiddenSheetCLAY!$B$3:$E$50,MATCH(VLOOKUP($K44,$K$5:$AL$34,MATCH(VLOOKUP(O$37,$BJ$3:$BK$50,2,FALSE),$K$4:$AL$4,0),FALSE),BoundParameters_HiddenSheetCLAY!$B$1:$E$1,0),FALSE))),'Control Panel'!O44)))</f>
        <v>-1.5</v>
      </c>
      <c r="P44" s="28">
        <f>IF($K44="","",IF(P$37="","",IF('Control Panel'!P44="",IF(VLOOKUP($F44,'Table Output'!$A$1:$H$99998,8,FALSE)="Sand",VLOOKUP(P$37,BoundParameters_HiddenSheetSAND!$B$3:$E$50,MATCH(VLOOKUP($K44,$K$5:$AL$34,MATCH(VLOOKUP(P$37,$BJ$3:$BK$50,2,FALSE),$K$4:$AL$4,0),FALSE),BoundParameters_HiddenSheetCLAY!$B$1:$E$1,0),FALSE),IF(VLOOKUP($F44,'Table Output'!$A$1:$H$99998,8,FALSE)="Clay",VLOOKUP(P$37,BoundParameters_HiddenSheetCLAY!$B$3:$E$50,MATCH(VLOOKUP($K44,$K$5:$AL$34,MATCH(VLOOKUP(P$37,$BJ$3:$BK$50,2,FALSE),$K$4:$AL$4,0),FALSE),BoundParameters_HiddenSheetCLAY!$B$1:$E$1,0),FALSE))),'Control Panel'!P44)))</f>
        <v>0.5</v>
      </c>
      <c r="Q44" s="28" t="str">
        <f>IF($K44="","",IF(Q$37="","",IF('Control Panel'!Q44="",IF(VLOOKUP($F44,'Table Output'!$A$1:$H$99998,8,FALSE)="Sand",VLOOKUP(Q$37,BoundParameters_HiddenSheetSAND!$B$3:$E$50,MATCH(VLOOKUP($K44,$K$5:$AL$34,MATCH(VLOOKUP(Q$37,$BJ$3:$BK$50,2,FALSE),$K$4:$AL$4,0),FALSE),BoundParameters_HiddenSheetCLAY!$B$1:$E$1,0),FALSE),IF(VLOOKUP($F44,'Table Output'!$A$1:$H$99998,8,FALSE)="Clay",VLOOKUP(Q$37,BoundParameters_HiddenSheetCLAY!$B$3:$E$50,MATCH(VLOOKUP($K44,$K$5:$AL$34,MATCH(VLOOKUP(Q$37,$BJ$3:$BK$50,2,FALSE),$K$4:$AL$4,0),FALSE),BoundParameters_HiddenSheetCLAY!$B$1:$E$1,0),FALSE))),'Control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8" t="str">
        <f>IF($K44="","",IF(R$37="","",IF('Control Panel'!R44="",IF(VLOOKUP($F44,'Table Output'!$A$1:$H$99998,8,FALSE)="Sand",VLOOKUP(R$37,BoundParameters_HiddenSheetSAND!$B$3:$E$50,MATCH(VLOOKUP($K44,$K$5:$AL$34,MATCH(VLOOKUP(R$37,$BJ$3:$BK$50,2,FALSE),$K$4:$AL$4,0),FALSE),BoundParameters_HiddenSheetCLAY!$B$1:$E$1,0),FALSE),IF(VLOOKUP($F44,'Table Output'!$A$1:$H$99998,8,FALSE)="Clay",VLOOKUP(R$37,BoundParameters_HiddenSheetCLAY!$B$3:$E$50,MATCH(VLOOKUP($K44,$K$5:$AL$34,MATCH(VLOOKUP(R$37,$BJ$3:$BK$50,2,FALSE),$K$4:$AL$4,0),FALSE),BoundParameters_HiddenSheetCLAY!$B$1:$E$1,0),FALSE))),'Control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8" t="str">
        <f>IF($K44="","",IF(S$37="","",IF('Control Panel'!S44="",IF(VLOOKUP($F44,'Table Output'!$A$1:$H$99998,8,FALSE)="Sand",VLOOKUP(S$37,BoundParameters_HiddenSheetSAND!$B$3:$E$50,MATCH(VLOOKUP($K44,$K$5:$AL$34,MATCH(VLOOKUP(S$37,$BJ$3:$BK$50,2,FALSE),$K$4:$AL$4,0),FALSE),BoundParameters_HiddenSheetCLAY!$B$1:$E$1,0),FALSE),IF(VLOOKUP($F44,'Table Output'!$A$1:$H$99998,8,FALSE)="Clay",VLOOKUP(S$37,BoundParameters_HiddenSheetCLAY!$B$3:$E$50,MATCH(VLOOKUP($K44,$K$5:$AL$34,MATCH(VLOOKUP(S$37,$BJ$3:$BK$50,2,FALSE),$K$4:$AL$4,0),FALSE),BoundParameters_HiddenSheetCLAY!$B$1:$E$1,0),FALSE))),'Control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8" t="str">
        <f>IF($K44="","",IF(T$37="","",IF('Control Panel'!T44="",IF(VLOOKUP($F44,'Table Output'!$A$1:$H$99998,8,FALSE)="Sand",VLOOKUP(T$37,BoundParameters_HiddenSheetSAND!$B$3:$E$50,MATCH(VLOOKUP($K44,$K$5:$AL$34,MATCH(VLOOKUP(T$37,$BJ$3:$BK$50,2,FALSE),$K$4:$AL$4,0),FALSE),BoundParameters_HiddenSheetCLAY!$B$1:$E$1,0),FALSE),IF(VLOOKUP($F44,'Table Output'!$A$1:$H$99998,8,FALSE)="Clay",VLOOKUP(T$37,BoundParameters_HiddenSheetCLAY!$B$3:$E$50,MATCH(VLOOKUP($K44,$K$5:$AL$34,MATCH(VLOOKUP(T$37,$BJ$3:$BK$50,2,FALSE),$K$4:$AL$4,0),FALSE),BoundParameters_HiddenSheetCLAY!$B$1:$E$1,0),FALSE))),'Control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8" t="str">
        <f>IF($K44="","",IF(U$37="","",IF('Control Panel'!U44="",IF(VLOOKUP($F44,'Table Output'!$A$1:$H$99998,8,FALSE)="Sand",VLOOKUP(U$37,BoundParameters_HiddenSheetSAND!$B$3:$E$50,MATCH(VLOOKUP($K44,$K$5:$AL$34,MATCH(VLOOKUP(U$37,$BJ$3:$BK$50,2,FALSE),$K$4:$AL$4,0),FALSE),BoundParameters_HiddenSheetCLAY!$B$1:$E$1,0),FALSE),IF(VLOOKUP($F44,'Table Output'!$A$1:$H$99998,8,FALSE)="Clay",VLOOKUP(U$37,BoundParameters_HiddenSheetCLAY!$B$3:$E$50,MATCH(VLOOKUP($K44,$K$5:$AL$34,MATCH(VLOOKUP(U$37,$BJ$3:$BK$50,2,FALSE),$K$4:$AL$4,0),FALSE),BoundParameters_HiddenSheetCLAY!$B$1:$E$1,0),FALSE))),'Control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F45" s="2" t="str">
        <f t="shared" ref="F45" si="10">F12</f>
        <v>Sand_80</v>
      </c>
      <c r="K45" s="5">
        <f t="shared" si="4"/>
        <v>8</v>
      </c>
      <c r="L45" s="28">
        <f>IF($K45="","",IF(L$37="","",IF('Control Panel'!L45="",IF(VLOOKUP($F45,'Table Output'!$A$1:$H$99998,8,FALSE)="Sand",VLOOKUP(L$37,BoundParameters_HiddenSheetSAND!$B$3:$E$50,MATCH(VLOOKUP($K45,$K$5:$AL$34,MATCH(VLOOKUP(L$37,$BJ$3:$BK$50,2,FALSE),$K$4:$AL$4,0),FALSE),BoundParameters_HiddenSheetCLAY!$B$1:$E$1,0),FALSE),IF(VLOOKUP($F45,'Table Output'!$A$1:$H$99998,8,FALSE)="Clay",VLOOKUP(L$37,BoundParameters_HiddenSheetCLAY!$B$3:$E$50,MATCH(VLOOKUP($K45,$K$5:$AL$34,MATCH(VLOOKUP(L$37,$BJ$3:$BK$50,2,FALSE),$K$4:$AL$4,0),FALSE),BoundParameters_HiddenSheetCLAY!$B$1:$E$1,0),FALSE))),'Control Panel'!L45)))</f>
        <v>30</v>
      </c>
      <c r="M45" s="28">
        <f>IF($K45="","",IF(M$37="","",IF('Control Panel'!M45="",IF(VLOOKUP($F45,'Table Output'!$A$1:$H$99998,8,FALSE)="Sand",VLOOKUP(M$37,BoundParameters_HiddenSheetSAND!$B$3:$E$50,MATCH(VLOOKUP($K45,$K$5:$AL$34,MATCH(VLOOKUP(M$37,$BJ$3:$BK$50,2,FALSE),$K$4:$AL$4,0),FALSE),BoundParameters_HiddenSheetCLAY!$B$1:$E$1,0),FALSE),IF(VLOOKUP($F45,'Table Output'!$A$1:$H$99998,8,FALSE)="Clay",VLOOKUP(M$37,BoundParameters_HiddenSheetCLAY!$B$3:$E$50,MATCH(VLOOKUP($K45,$K$5:$AL$34,MATCH(VLOOKUP(M$37,$BJ$3:$BK$50,2,FALSE),$K$4:$AL$4,0),FALSE),BoundParameters_HiddenSheetCLAY!$B$1:$E$1,0),FALSE))),'Control Panel'!M45)))</f>
        <v>-120</v>
      </c>
      <c r="N45" s="28">
        <f>IF($K45="","",IF(N$37="","",IF('Control Panel'!N45="",IF(VLOOKUP($F45,'Table Output'!$A$1:$H$99998,8,FALSE)="Sand",VLOOKUP(N$37,BoundParameters_HiddenSheetSAND!$B$3:$E$50,MATCH(VLOOKUP($K45,$K$5:$AL$34,MATCH(VLOOKUP(N$37,$BJ$3:$BK$50,2,FALSE),$K$4:$AL$4,0),FALSE),BoundParameters_HiddenSheetCLAY!$B$1:$E$1,0),FALSE),IF(VLOOKUP($F45,'Table Output'!$A$1:$H$99998,8,FALSE)="Clay",VLOOKUP(N$37,BoundParameters_HiddenSheetCLAY!$B$3:$E$50,MATCH(VLOOKUP($K45,$K$5:$AL$34,MATCH(VLOOKUP(N$37,$BJ$3:$BK$50,2,FALSE),$K$4:$AL$4,0),FALSE),BoundParameters_HiddenSheetCLAY!$B$1:$E$1,0),FALSE))),'Control Panel'!N45)))</f>
        <v>-35</v>
      </c>
      <c r="O45" s="28">
        <f>IF($K45="","",IF(O$37="","",IF('Control Panel'!O45="",IF(VLOOKUP($F45,'Table Output'!$A$1:$H$99998,8,FALSE)="Sand",VLOOKUP(O$37,BoundParameters_HiddenSheetSAND!$B$3:$E$50,MATCH(VLOOKUP($K45,$K$5:$AL$34,MATCH(VLOOKUP(O$37,$BJ$3:$BK$50,2,FALSE),$K$4:$AL$4,0),FALSE),BoundParameters_HiddenSheetCLAY!$B$1:$E$1,0),FALSE),IF(VLOOKUP($F45,'Table Output'!$A$1:$H$99998,8,FALSE)="Clay",VLOOKUP(O$37,BoundParameters_HiddenSheetCLAY!$B$3:$E$50,MATCH(VLOOKUP($K45,$K$5:$AL$34,MATCH(VLOOKUP(O$37,$BJ$3:$BK$50,2,FALSE),$K$4:$AL$4,0),FALSE),BoundParameters_HiddenSheetCLAY!$B$1:$E$1,0),FALSE))),'Control Panel'!O45)))</f>
        <v>0</v>
      </c>
      <c r="P45" s="28">
        <f>IF($K45="","",IF(P$37="","",IF('Control Panel'!P45="",IF(VLOOKUP($F45,'Table Output'!$A$1:$H$99998,8,FALSE)="Sand",VLOOKUP(P$37,BoundParameters_HiddenSheetSAND!$B$3:$E$50,MATCH(VLOOKUP($K45,$K$5:$AL$34,MATCH(VLOOKUP(P$37,$BJ$3:$BK$50,2,FALSE),$K$4:$AL$4,0),FALSE),BoundParameters_HiddenSheetCLAY!$B$1:$E$1,0),FALSE),IF(VLOOKUP($F45,'Table Output'!$A$1:$H$99998,8,FALSE)="Clay",VLOOKUP(P$37,BoundParameters_HiddenSheetCLAY!$B$3:$E$50,MATCH(VLOOKUP($K45,$K$5:$AL$34,MATCH(VLOOKUP(P$37,$BJ$3:$BK$50,2,FALSE),$K$4:$AL$4,0),FALSE),BoundParameters_HiddenSheetCLAY!$B$1:$E$1,0),FALSE))),'Control Panel'!P45)))</f>
        <v>0.2</v>
      </c>
      <c r="Q45" s="28" t="str">
        <f>IF($K45="","",IF(Q$37="","",IF('Control Panel'!Q45="",IF(VLOOKUP($F45,'Table Output'!$A$1:$H$99998,8,FALSE)="Sand",VLOOKUP(Q$37,BoundParameters_HiddenSheetSAND!$B$3:$E$50,MATCH(VLOOKUP($K45,$K$5:$AL$34,MATCH(VLOOKUP(Q$37,$BJ$3:$BK$50,2,FALSE),$K$4:$AL$4,0),FALSE),BoundParameters_HiddenSheetCLAY!$B$1:$E$1,0),FALSE),IF(VLOOKUP($F45,'Table Output'!$A$1:$H$99998,8,FALSE)="Clay",VLOOKUP(Q$37,BoundParameters_HiddenSheetCLAY!$B$3:$E$50,MATCH(VLOOKUP($K45,$K$5:$AL$34,MATCH(VLOOKUP(Q$37,$BJ$3:$BK$50,2,FALSE),$K$4:$AL$4,0),FALSE),BoundParameters_HiddenSheetCLAY!$B$1:$E$1,0),FALSE))),'Control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8" t="str">
        <f>IF($K45="","",IF(R$37="","",IF('Control Panel'!R45="",IF(VLOOKUP($F45,'Table Output'!$A$1:$H$99998,8,FALSE)="Sand",VLOOKUP(R$37,BoundParameters_HiddenSheetSAND!$B$3:$E$50,MATCH(VLOOKUP($K45,$K$5:$AL$34,MATCH(VLOOKUP(R$37,$BJ$3:$BK$50,2,FALSE),$K$4:$AL$4,0),FALSE),BoundParameters_HiddenSheetCLAY!$B$1:$E$1,0),FALSE),IF(VLOOKUP($F45,'Table Output'!$A$1:$H$99998,8,FALSE)="Clay",VLOOKUP(R$37,BoundParameters_HiddenSheetCLAY!$B$3:$E$50,MATCH(VLOOKUP($K45,$K$5:$AL$34,MATCH(VLOOKUP(R$37,$BJ$3:$BK$50,2,FALSE),$K$4:$AL$4,0),FALSE),BoundParameters_HiddenSheetCLAY!$B$1:$E$1,0),FALSE))),'Control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8" t="str">
        <f>IF($K45="","",IF(S$37="","",IF('Control Panel'!S45="",IF(VLOOKUP($F45,'Table Output'!$A$1:$H$99998,8,FALSE)="Sand",VLOOKUP(S$37,BoundParameters_HiddenSheetSAND!$B$3:$E$50,MATCH(VLOOKUP($K45,$K$5:$AL$34,MATCH(VLOOKUP(S$37,$BJ$3:$BK$50,2,FALSE),$K$4:$AL$4,0),FALSE),BoundParameters_HiddenSheetCLAY!$B$1:$E$1,0),FALSE),IF(VLOOKUP($F45,'Table Output'!$A$1:$H$99998,8,FALSE)="Clay",VLOOKUP(S$37,BoundParameters_HiddenSheetCLAY!$B$3:$E$50,MATCH(VLOOKUP($K45,$K$5:$AL$34,MATCH(VLOOKUP(S$37,$BJ$3:$BK$50,2,FALSE),$K$4:$AL$4,0),FALSE),BoundParameters_HiddenSheetCLAY!$B$1:$E$1,0),FALSE))),'Control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8" t="str">
        <f>IF($K45="","",IF(T$37="","",IF('Control Panel'!T45="",IF(VLOOKUP($F45,'Table Output'!$A$1:$H$99998,8,FALSE)="Sand",VLOOKUP(T$37,BoundParameters_HiddenSheetSAND!$B$3:$E$50,MATCH(VLOOKUP($K45,$K$5:$AL$34,MATCH(VLOOKUP(T$37,$BJ$3:$BK$50,2,FALSE),$K$4:$AL$4,0),FALSE),BoundParameters_HiddenSheetCLAY!$B$1:$E$1,0),FALSE),IF(VLOOKUP($F45,'Table Output'!$A$1:$H$99998,8,FALSE)="Clay",VLOOKUP(T$37,BoundParameters_HiddenSheetCLAY!$B$3:$E$50,MATCH(VLOOKUP($K45,$K$5:$AL$34,MATCH(VLOOKUP(T$37,$BJ$3:$BK$50,2,FALSE),$K$4:$AL$4,0),FALSE),BoundParameters_HiddenSheetCLAY!$B$1:$E$1,0),FALSE))),'Control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8" t="str">
        <f>IF($K45="","",IF(U$37="","",IF('Control Panel'!U45="",IF(VLOOKUP($F45,'Table Output'!$A$1:$H$99998,8,FALSE)="Sand",VLOOKUP(U$37,BoundParameters_HiddenSheetSAND!$B$3:$E$50,MATCH(VLOOKUP($K45,$K$5:$AL$34,MATCH(VLOOKUP(U$37,$BJ$3:$BK$50,2,FALSE),$K$4:$AL$4,0),FALSE),BoundParameters_HiddenSheetCLAY!$B$1:$E$1,0),FALSE),IF(VLOOKUP($F45,'Table Output'!$A$1:$H$99998,8,FALSE)="Clay",VLOOKUP(U$37,BoundParameters_HiddenSheetCLAY!$B$3:$E$50,MATCH(VLOOKUP($K45,$K$5:$AL$34,MATCH(VLOOKUP(U$37,$BJ$3:$BK$50,2,FALSE),$K$4:$AL$4,0),FALSE),BoundParameters_HiddenSheetCLAY!$B$1:$E$1,0),FALSE))),'Control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F46" s="2" t="str">
        <f t="shared" ref="F46" si="11">F13</f>
        <v>Sand_80</v>
      </c>
      <c r="K46" s="5">
        <f t="shared" si="4"/>
        <v>9</v>
      </c>
      <c r="L46" s="28">
        <f>IF($K46="","",IF(L$37="","",IF('Control Panel'!L46="",IF(VLOOKUP($F46,'Table Output'!$A$1:$H$99998,8,FALSE)="Sand",VLOOKUP(L$37,BoundParameters_HiddenSheetSAND!$B$3:$E$50,MATCH(VLOOKUP($K46,$K$5:$AL$34,MATCH(VLOOKUP(L$37,$BJ$3:$BK$50,2,FALSE),$K$4:$AL$4,0),FALSE),BoundParameters_HiddenSheetCLAY!$B$1:$E$1,0),FALSE),IF(VLOOKUP($F46,'Table Output'!$A$1:$H$99998,8,FALSE)="Clay",VLOOKUP(L$37,BoundParameters_HiddenSheetCLAY!$B$3:$E$50,MATCH(VLOOKUP($K46,$K$5:$AL$34,MATCH(VLOOKUP(L$37,$BJ$3:$BK$50,2,FALSE),$K$4:$AL$4,0),FALSE),BoundParameters_HiddenSheetCLAY!$B$1:$E$1,0),FALSE))),'Control Panel'!L46)))</f>
        <v>30</v>
      </c>
      <c r="M46" s="28">
        <f>IF($K46="","",IF(M$37="","",IF('Control Panel'!M46="",IF(VLOOKUP($F46,'Table Output'!$A$1:$H$99998,8,FALSE)="Sand",VLOOKUP(M$37,BoundParameters_HiddenSheetSAND!$B$3:$E$50,MATCH(VLOOKUP($K46,$K$5:$AL$34,MATCH(VLOOKUP(M$37,$BJ$3:$BK$50,2,FALSE),$K$4:$AL$4,0),FALSE),BoundParameters_HiddenSheetCLAY!$B$1:$E$1,0),FALSE),IF(VLOOKUP($F46,'Table Output'!$A$1:$H$99998,8,FALSE)="Clay",VLOOKUP(M$37,BoundParameters_HiddenSheetCLAY!$B$3:$E$50,MATCH(VLOOKUP($K46,$K$5:$AL$34,MATCH(VLOOKUP(M$37,$BJ$3:$BK$50,2,FALSE),$K$4:$AL$4,0),FALSE),BoundParameters_HiddenSheetCLAY!$B$1:$E$1,0),FALSE))),'Control Panel'!M46)))</f>
        <v>-120</v>
      </c>
      <c r="N46" s="28">
        <f>IF($K46="","",IF(N$37="","",IF('Control Panel'!N46="",IF(VLOOKUP($F46,'Table Output'!$A$1:$H$99998,8,FALSE)="Sand",VLOOKUP(N$37,BoundParameters_HiddenSheetSAND!$B$3:$E$50,MATCH(VLOOKUP($K46,$K$5:$AL$34,MATCH(VLOOKUP(N$37,$BJ$3:$BK$50,2,FALSE),$K$4:$AL$4,0),FALSE),BoundParameters_HiddenSheetCLAY!$B$1:$E$1,0),FALSE),IF(VLOOKUP($F46,'Table Output'!$A$1:$H$99998,8,FALSE)="Clay",VLOOKUP(N$37,BoundParameters_HiddenSheetCLAY!$B$3:$E$50,MATCH(VLOOKUP($K46,$K$5:$AL$34,MATCH(VLOOKUP(N$37,$BJ$3:$BK$50,2,FALSE),$K$4:$AL$4,0),FALSE),BoundParameters_HiddenSheetCLAY!$B$1:$E$1,0),FALSE))),'Control Panel'!N46)))</f>
        <v>-35</v>
      </c>
      <c r="O46" s="28">
        <f>IF($K46="","",IF(O$37="","",IF('Control Panel'!O46="",IF(VLOOKUP($F46,'Table Output'!$A$1:$H$99998,8,FALSE)="Sand",VLOOKUP(O$37,BoundParameters_HiddenSheetSAND!$B$3:$E$50,MATCH(VLOOKUP($K46,$K$5:$AL$34,MATCH(VLOOKUP(O$37,$BJ$3:$BK$50,2,FALSE),$K$4:$AL$4,0),FALSE),BoundParameters_HiddenSheetCLAY!$B$1:$E$1,0),FALSE),IF(VLOOKUP($F46,'Table Output'!$A$1:$H$99998,8,FALSE)="Clay",VLOOKUP(O$37,BoundParameters_HiddenSheetCLAY!$B$3:$E$50,MATCH(VLOOKUP($K46,$K$5:$AL$34,MATCH(VLOOKUP(O$37,$BJ$3:$BK$50,2,FALSE),$K$4:$AL$4,0),FALSE),BoundParameters_HiddenSheetCLAY!$B$1:$E$1,0),FALSE))),'Control Panel'!O46)))</f>
        <v>0</v>
      </c>
      <c r="P46" s="28">
        <f>IF($K46="","",IF(P$37="","",IF('Control Panel'!P46="",IF(VLOOKUP($F46,'Table Output'!$A$1:$H$99998,8,FALSE)="Sand",VLOOKUP(P$37,BoundParameters_HiddenSheetSAND!$B$3:$E$50,MATCH(VLOOKUP($K46,$K$5:$AL$34,MATCH(VLOOKUP(P$37,$BJ$3:$BK$50,2,FALSE),$K$4:$AL$4,0),FALSE),BoundParameters_HiddenSheetCLAY!$B$1:$E$1,0),FALSE),IF(VLOOKUP($F46,'Table Output'!$A$1:$H$99998,8,FALSE)="Clay",VLOOKUP(P$37,BoundParameters_HiddenSheetCLAY!$B$3:$E$50,MATCH(VLOOKUP($K46,$K$5:$AL$34,MATCH(VLOOKUP(P$37,$BJ$3:$BK$50,2,FALSE),$K$4:$AL$4,0),FALSE),BoundParameters_HiddenSheetCLAY!$B$1:$E$1,0),FALSE))),'Control Panel'!P46)))</f>
        <v>0.2</v>
      </c>
      <c r="Q46" s="28" t="str">
        <f>IF($K46="","",IF(Q$37="","",IF('Control Panel'!Q46="",IF(VLOOKUP($F46,'Table Output'!$A$1:$H$99998,8,FALSE)="Sand",VLOOKUP(Q$37,BoundParameters_HiddenSheetSAND!$B$3:$E$50,MATCH(VLOOKUP($K46,$K$5:$AL$34,MATCH(VLOOKUP(Q$37,$BJ$3:$BK$50,2,FALSE),$K$4:$AL$4,0),FALSE),BoundParameters_HiddenSheetCLAY!$B$1:$E$1,0),FALSE),IF(VLOOKUP($F46,'Table Output'!$A$1:$H$99998,8,FALSE)="Clay",VLOOKUP(Q$37,BoundParameters_HiddenSheetCLAY!$B$3:$E$50,MATCH(VLOOKUP($K46,$K$5:$AL$34,MATCH(VLOOKUP(Q$37,$BJ$3:$BK$50,2,FALSE),$K$4:$AL$4,0),FALSE),BoundParameters_HiddenSheetCLAY!$B$1:$E$1,0),FALSE))),'Control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8" t="str">
        <f>IF($K46="","",IF(R$37="","",IF('Control Panel'!R46="",IF(VLOOKUP($F46,'Table Output'!$A$1:$H$99998,8,FALSE)="Sand",VLOOKUP(R$37,BoundParameters_HiddenSheetSAND!$B$3:$E$50,MATCH(VLOOKUP($K46,$K$5:$AL$34,MATCH(VLOOKUP(R$37,$BJ$3:$BK$50,2,FALSE),$K$4:$AL$4,0),FALSE),BoundParameters_HiddenSheetCLAY!$B$1:$E$1,0),FALSE),IF(VLOOKUP($F46,'Table Output'!$A$1:$H$99998,8,FALSE)="Clay",VLOOKUP(R$37,BoundParameters_HiddenSheetCLAY!$B$3:$E$50,MATCH(VLOOKUP($K46,$K$5:$AL$34,MATCH(VLOOKUP(R$37,$BJ$3:$BK$50,2,FALSE),$K$4:$AL$4,0),FALSE),BoundParameters_HiddenSheetCLAY!$B$1:$E$1,0),FALSE))),'Control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8" t="str">
        <f>IF($K46="","",IF(S$37="","",IF('Control Panel'!S46="",IF(VLOOKUP($F46,'Table Output'!$A$1:$H$99998,8,FALSE)="Sand",VLOOKUP(S$37,BoundParameters_HiddenSheetSAND!$B$3:$E$50,MATCH(VLOOKUP($K46,$K$5:$AL$34,MATCH(VLOOKUP(S$37,$BJ$3:$BK$50,2,FALSE),$K$4:$AL$4,0),FALSE),BoundParameters_HiddenSheetCLAY!$B$1:$E$1,0),FALSE),IF(VLOOKUP($F46,'Table Output'!$A$1:$H$99998,8,FALSE)="Clay",VLOOKUP(S$37,BoundParameters_HiddenSheetCLAY!$B$3:$E$50,MATCH(VLOOKUP($K46,$K$5:$AL$34,MATCH(VLOOKUP(S$37,$BJ$3:$BK$50,2,FALSE),$K$4:$AL$4,0),FALSE),BoundParameters_HiddenSheetCLAY!$B$1:$E$1,0),FALSE))),'Control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8" t="str">
        <f>IF($K46="","",IF(T$37="","",IF('Control Panel'!T46="",IF(VLOOKUP($F46,'Table Output'!$A$1:$H$99998,8,FALSE)="Sand",VLOOKUP(T$37,BoundParameters_HiddenSheetSAND!$B$3:$E$50,MATCH(VLOOKUP($K46,$K$5:$AL$34,MATCH(VLOOKUP(T$37,$BJ$3:$BK$50,2,FALSE),$K$4:$AL$4,0),FALSE),BoundParameters_HiddenSheetCLAY!$B$1:$E$1,0),FALSE),IF(VLOOKUP($F46,'Table Output'!$A$1:$H$99998,8,FALSE)="Clay",VLOOKUP(T$37,BoundParameters_HiddenSheetCLAY!$B$3:$E$50,MATCH(VLOOKUP($K46,$K$5:$AL$34,MATCH(VLOOKUP(T$37,$BJ$3:$BK$50,2,FALSE),$K$4:$AL$4,0),FALSE),BoundParameters_HiddenSheetCLAY!$B$1:$E$1,0),FALSE))),'Control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8" t="str">
        <f>IF($K46="","",IF(U$37="","",IF('Control Panel'!U46="",IF(VLOOKUP($F46,'Table Output'!$A$1:$H$99998,8,FALSE)="Sand",VLOOKUP(U$37,BoundParameters_HiddenSheetSAND!$B$3:$E$50,MATCH(VLOOKUP($K46,$K$5:$AL$34,MATCH(VLOOKUP(U$37,$BJ$3:$BK$50,2,FALSE),$K$4:$AL$4,0),FALSE),BoundParameters_HiddenSheetCLAY!$B$1:$E$1,0),FALSE),IF(VLOOKUP($F46,'Table Output'!$A$1:$H$99998,8,FALSE)="Clay",VLOOKUP(U$37,BoundParameters_HiddenSheetCLAY!$B$3:$E$50,MATCH(VLOOKUP($K46,$K$5:$AL$34,MATCH(VLOOKUP(U$37,$BJ$3:$BK$50,2,FALSE),$K$4:$AL$4,0),FALSE),BoundParameters_HiddenSheetCLAY!$B$1:$E$1,0),FALSE))),'Control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F47" s="2" t="str">
        <f t="shared" ref="F47" si="12">F14</f>
        <v>Sand_80</v>
      </c>
      <c r="K47" s="5">
        <f t="shared" si="4"/>
        <v>10</v>
      </c>
      <c r="L47" s="28">
        <f>IF($K47="","",IF(L$37="","",IF('Control Panel'!L47="",IF(VLOOKUP($F47,'Table Output'!$A$1:$H$99998,8,FALSE)="Sand",VLOOKUP(L$37,BoundParameters_HiddenSheetSAND!$B$3:$E$50,MATCH(VLOOKUP($K47,$K$5:$AL$34,MATCH(VLOOKUP(L$37,$BJ$3:$BK$50,2,FALSE),$K$4:$AL$4,0),FALSE),BoundParameters_HiddenSheetCLAY!$B$1:$E$1,0),FALSE),IF(VLOOKUP($F47,'Table Output'!$A$1:$H$99998,8,FALSE)="Clay",VLOOKUP(L$37,BoundParameters_HiddenSheetCLAY!$B$3:$E$50,MATCH(VLOOKUP($K47,$K$5:$AL$34,MATCH(VLOOKUP(L$37,$BJ$3:$BK$50,2,FALSE),$K$4:$AL$4,0),FALSE),BoundParameters_HiddenSheetCLAY!$B$1:$E$1,0),FALSE))),'Control Panel'!L47)))</f>
        <v>30</v>
      </c>
      <c r="M47" s="28">
        <f>IF($K47="","",IF(M$37="","",IF('Control Panel'!M47="",IF(VLOOKUP($F47,'Table Output'!$A$1:$H$99998,8,FALSE)="Sand",VLOOKUP(M$37,BoundParameters_HiddenSheetSAND!$B$3:$E$50,MATCH(VLOOKUP($K47,$K$5:$AL$34,MATCH(VLOOKUP(M$37,$BJ$3:$BK$50,2,FALSE),$K$4:$AL$4,0),FALSE),BoundParameters_HiddenSheetCLAY!$B$1:$E$1,0),FALSE),IF(VLOOKUP($F47,'Table Output'!$A$1:$H$99998,8,FALSE)="Clay",VLOOKUP(M$37,BoundParameters_HiddenSheetCLAY!$B$3:$E$50,MATCH(VLOOKUP($K47,$K$5:$AL$34,MATCH(VLOOKUP(M$37,$BJ$3:$BK$50,2,FALSE),$K$4:$AL$4,0),FALSE),BoundParameters_HiddenSheetCLAY!$B$1:$E$1,0),FALSE))),'Control Panel'!M47)))</f>
        <v>-120</v>
      </c>
      <c r="N47" s="28">
        <f>IF($K47="","",IF(N$37="","",IF('Control Panel'!N47="",IF(VLOOKUP($F47,'Table Output'!$A$1:$H$99998,8,FALSE)="Sand",VLOOKUP(N$37,BoundParameters_HiddenSheetSAND!$B$3:$E$50,MATCH(VLOOKUP($K47,$K$5:$AL$34,MATCH(VLOOKUP(N$37,$BJ$3:$BK$50,2,FALSE),$K$4:$AL$4,0),FALSE),BoundParameters_HiddenSheetCLAY!$B$1:$E$1,0),FALSE),IF(VLOOKUP($F47,'Table Output'!$A$1:$H$99998,8,FALSE)="Clay",VLOOKUP(N$37,BoundParameters_HiddenSheetCLAY!$B$3:$E$50,MATCH(VLOOKUP($K47,$K$5:$AL$34,MATCH(VLOOKUP(N$37,$BJ$3:$BK$50,2,FALSE),$K$4:$AL$4,0),FALSE),BoundParameters_HiddenSheetCLAY!$B$1:$E$1,0),FALSE))),'Control Panel'!N47)))</f>
        <v>-35</v>
      </c>
      <c r="O47" s="28">
        <f>IF($K47="","",IF(O$37="","",IF('Control Panel'!O47="",IF(VLOOKUP($F47,'Table Output'!$A$1:$H$99998,8,FALSE)="Sand",VLOOKUP(O$37,BoundParameters_HiddenSheetSAND!$B$3:$E$50,MATCH(VLOOKUP($K47,$K$5:$AL$34,MATCH(VLOOKUP(O$37,$BJ$3:$BK$50,2,FALSE),$K$4:$AL$4,0),FALSE),BoundParameters_HiddenSheetCLAY!$B$1:$E$1,0),FALSE),IF(VLOOKUP($F47,'Table Output'!$A$1:$H$99998,8,FALSE)="Clay",VLOOKUP(O$37,BoundParameters_HiddenSheetCLAY!$B$3:$E$50,MATCH(VLOOKUP($K47,$K$5:$AL$34,MATCH(VLOOKUP(O$37,$BJ$3:$BK$50,2,FALSE),$K$4:$AL$4,0),FALSE),BoundParameters_HiddenSheetCLAY!$B$1:$E$1,0),FALSE))),'Control Panel'!O47)))</f>
        <v>0</v>
      </c>
      <c r="P47" s="28">
        <f>IF($K47="","",IF(P$37="","",IF('Control Panel'!P47="",IF(VLOOKUP($F47,'Table Output'!$A$1:$H$99998,8,FALSE)="Sand",VLOOKUP(P$37,BoundParameters_HiddenSheetSAND!$B$3:$E$50,MATCH(VLOOKUP($K47,$K$5:$AL$34,MATCH(VLOOKUP(P$37,$BJ$3:$BK$50,2,FALSE),$K$4:$AL$4,0),FALSE),BoundParameters_HiddenSheetCLAY!$B$1:$E$1,0),FALSE),IF(VLOOKUP($F47,'Table Output'!$A$1:$H$99998,8,FALSE)="Clay",VLOOKUP(P$37,BoundParameters_HiddenSheetCLAY!$B$3:$E$50,MATCH(VLOOKUP($K47,$K$5:$AL$34,MATCH(VLOOKUP(P$37,$BJ$3:$BK$50,2,FALSE),$K$4:$AL$4,0),FALSE),BoundParameters_HiddenSheetCLAY!$B$1:$E$1,0),FALSE))),'Control Panel'!P47)))</f>
        <v>0.2</v>
      </c>
      <c r="Q47" s="28" t="str">
        <f>IF($K47="","",IF(Q$37="","",IF('Control Panel'!Q47="",IF(VLOOKUP($F47,'Table Output'!$A$1:$H$99998,8,FALSE)="Sand",VLOOKUP(Q$37,BoundParameters_HiddenSheetSAND!$B$3:$E$50,MATCH(VLOOKUP($K47,$K$5:$AL$34,MATCH(VLOOKUP(Q$37,$BJ$3:$BK$50,2,FALSE),$K$4:$AL$4,0),FALSE),BoundParameters_HiddenSheetCLAY!$B$1:$E$1,0),FALSE),IF(VLOOKUP($F47,'Table Output'!$A$1:$H$99998,8,FALSE)="Clay",VLOOKUP(Q$37,BoundParameters_HiddenSheetCLAY!$B$3:$E$50,MATCH(VLOOKUP($K47,$K$5:$AL$34,MATCH(VLOOKUP(Q$37,$BJ$3:$BK$50,2,FALSE),$K$4:$AL$4,0),FALSE),BoundParameters_HiddenSheetCLAY!$B$1:$E$1,0),FALSE))),'Control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8" t="str">
        <f>IF($K47="","",IF(R$37="","",IF('Control Panel'!R47="",IF(VLOOKUP($F47,'Table Output'!$A$1:$H$99998,8,FALSE)="Sand",VLOOKUP(R$37,BoundParameters_HiddenSheetSAND!$B$3:$E$50,MATCH(VLOOKUP($K47,$K$5:$AL$34,MATCH(VLOOKUP(R$37,$BJ$3:$BK$50,2,FALSE),$K$4:$AL$4,0),FALSE),BoundParameters_HiddenSheetCLAY!$B$1:$E$1,0),FALSE),IF(VLOOKUP($F47,'Table Output'!$A$1:$H$99998,8,FALSE)="Clay",VLOOKUP(R$37,BoundParameters_HiddenSheetCLAY!$B$3:$E$50,MATCH(VLOOKUP($K47,$K$5:$AL$34,MATCH(VLOOKUP(R$37,$BJ$3:$BK$50,2,FALSE),$K$4:$AL$4,0),FALSE),BoundParameters_HiddenSheetCLAY!$B$1:$E$1,0),FALSE))),'Control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8" t="str">
        <f>IF($K47="","",IF(S$37="","",IF('Control Panel'!S47="",IF(VLOOKUP($F47,'Table Output'!$A$1:$H$99998,8,FALSE)="Sand",VLOOKUP(S$37,BoundParameters_HiddenSheetSAND!$B$3:$E$50,MATCH(VLOOKUP($K47,$K$5:$AL$34,MATCH(VLOOKUP(S$37,$BJ$3:$BK$50,2,FALSE),$K$4:$AL$4,0),FALSE),BoundParameters_HiddenSheetCLAY!$B$1:$E$1,0),FALSE),IF(VLOOKUP($F47,'Table Output'!$A$1:$H$99998,8,FALSE)="Clay",VLOOKUP(S$37,BoundParameters_HiddenSheetCLAY!$B$3:$E$50,MATCH(VLOOKUP($K47,$K$5:$AL$34,MATCH(VLOOKUP(S$37,$BJ$3:$BK$50,2,FALSE),$K$4:$AL$4,0),FALSE),BoundParameters_HiddenSheetCLAY!$B$1:$E$1,0),FALSE))),'Control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8" t="str">
        <f>IF($K47="","",IF(T$37="","",IF('Control Panel'!T47="",IF(VLOOKUP($F47,'Table Output'!$A$1:$H$99998,8,FALSE)="Sand",VLOOKUP(T$37,BoundParameters_HiddenSheetSAND!$B$3:$E$50,MATCH(VLOOKUP($K47,$K$5:$AL$34,MATCH(VLOOKUP(T$37,$BJ$3:$BK$50,2,FALSE),$K$4:$AL$4,0),FALSE),BoundParameters_HiddenSheetCLAY!$B$1:$E$1,0),FALSE),IF(VLOOKUP($F47,'Table Output'!$A$1:$H$99998,8,FALSE)="Clay",VLOOKUP(T$37,BoundParameters_HiddenSheetCLAY!$B$3:$E$50,MATCH(VLOOKUP($K47,$K$5:$AL$34,MATCH(VLOOKUP(T$37,$BJ$3:$BK$50,2,FALSE),$K$4:$AL$4,0),FALSE),BoundParameters_HiddenSheetCLAY!$B$1:$E$1,0),FALSE))),'Control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8" t="str">
        <f>IF($K47="","",IF(U$37="","",IF('Control Panel'!U47="",IF(VLOOKUP($F47,'Table Output'!$A$1:$H$99998,8,FALSE)="Sand",VLOOKUP(U$37,BoundParameters_HiddenSheetSAND!$B$3:$E$50,MATCH(VLOOKUP($K47,$K$5:$AL$34,MATCH(VLOOKUP(U$37,$BJ$3:$BK$50,2,FALSE),$K$4:$AL$4,0),FALSE),BoundParameters_HiddenSheetCLAY!$B$1:$E$1,0),FALSE),IF(VLOOKUP($F47,'Table Output'!$A$1:$H$99998,8,FALSE)="Clay",VLOOKUP(U$37,BoundParameters_HiddenSheetCLAY!$B$3:$E$50,MATCH(VLOOKUP($K47,$K$5:$AL$34,MATCH(VLOOKUP(U$37,$BJ$3:$BK$50,2,FALSE),$K$4:$AL$4,0),FALSE),BoundParameters_HiddenSheetCLAY!$B$1:$E$1,0),FALSE))),'Control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7"/>
      <c r="BJ47" s="2" t="s">
        <v>171</v>
      </c>
      <c r="BK47" s="2" t="s">
        <v>105</v>
      </c>
    </row>
    <row r="48" spans="2:63" x14ac:dyDescent="0.15">
      <c r="F48" s="2" t="str">
        <f t="shared" ref="F48" si="13">F15</f>
        <v>Cowden_Clay</v>
      </c>
      <c r="K48" s="5">
        <f t="shared" si="4"/>
        <v>11</v>
      </c>
      <c r="L48" s="28">
        <f>IF($K48="","",IF(L$37="","",IF('Control Panel'!L48="",IF(VLOOKUP($F48,'Table Output'!$A$1:$H$99998,8,FALSE)="Sand",VLOOKUP(L$37,BoundParameters_HiddenSheetSAND!$B$3:$E$50,MATCH(VLOOKUP($K48,$K$5:$AL$34,MATCH(VLOOKUP(L$37,$BJ$3:$BK$50,2,FALSE),$K$4:$AL$4,0),FALSE),BoundParameters_HiddenSheetCLAY!$B$1:$E$1,0),FALSE),IF(VLOOKUP($F48,'Table Output'!$A$1:$H$99998,8,FALSE)="Clay",VLOOKUP(L$37,BoundParameters_HiddenSheetCLAY!$B$3:$E$50,MATCH(VLOOKUP($K48,$K$5:$AL$34,MATCH(VLOOKUP(L$37,$BJ$3:$BK$50,2,FALSE),$K$4:$AL$4,0),FALSE),BoundParameters_HiddenSheetCLAY!$B$1:$E$1,0),FALSE))),'Control Panel'!L48)))</f>
        <v>30</v>
      </c>
      <c r="M48" s="28">
        <f>IF($K48="","",IF(M$37="","",IF('Control Panel'!M48="",IF(VLOOKUP($F48,'Table Output'!$A$1:$H$99998,8,FALSE)="Sand",VLOOKUP(M$37,BoundParameters_HiddenSheetSAND!$B$3:$E$50,MATCH(VLOOKUP($K48,$K$5:$AL$34,MATCH(VLOOKUP(M$37,$BJ$3:$BK$50,2,FALSE),$K$4:$AL$4,0),FALSE),BoundParameters_HiddenSheetCLAY!$B$1:$E$1,0),FALSE),IF(VLOOKUP($F48,'Table Output'!$A$1:$H$99998,8,FALSE)="Clay",VLOOKUP(M$37,BoundParameters_HiddenSheetCLAY!$B$3:$E$50,MATCH(VLOOKUP($K48,$K$5:$AL$34,MATCH(VLOOKUP(M$37,$BJ$3:$BK$50,2,FALSE),$K$4:$AL$4,0),FALSE),BoundParameters_HiddenSheetCLAY!$B$1:$E$1,0),FALSE))),'Control Panel'!M48)))</f>
        <v>7.2110000000000003</v>
      </c>
      <c r="N48" s="28">
        <f>IF($K48="","",IF(N$37="","",IF('Control Panel'!N48="",IF(VLOOKUP($F48,'Table Output'!$A$1:$H$99998,8,FALSE)="Sand",VLOOKUP(N$37,BoundParameters_HiddenSheetSAND!$B$3:$E$50,MATCH(VLOOKUP($K48,$K$5:$AL$34,MATCH(VLOOKUP(N$37,$BJ$3:$BK$50,2,FALSE),$K$4:$AL$4,0),FALSE),BoundParameters_HiddenSheetCLAY!$B$1:$E$1,0),FALSE),IF(VLOOKUP($F48,'Table Output'!$A$1:$H$99998,8,FALSE)="Clay",VLOOKUP(N$37,BoundParameters_HiddenSheetCLAY!$B$3:$E$50,MATCH(VLOOKUP($K48,$K$5:$AL$34,MATCH(VLOOKUP(N$37,$BJ$3:$BK$50,2,FALSE),$K$4:$AL$4,0),FALSE),BoundParameters_HiddenSheetCLAY!$B$1:$E$1,0),FALSE))),'Control Panel'!N48)))</f>
        <v>-2.4</v>
      </c>
      <c r="O48" s="28">
        <f>IF($K48="","",IF(O$37="","",IF('Control Panel'!O48="",IF(VLOOKUP($F48,'Table Output'!$A$1:$H$99998,8,FALSE)="Sand",VLOOKUP(O$37,BoundParameters_HiddenSheetSAND!$B$3:$E$50,MATCH(VLOOKUP($K48,$K$5:$AL$34,MATCH(VLOOKUP(O$37,$BJ$3:$BK$50,2,FALSE),$K$4:$AL$4,0),FALSE),BoundParameters_HiddenSheetCLAY!$B$1:$E$1,0),FALSE),IF(VLOOKUP($F48,'Table Output'!$A$1:$H$99998,8,FALSE)="Clay",VLOOKUP(O$37,BoundParameters_HiddenSheetCLAY!$B$3:$E$50,MATCH(VLOOKUP($K48,$K$5:$AL$34,MATCH(VLOOKUP(O$37,$BJ$3:$BK$50,2,FALSE),$K$4:$AL$4,0),FALSE),BoundParameters_HiddenSheetCLAY!$B$1:$E$1,0),FALSE))),'Control Panel'!O48)))</f>
        <v>-1.5</v>
      </c>
      <c r="P48" s="28">
        <f>IF($K48="","",IF(P$37="","",IF('Control Panel'!P48="",IF(VLOOKUP($F48,'Table Output'!$A$1:$H$99998,8,FALSE)="Sand",VLOOKUP(P$37,BoundParameters_HiddenSheetSAND!$B$3:$E$50,MATCH(VLOOKUP($K48,$K$5:$AL$34,MATCH(VLOOKUP(P$37,$BJ$3:$BK$50,2,FALSE),$K$4:$AL$4,0),FALSE),BoundParameters_HiddenSheetCLAY!$B$1:$E$1,0),FALSE),IF(VLOOKUP($F48,'Table Output'!$A$1:$H$99998,8,FALSE)="Clay",VLOOKUP(P$37,BoundParameters_HiddenSheetCLAY!$B$3:$E$50,MATCH(VLOOKUP($K48,$K$5:$AL$34,MATCH(VLOOKUP(P$37,$BJ$3:$BK$50,2,FALSE),$K$4:$AL$4,0),FALSE),BoundParameters_HiddenSheetCLAY!$B$1:$E$1,0),FALSE))),'Control Panel'!P48)))</f>
        <v>0.5</v>
      </c>
      <c r="Q48" s="28" t="str">
        <f>IF($K48="","",IF(Q$37="","",IF('Control Panel'!Q48="",IF(VLOOKUP($F48,'Table Output'!$A$1:$H$99998,8,FALSE)="Sand",VLOOKUP(Q$37,BoundParameters_HiddenSheetSAND!$B$3:$E$50,MATCH(VLOOKUP($K48,$K$5:$AL$34,MATCH(VLOOKUP(Q$37,$BJ$3:$BK$50,2,FALSE),$K$4:$AL$4,0),FALSE),BoundParameters_HiddenSheetCLAY!$B$1:$E$1,0),FALSE),IF(VLOOKUP($F48,'Table Output'!$A$1:$H$99998,8,FALSE)="Clay",VLOOKUP(Q$37,BoundParameters_HiddenSheetCLAY!$B$3:$E$50,MATCH(VLOOKUP($K48,$K$5:$AL$34,MATCH(VLOOKUP(Q$37,$BJ$3:$BK$50,2,FALSE),$K$4:$AL$4,0),FALSE),BoundParameters_HiddenSheetCLAY!$B$1:$E$1,0),FALSE))),'Control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8" t="str">
        <f>IF($K48="","",IF(R$37="","",IF('Control Panel'!R48="",IF(VLOOKUP($F48,'Table Output'!$A$1:$H$99998,8,FALSE)="Sand",VLOOKUP(R$37,BoundParameters_HiddenSheetSAND!$B$3:$E$50,MATCH(VLOOKUP($K48,$K$5:$AL$34,MATCH(VLOOKUP(R$37,$BJ$3:$BK$50,2,FALSE),$K$4:$AL$4,0),FALSE),BoundParameters_HiddenSheetCLAY!$B$1:$E$1,0),FALSE),IF(VLOOKUP($F48,'Table Output'!$A$1:$H$99998,8,FALSE)="Clay",VLOOKUP(R$37,BoundParameters_HiddenSheetCLAY!$B$3:$E$50,MATCH(VLOOKUP($K48,$K$5:$AL$34,MATCH(VLOOKUP(R$37,$BJ$3:$BK$50,2,FALSE),$K$4:$AL$4,0),FALSE),BoundParameters_HiddenSheetCLAY!$B$1:$E$1,0),FALSE))),'Control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8" t="str">
        <f>IF($K48="","",IF(S$37="","",IF('Control Panel'!S48="",IF(VLOOKUP($F48,'Table Output'!$A$1:$H$99998,8,FALSE)="Sand",VLOOKUP(S$37,BoundParameters_HiddenSheetSAND!$B$3:$E$50,MATCH(VLOOKUP($K48,$K$5:$AL$34,MATCH(VLOOKUP(S$37,$BJ$3:$BK$50,2,FALSE),$K$4:$AL$4,0),FALSE),BoundParameters_HiddenSheetCLAY!$B$1:$E$1,0),FALSE),IF(VLOOKUP($F48,'Table Output'!$A$1:$H$99998,8,FALSE)="Clay",VLOOKUP(S$37,BoundParameters_HiddenSheetCLAY!$B$3:$E$50,MATCH(VLOOKUP($K48,$K$5:$AL$34,MATCH(VLOOKUP(S$37,$BJ$3:$BK$50,2,FALSE),$K$4:$AL$4,0),FALSE),BoundParameters_HiddenSheetCLAY!$B$1:$E$1,0),FALSE))),'Control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8" t="str">
        <f>IF($K48="","",IF(T$37="","",IF('Control Panel'!T48="",IF(VLOOKUP($F48,'Table Output'!$A$1:$H$99998,8,FALSE)="Sand",VLOOKUP(T$37,BoundParameters_HiddenSheetSAND!$B$3:$E$50,MATCH(VLOOKUP($K48,$K$5:$AL$34,MATCH(VLOOKUP(T$37,$BJ$3:$BK$50,2,FALSE),$K$4:$AL$4,0),FALSE),BoundParameters_HiddenSheetCLAY!$B$1:$E$1,0),FALSE),IF(VLOOKUP($F48,'Table Output'!$A$1:$H$99998,8,FALSE)="Clay",VLOOKUP(T$37,BoundParameters_HiddenSheetCLAY!$B$3:$E$50,MATCH(VLOOKUP($K48,$K$5:$AL$34,MATCH(VLOOKUP(T$37,$BJ$3:$BK$50,2,FALSE),$K$4:$AL$4,0),FALSE),BoundParameters_HiddenSheetCLAY!$B$1:$E$1,0),FALSE))),'Control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8" t="str">
        <f>IF($K48="","",IF(U$37="","",IF('Control Panel'!U48="",IF(VLOOKUP($F48,'Table Output'!$A$1:$H$99998,8,FALSE)="Sand",VLOOKUP(U$37,BoundParameters_HiddenSheetSAND!$B$3:$E$50,MATCH(VLOOKUP($K48,$K$5:$AL$34,MATCH(VLOOKUP(U$37,$BJ$3:$BK$50,2,FALSE),$K$4:$AL$4,0),FALSE),BoundParameters_HiddenSheetCLAY!$B$1:$E$1,0),FALSE),IF(VLOOKUP($F48,'Table Output'!$A$1:$H$99998,8,FALSE)="Clay",VLOOKUP(U$37,BoundParameters_HiddenSheetCLAY!$B$3:$E$50,MATCH(VLOOKUP($K48,$K$5:$AL$34,MATCH(VLOOKUP(U$37,$BJ$3:$BK$50,2,FALSE),$K$4:$AL$4,0),FALSE),BoundParameters_HiddenSheetCLAY!$B$1:$E$1,0),FALSE))),'Control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7"/>
      <c r="BJ48" s="2" t="s">
        <v>172</v>
      </c>
      <c r="BK48" s="2" t="s">
        <v>106</v>
      </c>
    </row>
    <row r="49" spans="5:63" x14ac:dyDescent="0.15">
      <c r="F49" s="2" t="str">
        <f t="shared" ref="F49" si="14">F16</f>
        <v/>
      </c>
      <c r="K49" s="5" t="str">
        <f t="shared" si="4"/>
        <v/>
      </c>
      <c r="L49" s="28" t="str">
        <f>IF($K49="","",IF(L$37="","",IF('Control Panel'!L49="",IF(VLOOKUP($F49,'Table Output'!$A$1:$H$99998,8,FALSE)="Sand",VLOOKUP(L$37,BoundParameters_HiddenSheetSAND!$B$3:$E$50,MATCH(VLOOKUP($K49,$K$5:$AL$34,MATCH(VLOOKUP(L$37,$BJ$3:$BK$50,2,FALSE),$K$4:$AL$4,0),FALSE),BoundParameters_HiddenSheetCLAY!$B$1:$E$1,0),FALSE),IF(VLOOKUP($F49,'Table Output'!$A$1:$H$99998,8,FALSE)="Clay",VLOOKUP(L$37,BoundParameters_HiddenSheetCLAY!$B$3:$E$50,MATCH(VLOOKUP($K49,$K$5:$AL$34,MATCH(VLOOKUP(L$37,$BJ$3:$BK$50,2,FALSE),$K$4:$AL$4,0),FALSE),BoundParameters_HiddenSheetCLAY!$B$1:$E$1,0),FALSE))),'Control Panel'!L49)))</f>
        <v/>
      </c>
      <c r="M49" s="28" t="str">
        <f>IF($K49="","",IF(M$37="","",IF('Control Panel'!M49="",IF(VLOOKUP($F49,'Table Output'!$A$1:$H$99998,8,FALSE)="Sand",VLOOKUP(M$37,BoundParameters_HiddenSheetSAND!$B$3:$E$50,MATCH(VLOOKUP($K49,$K$5:$AL$34,MATCH(VLOOKUP(M$37,$BJ$3:$BK$50,2,FALSE),$K$4:$AL$4,0),FALSE),BoundParameters_HiddenSheetCLAY!$B$1:$E$1,0),FALSE),IF(VLOOKUP($F49,'Table Output'!$A$1:$H$99998,8,FALSE)="Clay",VLOOKUP(M$37,BoundParameters_HiddenSheetCLAY!$B$3:$E$50,MATCH(VLOOKUP($K49,$K$5:$AL$34,MATCH(VLOOKUP(M$37,$BJ$3:$BK$50,2,FALSE),$K$4:$AL$4,0),FALSE),BoundParameters_HiddenSheetCLAY!$B$1:$E$1,0),FALSE))),'Control Panel'!M49)))</f>
        <v/>
      </c>
      <c r="N49" s="28" t="str">
        <f>IF($K49="","",IF(N$37="","",IF('Control Panel'!N49="",IF(VLOOKUP($F49,'Table Output'!$A$1:$H$99998,8,FALSE)="Sand",VLOOKUP(N$37,BoundParameters_HiddenSheetSAND!$B$3:$E$50,MATCH(VLOOKUP($K49,$K$5:$AL$34,MATCH(VLOOKUP(N$37,$BJ$3:$BK$50,2,FALSE),$K$4:$AL$4,0),FALSE),BoundParameters_HiddenSheetCLAY!$B$1:$E$1,0),FALSE),IF(VLOOKUP($F49,'Table Output'!$A$1:$H$99998,8,FALSE)="Clay",VLOOKUP(N$37,BoundParameters_HiddenSheetCLAY!$B$3:$E$50,MATCH(VLOOKUP($K49,$K$5:$AL$34,MATCH(VLOOKUP(N$37,$BJ$3:$BK$50,2,FALSE),$K$4:$AL$4,0),FALSE),BoundParameters_HiddenSheetCLAY!$B$1:$E$1,0),FALSE))),'Control Panel'!N49)))</f>
        <v/>
      </c>
      <c r="O49" s="28" t="str">
        <f>IF($K49="","",IF(O$37="","",IF('Control Panel'!O49="",IF(VLOOKUP($F49,'Table Output'!$A$1:$H$99998,8,FALSE)="Sand",VLOOKUP(O$37,BoundParameters_HiddenSheetSAND!$B$3:$E$50,MATCH(VLOOKUP($K49,$K$5:$AL$34,MATCH(VLOOKUP(O$37,$BJ$3:$BK$50,2,FALSE),$K$4:$AL$4,0),FALSE),BoundParameters_HiddenSheetCLAY!$B$1:$E$1,0),FALSE),IF(VLOOKUP($F49,'Table Output'!$A$1:$H$99998,8,FALSE)="Clay",VLOOKUP(O$37,BoundParameters_HiddenSheetCLAY!$B$3:$E$50,MATCH(VLOOKUP($K49,$K$5:$AL$34,MATCH(VLOOKUP(O$37,$BJ$3:$BK$50,2,FALSE),$K$4:$AL$4,0),FALSE),BoundParameters_HiddenSheetCLAY!$B$1:$E$1,0),FALSE))),'Control Panel'!O49)))</f>
        <v/>
      </c>
      <c r="P49" s="28" t="str">
        <f>IF($K49="","",IF(P$37="","",IF('Control Panel'!P49="",IF(VLOOKUP($F49,'Table Output'!$A$1:$H$99998,8,FALSE)="Sand",VLOOKUP(P$37,BoundParameters_HiddenSheetSAND!$B$3:$E$50,MATCH(VLOOKUP($K49,$K$5:$AL$34,MATCH(VLOOKUP(P$37,$BJ$3:$BK$50,2,FALSE),$K$4:$AL$4,0),FALSE),BoundParameters_HiddenSheetCLAY!$B$1:$E$1,0),FALSE),IF(VLOOKUP($F49,'Table Output'!$A$1:$H$99998,8,FALSE)="Clay",VLOOKUP(P$37,BoundParameters_HiddenSheetCLAY!$B$3:$E$50,MATCH(VLOOKUP($K49,$K$5:$AL$34,MATCH(VLOOKUP(P$37,$BJ$3:$BK$50,2,FALSE),$K$4:$AL$4,0),FALSE),BoundParameters_HiddenSheetCLAY!$B$1:$E$1,0),FALSE))),'Control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8" t="str">
        <f>IF($K49="","",IF(Q$37="","",IF('Control Panel'!Q49="",IF(VLOOKUP($F49,'Table Output'!$A$1:$H$99998,8,FALSE)="Sand",VLOOKUP(Q$37,BoundParameters_HiddenSheetSAND!$B$3:$E$50,MATCH(VLOOKUP($K49,$K$5:$AL$34,MATCH(VLOOKUP(Q$37,$BJ$3:$BK$50,2,FALSE),$K$4:$AL$4,0),FALSE),BoundParameters_HiddenSheetCLAY!$B$1:$E$1,0),FALSE),IF(VLOOKUP($F49,'Table Output'!$A$1:$H$99998,8,FALSE)="Clay",VLOOKUP(Q$37,BoundParameters_HiddenSheetCLAY!$B$3:$E$50,MATCH(VLOOKUP($K49,$K$5:$AL$34,MATCH(VLOOKUP(Q$37,$BJ$3:$BK$50,2,FALSE),$K$4:$AL$4,0),FALSE),BoundParameters_HiddenSheetCLAY!$B$1:$E$1,0),FALSE))),'Control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8" t="str">
        <f>IF($K49="","",IF(R$37="","",IF('Control Panel'!R49="",IF(VLOOKUP($F49,'Table Output'!$A$1:$H$99998,8,FALSE)="Sand",VLOOKUP(R$37,BoundParameters_HiddenSheetSAND!$B$3:$E$50,MATCH(VLOOKUP($K49,$K$5:$AL$34,MATCH(VLOOKUP(R$37,$BJ$3:$BK$50,2,FALSE),$K$4:$AL$4,0),FALSE),BoundParameters_HiddenSheetCLAY!$B$1:$E$1,0),FALSE),IF(VLOOKUP($F49,'Table Output'!$A$1:$H$99998,8,FALSE)="Clay",VLOOKUP(R$37,BoundParameters_HiddenSheetCLAY!$B$3:$E$50,MATCH(VLOOKUP($K49,$K$5:$AL$34,MATCH(VLOOKUP(R$37,$BJ$3:$BK$50,2,FALSE),$K$4:$AL$4,0),FALSE),BoundParameters_HiddenSheetCLAY!$B$1:$E$1,0),FALSE))),'Control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8" t="str">
        <f>IF($K49="","",IF(S$37="","",IF('Control Panel'!S49="",IF(VLOOKUP($F49,'Table Output'!$A$1:$H$99998,8,FALSE)="Sand",VLOOKUP(S$37,BoundParameters_HiddenSheetSAND!$B$3:$E$50,MATCH(VLOOKUP($K49,$K$5:$AL$34,MATCH(VLOOKUP(S$37,$BJ$3:$BK$50,2,FALSE),$K$4:$AL$4,0),FALSE),BoundParameters_HiddenSheetCLAY!$B$1:$E$1,0),FALSE),IF(VLOOKUP($F49,'Table Output'!$A$1:$H$99998,8,FALSE)="Clay",VLOOKUP(S$37,BoundParameters_HiddenSheetCLAY!$B$3:$E$50,MATCH(VLOOKUP($K49,$K$5:$AL$34,MATCH(VLOOKUP(S$37,$BJ$3:$BK$50,2,FALSE),$K$4:$AL$4,0),FALSE),BoundParameters_HiddenSheetCLAY!$B$1:$E$1,0),FALSE))),'Control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8" t="str">
        <f>IF($K49="","",IF(T$37="","",IF('Control Panel'!T49="",IF(VLOOKUP($F49,'Table Output'!$A$1:$H$99998,8,FALSE)="Sand",VLOOKUP(T$37,BoundParameters_HiddenSheetSAND!$B$3:$E$50,MATCH(VLOOKUP($K49,$K$5:$AL$34,MATCH(VLOOKUP(T$37,$BJ$3:$BK$50,2,FALSE),$K$4:$AL$4,0),FALSE),BoundParameters_HiddenSheetCLAY!$B$1:$E$1,0),FALSE),IF(VLOOKUP($F49,'Table Output'!$A$1:$H$99998,8,FALSE)="Clay",VLOOKUP(T$37,BoundParameters_HiddenSheetCLAY!$B$3:$E$50,MATCH(VLOOKUP($K49,$K$5:$AL$34,MATCH(VLOOKUP(T$37,$BJ$3:$BK$50,2,FALSE),$K$4:$AL$4,0),FALSE),BoundParameters_HiddenSheetCLAY!$B$1:$E$1,0),FALSE))),'Control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8" t="str">
        <f>IF($K49="","",IF(U$37="","",IF('Control Panel'!U49="",IF(VLOOKUP($F49,'Table Output'!$A$1:$H$99998,8,FALSE)="Sand",VLOOKUP(U$37,BoundParameters_HiddenSheetSAND!$B$3:$E$50,MATCH(VLOOKUP($K49,$K$5:$AL$34,MATCH(VLOOKUP(U$37,$BJ$3:$BK$50,2,FALSE),$K$4:$AL$4,0),FALSE),BoundParameters_HiddenSheetCLAY!$B$1:$E$1,0),FALSE),IF(VLOOKUP($F49,'Table Output'!$A$1:$H$99998,8,FALSE)="Clay",VLOOKUP(U$37,BoundParameters_HiddenSheetCLAY!$B$3:$E$50,MATCH(VLOOKUP($K49,$K$5:$AL$34,MATCH(VLOOKUP(U$37,$BJ$3:$BK$50,2,FALSE),$K$4:$AL$4,0),FALSE),BoundParameters_HiddenSheetCLAY!$B$1:$E$1,0),FALSE))),'Control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5:63" x14ac:dyDescent="0.15">
      <c r="F50" s="2" t="str">
        <f t="shared" ref="F50" si="15">F17</f>
        <v/>
      </c>
      <c r="K50" s="5" t="str">
        <f t="shared" si="4"/>
        <v/>
      </c>
      <c r="L50" s="28" t="str">
        <f>IF($K50="","",IF(L$37="","",IF('Control Panel'!L50="",IF(VLOOKUP($F50,'Table Output'!$A$1:$H$99998,8,FALSE)="Sand",VLOOKUP(L$37,BoundParameters_HiddenSheetSAND!$B$3:$E$50,MATCH(VLOOKUP($K50,$K$5:$AL$34,MATCH(VLOOKUP(L$37,$BJ$3:$BK$50,2,FALSE),$K$4:$AL$4,0),FALSE),BoundParameters_HiddenSheetCLAY!$B$1:$E$1,0),FALSE),IF(VLOOKUP($F50,'Table Output'!$A$1:$H$99998,8,FALSE)="Clay",VLOOKUP(L$37,BoundParameters_HiddenSheetCLAY!$B$3:$E$50,MATCH(VLOOKUP($K50,$K$5:$AL$34,MATCH(VLOOKUP(L$37,$BJ$3:$BK$50,2,FALSE),$K$4:$AL$4,0),FALSE),BoundParameters_HiddenSheetCLAY!$B$1:$E$1,0),FALSE))),'Control Panel'!L50)))</f>
        <v/>
      </c>
      <c r="M50" s="28" t="str">
        <f>IF($K50="","",IF(M$37="","",IF('Control Panel'!M50="",IF(VLOOKUP($F50,'Table Output'!$A$1:$H$99998,8,FALSE)="Sand",VLOOKUP(M$37,BoundParameters_HiddenSheetSAND!$B$3:$E$50,MATCH(VLOOKUP($K50,$K$5:$AL$34,MATCH(VLOOKUP(M$37,$BJ$3:$BK$50,2,FALSE),$K$4:$AL$4,0),FALSE),BoundParameters_HiddenSheetCLAY!$B$1:$E$1,0),FALSE),IF(VLOOKUP($F50,'Table Output'!$A$1:$H$99998,8,FALSE)="Clay",VLOOKUP(M$37,BoundParameters_HiddenSheetCLAY!$B$3:$E$50,MATCH(VLOOKUP($K50,$K$5:$AL$34,MATCH(VLOOKUP(M$37,$BJ$3:$BK$50,2,FALSE),$K$4:$AL$4,0),FALSE),BoundParameters_HiddenSheetCLAY!$B$1:$E$1,0),FALSE))),'Control Panel'!M50)))</f>
        <v/>
      </c>
      <c r="N50" s="28" t="str">
        <f>IF($K50="","",IF(N$37="","",IF('Control Panel'!N50="",IF(VLOOKUP($F50,'Table Output'!$A$1:$H$99998,8,FALSE)="Sand",VLOOKUP(N$37,BoundParameters_HiddenSheetSAND!$B$3:$E$50,MATCH(VLOOKUP($K50,$K$5:$AL$34,MATCH(VLOOKUP(N$37,$BJ$3:$BK$50,2,FALSE),$K$4:$AL$4,0),FALSE),BoundParameters_HiddenSheetCLAY!$B$1:$E$1,0),FALSE),IF(VLOOKUP($F50,'Table Output'!$A$1:$H$99998,8,FALSE)="Clay",VLOOKUP(N$37,BoundParameters_HiddenSheetCLAY!$B$3:$E$50,MATCH(VLOOKUP($K50,$K$5:$AL$34,MATCH(VLOOKUP(N$37,$BJ$3:$BK$50,2,FALSE),$K$4:$AL$4,0),FALSE),BoundParameters_HiddenSheetCLAY!$B$1:$E$1,0),FALSE))),'Control Panel'!N50)))</f>
        <v/>
      </c>
      <c r="O50" s="28" t="str">
        <f>IF($K50="","",IF(O$37="","",IF('Control Panel'!O50="",IF(VLOOKUP($F50,'Table Output'!$A$1:$H$99998,8,FALSE)="Sand",VLOOKUP(O$37,BoundParameters_HiddenSheetSAND!$B$3:$E$50,MATCH(VLOOKUP($K50,$K$5:$AL$34,MATCH(VLOOKUP(O$37,$BJ$3:$BK$50,2,FALSE),$K$4:$AL$4,0),FALSE),BoundParameters_HiddenSheetCLAY!$B$1:$E$1,0),FALSE),IF(VLOOKUP($F50,'Table Output'!$A$1:$H$99998,8,FALSE)="Clay",VLOOKUP(O$37,BoundParameters_HiddenSheetCLAY!$B$3:$E$50,MATCH(VLOOKUP($K50,$K$5:$AL$34,MATCH(VLOOKUP(O$37,$BJ$3:$BK$50,2,FALSE),$K$4:$AL$4,0),FALSE),BoundParameters_HiddenSheetCLAY!$B$1:$E$1,0),FALSE))),'Control Panel'!O50)))</f>
        <v/>
      </c>
      <c r="P50" s="28" t="str">
        <f>IF($K50="","",IF(P$37="","",IF('Control Panel'!P50="",IF(VLOOKUP($F50,'Table Output'!$A$1:$H$99998,8,FALSE)="Sand",VLOOKUP(P$37,BoundParameters_HiddenSheetSAND!$B$3:$E$50,MATCH(VLOOKUP($K50,$K$5:$AL$34,MATCH(VLOOKUP(P$37,$BJ$3:$BK$50,2,FALSE),$K$4:$AL$4,0),FALSE),BoundParameters_HiddenSheetCLAY!$B$1:$E$1,0),FALSE),IF(VLOOKUP($F50,'Table Output'!$A$1:$H$99998,8,FALSE)="Clay",VLOOKUP(P$37,BoundParameters_HiddenSheetCLAY!$B$3:$E$50,MATCH(VLOOKUP($K50,$K$5:$AL$34,MATCH(VLOOKUP(P$37,$BJ$3:$BK$50,2,FALSE),$K$4:$AL$4,0),FALSE),BoundParameters_HiddenSheetCLAY!$B$1:$E$1,0),FALSE))),'Control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8" t="str">
        <f>IF($K50="","",IF(Q$37="","",IF('Control Panel'!Q50="",IF(VLOOKUP($F50,'Table Output'!$A$1:$H$99998,8,FALSE)="Sand",VLOOKUP(Q$37,BoundParameters_HiddenSheetSAND!$B$3:$E$50,MATCH(VLOOKUP($K50,$K$5:$AL$34,MATCH(VLOOKUP(Q$37,$BJ$3:$BK$50,2,FALSE),$K$4:$AL$4,0),FALSE),BoundParameters_HiddenSheetCLAY!$B$1:$E$1,0),FALSE),IF(VLOOKUP($F50,'Table Output'!$A$1:$H$99998,8,FALSE)="Clay",VLOOKUP(Q$37,BoundParameters_HiddenSheetCLAY!$B$3:$E$50,MATCH(VLOOKUP($K50,$K$5:$AL$34,MATCH(VLOOKUP(Q$37,$BJ$3:$BK$50,2,FALSE),$K$4:$AL$4,0),FALSE),BoundParameters_HiddenSheetCLAY!$B$1:$E$1,0),FALSE))),'Control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8" t="str">
        <f>IF($K50="","",IF(R$37="","",IF('Control Panel'!R50="",IF(VLOOKUP($F50,'Table Output'!$A$1:$H$99998,8,FALSE)="Sand",VLOOKUP(R$37,BoundParameters_HiddenSheetSAND!$B$3:$E$50,MATCH(VLOOKUP($K50,$K$5:$AL$34,MATCH(VLOOKUP(R$37,$BJ$3:$BK$50,2,FALSE),$K$4:$AL$4,0),FALSE),BoundParameters_HiddenSheetCLAY!$B$1:$E$1,0),FALSE),IF(VLOOKUP($F50,'Table Output'!$A$1:$H$99998,8,FALSE)="Clay",VLOOKUP(R$37,BoundParameters_HiddenSheetCLAY!$B$3:$E$50,MATCH(VLOOKUP($K50,$K$5:$AL$34,MATCH(VLOOKUP(R$37,$BJ$3:$BK$50,2,FALSE),$K$4:$AL$4,0),FALSE),BoundParameters_HiddenSheetCLAY!$B$1:$E$1,0),FALSE))),'Control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8" t="str">
        <f>IF($K50="","",IF(S$37="","",IF('Control Panel'!S50="",IF(VLOOKUP($F50,'Table Output'!$A$1:$H$99998,8,FALSE)="Sand",VLOOKUP(S$37,BoundParameters_HiddenSheetSAND!$B$3:$E$50,MATCH(VLOOKUP($K50,$K$5:$AL$34,MATCH(VLOOKUP(S$37,$BJ$3:$BK$50,2,FALSE),$K$4:$AL$4,0),FALSE),BoundParameters_HiddenSheetCLAY!$B$1:$E$1,0),FALSE),IF(VLOOKUP($F50,'Table Output'!$A$1:$H$99998,8,FALSE)="Clay",VLOOKUP(S$37,BoundParameters_HiddenSheetCLAY!$B$3:$E$50,MATCH(VLOOKUP($K50,$K$5:$AL$34,MATCH(VLOOKUP(S$37,$BJ$3:$BK$50,2,FALSE),$K$4:$AL$4,0),FALSE),BoundParameters_HiddenSheetCLAY!$B$1:$E$1,0),FALSE))),'Control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8" t="str">
        <f>IF($K50="","",IF(T$37="","",IF('Control Panel'!T50="",IF(VLOOKUP($F50,'Table Output'!$A$1:$H$99998,8,FALSE)="Sand",VLOOKUP(T$37,BoundParameters_HiddenSheetSAND!$B$3:$E$50,MATCH(VLOOKUP($K50,$K$5:$AL$34,MATCH(VLOOKUP(T$37,$BJ$3:$BK$50,2,FALSE),$K$4:$AL$4,0),FALSE),BoundParameters_HiddenSheetCLAY!$B$1:$E$1,0),FALSE),IF(VLOOKUP($F50,'Table Output'!$A$1:$H$99998,8,FALSE)="Clay",VLOOKUP(T$37,BoundParameters_HiddenSheetCLAY!$B$3:$E$50,MATCH(VLOOKUP($K50,$K$5:$AL$34,MATCH(VLOOKUP(T$37,$BJ$3:$BK$50,2,FALSE),$K$4:$AL$4,0),FALSE),BoundParameters_HiddenSheetCLAY!$B$1:$E$1,0),FALSE))),'Control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8" t="str">
        <f>IF($K50="","",IF(U$37="","",IF('Control Panel'!U50="",IF(VLOOKUP($F50,'Table Output'!$A$1:$H$99998,8,FALSE)="Sand",VLOOKUP(U$37,BoundParameters_HiddenSheetSAND!$B$3:$E$50,MATCH(VLOOKUP($K50,$K$5:$AL$34,MATCH(VLOOKUP(U$37,$BJ$3:$BK$50,2,FALSE),$K$4:$AL$4,0),FALSE),BoundParameters_HiddenSheetCLAY!$B$1:$E$1,0),FALSE),IF(VLOOKUP($F50,'Table Output'!$A$1:$H$99998,8,FALSE)="Clay",VLOOKUP(U$37,BoundParameters_HiddenSheetCLAY!$B$3:$E$50,MATCH(VLOOKUP($K50,$K$5:$AL$34,MATCH(VLOOKUP(U$37,$BJ$3:$BK$50,2,FALSE),$K$4:$AL$4,0),FALSE),BoundParameters_HiddenSheetCLAY!$B$1:$E$1,0),FALSE))),'Control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5:63" x14ac:dyDescent="0.15">
      <c r="F51" s="2" t="str">
        <f t="shared" ref="F51" si="16">F18</f>
        <v/>
      </c>
      <c r="K51" s="5" t="str">
        <f t="shared" si="4"/>
        <v/>
      </c>
      <c r="L51" s="28" t="str">
        <f>IF($K51="","",IF(L$37="","",IF('Control Panel'!L51="",IF(VLOOKUP($F51,'Table Output'!$A$1:$H$99998,8,FALSE)="Sand",VLOOKUP(L$37,BoundParameters_HiddenSheetSAND!$B$3:$E$50,MATCH(VLOOKUP($K51,$K$5:$AL$34,MATCH(VLOOKUP(L$37,$BJ$3:$BK$50,2,FALSE),$K$4:$AL$4,0),FALSE),BoundParameters_HiddenSheetCLAY!$B$1:$E$1,0),FALSE),IF(VLOOKUP($F51,'Table Output'!$A$1:$H$99998,8,FALSE)="Clay",VLOOKUP(L$37,BoundParameters_HiddenSheetCLAY!$B$3:$E$50,MATCH(VLOOKUP($K51,$K$5:$AL$34,MATCH(VLOOKUP(L$37,$BJ$3:$BK$50,2,FALSE),$K$4:$AL$4,0),FALSE),BoundParameters_HiddenSheetCLAY!$B$1:$E$1,0),FALSE))),'Control Panel'!L51)))</f>
        <v/>
      </c>
      <c r="M51" s="28" t="str">
        <f>IF($K51="","",IF(M$37="","",IF('Control Panel'!M51="",IF(VLOOKUP($F51,'Table Output'!$A$1:$H$99998,8,FALSE)="Sand",VLOOKUP(M$37,BoundParameters_HiddenSheetSAND!$B$3:$E$50,MATCH(VLOOKUP($K51,$K$5:$AL$34,MATCH(VLOOKUP(M$37,$BJ$3:$BK$50,2,FALSE),$K$4:$AL$4,0),FALSE),BoundParameters_HiddenSheetCLAY!$B$1:$E$1,0),FALSE),IF(VLOOKUP($F51,'Table Output'!$A$1:$H$99998,8,FALSE)="Clay",VLOOKUP(M$37,BoundParameters_HiddenSheetCLAY!$B$3:$E$50,MATCH(VLOOKUP($K51,$K$5:$AL$34,MATCH(VLOOKUP(M$37,$BJ$3:$BK$50,2,FALSE),$K$4:$AL$4,0),FALSE),BoundParameters_HiddenSheetCLAY!$B$1:$E$1,0),FALSE))),'Control Panel'!M51)))</f>
        <v/>
      </c>
      <c r="N51" s="28" t="str">
        <f>IF($K51="","",IF(N$37="","",IF('Control Panel'!N51="",IF(VLOOKUP($F51,'Table Output'!$A$1:$H$99998,8,FALSE)="Sand",VLOOKUP(N$37,BoundParameters_HiddenSheetSAND!$B$3:$E$50,MATCH(VLOOKUP($K51,$K$5:$AL$34,MATCH(VLOOKUP(N$37,$BJ$3:$BK$50,2,FALSE),$K$4:$AL$4,0),FALSE),BoundParameters_HiddenSheetCLAY!$B$1:$E$1,0),FALSE),IF(VLOOKUP($F51,'Table Output'!$A$1:$H$99998,8,FALSE)="Clay",VLOOKUP(N$37,BoundParameters_HiddenSheetCLAY!$B$3:$E$50,MATCH(VLOOKUP($K51,$K$5:$AL$34,MATCH(VLOOKUP(N$37,$BJ$3:$BK$50,2,FALSE),$K$4:$AL$4,0),FALSE),BoundParameters_HiddenSheetCLAY!$B$1:$E$1,0),FALSE))),'Control Panel'!N51)))</f>
        <v/>
      </c>
      <c r="O51" s="28" t="str">
        <f>IF($K51="","",IF(O$37="","",IF('Control Panel'!O51="",IF(VLOOKUP($F51,'Table Output'!$A$1:$H$99998,8,FALSE)="Sand",VLOOKUP(O$37,BoundParameters_HiddenSheetSAND!$B$3:$E$50,MATCH(VLOOKUP($K51,$K$5:$AL$34,MATCH(VLOOKUP(O$37,$BJ$3:$BK$50,2,FALSE),$K$4:$AL$4,0),FALSE),BoundParameters_HiddenSheetCLAY!$B$1:$E$1,0),FALSE),IF(VLOOKUP($F51,'Table Output'!$A$1:$H$99998,8,FALSE)="Clay",VLOOKUP(O$37,BoundParameters_HiddenSheetCLAY!$B$3:$E$50,MATCH(VLOOKUP($K51,$K$5:$AL$34,MATCH(VLOOKUP(O$37,$BJ$3:$BK$50,2,FALSE),$K$4:$AL$4,0),FALSE),BoundParameters_HiddenSheetCLAY!$B$1:$E$1,0),FALSE))),'Control Panel'!O51)))</f>
        <v/>
      </c>
      <c r="P51" s="28" t="str">
        <f>IF($K51="","",IF(P$37="","",IF('Control Panel'!P51="",IF(VLOOKUP($F51,'Table Output'!$A$1:$H$99998,8,FALSE)="Sand",VLOOKUP(P$37,BoundParameters_HiddenSheetSAND!$B$3:$E$50,MATCH(VLOOKUP($K51,$K$5:$AL$34,MATCH(VLOOKUP(P$37,$BJ$3:$BK$50,2,FALSE),$K$4:$AL$4,0),FALSE),BoundParameters_HiddenSheetCLAY!$B$1:$E$1,0),FALSE),IF(VLOOKUP($F51,'Table Output'!$A$1:$H$99998,8,FALSE)="Clay",VLOOKUP(P$37,BoundParameters_HiddenSheetCLAY!$B$3:$E$50,MATCH(VLOOKUP($K51,$K$5:$AL$34,MATCH(VLOOKUP(P$37,$BJ$3:$BK$50,2,FALSE),$K$4:$AL$4,0),FALSE),BoundParameters_HiddenSheetCLAY!$B$1:$E$1,0),FALSE))),'Control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8" t="str">
        <f>IF($K51="","",IF(Q$37="","",IF('Control Panel'!Q51="",IF(VLOOKUP($F51,'Table Output'!$A$1:$H$99998,8,FALSE)="Sand",VLOOKUP(Q$37,BoundParameters_HiddenSheetSAND!$B$3:$E$50,MATCH(VLOOKUP($K51,$K$5:$AL$34,MATCH(VLOOKUP(Q$37,$BJ$3:$BK$50,2,FALSE),$K$4:$AL$4,0),FALSE),BoundParameters_HiddenSheetCLAY!$B$1:$E$1,0),FALSE),IF(VLOOKUP($F51,'Table Output'!$A$1:$H$99998,8,FALSE)="Clay",VLOOKUP(Q$37,BoundParameters_HiddenSheetCLAY!$B$3:$E$50,MATCH(VLOOKUP($K51,$K$5:$AL$34,MATCH(VLOOKUP(Q$37,$BJ$3:$BK$50,2,FALSE),$K$4:$AL$4,0),FALSE),BoundParameters_HiddenSheetCLAY!$B$1:$E$1,0),FALSE))),'Control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8" t="str">
        <f>IF($K51="","",IF(R$37="","",IF('Control Panel'!R51="",IF(VLOOKUP($F51,'Table Output'!$A$1:$H$99998,8,FALSE)="Sand",VLOOKUP(R$37,BoundParameters_HiddenSheetSAND!$B$3:$E$50,MATCH(VLOOKUP($K51,$K$5:$AL$34,MATCH(VLOOKUP(R$37,$BJ$3:$BK$50,2,FALSE),$K$4:$AL$4,0),FALSE),BoundParameters_HiddenSheetCLAY!$B$1:$E$1,0),FALSE),IF(VLOOKUP($F51,'Table Output'!$A$1:$H$99998,8,FALSE)="Clay",VLOOKUP(R$37,BoundParameters_HiddenSheetCLAY!$B$3:$E$50,MATCH(VLOOKUP($K51,$K$5:$AL$34,MATCH(VLOOKUP(R$37,$BJ$3:$BK$50,2,FALSE),$K$4:$AL$4,0),FALSE),BoundParameters_HiddenSheetCLAY!$B$1:$E$1,0),FALSE))),'Control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8" t="str">
        <f>IF($K51="","",IF(S$37="","",IF('Control Panel'!S51="",IF(VLOOKUP($F51,'Table Output'!$A$1:$H$99998,8,FALSE)="Sand",VLOOKUP(S$37,BoundParameters_HiddenSheetSAND!$B$3:$E$50,MATCH(VLOOKUP($K51,$K$5:$AL$34,MATCH(VLOOKUP(S$37,$BJ$3:$BK$50,2,FALSE),$K$4:$AL$4,0),FALSE),BoundParameters_HiddenSheetCLAY!$B$1:$E$1,0),FALSE),IF(VLOOKUP($F51,'Table Output'!$A$1:$H$99998,8,FALSE)="Clay",VLOOKUP(S$37,BoundParameters_HiddenSheetCLAY!$B$3:$E$50,MATCH(VLOOKUP($K51,$K$5:$AL$34,MATCH(VLOOKUP(S$37,$BJ$3:$BK$50,2,FALSE),$K$4:$AL$4,0),FALSE),BoundParameters_HiddenSheetCLAY!$B$1:$E$1,0),FALSE))),'Control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8" t="str">
        <f>IF($K51="","",IF(T$37="","",IF('Control Panel'!T51="",IF(VLOOKUP($F51,'Table Output'!$A$1:$H$99998,8,FALSE)="Sand",VLOOKUP(T$37,BoundParameters_HiddenSheetSAND!$B$3:$E$50,MATCH(VLOOKUP($K51,$K$5:$AL$34,MATCH(VLOOKUP(T$37,$BJ$3:$BK$50,2,FALSE),$K$4:$AL$4,0),FALSE),BoundParameters_HiddenSheetCLAY!$B$1:$E$1,0),FALSE),IF(VLOOKUP($F51,'Table Output'!$A$1:$H$99998,8,FALSE)="Clay",VLOOKUP(T$37,BoundParameters_HiddenSheetCLAY!$B$3:$E$50,MATCH(VLOOKUP($K51,$K$5:$AL$34,MATCH(VLOOKUP(T$37,$BJ$3:$BK$50,2,FALSE),$K$4:$AL$4,0),FALSE),BoundParameters_HiddenSheetCLAY!$B$1:$E$1,0),FALSE))),'Control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8" t="str">
        <f>IF($K51="","",IF(U$37="","",IF('Control Panel'!U51="",IF(VLOOKUP($F51,'Table Output'!$A$1:$H$99998,8,FALSE)="Sand",VLOOKUP(U$37,BoundParameters_HiddenSheetSAND!$B$3:$E$50,MATCH(VLOOKUP($K51,$K$5:$AL$34,MATCH(VLOOKUP(U$37,$BJ$3:$BK$50,2,FALSE),$K$4:$AL$4,0),FALSE),BoundParameters_HiddenSheetCLAY!$B$1:$E$1,0),FALSE),IF(VLOOKUP($F51,'Table Output'!$A$1:$H$99998,8,FALSE)="Clay",VLOOKUP(U$37,BoundParameters_HiddenSheetCLAY!$B$3:$E$50,MATCH(VLOOKUP($K51,$K$5:$AL$34,MATCH(VLOOKUP(U$37,$BJ$3:$BK$50,2,FALSE),$K$4:$AL$4,0),FALSE),BoundParameters_HiddenSheetCLAY!$B$1:$E$1,0),FALSE))),'Control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30"/>
    </row>
    <row r="52" spans="5:63" x14ac:dyDescent="0.15">
      <c r="F52" s="2" t="str">
        <f t="shared" ref="F52" si="17">F19</f>
        <v/>
      </c>
      <c r="K52" s="5" t="str">
        <f t="shared" si="4"/>
        <v/>
      </c>
      <c r="L52" s="28" t="str">
        <f>IF($K52="","",IF(L$37="","",IF('Control Panel'!L52="",IF(VLOOKUP($F52,'Table Output'!$A$1:$H$99998,8,FALSE)="Sand",VLOOKUP(L$37,BoundParameters_HiddenSheetSAND!$B$3:$E$50,MATCH(VLOOKUP($K52,$K$5:$AL$34,MATCH(VLOOKUP(L$37,$BJ$3:$BK$50,2,FALSE),$K$4:$AL$4,0),FALSE),BoundParameters_HiddenSheetCLAY!$B$1:$E$1,0),FALSE),IF(VLOOKUP($F52,'Table Output'!$A$1:$H$99998,8,FALSE)="Clay",VLOOKUP(L$37,BoundParameters_HiddenSheetCLAY!$B$3:$E$50,MATCH(VLOOKUP($K52,$K$5:$AL$34,MATCH(VLOOKUP(L$37,$BJ$3:$BK$50,2,FALSE),$K$4:$AL$4,0),FALSE),BoundParameters_HiddenSheetCLAY!$B$1:$E$1,0),FALSE))),'Control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8" t="str">
        <f>IF($K52="","",IF(M$37="","",IF('Control Panel'!M52="",IF(VLOOKUP($F52,'Table Output'!$A$1:$H$99998,8,FALSE)="Sand",VLOOKUP(M$37,BoundParameters_HiddenSheetSAND!$B$3:$E$50,MATCH(VLOOKUP($K52,$K$5:$AL$34,MATCH(VLOOKUP(M$37,$BJ$3:$BK$50,2,FALSE),$K$4:$AL$4,0),FALSE),BoundParameters_HiddenSheetCLAY!$B$1:$E$1,0),FALSE),IF(VLOOKUP($F52,'Table Output'!$A$1:$H$99998,8,FALSE)="Clay",VLOOKUP(M$37,BoundParameters_HiddenSheetCLAY!$B$3:$E$50,MATCH(VLOOKUP($K52,$K$5:$AL$34,MATCH(VLOOKUP(M$37,$BJ$3:$BK$50,2,FALSE),$K$4:$AL$4,0),FALSE),BoundParameters_HiddenSheetCLAY!$B$1:$E$1,0),FALSE))),'Control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8" t="str">
        <f>IF($K52="","",IF(N$37="","",IF('Control Panel'!N52="",IF(VLOOKUP($F52,'Table Output'!$A$1:$H$99998,8,FALSE)="Sand",VLOOKUP(N$37,BoundParameters_HiddenSheetSAND!$B$3:$E$50,MATCH(VLOOKUP($K52,$K$5:$AL$34,MATCH(VLOOKUP(N$37,$BJ$3:$BK$50,2,FALSE),$K$4:$AL$4,0),FALSE),BoundParameters_HiddenSheetCLAY!$B$1:$E$1,0),FALSE),IF(VLOOKUP($F52,'Table Output'!$A$1:$H$99998,8,FALSE)="Clay",VLOOKUP(N$37,BoundParameters_HiddenSheetCLAY!$B$3:$E$50,MATCH(VLOOKUP($K52,$K$5:$AL$34,MATCH(VLOOKUP(N$37,$BJ$3:$BK$50,2,FALSE),$K$4:$AL$4,0),FALSE),BoundParameters_HiddenSheetCLAY!$B$1:$E$1,0),FALSE))),'Control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8" t="str">
        <f>IF($K52="","",IF(O$37="","",IF('Control Panel'!O52="",IF(VLOOKUP($F52,'Table Output'!$A$1:$H$99998,8,FALSE)="Sand",VLOOKUP(O$37,BoundParameters_HiddenSheetSAND!$B$3:$E$50,MATCH(VLOOKUP($K52,$K$5:$AL$34,MATCH(VLOOKUP(O$37,$BJ$3:$BK$50,2,FALSE),$K$4:$AL$4,0),FALSE),BoundParameters_HiddenSheetCLAY!$B$1:$E$1,0),FALSE),IF(VLOOKUP($F52,'Table Output'!$A$1:$H$99998,8,FALSE)="Clay",VLOOKUP(O$37,BoundParameters_HiddenSheetCLAY!$B$3:$E$50,MATCH(VLOOKUP($K52,$K$5:$AL$34,MATCH(VLOOKUP(O$37,$BJ$3:$BK$50,2,FALSE),$K$4:$AL$4,0),FALSE),BoundParameters_HiddenSheetCLAY!$B$1:$E$1,0),FALSE))),'Control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8" t="str">
        <f>IF($K52="","",IF(P$37="","",IF('Control Panel'!P52="",IF(VLOOKUP($F52,'Table Output'!$A$1:$H$99998,8,FALSE)="Sand",VLOOKUP(P$37,BoundParameters_HiddenSheetSAND!$B$3:$E$50,MATCH(VLOOKUP($K52,$K$5:$AL$34,MATCH(VLOOKUP(P$37,$BJ$3:$BK$50,2,FALSE),$K$4:$AL$4,0),FALSE),BoundParameters_HiddenSheetCLAY!$B$1:$E$1,0),FALSE),IF(VLOOKUP($F52,'Table Output'!$A$1:$H$99998,8,FALSE)="Clay",VLOOKUP(P$37,BoundParameters_HiddenSheetCLAY!$B$3:$E$50,MATCH(VLOOKUP($K52,$K$5:$AL$34,MATCH(VLOOKUP(P$37,$BJ$3:$BK$50,2,FALSE),$K$4:$AL$4,0),FALSE),BoundParameters_HiddenSheetCLAY!$B$1:$E$1,0),FALSE))),'Control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8" t="str">
        <f>IF($K52="","",IF(Q$37="","",IF('Control Panel'!Q52="",IF(VLOOKUP($F52,'Table Output'!$A$1:$H$99998,8,FALSE)="Sand",VLOOKUP(Q$37,BoundParameters_HiddenSheetSAND!$B$3:$E$50,MATCH(VLOOKUP($K52,$K$5:$AL$34,MATCH(VLOOKUP(Q$37,$BJ$3:$BK$50,2,FALSE),$K$4:$AL$4,0),FALSE),BoundParameters_HiddenSheetCLAY!$B$1:$E$1,0),FALSE),IF(VLOOKUP($F52,'Table Output'!$A$1:$H$99998,8,FALSE)="Clay",VLOOKUP(Q$37,BoundParameters_HiddenSheetCLAY!$B$3:$E$50,MATCH(VLOOKUP($K52,$K$5:$AL$34,MATCH(VLOOKUP(Q$37,$BJ$3:$BK$50,2,FALSE),$K$4:$AL$4,0),FALSE),BoundParameters_HiddenSheetCLAY!$B$1:$E$1,0),FALSE))),'Control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8" t="str">
        <f>IF($K52="","",IF(R$37="","",IF('Control Panel'!R52="",IF(VLOOKUP($F52,'Table Output'!$A$1:$H$99998,8,FALSE)="Sand",VLOOKUP(R$37,BoundParameters_HiddenSheetSAND!$B$3:$E$50,MATCH(VLOOKUP($K52,$K$5:$AL$34,MATCH(VLOOKUP(R$37,$BJ$3:$BK$50,2,FALSE),$K$4:$AL$4,0),FALSE),BoundParameters_HiddenSheetCLAY!$B$1:$E$1,0),FALSE),IF(VLOOKUP($F52,'Table Output'!$A$1:$H$99998,8,FALSE)="Clay",VLOOKUP(R$37,BoundParameters_HiddenSheetCLAY!$B$3:$E$50,MATCH(VLOOKUP($K52,$K$5:$AL$34,MATCH(VLOOKUP(R$37,$BJ$3:$BK$50,2,FALSE),$K$4:$AL$4,0),FALSE),BoundParameters_HiddenSheetCLAY!$B$1:$E$1,0),FALSE))),'Control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8" t="str">
        <f>IF($K52="","",IF(S$37="","",IF('Control Panel'!S52="",IF(VLOOKUP($F52,'Table Output'!$A$1:$H$99998,8,FALSE)="Sand",VLOOKUP(S$37,BoundParameters_HiddenSheetSAND!$B$3:$E$50,MATCH(VLOOKUP($K52,$K$5:$AL$34,MATCH(VLOOKUP(S$37,$BJ$3:$BK$50,2,FALSE),$K$4:$AL$4,0),FALSE),BoundParameters_HiddenSheetCLAY!$B$1:$E$1,0),FALSE),IF(VLOOKUP($F52,'Table Output'!$A$1:$H$99998,8,FALSE)="Clay",VLOOKUP(S$37,BoundParameters_HiddenSheetCLAY!$B$3:$E$50,MATCH(VLOOKUP($K52,$K$5:$AL$34,MATCH(VLOOKUP(S$37,$BJ$3:$BK$50,2,FALSE),$K$4:$AL$4,0),FALSE),BoundParameters_HiddenSheetCLAY!$B$1:$E$1,0),FALSE))),'Control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8" t="str">
        <f>IF($K52="","",IF(T$37="","",IF('Control Panel'!T52="",IF(VLOOKUP($F52,'Table Output'!$A$1:$H$99998,8,FALSE)="Sand",VLOOKUP(T$37,BoundParameters_HiddenSheetSAND!$B$3:$E$50,MATCH(VLOOKUP($K52,$K$5:$AL$34,MATCH(VLOOKUP(T$37,$BJ$3:$BK$50,2,FALSE),$K$4:$AL$4,0),FALSE),BoundParameters_HiddenSheetCLAY!$B$1:$E$1,0),FALSE),IF(VLOOKUP($F52,'Table Output'!$A$1:$H$99998,8,FALSE)="Clay",VLOOKUP(T$37,BoundParameters_HiddenSheetCLAY!$B$3:$E$50,MATCH(VLOOKUP($K52,$K$5:$AL$34,MATCH(VLOOKUP(T$37,$BJ$3:$BK$50,2,FALSE),$K$4:$AL$4,0),FALSE),BoundParameters_HiddenSheetCLAY!$B$1:$E$1,0),FALSE))),'Control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8" t="str">
        <f>IF($K52="","",IF(U$37="","",IF('Control Panel'!U52="",IF(VLOOKUP($F52,'Table Output'!$A$1:$H$99998,8,FALSE)="Sand",VLOOKUP(U$37,BoundParameters_HiddenSheetSAND!$B$3:$E$50,MATCH(VLOOKUP($K52,$K$5:$AL$34,MATCH(VLOOKUP(U$37,$BJ$3:$BK$50,2,FALSE),$K$4:$AL$4,0),FALSE),BoundParameters_HiddenSheetCLAY!$B$1:$E$1,0),FALSE),IF(VLOOKUP($F52,'Table Output'!$A$1:$H$99998,8,FALSE)="Clay",VLOOKUP(U$37,BoundParameters_HiddenSheetCLAY!$B$3:$E$50,MATCH(VLOOKUP($K52,$K$5:$AL$34,MATCH(VLOOKUP(U$37,$BJ$3:$BK$50,2,FALSE),$K$4:$AL$4,0),FALSE),BoundParameters_HiddenSheetCLAY!$B$1:$E$1,0),FALSE))),'Control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30"/>
    </row>
    <row r="53" spans="5:63" x14ac:dyDescent="0.15">
      <c r="E53" s="2" t="str">
        <f t="shared" ref="E53:F53" si="18">E20</f>
        <v/>
      </c>
      <c r="F53" s="2" t="str">
        <f t="shared" si="18"/>
        <v/>
      </c>
      <c r="K53" s="5" t="str">
        <f t="shared" si="4"/>
        <v/>
      </c>
      <c r="L53" s="28" t="str">
        <f>IF($K53="","",IF(L$37="","",IF('Control Panel'!L53="",IF(VLOOKUP($F53,'Table Output'!$A$1:$H$99998,8,FALSE)="Sand",VLOOKUP(L$37,BoundParameters_HiddenSheetSAND!$B$3:$E$50,MATCH(VLOOKUP($K53,$K$5:$AL$34,MATCH(VLOOKUP(L$37,$BJ$3:$BK$50,2,FALSE),$K$4:$AL$4,0),FALSE),BoundParameters_HiddenSheetCLAY!$B$1:$E$1,0),FALSE),IF(VLOOKUP($F53,'Table Output'!$A$1:$H$99998,8,FALSE)="Clay",VLOOKUP(L$37,BoundParameters_HiddenSheetCLAY!$B$3:$E$50,MATCH(VLOOKUP($K53,$K$5:$AL$34,MATCH(VLOOKUP(L$37,$BJ$3:$BK$50,2,FALSE),$K$4:$AL$4,0),FALSE),BoundParameters_HiddenSheetCLAY!$B$1:$E$1,0),FALSE))),'Control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8" t="str">
        <f>IF($K53="","",IF(M$37="","",IF('Control Panel'!M53="",IF(VLOOKUP($F53,'Table Output'!$A$1:$H$99998,8,FALSE)="Sand",VLOOKUP(M$37,BoundParameters_HiddenSheetSAND!$B$3:$E$50,MATCH(VLOOKUP($K53,$K$5:$AL$34,MATCH(VLOOKUP(M$37,$BJ$3:$BK$50,2,FALSE),$K$4:$AL$4,0),FALSE),BoundParameters_HiddenSheetCLAY!$B$1:$E$1,0),FALSE),IF(VLOOKUP($F53,'Table Output'!$A$1:$H$99998,8,FALSE)="Clay",VLOOKUP(M$37,BoundParameters_HiddenSheetCLAY!$B$3:$E$50,MATCH(VLOOKUP($K53,$K$5:$AL$34,MATCH(VLOOKUP(M$37,$BJ$3:$BK$50,2,FALSE),$K$4:$AL$4,0),FALSE),BoundParameters_HiddenSheetCLAY!$B$1:$E$1,0),FALSE))),'Control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8" t="str">
        <f>IF($K53="","",IF(N$37="","",IF('Control Panel'!N53="",IF(VLOOKUP($F53,'Table Output'!$A$1:$H$99998,8,FALSE)="Sand",VLOOKUP(N$37,BoundParameters_HiddenSheetSAND!$B$3:$E$50,MATCH(VLOOKUP($K53,$K$5:$AL$34,MATCH(VLOOKUP(N$37,$BJ$3:$BK$50,2,FALSE),$K$4:$AL$4,0),FALSE),BoundParameters_HiddenSheetCLAY!$B$1:$E$1,0),FALSE),IF(VLOOKUP($F53,'Table Output'!$A$1:$H$99998,8,FALSE)="Clay",VLOOKUP(N$37,BoundParameters_HiddenSheetCLAY!$B$3:$E$50,MATCH(VLOOKUP($K53,$K$5:$AL$34,MATCH(VLOOKUP(N$37,$BJ$3:$BK$50,2,FALSE),$K$4:$AL$4,0),FALSE),BoundParameters_HiddenSheetCLAY!$B$1:$E$1,0),FALSE))),'Control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8" t="str">
        <f>IF($K53="","",IF(O$37="","",IF('Control Panel'!O53="",IF(VLOOKUP($F53,'Table Output'!$A$1:$H$99998,8,FALSE)="Sand",VLOOKUP(O$37,BoundParameters_HiddenSheetSAND!$B$3:$E$50,MATCH(VLOOKUP($K53,$K$5:$AL$34,MATCH(VLOOKUP(O$37,$BJ$3:$BK$50,2,FALSE),$K$4:$AL$4,0),FALSE),BoundParameters_HiddenSheetCLAY!$B$1:$E$1,0),FALSE),IF(VLOOKUP($F53,'Table Output'!$A$1:$H$99998,8,FALSE)="Clay",VLOOKUP(O$37,BoundParameters_HiddenSheetCLAY!$B$3:$E$50,MATCH(VLOOKUP($K53,$K$5:$AL$34,MATCH(VLOOKUP(O$37,$BJ$3:$BK$50,2,FALSE),$K$4:$AL$4,0),FALSE),BoundParameters_HiddenSheetCLAY!$B$1:$E$1,0),FALSE))),'Control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8" t="str">
        <f>IF($K53="","",IF(P$37="","",IF('Control Panel'!P53="",IF(VLOOKUP($F53,'Table Output'!$A$1:$H$99998,8,FALSE)="Sand",VLOOKUP(P$37,BoundParameters_HiddenSheetSAND!$B$3:$E$50,MATCH(VLOOKUP($K53,$K$5:$AL$34,MATCH(VLOOKUP(P$37,$BJ$3:$BK$50,2,FALSE),$K$4:$AL$4,0),FALSE),BoundParameters_HiddenSheetCLAY!$B$1:$E$1,0),FALSE),IF(VLOOKUP($F53,'Table Output'!$A$1:$H$99998,8,FALSE)="Clay",VLOOKUP(P$37,BoundParameters_HiddenSheetCLAY!$B$3:$E$50,MATCH(VLOOKUP($K53,$K$5:$AL$34,MATCH(VLOOKUP(P$37,$BJ$3:$BK$50,2,FALSE),$K$4:$AL$4,0),FALSE),BoundParameters_HiddenSheetCLAY!$B$1:$E$1,0),FALSE))),'Control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8" t="str">
        <f>IF($K53="","",IF(Q$37="","",IF('Control Panel'!Q53="",IF(VLOOKUP($F53,'Table Output'!$A$1:$H$99998,8,FALSE)="Sand",VLOOKUP(Q$37,BoundParameters_HiddenSheetSAND!$B$3:$E$50,MATCH(VLOOKUP($K53,$K$5:$AL$34,MATCH(VLOOKUP(Q$37,$BJ$3:$BK$50,2,FALSE),$K$4:$AL$4,0),FALSE),BoundParameters_HiddenSheetCLAY!$B$1:$E$1,0),FALSE),IF(VLOOKUP($F53,'Table Output'!$A$1:$H$99998,8,FALSE)="Clay",VLOOKUP(Q$37,BoundParameters_HiddenSheetCLAY!$B$3:$E$50,MATCH(VLOOKUP($K53,$K$5:$AL$34,MATCH(VLOOKUP(Q$37,$BJ$3:$BK$50,2,FALSE),$K$4:$AL$4,0),FALSE),BoundParameters_HiddenSheetCLAY!$B$1:$E$1,0),FALSE))),'Control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8" t="str">
        <f>IF($K53="","",IF(R$37="","",IF('Control Panel'!R53="",IF(VLOOKUP($F53,'Table Output'!$A$1:$H$99998,8,FALSE)="Sand",VLOOKUP(R$37,BoundParameters_HiddenSheetSAND!$B$3:$E$50,MATCH(VLOOKUP($K53,$K$5:$AL$34,MATCH(VLOOKUP(R$37,$BJ$3:$BK$50,2,FALSE),$K$4:$AL$4,0),FALSE),BoundParameters_HiddenSheetCLAY!$B$1:$E$1,0),FALSE),IF(VLOOKUP($F53,'Table Output'!$A$1:$H$99998,8,FALSE)="Clay",VLOOKUP(R$37,BoundParameters_HiddenSheetCLAY!$B$3:$E$50,MATCH(VLOOKUP($K53,$K$5:$AL$34,MATCH(VLOOKUP(R$37,$BJ$3:$BK$50,2,FALSE),$K$4:$AL$4,0),FALSE),BoundParameters_HiddenSheetCLAY!$B$1:$E$1,0),FALSE))),'Control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8" t="str">
        <f>IF($K53="","",IF(S$37="","",IF('Control Panel'!S53="",IF(VLOOKUP($F53,'Table Output'!$A$1:$H$99998,8,FALSE)="Sand",VLOOKUP(S$37,BoundParameters_HiddenSheetSAND!$B$3:$E$50,MATCH(VLOOKUP($K53,$K$5:$AL$34,MATCH(VLOOKUP(S$37,$BJ$3:$BK$50,2,FALSE),$K$4:$AL$4,0),FALSE),BoundParameters_HiddenSheetCLAY!$B$1:$E$1,0),FALSE),IF(VLOOKUP($F53,'Table Output'!$A$1:$H$99998,8,FALSE)="Clay",VLOOKUP(S$37,BoundParameters_HiddenSheetCLAY!$B$3:$E$50,MATCH(VLOOKUP($K53,$K$5:$AL$34,MATCH(VLOOKUP(S$37,$BJ$3:$BK$50,2,FALSE),$K$4:$AL$4,0),FALSE),BoundParameters_HiddenSheetCLAY!$B$1:$E$1,0),FALSE))),'Control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8" t="str">
        <f>IF($K53="","",IF(T$37="","",IF('Control Panel'!T53="",IF(VLOOKUP($F53,'Table Output'!$A$1:$H$99998,8,FALSE)="Sand",VLOOKUP(T$37,BoundParameters_HiddenSheetSAND!$B$3:$E$50,MATCH(VLOOKUP($K53,$K$5:$AL$34,MATCH(VLOOKUP(T$37,$BJ$3:$BK$50,2,FALSE),$K$4:$AL$4,0),FALSE),BoundParameters_HiddenSheetCLAY!$B$1:$E$1,0),FALSE),IF(VLOOKUP($F53,'Table Output'!$A$1:$H$99998,8,FALSE)="Clay",VLOOKUP(T$37,BoundParameters_HiddenSheetCLAY!$B$3:$E$50,MATCH(VLOOKUP($K53,$K$5:$AL$34,MATCH(VLOOKUP(T$37,$BJ$3:$BK$50,2,FALSE),$K$4:$AL$4,0),FALSE),BoundParameters_HiddenSheetCLAY!$B$1:$E$1,0),FALSE))),'Control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8" t="str">
        <f>IF($K53="","",IF(U$37="","",IF('Control Panel'!U53="",IF(VLOOKUP($F53,'Table Output'!$A$1:$H$99998,8,FALSE)="Sand",VLOOKUP(U$37,BoundParameters_HiddenSheetSAND!$B$3:$E$50,MATCH(VLOOKUP($K53,$K$5:$AL$34,MATCH(VLOOKUP(U$37,$BJ$3:$BK$50,2,FALSE),$K$4:$AL$4,0),FALSE),BoundParameters_HiddenSheetCLAY!$B$1:$E$1,0),FALSE),IF(VLOOKUP($F53,'Table Output'!$A$1:$H$99998,8,FALSE)="Clay",VLOOKUP(U$37,BoundParameters_HiddenSheetCLAY!$B$3:$E$50,MATCH(VLOOKUP($K53,$K$5:$AL$34,MATCH(VLOOKUP(U$37,$BJ$3:$BK$50,2,FALSE),$K$4:$AL$4,0),FALSE),BoundParameters_HiddenSheetCLAY!$B$1:$E$1,0),FALSE))),'Control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30"/>
    </row>
    <row r="54" spans="5:63" x14ac:dyDescent="0.15"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5" t="str">
        <f t="shared" si="4"/>
        <v/>
      </c>
      <c r="L54" s="28" t="str">
        <f>IF($K54="","",IF(L$37="","",IF('Control Panel'!L54="",IF(VLOOKUP($F54,'Table Output'!$A$1:$H$99998,8,FALSE)="Sand",VLOOKUP(L$37,BoundParameters_HiddenSheetSAND!$B$3:$E$50,MATCH(VLOOKUP($K54,$K$5:$AL$34,MATCH(VLOOKUP(L$37,$BJ$3:$BK$50,2,FALSE),$K$4:$AL$4,0),FALSE),BoundParameters_HiddenSheetCLAY!$B$1:$E$1,0),FALSE),IF(VLOOKUP($F54,'Table Output'!$A$1:$H$99998,8,FALSE)="Clay",VLOOKUP(L$37,BoundParameters_HiddenSheetCLAY!$B$3:$E$50,MATCH(VLOOKUP($K54,$K$5:$AL$34,MATCH(VLOOKUP(L$37,$BJ$3:$BK$50,2,FALSE),$K$4:$AL$4,0),FALSE),BoundParameters_HiddenSheetCLAY!$B$1:$E$1,0),FALSE))),'Control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8" t="str">
        <f>IF($K54="","",IF(M$37="","",IF('Control Panel'!M54="",IF(VLOOKUP($F54,'Table Output'!$A$1:$H$99998,8,FALSE)="Sand",VLOOKUP(M$37,BoundParameters_HiddenSheetSAND!$B$3:$E$50,MATCH(VLOOKUP($K54,$K$5:$AL$34,MATCH(VLOOKUP(M$37,$BJ$3:$BK$50,2,FALSE),$K$4:$AL$4,0),FALSE),BoundParameters_HiddenSheetCLAY!$B$1:$E$1,0),FALSE),IF(VLOOKUP($F54,'Table Output'!$A$1:$H$99998,8,FALSE)="Clay",VLOOKUP(M$37,BoundParameters_HiddenSheetCLAY!$B$3:$E$50,MATCH(VLOOKUP($K54,$K$5:$AL$34,MATCH(VLOOKUP(M$37,$BJ$3:$BK$50,2,FALSE),$K$4:$AL$4,0),FALSE),BoundParameters_HiddenSheetCLAY!$B$1:$E$1,0),FALSE))),'Control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8" t="str">
        <f>IF($K54="","",IF(N$37="","",IF('Control Panel'!N54="",IF(VLOOKUP($F54,'Table Output'!$A$1:$H$99998,8,FALSE)="Sand",VLOOKUP(N$37,BoundParameters_HiddenSheetSAND!$B$3:$E$50,MATCH(VLOOKUP($K54,$K$5:$AL$34,MATCH(VLOOKUP(N$37,$BJ$3:$BK$50,2,FALSE),$K$4:$AL$4,0),FALSE),BoundParameters_HiddenSheetCLAY!$B$1:$E$1,0),FALSE),IF(VLOOKUP($F54,'Table Output'!$A$1:$H$99998,8,FALSE)="Clay",VLOOKUP(N$37,BoundParameters_HiddenSheetCLAY!$B$3:$E$50,MATCH(VLOOKUP($K54,$K$5:$AL$34,MATCH(VLOOKUP(N$37,$BJ$3:$BK$50,2,FALSE),$K$4:$AL$4,0),FALSE),BoundParameters_HiddenSheetCLAY!$B$1:$E$1,0),FALSE))),'Control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8" t="str">
        <f>IF($K54="","",IF(O$37="","",IF('Control Panel'!O54="",IF(VLOOKUP($F54,'Table Output'!$A$1:$H$99998,8,FALSE)="Sand",VLOOKUP(O$37,BoundParameters_HiddenSheetSAND!$B$3:$E$50,MATCH(VLOOKUP($K54,$K$5:$AL$34,MATCH(VLOOKUP(O$37,$BJ$3:$BK$50,2,FALSE),$K$4:$AL$4,0),FALSE),BoundParameters_HiddenSheetCLAY!$B$1:$E$1,0),FALSE),IF(VLOOKUP($F54,'Table Output'!$A$1:$H$99998,8,FALSE)="Clay",VLOOKUP(O$37,BoundParameters_HiddenSheetCLAY!$B$3:$E$50,MATCH(VLOOKUP($K54,$K$5:$AL$34,MATCH(VLOOKUP(O$37,$BJ$3:$BK$50,2,FALSE),$K$4:$AL$4,0),FALSE),BoundParameters_HiddenSheetCLAY!$B$1:$E$1,0),FALSE))),'Control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8" t="str">
        <f>IF($K54="","",IF(P$37="","",IF('Control Panel'!P54="",IF(VLOOKUP($F54,'Table Output'!$A$1:$H$99998,8,FALSE)="Sand",VLOOKUP(P$37,BoundParameters_HiddenSheetSAND!$B$3:$E$50,MATCH(VLOOKUP($K54,$K$5:$AL$34,MATCH(VLOOKUP(P$37,$BJ$3:$BK$50,2,FALSE),$K$4:$AL$4,0),FALSE),BoundParameters_HiddenSheetCLAY!$B$1:$E$1,0),FALSE),IF(VLOOKUP($F54,'Table Output'!$A$1:$H$99998,8,FALSE)="Clay",VLOOKUP(P$37,BoundParameters_HiddenSheetCLAY!$B$3:$E$50,MATCH(VLOOKUP($K54,$K$5:$AL$34,MATCH(VLOOKUP(P$37,$BJ$3:$BK$50,2,FALSE),$K$4:$AL$4,0),FALSE),BoundParameters_HiddenSheetCLAY!$B$1:$E$1,0),FALSE))),'Control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8" t="str">
        <f>IF($K54="","",IF(Q$37="","",IF('Control Panel'!Q54="",IF(VLOOKUP($F54,'Table Output'!$A$1:$H$99998,8,FALSE)="Sand",VLOOKUP(Q$37,BoundParameters_HiddenSheetSAND!$B$3:$E$50,MATCH(VLOOKUP($K54,$K$5:$AL$34,MATCH(VLOOKUP(Q$37,$BJ$3:$BK$50,2,FALSE),$K$4:$AL$4,0),FALSE),BoundParameters_HiddenSheetCLAY!$B$1:$E$1,0),FALSE),IF(VLOOKUP($F54,'Table Output'!$A$1:$H$99998,8,FALSE)="Clay",VLOOKUP(Q$37,BoundParameters_HiddenSheetCLAY!$B$3:$E$50,MATCH(VLOOKUP($K54,$K$5:$AL$34,MATCH(VLOOKUP(Q$37,$BJ$3:$BK$50,2,FALSE),$K$4:$AL$4,0),FALSE),BoundParameters_HiddenSheetCLAY!$B$1:$E$1,0),FALSE))),'Control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8" t="str">
        <f>IF($K54="","",IF(R$37="","",IF('Control Panel'!R54="",IF(VLOOKUP($F54,'Table Output'!$A$1:$H$99998,8,FALSE)="Sand",VLOOKUP(R$37,BoundParameters_HiddenSheetSAND!$B$3:$E$50,MATCH(VLOOKUP($K54,$K$5:$AL$34,MATCH(VLOOKUP(R$37,$BJ$3:$BK$50,2,FALSE),$K$4:$AL$4,0),FALSE),BoundParameters_HiddenSheetCLAY!$B$1:$E$1,0),FALSE),IF(VLOOKUP($F54,'Table Output'!$A$1:$H$99998,8,FALSE)="Clay",VLOOKUP(R$37,BoundParameters_HiddenSheetCLAY!$B$3:$E$50,MATCH(VLOOKUP($K54,$K$5:$AL$34,MATCH(VLOOKUP(R$37,$BJ$3:$BK$50,2,FALSE),$K$4:$AL$4,0),FALSE),BoundParameters_HiddenSheetCLAY!$B$1:$E$1,0),FALSE))),'Control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8" t="str">
        <f>IF($K54="","",IF(S$37="","",IF('Control Panel'!S54="",IF(VLOOKUP($F54,'Table Output'!$A$1:$H$99998,8,FALSE)="Sand",VLOOKUP(S$37,BoundParameters_HiddenSheetSAND!$B$3:$E$50,MATCH(VLOOKUP($K54,$K$5:$AL$34,MATCH(VLOOKUP(S$37,$BJ$3:$BK$50,2,FALSE),$K$4:$AL$4,0),FALSE),BoundParameters_HiddenSheetCLAY!$B$1:$E$1,0),FALSE),IF(VLOOKUP($F54,'Table Output'!$A$1:$H$99998,8,FALSE)="Clay",VLOOKUP(S$37,BoundParameters_HiddenSheetCLAY!$B$3:$E$50,MATCH(VLOOKUP($K54,$K$5:$AL$34,MATCH(VLOOKUP(S$37,$BJ$3:$BK$50,2,FALSE),$K$4:$AL$4,0),FALSE),BoundParameters_HiddenSheetCLAY!$B$1:$E$1,0),FALSE))),'Control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8" t="str">
        <f>IF($K54="","",IF(T$37="","",IF('Control Panel'!T54="",IF(VLOOKUP($F54,'Table Output'!$A$1:$H$99998,8,FALSE)="Sand",VLOOKUP(T$37,BoundParameters_HiddenSheetSAND!$B$3:$E$50,MATCH(VLOOKUP($K54,$K$5:$AL$34,MATCH(VLOOKUP(T$37,$BJ$3:$BK$50,2,FALSE),$K$4:$AL$4,0),FALSE),BoundParameters_HiddenSheetCLAY!$B$1:$E$1,0),FALSE),IF(VLOOKUP($F54,'Table Output'!$A$1:$H$99998,8,FALSE)="Clay",VLOOKUP(T$37,BoundParameters_HiddenSheetCLAY!$B$3:$E$50,MATCH(VLOOKUP($K54,$K$5:$AL$34,MATCH(VLOOKUP(T$37,$BJ$3:$BK$50,2,FALSE),$K$4:$AL$4,0),FALSE),BoundParameters_HiddenSheetCLAY!$B$1:$E$1,0),FALSE))),'Control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8" t="str">
        <f>IF($K54="","",IF(U$37="","",IF('Control Panel'!U54="",IF(VLOOKUP($F54,'Table Output'!$A$1:$H$99998,8,FALSE)="Sand",VLOOKUP(U$37,BoundParameters_HiddenSheetSAND!$B$3:$E$50,MATCH(VLOOKUP($K54,$K$5:$AL$34,MATCH(VLOOKUP(U$37,$BJ$3:$BK$50,2,FALSE),$K$4:$AL$4,0),FALSE),BoundParameters_HiddenSheetCLAY!$B$1:$E$1,0),FALSE),IF(VLOOKUP($F54,'Table Output'!$A$1:$H$99998,8,FALSE)="Clay",VLOOKUP(U$37,BoundParameters_HiddenSheetCLAY!$B$3:$E$50,MATCH(VLOOKUP($K54,$K$5:$AL$34,MATCH(VLOOKUP(U$37,$BJ$3:$BK$50,2,FALSE),$K$4:$AL$4,0),FALSE),BoundParameters_HiddenSheetCLAY!$B$1:$E$1,0),FALSE))),'Control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30"/>
    </row>
    <row r="55" spans="5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5" t="str">
        <f t="shared" si="4"/>
        <v/>
      </c>
      <c r="L55" s="28" t="str">
        <f>IF($K55="","",IF(L$37="","",IF('Control Panel'!L55="",IF(VLOOKUP($F55,'Table Output'!$A$1:$H$99998,8,FALSE)="Sand",VLOOKUP(L$37,BoundParameters_HiddenSheetSAND!$B$3:$E$50,MATCH(VLOOKUP($K55,$K$5:$AL$34,MATCH(VLOOKUP(L$37,$BJ$3:$BK$50,2,FALSE),$K$4:$AL$4,0),FALSE),BoundParameters_HiddenSheetCLAY!$B$1:$E$1,0),FALSE),IF(VLOOKUP($F55,'Table Output'!$A$1:$H$99998,8,FALSE)="Clay",VLOOKUP(L$37,BoundParameters_HiddenSheetCLAY!$B$3:$E$50,MATCH(VLOOKUP($K55,$K$5:$AL$34,MATCH(VLOOKUP(L$37,$BJ$3:$BK$50,2,FALSE),$K$4:$AL$4,0),FALSE),BoundParameters_HiddenSheetCLAY!$B$1:$E$1,0),FALSE))),'Control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8" t="str">
        <f>IF($K55="","",IF(M$37="","",IF('Control Panel'!M55="",IF(VLOOKUP($F55,'Table Output'!$A$1:$H$99998,8,FALSE)="Sand",VLOOKUP(M$37,BoundParameters_HiddenSheetSAND!$B$3:$E$50,MATCH(VLOOKUP($K55,$K$5:$AL$34,MATCH(VLOOKUP(M$37,$BJ$3:$BK$50,2,FALSE),$K$4:$AL$4,0),FALSE),BoundParameters_HiddenSheetCLAY!$B$1:$E$1,0),FALSE),IF(VLOOKUP($F55,'Table Output'!$A$1:$H$99998,8,FALSE)="Clay",VLOOKUP(M$37,BoundParameters_HiddenSheetCLAY!$B$3:$E$50,MATCH(VLOOKUP($K55,$K$5:$AL$34,MATCH(VLOOKUP(M$37,$BJ$3:$BK$50,2,FALSE),$K$4:$AL$4,0),FALSE),BoundParameters_HiddenSheetCLAY!$B$1:$E$1,0),FALSE))),'Control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8" t="str">
        <f>IF($K55="","",IF(N$37="","",IF('Control Panel'!N55="",IF(VLOOKUP($F55,'Table Output'!$A$1:$H$99998,8,FALSE)="Sand",VLOOKUP(N$37,BoundParameters_HiddenSheetSAND!$B$3:$E$50,MATCH(VLOOKUP($K55,$K$5:$AL$34,MATCH(VLOOKUP(N$37,$BJ$3:$BK$50,2,FALSE),$K$4:$AL$4,0),FALSE),BoundParameters_HiddenSheetCLAY!$B$1:$E$1,0),FALSE),IF(VLOOKUP($F55,'Table Output'!$A$1:$H$99998,8,FALSE)="Clay",VLOOKUP(N$37,BoundParameters_HiddenSheetCLAY!$B$3:$E$50,MATCH(VLOOKUP($K55,$K$5:$AL$34,MATCH(VLOOKUP(N$37,$BJ$3:$BK$50,2,FALSE),$K$4:$AL$4,0),FALSE),BoundParameters_HiddenSheetCLAY!$B$1:$E$1,0),FALSE))),'Control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8" t="str">
        <f>IF($K55="","",IF(O$37="","",IF('Control Panel'!O55="",IF(VLOOKUP($F55,'Table Output'!$A$1:$H$99998,8,FALSE)="Sand",VLOOKUP(O$37,BoundParameters_HiddenSheetSAND!$B$3:$E$50,MATCH(VLOOKUP($K55,$K$5:$AL$34,MATCH(VLOOKUP(O$37,$BJ$3:$BK$50,2,FALSE),$K$4:$AL$4,0),FALSE),BoundParameters_HiddenSheetCLAY!$B$1:$E$1,0),FALSE),IF(VLOOKUP($F55,'Table Output'!$A$1:$H$99998,8,FALSE)="Clay",VLOOKUP(O$37,BoundParameters_HiddenSheetCLAY!$B$3:$E$50,MATCH(VLOOKUP($K55,$K$5:$AL$34,MATCH(VLOOKUP(O$37,$BJ$3:$BK$50,2,FALSE),$K$4:$AL$4,0),FALSE),BoundParameters_HiddenSheetCLAY!$B$1:$E$1,0),FALSE))),'Control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8" t="str">
        <f>IF($K55="","",IF(P$37="","",IF('Control Panel'!P55="",IF(VLOOKUP($F55,'Table Output'!$A$1:$H$99998,8,FALSE)="Sand",VLOOKUP(P$37,BoundParameters_HiddenSheetSAND!$B$3:$E$50,MATCH(VLOOKUP($K55,$K$5:$AL$34,MATCH(VLOOKUP(P$37,$BJ$3:$BK$50,2,FALSE),$K$4:$AL$4,0),FALSE),BoundParameters_HiddenSheetCLAY!$B$1:$E$1,0),FALSE),IF(VLOOKUP($F55,'Table Output'!$A$1:$H$99998,8,FALSE)="Clay",VLOOKUP(P$37,BoundParameters_HiddenSheetCLAY!$B$3:$E$50,MATCH(VLOOKUP($K55,$K$5:$AL$34,MATCH(VLOOKUP(P$37,$BJ$3:$BK$50,2,FALSE),$K$4:$AL$4,0),FALSE),BoundParameters_HiddenSheetCLAY!$B$1:$E$1,0),FALSE))),'Control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8" t="str">
        <f>IF($K55="","",IF(Q$37="","",IF('Control Panel'!Q55="",IF(VLOOKUP($F55,'Table Output'!$A$1:$H$99998,8,FALSE)="Sand",VLOOKUP(Q$37,BoundParameters_HiddenSheetSAND!$B$3:$E$50,MATCH(VLOOKUP($K55,$K$5:$AL$34,MATCH(VLOOKUP(Q$37,$BJ$3:$BK$50,2,FALSE),$K$4:$AL$4,0),FALSE),BoundParameters_HiddenSheetCLAY!$B$1:$E$1,0),FALSE),IF(VLOOKUP($F55,'Table Output'!$A$1:$H$99998,8,FALSE)="Clay",VLOOKUP(Q$37,BoundParameters_HiddenSheetCLAY!$B$3:$E$50,MATCH(VLOOKUP($K55,$K$5:$AL$34,MATCH(VLOOKUP(Q$37,$BJ$3:$BK$50,2,FALSE),$K$4:$AL$4,0),FALSE),BoundParameters_HiddenSheetCLAY!$B$1:$E$1,0),FALSE))),'Control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8" t="str">
        <f>IF($K55="","",IF(R$37="","",IF('Control Panel'!R55="",IF(VLOOKUP($F55,'Table Output'!$A$1:$H$99998,8,FALSE)="Sand",VLOOKUP(R$37,BoundParameters_HiddenSheetSAND!$B$3:$E$50,MATCH(VLOOKUP($K55,$K$5:$AL$34,MATCH(VLOOKUP(R$37,$BJ$3:$BK$50,2,FALSE),$K$4:$AL$4,0),FALSE),BoundParameters_HiddenSheetCLAY!$B$1:$E$1,0),FALSE),IF(VLOOKUP($F55,'Table Output'!$A$1:$H$99998,8,FALSE)="Clay",VLOOKUP(R$37,BoundParameters_HiddenSheetCLAY!$B$3:$E$50,MATCH(VLOOKUP($K55,$K$5:$AL$34,MATCH(VLOOKUP(R$37,$BJ$3:$BK$50,2,FALSE),$K$4:$AL$4,0),FALSE),BoundParameters_HiddenSheetCLAY!$B$1:$E$1,0),FALSE))),'Control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8" t="str">
        <f>IF($K55="","",IF(S$37="","",IF('Control Panel'!S55="",IF(VLOOKUP($F55,'Table Output'!$A$1:$H$99998,8,FALSE)="Sand",VLOOKUP(S$37,BoundParameters_HiddenSheetSAND!$B$3:$E$50,MATCH(VLOOKUP($K55,$K$5:$AL$34,MATCH(VLOOKUP(S$37,$BJ$3:$BK$50,2,FALSE),$K$4:$AL$4,0),FALSE),BoundParameters_HiddenSheetCLAY!$B$1:$E$1,0),FALSE),IF(VLOOKUP($F55,'Table Output'!$A$1:$H$99998,8,FALSE)="Clay",VLOOKUP(S$37,BoundParameters_HiddenSheetCLAY!$B$3:$E$50,MATCH(VLOOKUP($K55,$K$5:$AL$34,MATCH(VLOOKUP(S$37,$BJ$3:$BK$50,2,FALSE),$K$4:$AL$4,0),FALSE),BoundParameters_HiddenSheetCLAY!$B$1:$E$1,0),FALSE))),'Control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8" t="str">
        <f>IF($K55="","",IF(T$37="","",IF('Control Panel'!T55="",IF(VLOOKUP($F55,'Table Output'!$A$1:$H$99998,8,FALSE)="Sand",VLOOKUP(T$37,BoundParameters_HiddenSheetSAND!$B$3:$E$50,MATCH(VLOOKUP($K55,$K$5:$AL$34,MATCH(VLOOKUP(T$37,$BJ$3:$BK$50,2,FALSE),$K$4:$AL$4,0),FALSE),BoundParameters_HiddenSheetCLAY!$B$1:$E$1,0),FALSE),IF(VLOOKUP($F55,'Table Output'!$A$1:$H$99998,8,FALSE)="Clay",VLOOKUP(T$37,BoundParameters_HiddenSheetCLAY!$B$3:$E$50,MATCH(VLOOKUP($K55,$K$5:$AL$34,MATCH(VLOOKUP(T$37,$BJ$3:$BK$50,2,FALSE),$K$4:$AL$4,0),FALSE),BoundParameters_HiddenSheetCLAY!$B$1:$E$1,0),FALSE))),'Control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8" t="str">
        <f>IF($K55="","",IF(U$37="","",IF('Control Panel'!U55="",IF(VLOOKUP($F55,'Table Output'!$A$1:$H$99998,8,FALSE)="Sand",VLOOKUP(U$37,BoundParameters_HiddenSheetSAND!$B$3:$E$50,MATCH(VLOOKUP($K55,$K$5:$AL$34,MATCH(VLOOKUP(U$37,$BJ$3:$BK$50,2,FALSE),$K$4:$AL$4,0),FALSE),BoundParameters_HiddenSheetCLAY!$B$1:$E$1,0),FALSE),IF(VLOOKUP($F55,'Table Output'!$A$1:$H$99998,8,FALSE)="Clay",VLOOKUP(U$37,BoundParameters_HiddenSheetCLAY!$B$3:$E$50,MATCH(VLOOKUP($K55,$K$5:$AL$34,MATCH(VLOOKUP(U$37,$BJ$3:$BK$50,2,FALSE),$K$4:$AL$4,0),FALSE),BoundParameters_HiddenSheetCLAY!$B$1:$E$1,0),FALSE))),'Control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5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5" t="str">
        <f t="shared" si="4"/>
        <v/>
      </c>
      <c r="L56" s="28" t="str">
        <f>IF($K56="","",IF(L$37="","",IF('Control Panel'!L56="",IF(VLOOKUP($F56,'Table Output'!$A$1:$H$99998,8,FALSE)="Sand",VLOOKUP(L$37,BoundParameters_HiddenSheetSAND!$B$3:$E$50,MATCH(VLOOKUP($K56,$K$5:$AL$34,MATCH(VLOOKUP(L$37,$BJ$3:$BK$50,2,FALSE),$K$4:$AL$4,0),FALSE),BoundParameters_HiddenSheetCLAY!$B$1:$E$1,0),FALSE),IF(VLOOKUP($F56,'Table Output'!$A$1:$H$99998,8,FALSE)="Clay",VLOOKUP(L$37,BoundParameters_HiddenSheetCLAY!$B$3:$E$50,MATCH(VLOOKUP($K56,$K$5:$AL$34,MATCH(VLOOKUP(L$37,$BJ$3:$BK$50,2,FALSE),$K$4:$AL$4,0),FALSE),BoundParameters_HiddenSheetCLAY!$B$1:$E$1,0),FALSE))),'Control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8" t="str">
        <f>IF($K56="","",IF(M$37="","",IF('Control Panel'!M56="",IF(VLOOKUP($F56,'Table Output'!$A$1:$H$99998,8,FALSE)="Sand",VLOOKUP(M$37,BoundParameters_HiddenSheetSAND!$B$3:$E$50,MATCH(VLOOKUP($K56,$K$5:$AL$34,MATCH(VLOOKUP(M$37,$BJ$3:$BK$50,2,FALSE),$K$4:$AL$4,0),FALSE),BoundParameters_HiddenSheetCLAY!$B$1:$E$1,0),FALSE),IF(VLOOKUP($F56,'Table Output'!$A$1:$H$99998,8,FALSE)="Clay",VLOOKUP(M$37,BoundParameters_HiddenSheetCLAY!$B$3:$E$50,MATCH(VLOOKUP($K56,$K$5:$AL$34,MATCH(VLOOKUP(M$37,$BJ$3:$BK$50,2,FALSE),$K$4:$AL$4,0),FALSE),BoundParameters_HiddenSheetCLAY!$B$1:$E$1,0),FALSE))),'Control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8" t="str">
        <f>IF($K56="","",IF(N$37="","",IF('Control Panel'!N56="",IF(VLOOKUP($F56,'Table Output'!$A$1:$H$99998,8,FALSE)="Sand",VLOOKUP(N$37,BoundParameters_HiddenSheetSAND!$B$3:$E$50,MATCH(VLOOKUP($K56,$K$5:$AL$34,MATCH(VLOOKUP(N$37,$BJ$3:$BK$50,2,FALSE),$K$4:$AL$4,0),FALSE),BoundParameters_HiddenSheetCLAY!$B$1:$E$1,0),FALSE),IF(VLOOKUP($F56,'Table Output'!$A$1:$H$99998,8,FALSE)="Clay",VLOOKUP(N$37,BoundParameters_HiddenSheetCLAY!$B$3:$E$50,MATCH(VLOOKUP($K56,$K$5:$AL$34,MATCH(VLOOKUP(N$37,$BJ$3:$BK$50,2,FALSE),$K$4:$AL$4,0),FALSE),BoundParameters_HiddenSheetCLAY!$B$1:$E$1,0),FALSE))),'Control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8" t="str">
        <f>IF($K56="","",IF(O$37="","",IF('Control Panel'!O56="",IF(VLOOKUP($F56,'Table Output'!$A$1:$H$99998,8,FALSE)="Sand",VLOOKUP(O$37,BoundParameters_HiddenSheetSAND!$B$3:$E$50,MATCH(VLOOKUP($K56,$K$5:$AL$34,MATCH(VLOOKUP(O$37,$BJ$3:$BK$50,2,FALSE),$K$4:$AL$4,0),FALSE),BoundParameters_HiddenSheetCLAY!$B$1:$E$1,0),FALSE),IF(VLOOKUP($F56,'Table Output'!$A$1:$H$99998,8,FALSE)="Clay",VLOOKUP(O$37,BoundParameters_HiddenSheetCLAY!$B$3:$E$50,MATCH(VLOOKUP($K56,$K$5:$AL$34,MATCH(VLOOKUP(O$37,$BJ$3:$BK$50,2,FALSE),$K$4:$AL$4,0),FALSE),BoundParameters_HiddenSheetCLAY!$B$1:$E$1,0),FALSE))),'Control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8" t="str">
        <f>IF($K56="","",IF(P$37="","",IF('Control Panel'!P56="",IF(VLOOKUP($F56,'Table Output'!$A$1:$H$99998,8,FALSE)="Sand",VLOOKUP(P$37,BoundParameters_HiddenSheetSAND!$B$3:$E$50,MATCH(VLOOKUP($K56,$K$5:$AL$34,MATCH(VLOOKUP(P$37,$BJ$3:$BK$50,2,FALSE),$K$4:$AL$4,0),FALSE),BoundParameters_HiddenSheetCLAY!$B$1:$E$1,0),FALSE),IF(VLOOKUP($F56,'Table Output'!$A$1:$H$99998,8,FALSE)="Clay",VLOOKUP(P$37,BoundParameters_HiddenSheetCLAY!$B$3:$E$50,MATCH(VLOOKUP($K56,$K$5:$AL$34,MATCH(VLOOKUP(P$37,$BJ$3:$BK$50,2,FALSE),$K$4:$AL$4,0),FALSE),BoundParameters_HiddenSheetCLAY!$B$1:$E$1,0),FALSE))),'Control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8" t="str">
        <f>IF($K56="","",IF(Q$37="","",IF('Control Panel'!Q56="",IF(VLOOKUP($F56,'Table Output'!$A$1:$H$99998,8,FALSE)="Sand",VLOOKUP(Q$37,BoundParameters_HiddenSheetSAND!$B$3:$E$50,MATCH(VLOOKUP($K56,$K$5:$AL$34,MATCH(VLOOKUP(Q$37,$BJ$3:$BK$50,2,FALSE),$K$4:$AL$4,0),FALSE),BoundParameters_HiddenSheetCLAY!$B$1:$E$1,0),FALSE),IF(VLOOKUP($F56,'Table Output'!$A$1:$H$99998,8,FALSE)="Clay",VLOOKUP(Q$37,BoundParameters_HiddenSheetCLAY!$B$3:$E$50,MATCH(VLOOKUP($K56,$K$5:$AL$34,MATCH(VLOOKUP(Q$37,$BJ$3:$BK$50,2,FALSE),$K$4:$AL$4,0),FALSE),BoundParameters_HiddenSheetCLAY!$B$1:$E$1,0),FALSE))),'Control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8" t="str">
        <f>IF($K56="","",IF(R$37="","",IF('Control Panel'!R56="",IF(VLOOKUP($F56,'Table Output'!$A$1:$H$99998,8,FALSE)="Sand",VLOOKUP(R$37,BoundParameters_HiddenSheetSAND!$B$3:$E$50,MATCH(VLOOKUP($K56,$K$5:$AL$34,MATCH(VLOOKUP(R$37,$BJ$3:$BK$50,2,FALSE),$K$4:$AL$4,0),FALSE),BoundParameters_HiddenSheetCLAY!$B$1:$E$1,0),FALSE),IF(VLOOKUP($F56,'Table Output'!$A$1:$H$99998,8,FALSE)="Clay",VLOOKUP(R$37,BoundParameters_HiddenSheetCLAY!$B$3:$E$50,MATCH(VLOOKUP($K56,$K$5:$AL$34,MATCH(VLOOKUP(R$37,$BJ$3:$BK$50,2,FALSE),$K$4:$AL$4,0),FALSE),BoundParameters_HiddenSheetCLAY!$B$1:$E$1,0),FALSE))),'Control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8" t="str">
        <f>IF($K56="","",IF(S$37="","",IF('Control Panel'!S56="",IF(VLOOKUP($F56,'Table Output'!$A$1:$H$99998,8,FALSE)="Sand",VLOOKUP(S$37,BoundParameters_HiddenSheetSAND!$B$3:$E$50,MATCH(VLOOKUP($K56,$K$5:$AL$34,MATCH(VLOOKUP(S$37,$BJ$3:$BK$50,2,FALSE),$K$4:$AL$4,0),FALSE),BoundParameters_HiddenSheetCLAY!$B$1:$E$1,0),FALSE),IF(VLOOKUP($F56,'Table Output'!$A$1:$H$99998,8,FALSE)="Clay",VLOOKUP(S$37,BoundParameters_HiddenSheetCLAY!$B$3:$E$50,MATCH(VLOOKUP($K56,$K$5:$AL$34,MATCH(VLOOKUP(S$37,$BJ$3:$BK$50,2,FALSE),$K$4:$AL$4,0),FALSE),BoundParameters_HiddenSheetCLAY!$B$1:$E$1,0),FALSE))),'Control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8" t="str">
        <f>IF($K56="","",IF(T$37="","",IF('Control Panel'!T56="",IF(VLOOKUP($F56,'Table Output'!$A$1:$H$99998,8,FALSE)="Sand",VLOOKUP(T$37,BoundParameters_HiddenSheetSAND!$B$3:$E$50,MATCH(VLOOKUP($K56,$K$5:$AL$34,MATCH(VLOOKUP(T$37,$BJ$3:$BK$50,2,FALSE),$K$4:$AL$4,0),FALSE),BoundParameters_HiddenSheetCLAY!$B$1:$E$1,0),FALSE),IF(VLOOKUP($F56,'Table Output'!$A$1:$H$99998,8,FALSE)="Clay",VLOOKUP(T$37,BoundParameters_HiddenSheetCLAY!$B$3:$E$50,MATCH(VLOOKUP($K56,$K$5:$AL$34,MATCH(VLOOKUP(T$37,$BJ$3:$BK$50,2,FALSE),$K$4:$AL$4,0),FALSE),BoundParameters_HiddenSheetCLAY!$B$1:$E$1,0),FALSE))),'Control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8" t="str">
        <f>IF($K56="","",IF(U$37="","",IF('Control Panel'!U56="",IF(VLOOKUP($F56,'Table Output'!$A$1:$H$99998,8,FALSE)="Sand",VLOOKUP(U$37,BoundParameters_HiddenSheetSAND!$B$3:$E$50,MATCH(VLOOKUP($K56,$K$5:$AL$34,MATCH(VLOOKUP(U$37,$BJ$3:$BK$50,2,FALSE),$K$4:$AL$4,0),FALSE),BoundParameters_HiddenSheetCLAY!$B$1:$E$1,0),FALSE),IF(VLOOKUP($F56,'Table Output'!$A$1:$H$99998,8,FALSE)="Clay",VLOOKUP(U$37,BoundParameters_HiddenSheetCLAY!$B$3:$E$50,MATCH(VLOOKUP($K56,$K$5:$AL$34,MATCH(VLOOKUP(U$37,$BJ$3:$BK$50,2,FALSE),$K$4:$AL$4,0),FALSE),BoundParameters_HiddenSheetCLAY!$B$1:$E$1,0),FALSE))),'Control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5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5" t="str">
        <f t="shared" si="4"/>
        <v/>
      </c>
      <c r="L57" s="28" t="str">
        <f>IF($K57="","",IF(L$37="","",IF('Control Panel'!L57="",IF(VLOOKUP($F57,'Table Output'!$A$1:$H$99998,8,FALSE)="Sand",VLOOKUP(L$37,BoundParameters_HiddenSheetSAND!$B$3:$E$50,MATCH(VLOOKUP($K57,$K$5:$AL$34,MATCH(VLOOKUP(L$37,$BJ$3:$BK$50,2,FALSE),$K$4:$AL$4,0),FALSE),BoundParameters_HiddenSheetCLAY!$B$1:$E$1,0),FALSE),IF(VLOOKUP($F57,'Table Output'!$A$1:$H$99998,8,FALSE)="Clay",VLOOKUP(L$37,BoundParameters_HiddenSheetCLAY!$B$3:$E$50,MATCH(VLOOKUP($K57,$K$5:$AL$34,MATCH(VLOOKUP(L$37,$BJ$3:$BK$50,2,FALSE),$K$4:$AL$4,0),FALSE),BoundParameters_HiddenSheetCLAY!$B$1:$E$1,0),FALSE))),'Control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8" t="str">
        <f>IF($K57="","",IF(M$37="","",IF('Control Panel'!M57="",IF(VLOOKUP($F57,'Table Output'!$A$1:$H$99998,8,FALSE)="Sand",VLOOKUP(M$37,BoundParameters_HiddenSheetSAND!$B$3:$E$50,MATCH(VLOOKUP($K57,$K$5:$AL$34,MATCH(VLOOKUP(M$37,$BJ$3:$BK$50,2,FALSE),$K$4:$AL$4,0),FALSE),BoundParameters_HiddenSheetCLAY!$B$1:$E$1,0),FALSE),IF(VLOOKUP($F57,'Table Output'!$A$1:$H$99998,8,FALSE)="Clay",VLOOKUP(M$37,BoundParameters_HiddenSheetCLAY!$B$3:$E$50,MATCH(VLOOKUP($K57,$K$5:$AL$34,MATCH(VLOOKUP(M$37,$BJ$3:$BK$50,2,FALSE),$K$4:$AL$4,0),FALSE),BoundParameters_HiddenSheetCLAY!$B$1:$E$1,0),FALSE))),'Control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8" t="str">
        <f>IF($K57="","",IF(N$37="","",IF('Control Panel'!N57="",IF(VLOOKUP($F57,'Table Output'!$A$1:$H$99998,8,FALSE)="Sand",VLOOKUP(N$37,BoundParameters_HiddenSheetSAND!$B$3:$E$50,MATCH(VLOOKUP($K57,$K$5:$AL$34,MATCH(VLOOKUP(N$37,$BJ$3:$BK$50,2,FALSE),$K$4:$AL$4,0),FALSE),BoundParameters_HiddenSheetCLAY!$B$1:$E$1,0),FALSE),IF(VLOOKUP($F57,'Table Output'!$A$1:$H$99998,8,FALSE)="Clay",VLOOKUP(N$37,BoundParameters_HiddenSheetCLAY!$B$3:$E$50,MATCH(VLOOKUP($K57,$K$5:$AL$34,MATCH(VLOOKUP(N$37,$BJ$3:$BK$50,2,FALSE),$K$4:$AL$4,0),FALSE),BoundParameters_HiddenSheetCLAY!$B$1:$E$1,0),FALSE))),'Control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8" t="str">
        <f>IF($K57="","",IF(O$37="","",IF('Control Panel'!O57="",IF(VLOOKUP($F57,'Table Output'!$A$1:$H$99998,8,FALSE)="Sand",VLOOKUP(O$37,BoundParameters_HiddenSheetSAND!$B$3:$E$50,MATCH(VLOOKUP($K57,$K$5:$AL$34,MATCH(VLOOKUP(O$37,$BJ$3:$BK$50,2,FALSE),$K$4:$AL$4,0),FALSE),BoundParameters_HiddenSheetCLAY!$B$1:$E$1,0),FALSE),IF(VLOOKUP($F57,'Table Output'!$A$1:$H$99998,8,FALSE)="Clay",VLOOKUP(O$37,BoundParameters_HiddenSheetCLAY!$B$3:$E$50,MATCH(VLOOKUP($K57,$K$5:$AL$34,MATCH(VLOOKUP(O$37,$BJ$3:$BK$50,2,FALSE),$K$4:$AL$4,0),FALSE),BoundParameters_HiddenSheetCLAY!$B$1:$E$1,0),FALSE))),'Control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8" t="str">
        <f>IF($K57="","",IF(P$37="","",IF('Control Panel'!P57="",IF(VLOOKUP($F57,'Table Output'!$A$1:$H$99998,8,FALSE)="Sand",VLOOKUP(P$37,BoundParameters_HiddenSheetSAND!$B$3:$E$50,MATCH(VLOOKUP($K57,$K$5:$AL$34,MATCH(VLOOKUP(P$37,$BJ$3:$BK$50,2,FALSE),$K$4:$AL$4,0),FALSE),BoundParameters_HiddenSheetCLAY!$B$1:$E$1,0),FALSE),IF(VLOOKUP($F57,'Table Output'!$A$1:$H$99998,8,FALSE)="Clay",VLOOKUP(P$37,BoundParameters_HiddenSheetCLAY!$B$3:$E$50,MATCH(VLOOKUP($K57,$K$5:$AL$34,MATCH(VLOOKUP(P$37,$BJ$3:$BK$50,2,FALSE),$K$4:$AL$4,0),FALSE),BoundParameters_HiddenSheetCLAY!$B$1:$E$1,0),FALSE))),'Control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8" t="str">
        <f>IF($K57="","",IF(Q$37="","",IF('Control Panel'!Q57="",IF(VLOOKUP($F57,'Table Output'!$A$1:$H$99998,8,FALSE)="Sand",VLOOKUP(Q$37,BoundParameters_HiddenSheetSAND!$B$3:$E$50,MATCH(VLOOKUP($K57,$K$5:$AL$34,MATCH(VLOOKUP(Q$37,$BJ$3:$BK$50,2,FALSE),$K$4:$AL$4,0),FALSE),BoundParameters_HiddenSheetCLAY!$B$1:$E$1,0),FALSE),IF(VLOOKUP($F57,'Table Output'!$A$1:$H$99998,8,FALSE)="Clay",VLOOKUP(Q$37,BoundParameters_HiddenSheetCLAY!$B$3:$E$50,MATCH(VLOOKUP($K57,$K$5:$AL$34,MATCH(VLOOKUP(Q$37,$BJ$3:$BK$50,2,FALSE),$K$4:$AL$4,0),FALSE),BoundParameters_HiddenSheetCLAY!$B$1:$E$1,0),FALSE))),'Control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8" t="str">
        <f>IF($K57="","",IF(R$37="","",IF('Control Panel'!R57="",IF(VLOOKUP($F57,'Table Output'!$A$1:$H$99998,8,FALSE)="Sand",VLOOKUP(R$37,BoundParameters_HiddenSheetSAND!$B$3:$E$50,MATCH(VLOOKUP($K57,$K$5:$AL$34,MATCH(VLOOKUP(R$37,$BJ$3:$BK$50,2,FALSE),$K$4:$AL$4,0),FALSE),BoundParameters_HiddenSheetCLAY!$B$1:$E$1,0),FALSE),IF(VLOOKUP($F57,'Table Output'!$A$1:$H$99998,8,FALSE)="Clay",VLOOKUP(R$37,BoundParameters_HiddenSheetCLAY!$B$3:$E$50,MATCH(VLOOKUP($K57,$K$5:$AL$34,MATCH(VLOOKUP(R$37,$BJ$3:$BK$50,2,FALSE),$K$4:$AL$4,0),FALSE),BoundParameters_HiddenSheetCLAY!$B$1:$E$1,0),FALSE))),'Control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8" t="str">
        <f>IF($K57="","",IF(S$37="","",IF('Control Panel'!S57="",IF(VLOOKUP($F57,'Table Output'!$A$1:$H$99998,8,FALSE)="Sand",VLOOKUP(S$37,BoundParameters_HiddenSheetSAND!$B$3:$E$50,MATCH(VLOOKUP($K57,$K$5:$AL$34,MATCH(VLOOKUP(S$37,$BJ$3:$BK$50,2,FALSE),$K$4:$AL$4,0),FALSE),BoundParameters_HiddenSheetCLAY!$B$1:$E$1,0),FALSE),IF(VLOOKUP($F57,'Table Output'!$A$1:$H$99998,8,FALSE)="Clay",VLOOKUP(S$37,BoundParameters_HiddenSheetCLAY!$B$3:$E$50,MATCH(VLOOKUP($K57,$K$5:$AL$34,MATCH(VLOOKUP(S$37,$BJ$3:$BK$50,2,FALSE),$K$4:$AL$4,0),FALSE),BoundParameters_HiddenSheetCLAY!$B$1:$E$1,0),FALSE))),'Control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8" t="str">
        <f>IF($K57="","",IF(T$37="","",IF('Control Panel'!T57="",IF(VLOOKUP($F57,'Table Output'!$A$1:$H$99998,8,FALSE)="Sand",VLOOKUP(T$37,BoundParameters_HiddenSheetSAND!$B$3:$E$50,MATCH(VLOOKUP($K57,$K$5:$AL$34,MATCH(VLOOKUP(T$37,$BJ$3:$BK$50,2,FALSE),$K$4:$AL$4,0),FALSE),BoundParameters_HiddenSheetCLAY!$B$1:$E$1,0),FALSE),IF(VLOOKUP($F57,'Table Output'!$A$1:$H$99998,8,FALSE)="Clay",VLOOKUP(T$37,BoundParameters_HiddenSheetCLAY!$B$3:$E$50,MATCH(VLOOKUP($K57,$K$5:$AL$34,MATCH(VLOOKUP(T$37,$BJ$3:$BK$50,2,FALSE),$K$4:$AL$4,0),FALSE),BoundParameters_HiddenSheetCLAY!$B$1:$E$1,0),FALSE))),'Control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8" t="str">
        <f>IF($K57="","",IF(U$37="","",IF('Control Panel'!U57="",IF(VLOOKUP($F57,'Table Output'!$A$1:$H$99998,8,FALSE)="Sand",VLOOKUP(U$37,BoundParameters_HiddenSheetSAND!$B$3:$E$50,MATCH(VLOOKUP($K57,$K$5:$AL$34,MATCH(VLOOKUP(U$37,$BJ$3:$BK$50,2,FALSE),$K$4:$AL$4,0),FALSE),BoundParameters_HiddenSheetCLAY!$B$1:$E$1,0),FALSE),IF(VLOOKUP($F57,'Table Output'!$A$1:$H$99998,8,FALSE)="Clay",VLOOKUP(U$37,BoundParameters_HiddenSheetCLAY!$B$3:$E$50,MATCH(VLOOKUP($K57,$K$5:$AL$34,MATCH(VLOOKUP(U$37,$BJ$3:$BK$50,2,FALSE),$K$4:$AL$4,0),FALSE),BoundParameters_HiddenSheetCLAY!$B$1:$E$1,0),FALSE))),'Control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5:63" x14ac:dyDescent="0.15"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5" t="str">
        <f t="shared" si="4"/>
        <v/>
      </c>
      <c r="L58" s="28" t="str">
        <f>IF($K58="","",IF(L$37="","",IF('Control Panel'!L58="",IF(VLOOKUP($F58,'Table Output'!$A$1:$H$99998,8,FALSE)="Sand",VLOOKUP(L$37,BoundParameters_HiddenSheetSAND!$B$3:$E$50,MATCH(VLOOKUP($K58,$K$5:$AL$34,MATCH(VLOOKUP(L$37,$BJ$3:$BK$50,2,FALSE),$K$4:$AL$4,0),FALSE),BoundParameters_HiddenSheetCLAY!$B$1:$E$1,0),FALSE),IF(VLOOKUP($F58,'Table Output'!$A$1:$H$99998,8,FALSE)="Clay",VLOOKUP(L$37,BoundParameters_HiddenSheetCLAY!$B$3:$E$50,MATCH(VLOOKUP($K58,$K$5:$AL$34,MATCH(VLOOKUP(L$37,$BJ$3:$BK$50,2,FALSE),$K$4:$AL$4,0),FALSE),BoundParameters_HiddenSheetCLAY!$B$1:$E$1,0),FALSE))),'Control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8" t="str">
        <f>IF($K58="","",IF(M$37="","",IF('Control Panel'!M58="",IF(VLOOKUP($F58,'Table Output'!$A$1:$H$99998,8,FALSE)="Sand",VLOOKUP(M$37,BoundParameters_HiddenSheetSAND!$B$3:$E$50,MATCH(VLOOKUP($K58,$K$5:$AL$34,MATCH(VLOOKUP(M$37,$BJ$3:$BK$50,2,FALSE),$K$4:$AL$4,0),FALSE),BoundParameters_HiddenSheetCLAY!$B$1:$E$1,0),FALSE),IF(VLOOKUP($F58,'Table Output'!$A$1:$H$99998,8,FALSE)="Clay",VLOOKUP(M$37,BoundParameters_HiddenSheetCLAY!$B$3:$E$50,MATCH(VLOOKUP($K58,$K$5:$AL$34,MATCH(VLOOKUP(M$37,$BJ$3:$BK$50,2,FALSE),$K$4:$AL$4,0),FALSE),BoundParameters_HiddenSheetCLAY!$B$1:$E$1,0),FALSE))),'Control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8" t="str">
        <f>IF($K58="","",IF(N$37="","",IF('Control Panel'!N58="",IF(VLOOKUP($F58,'Table Output'!$A$1:$H$99998,8,FALSE)="Sand",VLOOKUP(N$37,BoundParameters_HiddenSheetSAND!$B$3:$E$50,MATCH(VLOOKUP($K58,$K$5:$AL$34,MATCH(VLOOKUP(N$37,$BJ$3:$BK$50,2,FALSE),$K$4:$AL$4,0),FALSE),BoundParameters_HiddenSheetCLAY!$B$1:$E$1,0),FALSE),IF(VLOOKUP($F58,'Table Output'!$A$1:$H$99998,8,FALSE)="Clay",VLOOKUP(N$37,BoundParameters_HiddenSheetCLAY!$B$3:$E$50,MATCH(VLOOKUP($K58,$K$5:$AL$34,MATCH(VLOOKUP(N$37,$BJ$3:$BK$50,2,FALSE),$K$4:$AL$4,0),FALSE),BoundParameters_HiddenSheetCLAY!$B$1:$E$1,0),FALSE))),'Control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8" t="str">
        <f>IF($K58="","",IF(O$37="","",IF('Control Panel'!O58="",IF(VLOOKUP($F58,'Table Output'!$A$1:$H$99998,8,FALSE)="Sand",VLOOKUP(O$37,BoundParameters_HiddenSheetSAND!$B$3:$E$50,MATCH(VLOOKUP($K58,$K$5:$AL$34,MATCH(VLOOKUP(O$37,$BJ$3:$BK$50,2,FALSE),$K$4:$AL$4,0),FALSE),BoundParameters_HiddenSheetCLAY!$B$1:$E$1,0),FALSE),IF(VLOOKUP($F58,'Table Output'!$A$1:$H$99998,8,FALSE)="Clay",VLOOKUP(O$37,BoundParameters_HiddenSheetCLAY!$B$3:$E$50,MATCH(VLOOKUP($K58,$K$5:$AL$34,MATCH(VLOOKUP(O$37,$BJ$3:$BK$50,2,FALSE),$K$4:$AL$4,0),FALSE),BoundParameters_HiddenSheetCLAY!$B$1:$E$1,0),FALSE))),'Control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8" t="str">
        <f>IF($K58="","",IF(P$37="","",IF('Control Panel'!P58="",IF(VLOOKUP($F58,'Table Output'!$A$1:$H$99998,8,FALSE)="Sand",VLOOKUP(P$37,BoundParameters_HiddenSheetSAND!$B$3:$E$50,MATCH(VLOOKUP($K58,$K$5:$AL$34,MATCH(VLOOKUP(P$37,$BJ$3:$BK$50,2,FALSE),$K$4:$AL$4,0),FALSE),BoundParameters_HiddenSheetCLAY!$B$1:$E$1,0),FALSE),IF(VLOOKUP($F58,'Table Output'!$A$1:$H$99998,8,FALSE)="Clay",VLOOKUP(P$37,BoundParameters_HiddenSheetCLAY!$B$3:$E$50,MATCH(VLOOKUP($K58,$K$5:$AL$34,MATCH(VLOOKUP(P$37,$BJ$3:$BK$50,2,FALSE),$K$4:$AL$4,0),FALSE),BoundParameters_HiddenSheetCLAY!$B$1:$E$1,0),FALSE))),'Control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8" t="str">
        <f>IF($K58="","",IF(Q$37="","",IF('Control Panel'!Q58="",IF(VLOOKUP($F58,'Table Output'!$A$1:$H$99998,8,FALSE)="Sand",VLOOKUP(Q$37,BoundParameters_HiddenSheetSAND!$B$3:$E$50,MATCH(VLOOKUP($K58,$K$5:$AL$34,MATCH(VLOOKUP(Q$37,$BJ$3:$BK$50,2,FALSE),$K$4:$AL$4,0),FALSE),BoundParameters_HiddenSheetCLAY!$B$1:$E$1,0),FALSE),IF(VLOOKUP($F58,'Table Output'!$A$1:$H$99998,8,FALSE)="Clay",VLOOKUP(Q$37,BoundParameters_HiddenSheetCLAY!$B$3:$E$50,MATCH(VLOOKUP($K58,$K$5:$AL$34,MATCH(VLOOKUP(Q$37,$BJ$3:$BK$50,2,FALSE),$K$4:$AL$4,0),FALSE),BoundParameters_HiddenSheetCLAY!$B$1:$E$1,0),FALSE))),'Control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8" t="str">
        <f>IF($K58="","",IF(R$37="","",IF('Control Panel'!R58="",IF(VLOOKUP($F58,'Table Output'!$A$1:$H$99998,8,FALSE)="Sand",VLOOKUP(R$37,BoundParameters_HiddenSheetSAND!$B$3:$E$50,MATCH(VLOOKUP($K58,$K$5:$AL$34,MATCH(VLOOKUP(R$37,$BJ$3:$BK$50,2,FALSE),$K$4:$AL$4,0),FALSE),BoundParameters_HiddenSheetCLAY!$B$1:$E$1,0),FALSE),IF(VLOOKUP($F58,'Table Output'!$A$1:$H$99998,8,FALSE)="Clay",VLOOKUP(R$37,BoundParameters_HiddenSheetCLAY!$B$3:$E$50,MATCH(VLOOKUP($K58,$K$5:$AL$34,MATCH(VLOOKUP(R$37,$BJ$3:$BK$50,2,FALSE),$K$4:$AL$4,0),FALSE),BoundParameters_HiddenSheetCLAY!$B$1:$E$1,0),FALSE))),'Control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8" t="str">
        <f>IF($K58="","",IF(S$37="","",IF('Control Panel'!S58="",IF(VLOOKUP($F58,'Table Output'!$A$1:$H$99998,8,FALSE)="Sand",VLOOKUP(S$37,BoundParameters_HiddenSheetSAND!$B$3:$E$50,MATCH(VLOOKUP($K58,$K$5:$AL$34,MATCH(VLOOKUP(S$37,$BJ$3:$BK$50,2,FALSE),$K$4:$AL$4,0),FALSE),BoundParameters_HiddenSheetCLAY!$B$1:$E$1,0),FALSE),IF(VLOOKUP($F58,'Table Output'!$A$1:$H$99998,8,FALSE)="Clay",VLOOKUP(S$37,BoundParameters_HiddenSheetCLAY!$B$3:$E$50,MATCH(VLOOKUP($K58,$K$5:$AL$34,MATCH(VLOOKUP(S$37,$BJ$3:$BK$50,2,FALSE),$K$4:$AL$4,0),FALSE),BoundParameters_HiddenSheetCLAY!$B$1:$E$1,0),FALSE))),'Control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8" t="str">
        <f>IF($K58="","",IF(T$37="","",IF('Control Panel'!T58="",IF(VLOOKUP($F58,'Table Output'!$A$1:$H$99998,8,FALSE)="Sand",VLOOKUP(T$37,BoundParameters_HiddenSheetSAND!$B$3:$E$50,MATCH(VLOOKUP($K58,$K$5:$AL$34,MATCH(VLOOKUP(T$37,$BJ$3:$BK$50,2,FALSE),$K$4:$AL$4,0),FALSE),BoundParameters_HiddenSheetCLAY!$B$1:$E$1,0),FALSE),IF(VLOOKUP($F58,'Table Output'!$A$1:$H$99998,8,FALSE)="Clay",VLOOKUP(T$37,BoundParameters_HiddenSheetCLAY!$B$3:$E$50,MATCH(VLOOKUP($K58,$K$5:$AL$34,MATCH(VLOOKUP(T$37,$BJ$3:$BK$50,2,FALSE),$K$4:$AL$4,0),FALSE),BoundParameters_HiddenSheetCLAY!$B$1:$E$1,0),FALSE))),'Control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8" t="str">
        <f>IF($K58="","",IF(U$37="","",IF('Control Panel'!U58="",IF(VLOOKUP($F58,'Table Output'!$A$1:$H$99998,8,FALSE)="Sand",VLOOKUP(U$37,BoundParameters_HiddenSheetSAND!$B$3:$E$50,MATCH(VLOOKUP($K58,$K$5:$AL$34,MATCH(VLOOKUP(U$37,$BJ$3:$BK$50,2,FALSE),$K$4:$AL$4,0),FALSE),BoundParameters_HiddenSheetCLAY!$B$1:$E$1,0),FALSE),IF(VLOOKUP($F58,'Table Output'!$A$1:$H$99998,8,FALSE)="Clay",VLOOKUP(U$37,BoundParameters_HiddenSheetCLAY!$B$3:$E$50,MATCH(VLOOKUP($K58,$K$5:$AL$34,MATCH(VLOOKUP(U$37,$BJ$3:$BK$50,2,FALSE),$K$4:$AL$4,0),FALSE),BoundParameters_HiddenSheetCLAY!$B$1:$E$1,0),FALSE))),'Control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5:63" x14ac:dyDescent="0.15"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5" t="str">
        <f t="shared" si="4"/>
        <v/>
      </c>
      <c r="L59" s="28" t="str">
        <f>IF($K59="","",IF(L$37="","",IF('Control Panel'!L59="",IF(VLOOKUP($F59,'Table Output'!$A$1:$H$99998,8,FALSE)="Sand",VLOOKUP(L$37,BoundParameters_HiddenSheetSAND!$B$3:$E$50,MATCH(VLOOKUP($K59,$K$5:$AL$34,MATCH(VLOOKUP(L$37,$BJ$3:$BK$50,2,FALSE),$K$4:$AL$4,0),FALSE),BoundParameters_HiddenSheetCLAY!$B$1:$E$1,0),FALSE),IF(VLOOKUP($F59,'Table Output'!$A$1:$H$99998,8,FALSE)="Clay",VLOOKUP(L$37,BoundParameters_HiddenSheetCLAY!$B$3:$E$50,MATCH(VLOOKUP($K59,$K$5:$AL$34,MATCH(VLOOKUP(L$37,$BJ$3:$BK$50,2,FALSE),$K$4:$AL$4,0),FALSE),BoundParameters_HiddenSheetCLAY!$B$1:$E$1,0),FALSE))),'Control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8" t="str">
        <f>IF($K59="","",IF(M$37="","",IF('Control Panel'!M59="",IF(VLOOKUP($F59,'Table Output'!$A$1:$H$99998,8,FALSE)="Sand",VLOOKUP(M$37,BoundParameters_HiddenSheetSAND!$B$3:$E$50,MATCH(VLOOKUP($K59,$K$5:$AL$34,MATCH(VLOOKUP(M$37,$BJ$3:$BK$50,2,FALSE),$K$4:$AL$4,0),FALSE),BoundParameters_HiddenSheetCLAY!$B$1:$E$1,0),FALSE),IF(VLOOKUP($F59,'Table Output'!$A$1:$H$99998,8,FALSE)="Clay",VLOOKUP(M$37,BoundParameters_HiddenSheetCLAY!$B$3:$E$50,MATCH(VLOOKUP($K59,$K$5:$AL$34,MATCH(VLOOKUP(M$37,$BJ$3:$BK$50,2,FALSE),$K$4:$AL$4,0),FALSE),BoundParameters_HiddenSheetCLAY!$B$1:$E$1,0),FALSE))),'Control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8" t="str">
        <f>IF($K59="","",IF(N$37="","",IF('Control Panel'!N59="",IF(VLOOKUP($F59,'Table Output'!$A$1:$H$99998,8,FALSE)="Sand",VLOOKUP(N$37,BoundParameters_HiddenSheetSAND!$B$3:$E$50,MATCH(VLOOKUP($K59,$K$5:$AL$34,MATCH(VLOOKUP(N$37,$BJ$3:$BK$50,2,FALSE),$K$4:$AL$4,0),FALSE),BoundParameters_HiddenSheetCLAY!$B$1:$E$1,0),FALSE),IF(VLOOKUP($F59,'Table Output'!$A$1:$H$99998,8,FALSE)="Clay",VLOOKUP(N$37,BoundParameters_HiddenSheetCLAY!$B$3:$E$50,MATCH(VLOOKUP($K59,$K$5:$AL$34,MATCH(VLOOKUP(N$37,$BJ$3:$BK$50,2,FALSE),$K$4:$AL$4,0),FALSE),BoundParameters_HiddenSheetCLAY!$B$1:$E$1,0),FALSE))),'Control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8" t="str">
        <f>IF($K59="","",IF(O$37="","",IF('Control Panel'!O59="",IF(VLOOKUP($F59,'Table Output'!$A$1:$H$99998,8,FALSE)="Sand",VLOOKUP(O$37,BoundParameters_HiddenSheetSAND!$B$3:$E$50,MATCH(VLOOKUP($K59,$K$5:$AL$34,MATCH(VLOOKUP(O$37,$BJ$3:$BK$50,2,FALSE),$K$4:$AL$4,0),FALSE),BoundParameters_HiddenSheetCLAY!$B$1:$E$1,0),FALSE),IF(VLOOKUP($F59,'Table Output'!$A$1:$H$99998,8,FALSE)="Clay",VLOOKUP(O$37,BoundParameters_HiddenSheetCLAY!$B$3:$E$50,MATCH(VLOOKUP($K59,$K$5:$AL$34,MATCH(VLOOKUP(O$37,$BJ$3:$BK$50,2,FALSE),$K$4:$AL$4,0),FALSE),BoundParameters_HiddenSheetCLAY!$B$1:$E$1,0),FALSE))),'Control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8" t="str">
        <f>IF($K59="","",IF(P$37="","",IF('Control Panel'!P59="",IF(VLOOKUP($F59,'Table Output'!$A$1:$H$99998,8,FALSE)="Sand",VLOOKUP(P$37,BoundParameters_HiddenSheetSAND!$B$3:$E$50,MATCH(VLOOKUP($K59,$K$5:$AL$34,MATCH(VLOOKUP(P$37,$BJ$3:$BK$50,2,FALSE),$K$4:$AL$4,0),FALSE),BoundParameters_HiddenSheetCLAY!$B$1:$E$1,0),FALSE),IF(VLOOKUP($F59,'Table Output'!$A$1:$H$99998,8,FALSE)="Clay",VLOOKUP(P$37,BoundParameters_HiddenSheetCLAY!$B$3:$E$50,MATCH(VLOOKUP($K59,$K$5:$AL$34,MATCH(VLOOKUP(P$37,$BJ$3:$BK$50,2,FALSE),$K$4:$AL$4,0),FALSE),BoundParameters_HiddenSheetCLAY!$B$1:$E$1,0),FALSE))),'Control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8" t="str">
        <f>IF($K59="","",IF(Q$37="","",IF('Control Panel'!Q59="",IF(VLOOKUP($F59,'Table Output'!$A$1:$H$99998,8,FALSE)="Sand",VLOOKUP(Q$37,BoundParameters_HiddenSheetSAND!$B$3:$E$50,MATCH(VLOOKUP($K59,$K$5:$AL$34,MATCH(VLOOKUP(Q$37,$BJ$3:$BK$50,2,FALSE),$K$4:$AL$4,0),FALSE),BoundParameters_HiddenSheetCLAY!$B$1:$E$1,0),FALSE),IF(VLOOKUP($F59,'Table Output'!$A$1:$H$99998,8,FALSE)="Clay",VLOOKUP(Q$37,BoundParameters_HiddenSheetCLAY!$B$3:$E$50,MATCH(VLOOKUP($K59,$K$5:$AL$34,MATCH(VLOOKUP(Q$37,$BJ$3:$BK$50,2,FALSE),$K$4:$AL$4,0),FALSE),BoundParameters_HiddenSheetCLAY!$B$1:$E$1,0),FALSE))),'Control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8" t="str">
        <f>IF($K59="","",IF(R$37="","",IF('Control Panel'!R59="",IF(VLOOKUP($F59,'Table Output'!$A$1:$H$99998,8,FALSE)="Sand",VLOOKUP(R$37,BoundParameters_HiddenSheetSAND!$B$3:$E$50,MATCH(VLOOKUP($K59,$K$5:$AL$34,MATCH(VLOOKUP(R$37,$BJ$3:$BK$50,2,FALSE),$K$4:$AL$4,0),FALSE),BoundParameters_HiddenSheetCLAY!$B$1:$E$1,0),FALSE),IF(VLOOKUP($F59,'Table Output'!$A$1:$H$99998,8,FALSE)="Clay",VLOOKUP(R$37,BoundParameters_HiddenSheetCLAY!$B$3:$E$50,MATCH(VLOOKUP($K59,$K$5:$AL$34,MATCH(VLOOKUP(R$37,$BJ$3:$BK$50,2,FALSE),$K$4:$AL$4,0),FALSE),BoundParameters_HiddenSheetCLAY!$B$1:$E$1,0),FALSE))),'Control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8" t="str">
        <f>IF($K59="","",IF(S$37="","",IF('Control Panel'!S59="",IF(VLOOKUP($F59,'Table Output'!$A$1:$H$99998,8,FALSE)="Sand",VLOOKUP(S$37,BoundParameters_HiddenSheetSAND!$B$3:$E$50,MATCH(VLOOKUP($K59,$K$5:$AL$34,MATCH(VLOOKUP(S$37,$BJ$3:$BK$50,2,FALSE),$K$4:$AL$4,0),FALSE),BoundParameters_HiddenSheetCLAY!$B$1:$E$1,0),FALSE),IF(VLOOKUP($F59,'Table Output'!$A$1:$H$99998,8,FALSE)="Clay",VLOOKUP(S$37,BoundParameters_HiddenSheetCLAY!$B$3:$E$50,MATCH(VLOOKUP($K59,$K$5:$AL$34,MATCH(VLOOKUP(S$37,$BJ$3:$BK$50,2,FALSE),$K$4:$AL$4,0),FALSE),BoundParameters_HiddenSheetCLAY!$B$1:$E$1,0),FALSE))),'Control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8" t="str">
        <f>IF($K59="","",IF(T$37="","",IF('Control Panel'!T59="",IF(VLOOKUP($F59,'Table Output'!$A$1:$H$99998,8,FALSE)="Sand",VLOOKUP(T$37,BoundParameters_HiddenSheetSAND!$B$3:$E$50,MATCH(VLOOKUP($K59,$K$5:$AL$34,MATCH(VLOOKUP(T$37,$BJ$3:$BK$50,2,FALSE),$K$4:$AL$4,0),FALSE),BoundParameters_HiddenSheetCLAY!$B$1:$E$1,0),FALSE),IF(VLOOKUP($F59,'Table Output'!$A$1:$H$99998,8,FALSE)="Clay",VLOOKUP(T$37,BoundParameters_HiddenSheetCLAY!$B$3:$E$50,MATCH(VLOOKUP($K59,$K$5:$AL$34,MATCH(VLOOKUP(T$37,$BJ$3:$BK$50,2,FALSE),$K$4:$AL$4,0),FALSE),BoundParameters_HiddenSheetCLAY!$B$1:$E$1,0),FALSE))),'Control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8" t="str">
        <f>IF($K59="","",IF(U$37="","",IF('Control Panel'!U59="",IF(VLOOKUP($F59,'Table Output'!$A$1:$H$99998,8,FALSE)="Sand",VLOOKUP(U$37,BoundParameters_HiddenSheetSAND!$B$3:$E$50,MATCH(VLOOKUP($K59,$K$5:$AL$34,MATCH(VLOOKUP(U$37,$BJ$3:$BK$50,2,FALSE),$K$4:$AL$4,0),FALSE),BoundParameters_HiddenSheetCLAY!$B$1:$E$1,0),FALSE),IF(VLOOKUP($F59,'Table Output'!$A$1:$H$99998,8,FALSE)="Clay",VLOOKUP(U$37,BoundParameters_HiddenSheetCLAY!$B$3:$E$50,MATCH(VLOOKUP($K59,$K$5:$AL$34,MATCH(VLOOKUP(U$37,$BJ$3:$BK$50,2,FALSE),$K$4:$AL$4,0),FALSE),BoundParameters_HiddenSheetCLAY!$B$1:$E$1,0),FALSE))),'Control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5:63" x14ac:dyDescent="0.15"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5" t="str">
        <f t="shared" si="4"/>
        <v/>
      </c>
      <c r="L60" s="28" t="str">
        <f>IF($K60="","",IF(L$37="","",IF('Control Panel'!L60="",IF(VLOOKUP($F60,'Table Output'!$A$1:$H$99998,8,FALSE)="Sand",VLOOKUP(L$37,BoundParameters_HiddenSheetSAND!$B$3:$E$50,MATCH(VLOOKUP($K60,$K$5:$AL$34,MATCH(VLOOKUP(L$37,$BJ$3:$BK$50,2,FALSE),$K$4:$AL$4,0),FALSE),BoundParameters_HiddenSheetCLAY!$B$1:$E$1,0),FALSE),IF(VLOOKUP($F60,'Table Output'!$A$1:$H$99998,8,FALSE)="Clay",VLOOKUP(L$37,BoundParameters_HiddenSheetCLAY!$B$3:$E$50,MATCH(VLOOKUP($K60,$K$5:$AL$34,MATCH(VLOOKUP(L$37,$BJ$3:$BK$50,2,FALSE),$K$4:$AL$4,0),FALSE),BoundParameters_HiddenSheetCLAY!$B$1:$E$1,0),FALSE))),'Control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8" t="str">
        <f>IF($K60="","",IF(M$37="","",IF('Control Panel'!M60="",IF(VLOOKUP($F60,'Table Output'!$A$1:$H$99998,8,FALSE)="Sand",VLOOKUP(M$37,BoundParameters_HiddenSheetSAND!$B$3:$E$50,MATCH(VLOOKUP($K60,$K$5:$AL$34,MATCH(VLOOKUP(M$37,$BJ$3:$BK$50,2,FALSE),$K$4:$AL$4,0),FALSE),BoundParameters_HiddenSheetCLAY!$B$1:$E$1,0),FALSE),IF(VLOOKUP($F60,'Table Output'!$A$1:$H$99998,8,FALSE)="Clay",VLOOKUP(M$37,BoundParameters_HiddenSheetCLAY!$B$3:$E$50,MATCH(VLOOKUP($K60,$K$5:$AL$34,MATCH(VLOOKUP(M$37,$BJ$3:$BK$50,2,FALSE),$K$4:$AL$4,0),FALSE),BoundParameters_HiddenSheetCLAY!$B$1:$E$1,0),FALSE))),'Control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8" t="str">
        <f>IF($K60="","",IF(N$37="","",IF('Control Panel'!N60="",IF(VLOOKUP($F60,'Table Output'!$A$1:$H$99998,8,FALSE)="Sand",VLOOKUP(N$37,BoundParameters_HiddenSheetSAND!$B$3:$E$50,MATCH(VLOOKUP($K60,$K$5:$AL$34,MATCH(VLOOKUP(N$37,$BJ$3:$BK$50,2,FALSE),$K$4:$AL$4,0),FALSE),BoundParameters_HiddenSheetCLAY!$B$1:$E$1,0),FALSE),IF(VLOOKUP($F60,'Table Output'!$A$1:$H$99998,8,FALSE)="Clay",VLOOKUP(N$37,BoundParameters_HiddenSheetCLAY!$B$3:$E$50,MATCH(VLOOKUP($K60,$K$5:$AL$34,MATCH(VLOOKUP(N$37,$BJ$3:$BK$50,2,FALSE),$K$4:$AL$4,0),FALSE),BoundParameters_HiddenSheetCLAY!$B$1:$E$1,0),FALSE))),'Control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8" t="str">
        <f>IF($K60="","",IF(O$37="","",IF('Control Panel'!O60="",IF(VLOOKUP($F60,'Table Output'!$A$1:$H$99998,8,FALSE)="Sand",VLOOKUP(O$37,BoundParameters_HiddenSheetSAND!$B$3:$E$50,MATCH(VLOOKUP($K60,$K$5:$AL$34,MATCH(VLOOKUP(O$37,$BJ$3:$BK$50,2,FALSE),$K$4:$AL$4,0),FALSE),BoundParameters_HiddenSheetCLAY!$B$1:$E$1,0),FALSE),IF(VLOOKUP($F60,'Table Output'!$A$1:$H$99998,8,FALSE)="Clay",VLOOKUP(O$37,BoundParameters_HiddenSheetCLAY!$B$3:$E$50,MATCH(VLOOKUP($K60,$K$5:$AL$34,MATCH(VLOOKUP(O$37,$BJ$3:$BK$50,2,FALSE),$K$4:$AL$4,0),FALSE),BoundParameters_HiddenSheetCLAY!$B$1:$E$1,0),FALSE))),'Control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8" t="str">
        <f>IF($K60="","",IF(P$37="","",IF('Control Panel'!P60="",IF(VLOOKUP($F60,'Table Output'!$A$1:$H$99998,8,FALSE)="Sand",VLOOKUP(P$37,BoundParameters_HiddenSheetSAND!$B$3:$E$50,MATCH(VLOOKUP($K60,$K$5:$AL$34,MATCH(VLOOKUP(P$37,$BJ$3:$BK$50,2,FALSE),$K$4:$AL$4,0),FALSE),BoundParameters_HiddenSheetCLAY!$B$1:$E$1,0),FALSE),IF(VLOOKUP($F60,'Table Output'!$A$1:$H$99998,8,FALSE)="Clay",VLOOKUP(P$37,BoundParameters_HiddenSheetCLAY!$B$3:$E$50,MATCH(VLOOKUP($K60,$K$5:$AL$34,MATCH(VLOOKUP(P$37,$BJ$3:$BK$50,2,FALSE),$K$4:$AL$4,0),FALSE),BoundParameters_HiddenSheetCLAY!$B$1:$E$1,0),FALSE))),'Control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8" t="str">
        <f>IF($K60="","",IF(Q$37="","",IF('Control Panel'!Q60="",IF(VLOOKUP($F60,'Table Output'!$A$1:$H$99998,8,FALSE)="Sand",VLOOKUP(Q$37,BoundParameters_HiddenSheetSAND!$B$3:$E$50,MATCH(VLOOKUP($K60,$K$5:$AL$34,MATCH(VLOOKUP(Q$37,$BJ$3:$BK$50,2,FALSE),$K$4:$AL$4,0),FALSE),BoundParameters_HiddenSheetCLAY!$B$1:$E$1,0),FALSE),IF(VLOOKUP($F60,'Table Output'!$A$1:$H$99998,8,FALSE)="Clay",VLOOKUP(Q$37,BoundParameters_HiddenSheetCLAY!$B$3:$E$50,MATCH(VLOOKUP($K60,$K$5:$AL$34,MATCH(VLOOKUP(Q$37,$BJ$3:$BK$50,2,FALSE),$K$4:$AL$4,0),FALSE),BoundParameters_HiddenSheetCLAY!$B$1:$E$1,0),FALSE))),'Control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8" t="str">
        <f>IF($K60="","",IF(R$37="","",IF('Control Panel'!R60="",IF(VLOOKUP($F60,'Table Output'!$A$1:$H$99998,8,FALSE)="Sand",VLOOKUP(R$37,BoundParameters_HiddenSheetSAND!$B$3:$E$50,MATCH(VLOOKUP($K60,$K$5:$AL$34,MATCH(VLOOKUP(R$37,$BJ$3:$BK$50,2,FALSE),$K$4:$AL$4,0),FALSE),BoundParameters_HiddenSheetCLAY!$B$1:$E$1,0),FALSE),IF(VLOOKUP($F60,'Table Output'!$A$1:$H$99998,8,FALSE)="Clay",VLOOKUP(R$37,BoundParameters_HiddenSheetCLAY!$B$3:$E$50,MATCH(VLOOKUP($K60,$K$5:$AL$34,MATCH(VLOOKUP(R$37,$BJ$3:$BK$50,2,FALSE),$K$4:$AL$4,0),FALSE),BoundParameters_HiddenSheetCLAY!$B$1:$E$1,0),FALSE))),'Control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8" t="str">
        <f>IF($K60="","",IF(S$37="","",IF('Control Panel'!S60="",IF(VLOOKUP($F60,'Table Output'!$A$1:$H$99998,8,FALSE)="Sand",VLOOKUP(S$37,BoundParameters_HiddenSheetSAND!$B$3:$E$50,MATCH(VLOOKUP($K60,$K$5:$AL$34,MATCH(VLOOKUP(S$37,$BJ$3:$BK$50,2,FALSE),$K$4:$AL$4,0),FALSE),BoundParameters_HiddenSheetCLAY!$B$1:$E$1,0),FALSE),IF(VLOOKUP($F60,'Table Output'!$A$1:$H$99998,8,FALSE)="Clay",VLOOKUP(S$37,BoundParameters_HiddenSheetCLAY!$B$3:$E$50,MATCH(VLOOKUP($K60,$K$5:$AL$34,MATCH(VLOOKUP(S$37,$BJ$3:$BK$50,2,FALSE),$K$4:$AL$4,0),FALSE),BoundParameters_HiddenSheetCLAY!$B$1:$E$1,0),FALSE))),'Control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8" t="str">
        <f>IF($K60="","",IF(T$37="","",IF('Control Panel'!T60="",IF(VLOOKUP($F60,'Table Output'!$A$1:$H$99998,8,FALSE)="Sand",VLOOKUP(T$37,BoundParameters_HiddenSheetSAND!$B$3:$E$50,MATCH(VLOOKUP($K60,$K$5:$AL$34,MATCH(VLOOKUP(T$37,$BJ$3:$BK$50,2,FALSE),$K$4:$AL$4,0),FALSE),BoundParameters_HiddenSheetCLAY!$B$1:$E$1,0),FALSE),IF(VLOOKUP($F60,'Table Output'!$A$1:$H$99998,8,FALSE)="Clay",VLOOKUP(T$37,BoundParameters_HiddenSheetCLAY!$B$3:$E$50,MATCH(VLOOKUP($K60,$K$5:$AL$34,MATCH(VLOOKUP(T$37,$BJ$3:$BK$50,2,FALSE),$K$4:$AL$4,0),FALSE),BoundParameters_HiddenSheetCLAY!$B$1:$E$1,0),FALSE))),'Control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8" t="str">
        <f>IF($K60="","",IF(U$37="","",IF('Control Panel'!U60="",IF(VLOOKUP($F60,'Table Output'!$A$1:$H$99998,8,FALSE)="Sand",VLOOKUP(U$37,BoundParameters_HiddenSheetSAND!$B$3:$E$50,MATCH(VLOOKUP($K60,$K$5:$AL$34,MATCH(VLOOKUP(U$37,$BJ$3:$BK$50,2,FALSE),$K$4:$AL$4,0),FALSE),BoundParameters_HiddenSheetCLAY!$B$1:$E$1,0),FALSE),IF(VLOOKUP($F60,'Table Output'!$A$1:$H$99998,8,FALSE)="Clay",VLOOKUP(U$37,BoundParameters_HiddenSheetCLAY!$B$3:$E$50,MATCH(VLOOKUP($K60,$K$5:$AL$34,MATCH(VLOOKUP(U$37,$BJ$3:$BK$50,2,FALSE),$K$4:$AL$4,0),FALSE),BoundParameters_HiddenSheetCLAY!$B$1:$E$1,0),FALSE))),'Control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5:63" x14ac:dyDescent="0.15"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5" t="str">
        <f t="shared" si="4"/>
        <v/>
      </c>
      <c r="L61" s="28" t="str">
        <f>IF($K61="","",IF(L$37="","",IF('Control Panel'!L61="",IF(VLOOKUP($F61,'Table Output'!$A$1:$H$99998,8,FALSE)="Sand",VLOOKUP(L$37,BoundParameters_HiddenSheetSAND!$B$3:$E$50,MATCH(VLOOKUP($K61,$K$5:$AL$34,MATCH(VLOOKUP(L$37,$BJ$3:$BK$50,2,FALSE),$K$4:$AL$4,0),FALSE),BoundParameters_HiddenSheetCLAY!$B$1:$E$1,0),FALSE),IF(VLOOKUP($F61,'Table Output'!$A$1:$H$99998,8,FALSE)="Clay",VLOOKUP(L$37,BoundParameters_HiddenSheetCLAY!$B$3:$E$50,MATCH(VLOOKUP($K61,$K$5:$AL$34,MATCH(VLOOKUP(L$37,$BJ$3:$BK$50,2,FALSE),$K$4:$AL$4,0),FALSE),BoundParameters_HiddenSheetCLAY!$B$1:$E$1,0),FALSE))),'Control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8" t="str">
        <f>IF($K61="","",IF(M$37="","",IF('Control Panel'!M61="",IF(VLOOKUP($F61,'Table Output'!$A$1:$H$99998,8,FALSE)="Sand",VLOOKUP(M$37,BoundParameters_HiddenSheetSAND!$B$3:$E$50,MATCH(VLOOKUP($K61,$K$5:$AL$34,MATCH(VLOOKUP(M$37,$BJ$3:$BK$50,2,FALSE),$K$4:$AL$4,0),FALSE),BoundParameters_HiddenSheetCLAY!$B$1:$E$1,0),FALSE),IF(VLOOKUP($F61,'Table Output'!$A$1:$H$99998,8,FALSE)="Clay",VLOOKUP(M$37,BoundParameters_HiddenSheetCLAY!$B$3:$E$50,MATCH(VLOOKUP($K61,$K$5:$AL$34,MATCH(VLOOKUP(M$37,$BJ$3:$BK$50,2,FALSE),$K$4:$AL$4,0),FALSE),BoundParameters_HiddenSheetCLAY!$B$1:$E$1,0),FALSE))),'Control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8" t="str">
        <f>IF($K61="","",IF(N$37="","",IF('Control Panel'!N61="",IF(VLOOKUP($F61,'Table Output'!$A$1:$H$99998,8,FALSE)="Sand",VLOOKUP(N$37,BoundParameters_HiddenSheetSAND!$B$3:$E$50,MATCH(VLOOKUP($K61,$K$5:$AL$34,MATCH(VLOOKUP(N$37,$BJ$3:$BK$50,2,FALSE),$K$4:$AL$4,0),FALSE),BoundParameters_HiddenSheetCLAY!$B$1:$E$1,0),FALSE),IF(VLOOKUP($F61,'Table Output'!$A$1:$H$99998,8,FALSE)="Clay",VLOOKUP(N$37,BoundParameters_HiddenSheetCLAY!$B$3:$E$50,MATCH(VLOOKUP($K61,$K$5:$AL$34,MATCH(VLOOKUP(N$37,$BJ$3:$BK$50,2,FALSE),$K$4:$AL$4,0),FALSE),BoundParameters_HiddenSheetCLAY!$B$1:$E$1,0),FALSE))),'Control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8" t="str">
        <f>IF($K61="","",IF(O$37="","",IF('Control Panel'!O61="",IF(VLOOKUP($F61,'Table Output'!$A$1:$H$99998,8,FALSE)="Sand",VLOOKUP(O$37,BoundParameters_HiddenSheetSAND!$B$3:$E$50,MATCH(VLOOKUP($K61,$K$5:$AL$34,MATCH(VLOOKUP(O$37,$BJ$3:$BK$50,2,FALSE),$K$4:$AL$4,0),FALSE),BoundParameters_HiddenSheetCLAY!$B$1:$E$1,0),FALSE),IF(VLOOKUP($F61,'Table Output'!$A$1:$H$99998,8,FALSE)="Clay",VLOOKUP(O$37,BoundParameters_HiddenSheetCLAY!$B$3:$E$50,MATCH(VLOOKUP($K61,$K$5:$AL$34,MATCH(VLOOKUP(O$37,$BJ$3:$BK$50,2,FALSE),$K$4:$AL$4,0),FALSE),BoundParameters_HiddenSheetCLAY!$B$1:$E$1,0),FALSE))),'Control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8" t="str">
        <f>IF($K61="","",IF(P$37="","",IF('Control Panel'!P61="",IF(VLOOKUP($F61,'Table Output'!$A$1:$H$99998,8,FALSE)="Sand",VLOOKUP(P$37,BoundParameters_HiddenSheetSAND!$B$3:$E$50,MATCH(VLOOKUP($K61,$K$5:$AL$34,MATCH(VLOOKUP(P$37,$BJ$3:$BK$50,2,FALSE),$K$4:$AL$4,0),FALSE),BoundParameters_HiddenSheetCLAY!$B$1:$E$1,0),FALSE),IF(VLOOKUP($F61,'Table Output'!$A$1:$H$99998,8,FALSE)="Clay",VLOOKUP(P$37,BoundParameters_HiddenSheetCLAY!$B$3:$E$50,MATCH(VLOOKUP($K61,$K$5:$AL$34,MATCH(VLOOKUP(P$37,$BJ$3:$BK$50,2,FALSE),$K$4:$AL$4,0),FALSE),BoundParameters_HiddenSheetCLAY!$B$1:$E$1,0),FALSE))),'Control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8" t="str">
        <f>IF($K61="","",IF(Q$37="","",IF('Control Panel'!Q61="",IF(VLOOKUP($F61,'Table Output'!$A$1:$H$99998,8,FALSE)="Sand",VLOOKUP(Q$37,BoundParameters_HiddenSheetSAND!$B$3:$E$50,MATCH(VLOOKUP($K61,$K$5:$AL$34,MATCH(VLOOKUP(Q$37,$BJ$3:$BK$50,2,FALSE),$K$4:$AL$4,0),FALSE),BoundParameters_HiddenSheetCLAY!$B$1:$E$1,0),FALSE),IF(VLOOKUP($F61,'Table Output'!$A$1:$H$99998,8,FALSE)="Clay",VLOOKUP(Q$37,BoundParameters_HiddenSheetCLAY!$B$3:$E$50,MATCH(VLOOKUP($K61,$K$5:$AL$34,MATCH(VLOOKUP(Q$37,$BJ$3:$BK$50,2,FALSE),$K$4:$AL$4,0),FALSE),BoundParameters_HiddenSheetCLAY!$B$1:$E$1,0),FALSE))),'Control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8" t="str">
        <f>IF($K61="","",IF(R$37="","",IF('Control Panel'!R61="",IF(VLOOKUP($F61,'Table Output'!$A$1:$H$99998,8,FALSE)="Sand",VLOOKUP(R$37,BoundParameters_HiddenSheetSAND!$B$3:$E$50,MATCH(VLOOKUP($K61,$K$5:$AL$34,MATCH(VLOOKUP(R$37,$BJ$3:$BK$50,2,FALSE),$K$4:$AL$4,0),FALSE),BoundParameters_HiddenSheetCLAY!$B$1:$E$1,0),FALSE),IF(VLOOKUP($F61,'Table Output'!$A$1:$H$99998,8,FALSE)="Clay",VLOOKUP(R$37,BoundParameters_HiddenSheetCLAY!$B$3:$E$50,MATCH(VLOOKUP($K61,$K$5:$AL$34,MATCH(VLOOKUP(R$37,$BJ$3:$BK$50,2,FALSE),$K$4:$AL$4,0),FALSE),BoundParameters_HiddenSheetCLAY!$B$1:$E$1,0),FALSE))),'Control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8" t="str">
        <f>IF($K61="","",IF(S$37="","",IF('Control Panel'!S61="",IF(VLOOKUP($F61,'Table Output'!$A$1:$H$99998,8,FALSE)="Sand",VLOOKUP(S$37,BoundParameters_HiddenSheetSAND!$B$3:$E$50,MATCH(VLOOKUP($K61,$K$5:$AL$34,MATCH(VLOOKUP(S$37,$BJ$3:$BK$50,2,FALSE),$K$4:$AL$4,0),FALSE),BoundParameters_HiddenSheetCLAY!$B$1:$E$1,0),FALSE),IF(VLOOKUP($F61,'Table Output'!$A$1:$H$99998,8,FALSE)="Clay",VLOOKUP(S$37,BoundParameters_HiddenSheetCLAY!$B$3:$E$50,MATCH(VLOOKUP($K61,$K$5:$AL$34,MATCH(VLOOKUP(S$37,$BJ$3:$BK$50,2,FALSE),$K$4:$AL$4,0),FALSE),BoundParameters_HiddenSheetCLAY!$B$1:$E$1,0),FALSE))),'Control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8" t="str">
        <f>IF($K61="","",IF(T$37="","",IF('Control Panel'!T61="",IF(VLOOKUP($F61,'Table Output'!$A$1:$H$99998,8,FALSE)="Sand",VLOOKUP(T$37,BoundParameters_HiddenSheetSAND!$B$3:$E$50,MATCH(VLOOKUP($K61,$K$5:$AL$34,MATCH(VLOOKUP(T$37,$BJ$3:$BK$50,2,FALSE),$K$4:$AL$4,0),FALSE),BoundParameters_HiddenSheetCLAY!$B$1:$E$1,0),FALSE),IF(VLOOKUP($F61,'Table Output'!$A$1:$H$99998,8,FALSE)="Clay",VLOOKUP(T$37,BoundParameters_HiddenSheetCLAY!$B$3:$E$50,MATCH(VLOOKUP($K61,$K$5:$AL$34,MATCH(VLOOKUP(T$37,$BJ$3:$BK$50,2,FALSE),$K$4:$AL$4,0),FALSE),BoundParameters_HiddenSheetCLAY!$B$1:$E$1,0),FALSE))),'Control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8" t="str">
        <f>IF($K61="","",IF(U$37="","",IF('Control Panel'!U61="",IF(VLOOKUP($F61,'Table Output'!$A$1:$H$99998,8,FALSE)="Sand",VLOOKUP(U$37,BoundParameters_HiddenSheetSAND!$B$3:$E$50,MATCH(VLOOKUP($K61,$K$5:$AL$34,MATCH(VLOOKUP(U$37,$BJ$3:$BK$50,2,FALSE),$K$4:$AL$4,0),FALSE),BoundParameters_HiddenSheetCLAY!$B$1:$E$1,0),FALSE),IF(VLOOKUP($F61,'Table Output'!$A$1:$H$99998,8,FALSE)="Clay",VLOOKUP(U$37,BoundParameters_HiddenSheetCLAY!$B$3:$E$50,MATCH(VLOOKUP($K61,$K$5:$AL$34,MATCH(VLOOKUP(U$37,$BJ$3:$BK$50,2,FALSE),$K$4:$AL$4,0),FALSE),BoundParameters_HiddenSheetCLAY!$B$1:$E$1,0),FALSE))),'Control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5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5" t="str">
        <f t="shared" si="4"/>
        <v/>
      </c>
      <c r="L62" s="28" t="str">
        <f>IF($K62="","",IF(L$37="","",IF('Control Panel'!L62="",IF(VLOOKUP($F62,'Table Output'!$A$1:$H$99998,8,FALSE)="Sand",VLOOKUP(L$37,BoundParameters_HiddenSheetSAND!$B$3:$E$50,MATCH(VLOOKUP($K62,$K$5:$AL$34,MATCH(VLOOKUP(L$37,$BJ$3:$BK$50,2,FALSE),$K$4:$AL$4,0),FALSE),BoundParameters_HiddenSheetCLAY!$B$1:$E$1,0),FALSE),IF(VLOOKUP($F62,'Table Output'!$A$1:$H$99998,8,FALSE)="Clay",VLOOKUP(L$37,BoundParameters_HiddenSheetCLAY!$B$3:$E$50,MATCH(VLOOKUP($K62,$K$5:$AL$34,MATCH(VLOOKUP(L$37,$BJ$3:$BK$50,2,FALSE),$K$4:$AL$4,0),FALSE),BoundParameters_HiddenSheetCLAY!$B$1:$E$1,0),FALSE))),'Control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8" t="str">
        <f>IF($K62="","",IF(M$37="","",IF('Control Panel'!M62="",IF(VLOOKUP($F62,'Table Output'!$A$1:$H$99998,8,FALSE)="Sand",VLOOKUP(M$37,BoundParameters_HiddenSheetSAND!$B$3:$E$50,MATCH(VLOOKUP($K62,$K$5:$AL$34,MATCH(VLOOKUP(M$37,$BJ$3:$BK$50,2,FALSE),$K$4:$AL$4,0),FALSE),BoundParameters_HiddenSheetCLAY!$B$1:$E$1,0),FALSE),IF(VLOOKUP($F62,'Table Output'!$A$1:$H$99998,8,FALSE)="Clay",VLOOKUP(M$37,BoundParameters_HiddenSheetCLAY!$B$3:$E$50,MATCH(VLOOKUP($K62,$K$5:$AL$34,MATCH(VLOOKUP(M$37,$BJ$3:$BK$50,2,FALSE),$K$4:$AL$4,0),FALSE),BoundParameters_HiddenSheetCLAY!$B$1:$E$1,0),FALSE))),'Control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8" t="str">
        <f>IF($K62="","",IF(N$37="","",IF('Control Panel'!N62="",IF(VLOOKUP($F62,'Table Output'!$A$1:$H$99998,8,FALSE)="Sand",VLOOKUP(N$37,BoundParameters_HiddenSheetSAND!$B$3:$E$50,MATCH(VLOOKUP($K62,$K$5:$AL$34,MATCH(VLOOKUP(N$37,$BJ$3:$BK$50,2,FALSE),$K$4:$AL$4,0),FALSE),BoundParameters_HiddenSheetCLAY!$B$1:$E$1,0),FALSE),IF(VLOOKUP($F62,'Table Output'!$A$1:$H$99998,8,FALSE)="Clay",VLOOKUP(N$37,BoundParameters_HiddenSheetCLAY!$B$3:$E$50,MATCH(VLOOKUP($K62,$K$5:$AL$34,MATCH(VLOOKUP(N$37,$BJ$3:$BK$50,2,FALSE),$K$4:$AL$4,0),FALSE),BoundParameters_HiddenSheetCLAY!$B$1:$E$1,0),FALSE))),'Control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8" t="str">
        <f>IF($K62="","",IF(O$37="","",IF('Control Panel'!O62="",IF(VLOOKUP($F62,'Table Output'!$A$1:$H$99998,8,FALSE)="Sand",VLOOKUP(O$37,BoundParameters_HiddenSheetSAND!$B$3:$E$50,MATCH(VLOOKUP($K62,$K$5:$AL$34,MATCH(VLOOKUP(O$37,$BJ$3:$BK$50,2,FALSE),$K$4:$AL$4,0),FALSE),BoundParameters_HiddenSheetCLAY!$B$1:$E$1,0),FALSE),IF(VLOOKUP($F62,'Table Output'!$A$1:$H$99998,8,FALSE)="Clay",VLOOKUP(O$37,BoundParameters_HiddenSheetCLAY!$B$3:$E$50,MATCH(VLOOKUP($K62,$K$5:$AL$34,MATCH(VLOOKUP(O$37,$BJ$3:$BK$50,2,FALSE),$K$4:$AL$4,0),FALSE),BoundParameters_HiddenSheetCLAY!$B$1:$E$1,0),FALSE))),'Control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8" t="str">
        <f>IF($K62="","",IF(P$37="","",IF('Control Panel'!P62="",IF(VLOOKUP($F62,'Table Output'!$A$1:$H$99998,8,FALSE)="Sand",VLOOKUP(P$37,BoundParameters_HiddenSheetSAND!$B$3:$E$50,MATCH(VLOOKUP($K62,$K$5:$AL$34,MATCH(VLOOKUP(P$37,$BJ$3:$BK$50,2,FALSE),$K$4:$AL$4,0),FALSE),BoundParameters_HiddenSheetCLAY!$B$1:$E$1,0),FALSE),IF(VLOOKUP($F62,'Table Output'!$A$1:$H$99998,8,FALSE)="Clay",VLOOKUP(P$37,BoundParameters_HiddenSheetCLAY!$B$3:$E$50,MATCH(VLOOKUP($K62,$K$5:$AL$34,MATCH(VLOOKUP(P$37,$BJ$3:$BK$50,2,FALSE),$K$4:$AL$4,0),FALSE),BoundParameters_HiddenSheetCLAY!$B$1:$E$1,0),FALSE))),'Control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8" t="str">
        <f>IF($K62="","",IF(Q$37="","",IF('Control Panel'!Q62="",IF(VLOOKUP($F62,'Table Output'!$A$1:$H$99998,8,FALSE)="Sand",VLOOKUP(Q$37,BoundParameters_HiddenSheetSAND!$B$3:$E$50,MATCH(VLOOKUP($K62,$K$5:$AL$34,MATCH(VLOOKUP(Q$37,$BJ$3:$BK$50,2,FALSE),$K$4:$AL$4,0),FALSE),BoundParameters_HiddenSheetCLAY!$B$1:$E$1,0),FALSE),IF(VLOOKUP($F62,'Table Output'!$A$1:$H$99998,8,FALSE)="Clay",VLOOKUP(Q$37,BoundParameters_HiddenSheetCLAY!$B$3:$E$50,MATCH(VLOOKUP($K62,$K$5:$AL$34,MATCH(VLOOKUP(Q$37,$BJ$3:$BK$50,2,FALSE),$K$4:$AL$4,0),FALSE),BoundParameters_HiddenSheetCLAY!$B$1:$E$1,0),FALSE))),'Control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8" t="str">
        <f>IF($K62="","",IF(R$37="","",IF('Control Panel'!R62="",IF(VLOOKUP($F62,'Table Output'!$A$1:$H$99998,8,FALSE)="Sand",VLOOKUP(R$37,BoundParameters_HiddenSheetSAND!$B$3:$E$50,MATCH(VLOOKUP($K62,$K$5:$AL$34,MATCH(VLOOKUP(R$37,$BJ$3:$BK$50,2,FALSE),$K$4:$AL$4,0),FALSE),BoundParameters_HiddenSheetCLAY!$B$1:$E$1,0),FALSE),IF(VLOOKUP($F62,'Table Output'!$A$1:$H$99998,8,FALSE)="Clay",VLOOKUP(R$37,BoundParameters_HiddenSheetCLAY!$B$3:$E$50,MATCH(VLOOKUP($K62,$K$5:$AL$34,MATCH(VLOOKUP(R$37,$BJ$3:$BK$50,2,FALSE),$K$4:$AL$4,0),FALSE),BoundParameters_HiddenSheetCLAY!$B$1:$E$1,0),FALSE))),'Control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8" t="str">
        <f>IF($K62="","",IF(S$37="","",IF('Control Panel'!S62="",IF(VLOOKUP($F62,'Table Output'!$A$1:$H$99998,8,FALSE)="Sand",VLOOKUP(S$37,BoundParameters_HiddenSheetSAND!$B$3:$E$50,MATCH(VLOOKUP($K62,$K$5:$AL$34,MATCH(VLOOKUP(S$37,$BJ$3:$BK$50,2,FALSE),$K$4:$AL$4,0),FALSE),BoundParameters_HiddenSheetCLAY!$B$1:$E$1,0),FALSE),IF(VLOOKUP($F62,'Table Output'!$A$1:$H$99998,8,FALSE)="Clay",VLOOKUP(S$37,BoundParameters_HiddenSheetCLAY!$B$3:$E$50,MATCH(VLOOKUP($K62,$K$5:$AL$34,MATCH(VLOOKUP(S$37,$BJ$3:$BK$50,2,FALSE),$K$4:$AL$4,0),FALSE),BoundParameters_HiddenSheetCLAY!$B$1:$E$1,0),FALSE))),'Control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8" t="str">
        <f>IF($K62="","",IF(T$37="","",IF('Control Panel'!T62="",IF(VLOOKUP($F62,'Table Output'!$A$1:$H$99998,8,FALSE)="Sand",VLOOKUP(T$37,BoundParameters_HiddenSheetSAND!$B$3:$E$50,MATCH(VLOOKUP($K62,$K$5:$AL$34,MATCH(VLOOKUP(T$37,$BJ$3:$BK$50,2,FALSE),$K$4:$AL$4,0),FALSE),BoundParameters_HiddenSheetCLAY!$B$1:$E$1,0),FALSE),IF(VLOOKUP($F62,'Table Output'!$A$1:$H$99998,8,FALSE)="Clay",VLOOKUP(T$37,BoundParameters_HiddenSheetCLAY!$B$3:$E$50,MATCH(VLOOKUP($K62,$K$5:$AL$34,MATCH(VLOOKUP(T$37,$BJ$3:$BK$50,2,FALSE),$K$4:$AL$4,0),FALSE),BoundParameters_HiddenSheetCLAY!$B$1:$E$1,0),FALSE))),'Control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8" t="str">
        <f>IF($K62="","",IF(U$37="","",IF('Control Panel'!U62="",IF(VLOOKUP($F62,'Table Output'!$A$1:$H$99998,8,FALSE)="Sand",VLOOKUP(U$37,BoundParameters_HiddenSheetSAND!$B$3:$E$50,MATCH(VLOOKUP($K62,$K$5:$AL$34,MATCH(VLOOKUP(U$37,$BJ$3:$BK$50,2,FALSE),$K$4:$AL$4,0),FALSE),BoundParameters_HiddenSheetCLAY!$B$1:$E$1,0),FALSE),IF(VLOOKUP($F62,'Table Output'!$A$1:$H$99998,8,FALSE)="Clay",VLOOKUP(U$37,BoundParameters_HiddenSheetCLAY!$B$3:$E$50,MATCH(VLOOKUP($K62,$K$5:$AL$34,MATCH(VLOOKUP(U$37,$BJ$3:$BK$50,2,FALSE),$K$4:$AL$4,0),FALSE),BoundParameters_HiddenSheetCLAY!$B$1:$E$1,0),FALSE))),'Control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5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5" t="str">
        <f>K30</f>
        <v/>
      </c>
      <c r="L63" s="28" t="str">
        <f>IF($K63="","",IF(L$37="","",IF('Control Panel'!L63="",IF(VLOOKUP($F63,'Table Output'!$A$1:$H$99998,8,FALSE)="Sand",VLOOKUP(L$37,BoundParameters_HiddenSheetSAND!$B$3:$E$50,MATCH(VLOOKUP($K63,$K$5:$AL$34,MATCH(VLOOKUP(L$37,$BJ$3:$BK$50,2,FALSE),$K$4:$AL$4,0),FALSE),BoundParameters_HiddenSheetCLAY!$B$1:$E$1,0),FALSE),IF(VLOOKUP($F63,'Table Output'!$A$1:$H$99998,8,FALSE)="Clay",VLOOKUP(L$37,BoundParameters_HiddenSheetCLAY!$B$3:$E$50,MATCH(VLOOKUP($K63,$K$5:$AL$34,MATCH(VLOOKUP(L$37,$BJ$3:$BK$50,2,FALSE),$K$4:$AL$4,0),FALSE),BoundParameters_HiddenSheetCLAY!$B$1:$E$1,0),FALSE))),'Control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8" t="str">
        <f>IF($K63="","",IF(M$37="","",IF('Control Panel'!M63="",IF(VLOOKUP($F63,'Table Output'!$A$1:$H$99998,8,FALSE)="Sand",VLOOKUP(M$37,BoundParameters_HiddenSheetSAND!$B$3:$E$50,MATCH(VLOOKUP($K63,$K$5:$AL$34,MATCH(VLOOKUP(M$37,$BJ$3:$BK$50,2,FALSE),$K$4:$AL$4,0),FALSE),BoundParameters_HiddenSheetCLAY!$B$1:$E$1,0),FALSE),IF(VLOOKUP($F63,'Table Output'!$A$1:$H$99998,8,FALSE)="Clay",VLOOKUP(M$37,BoundParameters_HiddenSheetCLAY!$B$3:$E$50,MATCH(VLOOKUP($K63,$K$5:$AL$34,MATCH(VLOOKUP(M$37,$BJ$3:$BK$50,2,FALSE),$K$4:$AL$4,0),FALSE),BoundParameters_HiddenSheetCLAY!$B$1:$E$1,0),FALSE))),'Control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8" t="str">
        <f>IF($K63="","",IF(N$37="","",IF('Control Panel'!N63="",IF(VLOOKUP($F63,'Table Output'!$A$1:$H$99998,8,FALSE)="Sand",VLOOKUP(N$37,BoundParameters_HiddenSheetSAND!$B$3:$E$50,MATCH(VLOOKUP($K63,$K$5:$AL$34,MATCH(VLOOKUP(N$37,$BJ$3:$BK$50,2,FALSE),$K$4:$AL$4,0),FALSE),BoundParameters_HiddenSheetCLAY!$B$1:$E$1,0),FALSE),IF(VLOOKUP($F63,'Table Output'!$A$1:$H$99998,8,FALSE)="Clay",VLOOKUP(N$37,BoundParameters_HiddenSheetCLAY!$B$3:$E$50,MATCH(VLOOKUP($K63,$K$5:$AL$34,MATCH(VLOOKUP(N$37,$BJ$3:$BK$50,2,FALSE),$K$4:$AL$4,0),FALSE),BoundParameters_HiddenSheetCLAY!$B$1:$E$1,0),FALSE))),'Control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8" t="str">
        <f>IF($K63="","",IF(O$37="","",IF('Control Panel'!O63="",IF(VLOOKUP($F63,'Table Output'!$A$1:$H$99998,8,FALSE)="Sand",VLOOKUP(O$37,BoundParameters_HiddenSheetSAND!$B$3:$E$50,MATCH(VLOOKUP($K63,$K$5:$AL$34,MATCH(VLOOKUP(O$37,$BJ$3:$BK$50,2,FALSE),$K$4:$AL$4,0),FALSE),BoundParameters_HiddenSheetCLAY!$B$1:$E$1,0),FALSE),IF(VLOOKUP($F63,'Table Output'!$A$1:$H$99998,8,FALSE)="Clay",VLOOKUP(O$37,BoundParameters_HiddenSheetCLAY!$B$3:$E$50,MATCH(VLOOKUP($K63,$K$5:$AL$34,MATCH(VLOOKUP(O$37,$BJ$3:$BK$50,2,FALSE),$K$4:$AL$4,0),FALSE),BoundParameters_HiddenSheetCLAY!$B$1:$E$1,0),FALSE))),'Control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8" t="str">
        <f>IF($K63="","",IF(P$37="","",IF('Control Panel'!P63="",IF(VLOOKUP($F63,'Table Output'!$A$1:$H$99998,8,FALSE)="Sand",VLOOKUP(P$37,BoundParameters_HiddenSheetSAND!$B$3:$E$50,MATCH(VLOOKUP($K63,$K$5:$AL$34,MATCH(VLOOKUP(P$37,$BJ$3:$BK$50,2,FALSE),$K$4:$AL$4,0),FALSE),BoundParameters_HiddenSheetCLAY!$B$1:$E$1,0),FALSE),IF(VLOOKUP($F63,'Table Output'!$A$1:$H$99998,8,FALSE)="Clay",VLOOKUP(P$37,BoundParameters_HiddenSheetCLAY!$B$3:$E$50,MATCH(VLOOKUP($K63,$K$5:$AL$34,MATCH(VLOOKUP(P$37,$BJ$3:$BK$50,2,FALSE),$K$4:$AL$4,0),FALSE),BoundParameters_HiddenSheetCLAY!$B$1:$E$1,0),FALSE))),'Control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8" t="str">
        <f>IF($K63="","",IF(Q$37="","",IF('Control Panel'!Q63="",IF(VLOOKUP($F63,'Table Output'!$A$1:$H$99998,8,FALSE)="Sand",VLOOKUP(Q$37,BoundParameters_HiddenSheetSAND!$B$3:$E$50,MATCH(VLOOKUP($K63,$K$5:$AL$34,MATCH(VLOOKUP(Q$37,$BJ$3:$BK$50,2,FALSE),$K$4:$AL$4,0),FALSE),BoundParameters_HiddenSheetCLAY!$B$1:$E$1,0),FALSE),IF(VLOOKUP($F63,'Table Output'!$A$1:$H$99998,8,FALSE)="Clay",VLOOKUP(Q$37,BoundParameters_HiddenSheetCLAY!$B$3:$E$50,MATCH(VLOOKUP($K63,$K$5:$AL$34,MATCH(VLOOKUP(Q$37,$BJ$3:$BK$50,2,FALSE),$K$4:$AL$4,0),FALSE),BoundParameters_HiddenSheetCLAY!$B$1:$E$1,0),FALSE))),'Control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8" t="str">
        <f>IF($K63="","",IF(R$37="","",IF('Control Panel'!R63="",IF(VLOOKUP($F63,'Table Output'!$A$1:$H$99998,8,FALSE)="Sand",VLOOKUP(R$37,BoundParameters_HiddenSheetSAND!$B$3:$E$50,MATCH(VLOOKUP($K63,$K$5:$AL$34,MATCH(VLOOKUP(R$37,$BJ$3:$BK$50,2,FALSE),$K$4:$AL$4,0),FALSE),BoundParameters_HiddenSheetCLAY!$B$1:$E$1,0),FALSE),IF(VLOOKUP($F63,'Table Output'!$A$1:$H$99998,8,FALSE)="Clay",VLOOKUP(R$37,BoundParameters_HiddenSheetCLAY!$B$3:$E$50,MATCH(VLOOKUP($K63,$K$5:$AL$34,MATCH(VLOOKUP(R$37,$BJ$3:$BK$50,2,FALSE),$K$4:$AL$4,0),FALSE),BoundParameters_HiddenSheetCLAY!$B$1:$E$1,0),FALSE))),'Control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8" t="str">
        <f>IF($K63="","",IF(S$37="","",IF('Control Panel'!S63="",IF(VLOOKUP($F63,'Table Output'!$A$1:$H$99998,8,FALSE)="Sand",VLOOKUP(S$37,BoundParameters_HiddenSheetSAND!$B$3:$E$50,MATCH(VLOOKUP($K63,$K$5:$AL$34,MATCH(VLOOKUP(S$37,$BJ$3:$BK$50,2,FALSE),$K$4:$AL$4,0),FALSE),BoundParameters_HiddenSheetCLAY!$B$1:$E$1,0),FALSE),IF(VLOOKUP($F63,'Table Output'!$A$1:$H$99998,8,FALSE)="Clay",VLOOKUP(S$37,BoundParameters_HiddenSheetCLAY!$B$3:$E$50,MATCH(VLOOKUP($K63,$K$5:$AL$34,MATCH(VLOOKUP(S$37,$BJ$3:$BK$50,2,FALSE),$K$4:$AL$4,0),FALSE),BoundParameters_HiddenSheetCLAY!$B$1:$E$1,0),FALSE))),'Control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8" t="str">
        <f>IF($K63="","",IF(T$37="","",IF('Control Panel'!T63="",IF(VLOOKUP($F63,'Table Output'!$A$1:$H$99998,8,FALSE)="Sand",VLOOKUP(T$37,BoundParameters_HiddenSheetSAND!$B$3:$E$50,MATCH(VLOOKUP($K63,$K$5:$AL$34,MATCH(VLOOKUP(T$37,$BJ$3:$BK$50,2,FALSE),$K$4:$AL$4,0),FALSE),BoundParameters_HiddenSheetCLAY!$B$1:$E$1,0),FALSE),IF(VLOOKUP($F63,'Table Output'!$A$1:$H$99998,8,FALSE)="Clay",VLOOKUP(T$37,BoundParameters_HiddenSheetCLAY!$B$3:$E$50,MATCH(VLOOKUP($K63,$K$5:$AL$34,MATCH(VLOOKUP(T$37,$BJ$3:$BK$50,2,FALSE),$K$4:$AL$4,0),FALSE),BoundParameters_HiddenSheetCLAY!$B$1:$E$1,0),FALSE))),'Control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8" t="str">
        <f>IF($K63="","",IF(U$37="","",IF('Control Panel'!U63="",IF(VLOOKUP($F63,'Table Output'!$A$1:$H$99998,8,FALSE)="Sand",VLOOKUP(U$37,BoundParameters_HiddenSheetSAND!$B$3:$E$50,MATCH(VLOOKUP($K63,$K$5:$AL$34,MATCH(VLOOKUP(U$37,$BJ$3:$BK$50,2,FALSE),$K$4:$AL$4,0),FALSE),BoundParameters_HiddenSheetCLAY!$B$1:$E$1,0),FALSE),IF(VLOOKUP($F63,'Table Output'!$A$1:$H$99998,8,FALSE)="Clay",VLOOKUP(U$37,BoundParameters_HiddenSheetCLAY!$B$3:$E$50,MATCH(VLOOKUP($K63,$K$5:$AL$34,MATCH(VLOOKUP(U$37,$BJ$3:$BK$50,2,FALSE),$K$4:$AL$4,0),FALSE),BoundParameters_HiddenSheetCLAY!$B$1:$E$1,0),FALSE))),'Control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5:63" x14ac:dyDescent="0.15"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5" t="str">
        <f>K31</f>
        <v/>
      </c>
      <c r="L64" s="28" t="str">
        <f>IF($K64="","",IF(L$37="","",IF('Control Panel'!L64="",IF(VLOOKUP($F64,'Table Output'!$A$1:$H$99998,8,FALSE)="Sand",VLOOKUP(L$37,BoundParameters_HiddenSheetSAND!$B$3:$E$50,MATCH(VLOOKUP($K64,$K$5:$AL$34,MATCH(VLOOKUP(L$37,$BJ$3:$BK$50,2,FALSE),$K$4:$AL$4,0),FALSE),BoundParameters_HiddenSheetCLAY!$B$1:$E$1,0),FALSE),IF(VLOOKUP($F64,'Table Output'!$A$1:$H$99998,8,FALSE)="Clay",VLOOKUP(L$37,BoundParameters_HiddenSheetCLAY!$B$3:$E$50,MATCH(VLOOKUP($K64,$K$5:$AL$34,MATCH(VLOOKUP(L$37,$BJ$3:$BK$50,2,FALSE),$K$4:$AL$4,0),FALSE),BoundParameters_HiddenSheetCLAY!$B$1:$E$1,0),FALSE))),'Control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8" t="str">
        <f>IF($K64="","",IF(M$37="","",IF('Control Panel'!M64="",IF(VLOOKUP($F64,'Table Output'!$A$1:$H$99998,8,FALSE)="Sand",VLOOKUP(M$37,BoundParameters_HiddenSheetSAND!$B$3:$E$50,MATCH(VLOOKUP($K64,$K$5:$AL$34,MATCH(VLOOKUP(M$37,$BJ$3:$BK$50,2,FALSE),$K$4:$AL$4,0),FALSE),BoundParameters_HiddenSheetCLAY!$B$1:$E$1,0),FALSE),IF(VLOOKUP($F64,'Table Output'!$A$1:$H$99998,8,FALSE)="Clay",VLOOKUP(M$37,BoundParameters_HiddenSheetCLAY!$B$3:$E$50,MATCH(VLOOKUP($K64,$K$5:$AL$34,MATCH(VLOOKUP(M$37,$BJ$3:$BK$50,2,FALSE),$K$4:$AL$4,0),FALSE),BoundParameters_HiddenSheetCLAY!$B$1:$E$1,0),FALSE))),'Control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8" t="str">
        <f>IF($K64="","",IF(N$37="","",IF('Control Panel'!N64="",IF(VLOOKUP($F64,'Table Output'!$A$1:$H$99998,8,FALSE)="Sand",VLOOKUP(N$37,BoundParameters_HiddenSheetSAND!$B$3:$E$50,MATCH(VLOOKUP($K64,$K$5:$AL$34,MATCH(VLOOKUP(N$37,$BJ$3:$BK$50,2,FALSE),$K$4:$AL$4,0),FALSE),BoundParameters_HiddenSheetCLAY!$B$1:$E$1,0),FALSE),IF(VLOOKUP($F64,'Table Output'!$A$1:$H$99998,8,FALSE)="Clay",VLOOKUP(N$37,BoundParameters_HiddenSheetCLAY!$B$3:$E$50,MATCH(VLOOKUP($K64,$K$5:$AL$34,MATCH(VLOOKUP(N$37,$BJ$3:$BK$50,2,FALSE),$K$4:$AL$4,0),FALSE),BoundParameters_HiddenSheetCLAY!$B$1:$E$1,0),FALSE))),'Control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8" t="str">
        <f>IF($K64="","",IF(O$37="","",IF('Control Panel'!O64="",IF(VLOOKUP($F64,'Table Output'!$A$1:$H$99998,8,FALSE)="Sand",VLOOKUP(O$37,BoundParameters_HiddenSheetSAND!$B$3:$E$50,MATCH(VLOOKUP($K64,$K$5:$AL$34,MATCH(VLOOKUP(O$37,$BJ$3:$BK$50,2,FALSE),$K$4:$AL$4,0),FALSE),BoundParameters_HiddenSheetCLAY!$B$1:$E$1,0),FALSE),IF(VLOOKUP($F64,'Table Output'!$A$1:$H$99998,8,FALSE)="Clay",VLOOKUP(O$37,BoundParameters_HiddenSheetCLAY!$B$3:$E$50,MATCH(VLOOKUP($K64,$K$5:$AL$34,MATCH(VLOOKUP(O$37,$BJ$3:$BK$50,2,FALSE),$K$4:$AL$4,0),FALSE),BoundParameters_HiddenSheetCLAY!$B$1:$E$1,0),FALSE))),'Control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8" t="str">
        <f>IF($K64="","",IF(P$37="","",IF('Control Panel'!P64="",IF(VLOOKUP($F64,'Table Output'!$A$1:$H$99998,8,FALSE)="Sand",VLOOKUP(P$37,BoundParameters_HiddenSheetSAND!$B$3:$E$50,MATCH(VLOOKUP($K64,$K$5:$AL$34,MATCH(VLOOKUP(P$37,$BJ$3:$BK$50,2,FALSE),$K$4:$AL$4,0),FALSE),BoundParameters_HiddenSheetCLAY!$B$1:$E$1,0),FALSE),IF(VLOOKUP($F64,'Table Output'!$A$1:$H$99998,8,FALSE)="Clay",VLOOKUP(P$37,BoundParameters_HiddenSheetCLAY!$B$3:$E$50,MATCH(VLOOKUP($K64,$K$5:$AL$34,MATCH(VLOOKUP(P$37,$BJ$3:$BK$50,2,FALSE),$K$4:$AL$4,0),FALSE),BoundParameters_HiddenSheetCLAY!$B$1:$E$1,0),FALSE))),'Control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8" t="str">
        <f>IF($K64="","",IF(Q$37="","",IF('Control Panel'!Q64="",IF(VLOOKUP($F64,'Table Output'!$A$1:$H$99998,8,FALSE)="Sand",VLOOKUP(Q$37,BoundParameters_HiddenSheetSAND!$B$3:$E$50,MATCH(VLOOKUP($K64,$K$5:$AL$34,MATCH(VLOOKUP(Q$37,$BJ$3:$BK$50,2,FALSE),$K$4:$AL$4,0),FALSE),BoundParameters_HiddenSheetCLAY!$B$1:$E$1,0),FALSE),IF(VLOOKUP($F64,'Table Output'!$A$1:$H$99998,8,FALSE)="Clay",VLOOKUP(Q$37,BoundParameters_HiddenSheetCLAY!$B$3:$E$50,MATCH(VLOOKUP($K64,$K$5:$AL$34,MATCH(VLOOKUP(Q$37,$BJ$3:$BK$50,2,FALSE),$K$4:$AL$4,0),FALSE),BoundParameters_HiddenSheetCLAY!$B$1:$E$1,0),FALSE))),'Control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8" t="str">
        <f>IF($K64="","",IF(R$37="","",IF('Control Panel'!R64="",IF(VLOOKUP($F64,'Table Output'!$A$1:$H$99998,8,FALSE)="Sand",VLOOKUP(R$37,BoundParameters_HiddenSheetSAND!$B$3:$E$50,MATCH(VLOOKUP($K64,$K$5:$AL$34,MATCH(VLOOKUP(R$37,$BJ$3:$BK$50,2,FALSE),$K$4:$AL$4,0),FALSE),BoundParameters_HiddenSheetCLAY!$B$1:$E$1,0),FALSE),IF(VLOOKUP($F64,'Table Output'!$A$1:$H$99998,8,FALSE)="Clay",VLOOKUP(R$37,BoundParameters_HiddenSheetCLAY!$B$3:$E$50,MATCH(VLOOKUP($K64,$K$5:$AL$34,MATCH(VLOOKUP(R$37,$BJ$3:$BK$50,2,FALSE),$K$4:$AL$4,0),FALSE),BoundParameters_HiddenSheetCLAY!$B$1:$E$1,0),FALSE))),'Control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8" t="str">
        <f>IF($K64="","",IF(S$37="","",IF('Control Panel'!S64="",IF(VLOOKUP($F64,'Table Output'!$A$1:$H$99998,8,FALSE)="Sand",VLOOKUP(S$37,BoundParameters_HiddenSheetSAND!$B$3:$E$50,MATCH(VLOOKUP($K64,$K$5:$AL$34,MATCH(VLOOKUP(S$37,$BJ$3:$BK$50,2,FALSE),$K$4:$AL$4,0),FALSE),BoundParameters_HiddenSheetCLAY!$B$1:$E$1,0),FALSE),IF(VLOOKUP($F64,'Table Output'!$A$1:$H$99998,8,FALSE)="Clay",VLOOKUP(S$37,BoundParameters_HiddenSheetCLAY!$B$3:$E$50,MATCH(VLOOKUP($K64,$K$5:$AL$34,MATCH(VLOOKUP(S$37,$BJ$3:$BK$50,2,FALSE),$K$4:$AL$4,0),FALSE),BoundParameters_HiddenSheetCLAY!$B$1:$E$1,0),FALSE))),'Control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8" t="str">
        <f>IF($K64="","",IF(T$37="","",IF('Control Panel'!T64="",IF(VLOOKUP($F64,'Table Output'!$A$1:$H$99998,8,FALSE)="Sand",VLOOKUP(T$37,BoundParameters_HiddenSheetSAND!$B$3:$E$50,MATCH(VLOOKUP($K64,$K$5:$AL$34,MATCH(VLOOKUP(T$37,$BJ$3:$BK$50,2,FALSE),$K$4:$AL$4,0),FALSE),BoundParameters_HiddenSheetCLAY!$B$1:$E$1,0),FALSE),IF(VLOOKUP($F64,'Table Output'!$A$1:$H$99998,8,FALSE)="Clay",VLOOKUP(T$37,BoundParameters_HiddenSheetCLAY!$B$3:$E$50,MATCH(VLOOKUP($K64,$K$5:$AL$34,MATCH(VLOOKUP(T$37,$BJ$3:$BK$50,2,FALSE),$K$4:$AL$4,0),FALSE),BoundParameters_HiddenSheetCLAY!$B$1:$E$1,0),FALSE))),'Control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8" t="str">
        <f>IF($K64="","",IF(U$37="","",IF('Control Panel'!U64="",IF(VLOOKUP($F64,'Table Output'!$A$1:$H$99998,8,FALSE)="Sand",VLOOKUP(U$37,BoundParameters_HiddenSheetSAND!$B$3:$E$50,MATCH(VLOOKUP($K64,$K$5:$AL$34,MATCH(VLOOKUP(U$37,$BJ$3:$BK$50,2,FALSE),$K$4:$AL$4,0),FALSE),BoundParameters_HiddenSheetCLAY!$B$1:$E$1,0),FALSE),IF(VLOOKUP($F64,'Table Output'!$A$1:$H$99998,8,FALSE)="Clay",VLOOKUP(U$37,BoundParameters_HiddenSheetCLAY!$B$3:$E$50,MATCH(VLOOKUP($K64,$K$5:$AL$34,MATCH(VLOOKUP(U$37,$BJ$3:$BK$50,2,FALSE),$K$4:$AL$4,0),FALSE),BoundParameters_HiddenSheetCLAY!$B$1:$E$1,0),FALSE))),'Control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5" t="str">
        <f>K32</f>
        <v/>
      </c>
      <c r="L65" s="28" t="str">
        <f>IF($K65="","",IF(L$37="","",IF('Control Panel'!L65="",IF(VLOOKUP($F65,'Table Output'!$A$1:$H$99998,8,FALSE)="Sand",VLOOKUP(L$37,BoundParameters_HiddenSheetSAND!$B$3:$E$50,MATCH(VLOOKUP($K65,$K$5:$AL$34,MATCH(VLOOKUP(L$37,$BJ$3:$BK$50,2,FALSE),$K$4:$AL$4,0),FALSE),BoundParameters_HiddenSheetCLAY!$B$1:$E$1,0),FALSE),IF(VLOOKUP($F65,'Table Output'!$A$1:$H$99998,8,FALSE)="Clay",VLOOKUP(L$37,BoundParameters_HiddenSheetCLAY!$B$3:$E$50,MATCH(VLOOKUP($K65,$K$5:$AL$34,MATCH(VLOOKUP(L$37,$BJ$3:$BK$50,2,FALSE),$K$4:$AL$4,0),FALSE),BoundParameters_HiddenSheetCLAY!$B$1:$E$1,0),FALSE))),'Control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8" t="str">
        <f>IF($K65="","",IF(M$37="","",IF('Control Panel'!M65="",IF(VLOOKUP($F65,'Table Output'!$A$1:$H$99998,8,FALSE)="Sand",VLOOKUP(M$37,BoundParameters_HiddenSheetSAND!$B$3:$E$50,MATCH(VLOOKUP($K65,$K$5:$AL$34,MATCH(VLOOKUP(M$37,$BJ$3:$BK$50,2,FALSE),$K$4:$AL$4,0),FALSE),BoundParameters_HiddenSheetCLAY!$B$1:$E$1,0),FALSE),IF(VLOOKUP($F65,'Table Output'!$A$1:$H$99998,8,FALSE)="Clay",VLOOKUP(M$37,BoundParameters_HiddenSheetCLAY!$B$3:$E$50,MATCH(VLOOKUP($K65,$K$5:$AL$34,MATCH(VLOOKUP(M$37,$BJ$3:$BK$50,2,FALSE),$K$4:$AL$4,0),FALSE),BoundParameters_HiddenSheetCLAY!$B$1:$E$1,0),FALSE))),'Control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8" t="str">
        <f>IF($K65="","",IF(N$37="","",IF('Control Panel'!N65="",IF(VLOOKUP($F65,'Table Output'!$A$1:$H$99998,8,FALSE)="Sand",VLOOKUP(N$37,BoundParameters_HiddenSheetSAND!$B$3:$E$50,MATCH(VLOOKUP($K65,$K$5:$AL$34,MATCH(VLOOKUP(N$37,$BJ$3:$BK$50,2,FALSE),$K$4:$AL$4,0),FALSE),BoundParameters_HiddenSheetCLAY!$B$1:$E$1,0),FALSE),IF(VLOOKUP($F65,'Table Output'!$A$1:$H$99998,8,FALSE)="Clay",VLOOKUP(N$37,BoundParameters_HiddenSheetCLAY!$B$3:$E$50,MATCH(VLOOKUP($K65,$K$5:$AL$34,MATCH(VLOOKUP(N$37,$BJ$3:$BK$50,2,FALSE),$K$4:$AL$4,0),FALSE),BoundParameters_HiddenSheetCLAY!$B$1:$E$1,0),FALSE))),'Control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8" t="str">
        <f>IF($K65="","",IF(O$37="","",IF('Control Panel'!O65="",IF(VLOOKUP($F65,'Table Output'!$A$1:$H$99998,8,FALSE)="Sand",VLOOKUP(O$37,BoundParameters_HiddenSheetSAND!$B$3:$E$50,MATCH(VLOOKUP($K65,$K$5:$AL$34,MATCH(VLOOKUP(O$37,$BJ$3:$BK$50,2,FALSE),$K$4:$AL$4,0),FALSE),BoundParameters_HiddenSheetCLAY!$B$1:$E$1,0),FALSE),IF(VLOOKUP($F65,'Table Output'!$A$1:$H$99998,8,FALSE)="Clay",VLOOKUP(O$37,BoundParameters_HiddenSheetCLAY!$B$3:$E$50,MATCH(VLOOKUP($K65,$K$5:$AL$34,MATCH(VLOOKUP(O$37,$BJ$3:$BK$50,2,FALSE),$K$4:$AL$4,0),FALSE),BoundParameters_HiddenSheetCLAY!$B$1:$E$1,0),FALSE))),'Control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8" t="str">
        <f>IF($K65="","",IF(P$37="","",IF('Control Panel'!P65="",IF(VLOOKUP($F65,'Table Output'!$A$1:$H$99998,8,FALSE)="Sand",VLOOKUP(P$37,BoundParameters_HiddenSheetSAND!$B$3:$E$50,MATCH(VLOOKUP($K65,$K$5:$AL$34,MATCH(VLOOKUP(P$37,$BJ$3:$BK$50,2,FALSE),$K$4:$AL$4,0),FALSE),BoundParameters_HiddenSheetCLAY!$B$1:$E$1,0),FALSE),IF(VLOOKUP($F65,'Table Output'!$A$1:$H$99998,8,FALSE)="Clay",VLOOKUP(P$37,BoundParameters_HiddenSheetCLAY!$B$3:$E$50,MATCH(VLOOKUP($K65,$K$5:$AL$34,MATCH(VLOOKUP(P$37,$BJ$3:$BK$50,2,FALSE),$K$4:$AL$4,0),FALSE),BoundParameters_HiddenSheetCLAY!$B$1:$E$1,0),FALSE))),'Control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8" t="str">
        <f>IF($K65="","",IF(Q$37="","",IF('Control Panel'!Q65="",IF(VLOOKUP($F65,'Table Output'!$A$1:$H$99998,8,FALSE)="Sand",VLOOKUP(Q$37,BoundParameters_HiddenSheetSAND!$B$3:$E$50,MATCH(VLOOKUP($K65,$K$5:$AL$34,MATCH(VLOOKUP(Q$37,$BJ$3:$BK$50,2,FALSE),$K$4:$AL$4,0),FALSE),BoundParameters_HiddenSheetCLAY!$B$1:$E$1,0),FALSE),IF(VLOOKUP($F65,'Table Output'!$A$1:$H$99998,8,FALSE)="Clay",VLOOKUP(Q$37,BoundParameters_HiddenSheetCLAY!$B$3:$E$50,MATCH(VLOOKUP($K65,$K$5:$AL$34,MATCH(VLOOKUP(Q$37,$BJ$3:$BK$50,2,FALSE),$K$4:$AL$4,0),FALSE),BoundParameters_HiddenSheetCLAY!$B$1:$E$1,0),FALSE))),'Control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8" t="str">
        <f>IF($K65="","",IF(R$37="","",IF('Control Panel'!R65="",IF(VLOOKUP($F65,'Table Output'!$A$1:$H$99998,8,FALSE)="Sand",VLOOKUP(R$37,BoundParameters_HiddenSheetSAND!$B$3:$E$50,MATCH(VLOOKUP($K65,$K$5:$AL$34,MATCH(VLOOKUP(R$37,$BJ$3:$BK$50,2,FALSE),$K$4:$AL$4,0),FALSE),BoundParameters_HiddenSheetCLAY!$B$1:$E$1,0),FALSE),IF(VLOOKUP($F65,'Table Output'!$A$1:$H$99998,8,FALSE)="Clay",VLOOKUP(R$37,BoundParameters_HiddenSheetCLAY!$B$3:$E$50,MATCH(VLOOKUP($K65,$K$5:$AL$34,MATCH(VLOOKUP(R$37,$BJ$3:$BK$50,2,FALSE),$K$4:$AL$4,0),FALSE),BoundParameters_HiddenSheetCLAY!$B$1:$E$1,0),FALSE))),'Control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8" t="str">
        <f>IF($K65="","",IF(S$37="","",IF('Control Panel'!S65="",IF(VLOOKUP($F65,'Table Output'!$A$1:$H$99998,8,FALSE)="Sand",VLOOKUP(S$37,BoundParameters_HiddenSheetSAND!$B$3:$E$50,MATCH(VLOOKUP($K65,$K$5:$AL$34,MATCH(VLOOKUP(S$37,$BJ$3:$BK$50,2,FALSE),$K$4:$AL$4,0),FALSE),BoundParameters_HiddenSheetCLAY!$B$1:$E$1,0),FALSE),IF(VLOOKUP($F65,'Table Output'!$A$1:$H$99998,8,FALSE)="Clay",VLOOKUP(S$37,BoundParameters_HiddenSheetCLAY!$B$3:$E$50,MATCH(VLOOKUP($K65,$K$5:$AL$34,MATCH(VLOOKUP(S$37,$BJ$3:$BK$50,2,FALSE),$K$4:$AL$4,0),FALSE),BoundParameters_HiddenSheetCLAY!$B$1:$E$1,0),FALSE))),'Control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8" t="str">
        <f>IF($K65="","",IF(T$37="","",IF('Control Panel'!T65="",IF(VLOOKUP($F65,'Table Output'!$A$1:$H$99998,8,FALSE)="Sand",VLOOKUP(T$37,BoundParameters_HiddenSheetSAND!$B$3:$E$50,MATCH(VLOOKUP($K65,$K$5:$AL$34,MATCH(VLOOKUP(T$37,$BJ$3:$BK$50,2,FALSE),$K$4:$AL$4,0),FALSE),BoundParameters_HiddenSheetCLAY!$B$1:$E$1,0),FALSE),IF(VLOOKUP($F65,'Table Output'!$A$1:$H$99998,8,FALSE)="Clay",VLOOKUP(T$37,BoundParameters_HiddenSheetCLAY!$B$3:$E$50,MATCH(VLOOKUP($K65,$K$5:$AL$34,MATCH(VLOOKUP(T$37,$BJ$3:$BK$50,2,FALSE),$K$4:$AL$4,0),FALSE),BoundParameters_HiddenSheetCLAY!$B$1:$E$1,0),FALSE))),'Control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8" t="str">
        <f>IF($K65="","",IF(U$37="","",IF('Control Panel'!U65="",IF(VLOOKUP($F65,'Table Output'!$A$1:$H$99998,8,FALSE)="Sand",VLOOKUP(U$37,BoundParameters_HiddenSheetSAND!$B$3:$E$50,MATCH(VLOOKUP($K65,$K$5:$AL$34,MATCH(VLOOKUP(U$37,$BJ$3:$BK$50,2,FALSE),$K$4:$AL$4,0),FALSE),BoundParameters_HiddenSheetCLAY!$B$1:$E$1,0),FALSE),IF(VLOOKUP($F65,'Table Output'!$A$1:$H$99998,8,FALSE)="Clay",VLOOKUP(U$37,BoundParameters_HiddenSheetCLAY!$B$3:$E$50,MATCH(VLOOKUP($K65,$K$5:$AL$34,MATCH(VLOOKUP(U$37,$BJ$3:$BK$50,2,FALSE),$K$4:$AL$4,0),FALSE),BoundParameters_HiddenSheetCLAY!$B$1:$E$1,0),FALSE))),'Control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5" t="str">
        <f>K33</f>
        <v/>
      </c>
      <c r="L66" s="28" t="str">
        <f>IF($K66="","",IF(L$37="","",IF('Control Panel'!L66="",IF(VLOOKUP($F66,'Table Output'!$A$1:$H$99998,8,FALSE)="Sand",VLOOKUP(L$37,BoundParameters_HiddenSheetSAND!$B$3:$E$50,MATCH(VLOOKUP($K66,$K$5:$AL$34,MATCH(VLOOKUP(L$37,$BJ$3:$BK$50,2,FALSE),$K$4:$AL$4,0),FALSE),BoundParameters_HiddenSheetCLAY!$B$1:$E$1,0),FALSE),IF(VLOOKUP($F66,'Table Output'!$A$1:$H$99998,8,FALSE)="Clay",VLOOKUP(L$37,BoundParameters_HiddenSheetCLAY!$B$3:$E$50,MATCH(VLOOKUP($K66,$K$5:$AL$34,MATCH(VLOOKUP(L$37,$BJ$3:$BK$50,2,FALSE),$K$4:$AL$4,0),FALSE),BoundParameters_HiddenSheetCLAY!$B$1:$E$1,0),FALSE))),'Control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8" t="str">
        <f>IF($K66="","",IF(M$37="","",IF('Control Panel'!M66="",IF(VLOOKUP($F66,'Table Output'!$A$1:$H$99998,8,FALSE)="Sand",VLOOKUP(M$37,BoundParameters_HiddenSheetSAND!$B$3:$E$50,MATCH(VLOOKUP($K66,$K$5:$AL$34,MATCH(VLOOKUP(M$37,$BJ$3:$BK$50,2,FALSE),$K$4:$AL$4,0),FALSE),BoundParameters_HiddenSheetCLAY!$B$1:$E$1,0),FALSE),IF(VLOOKUP($F66,'Table Output'!$A$1:$H$99998,8,FALSE)="Clay",VLOOKUP(M$37,BoundParameters_HiddenSheetCLAY!$B$3:$E$50,MATCH(VLOOKUP($K66,$K$5:$AL$34,MATCH(VLOOKUP(M$37,$BJ$3:$BK$50,2,FALSE),$K$4:$AL$4,0),FALSE),BoundParameters_HiddenSheetCLAY!$B$1:$E$1,0),FALSE))),'Control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8" t="str">
        <f>IF($K66="","",IF(N$37="","",IF('Control Panel'!N66="",IF(VLOOKUP($F66,'Table Output'!$A$1:$H$99998,8,FALSE)="Sand",VLOOKUP(N$37,BoundParameters_HiddenSheetSAND!$B$3:$E$50,MATCH(VLOOKUP($K66,$K$5:$AL$34,MATCH(VLOOKUP(N$37,$BJ$3:$BK$50,2,FALSE),$K$4:$AL$4,0),FALSE),BoundParameters_HiddenSheetCLAY!$B$1:$E$1,0),FALSE),IF(VLOOKUP($F66,'Table Output'!$A$1:$H$99998,8,FALSE)="Clay",VLOOKUP(N$37,BoundParameters_HiddenSheetCLAY!$B$3:$E$50,MATCH(VLOOKUP($K66,$K$5:$AL$34,MATCH(VLOOKUP(N$37,$BJ$3:$BK$50,2,FALSE),$K$4:$AL$4,0),FALSE),BoundParameters_HiddenSheetCLAY!$B$1:$E$1,0),FALSE))),'Control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8" t="str">
        <f>IF($K66="","",IF(O$37="","",IF('Control Panel'!O66="",IF(VLOOKUP($F66,'Table Output'!$A$1:$H$99998,8,FALSE)="Sand",VLOOKUP(O$37,BoundParameters_HiddenSheetSAND!$B$3:$E$50,MATCH(VLOOKUP($K66,$K$5:$AL$34,MATCH(VLOOKUP(O$37,$BJ$3:$BK$50,2,FALSE),$K$4:$AL$4,0),FALSE),BoundParameters_HiddenSheetCLAY!$B$1:$E$1,0),FALSE),IF(VLOOKUP($F66,'Table Output'!$A$1:$H$99998,8,FALSE)="Clay",VLOOKUP(O$37,BoundParameters_HiddenSheetCLAY!$B$3:$E$50,MATCH(VLOOKUP($K66,$K$5:$AL$34,MATCH(VLOOKUP(O$37,$BJ$3:$BK$50,2,FALSE),$K$4:$AL$4,0),FALSE),BoundParameters_HiddenSheetCLAY!$B$1:$E$1,0),FALSE))),'Control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8" t="str">
        <f>IF($K66="","",IF(P$37="","",IF('Control Panel'!P66="",IF(VLOOKUP($F66,'Table Output'!$A$1:$H$99998,8,FALSE)="Sand",VLOOKUP(P$37,BoundParameters_HiddenSheetSAND!$B$3:$E$50,MATCH(VLOOKUP($K66,$K$5:$AL$34,MATCH(VLOOKUP(P$37,$BJ$3:$BK$50,2,FALSE),$K$4:$AL$4,0),FALSE),BoundParameters_HiddenSheetCLAY!$B$1:$E$1,0),FALSE),IF(VLOOKUP($F66,'Table Output'!$A$1:$H$99998,8,FALSE)="Clay",VLOOKUP(P$37,BoundParameters_HiddenSheetCLAY!$B$3:$E$50,MATCH(VLOOKUP($K66,$K$5:$AL$34,MATCH(VLOOKUP(P$37,$BJ$3:$BK$50,2,FALSE),$K$4:$AL$4,0),FALSE),BoundParameters_HiddenSheetCLAY!$B$1:$E$1,0),FALSE))),'Control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8" t="str">
        <f>IF($K66="","",IF(Q$37="","",IF('Control Panel'!Q66="",IF(VLOOKUP($F66,'Table Output'!$A$1:$H$99998,8,FALSE)="Sand",VLOOKUP(Q$37,BoundParameters_HiddenSheetSAND!$B$3:$E$50,MATCH(VLOOKUP($K66,$K$5:$AL$34,MATCH(VLOOKUP(Q$37,$BJ$3:$BK$50,2,FALSE),$K$4:$AL$4,0),FALSE),BoundParameters_HiddenSheetCLAY!$B$1:$E$1,0),FALSE),IF(VLOOKUP($F66,'Table Output'!$A$1:$H$99998,8,FALSE)="Clay",VLOOKUP(Q$37,BoundParameters_HiddenSheetCLAY!$B$3:$E$50,MATCH(VLOOKUP($K66,$K$5:$AL$34,MATCH(VLOOKUP(Q$37,$BJ$3:$BK$50,2,FALSE),$K$4:$AL$4,0),FALSE),BoundParameters_HiddenSheetCLAY!$B$1:$E$1,0),FALSE))),'Control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8" t="str">
        <f>IF($K66="","",IF(R$37="","",IF('Control Panel'!R66="",IF(VLOOKUP($F66,'Table Output'!$A$1:$H$99998,8,FALSE)="Sand",VLOOKUP(R$37,BoundParameters_HiddenSheetSAND!$B$3:$E$50,MATCH(VLOOKUP($K66,$K$5:$AL$34,MATCH(VLOOKUP(R$37,$BJ$3:$BK$50,2,FALSE),$K$4:$AL$4,0),FALSE),BoundParameters_HiddenSheetCLAY!$B$1:$E$1,0),FALSE),IF(VLOOKUP($F66,'Table Output'!$A$1:$H$99998,8,FALSE)="Clay",VLOOKUP(R$37,BoundParameters_HiddenSheetCLAY!$B$3:$E$50,MATCH(VLOOKUP($K66,$K$5:$AL$34,MATCH(VLOOKUP(R$37,$BJ$3:$BK$50,2,FALSE),$K$4:$AL$4,0),FALSE),BoundParameters_HiddenSheetCLAY!$B$1:$E$1,0),FALSE))),'Control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8" t="str">
        <f>IF($K66="","",IF(S$37="","",IF('Control Panel'!S66="",IF(VLOOKUP($F66,'Table Output'!$A$1:$H$99998,8,FALSE)="Sand",VLOOKUP(S$37,BoundParameters_HiddenSheetSAND!$B$3:$E$50,MATCH(VLOOKUP($K66,$K$5:$AL$34,MATCH(VLOOKUP(S$37,$BJ$3:$BK$50,2,FALSE),$K$4:$AL$4,0),FALSE),BoundParameters_HiddenSheetCLAY!$B$1:$E$1,0),FALSE),IF(VLOOKUP($F66,'Table Output'!$A$1:$H$99998,8,FALSE)="Clay",VLOOKUP(S$37,BoundParameters_HiddenSheetCLAY!$B$3:$E$50,MATCH(VLOOKUP($K66,$K$5:$AL$34,MATCH(VLOOKUP(S$37,$BJ$3:$BK$50,2,FALSE),$K$4:$AL$4,0),FALSE),BoundParameters_HiddenSheetCLAY!$B$1:$E$1,0),FALSE))),'Control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8" t="str">
        <f>IF($K66="","",IF(T$37="","",IF('Control Panel'!T66="",IF(VLOOKUP($F66,'Table Output'!$A$1:$H$99998,8,FALSE)="Sand",VLOOKUP(T$37,BoundParameters_HiddenSheetSAND!$B$3:$E$50,MATCH(VLOOKUP($K66,$K$5:$AL$34,MATCH(VLOOKUP(T$37,$BJ$3:$BK$50,2,FALSE),$K$4:$AL$4,0),FALSE),BoundParameters_HiddenSheetCLAY!$B$1:$E$1,0),FALSE),IF(VLOOKUP($F66,'Table Output'!$A$1:$H$99998,8,FALSE)="Clay",VLOOKUP(T$37,BoundParameters_HiddenSheetCLAY!$B$3:$E$50,MATCH(VLOOKUP($K66,$K$5:$AL$34,MATCH(VLOOKUP(T$37,$BJ$3:$BK$50,2,FALSE),$K$4:$AL$4,0),FALSE),BoundParameters_HiddenSheetCLAY!$B$1:$E$1,0),FALSE))),'Control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8" t="str">
        <f>IF($K66="","",IF(U$37="","",IF('Control Panel'!U66="",IF(VLOOKUP($F66,'Table Output'!$A$1:$H$99998,8,FALSE)="Sand",VLOOKUP(U$37,BoundParameters_HiddenSheetSAND!$B$3:$E$50,MATCH(VLOOKUP($K66,$K$5:$AL$34,MATCH(VLOOKUP(U$37,$BJ$3:$BK$50,2,FALSE),$K$4:$AL$4,0),FALSE),BoundParameters_HiddenSheetCLAY!$B$1:$E$1,0),FALSE),IF(VLOOKUP($F66,'Table Output'!$A$1:$H$99998,8,FALSE)="Clay",VLOOKUP(U$37,BoundParameters_HiddenSheetCLAY!$B$3:$E$50,MATCH(VLOOKUP($K66,$K$5:$AL$34,MATCH(VLOOKUP(U$37,$BJ$3:$BK$50,2,FALSE),$K$4:$AL$4,0),FALSE),BoundParameters_HiddenSheetCLAY!$B$1:$E$1,0),FALSE))),'Control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5" t="str">
        <f>K34</f>
        <v/>
      </c>
      <c r="L67" s="28" t="str">
        <f>IF($K67="","",IF(L$37="","",IF('Control Panel'!L67="",IF(VLOOKUP($F67,'Table Output'!$A$1:$H$99998,8,FALSE)="Sand",VLOOKUP(L$37,BoundParameters_HiddenSheetSAND!$B$3:$E$50,MATCH(VLOOKUP($K67,$K$5:$AL$34,MATCH(VLOOKUP(L$37,$BJ$3:$BK$50,2,FALSE),$K$4:$AL$4,0),FALSE),BoundParameters_HiddenSheetCLAY!$B$1:$E$1,0),FALSE),IF(VLOOKUP($F67,'Table Output'!$A$1:$H$99998,8,FALSE)="Clay",VLOOKUP(L$37,BoundParameters_HiddenSheetCLAY!$B$3:$E$50,MATCH(VLOOKUP($K67,$K$5:$AL$34,MATCH(VLOOKUP(L$37,$BJ$3:$BK$50,2,FALSE),$K$4:$AL$4,0),FALSE),BoundParameters_HiddenSheetCLAY!$B$1:$E$1,0),FALSE))),'Control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8" t="str">
        <f>IF($K67="","",IF(M$37="","",IF('Control Panel'!M67="",IF(VLOOKUP($F67,'Table Output'!$A$1:$H$99998,8,FALSE)="Sand",VLOOKUP(M$37,BoundParameters_HiddenSheetSAND!$B$3:$E$50,MATCH(VLOOKUP($K67,$K$5:$AL$34,MATCH(VLOOKUP(M$37,$BJ$3:$BK$50,2,FALSE),$K$4:$AL$4,0),FALSE),BoundParameters_HiddenSheetCLAY!$B$1:$E$1,0),FALSE),IF(VLOOKUP($F67,'Table Output'!$A$1:$H$99998,8,FALSE)="Clay",VLOOKUP(M$37,BoundParameters_HiddenSheetCLAY!$B$3:$E$50,MATCH(VLOOKUP($K67,$K$5:$AL$34,MATCH(VLOOKUP(M$37,$BJ$3:$BK$50,2,FALSE),$K$4:$AL$4,0),FALSE),BoundParameters_HiddenSheetCLAY!$B$1:$E$1,0),FALSE))),'Control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8" t="str">
        <f>IF($K67="","",IF(N$37="","",IF('Control Panel'!N67="",IF(VLOOKUP($F67,'Table Output'!$A$1:$H$99998,8,FALSE)="Sand",VLOOKUP(N$37,BoundParameters_HiddenSheetSAND!$B$3:$E$50,MATCH(VLOOKUP($K67,$K$5:$AL$34,MATCH(VLOOKUP(N$37,$BJ$3:$BK$50,2,FALSE),$K$4:$AL$4,0),FALSE),BoundParameters_HiddenSheetCLAY!$B$1:$E$1,0),FALSE),IF(VLOOKUP($F67,'Table Output'!$A$1:$H$99998,8,FALSE)="Clay",VLOOKUP(N$37,BoundParameters_HiddenSheetCLAY!$B$3:$E$50,MATCH(VLOOKUP($K67,$K$5:$AL$34,MATCH(VLOOKUP(N$37,$BJ$3:$BK$50,2,FALSE),$K$4:$AL$4,0),FALSE),BoundParameters_HiddenSheetCLAY!$B$1:$E$1,0),FALSE))),'Control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8" t="str">
        <f>IF($K67="","",IF(O$37="","",IF('Control Panel'!O67="",IF(VLOOKUP($F67,'Table Output'!$A$1:$H$99998,8,FALSE)="Sand",VLOOKUP(O$37,BoundParameters_HiddenSheetSAND!$B$3:$E$50,MATCH(VLOOKUP($K67,$K$5:$AL$34,MATCH(VLOOKUP(O$37,$BJ$3:$BK$50,2,FALSE),$K$4:$AL$4,0),FALSE),BoundParameters_HiddenSheetCLAY!$B$1:$E$1,0),FALSE),IF(VLOOKUP($F67,'Table Output'!$A$1:$H$99998,8,FALSE)="Clay",VLOOKUP(O$37,BoundParameters_HiddenSheetCLAY!$B$3:$E$50,MATCH(VLOOKUP($K67,$K$5:$AL$34,MATCH(VLOOKUP(O$37,$BJ$3:$BK$50,2,FALSE),$K$4:$AL$4,0),FALSE),BoundParameters_HiddenSheetCLAY!$B$1:$E$1,0),FALSE))),'Control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8" t="str">
        <f>IF($K67="","",IF(P$37="","",IF('Control Panel'!P67="",IF(VLOOKUP($F67,'Table Output'!$A$1:$H$99998,8,FALSE)="Sand",VLOOKUP(P$37,BoundParameters_HiddenSheetSAND!$B$3:$E$50,MATCH(VLOOKUP($K67,$K$5:$AL$34,MATCH(VLOOKUP(P$37,$BJ$3:$BK$50,2,FALSE),$K$4:$AL$4,0),FALSE),BoundParameters_HiddenSheetCLAY!$B$1:$E$1,0),FALSE),IF(VLOOKUP($F67,'Table Output'!$A$1:$H$99998,8,FALSE)="Clay",VLOOKUP(P$37,BoundParameters_HiddenSheetCLAY!$B$3:$E$50,MATCH(VLOOKUP($K67,$K$5:$AL$34,MATCH(VLOOKUP(P$37,$BJ$3:$BK$50,2,FALSE),$K$4:$AL$4,0),FALSE),BoundParameters_HiddenSheetCLAY!$B$1:$E$1,0),FALSE))),'Control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8" t="str">
        <f>IF($K67="","",IF(Q$37="","",IF('Control Panel'!Q67="",IF(VLOOKUP($F67,'Table Output'!$A$1:$H$99998,8,FALSE)="Sand",VLOOKUP(Q$37,BoundParameters_HiddenSheetSAND!$B$3:$E$50,MATCH(VLOOKUP($K67,$K$5:$AL$34,MATCH(VLOOKUP(Q$37,$BJ$3:$BK$50,2,FALSE),$K$4:$AL$4,0),FALSE),BoundParameters_HiddenSheetCLAY!$B$1:$E$1,0),FALSE),IF(VLOOKUP($F67,'Table Output'!$A$1:$H$99998,8,FALSE)="Clay",VLOOKUP(Q$37,BoundParameters_HiddenSheetCLAY!$B$3:$E$50,MATCH(VLOOKUP($K67,$K$5:$AL$34,MATCH(VLOOKUP(Q$37,$BJ$3:$BK$50,2,FALSE),$K$4:$AL$4,0),FALSE),BoundParameters_HiddenSheetCLAY!$B$1:$E$1,0),FALSE))),'Control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8" t="str">
        <f>IF($K67="","",IF(R$37="","",IF('Control Panel'!R67="",IF(VLOOKUP($F67,'Table Output'!$A$1:$H$99998,8,FALSE)="Sand",VLOOKUP(R$37,BoundParameters_HiddenSheetSAND!$B$3:$E$50,MATCH(VLOOKUP($K67,$K$5:$AL$34,MATCH(VLOOKUP(R$37,$BJ$3:$BK$50,2,FALSE),$K$4:$AL$4,0),FALSE),BoundParameters_HiddenSheetCLAY!$B$1:$E$1,0),FALSE),IF(VLOOKUP($F67,'Table Output'!$A$1:$H$99998,8,FALSE)="Clay",VLOOKUP(R$37,BoundParameters_HiddenSheetCLAY!$B$3:$E$50,MATCH(VLOOKUP($K67,$K$5:$AL$34,MATCH(VLOOKUP(R$37,$BJ$3:$BK$50,2,FALSE),$K$4:$AL$4,0),FALSE),BoundParameters_HiddenSheetCLAY!$B$1:$E$1,0),FALSE))),'Control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8" t="str">
        <f>IF($K67="","",IF(S$37="","",IF('Control Panel'!S67="",IF(VLOOKUP($F67,'Table Output'!$A$1:$H$99998,8,FALSE)="Sand",VLOOKUP(S$37,BoundParameters_HiddenSheetSAND!$B$3:$E$50,MATCH(VLOOKUP($K67,$K$5:$AL$34,MATCH(VLOOKUP(S$37,$BJ$3:$BK$50,2,FALSE),$K$4:$AL$4,0),FALSE),BoundParameters_HiddenSheetCLAY!$B$1:$E$1,0),FALSE),IF(VLOOKUP($F67,'Table Output'!$A$1:$H$99998,8,FALSE)="Clay",VLOOKUP(S$37,BoundParameters_HiddenSheetCLAY!$B$3:$E$50,MATCH(VLOOKUP($K67,$K$5:$AL$34,MATCH(VLOOKUP(S$37,$BJ$3:$BK$50,2,FALSE),$K$4:$AL$4,0),FALSE),BoundParameters_HiddenSheetCLAY!$B$1:$E$1,0),FALSE))),'Control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8" t="str">
        <f>IF($K67="","",IF(T$37="","",IF('Control Panel'!T67="",IF(VLOOKUP($F67,'Table Output'!$A$1:$H$99998,8,FALSE)="Sand",VLOOKUP(T$37,BoundParameters_HiddenSheetSAND!$B$3:$E$50,MATCH(VLOOKUP($K67,$K$5:$AL$34,MATCH(VLOOKUP(T$37,$BJ$3:$BK$50,2,FALSE),$K$4:$AL$4,0),FALSE),BoundParameters_HiddenSheetCLAY!$B$1:$E$1,0),FALSE),IF(VLOOKUP($F67,'Table Output'!$A$1:$H$99998,8,FALSE)="Clay",VLOOKUP(T$37,BoundParameters_HiddenSheetCLAY!$B$3:$E$50,MATCH(VLOOKUP($K67,$K$5:$AL$34,MATCH(VLOOKUP(T$37,$BJ$3:$BK$50,2,FALSE),$K$4:$AL$4,0),FALSE),BoundParameters_HiddenSheetCLAY!$B$1:$E$1,0),FALSE))),'Control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8" t="str">
        <f>IF($K67="","",IF(U$37="","",IF('Control Panel'!U67="",IF(VLOOKUP($F67,'Table Output'!$A$1:$H$99998,8,FALSE)="Sand",VLOOKUP(U$37,BoundParameters_HiddenSheetSAND!$B$3:$E$50,MATCH(VLOOKUP($K67,$K$5:$AL$34,MATCH(VLOOKUP(U$37,$BJ$3:$BK$50,2,FALSE),$K$4:$AL$4,0),FALSE),BoundParameters_HiddenSheetCLAY!$B$1:$E$1,0),FALSE),IF(VLOOKUP($F67,'Table Output'!$A$1:$H$99998,8,FALSE)="Clay",VLOOKUP(U$37,BoundParameters_HiddenSheetCLAY!$B$3:$E$50,MATCH(VLOOKUP($K67,$K$5:$AL$34,MATCH(VLOOKUP(U$37,$BJ$3:$BK$50,2,FALSE),$K$4:$AL$4,0),FALSE),BoundParameters_HiddenSheetCLAY!$B$1:$E$1,0),FALSE))),'Control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5"/>
      <c r="L68" s="28" t="str">
        <f>IF($K68="","",IF(L$37="","",IF('Control Panel'!L68="",IF(VLOOKUP($F68,'Table Output'!$A$1:$H$99998,8,FALSE)="Sand",VLOOKUP(L$37,BoundParameters_HiddenSheetSAND!$B$3:$E$50,MATCH(VLOOKUP($K68,$K$5:$AL$34,MATCH(VLOOKUP(L$37,$BJ$3:$BK$50,2,FALSE),$K$4:$AL$4,0),FALSE),BoundParameters_HiddenSheetCLAY!$B$1:$E$1,0),FALSE),IF(VLOOKUP($F68,'Table Output'!$A$1:$H$99998,8,FALSE)="Clay",VLOOKUP(L$37,BoundParameters_HiddenSheetCLAY!$B$3:$E$50,MATCH(VLOOKUP($K68,$K$5:$AL$34,MATCH(VLOOKUP(L$37,$BJ$3:$BK$50,2,FALSE),$K$4:$AL$4,0),FALSE),BoundParameters_HiddenSheetCLAY!$B$1:$E$1,0),FALSE))),'Control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8" t="str">
        <f>IF($K68="","",IF(M$37="","",IF('Control Panel'!M68="",IF(VLOOKUP($F68,'Table Output'!$A$1:$H$99998,8,FALSE)="Sand",VLOOKUP(M$37,BoundParameters_HiddenSheetSAND!$B$3:$E$50,MATCH(VLOOKUP($K68,$K$5:$AL$34,MATCH(VLOOKUP(M$37,$BJ$3:$BK$50,2,FALSE),$K$4:$AL$4,0),FALSE),BoundParameters_HiddenSheetCLAY!$B$1:$E$1,0),FALSE),IF(VLOOKUP($F68,'Table Output'!$A$1:$H$99998,8,FALSE)="Clay",VLOOKUP(M$37,BoundParameters_HiddenSheetCLAY!$B$3:$E$50,MATCH(VLOOKUP($K68,$K$5:$AL$34,MATCH(VLOOKUP(M$37,$BJ$3:$BK$50,2,FALSE),$K$4:$AL$4,0),FALSE),BoundParameters_HiddenSheetCLAY!$B$1:$E$1,0),FALSE))),'Control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8" t="str">
        <f>IF($K68="","",IF(N$37="","",IF('Control Panel'!N68="",IF(VLOOKUP($F68,'Table Output'!$A$1:$H$99998,8,FALSE)="Sand",VLOOKUP(N$37,BoundParameters_HiddenSheetSAND!$B$3:$E$50,MATCH(VLOOKUP($K68,$K$5:$AL$34,MATCH(VLOOKUP(N$37,$BJ$3:$BK$50,2,FALSE),$K$4:$AL$4,0),FALSE),BoundParameters_HiddenSheetCLAY!$B$1:$E$1,0),FALSE),IF(VLOOKUP($F68,'Table Output'!$A$1:$H$99998,8,FALSE)="Clay",VLOOKUP(N$37,BoundParameters_HiddenSheetCLAY!$B$3:$E$50,MATCH(VLOOKUP($K68,$K$5:$AL$34,MATCH(VLOOKUP(N$37,$BJ$3:$BK$50,2,FALSE),$K$4:$AL$4,0),FALSE),BoundParameters_HiddenSheetCLAY!$B$1:$E$1,0),FALSE))),'Control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8" t="str">
        <f>IF($K68="","",IF(O$37="","",IF('Control Panel'!O68="",IF(VLOOKUP($F68,'Table Output'!$A$1:$H$99998,8,FALSE)="Sand",VLOOKUP(O$37,BoundParameters_HiddenSheetSAND!$B$3:$E$50,MATCH(VLOOKUP($K68,$K$5:$AL$34,MATCH(VLOOKUP(O$37,$BJ$3:$BK$50,2,FALSE),$K$4:$AL$4,0),FALSE),BoundParameters_HiddenSheetCLAY!$B$1:$E$1,0),FALSE),IF(VLOOKUP($F68,'Table Output'!$A$1:$H$99998,8,FALSE)="Clay",VLOOKUP(O$37,BoundParameters_HiddenSheetCLAY!$B$3:$E$50,MATCH(VLOOKUP($K68,$K$5:$AL$34,MATCH(VLOOKUP(O$37,$BJ$3:$BK$50,2,FALSE),$K$4:$AL$4,0),FALSE),BoundParameters_HiddenSheetCLAY!$B$1:$E$1,0),FALSE))),'Control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8" t="str">
        <f>IF($K68="","",IF(P$37="","",IF('Control Panel'!P68="",IF(VLOOKUP($F68,'Table Output'!$A$1:$H$99998,8,FALSE)="Sand",VLOOKUP(P$37,BoundParameters_HiddenSheetSAND!$B$3:$E$50,MATCH(VLOOKUP($K68,$K$5:$AL$34,MATCH(VLOOKUP(P$37,$BJ$3:$BK$50,2,FALSE),$K$4:$AL$4,0),FALSE),BoundParameters_HiddenSheetCLAY!$B$1:$E$1,0),FALSE),IF(VLOOKUP($F68,'Table Output'!$A$1:$H$99998,8,FALSE)="Clay",VLOOKUP(P$37,BoundParameters_HiddenSheetCLAY!$B$3:$E$50,MATCH(VLOOKUP($K68,$K$5:$AL$34,MATCH(VLOOKUP(P$37,$BJ$3:$BK$50,2,FALSE),$K$4:$AL$4,0),FALSE),BoundParameters_HiddenSheetCLAY!$B$1:$E$1,0),FALSE))),'Control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8" t="str">
        <f>IF($K68="","",IF(Q$37="","",IF('Control Panel'!Q68="",IF(VLOOKUP($F68,'Table Output'!$A$1:$H$99998,8,FALSE)="Sand",VLOOKUP(Q$37,BoundParameters_HiddenSheetSAND!$B$3:$E$50,MATCH(VLOOKUP($K68,$K$5:$AL$34,MATCH(VLOOKUP(Q$37,$BJ$3:$BK$50,2,FALSE),$K$4:$AL$4,0),FALSE),BoundParameters_HiddenSheetCLAY!$B$1:$E$1,0),FALSE),IF(VLOOKUP($F68,'Table Output'!$A$1:$H$99998,8,FALSE)="Clay",VLOOKUP(Q$37,BoundParameters_HiddenSheetCLAY!$B$3:$E$50,MATCH(VLOOKUP($K68,$K$5:$AL$34,MATCH(VLOOKUP(Q$37,$BJ$3:$BK$50,2,FALSE),$K$4:$AL$4,0),FALSE),BoundParameters_HiddenSheetCLAY!$B$1:$E$1,0),FALSE))),'Control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8" t="str">
        <f>IF($K68="","",IF(R$37="","",IF('Control Panel'!R68="",IF(VLOOKUP($F68,'Table Output'!$A$1:$H$99998,8,FALSE)="Sand",VLOOKUP(R$37,BoundParameters_HiddenSheetSAND!$B$3:$E$50,MATCH(VLOOKUP($K68,$K$5:$AL$34,MATCH(VLOOKUP(R$37,$BJ$3:$BK$50,2,FALSE),$K$4:$AL$4,0),FALSE),BoundParameters_HiddenSheetCLAY!$B$1:$E$1,0),FALSE),IF(VLOOKUP($F68,'Table Output'!$A$1:$H$99998,8,FALSE)="Clay",VLOOKUP(R$37,BoundParameters_HiddenSheetCLAY!$B$3:$E$50,MATCH(VLOOKUP($K68,$K$5:$AL$34,MATCH(VLOOKUP(R$37,$BJ$3:$BK$50,2,FALSE),$K$4:$AL$4,0),FALSE),BoundParameters_HiddenSheetCLAY!$B$1:$E$1,0),FALSE))),'Control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8" t="str">
        <f>IF($K68="","",IF(S$37="","",IF('Control Panel'!S68="",IF(VLOOKUP($F68,'Table Output'!$A$1:$H$99998,8,FALSE)="Sand",VLOOKUP(S$37,BoundParameters_HiddenSheetSAND!$B$3:$E$50,MATCH(VLOOKUP($K68,$K$5:$AL$34,MATCH(VLOOKUP(S$37,$BJ$3:$BK$50,2,FALSE),$K$4:$AL$4,0),FALSE),BoundParameters_HiddenSheetCLAY!$B$1:$E$1,0),FALSE),IF(VLOOKUP($F68,'Table Output'!$A$1:$H$99998,8,FALSE)="Clay",VLOOKUP(S$37,BoundParameters_HiddenSheetCLAY!$B$3:$E$50,MATCH(VLOOKUP($K68,$K$5:$AL$34,MATCH(VLOOKUP(S$37,$BJ$3:$BK$50,2,FALSE),$K$4:$AL$4,0),FALSE),BoundParameters_HiddenSheetCLAY!$B$1:$E$1,0),FALSE))),'Control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8" t="str">
        <f>IF($K68="","",IF(T$37="","",IF('Control Panel'!T68="",IF(VLOOKUP($F68,'Table Output'!$A$1:$H$99998,8,FALSE)="Sand",VLOOKUP(T$37,BoundParameters_HiddenSheetSAND!$B$3:$E$50,MATCH(VLOOKUP($K68,$K$5:$AL$34,MATCH(VLOOKUP(T$37,$BJ$3:$BK$50,2,FALSE),$K$4:$AL$4,0),FALSE),BoundParameters_HiddenSheetCLAY!$B$1:$E$1,0),FALSE),IF(VLOOKUP($F68,'Table Output'!$A$1:$H$99998,8,FALSE)="Clay",VLOOKUP(T$37,BoundParameters_HiddenSheetCLAY!$B$3:$E$50,MATCH(VLOOKUP($K68,$K$5:$AL$34,MATCH(VLOOKUP(T$37,$BJ$3:$BK$50,2,FALSE),$K$4:$AL$4,0),FALSE),BoundParameters_HiddenSheetCLAY!$B$1:$E$1,0),FALSE))),'Control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8" t="str">
        <f>IF($K68="","",IF(U$37="","",IF('Control Panel'!U68="",IF(VLOOKUP($F68,'Table Output'!$A$1:$H$99998,8,FALSE)="Sand",VLOOKUP(U$37,BoundParameters_HiddenSheetSAND!$B$3:$E$50,MATCH(VLOOKUP($K68,$K$5:$AL$34,MATCH(VLOOKUP(U$37,$BJ$3:$BK$50,2,FALSE),$K$4:$AL$4,0),FALSE),BoundParameters_HiddenSheetCLAY!$B$1:$E$1,0),FALSE),IF(VLOOKUP($F68,'Table Output'!$A$1:$H$99998,8,FALSE)="Clay",VLOOKUP(U$37,BoundParameters_HiddenSheetCLAY!$B$3:$E$50,MATCH(VLOOKUP($K68,$K$5:$AL$34,MATCH(VLOOKUP(U$37,$BJ$3:$BK$50,2,FALSE),$K$4:$AL$4,0),FALSE),BoundParameters_HiddenSheetCLAY!$B$1:$E$1,0),FALSE))),'Control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154" t="s">
        <v>175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  <c r="BJ71" s="2" t="s">
        <v>180</v>
      </c>
    </row>
    <row r="72" spans="5:62" ht="12" thickBot="1" x14ac:dyDescent="0.2">
      <c r="K72" s="17" t="s">
        <v>82</v>
      </c>
      <c r="L72" s="18" t="str">
        <f>L37</f>
        <v>y_u_1</v>
      </c>
      <c r="M72" s="18" t="str">
        <f t="shared" ref="M72:U72" si="47">M37</f>
        <v>p_u_1</v>
      </c>
      <c r="N72" s="18" t="str">
        <f t="shared" si="47"/>
        <v>k_p_1</v>
      </c>
      <c r="O72" s="18" t="str">
        <f t="shared" si="47"/>
        <v>n_p_1</v>
      </c>
      <c r="P72" s="18" t="str">
        <f t="shared" si="47"/>
        <v>k_p_2</v>
      </c>
      <c r="Q72" s="18" t="str">
        <f t="shared" si="47"/>
        <v/>
      </c>
      <c r="R72" s="18" t="str">
        <f t="shared" si="47"/>
        <v/>
      </c>
      <c r="S72" s="18" t="str">
        <f t="shared" si="47"/>
        <v/>
      </c>
      <c r="T72" s="18" t="str">
        <f t="shared" si="47"/>
        <v/>
      </c>
      <c r="U72" s="18" t="str">
        <f t="shared" si="47"/>
        <v/>
      </c>
    </row>
    <row r="73" spans="5:62" x14ac:dyDescent="0.15">
      <c r="F73" s="2" t="str">
        <f>F38</f>
        <v>Cowden_Clay</v>
      </c>
      <c r="K73" s="5">
        <f>K38</f>
        <v>1</v>
      </c>
      <c r="L73" s="28">
        <f>IF($K73="","",IF(L$37="","",IF('Control Panel'!L73="",IF(VLOOKUP($F38,'Table Output'!$A$1:$H$99998,8,FALSE)="Sand",VLOOKUP(L$37,BoundParameters_HiddenSheetSAND!$I$3:$L$50,MATCH(VLOOKUP($K73,$K$5:$AL$34,MATCH(VLOOKUP(L$37,$BJ$3:$BK$50,2,FALSE),$K$4:$AL$4,0),FALSE),BoundParameters_HiddenSheetCLAY!$I$1:$L$1,0),FALSE),IF(VLOOKUP($F38,'Table Output'!$A$1:$H$9998,8,FALSE)="Clay",VLOOKUP(L$37,BoundParameters_HiddenSheetCLAY!$I$3:$L$50,MATCH(VLOOKUP($K73,$K$5:$AL$34,MATCH(VLOOKUP(L$37,$BJ$3:$BK$50,2,FALSE),$K$4:$AL$4,0),FALSE),BoundParameters_HiddenSheetCLAY!$I$1:$L$1,0),FALSE))),'Control Panel'!L73)))</f>
        <v>200</v>
      </c>
      <c r="M73" s="28">
        <f>IF($K73="","",IF(M$37="","",IF('Control Panel'!M73="",IF(VLOOKUP($F38,'Table Output'!$A$1:$H$99998,8,FALSE)="Sand",VLOOKUP(M$37,BoundParameters_HiddenSheetSAND!$I$3:$L$50,MATCH(VLOOKUP($K73,$K$5:$AL$34,MATCH(VLOOKUP(M$37,$BJ$3:$BK$50,2,FALSE),$K$4:$AL$4,0),FALSE),BoundParameters_HiddenSheetCLAY!$I$1:$L$1,0),FALSE),IF(VLOOKUP($F38,'Table Output'!$A$1:$H$9998,8,FALSE)="Clay",VLOOKUP(M$37,BoundParameters_HiddenSheetCLAY!$I$3:$L$50,MATCH(VLOOKUP($K73,$K$5:$AL$34,MATCH(VLOOKUP(M$37,$BJ$3:$BK$50,2,FALSE),$K$4:$AL$4,0),FALSE),BoundParameters_HiddenSheetCLAY!$I$1:$L$1,0),FALSE))),'Control Panel'!M73)))</f>
        <v>15.832000000000001</v>
      </c>
      <c r="N73" s="28">
        <f>IF($K73="","",IF(N$37="","",IF('Control Panel'!N73="",IF(VLOOKUP($F38,'Table Output'!$A$1:$H$99998,8,FALSE)="Sand",VLOOKUP(N$37,BoundParameters_HiddenSheetSAND!$I$3:$L$50,MATCH(VLOOKUP($K73,$K$5:$AL$34,MATCH(VLOOKUP(N$37,$BJ$3:$BK$50,2,FALSE),$K$4:$AL$4,0),FALSE),BoundParameters_HiddenSheetCLAY!$I$1:$L$1,0),FALSE),IF(VLOOKUP($F38,'Table Output'!$A$1:$H$9998,8,FALSE)="Clay",VLOOKUP(N$37,BoundParameters_HiddenSheetCLAY!$I$3:$L$50,MATCH(VLOOKUP($K73,$K$5:$AL$34,MATCH(VLOOKUP(N$37,$BJ$3:$BK$50,2,FALSE),$K$4:$AL$4,0),FALSE),BoundParameters_HiddenSheetCLAY!$I$1:$L$1,0),FALSE))),'Control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8">
        <f>IF($K73="","",IF(O$37="","",IF('Control Panel'!O73="",IF(VLOOKUP($F38,'Table Output'!$A$1:$H$99998,8,FALSE)="Sand",VLOOKUP(O$37,BoundParameters_HiddenSheetSAND!$I$3:$L$50,MATCH(VLOOKUP($K73,$K$5:$AL$34,MATCH(VLOOKUP(O$37,$BJ$3:$BK$50,2,FALSE),$K$4:$AL$4,0),FALSE),BoundParameters_HiddenSheetCLAY!$I$1:$L$1,0),FALSE),IF(VLOOKUP($F38,'Table Output'!$A$1:$H$9998,8,FALSE)="Clay",VLOOKUP(O$37,BoundParameters_HiddenSheetCLAY!$I$3:$L$50,MATCH(VLOOKUP($K73,$K$5:$AL$34,MATCH(VLOOKUP(O$37,$BJ$3:$BK$50,2,FALSE),$K$4:$AL$4,0),FALSE),BoundParameters_HiddenSheetCLAY!$I$1:$L$1,0),FALSE))),'Control Panel'!O73)))</f>
        <v>0</v>
      </c>
      <c r="P73" s="28">
        <f>IF($K73="","",IF(P$37="","",IF('Control Panel'!P73="",IF(VLOOKUP($F38,'Table Output'!$A$1:$H$99998,8,FALSE)="Sand",VLOOKUP(P$37,BoundParameters_HiddenSheetSAND!$I$3:$L$50,MATCH(VLOOKUP($K73,$K$5:$AL$34,MATCH(VLOOKUP(P$37,$BJ$3:$BK$50,2,FALSE),$K$4:$AL$4,0),FALSE),BoundParameters_HiddenSheetCLAY!$I$1:$L$1,0),FALSE),IF(VLOOKUP($F38,'Table Output'!$A$1:$H$9998,8,FALSE)="Clay",VLOOKUP(P$37,BoundParameters_HiddenSheetCLAY!$I$3:$L$50,MATCH(VLOOKUP($K73,$K$5:$AL$34,MATCH(VLOOKUP(P$37,$BJ$3:$BK$50,2,FALSE),$K$4:$AL$4,0),FALSE),BoundParameters_HiddenSheetCLAY!$I$1:$L$1,0),FALSE))),'Control Panel'!P73)))</f>
        <v>14.4</v>
      </c>
      <c r="Q73" s="28" t="str">
        <f>IF($K73="","",IF(Q$37="","",IF('Control Panel'!Q73="",IF(VLOOKUP($F38,'Table Output'!$A$1:$H$99998,8,FALSE)="Sand",VLOOKUP(Q$37,BoundParameters_HiddenSheetSAND!$I$3:$L$50,MATCH(VLOOKUP($K73,$K$5:$AL$34,MATCH(VLOOKUP(Q$37,$BJ$3:$BK$50,2,FALSE),$K$4:$AL$4,0),FALSE),BoundParameters_HiddenSheetCLAY!$I$1:$L$1,0),FALSE),IF(VLOOKUP($F38,'Table Output'!$A$1:$H$9998,8,FALSE)="Clay",VLOOKUP(Q$37,BoundParameters_HiddenSheetCLAY!$I$3:$L$50,MATCH(VLOOKUP($K73,$K$5:$AL$34,MATCH(VLOOKUP(Q$37,$BJ$3:$BK$50,2,FALSE),$K$4:$AL$4,0),FALSE),BoundParameters_HiddenSheetCLAY!$I$1:$L$1,0),FALSE))),'Control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8" t="str">
        <f>IF($K73="","",IF(R$37="","",IF('Control Panel'!R73="",IF(VLOOKUP($F38,'Table Output'!$A$1:$H$99998,8,FALSE)="Sand",VLOOKUP(R$37,BoundParameters_HiddenSheetSAND!$I$3:$L$50,MATCH(VLOOKUP($K73,$K$5:$AL$34,MATCH(VLOOKUP(R$37,$BJ$3:$BK$50,2,FALSE),$K$4:$AL$4,0),FALSE),BoundParameters_HiddenSheetCLAY!$I$1:$L$1,0),FALSE),IF(VLOOKUP($F38,'Table Output'!$A$1:$H$9998,8,FALSE)="Clay",VLOOKUP(R$37,BoundParameters_HiddenSheetCLAY!$I$3:$L$50,MATCH(VLOOKUP($K73,$K$5:$AL$34,MATCH(VLOOKUP(R$37,$BJ$3:$BK$50,2,FALSE),$K$4:$AL$4,0),FALSE),BoundParameters_HiddenSheetCLAY!$I$1:$L$1,0),FALSE))),'Control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8" t="str">
        <f>IF($K73="","",IF(S$37="","",IF('Control Panel'!S73="",IF(VLOOKUP($F38,'Table Output'!$A$1:$H$99998,8,FALSE)="Sand",VLOOKUP(S$37,BoundParameters_HiddenSheetSAND!$I$3:$L$50,MATCH(VLOOKUP($K73,$K$5:$AL$34,MATCH(VLOOKUP(S$37,$BJ$3:$BK$50,2,FALSE),$K$4:$AL$4,0),FALSE),BoundParameters_HiddenSheetCLAY!$I$1:$L$1,0),FALSE),IF(VLOOKUP($F38,'Table Output'!$A$1:$H$9998,8,FALSE)="Clay",VLOOKUP(S$37,BoundParameters_HiddenSheetCLAY!$I$3:$L$50,MATCH(VLOOKUP($K73,$K$5:$AL$34,MATCH(VLOOKUP(S$37,$BJ$3:$BK$50,2,FALSE),$K$4:$AL$4,0),FALSE),BoundParameters_HiddenSheetCLAY!$I$1:$L$1,0),FALSE))),'Control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8" t="str">
        <f>IF($K73="","",IF(T$37="","",IF('Control Panel'!T73="",IF(VLOOKUP($F38,'Table Output'!$A$1:$H$99998,8,FALSE)="Sand",VLOOKUP(T$37,BoundParameters_HiddenSheetSAND!$I$3:$L$50,MATCH(VLOOKUP($K73,$K$5:$AL$34,MATCH(VLOOKUP(T$37,$BJ$3:$BK$50,2,FALSE),$K$4:$AL$4,0),FALSE),BoundParameters_HiddenSheetCLAY!$I$1:$L$1,0),FALSE),IF(VLOOKUP($F38,'Table Output'!$A$1:$H$9998,8,FALSE)="Clay",VLOOKUP(T$37,BoundParameters_HiddenSheetCLAY!$I$3:$L$50,MATCH(VLOOKUP($K73,$K$5:$AL$34,MATCH(VLOOKUP(T$37,$BJ$3:$BK$50,2,FALSE),$K$4:$AL$4,0),FALSE),BoundParameters_HiddenSheetCLAY!$I$1:$L$1,0),FALSE))),'Control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8" t="str">
        <f>IF($K73="","",IF(U$37="","",IF('Control Panel'!U73="",IF(VLOOKUP($F38,'Table Output'!$A$1:$H$99998,8,FALSE)="Sand",VLOOKUP(U$37,BoundParameters_HiddenSheetSAND!$I$3:$L$50,MATCH(VLOOKUP($K73,$K$5:$AL$34,MATCH(VLOOKUP(U$37,$BJ$3:$BK$50,2,FALSE),$K$4:$AL$4,0),FALSE),BoundParameters_HiddenSheetCLAY!$I$1:$L$1,0),FALSE),IF(VLOOKUP($F38,'Table Output'!$A$1:$H$9998,8,FALSE)="Clay",VLOOKUP(U$37,BoundParameters_HiddenSheetCLAY!$I$3:$L$50,MATCH(VLOOKUP($K73,$K$5:$AL$34,MATCH(VLOOKUP(U$37,$BJ$3:$BK$50,2,FALSE),$K$4:$AL$4,0),FALSE),BoundParameters_HiddenSheetCLAY!$I$1:$L$1,0),FALSE))),'Control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Sand_75</v>
      </c>
      <c r="K74" s="5">
        <f t="shared" ref="K74:K89" si="49">K39</f>
        <v>2</v>
      </c>
      <c r="L74" s="28">
        <f>IF($K74="","",IF(L$37="","",IF('Control Panel'!L74="",IF(VLOOKUP($F39,'Table Output'!$A$1:$H$99998,8,FALSE)="Sand",VLOOKUP(L$37,BoundParameters_HiddenSheetSAND!$I$3:$L$50,MATCH(VLOOKUP($K74,$K$5:$AL$34,MATCH(VLOOKUP(L$37,$BJ$3:$BK$50,2,FALSE),$K$4:$AL$4,0),FALSE),BoundParameters_HiddenSheetCLAY!$I$1:$L$1,0),FALSE),IF(VLOOKUP($F39,'Table Output'!$A$1:$H$9998,8,FALSE)="Clay",VLOOKUP(L$37,BoundParameters_HiddenSheetCLAY!$I$3:$L$50,MATCH(VLOOKUP($K74,$K$5:$AL$34,MATCH(VLOOKUP(L$37,$BJ$3:$BK$50,2,FALSE),$K$4:$AL$4,0),FALSE),BoundParameters_HiddenSheetCLAY!$I$1:$L$1,0),FALSE))),'Control Panel'!L74)))</f>
        <v>700</v>
      </c>
      <c r="M74" s="28">
        <f>IF($K74="","",IF(M$37="","",IF('Control Panel'!M74="",IF(VLOOKUP($F39,'Table Output'!$A$1:$H$99998,8,FALSE)="Sand",VLOOKUP(M$37,BoundParameters_HiddenSheetSAND!$I$3:$L$50,MATCH(VLOOKUP($K74,$K$5:$AL$34,MATCH(VLOOKUP(M$37,$BJ$3:$BK$50,2,FALSE),$K$4:$AL$4,0),FALSE),BoundParameters_HiddenSheetCLAY!$I$1:$L$1,0),FALSE),IF(VLOOKUP($F39,'Table Output'!$A$1:$H$9998,8,FALSE)="Clay",VLOOKUP(M$37,BoundParameters_HiddenSheetCLAY!$I$3:$L$50,MATCH(VLOOKUP($K74,$K$5:$AL$34,MATCH(VLOOKUP(M$37,$BJ$3:$BK$50,2,FALSE),$K$4:$AL$4,0),FALSE),BoundParameters_HiddenSheetCLAY!$I$1:$L$1,0),FALSE))),'Control Panel'!M74)))</f>
        <v>300</v>
      </c>
      <c r="N74" s="28">
        <f>IF($K74="","",IF(N$37="","",IF('Control Panel'!N74="",IF(VLOOKUP($F39,'Table Output'!$A$1:$H$99998,8,FALSE)="Sand",VLOOKUP(N$37,BoundParameters_HiddenSheetSAND!$I$3:$L$50,MATCH(VLOOKUP($K74,$K$5:$AL$34,MATCH(VLOOKUP(N$37,$BJ$3:$BK$50,2,FALSE),$K$4:$AL$4,0),FALSE),BoundParameters_HiddenSheetCLAY!$I$1:$L$1,0),FALSE),IF(VLOOKUP($F39,'Table Output'!$A$1:$H$9998,8,FALSE)="Clay",VLOOKUP(N$37,BoundParameters_HiddenSheetCLAY!$I$3:$L$50,MATCH(VLOOKUP($K74,$K$5:$AL$34,MATCH(VLOOKUP(N$37,$BJ$3:$BK$50,2,FALSE),$K$4:$AL$4,0),FALSE),BoundParameters_HiddenSheetCLAY!$I$1:$L$1,0),FALSE))),'Control Panel'!N74)))</f>
        <v>50</v>
      </c>
      <c r="O74" s="28">
        <f>IF($K74="","",IF(O$37="","",IF('Control Panel'!O74="",IF(VLOOKUP($F39,'Table Output'!$A$1:$H$99998,8,FALSE)="Sand",VLOOKUP(O$37,BoundParameters_HiddenSheetSAND!$I$3:$L$50,MATCH(VLOOKUP($K74,$K$5:$AL$34,MATCH(VLOOKUP(O$37,$BJ$3:$BK$50,2,FALSE),$K$4:$AL$4,0),FALSE),BoundParameters_HiddenSheetCLAY!$I$1:$L$1,0),FALSE),IF(VLOOKUP($F39,'Table Output'!$A$1:$H$9998,8,FALSE)="Clay",VLOOKUP(O$37,BoundParameters_HiddenSheetCLAY!$I$3:$L$50,MATCH(VLOOKUP($K74,$K$5:$AL$34,MATCH(VLOOKUP(O$37,$BJ$3:$BK$50,2,FALSE),$K$4:$AL$4,0),FALSE),BoundParameters_HiddenSheetCLAY!$I$1:$L$1,0),FALSE))),'Control Panel'!O74)))</f>
        <v>1</v>
      </c>
      <c r="P74" s="28">
        <f>IF($K74="","",IF(P$37="","",IF('Control Panel'!P74="",IF(VLOOKUP($F39,'Table Output'!$A$1:$H$99998,8,FALSE)="Sand",VLOOKUP(P$37,BoundParameters_HiddenSheetSAND!$I$3:$L$50,MATCH(VLOOKUP($K74,$K$5:$AL$34,MATCH(VLOOKUP(P$37,$BJ$3:$BK$50,2,FALSE),$K$4:$AL$4,0),FALSE),BoundParameters_HiddenSheetCLAY!$I$1:$L$1,0),FALSE),IF(VLOOKUP($F39,'Table Output'!$A$1:$H$9998,8,FALSE)="Clay",VLOOKUP(P$37,BoundParameters_HiddenSheetCLAY!$I$3:$L$50,MATCH(VLOOKUP($K74,$K$5:$AL$34,MATCH(VLOOKUP(P$37,$BJ$3:$BK$50,2,FALSE),$K$4:$AL$4,0),FALSE),BoundParameters_HiddenSheetCLAY!$I$1:$L$1,0),FALSE))),'Control Panel'!P74)))</f>
        <v>50</v>
      </c>
      <c r="Q74" s="28" t="str">
        <f>IF($K74="","",IF(Q$37="","",IF('Control Panel'!Q74="",IF(VLOOKUP($F39,'Table Output'!$A$1:$H$99998,8,FALSE)="Sand",VLOOKUP(Q$37,BoundParameters_HiddenSheetSAND!$I$3:$L$50,MATCH(VLOOKUP($K74,$K$5:$AL$34,MATCH(VLOOKUP(Q$37,$BJ$3:$BK$50,2,FALSE),$K$4:$AL$4,0),FALSE),BoundParameters_HiddenSheetCLAY!$I$1:$L$1,0),FALSE),IF(VLOOKUP($F39,'Table Output'!$A$1:$H$9998,8,FALSE)="Clay",VLOOKUP(Q$37,BoundParameters_HiddenSheetCLAY!$I$3:$L$50,MATCH(VLOOKUP($K74,$K$5:$AL$34,MATCH(VLOOKUP(Q$37,$BJ$3:$BK$50,2,FALSE),$K$4:$AL$4,0),FALSE),BoundParameters_HiddenSheetCLAY!$I$1:$L$1,0),FALSE))),'Control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8" t="str">
        <f>IF($K74="","",IF(R$37="","",IF('Control Panel'!R74="",IF(VLOOKUP($F39,'Table Output'!$A$1:$H$99998,8,FALSE)="Sand",VLOOKUP(R$37,BoundParameters_HiddenSheetSAND!$I$3:$L$50,MATCH(VLOOKUP($K74,$K$5:$AL$34,MATCH(VLOOKUP(R$37,$BJ$3:$BK$50,2,FALSE),$K$4:$AL$4,0),FALSE),BoundParameters_HiddenSheetCLAY!$I$1:$L$1,0),FALSE),IF(VLOOKUP($F39,'Table Output'!$A$1:$H$9998,8,FALSE)="Clay",VLOOKUP(R$37,BoundParameters_HiddenSheetCLAY!$I$3:$L$50,MATCH(VLOOKUP($K74,$K$5:$AL$34,MATCH(VLOOKUP(R$37,$BJ$3:$BK$50,2,FALSE),$K$4:$AL$4,0),FALSE),BoundParameters_HiddenSheetCLAY!$I$1:$L$1,0),FALSE))),'Control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8" t="str">
        <f>IF($K74="","",IF(S$37="","",IF('Control Panel'!S74="",IF(VLOOKUP($F39,'Table Output'!$A$1:$H$99998,8,FALSE)="Sand",VLOOKUP(S$37,BoundParameters_HiddenSheetSAND!$I$3:$L$50,MATCH(VLOOKUP($K74,$K$5:$AL$34,MATCH(VLOOKUP(S$37,$BJ$3:$BK$50,2,FALSE),$K$4:$AL$4,0),FALSE),BoundParameters_HiddenSheetCLAY!$I$1:$L$1,0),FALSE),IF(VLOOKUP($F39,'Table Output'!$A$1:$H$9998,8,FALSE)="Clay",VLOOKUP(S$37,BoundParameters_HiddenSheetCLAY!$I$3:$L$50,MATCH(VLOOKUP($K74,$K$5:$AL$34,MATCH(VLOOKUP(S$37,$BJ$3:$BK$50,2,FALSE),$K$4:$AL$4,0),FALSE),BoundParameters_HiddenSheetCLAY!$I$1:$L$1,0),FALSE))),'Control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8" t="str">
        <f>IF($K74="","",IF(T$37="","",IF('Control Panel'!T74="",IF(VLOOKUP($F39,'Table Output'!$A$1:$H$99998,8,FALSE)="Sand",VLOOKUP(T$37,BoundParameters_HiddenSheetSAND!$I$3:$L$50,MATCH(VLOOKUP($K74,$K$5:$AL$34,MATCH(VLOOKUP(T$37,$BJ$3:$BK$50,2,FALSE),$K$4:$AL$4,0),FALSE),BoundParameters_HiddenSheetCLAY!$I$1:$L$1,0),FALSE),IF(VLOOKUP($F39,'Table Output'!$A$1:$H$9998,8,FALSE)="Clay",VLOOKUP(T$37,BoundParameters_HiddenSheetCLAY!$I$3:$L$50,MATCH(VLOOKUP($K74,$K$5:$AL$34,MATCH(VLOOKUP(T$37,$BJ$3:$BK$50,2,FALSE),$K$4:$AL$4,0),FALSE),BoundParameters_HiddenSheetCLAY!$I$1:$L$1,0),FALSE))),'Control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8" t="str">
        <f>IF($K74="","",IF(U$37="","",IF('Control Panel'!U74="",IF(VLOOKUP($F39,'Table Output'!$A$1:$H$99998,8,FALSE)="Sand",VLOOKUP(U$37,BoundParameters_HiddenSheetSAND!$I$3:$L$50,MATCH(VLOOKUP($K74,$K$5:$AL$34,MATCH(VLOOKUP(U$37,$BJ$3:$BK$50,2,FALSE),$K$4:$AL$4,0),FALSE),BoundParameters_HiddenSheetCLAY!$I$1:$L$1,0),FALSE),IF(VLOOKUP($F39,'Table Output'!$A$1:$H$9998,8,FALSE)="Clay",VLOOKUP(U$37,BoundParameters_HiddenSheetCLAY!$I$3:$L$50,MATCH(VLOOKUP($K74,$K$5:$AL$34,MATCH(VLOOKUP(U$37,$BJ$3:$BK$50,2,FALSE),$K$4:$AL$4,0),FALSE),BoundParameters_HiddenSheetCLAY!$I$1:$L$1,0),FALSE))),'Control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9"/>
    </row>
    <row r="75" spans="5:62" x14ac:dyDescent="0.15">
      <c r="F75" s="2" t="str">
        <f t="shared" ref="F75" si="50">F40</f>
        <v>Sand_56</v>
      </c>
      <c r="K75" s="5">
        <f t="shared" si="49"/>
        <v>3</v>
      </c>
      <c r="L75" s="28">
        <f>IF($K75="","",IF(L$37="","",IF('Control Panel'!L75="",IF(VLOOKUP($F40,'Table Output'!$A$1:$H$99998,8,FALSE)="Sand",VLOOKUP(L$37,BoundParameters_HiddenSheetSAND!$I$3:$L$50,MATCH(VLOOKUP($K75,$K$5:$AL$34,MATCH(VLOOKUP(L$37,$BJ$3:$BK$50,2,FALSE),$K$4:$AL$4,0),FALSE),BoundParameters_HiddenSheetCLAY!$I$1:$L$1,0),FALSE),IF(VLOOKUP($F40,'Table Output'!$A$1:$H$9998,8,FALSE)="Clay",VLOOKUP(L$37,BoundParameters_HiddenSheetCLAY!$I$3:$L$50,MATCH(VLOOKUP($K75,$K$5:$AL$34,MATCH(VLOOKUP(L$37,$BJ$3:$BK$50,2,FALSE),$K$4:$AL$4,0),FALSE),BoundParameters_HiddenSheetCLAY!$I$1:$L$1,0),FALSE))),'Control Panel'!L75)))</f>
        <v>700</v>
      </c>
      <c r="M75" s="28">
        <f>IF($K75="","",IF(M$37="","",IF('Control Panel'!M75="",IF(VLOOKUP($F40,'Table Output'!$A$1:$H$99998,8,FALSE)="Sand",VLOOKUP(M$37,BoundParameters_HiddenSheetSAND!$I$3:$L$50,MATCH(VLOOKUP($K75,$K$5:$AL$34,MATCH(VLOOKUP(M$37,$BJ$3:$BK$50,2,FALSE),$K$4:$AL$4,0),FALSE),BoundParameters_HiddenSheetCLAY!$I$1:$L$1,0),FALSE),IF(VLOOKUP($F40,'Table Output'!$A$1:$H$9998,8,FALSE)="Clay",VLOOKUP(M$37,BoundParameters_HiddenSheetCLAY!$I$3:$L$50,MATCH(VLOOKUP($K75,$K$5:$AL$34,MATCH(VLOOKUP(M$37,$BJ$3:$BK$50,2,FALSE),$K$4:$AL$4,0),FALSE),BoundParameters_HiddenSheetCLAY!$I$1:$L$1,0),FALSE))),'Control Panel'!M75)))</f>
        <v>300</v>
      </c>
      <c r="N75" s="28">
        <f>IF($K75="","",IF(N$37="","",IF('Control Panel'!N75="",IF(VLOOKUP($F40,'Table Output'!$A$1:$H$99998,8,FALSE)="Sand",VLOOKUP(N$37,BoundParameters_HiddenSheetSAND!$I$3:$L$50,MATCH(VLOOKUP($K75,$K$5:$AL$34,MATCH(VLOOKUP(N$37,$BJ$3:$BK$50,2,FALSE),$K$4:$AL$4,0),FALSE),BoundParameters_HiddenSheetCLAY!$I$1:$L$1,0),FALSE),IF(VLOOKUP($F40,'Table Output'!$A$1:$H$9998,8,FALSE)="Clay",VLOOKUP(N$37,BoundParameters_HiddenSheetCLAY!$I$3:$L$50,MATCH(VLOOKUP($K75,$K$5:$AL$34,MATCH(VLOOKUP(N$37,$BJ$3:$BK$50,2,FALSE),$K$4:$AL$4,0),FALSE),BoundParameters_HiddenSheetCLAY!$I$1:$L$1,0),FALSE))),'Control Panel'!N75)))</f>
        <v>50</v>
      </c>
      <c r="O75" s="28">
        <f>IF($K75="","",IF(O$37="","",IF('Control Panel'!O75="",IF(VLOOKUP($F40,'Table Output'!$A$1:$H$99998,8,FALSE)="Sand",VLOOKUP(O$37,BoundParameters_HiddenSheetSAND!$I$3:$L$50,MATCH(VLOOKUP($K75,$K$5:$AL$34,MATCH(VLOOKUP(O$37,$BJ$3:$BK$50,2,FALSE),$K$4:$AL$4,0),FALSE),BoundParameters_HiddenSheetCLAY!$I$1:$L$1,0),FALSE),IF(VLOOKUP($F40,'Table Output'!$A$1:$H$9998,8,FALSE)="Clay",VLOOKUP(O$37,BoundParameters_HiddenSheetCLAY!$I$3:$L$50,MATCH(VLOOKUP($K75,$K$5:$AL$34,MATCH(VLOOKUP(O$37,$BJ$3:$BK$50,2,FALSE),$K$4:$AL$4,0),FALSE),BoundParameters_HiddenSheetCLAY!$I$1:$L$1,0),FALSE))),'Control Panel'!O75)))</f>
        <v>1</v>
      </c>
      <c r="P75" s="28">
        <f>IF($K75="","",IF(P$37="","",IF('Control Panel'!P75="",IF(VLOOKUP($F40,'Table Output'!$A$1:$H$99998,8,FALSE)="Sand",VLOOKUP(P$37,BoundParameters_HiddenSheetSAND!$I$3:$L$50,MATCH(VLOOKUP($K75,$K$5:$AL$34,MATCH(VLOOKUP(P$37,$BJ$3:$BK$50,2,FALSE),$K$4:$AL$4,0),FALSE),BoundParameters_HiddenSheetCLAY!$I$1:$L$1,0),FALSE),IF(VLOOKUP($F40,'Table Output'!$A$1:$H$9998,8,FALSE)="Clay",VLOOKUP(P$37,BoundParameters_HiddenSheetCLAY!$I$3:$L$50,MATCH(VLOOKUP($K75,$K$5:$AL$34,MATCH(VLOOKUP(P$37,$BJ$3:$BK$50,2,FALSE),$K$4:$AL$4,0),FALSE),BoundParameters_HiddenSheetCLAY!$I$1:$L$1,0),FALSE))),'Control Panel'!P75)))</f>
        <v>50</v>
      </c>
      <c r="Q75" s="28" t="str">
        <f>IF($K75="","",IF(Q$37="","",IF('Control Panel'!Q75="",IF(VLOOKUP($F40,'Table Output'!$A$1:$H$99998,8,FALSE)="Sand",VLOOKUP(Q$37,BoundParameters_HiddenSheetSAND!$I$3:$L$50,MATCH(VLOOKUP($K75,$K$5:$AL$34,MATCH(VLOOKUP(Q$37,$BJ$3:$BK$50,2,FALSE),$K$4:$AL$4,0),FALSE),BoundParameters_HiddenSheetCLAY!$I$1:$L$1,0),FALSE),IF(VLOOKUP($F40,'Table Output'!$A$1:$H$9998,8,FALSE)="Clay",VLOOKUP(Q$37,BoundParameters_HiddenSheetCLAY!$I$3:$L$50,MATCH(VLOOKUP($K75,$K$5:$AL$34,MATCH(VLOOKUP(Q$37,$BJ$3:$BK$50,2,FALSE),$K$4:$AL$4,0),FALSE),BoundParameters_HiddenSheetCLAY!$I$1:$L$1,0),FALSE))),'Control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8" t="str">
        <f>IF($K75="","",IF(R$37="","",IF('Control Panel'!R75="",IF(VLOOKUP($F40,'Table Output'!$A$1:$H$99998,8,FALSE)="Sand",VLOOKUP(R$37,BoundParameters_HiddenSheetSAND!$I$3:$L$50,MATCH(VLOOKUP($K75,$K$5:$AL$34,MATCH(VLOOKUP(R$37,$BJ$3:$BK$50,2,FALSE),$K$4:$AL$4,0),FALSE),BoundParameters_HiddenSheetCLAY!$I$1:$L$1,0),FALSE),IF(VLOOKUP($F40,'Table Output'!$A$1:$H$9998,8,FALSE)="Clay",VLOOKUP(R$37,BoundParameters_HiddenSheetCLAY!$I$3:$L$50,MATCH(VLOOKUP($K75,$K$5:$AL$34,MATCH(VLOOKUP(R$37,$BJ$3:$BK$50,2,FALSE),$K$4:$AL$4,0),FALSE),BoundParameters_HiddenSheetCLAY!$I$1:$L$1,0),FALSE))),'Control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8" t="str">
        <f>IF($K75="","",IF(S$37="","",IF('Control Panel'!S75="",IF(VLOOKUP($F40,'Table Output'!$A$1:$H$99998,8,FALSE)="Sand",VLOOKUP(S$37,BoundParameters_HiddenSheetSAND!$I$3:$L$50,MATCH(VLOOKUP($K75,$K$5:$AL$34,MATCH(VLOOKUP(S$37,$BJ$3:$BK$50,2,FALSE),$K$4:$AL$4,0),FALSE),BoundParameters_HiddenSheetCLAY!$I$1:$L$1,0),FALSE),IF(VLOOKUP($F40,'Table Output'!$A$1:$H$9998,8,FALSE)="Clay",VLOOKUP(S$37,BoundParameters_HiddenSheetCLAY!$I$3:$L$50,MATCH(VLOOKUP($K75,$K$5:$AL$34,MATCH(VLOOKUP(S$37,$BJ$3:$BK$50,2,FALSE),$K$4:$AL$4,0),FALSE),BoundParameters_HiddenSheetCLAY!$I$1:$L$1,0),FALSE))),'Control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8" t="str">
        <f>IF($K75="","",IF(T$37="","",IF('Control Panel'!T75="",IF(VLOOKUP($F40,'Table Output'!$A$1:$H$99998,8,FALSE)="Sand",VLOOKUP(T$37,BoundParameters_HiddenSheetSAND!$I$3:$L$50,MATCH(VLOOKUP($K75,$K$5:$AL$34,MATCH(VLOOKUP(T$37,$BJ$3:$BK$50,2,FALSE),$K$4:$AL$4,0),FALSE),BoundParameters_HiddenSheetCLAY!$I$1:$L$1,0),FALSE),IF(VLOOKUP($F40,'Table Output'!$A$1:$H$9998,8,FALSE)="Clay",VLOOKUP(T$37,BoundParameters_HiddenSheetCLAY!$I$3:$L$50,MATCH(VLOOKUP($K75,$K$5:$AL$34,MATCH(VLOOKUP(T$37,$BJ$3:$BK$50,2,FALSE),$K$4:$AL$4,0),FALSE),BoundParameters_HiddenSheetCLAY!$I$1:$L$1,0),FALSE))),'Control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8" t="str">
        <f>IF($K75="","",IF(U$37="","",IF('Control Panel'!U75="",IF(VLOOKUP($F40,'Table Output'!$A$1:$H$99998,8,FALSE)="Sand",VLOOKUP(U$37,BoundParameters_HiddenSheetSAND!$I$3:$L$50,MATCH(VLOOKUP($K75,$K$5:$AL$34,MATCH(VLOOKUP(U$37,$BJ$3:$BK$50,2,FALSE),$K$4:$AL$4,0),FALSE),BoundParameters_HiddenSheetCLAY!$I$1:$L$1,0),FALSE),IF(VLOOKUP($F40,'Table Output'!$A$1:$H$9998,8,FALSE)="Clay",VLOOKUP(U$37,BoundParameters_HiddenSheetCLAY!$I$3:$L$50,MATCH(VLOOKUP($K75,$K$5:$AL$34,MATCH(VLOOKUP(U$37,$BJ$3:$BK$50,2,FALSE),$K$4:$AL$4,0),FALSE),BoundParameters_HiddenSheetCLAY!$I$1:$L$1,0),FALSE))),'Control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Sand_68</v>
      </c>
      <c r="K76" s="5">
        <f t="shared" si="49"/>
        <v>4</v>
      </c>
      <c r="L76" s="28">
        <f>IF($K76="","",IF(L$37="","",IF('Control Panel'!L76="",IF(VLOOKUP($F41,'Table Output'!$A$1:$H$99998,8,FALSE)="Sand",VLOOKUP(L$37,BoundParameters_HiddenSheetSAND!$I$3:$L$50,MATCH(VLOOKUP($K76,$K$5:$AL$34,MATCH(VLOOKUP(L$37,$BJ$3:$BK$50,2,FALSE),$K$4:$AL$4,0),FALSE),BoundParameters_HiddenSheetCLAY!$I$1:$L$1,0),FALSE),IF(VLOOKUP($F41,'Table Output'!$A$1:$H$9998,8,FALSE)="Clay",VLOOKUP(L$37,BoundParameters_HiddenSheetCLAY!$I$3:$L$50,MATCH(VLOOKUP($K76,$K$5:$AL$34,MATCH(VLOOKUP(L$37,$BJ$3:$BK$50,2,FALSE),$K$4:$AL$4,0),FALSE),BoundParameters_HiddenSheetCLAY!$I$1:$L$1,0),FALSE))),'Control Panel'!L76)))</f>
        <v>700</v>
      </c>
      <c r="M76" s="28">
        <f>IF($K76="","",IF(M$37="","",IF('Control Panel'!M76="",IF(VLOOKUP($F41,'Table Output'!$A$1:$H$99998,8,FALSE)="Sand",VLOOKUP(M$37,BoundParameters_HiddenSheetSAND!$I$3:$L$50,MATCH(VLOOKUP($K76,$K$5:$AL$34,MATCH(VLOOKUP(M$37,$BJ$3:$BK$50,2,FALSE),$K$4:$AL$4,0),FALSE),BoundParameters_HiddenSheetCLAY!$I$1:$L$1,0),FALSE),IF(VLOOKUP($F41,'Table Output'!$A$1:$H$9998,8,FALSE)="Clay",VLOOKUP(M$37,BoundParameters_HiddenSheetCLAY!$I$3:$L$50,MATCH(VLOOKUP($K76,$K$5:$AL$34,MATCH(VLOOKUP(M$37,$BJ$3:$BK$50,2,FALSE),$K$4:$AL$4,0),FALSE),BoundParameters_HiddenSheetCLAY!$I$1:$L$1,0),FALSE))),'Control Panel'!M76)))</f>
        <v>300</v>
      </c>
      <c r="N76" s="28">
        <f>IF($K76="","",IF(N$37="","",IF('Control Panel'!N76="",IF(VLOOKUP($F41,'Table Output'!$A$1:$H$99998,8,FALSE)="Sand",VLOOKUP(N$37,BoundParameters_HiddenSheetSAND!$I$3:$L$50,MATCH(VLOOKUP($K76,$K$5:$AL$34,MATCH(VLOOKUP(N$37,$BJ$3:$BK$50,2,FALSE),$K$4:$AL$4,0),FALSE),BoundParameters_HiddenSheetCLAY!$I$1:$L$1,0),FALSE),IF(VLOOKUP($F41,'Table Output'!$A$1:$H$9998,8,FALSE)="Clay",VLOOKUP(N$37,BoundParameters_HiddenSheetCLAY!$I$3:$L$50,MATCH(VLOOKUP($K76,$K$5:$AL$34,MATCH(VLOOKUP(N$37,$BJ$3:$BK$50,2,FALSE),$K$4:$AL$4,0),FALSE),BoundParameters_HiddenSheetCLAY!$I$1:$L$1,0),FALSE))),'Control Panel'!N76)))</f>
        <v>50</v>
      </c>
      <c r="O76" s="28">
        <f>IF($K76="","",IF(O$37="","",IF('Control Panel'!O76="",IF(VLOOKUP($F41,'Table Output'!$A$1:$H$99998,8,FALSE)="Sand",VLOOKUP(O$37,BoundParameters_HiddenSheetSAND!$I$3:$L$50,MATCH(VLOOKUP($K76,$K$5:$AL$34,MATCH(VLOOKUP(O$37,$BJ$3:$BK$50,2,FALSE),$K$4:$AL$4,0),FALSE),BoundParameters_HiddenSheetCLAY!$I$1:$L$1,0),FALSE),IF(VLOOKUP($F41,'Table Output'!$A$1:$H$9998,8,FALSE)="Clay",VLOOKUP(O$37,BoundParameters_HiddenSheetCLAY!$I$3:$L$50,MATCH(VLOOKUP($K76,$K$5:$AL$34,MATCH(VLOOKUP(O$37,$BJ$3:$BK$50,2,FALSE),$K$4:$AL$4,0),FALSE),BoundParameters_HiddenSheetCLAY!$I$1:$L$1,0),FALSE))),'Control Panel'!O76)))</f>
        <v>1</v>
      </c>
      <c r="P76" s="28">
        <f>IF($K76="","",IF(P$37="","",IF('Control Panel'!P76="",IF(VLOOKUP($F41,'Table Output'!$A$1:$H$99998,8,FALSE)="Sand",VLOOKUP(P$37,BoundParameters_HiddenSheetSAND!$I$3:$L$50,MATCH(VLOOKUP($K76,$K$5:$AL$34,MATCH(VLOOKUP(P$37,$BJ$3:$BK$50,2,FALSE),$K$4:$AL$4,0),FALSE),BoundParameters_HiddenSheetCLAY!$I$1:$L$1,0),FALSE),IF(VLOOKUP($F41,'Table Output'!$A$1:$H$9998,8,FALSE)="Clay",VLOOKUP(P$37,BoundParameters_HiddenSheetCLAY!$I$3:$L$50,MATCH(VLOOKUP($K76,$K$5:$AL$34,MATCH(VLOOKUP(P$37,$BJ$3:$BK$50,2,FALSE),$K$4:$AL$4,0),FALSE),BoundParameters_HiddenSheetCLAY!$I$1:$L$1,0),FALSE))),'Control Panel'!P76)))</f>
        <v>50</v>
      </c>
      <c r="Q76" s="28" t="str">
        <f>IF($K76="","",IF(Q$37="","",IF('Control Panel'!Q76="",IF(VLOOKUP($F41,'Table Output'!$A$1:$H$99998,8,FALSE)="Sand",VLOOKUP(Q$37,BoundParameters_HiddenSheetSAND!$I$3:$L$50,MATCH(VLOOKUP($K76,$K$5:$AL$34,MATCH(VLOOKUP(Q$37,$BJ$3:$BK$50,2,FALSE),$K$4:$AL$4,0),FALSE),BoundParameters_HiddenSheetCLAY!$I$1:$L$1,0),FALSE),IF(VLOOKUP($F41,'Table Output'!$A$1:$H$9998,8,FALSE)="Clay",VLOOKUP(Q$37,BoundParameters_HiddenSheetCLAY!$I$3:$L$50,MATCH(VLOOKUP($K76,$K$5:$AL$34,MATCH(VLOOKUP(Q$37,$BJ$3:$BK$50,2,FALSE),$K$4:$AL$4,0),FALSE),BoundParameters_HiddenSheetCLAY!$I$1:$L$1,0),FALSE))),'Control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8" t="str">
        <f>IF($K76="","",IF(R$37="","",IF('Control Panel'!R76="",IF(VLOOKUP($F41,'Table Output'!$A$1:$H$99998,8,FALSE)="Sand",VLOOKUP(R$37,BoundParameters_HiddenSheetSAND!$I$3:$L$50,MATCH(VLOOKUP($K76,$K$5:$AL$34,MATCH(VLOOKUP(R$37,$BJ$3:$BK$50,2,FALSE),$K$4:$AL$4,0),FALSE),BoundParameters_HiddenSheetCLAY!$I$1:$L$1,0),FALSE),IF(VLOOKUP($F41,'Table Output'!$A$1:$H$9998,8,FALSE)="Clay",VLOOKUP(R$37,BoundParameters_HiddenSheetCLAY!$I$3:$L$50,MATCH(VLOOKUP($K76,$K$5:$AL$34,MATCH(VLOOKUP(R$37,$BJ$3:$BK$50,2,FALSE),$K$4:$AL$4,0),FALSE),BoundParameters_HiddenSheetCLAY!$I$1:$L$1,0),FALSE))),'Control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8" t="str">
        <f>IF($K76="","",IF(S$37="","",IF('Control Panel'!S76="",IF(VLOOKUP($F41,'Table Output'!$A$1:$H$99998,8,FALSE)="Sand",VLOOKUP(S$37,BoundParameters_HiddenSheetSAND!$I$3:$L$50,MATCH(VLOOKUP($K76,$K$5:$AL$34,MATCH(VLOOKUP(S$37,$BJ$3:$BK$50,2,FALSE),$K$4:$AL$4,0),FALSE),BoundParameters_HiddenSheetCLAY!$I$1:$L$1,0),FALSE),IF(VLOOKUP($F41,'Table Output'!$A$1:$H$9998,8,FALSE)="Clay",VLOOKUP(S$37,BoundParameters_HiddenSheetCLAY!$I$3:$L$50,MATCH(VLOOKUP($K76,$K$5:$AL$34,MATCH(VLOOKUP(S$37,$BJ$3:$BK$50,2,FALSE),$K$4:$AL$4,0),FALSE),BoundParameters_HiddenSheetCLAY!$I$1:$L$1,0),FALSE))),'Control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8" t="str">
        <f>IF($K76="","",IF(T$37="","",IF('Control Panel'!T76="",IF(VLOOKUP($F41,'Table Output'!$A$1:$H$99998,8,FALSE)="Sand",VLOOKUP(T$37,BoundParameters_HiddenSheetSAND!$I$3:$L$50,MATCH(VLOOKUP($K76,$K$5:$AL$34,MATCH(VLOOKUP(T$37,$BJ$3:$BK$50,2,FALSE),$K$4:$AL$4,0),FALSE),BoundParameters_HiddenSheetCLAY!$I$1:$L$1,0),FALSE),IF(VLOOKUP($F41,'Table Output'!$A$1:$H$9998,8,FALSE)="Clay",VLOOKUP(T$37,BoundParameters_HiddenSheetCLAY!$I$3:$L$50,MATCH(VLOOKUP($K76,$K$5:$AL$34,MATCH(VLOOKUP(T$37,$BJ$3:$BK$50,2,FALSE),$K$4:$AL$4,0),FALSE),BoundParameters_HiddenSheetCLAY!$I$1:$L$1,0),FALSE))),'Control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8" t="str">
        <f>IF($K76="","",IF(U$37="","",IF('Control Panel'!U76="",IF(VLOOKUP($F41,'Table Output'!$A$1:$H$99998,8,FALSE)="Sand",VLOOKUP(U$37,BoundParameters_HiddenSheetSAND!$I$3:$L$50,MATCH(VLOOKUP($K76,$K$5:$AL$34,MATCH(VLOOKUP(U$37,$BJ$3:$BK$50,2,FALSE),$K$4:$AL$4,0),FALSE),BoundParameters_HiddenSheetCLAY!$I$1:$L$1,0),FALSE),IF(VLOOKUP($F41,'Table Output'!$A$1:$H$9998,8,FALSE)="Clay",VLOOKUP(U$37,BoundParameters_HiddenSheetCLAY!$I$3:$L$50,MATCH(VLOOKUP($K76,$K$5:$AL$34,MATCH(VLOOKUP(U$37,$BJ$3:$BK$50,2,FALSE),$K$4:$AL$4,0),FALSE),BoundParameters_HiddenSheetCLAY!$I$1:$L$1,0),FALSE))),'Control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Sand_79</v>
      </c>
      <c r="K77" s="5">
        <f t="shared" si="49"/>
        <v>5</v>
      </c>
      <c r="L77" s="28">
        <f>IF($K77="","",IF(L$37="","",IF('Control Panel'!L77="",IF(VLOOKUP($F42,'Table Output'!$A$1:$H$99998,8,FALSE)="Sand",VLOOKUP(L$37,BoundParameters_HiddenSheetSAND!$I$3:$L$50,MATCH(VLOOKUP($K77,$K$5:$AL$34,MATCH(VLOOKUP(L$37,$BJ$3:$BK$50,2,FALSE),$K$4:$AL$4,0),FALSE),BoundParameters_HiddenSheetCLAY!$I$1:$L$1,0),FALSE),IF(VLOOKUP($F42,'Table Output'!$A$1:$H$9998,8,FALSE)="Clay",VLOOKUP(L$37,BoundParameters_HiddenSheetCLAY!$I$3:$L$50,MATCH(VLOOKUP($K77,$K$5:$AL$34,MATCH(VLOOKUP(L$37,$BJ$3:$BK$50,2,FALSE),$K$4:$AL$4,0),FALSE),BoundParameters_HiddenSheetCLAY!$I$1:$L$1,0),FALSE))),'Control Panel'!L77)))</f>
        <v>700</v>
      </c>
      <c r="M77" s="28">
        <f>IF($K77="","",IF(M$37="","",IF('Control Panel'!M77="",IF(VLOOKUP($F42,'Table Output'!$A$1:$H$99998,8,FALSE)="Sand",VLOOKUP(M$37,BoundParameters_HiddenSheetSAND!$I$3:$L$50,MATCH(VLOOKUP($K77,$K$5:$AL$34,MATCH(VLOOKUP(M$37,$BJ$3:$BK$50,2,FALSE),$K$4:$AL$4,0),FALSE),BoundParameters_HiddenSheetCLAY!$I$1:$L$1,0),FALSE),IF(VLOOKUP($F42,'Table Output'!$A$1:$H$9998,8,FALSE)="Clay",VLOOKUP(M$37,BoundParameters_HiddenSheetCLAY!$I$3:$L$50,MATCH(VLOOKUP($K77,$K$5:$AL$34,MATCH(VLOOKUP(M$37,$BJ$3:$BK$50,2,FALSE),$K$4:$AL$4,0),FALSE),BoundParameters_HiddenSheetCLAY!$I$1:$L$1,0),FALSE))),'Control Panel'!M77)))</f>
        <v>300</v>
      </c>
      <c r="N77" s="28">
        <f>IF($K77="","",IF(N$37="","",IF('Control Panel'!N77="",IF(VLOOKUP($F42,'Table Output'!$A$1:$H$99998,8,FALSE)="Sand",VLOOKUP(N$37,BoundParameters_HiddenSheetSAND!$I$3:$L$50,MATCH(VLOOKUP($K77,$K$5:$AL$34,MATCH(VLOOKUP(N$37,$BJ$3:$BK$50,2,FALSE),$K$4:$AL$4,0),FALSE),BoundParameters_HiddenSheetCLAY!$I$1:$L$1,0),FALSE),IF(VLOOKUP($F42,'Table Output'!$A$1:$H$9998,8,FALSE)="Clay",VLOOKUP(N$37,BoundParameters_HiddenSheetCLAY!$I$3:$L$50,MATCH(VLOOKUP($K77,$K$5:$AL$34,MATCH(VLOOKUP(N$37,$BJ$3:$BK$50,2,FALSE),$K$4:$AL$4,0),FALSE),BoundParameters_HiddenSheetCLAY!$I$1:$L$1,0),FALSE))),'Control Panel'!N77)))</f>
        <v>50</v>
      </c>
      <c r="O77" s="28">
        <f>IF($K77="","",IF(O$37="","",IF('Control Panel'!O77="",IF(VLOOKUP($F42,'Table Output'!$A$1:$H$99998,8,FALSE)="Sand",VLOOKUP(O$37,BoundParameters_HiddenSheetSAND!$I$3:$L$50,MATCH(VLOOKUP($K77,$K$5:$AL$34,MATCH(VLOOKUP(O$37,$BJ$3:$BK$50,2,FALSE),$K$4:$AL$4,0),FALSE),BoundParameters_HiddenSheetCLAY!$I$1:$L$1,0),FALSE),IF(VLOOKUP($F42,'Table Output'!$A$1:$H$9998,8,FALSE)="Clay",VLOOKUP(O$37,BoundParameters_HiddenSheetCLAY!$I$3:$L$50,MATCH(VLOOKUP($K77,$K$5:$AL$34,MATCH(VLOOKUP(O$37,$BJ$3:$BK$50,2,FALSE),$K$4:$AL$4,0),FALSE),BoundParameters_HiddenSheetCLAY!$I$1:$L$1,0),FALSE))),'Control Panel'!O77)))</f>
        <v>1</v>
      </c>
      <c r="P77" s="28">
        <f>IF($K77="","",IF(P$37="","",IF('Control Panel'!P77="",IF(VLOOKUP($F42,'Table Output'!$A$1:$H$99998,8,FALSE)="Sand",VLOOKUP(P$37,BoundParameters_HiddenSheetSAND!$I$3:$L$50,MATCH(VLOOKUP($K77,$K$5:$AL$34,MATCH(VLOOKUP(P$37,$BJ$3:$BK$50,2,FALSE),$K$4:$AL$4,0),FALSE),BoundParameters_HiddenSheetCLAY!$I$1:$L$1,0),FALSE),IF(VLOOKUP($F42,'Table Output'!$A$1:$H$9998,8,FALSE)="Clay",VLOOKUP(P$37,BoundParameters_HiddenSheetCLAY!$I$3:$L$50,MATCH(VLOOKUP($K77,$K$5:$AL$34,MATCH(VLOOKUP(P$37,$BJ$3:$BK$50,2,FALSE),$K$4:$AL$4,0),FALSE),BoundParameters_HiddenSheetCLAY!$I$1:$L$1,0),FALSE))),'Control Panel'!P77)))</f>
        <v>50</v>
      </c>
      <c r="Q77" s="28" t="str">
        <f>IF($K77="","",IF(Q$37="","",IF('Control Panel'!Q77="",IF(VLOOKUP($F42,'Table Output'!$A$1:$H$99998,8,FALSE)="Sand",VLOOKUP(Q$37,BoundParameters_HiddenSheetSAND!$I$3:$L$50,MATCH(VLOOKUP($K77,$K$5:$AL$34,MATCH(VLOOKUP(Q$37,$BJ$3:$BK$50,2,FALSE),$K$4:$AL$4,0),FALSE),BoundParameters_HiddenSheetCLAY!$I$1:$L$1,0),FALSE),IF(VLOOKUP($F42,'Table Output'!$A$1:$H$9998,8,FALSE)="Clay",VLOOKUP(Q$37,BoundParameters_HiddenSheetCLAY!$I$3:$L$50,MATCH(VLOOKUP($K77,$K$5:$AL$34,MATCH(VLOOKUP(Q$37,$BJ$3:$BK$50,2,FALSE),$K$4:$AL$4,0),FALSE),BoundParameters_HiddenSheetCLAY!$I$1:$L$1,0),FALSE))),'Control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8" t="str">
        <f>IF($K77="","",IF(R$37="","",IF('Control Panel'!R77="",IF(VLOOKUP($F42,'Table Output'!$A$1:$H$99998,8,FALSE)="Sand",VLOOKUP(R$37,BoundParameters_HiddenSheetSAND!$I$3:$L$50,MATCH(VLOOKUP($K77,$K$5:$AL$34,MATCH(VLOOKUP(R$37,$BJ$3:$BK$50,2,FALSE),$K$4:$AL$4,0),FALSE),BoundParameters_HiddenSheetCLAY!$I$1:$L$1,0),FALSE),IF(VLOOKUP($F42,'Table Output'!$A$1:$H$9998,8,FALSE)="Clay",VLOOKUP(R$37,BoundParameters_HiddenSheetCLAY!$I$3:$L$50,MATCH(VLOOKUP($K77,$K$5:$AL$34,MATCH(VLOOKUP(R$37,$BJ$3:$BK$50,2,FALSE),$K$4:$AL$4,0),FALSE),BoundParameters_HiddenSheetCLAY!$I$1:$L$1,0),FALSE))),'Control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8" t="str">
        <f>IF($K77="","",IF(S$37="","",IF('Control Panel'!S77="",IF(VLOOKUP($F42,'Table Output'!$A$1:$H$99998,8,FALSE)="Sand",VLOOKUP(S$37,BoundParameters_HiddenSheetSAND!$I$3:$L$50,MATCH(VLOOKUP($K77,$K$5:$AL$34,MATCH(VLOOKUP(S$37,$BJ$3:$BK$50,2,FALSE),$K$4:$AL$4,0),FALSE),BoundParameters_HiddenSheetCLAY!$I$1:$L$1,0),FALSE),IF(VLOOKUP($F42,'Table Output'!$A$1:$H$9998,8,FALSE)="Clay",VLOOKUP(S$37,BoundParameters_HiddenSheetCLAY!$I$3:$L$50,MATCH(VLOOKUP($K77,$K$5:$AL$34,MATCH(VLOOKUP(S$37,$BJ$3:$BK$50,2,FALSE),$K$4:$AL$4,0),FALSE),BoundParameters_HiddenSheetCLAY!$I$1:$L$1,0),FALSE))),'Control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8" t="str">
        <f>IF($K77="","",IF(T$37="","",IF('Control Panel'!T77="",IF(VLOOKUP($F42,'Table Output'!$A$1:$H$99998,8,FALSE)="Sand",VLOOKUP(T$37,BoundParameters_HiddenSheetSAND!$I$3:$L$50,MATCH(VLOOKUP($K77,$K$5:$AL$34,MATCH(VLOOKUP(T$37,$BJ$3:$BK$50,2,FALSE),$K$4:$AL$4,0),FALSE),BoundParameters_HiddenSheetCLAY!$I$1:$L$1,0),FALSE),IF(VLOOKUP($F42,'Table Output'!$A$1:$H$9998,8,FALSE)="Clay",VLOOKUP(T$37,BoundParameters_HiddenSheetCLAY!$I$3:$L$50,MATCH(VLOOKUP($K77,$K$5:$AL$34,MATCH(VLOOKUP(T$37,$BJ$3:$BK$50,2,FALSE),$K$4:$AL$4,0),FALSE),BoundParameters_HiddenSheetCLAY!$I$1:$L$1,0),FALSE))),'Control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8" t="str">
        <f>IF($K77="","",IF(U$37="","",IF('Control Panel'!U77="",IF(VLOOKUP($F42,'Table Output'!$A$1:$H$99998,8,FALSE)="Sand",VLOOKUP(U$37,BoundParameters_HiddenSheetSAND!$I$3:$L$50,MATCH(VLOOKUP($K77,$K$5:$AL$34,MATCH(VLOOKUP(U$37,$BJ$3:$BK$50,2,FALSE),$K$4:$AL$4,0),FALSE),BoundParameters_HiddenSheetCLAY!$I$1:$L$1,0),FALSE),IF(VLOOKUP($F42,'Table Output'!$A$1:$H$9998,8,FALSE)="Clay",VLOOKUP(U$37,BoundParameters_HiddenSheetCLAY!$I$3:$L$50,MATCH(VLOOKUP($K77,$K$5:$AL$34,MATCH(VLOOKUP(U$37,$BJ$3:$BK$50,2,FALSE),$K$4:$AL$4,0),FALSE),BoundParameters_HiddenSheetCLAY!$I$1:$L$1,0),FALSE))),'Control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9"/>
    </row>
    <row r="78" spans="5:62" x14ac:dyDescent="0.15">
      <c r="F78" s="2" t="str">
        <f t="shared" ref="F78" si="53">F43</f>
        <v>Sand_59</v>
      </c>
      <c r="K78" s="5">
        <f t="shared" si="49"/>
        <v>6</v>
      </c>
      <c r="L78" s="28">
        <f>IF($K78="","",IF(L$37="","",IF('Control Panel'!L78="",IF(VLOOKUP($F43,'Table Output'!$A$1:$H$99998,8,FALSE)="Sand",VLOOKUP(L$37,BoundParameters_HiddenSheetSAND!$I$3:$L$50,MATCH(VLOOKUP($K78,$K$5:$AL$34,MATCH(VLOOKUP(L$37,$BJ$3:$BK$50,2,FALSE),$K$4:$AL$4,0),FALSE),BoundParameters_HiddenSheetCLAY!$I$1:$L$1,0),FALSE),IF(VLOOKUP($F43,'Table Output'!$A$1:$H$9998,8,FALSE)="Clay",VLOOKUP(L$37,BoundParameters_HiddenSheetCLAY!$I$3:$L$50,MATCH(VLOOKUP($K78,$K$5:$AL$34,MATCH(VLOOKUP(L$37,$BJ$3:$BK$50,2,FALSE),$K$4:$AL$4,0),FALSE),BoundParameters_HiddenSheetCLAY!$I$1:$L$1,0),FALSE))),'Control Panel'!L78)))</f>
        <v>700</v>
      </c>
      <c r="M78" s="28">
        <f>IF($K78="","",IF(M$37="","",IF('Control Panel'!M78="",IF(VLOOKUP($F43,'Table Output'!$A$1:$H$99998,8,FALSE)="Sand",VLOOKUP(M$37,BoundParameters_HiddenSheetSAND!$I$3:$L$50,MATCH(VLOOKUP($K78,$K$5:$AL$34,MATCH(VLOOKUP(M$37,$BJ$3:$BK$50,2,FALSE),$K$4:$AL$4,0),FALSE),BoundParameters_HiddenSheetCLAY!$I$1:$L$1,0),FALSE),IF(VLOOKUP($F43,'Table Output'!$A$1:$H$9998,8,FALSE)="Clay",VLOOKUP(M$37,BoundParameters_HiddenSheetCLAY!$I$3:$L$50,MATCH(VLOOKUP($K78,$K$5:$AL$34,MATCH(VLOOKUP(M$37,$BJ$3:$BK$50,2,FALSE),$K$4:$AL$4,0),FALSE),BoundParameters_HiddenSheetCLAY!$I$1:$L$1,0),FALSE))),'Control Panel'!M78)))</f>
        <v>300</v>
      </c>
      <c r="N78" s="28">
        <f>IF($K78="","",IF(N$37="","",IF('Control Panel'!N78="",IF(VLOOKUP($F43,'Table Output'!$A$1:$H$99998,8,FALSE)="Sand",VLOOKUP(N$37,BoundParameters_HiddenSheetSAND!$I$3:$L$50,MATCH(VLOOKUP($K78,$K$5:$AL$34,MATCH(VLOOKUP(N$37,$BJ$3:$BK$50,2,FALSE),$K$4:$AL$4,0),FALSE),BoundParameters_HiddenSheetCLAY!$I$1:$L$1,0),FALSE),IF(VLOOKUP($F43,'Table Output'!$A$1:$H$9998,8,FALSE)="Clay",VLOOKUP(N$37,BoundParameters_HiddenSheetCLAY!$I$3:$L$50,MATCH(VLOOKUP($K78,$K$5:$AL$34,MATCH(VLOOKUP(N$37,$BJ$3:$BK$50,2,FALSE),$K$4:$AL$4,0),FALSE),BoundParameters_HiddenSheetCLAY!$I$1:$L$1,0),FALSE))),'Control Panel'!N78)))</f>
        <v>50</v>
      </c>
      <c r="O78" s="28">
        <f>IF($K78="","",IF(O$37="","",IF('Control Panel'!O78="",IF(VLOOKUP($F43,'Table Output'!$A$1:$H$99998,8,FALSE)="Sand",VLOOKUP(O$37,BoundParameters_HiddenSheetSAND!$I$3:$L$50,MATCH(VLOOKUP($K78,$K$5:$AL$34,MATCH(VLOOKUP(O$37,$BJ$3:$BK$50,2,FALSE),$K$4:$AL$4,0),FALSE),BoundParameters_HiddenSheetCLAY!$I$1:$L$1,0),FALSE),IF(VLOOKUP($F43,'Table Output'!$A$1:$H$9998,8,FALSE)="Clay",VLOOKUP(O$37,BoundParameters_HiddenSheetCLAY!$I$3:$L$50,MATCH(VLOOKUP($K78,$K$5:$AL$34,MATCH(VLOOKUP(O$37,$BJ$3:$BK$50,2,FALSE),$K$4:$AL$4,0),FALSE),BoundParameters_HiddenSheetCLAY!$I$1:$L$1,0),FALSE))),'Control Panel'!O78)))</f>
        <v>1</v>
      </c>
      <c r="P78" s="28">
        <f>IF($K78="","",IF(P$37="","",IF('Control Panel'!P78="",IF(VLOOKUP($F43,'Table Output'!$A$1:$H$99998,8,FALSE)="Sand",VLOOKUP(P$37,BoundParameters_HiddenSheetSAND!$I$3:$L$50,MATCH(VLOOKUP($K78,$K$5:$AL$34,MATCH(VLOOKUP(P$37,$BJ$3:$BK$50,2,FALSE),$K$4:$AL$4,0),FALSE),BoundParameters_HiddenSheetCLAY!$I$1:$L$1,0),FALSE),IF(VLOOKUP($F43,'Table Output'!$A$1:$H$9998,8,FALSE)="Clay",VLOOKUP(P$37,BoundParameters_HiddenSheetCLAY!$I$3:$L$50,MATCH(VLOOKUP($K78,$K$5:$AL$34,MATCH(VLOOKUP(P$37,$BJ$3:$BK$50,2,FALSE),$K$4:$AL$4,0),FALSE),BoundParameters_HiddenSheetCLAY!$I$1:$L$1,0),FALSE))),'Control Panel'!P78)))</f>
        <v>50</v>
      </c>
      <c r="Q78" s="28" t="str">
        <f>IF($K78="","",IF(Q$37="","",IF('Control Panel'!Q78="",IF(VLOOKUP($F43,'Table Output'!$A$1:$H$99998,8,FALSE)="Sand",VLOOKUP(Q$37,BoundParameters_HiddenSheetSAND!$I$3:$L$50,MATCH(VLOOKUP($K78,$K$5:$AL$34,MATCH(VLOOKUP(Q$37,$BJ$3:$BK$50,2,FALSE),$K$4:$AL$4,0),FALSE),BoundParameters_HiddenSheetCLAY!$I$1:$L$1,0),FALSE),IF(VLOOKUP($F43,'Table Output'!$A$1:$H$9998,8,FALSE)="Clay",VLOOKUP(Q$37,BoundParameters_HiddenSheetCLAY!$I$3:$L$50,MATCH(VLOOKUP($K78,$K$5:$AL$34,MATCH(VLOOKUP(Q$37,$BJ$3:$BK$50,2,FALSE),$K$4:$AL$4,0),FALSE),BoundParameters_HiddenSheetCLAY!$I$1:$L$1,0),FALSE))),'Control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8" t="str">
        <f>IF($K78="","",IF(R$37="","",IF('Control Panel'!R78="",IF(VLOOKUP($F43,'Table Output'!$A$1:$H$99998,8,FALSE)="Sand",VLOOKUP(R$37,BoundParameters_HiddenSheetSAND!$I$3:$L$50,MATCH(VLOOKUP($K78,$K$5:$AL$34,MATCH(VLOOKUP(R$37,$BJ$3:$BK$50,2,FALSE),$K$4:$AL$4,0),FALSE),BoundParameters_HiddenSheetCLAY!$I$1:$L$1,0),FALSE),IF(VLOOKUP($F43,'Table Output'!$A$1:$H$9998,8,FALSE)="Clay",VLOOKUP(R$37,BoundParameters_HiddenSheetCLAY!$I$3:$L$50,MATCH(VLOOKUP($K78,$K$5:$AL$34,MATCH(VLOOKUP(R$37,$BJ$3:$BK$50,2,FALSE),$K$4:$AL$4,0),FALSE),BoundParameters_HiddenSheetCLAY!$I$1:$L$1,0),FALSE))),'Control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8" t="str">
        <f>IF($K78="","",IF(S$37="","",IF('Control Panel'!S78="",IF(VLOOKUP($F43,'Table Output'!$A$1:$H$99998,8,FALSE)="Sand",VLOOKUP(S$37,BoundParameters_HiddenSheetSAND!$I$3:$L$50,MATCH(VLOOKUP($K78,$K$5:$AL$34,MATCH(VLOOKUP(S$37,$BJ$3:$BK$50,2,FALSE),$K$4:$AL$4,0),FALSE),BoundParameters_HiddenSheetCLAY!$I$1:$L$1,0),FALSE),IF(VLOOKUP($F43,'Table Output'!$A$1:$H$9998,8,FALSE)="Clay",VLOOKUP(S$37,BoundParameters_HiddenSheetCLAY!$I$3:$L$50,MATCH(VLOOKUP($K78,$K$5:$AL$34,MATCH(VLOOKUP(S$37,$BJ$3:$BK$50,2,FALSE),$K$4:$AL$4,0),FALSE),BoundParameters_HiddenSheetCLAY!$I$1:$L$1,0),FALSE))),'Control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8" t="str">
        <f>IF($K78="","",IF(T$37="","",IF('Control Panel'!T78="",IF(VLOOKUP($F43,'Table Output'!$A$1:$H$99998,8,FALSE)="Sand",VLOOKUP(T$37,BoundParameters_HiddenSheetSAND!$I$3:$L$50,MATCH(VLOOKUP($K78,$K$5:$AL$34,MATCH(VLOOKUP(T$37,$BJ$3:$BK$50,2,FALSE),$K$4:$AL$4,0),FALSE),BoundParameters_HiddenSheetCLAY!$I$1:$L$1,0),FALSE),IF(VLOOKUP($F43,'Table Output'!$A$1:$H$9998,8,FALSE)="Clay",VLOOKUP(T$37,BoundParameters_HiddenSheetCLAY!$I$3:$L$50,MATCH(VLOOKUP($K78,$K$5:$AL$34,MATCH(VLOOKUP(T$37,$BJ$3:$BK$50,2,FALSE),$K$4:$AL$4,0),FALSE),BoundParameters_HiddenSheetCLAY!$I$1:$L$1,0),FALSE))),'Control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8" t="str">
        <f>IF($K78="","",IF(U$37="","",IF('Control Panel'!U78="",IF(VLOOKUP($F43,'Table Output'!$A$1:$H$99998,8,FALSE)="Sand",VLOOKUP(U$37,BoundParameters_HiddenSheetSAND!$I$3:$L$50,MATCH(VLOOKUP($K78,$K$5:$AL$34,MATCH(VLOOKUP(U$37,$BJ$3:$BK$50,2,FALSE),$K$4:$AL$4,0),FALSE),BoundParameters_HiddenSheetCLAY!$I$1:$L$1,0),FALSE),IF(VLOOKUP($F43,'Table Output'!$A$1:$H$9998,8,FALSE)="Clay",VLOOKUP(U$37,BoundParameters_HiddenSheetCLAY!$I$3:$L$50,MATCH(VLOOKUP($K78,$K$5:$AL$34,MATCH(VLOOKUP(U$37,$BJ$3:$BK$50,2,FALSE),$K$4:$AL$4,0),FALSE),BoundParameters_HiddenSheetCLAY!$I$1:$L$1,0),FALSE))),'Control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Cowden_Clay</v>
      </c>
      <c r="K79" s="5">
        <f t="shared" si="49"/>
        <v>7</v>
      </c>
      <c r="L79" s="28">
        <f>IF($K79="","",IF(L$37="","",IF('Control Panel'!L79="",IF(VLOOKUP($F44,'Table Output'!$A$1:$H$99998,8,FALSE)="Sand",VLOOKUP(L$37,BoundParameters_HiddenSheetSAND!$I$3:$L$50,MATCH(VLOOKUP($K79,$K$5:$AL$34,MATCH(VLOOKUP(L$37,$BJ$3:$BK$50,2,FALSE),$K$4:$AL$4,0),FALSE),BoundParameters_HiddenSheetCLAY!$I$1:$L$1,0),FALSE),IF(VLOOKUP($F44,'Table Output'!$A$1:$H$9998,8,FALSE)="Clay",VLOOKUP(L$37,BoundParameters_HiddenSheetCLAY!$I$3:$L$50,MATCH(VLOOKUP($K79,$K$5:$AL$34,MATCH(VLOOKUP(L$37,$BJ$3:$BK$50,2,FALSE),$K$4:$AL$4,0),FALSE),BoundParameters_HiddenSheetCLAY!$I$1:$L$1,0),FALSE))),'Control Panel'!L79)))</f>
        <v>200</v>
      </c>
      <c r="M79" s="28">
        <f>IF($K79="","",IF(M$37="","",IF('Control Panel'!M79="",IF(VLOOKUP($F44,'Table Output'!$A$1:$H$99998,8,FALSE)="Sand",VLOOKUP(M$37,BoundParameters_HiddenSheetSAND!$I$3:$L$50,MATCH(VLOOKUP($K79,$K$5:$AL$34,MATCH(VLOOKUP(M$37,$BJ$3:$BK$50,2,FALSE),$K$4:$AL$4,0),FALSE),BoundParameters_HiddenSheetCLAY!$I$1:$L$1,0),FALSE),IF(VLOOKUP($F44,'Table Output'!$A$1:$H$9998,8,FALSE)="Clay",VLOOKUP(M$37,BoundParameters_HiddenSheetCLAY!$I$3:$L$50,MATCH(VLOOKUP($K79,$K$5:$AL$34,MATCH(VLOOKUP(M$37,$BJ$3:$BK$50,2,FALSE),$K$4:$AL$4,0),FALSE),BoundParameters_HiddenSheetCLAY!$I$1:$L$1,0),FALSE))),'Control Panel'!M79)))</f>
        <v>15.832000000000001</v>
      </c>
      <c r="N79" s="28">
        <f>IF($K79="","",IF(N$37="","",IF('Control Panel'!N79="",IF(VLOOKUP($F44,'Table Output'!$A$1:$H$99998,8,FALSE)="Sand",VLOOKUP(N$37,BoundParameters_HiddenSheetSAND!$I$3:$L$50,MATCH(VLOOKUP($K79,$K$5:$AL$34,MATCH(VLOOKUP(N$37,$BJ$3:$BK$50,2,FALSE),$K$4:$AL$4,0),FALSE),BoundParameters_HiddenSheetCLAY!$I$1:$L$1,0),FALSE),IF(VLOOKUP($F44,'Table Output'!$A$1:$H$9998,8,FALSE)="Clay",VLOOKUP(N$37,BoundParameters_HiddenSheetCLAY!$I$3:$L$50,MATCH(VLOOKUP($K79,$K$5:$AL$34,MATCH(VLOOKUP(N$37,$BJ$3:$BK$50,2,FALSE),$K$4:$AL$4,0),FALSE),BoundParameters_HiddenSheetCLAY!$I$1:$L$1,0),FALSE))),'Control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8">
        <f>IF($K79="","",IF(O$37="","",IF('Control Panel'!O79="",IF(VLOOKUP($F44,'Table Output'!$A$1:$H$99998,8,FALSE)="Sand",VLOOKUP(O$37,BoundParameters_HiddenSheetSAND!$I$3:$L$50,MATCH(VLOOKUP($K79,$K$5:$AL$34,MATCH(VLOOKUP(O$37,$BJ$3:$BK$50,2,FALSE),$K$4:$AL$4,0),FALSE),BoundParameters_HiddenSheetCLAY!$I$1:$L$1,0),FALSE),IF(VLOOKUP($F44,'Table Output'!$A$1:$H$9998,8,FALSE)="Clay",VLOOKUP(O$37,BoundParameters_HiddenSheetCLAY!$I$3:$L$50,MATCH(VLOOKUP($K79,$K$5:$AL$34,MATCH(VLOOKUP(O$37,$BJ$3:$BK$50,2,FALSE),$K$4:$AL$4,0),FALSE),BoundParameters_HiddenSheetCLAY!$I$1:$L$1,0),FALSE))),'Control Panel'!O79)))</f>
        <v>0</v>
      </c>
      <c r="P79" s="28">
        <f>IF($K79="","",IF(P$37="","",IF('Control Panel'!P79="",IF(VLOOKUP($F44,'Table Output'!$A$1:$H$99998,8,FALSE)="Sand",VLOOKUP(P$37,BoundParameters_HiddenSheetSAND!$I$3:$L$50,MATCH(VLOOKUP($K79,$K$5:$AL$34,MATCH(VLOOKUP(P$37,$BJ$3:$BK$50,2,FALSE),$K$4:$AL$4,0),FALSE),BoundParameters_HiddenSheetCLAY!$I$1:$L$1,0),FALSE),IF(VLOOKUP($F44,'Table Output'!$A$1:$H$9998,8,FALSE)="Clay",VLOOKUP(P$37,BoundParameters_HiddenSheetCLAY!$I$3:$L$50,MATCH(VLOOKUP($K79,$K$5:$AL$34,MATCH(VLOOKUP(P$37,$BJ$3:$BK$50,2,FALSE),$K$4:$AL$4,0),FALSE),BoundParameters_HiddenSheetCLAY!$I$1:$L$1,0),FALSE))),'Control Panel'!P79)))</f>
        <v>14.4</v>
      </c>
      <c r="Q79" s="28" t="str">
        <f>IF($K79="","",IF(Q$37="","",IF('Control Panel'!Q79="",IF(VLOOKUP($F44,'Table Output'!$A$1:$H$99998,8,FALSE)="Sand",VLOOKUP(Q$37,BoundParameters_HiddenSheetSAND!$I$3:$L$50,MATCH(VLOOKUP($K79,$K$5:$AL$34,MATCH(VLOOKUP(Q$37,$BJ$3:$BK$50,2,FALSE),$K$4:$AL$4,0),FALSE),BoundParameters_HiddenSheetCLAY!$I$1:$L$1,0),FALSE),IF(VLOOKUP($F44,'Table Output'!$A$1:$H$9998,8,FALSE)="Clay",VLOOKUP(Q$37,BoundParameters_HiddenSheetCLAY!$I$3:$L$50,MATCH(VLOOKUP($K79,$K$5:$AL$34,MATCH(VLOOKUP(Q$37,$BJ$3:$BK$50,2,FALSE),$K$4:$AL$4,0),FALSE),BoundParameters_HiddenSheetCLAY!$I$1:$L$1,0),FALSE))),'Control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8" t="str">
        <f>IF($K79="","",IF(R$37="","",IF('Control Panel'!R79="",IF(VLOOKUP($F44,'Table Output'!$A$1:$H$99998,8,FALSE)="Sand",VLOOKUP(R$37,BoundParameters_HiddenSheetSAND!$I$3:$L$50,MATCH(VLOOKUP($K79,$K$5:$AL$34,MATCH(VLOOKUP(R$37,$BJ$3:$BK$50,2,FALSE),$K$4:$AL$4,0),FALSE),BoundParameters_HiddenSheetCLAY!$I$1:$L$1,0),FALSE),IF(VLOOKUP($F44,'Table Output'!$A$1:$H$9998,8,FALSE)="Clay",VLOOKUP(R$37,BoundParameters_HiddenSheetCLAY!$I$3:$L$50,MATCH(VLOOKUP($K79,$K$5:$AL$34,MATCH(VLOOKUP(R$37,$BJ$3:$BK$50,2,FALSE),$K$4:$AL$4,0),FALSE),BoundParameters_HiddenSheetCLAY!$I$1:$L$1,0),FALSE))),'Control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8" t="str">
        <f>IF($K79="","",IF(S$37="","",IF('Control Panel'!S79="",IF(VLOOKUP($F44,'Table Output'!$A$1:$H$99998,8,FALSE)="Sand",VLOOKUP(S$37,BoundParameters_HiddenSheetSAND!$I$3:$L$50,MATCH(VLOOKUP($K79,$K$5:$AL$34,MATCH(VLOOKUP(S$37,$BJ$3:$BK$50,2,FALSE),$K$4:$AL$4,0),FALSE),BoundParameters_HiddenSheetCLAY!$I$1:$L$1,0),FALSE),IF(VLOOKUP($F44,'Table Output'!$A$1:$H$9998,8,FALSE)="Clay",VLOOKUP(S$37,BoundParameters_HiddenSheetCLAY!$I$3:$L$50,MATCH(VLOOKUP($K79,$K$5:$AL$34,MATCH(VLOOKUP(S$37,$BJ$3:$BK$50,2,FALSE),$K$4:$AL$4,0),FALSE),BoundParameters_HiddenSheetCLAY!$I$1:$L$1,0),FALSE))),'Control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8" t="str">
        <f>IF($K79="","",IF(T$37="","",IF('Control Panel'!T79="",IF(VLOOKUP($F44,'Table Output'!$A$1:$H$99998,8,FALSE)="Sand",VLOOKUP(T$37,BoundParameters_HiddenSheetSAND!$I$3:$L$50,MATCH(VLOOKUP($K79,$K$5:$AL$34,MATCH(VLOOKUP(T$37,$BJ$3:$BK$50,2,FALSE),$K$4:$AL$4,0),FALSE),BoundParameters_HiddenSheetCLAY!$I$1:$L$1,0),FALSE),IF(VLOOKUP($F44,'Table Output'!$A$1:$H$9998,8,FALSE)="Clay",VLOOKUP(T$37,BoundParameters_HiddenSheetCLAY!$I$3:$L$50,MATCH(VLOOKUP($K79,$K$5:$AL$34,MATCH(VLOOKUP(T$37,$BJ$3:$BK$50,2,FALSE),$K$4:$AL$4,0),FALSE),BoundParameters_HiddenSheetCLAY!$I$1:$L$1,0),FALSE))),'Control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8" t="str">
        <f>IF($K79="","",IF(U$37="","",IF('Control Panel'!U79="",IF(VLOOKUP($F44,'Table Output'!$A$1:$H$99998,8,FALSE)="Sand",VLOOKUP(U$37,BoundParameters_HiddenSheetSAND!$I$3:$L$50,MATCH(VLOOKUP($K79,$K$5:$AL$34,MATCH(VLOOKUP(U$37,$BJ$3:$BK$50,2,FALSE),$K$4:$AL$4,0),FALSE),BoundParameters_HiddenSheetCLAY!$I$1:$L$1,0),FALSE),IF(VLOOKUP($F44,'Table Output'!$A$1:$H$9998,8,FALSE)="Clay",VLOOKUP(U$37,BoundParameters_HiddenSheetCLAY!$I$3:$L$50,MATCH(VLOOKUP($K79,$K$5:$AL$34,MATCH(VLOOKUP(U$37,$BJ$3:$BK$50,2,FALSE),$K$4:$AL$4,0),FALSE),BoundParameters_HiddenSheetCLAY!$I$1:$L$1,0),FALSE))),'Control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Sand_80</v>
      </c>
      <c r="K80" s="5">
        <f t="shared" si="49"/>
        <v>8</v>
      </c>
      <c r="L80" s="28">
        <f>IF($K80="","",IF(L$37="","",IF('Control Panel'!L80="",IF(VLOOKUP($F45,'Table Output'!$A$1:$H$99998,8,FALSE)="Sand",VLOOKUP(L$37,BoundParameters_HiddenSheetSAND!$I$3:$L$50,MATCH(VLOOKUP($K80,$K$5:$AL$34,MATCH(VLOOKUP(L$37,$BJ$3:$BK$50,2,FALSE),$K$4:$AL$4,0),FALSE),BoundParameters_HiddenSheetCLAY!$I$1:$L$1,0),FALSE),IF(VLOOKUP($F45,'Table Output'!$A$1:$H$9998,8,FALSE)="Clay",VLOOKUP(L$37,BoundParameters_HiddenSheetCLAY!$I$3:$L$50,MATCH(VLOOKUP($K80,$K$5:$AL$34,MATCH(VLOOKUP(L$37,$BJ$3:$BK$50,2,FALSE),$K$4:$AL$4,0),FALSE),BoundParameters_HiddenSheetCLAY!$I$1:$L$1,0),FALSE))),'Control Panel'!L80)))</f>
        <v>700</v>
      </c>
      <c r="M80" s="28">
        <f>IF($K80="","",IF(M$37="","",IF('Control Panel'!M80="",IF(VLOOKUP($F45,'Table Output'!$A$1:$H$99998,8,FALSE)="Sand",VLOOKUP(M$37,BoundParameters_HiddenSheetSAND!$I$3:$L$50,MATCH(VLOOKUP($K80,$K$5:$AL$34,MATCH(VLOOKUP(M$37,$BJ$3:$BK$50,2,FALSE),$K$4:$AL$4,0),FALSE),BoundParameters_HiddenSheetCLAY!$I$1:$L$1,0),FALSE),IF(VLOOKUP($F45,'Table Output'!$A$1:$H$9998,8,FALSE)="Clay",VLOOKUP(M$37,BoundParameters_HiddenSheetCLAY!$I$3:$L$50,MATCH(VLOOKUP($K80,$K$5:$AL$34,MATCH(VLOOKUP(M$37,$BJ$3:$BK$50,2,FALSE),$K$4:$AL$4,0),FALSE),BoundParameters_HiddenSheetCLAY!$I$1:$L$1,0),FALSE))),'Control Panel'!M80)))</f>
        <v>300</v>
      </c>
      <c r="N80" s="28">
        <f>IF($K80="","",IF(N$37="","",IF('Control Panel'!N80="",IF(VLOOKUP($F45,'Table Output'!$A$1:$H$99998,8,FALSE)="Sand",VLOOKUP(N$37,BoundParameters_HiddenSheetSAND!$I$3:$L$50,MATCH(VLOOKUP($K80,$K$5:$AL$34,MATCH(VLOOKUP(N$37,$BJ$3:$BK$50,2,FALSE),$K$4:$AL$4,0),FALSE),BoundParameters_HiddenSheetCLAY!$I$1:$L$1,0),FALSE),IF(VLOOKUP($F45,'Table Output'!$A$1:$H$9998,8,FALSE)="Clay",VLOOKUP(N$37,BoundParameters_HiddenSheetCLAY!$I$3:$L$50,MATCH(VLOOKUP($K80,$K$5:$AL$34,MATCH(VLOOKUP(N$37,$BJ$3:$BK$50,2,FALSE),$K$4:$AL$4,0),FALSE),BoundParameters_HiddenSheetCLAY!$I$1:$L$1,0),FALSE))),'Control Panel'!N80)))</f>
        <v>50</v>
      </c>
      <c r="O80" s="28">
        <f>IF($K80="","",IF(O$37="","",IF('Control Panel'!O80="",IF(VLOOKUP($F45,'Table Output'!$A$1:$H$99998,8,FALSE)="Sand",VLOOKUP(O$37,BoundParameters_HiddenSheetSAND!$I$3:$L$50,MATCH(VLOOKUP($K80,$K$5:$AL$34,MATCH(VLOOKUP(O$37,$BJ$3:$BK$50,2,FALSE),$K$4:$AL$4,0),FALSE),BoundParameters_HiddenSheetCLAY!$I$1:$L$1,0),FALSE),IF(VLOOKUP($F45,'Table Output'!$A$1:$H$9998,8,FALSE)="Clay",VLOOKUP(O$37,BoundParameters_HiddenSheetCLAY!$I$3:$L$50,MATCH(VLOOKUP($K80,$K$5:$AL$34,MATCH(VLOOKUP(O$37,$BJ$3:$BK$50,2,FALSE),$K$4:$AL$4,0),FALSE),BoundParameters_HiddenSheetCLAY!$I$1:$L$1,0),FALSE))),'Control Panel'!O80)))</f>
        <v>1</v>
      </c>
      <c r="P80" s="28">
        <f>IF($K80="","",IF(P$37="","",IF('Control Panel'!P80="",IF(VLOOKUP($F45,'Table Output'!$A$1:$H$99998,8,FALSE)="Sand",VLOOKUP(P$37,BoundParameters_HiddenSheetSAND!$I$3:$L$50,MATCH(VLOOKUP($K80,$K$5:$AL$34,MATCH(VLOOKUP(P$37,$BJ$3:$BK$50,2,FALSE),$K$4:$AL$4,0),FALSE),BoundParameters_HiddenSheetCLAY!$I$1:$L$1,0),FALSE),IF(VLOOKUP($F45,'Table Output'!$A$1:$H$9998,8,FALSE)="Clay",VLOOKUP(P$37,BoundParameters_HiddenSheetCLAY!$I$3:$L$50,MATCH(VLOOKUP($K80,$K$5:$AL$34,MATCH(VLOOKUP(P$37,$BJ$3:$BK$50,2,FALSE),$K$4:$AL$4,0),FALSE),BoundParameters_HiddenSheetCLAY!$I$1:$L$1,0),FALSE))),'Control Panel'!P80)))</f>
        <v>50</v>
      </c>
      <c r="Q80" s="28" t="str">
        <f>IF($K80="","",IF(Q$37="","",IF('Control Panel'!Q80="",IF(VLOOKUP($F45,'Table Output'!$A$1:$H$99998,8,FALSE)="Sand",VLOOKUP(Q$37,BoundParameters_HiddenSheetSAND!$I$3:$L$50,MATCH(VLOOKUP($K80,$K$5:$AL$34,MATCH(VLOOKUP(Q$37,$BJ$3:$BK$50,2,FALSE),$K$4:$AL$4,0),FALSE),BoundParameters_HiddenSheetCLAY!$I$1:$L$1,0),FALSE),IF(VLOOKUP($F45,'Table Output'!$A$1:$H$9998,8,FALSE)="Clay",VLOOKUP(Q$37,BoundParameters_HiddenSheetCLAY!$I$3:$L$50,MATCH(VLOOKUP($K80,$K$5:$AL$34,MATCH(VLOOKUP(Q$37,$BJ$3:$BK$50,2,FALSE),$K$4:$AL$4,0),FALSE),BoundParameters_HiddenSheetCLAY!$I$1:$L$1,0),FALSE))),'Control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8" t="str">
        <f>IF($K80="","",IF(R$37="","",IF('Control Panel'!R80="",IF(VLOOKUP($F45,'Table Output'!$A$1:$H$99998,8,FALSE)="Sand",VLOOKUP(R$37,BoundParameters_HiddenSheetSAND!$I$3:$L$50,MATCH(VLOOKUP($K80,$K$5:$AL$34,MATCH(VLOOKUP(R$37,$BJ$3:$BK$50,2,FALSE),$K$4:$AL$4,0),FALSE),BoundParameters_HiddenSheetCLAY!$I$1:$L$1,0),FALSE),IF(VLOOKUP($F45,'Table Output'!$A$1:$H$9998,8,FALSE)="Clay",VLOOKUP(R$37,BoundParameters_HiddenSheetCLAY!$I$3:$L$50,MATCH(VLOOKUP($K80,$K$5:$AL$34,MATCH(VLOOKUP(R$37,$BJ$3:$BK$50,2,FALSE),$K$4:$AL$4,0),FALSE),BoundParameters_HiddenSheetCLAY!$I$1:$L$1,0),FALSE))),'Control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8" t="str">
        <f>IF($K80="","",IF(S$37="","",IF('Control Panel'!S80="",IF(VLOOKUP($F45,'Table Output'!$A$1:$H$99998,8,FALSE)="Sand",VLOOKUP(S$37,BoundParameters_HiddenSheetSAND!$I$3:$L$50,MATCH(VLOOKUP($K80,$K$5:$AL$34,MATCH(VLOOKUP(S$37,$BJ$3:$BK$50,2,FALSE),$K$4:$AL$4,0),FALSE),BoundParameters_HiddenSheetCLAY!$I$1:$L$1,0),FALSE),IF(VLOOKUP($F45,'Table Output'!$A$1:$H$9998,8,FALSE)="Clay",VLOOKUP(S$37,BoundParameters_HiddenSheetCLAY!$I$3:$L$50,MATCH(VLOOKUP($K80,$K$5:$AL$34,MATCH(VLOOKUP(S$37,$BJ$3:$BK$50,2,FALSE),$K$4:$AL$4,0),FALSE),BoundParameters_HiddenSheetCLAY!$I$1:$L$1,0),FALSE))),'Control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8" t="str">
        <f>IF($K80="","",IF(T$37="","",IF('Control Panel'!T80="",IF(VLOOKUP($F45,'Table Output'!$A$1:$H$99998,8,FALSE)="Sand",VLOOKUP(T$37,BoundParameters_HiddenSheetSAND!$I$3:$L$50,MATCH(VLOOKUP($K80,$K$5:$AL$34,MATCH(VLOOKUP(T$37,$BJ$3:$BK$50,2,FALSE),$K$4:$AL$4,0),FALSE),BoundParameters_HiddenSheetCLAY!$I$1:$L$1,0),FALSE),IF(VLOOKUP($F45,'Table Output'!$A$1:$H$9998,8,FALSE)="Clay",VLOOKUP(T$37,BoundParameters_HiddenSheetCLAY!$I$3:$L$50,MATCH(VLOOKUP($K80,$K$5:$AL$34,MATCH(VLOOKUP(T$37,$BJ$3:$BK$50,2,FALSE),$K$4:$AL$4,0),FALSE),BoundParameters_HiddenSheetCLAY!$I$1:$L$1,0),FALSE))),'Control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8" t="str">
        <f>IF($K80="","",IF(U$37="","",IF('Control Panel'!U80="",IF(VLOOKUP($F45,'Table Output'!$A$1:$H$99998,8,FALSE)="Sand",VLOOKUP(U$37,BoundParameters_HiddenSheetSAND!$I$3:$L$50,MATCH(VLOOKUP($K80,$K$5:$AL$34,MATCH(VLOOKUP(U$37,$BJ$3:$BK$50,2,FALSE),$K$4:$AL$4,0),FALSE),BoundParameters_HiddenSheetCLAY!$I$1:$L$1,0),FALSE),IF(VLOOKUP($F45,'Table Output'!$A$1:$H$9998,8,FALSE)="Clay",VLOOKUP(U$37,BoundParameters_HiddenSheetCLAY!$I$3:$L$50,MATCH(VLOOKUP($K80,$K$5:$AL$34,MATCH(VLOOKUP(U$37,$BJ$3:$BK$50,2,FALSE),$K$4:$AL$4,0),FALSE),BoundParameters_HiddenSheetCLAY!$I$1:$L$1,0),FALSE))),'Control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Sand_80</v>
      </c>
      <c r="K81" s="5">
        <f t="shared" si="49"/>
        <v>9</v>
      </c>
      <c r="L81" s="28">
        <f>IF($K81="","",IF(L$37="","",IF('Control Panel'!L81="",IF(VLOOKUP($F46,'Table Output'!$A$1:$H$99998,8,FALSE)="Sand",VLOOKUP(L$37,BoundParameters_HiddenSheetSAND!$I$3:$L$50,MATCH(VLOOKUP($K81,$K$5:$AL$34,MATCH(VLOOKUP(L$37,$BJ$3:$BK$50,2,FALSE),$K$4:$AL$4,0),FALSE),BoundParameters_HiddenSheetCLAY!$I$1:$L$1,0),FALSE),IF(VLOOKUP($F46,'Table Output'!$A$1:$H$9998,8,FALSE)="Clay",VLOOKUP(L$37,BoundParameters_HiddenSheetCLAY!$I$3:$L$50,MATCH(VLOOKUP($K81,$K$5:$AL$34,MATCH(VLOOKUP(L$37,$BJ$3:$BK$50,2,FALSE),$K$4:$AL$4,0),FALSE),BoundParameters_HiddenSheetCLAY!$I$1:$L$1,0),FALSE))),'Control Panel'!L81)))</f>
        <v>700</v>
      </c>
      <c r="M81" s="28">
        <f>IF($K81="","",IF(M$37="","",IF('Control Panel'!M81="",IF(VLOOKUP($F46,'Table Output'!$A$1:$H$99998,8,FALSE)="Sand",VLOOKUP(M$37,BoundParameters_HiddenSheetSAND!$I$3:$L$50,MATCH(VLOOKUP($K81,$K$5:$AL$34,MATCH(VLOOKUP(M$37,$BJ$3:$BK$50,2,FALSE),$K$4:$AL$4,0),FALSE),BoundParameters_HiddenSheetCLAY!$I$1:$L$1,0),FALSE),IF(VLOOKUP($F46,'Table Output'!$A$1:$H$9998,8,FALSE)="Clay",VLOOKUP(M$37,BoundParameters_HiddenSheetCLAY!$I$3:$L$50,MATCH(VLOOKUP($K81,$K$5:$AL$34,MATCH(VLOOKUP(M$37,$BJ$3:$BK$50,2,FALSE),$K$4:$AL$4,0),FALSE),BoundParameters_HiddenSheetCLAY!$I$1:$L$1,0),FALSE))),'Control Panel'!M81)))</f>
        <v>300</v>
      </c>
      <c r="N81" s="28">
        <f>IF($K81="","",IF(N$37="","",IF('Control Panel'!N81="",IF(VLOOKUP($F46,'Table Output'!$A$1:$H$99998,8,FALSE)="Sand",VLOOKUP(N$37,BoundParameters_HiddenSheetSAND!$I$3:$L$50,MATCH(VLOOKUP($K81,$K$5:$AL$34,MATCH(VLOOKUP(N$37,$BJ$3:$BK$50,2,FALSE),$K$4:$AL$4,0),FALSE),BoundParameters_HiddenSheetCLAY!$I$1:$L$1,0),FALSE),IF(VLOOKUP($F46,'Table Output'!$A$1:$H$9998,8,FALSE)="Clay",VLOOKUP(N$37,BoundParameters_HiddenSheetCLAY!$I$3:$L$50,MATCH(VLOOKUP($K81,$K$5:$AL$34,MATCH(VLOOKUP(N$37,$BJ$3:$BK$50,2,FALSE),$K$4:$AL$4,0),FALSE),BoundParameters_HiddenSheetCLAY!$I$1:$L$1,0),FALSE))),'Control Panel'!N81)))</f>
        <v>50</v>
      </c>
      <c r="O81" s="28">
        <f>IF($K81="","",IF(O$37="","",IF('Control Panel'!O81="",IF(VLOOKUP($F46,'Table Output'!$A$1:$H$99998,8,FALSE)="Sand",VLOOKUP(O$37,BoundParameters_HiddenSheetSAND!$I$3:$L$50,MATCH(VLOOKUP($K81,$K$5:$AL$34,MATCH(VLOOKUP(O$37,$BJ$3:$BK$50,2,FALSE),$K$4:$AL$4,0),FALSE),BoundParameters_HiddenSheetCLAY!$I$1:$L$1,0),FALSE),IF(VLOOKUP($F46,'Table Output'!$A$1:$H$9998,8,FALSE)="Clay",VLOOKUP(O$37,BoundParameters_HiddenSheetCLAY!$I$3:$L$50,MATCH(VLOOKUP($K81,$K$5:$AL$34,MATCH(VLOOKUP(O$37,$BJ$3:$BK$50,2,FALSE),$K$4:$AL$4,0),FALSE),BoundParameters_HiddenSheetCLAY!$I$1:$L$1,0),FALSE))),'Control Panel'!O81)))</f>
        <v>1</v>
      </c>
      <c r="P81" s="28">
        <f>IF($K81="","",IF(P$37="","",IF('Control Panel'!P81="",IF(VLOOKUP($F46,'Table Output'!$A$1:$H$99998,8,FALSE)="Sand",VLOOKUP(P$37,BoundParameters_HiddenSheetSAND!$I$3:$L$50,MATCH(VLOOKUP($K81,$K$5:$AL$34,MATCH(VLOOKUP(P$37,$BJ$3:$BK$50,2,FALSE),$K$4:$AL$4,0),FALSE),BoundParameters_HiddenSheetCLAY!$I$1:$L$1,0),FALSE),IF(VLOOKUP($F46,'Table Output'!$A$1:$H$9998,8,FALSE)="Clay",VLOOKUP(P$37,BoundParameters_HiddenSheetCLAY!$I$3:$L$50,MATCH(VLOOKUP($K81,$K$5:$AL$34,MATCH(VLOOKUP(P$37,$BJ$3:$BK$50,2,FALSE),$K$4:$AL$4,0),FALSE),BoundParameters_HiddenSheetCLAY!$I$1:$L$1,0),FALSE))),'Control Panel'!P81)))</f>
        <v>50</v>
      </c>
      <c r="Q81" s="28" t="str">
        <f>IF($K81="","",IF(Q$37="","",IF('Control Panel'!Q81="",IF(VLOOKUP($F46,'Table Output'!$A$1:$H$99998,8,FALSE)="Sand",VLOOKUP(Q$37,BoundParameters_HiddenSheetSAND!$I$3:$L$50,MATCH(VLOOKUP($K81,$K$5:$AL$34,MATCH(VLOOKUP(Q$37,$BJ$3:$BK$50,2,FALSE),$K$4:$AL$4,0),FALSE),BoundParameters_HiddenSheetCLAY!$I$1:$L$1,0),FALSE),IF(VLOOKUP($F46,'Table Output'!$A$1:$H$9998,8,FALSE)="Clay",VLOOKUP(Q$37,BoundParameters_HiddenSheetCLAY!$I$3:$L$50,MATCH(VLOOKUP($K81,$K$5:$AL$34,MATCH(VLOOKUP(Q$37,$BJ$3:$BK$50,2,FALSE),$K$4:$AL$4,0),FALSE),BoundParameters_HiddenSheetCLAY!$I$1:$L$1,0),FALSE))),'Control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8" t="str">
        <f>IF($K81="","",IF(R$37="","",IF('Control Panel'!R81="",IF(VLOOKUP($F46,'Table Output'!$A$1:$H$99998,8,FALSE)="Sand",VLOOKUP(R$37,BoundParameters_HiddenSheetSAND!$I$3:$L$50,MATCH(VLOOKUP($K81,$K$5:$AL$34,MATCH(VLOOKUP(R$37,$BJ$3:$BK$50,2,FALSE),$K$4:$AL$4,0),FALSE),BoundParameters_HiddenSheetCLAY!$I$1:$L$1,0),FALSE),IF(VLOOKUP($F46,'Table Output'!$A$1:$H$9998,8,FALSE)="Clay",VLOOKUP(R$37,BoundParameters_HiddenSheetCLAY!$I$3:$L$50,MATCH(VLOOKUP($K81,$K$5:$AL$34,MATCH(VLOOKUP(R$37,$BJ$3:$BK$50,2,FALSE),$K$4:$AL$4,0),FALSE),BoundParameters_HiddenSheetCLAY!$I$1:$L$1,0),FALSE))),'Control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8" t="str">
        <f>IF($K81="","",IF(S$37="","",IF('Control Panel'!S81="",IF(VLOOKUP($F46,'Table Output'!$A$1:$H$99998,8,FALSE)="Sand",VLOOKUP(S$37,BoundParameters_HiddenSheetSAND!$I$3:$L$50,MATCH(VLOOKUP($K81,$K$5:$AL$34,MATCH(VLOOKUP(S$37,$BJ$3:$BK$50,2,FALSE),$K$4:$AL$4,0),FALSE),BoundParameters_HiddenSheetCLAY!$I$1:$L$1,0),FALSE),IF(VLOOKUP($F46,'Table Output'!$A$1:$H$9998,8,FALSE)="Clay",VLOOKUP(S$37,BoundParameters_HiddenSheetCLAY!$I$3:$L$50,MATCH(VLOOKUP($K81,$K$5:$AL$34,MATCH(VLOOKUP(S$37,$BJ$3:$BK$50,2,FALSE),$K$4:$AL$4,0),FALSE),BoundParameters_HiddenSheetCLAY!$I$1:$L$1,0),FALSE))),'Control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8" t="str">
        <f>IF($K81="","",IF(T$37="","",IF('Control Panel'!T81="",IF(VLOOKUP($F46,'Table Output'!$A$1:$H$99998,8,FALSE)="Sand",VLOOKUP(T$37,BoundParameters_HiddenSheetSAND!$I$3:$L$50,MATCH(VLOOKUP($K81,$K$5:$AL$34,MATCH(VLOOKUP(T$37,$BJ$3:$BK$50,2,FALSE),$K$4:$AL$4,0),FALSE),BoundParameters_HiddenSheetCLAY!$I$1:$L$1,0),FALSE),IF(VLOOKUP($F46,'Table Output'!$A$1:$H$9998,8,FALSE)="Clay",VLOOKUP(T$37,BoundParameters_HiddenSheetCLAY!$I$3:$L$50,MATCH(VLOOKUP($K81,$K$5:$AL$34,MATCH(VLOOKUP(T$37,$BJ$3:$BK$50,2,FALSE),$K$4:$AL$4,0),FALSE),BoundParameters_HiddenSheetCLAY!$I$1:$L$1,0),FALSE))),'Control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8" t="str">
        <f>IF($K81="","",IF(U$37="","",IF('Control Panel'!U81="",IF(VLOOKUP($F46,'Table Output'!$A$1:$H$99998,8,FALSE)="Sand",VLOOKUP(U$37,BoundParameters_HiddenSheetSAND!$I$3:$L$50,MATCH(VLOOKUP($K81,$K$5:$AL$34,MATCH(VLOOKUP(U$37,$BJ$3:$BK$50,2,FALSE),$K$4:$AL$4,0),FALSE),BoundParameters_HiddenSheetCLAY!$I$1:$L$1,0),FALSE),IF(VLOOKUP($F46,'Table Output'!$A$1:$H$9998,8,FALSE)="Clay",VLOOKUP(U$37,BoundParameters_HiddenSheetCLAY!$I$3:$L$50,MATCH(VLOOKUP($K81,$K$5:$AL$34,MATCH(VLOOKUP(U$37,$BJ$3:$BK$50,2,FALSE),$K$4:$AL$4,0),FALSE),BoundParameters_HiddenSheetCLAY!$I$1:$L$1,0),FALSE))),'Control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Sand_80</v>
      </c>
      <c r="K82" s="5">
        <f t="shared" si="49"/>
        <v>10</v>
      </c>
      <c r="L82" s="28">
        <f>IF($K82="","",IF(L$37="","",IF('Control Panel'!L82="",IF(VLOOKUP($F47,'Table Output'!$A$1:$H$99998,8,FALSE)="Sand",VLOOKUP(L$37,BoundParameters_HiddenSheetSAND!$I$3:$L$50,MATCH(VLOOKUP($K82,$K$5:$AL$34,MATCH(VLOOKUP(L$37,$BJ$3:$BK$50,2,FALSE),$K$4:$AL$4,0),FALSE),BoundParameters_HiddenSheetCLAY!$I$1:$L$1,0),FALSE),IF(VLOOKUP($F47,'Table Output'!$A$1:$H$9998,8,FALSE)="Clay",VLOOKUP(L$37,BoundParameters_HiddenSheetCLAY!$I$3:$L$50,MATCH(VLOOKUP($K82,$K$5:$AL$34,MATCH(VLOOKUP(L$37,$BJ$3:$BK$50,2,FALSE),$K$4:$AL$4,0),FALSE),BoundParameters_HiddenSheetCLAY!$I$1:$L$1,0),FALSE))),'Control Panel'!L82)))</f>
        <v>700</v>
      </c>
      <c r="M82" s="28">
        <f>IF($K82="","",IF(M$37="","",IF('Control Panel'!M82="",IF(VLOOKUP($F47,'Table Output'!$A$1:$H$99998,8,FALSE)="Sand",VLOOKUP(M$37,BoundParameters_HiddenSheetSAND!$I$3:$L$50,MATCH(VLOOKUP($K82,$K$5:$AL$34,MATCH(VLOOKUP(M$37,$BJ$3:$BK$50,2,FALSE),$K$4:$AL$4,0),FALSE),BoundParameters_HiddenSheetCLAY!$I$1:$L$1,0),FALSE),IF(VLOOKUP($F47,'Table Output'!$A$1:$H$9998,8,FALSE)="Clay",VLOOKUP(M$37,BoundParameters_HiddenSheetCLAY!$I$3:$L$50,MATCH(VLOOKUP($K82,$K$5:$AL$34,MATCH(VLOOKUP(M$37,$BJ$3:$BK$50,2,FALSE),$K$4:$AL$4,0),FALSE),BoundParameters_HiddenSheetCLAY!$I$1:$L$1,0),FALSE))),'Control Panel'!M82)))</f>
        <v>300</v>
      </c>
      <c r="N82" s="28">
        <f>IF($K82="","",IF(N$37="","",IF('Control Panel'!N82="",IF(VLOOKUP($F47,'Table Output'!$A$1:$H$99998,8,FALSE)="Sand",VLOOKUP(N$37,BoundParameters_HiddenSheetSAND!$I$3:$L$50,MATCH(VLOOKUP($K82,$K$5:$AL$34,MATCH(VLOOKUP(N$37,$BJ$3:$BK$50,2,FALSE),$K$4:$AL$4,0),FALSE),BoundParameters_HiddenSheetCLAY!$I$1:$L$1,0),FALSE),IF(VLOOKUP($F47,'Table Output'!$A$1:$H$9998,8,FALSE)="Clay",VLOOKUP(N$37,BoundParameters_HiddenSheetCLAY!$I$3:$L$50,MATCH(VLOOKUP($K82,$K$5:$AL$34,MATCH(VLOOKUP(N$37,$BJ$3:$BK$50,2,FALSE),$K$4:$AL$4,0),FALSE),BoundParameters_HiddenSheetCLAY!$I$1:$L$1,0),FALSE))),'Control Panel'!N82)))</f>
        <v>50</v>
      </c>
      <c r="O82" s="28">
        <f>IF($K82="","",IF(O$37="","",IF('Control Panel'!O82="",IF(VLOOKUP($F47,'Table Output'!$A$1:$H$99998,8,FALSE)="Sand",VLOOKUP(O$37,BoundParameters_HiddenSheetSAND!$I$3:$L$50,MATCH(VLOOKUP($K82,$K$5:$AL$34,MATCH(VLOOKUP(O$37,$BJ$3:$BK$50,2,FALSE),$K$4:$AL$4,0),FALSE),BoundParameters_HiddenSheetCLAY!$I$1:$L$1,0),FALSE),IF(VLOOKUP($F47,'Table Output'!$A$1:$H$9998,8,FALSE)="Clay",VLOOKUP(O$37,BoundParameters_HiddenSheetCLAY!$I$3:$L$50,MATCH(VLOOKUP($K82,$K$5:$AL$34,MATCH(VLOOKUP(O$37,$BJ$3:$BK$50,2,FALSE),$K$4:$AL$4,0),FALSE),BoundParameters_HiddenSheetCLAY!$I$1:$L$1,0),FALSE))),'Control Panel'!O82)))</f>
        <v>1</v>
      </c>
      <c r="P82" s="28">
        <f>IF($K82="","",IF(P$37="","",IF('Control Panel'!P82="",IF(VLOOKUP($F47,'Table Output'!$A$1:$H$99998,8,FALSE)="Sand",VLOOKUP(P$37,BoundParameters_HiddenSheetSAND!$I$3:$L$50,MATCH(VLOOKUP($K82,$K$5:$AL$34,MATCH(VLOOKUP(P$37,$BJ$3:$BK$50,2,FALSE),$K$4:$AL$4,0),FALSE),BoundParameters_HiddenSheetCLAY!$I$1:$L$1,0),FALSE),IF(VLOOKUP($F47,'Table Output'!$A$1:$H$9998,8,FALSE)="Clay",VLOOKUP(P$37,BoundParameters_HiddenSheetCLAY!$I$3:$L$50,MATCH(VLOOKUP($K82,$K$5:$AL$34,MATCH(VLOOKUP(P$37,$BJ$3:$BK$50,2,FALSE),$K$4:$AL$4,0),FALSE),BoundParameters_HiddenSheetCLAY!$I$1:$L$1,0),FALSE))),'Control Panel'!P82)))</f>
        <v>50</v>
      </c>
      <c r="Q82" s="28" t="str">
        <f>IF($K82="","",IF(Q$37="","",IF('Control Panel'!Q82="",IF(VLOOKUP($F47,'Table Output'!$A$1:$H$99998,8,FALSE)="Sand",VLOOKUP(Q$37,BoundParameters_HiddenSheetSAND!$I$3:$L$50,MATCH(VLOOKUP($K82,$K$5:$AL$34,MATCH(VLOOKUP(Q$37,$BJ$3:$BK$50,2,FALSE),$K$4:$AL$4,0),FALSE),BoundParameters_HiddenSheetCLAY!$I$1:$L$1,0),FALSE),IF(VLOOKUP($F47,'Table Output'!$A$1:$H$9998,8,FALSE)="Clay",VLOOKUP(Q$37,BoundParameters_HiddenSheetCLAY!$I$3:$L$50,MATCH(VLOOKUP($K82,$K$5:$AL$34,MATCH(VLOOKUP(Q$37,$BJ$3:$BK$50,2,FALSE),$K$4:$AL$4,0),FALSE),BoundParameters_HiddenSheetCLAY!$I$1:$L$1,0),FALSE))),'Control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8" t="str">
        <f>IF($K82="","",IF(R$37="","",IF('Control Panel'!R82="",IF(VLOOKUP($F47,'Table Output'!$A$1:$H$99998,8,FALSE)="Sand",VLOOKUP(R$37,BoundParameters_HiddenSheetSAND!$I$3:$L$50,MATCH(VLOOKUP($K82,$K$5:$AL$34,MATCH(VLOOKUP(R$37,$BJ$3:$BK$50,2,FALSE),$K$4:$AL$4,0),FALSE),BoundParameters_HiddenSheetCLAY!$I$1:$L$1,0),FALSE),IF(VLOOKUP($F47,'Table Output'!$A$1:$H$9998,8,FALSE)="Clay",VLOOKUP(R$37,BoundParameters_HiddenSheetCLAY!$I$3:$L$50,MATCH(VLOOKUP($K82,$K$5:$AL$34,MATCH(VLOOKUP(R$37,$BJ$3:$BK$50,2,FALSE),$K$4:$AL$4,0),FALSE),BoundParameters_HiddenSheetCLAY!$I$1:$L$1,0),FALSE))),'Control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8" t="str">
        <f>IF($K82="","",IF(S$37="","",IF('Control Panel'!S82="",IF(VLOOKUP($F47,'Table Output'!$A$1:$H$99998,8,FALSE)="Sand",VLOOKUP(S$37,BoundParameters_HiddenSheetSAND!$I$3:$L$50,MATCH(VLOOKUP($K82,$K$5:$AL$34,MATCH(VLOOKUP(S$37,$BJ$3:$BK$50,2,FALSE),$K$4:$AL$4,0),FALSE),BoundParameters_HiddenSheetCLAY!$I$1:$L$1,0),FALSE),IF(VLOOKUP($F47,'Table Output'!$A$1:$H$9998,8,FALSE)="Clay",VLOOKUP(S$37,BoundParameters_HiddenSheetCLAY!$I$3:$L$50,MATCH(VLOOKUP($K82,$K$5:$AL$34,MATCH(VLOOKUP(S$37,$BJ$3:$BK$50,2,FALSE),$K$4:$AL$4,0),FALSE),BoundParameters_HiddenSheetCLAY!$I$1:$L$1,0),FALSE))),'Control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8" t="str">
        <f>IF($K82="","",IF(T$37="","",IF('Control Panel'!T82="",IF(VLOOKUP($F47,'Table Output'!$A$1:$H$99998,8,FALSE)="Sand",VLOOKUP(T$37,BoundParameters_HiddenSheetSAND!$I$3:$L$50,MATCH(VLOOKUP($K82,$K$5:$AL$34,MATCH(VLOOKUP(T$37,$BJ$3:$BK$50,2,FALSE),$K$4:$AL$4,0),FALSE),BoundParameters_HiddenSheetCLAY!$I$1:$L$1,0),FALSE),IF(VLOOKUP($F47,'Table Output'!$A$1:$H$9998,8,FALSE)="Clay",VLOOKUP(T$37,BoundParameters_HiddenSheetCLAY!$I$3:$L$50,MATCH(VLOOKUP($K82,$K$5:$AL$34,MATCH(VLOOKUP(T$37,$BJ$3:$BK$50,2,FALSE),$K$4:$AL$4,0),FALSE),BoundParameters_HiddenSheetCLAY!$I$1:$L$1,0),FALSE))),'Control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8" t="str">
        <f>IF($K82="","",IF(U$37="","",IF('Control Panel'!U82="",IF(VLOOKUP($F47,'Table Output'!$A$1:$H$99998,8,FALSE)="Sand",VLOOKUP(U$37,BoundParameters_HiddenSheetSAND!$I$3:$L$50,MATCH(VLOOKUP($K82,$K$5:$AL$34,MATCH(VLOOKUP(U$37,$BJ$3:$BK$50,2,FALSE),$K$4:$AL$4,0),FALSE),BoundParameters_HiddenSheetCLAY!$I$1:$L$1,0),FALSE),IF(VLOOKUP($F47,'Table Output'!$A$1:$H$9998,8,FALSE)="Clay",VLOOKUP(U$37,BoundParameters_HiddenSheetCLAY!$I$3:$L$50,MATCH(VLOOKUP($K82,$K$5:$AL$34,MATCH(VLOOKUP(U$37,$BJ$3:$BK$50,2,FALSE),$K$4:$AL$4,0),FALSE),BoundParameters_HiddenSheetCLAY!$I$1:$L$1,0),FALSE))),'Control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Cowden_Clay</v>
      </c>
      <c r="K83" s="5">
        <f t="shared" si="49"/>
        <v>11</v>
      </c>
      <c r="L83" s="28">
        <f>IF($K83="","",IF(L$37="","",IF('Control Panel'!L83="",IF(VLOOKUP($F48,'Table Output'!$A$1:$H$99998,8,FALSE)="Sand",VLOOKUP(L$37,BoundParameters_HiddenSheetSAND!$I$3:$L$50,MATCH(VLOOKUP($K83,$K$5:$AL$34,MATCH(VLOOKUP(L$37,$BJ$3:$BK$50,2,FALSE),$K$4:$AL$4,0),FALSE),BoundParameters_HiddenSheetCLAY!$I$1:$L$1,0),FALSE),IF(VLOOKUP($F48,'Table Output'!$A$1:$H$9998,8,FALSE)="Clay",VLOOKUP(L$37,BoundParameters_HiddenSheetCLAY!$I$3:$L$50,MATCH(VLOOKUP($K83,$K$5:$AL$34,MATCH(VLOOKUP(L$37,$BJ$3:$BK$50,2,FALSE),$K$4:$AL$4,0),FALSE),BoundParameters_HiddenSheetCLAY!$I$1:$L$1,0),FALSE))),'Control Panel'!L83)))</f>
        <v>200</v>
      </c>
      <c r="M83" s="28">
        <f>IF($K83="","",IF(M$37="","",IF('Control Panel'!M83="",IF(VLOOKUP($F48,'Table Output'!$A$1:$H$99998,8,FALSE)="Sand",VLOOKUP(M$37,BoundParameters_HiddenSheetSAND!$I$3:$L$50,MATCH(VLOOKUP($K83,$K$5:$AL$34,MATCH(VLOOKUP(M$37,$BJ$3:$BK$50,2,FALSE),$K$4:$AL$4,0),FALSE),BoundParameters_HiddenSheetCLAY!$I$1:$L$1,0),FALSE),IF(VLOOKUP($F48,'Table Output'!$A$1:$H$9998,8,FALSE)="Clay",VLOOKUP(M$37,BoundParameters_HiddenSheetCLAY!$I$3:$L$50,MATCH(VLOOKUP($K83,$K$5:$AL$34,MATCH(VLOOKUP(M$37,$BJ$3:$BK$50,2,FALSE),$K$4:$AL$4,0),FALSE),BoundParameters_HiddenSheetCLAY!$I$1:$L$1,0),FALSE))),'Control Panel'!M83)))</f>
        <v>15.832000000000001</v>
      </c>
      <c r="N83" s="28">
        <f>IF($K83="","",IF(N$37="","",IF('Control Panel'!N83="",IF(VLOOKUP($F48,'Table Output'!$A$1:$H$99998,8,FALSE)="Sand",VLOOKUP(N$37,BoundParameters_HiddenSheetSAND!$I$3:$L$50,MATCH(VLOOKUP($K83,$K$5:$AL$34,MATCH(VLOOKUP(N$37,$BJ$3:$BK$50,2,FALSE),$K$4:$AL$4,0),FALSE),BoundParameters_HiddenSheetCLAY!$I$1:$L$1,0),FALSE),IF(VLOOKUP($F48,'Table Output'!$A$1:$H$9998,8,FALSE)="Clay",VLOOKUP(N$37,BoundParameters_HiddenSheetCLAY!$I$3:$L$50,MATCH(VLOOKUP($K83,$K$5:$AL$34,MATCH(VLOOKUP(N$37,$BJ$3:$BK$50,2,FALSE),$K$4:$AL$4,0),FALSE),BoundParameters_HiddenSheetCLAY!$I$1:$L$1,0),FALSE))),'Control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8">
        <f>IF($K83="","",IF(O$37="","",IF('Control Panel'!O83="",IF(VLOOKUP($F48,'Table Output'!$A$1:$H$99998,8,FALSE)="Sand",VLOOKUP(O$37,BoundParameters_HiddenSheetSAND!$I$3:$L$50,MATCH(VLOOKUP($K83,$K$5:$AL$34,MATCH(VLOOKUP(O$37,$BJ$3:$BK$50,2,FALSE),$K$4:$AL$4,0),FALSE),BoundParameters_HiddenSheetCLAY!$I$1:$L$1,0),FALSE),IF(VLOOKUP($F48,'Table Output'!$A$1:$H$9998,8,FALSE)="Clay",VLOOKUP(O$37,BoundParameters_HiddenSheetCLAY!$I$3:$L$50,MATCH(VLOOKUP($K83,$K$5:$AL$34,MATCH(VLOOKUP(O$37,$BJ$3:$BK$50,2,FALSE),$K$4:$AL$4,0),FALSE),BoundParameters_HiddenSheetCLAY!$I$1:$L$1,0),FALSE))),'Control Panel'!O83)))</f>
        <v>0</v>
      </c>
      <c r="P83" s="28">
        <f>IF($K83="","",IF(P$37="","",IF('Control Panel'!P83="",IF(VLOOKUP($F48,'Table Output'!$A$1:$H$99998,8,FALSE)="Sand",VLOOKUP(P$37,BoundParameters_HiddenSheetSAND!$I$3:$L$50,MATCH(VLOOKUP($K83,$K$5:$AL$34,MATCH(VLOOKUP(P$37,$BJ$3:$BK$50,2,FALSE),$K$4:$AL$4,0),FALSE),BoundParameters_HiddenSheetCLAY!$I$1:$L$1,0),FALSE),IF(VLOOKUP($F48,'Table Output'!$A$1:$H$9998,8,FALSE)="Clay",VLOOKUP(P$37,BoundParameters_HiddenSheetCLAY!$I$3:$L$50,MATCH(VLOOKUP($K83,$K$5:$AL$34,MATCH(VLOOKUP(P$37,$BJ$3:$BK$50,2,FALSE),$K$4:$AL$4,0),FALSE),BoundParameters_HiddenSheetCLAY!$I$1:$L$1,0),FALSE))),'Control Panel'!P83)))</f>
        <v>14.4</v>
      </c>
      <c r="Q83" s="28" t="str">
        <f>IF($K83="","",IF(Q$37="","",IF('Control Panel'!Q83="",IF(VLOOKUP($F48,'Table Output'!$A$1:$H$99998,8,FALSE)="Sand",VLOOKUP(Q$37,BoundParameters_HiddenSheetSAND!$I$3:$L$50,MATCH(VLOOKUP($K83,$K$5:$AL$34,MATCH(VLOOKUP(Q$37,$BJ$3:$BK$50,2,FALSE),$K$4:$AL$4,0),FALSE),BoundParameters_HiddenSheetCLAY!$I$1:$L$1,0),FALSE),IF(VLOOKUP($F48,'Table Output'!$A$1:$H$9998,8,FALSE)="Clay",VLOOKUP(Q$37,BoundParameters_HiddenSheetCLAY!$I$3:$L$50,MATCH(VLOOKUP($K83,$K$5:$AL$34,MATCH(VLOOKUP(Q$37,$BJ$3:$BK$50,2,FALSE),$K$4:$AL$4,0),FALSE),BoundParameters_HiddenSheetCLAY!$I$1:$L$1,0),FALSE))),'Control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8" t="str">
        <f>IF($K83="","",IF(R$37="","",IF('Control Panel'!R83="",IF(VLOOKUP($F48,'Table Output'!$A$1:$H$99998,8,FALSE)="Sand",VLOOKUP(R$37,BoundParameters_HiddenSheetSAND!$I$3:$L$50,MATCH(VLOOKUP($K83,$K$5:$AL$34,MATCH(VLOOKUP(R$37,$BJ$3:$BK$50,2,FALSE),$K$4:$AL$4,0),FALSE),BoundParameters_HiddenSheetCLAY!$I$1:$L$1,0),FALSE),IF(VLOOKUP($F48,'Table Output'!$A$1:$H$9998,8,FALSE)="Clay",VLOOKUP(R$37,BoundParameters_HiddenSheetCLAY!$I$3:$L$50,MATCH(VLOOKUP($K83,$K$5:$AL$34,MATCH(VLOOKUP(R$37,$BJ$3:$BK$50,2,FALSE),$K$4:$AL$4,0),FALSE),BoundParameters_HiddenSheetCLAY!$I$1:$L$1,0),FALSE))),'Control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8" t="str">
        <f>IF($K83="","",IF(S$37="","",IF('Control Panel'!S83="",IF(VLOOKUP($F48,'Table Output'!$A$1:$H$99998,8,FALSE)="Sand",VLOOKUP(S$37,BoundParameters_HiddenSheetSAND!$I$3:$L$50,MATCH(VLOOKUP($K83,$K$5:$AL$34,MATCH(VLOOKUP(S$37,$BJ$3:$BK$50,2,FALSE),$K$4:$AL$4,0),FALSE),BoundParameters_HiddenSheetCLAY!$I$1:$L$1,0),FALSE),IF(VLOOKUP($F48,'Table Output'!$A$1:$H$9998,8,FALSE)="Clay",VLOOKUP(S$37,BoundParameters_HiddenSheetCLAY!$I$3:$L$50,MATCH(VLOOKUP($K83,$K$5:$AL$34,MATCH(VLOOKUP(S$37,$BJ$3:$BK$50,2,FALSE),$K$4:$AL$4,0),FALSE),BoundParameters_HiddenSheetCLAY!$I$1:$L$1,0),FALSE))),'Control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8" t="str">
        <f>IF($K83="","",IF(T$37="","",IF('Control Panel'!T83="",IF(VLOOKUP($F48,'Table Output'!$A$1:$H$99998,8,FALSE)="Sand",VLOOKUP(T$37,BoundParameters_HiddenSheetSAND!$I$3:$L$50,MATCH(VLOOKUP($K83,$K$5:$AL$34,MATCH(VLOOKUP(T$37,$BJ$3:$BK$50,2,FALSE),$K$4:$AL$4,0),FALSE),BoundParameters_HiddenSheetCLAY!$I$1:$L$1,0),FALSE),IF(VLOOKUP($F48,'Table Output'!$A$1:$H$9998,8,FALSE)="Clay",VLOOKUP(T$37,BoundParameters_HiddenSheetCLAY!$I$3:$L$50,MATCH(VLOOKUP($K83,$K$5:$AL$34,MATCH(VLOOKUP(T$37,$BJ$3:$BK$50,2,FALSE),$K$4:$AL$4,0),FALSE),BoundParameters_HiddenSheetCLAY!$I$1:$L$1,0),FALSE))),'Control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8" t="str">
        <f>IF($K83="","",IF(U$37="","",IF('Control Panel'!U83="",IF(VLOOKUP($F48,'Table Output'!$A$1:$H$99998,8,FALSE)="Sand",VLOOKUP(U$37,BoundParameters_HiddenSheetSAND!$I$3:$L$50,MATCH(VLOOKUP($K83,$K$5:$AL$34,MATCH(VLOOKUP(U$37,$BJ$3:$BK$50,2,FALSE),$K$4:$AL$4,0),FALSE),BoundParameters_HiddenSheetCLAY!$I$1:$L$1,0),FALSE),IF(VLOOKUP($F48,'Table Output'!$A$1:$H$9998,8,FALSE)="Clay",VLOOKUP(U$37,BoundParameters_HiddenSheetCLAY!$I$3:$L$50,MATCH(VLOOKUP($K83,$K$5:$AL$34,MATCH(VLOOKUP(U$37,$BJ$3:$BK$50,2,FALSE),$K$4:$AL$4,0),FALSE),BoundParameters_HiddenSheetCLAY!$I$1:$L$1,0),FALSE))),'Control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/>
      </c>
      <c r="K84" s="5" t="str">
        <f t="shared" si="49"/>
        <v/>
      </c>
      <c r="L84" s="28" t="str">
        <f>IF($K84="","",IF(L$37="","",IF('Control Panel'!L84="",IF(VLOOKUP($F49,'Table Output'!$A$1:$H$99998,8,FALSE)="Sand",VLOOKUP(L$37,BoundParameters_HiddenSheetSAND!$I$3:$L$50,MATCH(VLOOKUP($K84,$K$5:$AL$34,MATCH(VLOOKUP(L$37,$BJ$3:$BK$50,2,FALSE),$K$4:$AL$4,0),FALSE),BoundParameters_HiddenSheetCLAY!$I$1:$L$1,0),FALSE),IF(VLOOKUP($F49,'Table Output'!$A$1:$H$9998,8,FALSE)="Clay",VLOOKUP(L$37,BoundParameters_HiddenSheetCLAY!$I$3:$L$50,MATCH(VLOOKUP($K84,$K$5:$AL$34,MATCH(VLOOKUP(L$37,$BJ$3:$BK$50,2,FALSE),$K$4:$AL$4,0),FALSE),BoundParameters_HiddenSheetCLAY!$I$1:$L$1,0),FALSE))),'Control Panel'!L84)))</f>
        <v/>
      </c>
      <c r="M84" s="28" t="str">
        <f>IF($K84="","",IF(M$37="","",IF('Control Panel'!M84="",IF(VLOOKUP($F49,'Table Output'!$A$1:$H$99998,8,FALSE)="Sand",VLOOKUP(M$37,BoundParameters_HiddenSheetSAND!$I$3:$L$50,MATCH(VLOOKUP($K84,$K$5:$AL$34,MATCH(VLOOKUP(M$37,$BJ$3:$BK$50,2,FALSE),$K$4:$AL$4,0),FALSE),BoundParameters_HiddenSheetCLAY!$I$1:$L$1,0),FALSE),IF(VLOOKUP($F49,'Table Output'!$A$1:$H$9998,8,FALSE)="Clay",VLOOKUP(M$37,BoundParameters_HiddenSheetCLAY!$I$3:$L$50,MATCH(VLOOKUP($K84,$K$5:$AL$34,MATCH(VLOOKUP(M$37,$BJ$3:$BK$50,2,FALSE),$K$4:$AL$4,0),FALSE),BoundParameters_HiddenSheetCLAY!$I$1:$L$1,0),FALSE))),'Control Panel'!M84)))</f>
        <v/>
      </c>
      <c r="N84" s="28" t="str">
        <f>IF($K84="","",IF(N$37="","",IF('Control Panel'!N84="",IF(VLOOKUP($F49,'Table Output'!$A$1:$H$99998,8,FALSE)="Sand",VLOOKUP(N$37,BoundParameters_HiddenSheetSAND!$I$3:$L$50,MATCH(VLOOKUP($K84,$K$5:$AL$34,MATCH(VLOOKUP(N$37,$BJ$3:$BK$50,2,FALSE),$K$4:$AL$4,0),FALSE),BoundParameters_HiddenSheetCLAY!$I$1:$L$1,0),FALSE),IF(VLOOKUP($F49,'Table Output'!$A$1:$H$9998,8,FALSE)="Clay",VLOOKUP(N$37,BoundParameters_HiddenSheetCLAY!$I$3:$L$50,MATCH(VLOOKUP($K84,$K$5:$AL$34,MATCH(VLOOKUP(N$37,$BJ$3:$BK$50,2,FALSE),$K$4:$AL$4,0),FALSE),BoundParameters_HiddenSheetCLAY!$I$1:$L$1,0),FALSE))),'Control Panel'!N84)))</f>
        <v/>
      </c>
      <c r="O84" s="28" t="str">
        <f>IF($K84="","",IF(O$37="","",IF('Control Panel'!O84="",IF(VLOOKUP($F49,'Table Output'!$A$1:$H$99998,8,FALSE)="Sand",VLOOKUP(O$37,BoundParameters_HiddenSheetSAND!$I$3:$L$50,MATCH(VLOOKUP($K84,$K$5:$AL$34,MATCH(VLOOKUP(O$37,$BJ$3:$BK$50,2,FALSE),$K$4:$AL$4,0),FALSE),BoundParameters_HiddenSheetCLAY!$I$1:$L$1,0),FALSE),IF(VLOOKUP($F49,'Table Output'!$A$1:$H$9998,8,FALSE)="Clay",VLOOKUP(O$37,BoundParameters_HiddenSheetCLAY!$I$3:$L$50,MATCH(VLOOKUP($K84,$K$5:$AL$34,MATCH(VLOOKUP(O$37,$BJ$3:$BK$50,2,FALSE),$K$4:$AL$4,0),FALSE),BoundParameters_HiddenSheetCLAY!$I$1:$L$1,0),FALSE))),'Control Panel'!O84)))</f>
        <v/>
      </c>
      <c r="P84" s="28" t="str">
        <f>IF($K84="","",IF(P$37="","",IF('Control Panel'!P84="",IF(VLOOKUP($F49,'Table Output'!$A$1:$H$99998,8,FALSE)="Sand",VLOOKUP(P$37,BoundParameters_HiddenSheetSAND!$I$3:$L$50,MATCH(VLOOKUP($K84,$K$5:$AL$34,MATCH(VLOOKUP(P$37,$BJ$3:$BK$50,2,FALSE),$K$4:$AL$4,0),FALSE),BoundParameters_HiddenSheetCLAY!$I$1:$L$1,0),FALSE),IF(VLOOKUP($F49,'Table Output'!$A$1:$H$9998,8,FALSE)="Clay",VLOOKUP(P$37,BoundParameters_HiddenSheetCLAY!$I$3:$L$50,MATCH(VLOOKUP($K84,$K$5:$AL$34,MATCH(VLOOKUP(P$37,$BJ$3:$BK$50,2,FALSE),$K$4:$AL$4,0),FALSE),BoundParameters_HiddenSheetCLAY!$I$1:$L$1,0),FALSE))),'Control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8" t="str">
        <f>IF($K84="","",IF(Q$37="","",IF('Control Panel'!Q84="",IF(VLOOKUP($F49,'Table Output'!$A$1:$H$99998,8,FALSE)="Sand",VLOOKUP(Q$37,BoundParameters_HiddenSheetSAND!$I$3:$L$50,MATCH(VLOOKUP($K84,$K$5:$AL$34,MATCH(VLOOKUP(Q$37,$BJ$3:$BK$50,2,FALSE),$K$4:$AL$4,0),FALSE),BoundParameters_HiddenSheetCLAY!$I$1:$L$1,0),FALSE),IF(VLOOKUP($F49,'Table Output'!$A$1:$H$9998,8,FALSE)="Clay",VLOOKUP(Q$37,BoundParameters_HiddenSheetCLAY!$I$3:$L$50,MATCH(VLOOKUP($K84,$K$5:$AL$34,MATCH(VLOOKUP(Q$37,$BJ$3:$BK$50,2,FALSE),$K$4:$AL$4,0),FALSE),BoundParameters_HiddenSheetCLAY!$I$1:$L$1,0),FALSE))),'Control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8" t="str">
        <f>IF($K84="","",IF(R$37="","",IF('Control Panel'!R84="",IF(VLOOKUP($F49,'Table Output'!$A$1:$H$99998,8,FALSE)="Sand",VLOOKUP(R$37,BoundParameters_HiddenSheetSAND!$I$3:$L$50,MATCH(VLOOKUP($K84,$K$5:$AL$34,MATCH(VLOOKUP(R$37,$BJ$3:$BK$50,2,FALSE),$K$4:$AL$4,0),FALSE),BoundParameters_HiddenSheetCLAY!$I$1:$L$1,0),FALSE),IF(VLOOKUP($F49,'Table Output'!$A$1:$H$9998,8,FALSE)="Clay",VLOOKUP(R$37,BoundParameters_HiddenSheetCLAY!$I$3:$L$50,MATCH(VLOOKUP($K84,$K$5:$AL$34,MATCH(VLOOKUP(R$37,$BJ$3:$BK$50,2,FALSE),$K$4:$AL$4,0),FALSE),BoundParameters_HiddenSheetCLAY!$I$1:$L$1,0),FALSE))),'Control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8" t="str">
        <f>IF($K84="","",IF(S$37="","",IF('Control Panel'!S84="",IF(VLOOKUP($F49,'Table Output'!$A$1:$H$99998,8,FALSE)="Sand",VLOOKUP(S$37,BoundParameters_HiddenSheetSAND!$I$3:$L$50,MATCH(VLOOKUP($K84,$K$5:$AL$34,MATCH(VLOOKUP(S$37,$BJ$3:$BK$50,2,FALSE),$K$4:$AL$4,0),FALSE),BoundParameters_HiddenSheetCLAY!$I$1:$L$1,0),FALSE),IF(VLOOKUP($F49,'Table Output'!$A$1:$H$9998,8,FALSE)="Clay",VLOOKUP(S$37,BoundParameters_HiddenSheetCLAY!$I$3:$L$50,MATCH(VLOOKUP($K84,$K$5:$AL$34,MATCH(VLOOKUP(S$37,$BJ$3:$BK$50,2,FALSE),$K$4:$AL$4,0),FALSE),BoundParameters_HiddenSheetCLAY!$I$1:$L$1,0),FALSE))),'Control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8" t="str">
        <f>IF($K84="","",IF(T$37="","",IF('Control Panel'!T84="",IF(VLOOKUP($F49,'Table Output'!$A$1:$H$99998,8,FALSE)="Sand",VLOOKUP(T$37,BoundParameters_HiddenSheetSAND!$I$3:$L$50,MATCH(VLOOKUP($K84,$K$5:$AL$34,MATCH(VLOOKUP(T$37,$BJ$3:$BK$50,2,FALSE),$K$4:$AL$4,0),FALSE),BoundParameters_HiddenSheetCLAY!$I$1:$L$1,0),FALSE),IF(VLOOKUP($F49,'Table Output'!$A$1:$H$9998,8,FALSE)="Clay",VLOOKUP(T$37,BoundParameters_HiddenSheetCLAY!$I$3:$L$50,MATCH(VLOOKUP($K84,$K$5:$AL$34,MATCH(VLOOKUP(T$37,$BJ$3:$BK$50,2,FALSE),$K$4:$AL$4,0),FALSE),BoundParameters_HiddenSheetCLAY!$I$1:$L$1,0),FALSE))),'Control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8" t="str">
        <f>IF($K84="","",IF(U$37="","",IF('Control Panel'!U84="",IF(VLOOKUP($F49,'Table Output'!$A$1:$H$99998,8,FALSE)="Sand",VLOOKUP(U$37,BoundParameters_HiddenSheetSAND!$I$3:$L$50,MATCH(VLOOKUP($K84,$K$5:$AL$34,MATCH(VLOOKUP(U$37,$BJ$3:$BK$50,2,FALSE),$K$4:$AL$4,0),FALSE),BoundParameters_HiddenSheetCLAY!$I$1:$L$1,0),FALSE),IF(VLOOKUP($F49,'Table Output'!$A$1:$H$9998,8,FALSE)="Clay",VLOOKUP(U$37,BoundParameters_HiddenSheetCLAY!$I$3:$L$50,MATCH(VLOOKUP($K84,$K$5:$AL$34,MATCH(VLOOKUP(U$37,$BJ$3:$BK$50,2,FALSE),$K$4:$AL$4,0),FALSE),BoundParameters_HiddenSheetCLAY!$I$1:$L$1,0),FALSE))),'Control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/>
      </c>
      <c r="K85" s="5" t="str">
        <f t="shared" si="49"/>
        <v/>
      </c>
      <c r="L85" s="28" t="str">
        <f>IF($K85="","",IF(L$37="","",IF('Control Panel'!L85="",IF(VLOOKUP($F50,'Table Output'!$A$1:$H$99998,8,FALSE)="Sand",VLOOKUP(L$37,BoundParameters_HiddenSheetSAND!$I$3:$L$50,MATCH(VLOOKUP($K85,$K$5:$AL$34,MATCH(VLOOKUP(L$37,$BJ$3:$BK$50,2,FALSE),$K$4:$AL$4,0),FALSE),BoundParameters_HiddenSheetCLAY!$I$1:$L$1,0),FALSE),IF(VLOOKUP($F50,'Table Output'!$A$1:$H$9998,8,FALSE)="Clay",VLOOKUP(L$37,BoundParameters_HiddenSheetCLAY!$I$3:$L$50,MATCH(VLOOKUP($K85,$K$5:$AL$34,MATCH(VLOOKUP(L$37,$BJ$3:$BK$50,2,FALSE),$K$4:$AL$4,0),FALSE),BoundParameters_HiddenSheetCLAY!$I$1:$L$1,0),FALSE))),'Control Panel'!L85)))</f>
        <v/>
      </c>
      <c r="M85" s="28" t="str">
        <f>IF($K85="","",IF(M$37="","",IF('Control Panel'!M85="",IF(VLOOKUP($F50,'Table Output'!$A$1:$H$99998,8,FALSE)="Sand",VLOOKUP(M$37,BoundParameters_HiddenSheetSAND!$I$3:$L$50,MATCH(VLOOKUP($K85,$K$5:$AL$34,MATCH(VLOOKUP(M$37,$BJ$3:$BK$50,2,FALSE),$K$4:$AL$4,0),FALSE),BoundParameters_HiddenSheetCLAY!$I$1:$L$1,0),FALSE),IF(VLOOKUP($F50,'Table Output'!$A$1:$H$9998,8,FALSE)="Clay",VLOOKUP(M$37,BoundParameters_HiddenSheetCLAY!$I$3:$L$50,MATCH(VLOOKUP($K85,$K$5:$AL$34,MATCH(VLOOKUP(M$37,$BJ$3:$BK$50,2,FALSE),$K$4:$AL$4,0),FALSE),BoundParameters_HiddenSheetCLAY!$I$1:$L$1,0),FALSE))),'Control Panel'!M85)))</f>
        <v/>
      </c>
      <c r="N85" s="28" t="str">
        <f>IF($K85="","",IF(N$37="","",IF('Control Panel'!N85="",IF(VLOOKUP($F50,'Table Output'!$A$1:$H$99998,8,FALSE)="Sand",VLOOKUP(N$37,BoundParameters_HiddenSheetSAND!$I$3:$L$50,MATCH(VLOOKUP($K85,$K$5:$AL$34,MATCH(VLOOKUP(N$37,$BJ$3:$BK$50,2,FALSE),$K$4:$AL$4,0),FALSE),BoundParameters_HiddenSheetCLAY!$I$1:$L$1,0),FALSE),IF(VLOOKUP($F50,'Table Output'!$A$1:$H$9998,8,FALSE)="Clay",VLOOKUP(N$37,BoundParameters_HiddenSheetCLAY!$I$3:$L$50,MATCH(VLOOKUP($K85,$K$5:$AL$34,MATCH(VLOOKUP(N$37,$BJ$3:$BK$50,2,FALSE),$K$4:$AL$4,0),FALSE),BoundParameters_HiddenSheetCLAY!$I$1:$L$1,0),FALSE))),'Control Panel'!N85)))</f>
        <v/>
      </c>
      <c r="O85" s="28" t="str">
        <f>IF($K85="","",IF(O$37="","",IF('Control Panel'!O85="",IF(VLOOKUP($F50,'Table Output'!$A$1:$H$99998,8,FALSE)="Sand",VLOOKUP(O$37,BoundParameters_HiddenSheetSAND!$I$3:$L$50,MATCH(VLOOKUP($K85,$K$5:$AL$34,MATCH(VLOOKUP(O$37,$BJ$3:$BK$50,2,FALSE),$K$4:$AL$4,0),FALSE),BoundParameters_HiddenSheetCLAY!$I$1:$L$1,0),FALSE),IF(VLOOKUP($F50,'Table Output'!$A$1:$H$9998,8,FALSE)="Clay",VLOOKUP(O$37,BoundParameters_HiddenSheetCLAY!$I$3:$L$50,MATCH(VLOOKUP($K85,$K$5:$AL$34,MATCH(VLOOKUP(O$37,$BJ$3:$BK$50,2,FALSE),$K$4:$AL$4,0),FALSE),BoundParameters_HiddenSheetCLAY!$I$1:$L$1,0),FALSE))),'Control Panel'!O85)))</f>
        <v/>
      </c>
      <c r="P85" s="28" t="str">
        <f>IF($K85="","",IF(P$37="","",IF('Control Panel'!P85="",IF(VLOOKUP($F50,'Table Output'!$A$1:$H$99998,8,FALSE)="Sand",VLOOKUP(P$37,BoundParameters_HiddenSheetSAND!$I$3:$L$50,MATCH(VLOOKUP($K85,$K$5:$AL$34,MATCH(VLOOKUP(P$37,$BJ$3:$BK$50,2,FALSE),$K$4:$AL$4,0),FALSE),BoundParameters_HiddenSheetCLAY!$I$1:$L$1,0),FALSE),IF(VLOOKUP($F50,'Table Output'!$A$1:$H$9998,8,FALSE)="Clay",VLOOKUP(P$37,BoundParameters_HiddenSheetCLAY!$I$3:$L$50,MATCH(VLOOKUP($K85,$K$5:$AL$34,MATCH(VLOOKUP(P$37,$BJ$3:$BK$50,2,FALSE),$K$4:$AL$4,0),FALSE),BoundParameters_HiddenSheetCLAY!$I$1:$L$1,0),FALSE))),'Control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8" t="str">
        <f>IF($K85="","",IF(Q$37="","",IF('Control Panel'!Q85="",IF(VLOOKUP($F50,'Table Output'!$A$1:$H$99998,8,FALSE)="Sand",VLOOKUP(Q$37,BoundParameters_HiddenSheetSAND!$I$3:$L$50,MATCH(VLOOKUP($K85,$K$5:$AL$34,MATCH(VLOOKUP(Q$37,$BJ$3:$BK$50,2,FALSE),$K$4:$AL$4,0),FALSE),BoundParameters_HiddenSheetCLAY!$I$1:$L$1,0),FALSE),IF(VLOOKUP($F50,'Table Output'!$A$1:$H$9998,8,FALSE)="Clay",VLOOKUP(Q$37,BoundParameters_HiddenSheetCLAY!$I$3:$L$50,MATCH(VLOOKUP($K85,$K$5:$AL$34,MATCH(VLOOKUP(Q$37,$BJ$3:$BK$50,2,FALSE),$K$4:$AL$4,0),FALSE),BoundParameters_HiddenSheetCLAY!$I$1:$L$1,0),FALSE))),'Control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8" t="str">
        <f>IF($K85="","",IF(R$37="","",IF('Control Panel'!R85="",IF(VLOOKUP($F50,'Table Output'!$A$1:$H$99998,8,FALSE)="Sand",VLOOKUP(R$37,BoundParameters_HiddenSheetSAND!$I$3:$L$50,MATCH(VLOOKUP($K85,$K$5:$AL$34,MATCH(VLOOKUP(R$37,$BJ$3:$BK$50,2,FALSE),$K$4:$AL$4,0),FALSE),BoundParameters_HiddenSheetCLAY!$I$1:$L$1,0),FALSE),IF(VLOOKUP($F50,'Table Output'!$A$1:$H$9998,8,FALSE)="Clay",VLOOKUP(R$37,BoundParameters_HiddenSheetCLAY!$I$3:$L$50,MATCH(VLOOKUP($K85,$K$5:$AL$34,MATCH(VLOOKUP(R$37,$BJ$3:$BK$50,2,FALSE),$K$4:$AL$4,0),FALSE),BoundParameters_HiddenSheetCLAY!$I$1:$L$1,0),FALSE))),'Control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8" t="str">
        <f>IF($K85="","",IF(S$37="","",IF('Control Panel'!S85="",IF(VLOOKUP($F50,'Table Output'!$A$1:$H$99998,8,FALSE)="Sand",VLOOKUP(S$37,BoundParameters_HiddenSheetSAND!$I$3:$L$50,MATCH(VLOOKUP($K85,$K$5:$AL$34,MATCH(VLOOKUP(S$37,$BJ$3:$BK$50,2,FALSE),$K$4:$AL$4,0),FALSE),BoundParameters_HiddenSheetCLAY!$I$1:$L$1,0),FALSE),IF(VLOOKUP($F50,'Table Output'!$A$1:$H$9998,8,FALSE)="Clay",VLOOKUP(S$37,BoundParameters_HiddenSheetCLAY!$I$3:$L$50,MATCH(VLOOKUP($K85,$K$5:$AL$34,MATCH(VLOOKUP(S$37,$BJ$3:$BK$50,2,FALSE),$K$4:$AL$4,0),FALSE),BoundParameters_HiddenSheetCLAY!$I$1:$L$1,0),FALSE))),'Control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8" t="str">
        <f>IF($K85="","",IF(T$37="","",IF('Control Panel'!T85="",IF(VLOOKUP($F50,'Table Output'!$A$1:$H$99998,8,FALSE)="Sand",VLOOKUP(T$37,BoundParameters_HiddenSheetSAND!$I$3:$L$50,MATCH(VLOOKUP($K85,$K$5:$AL$34,MATCH(VLOOKUP(T$37,$BJ$3:$BK$50,2,FALSE),$K$4:$AL$4,0),FALSE),BoundParameters_HiddenSheetCLAY!$I$1:$L$1,0),FALSE),IF(VLOOKUP($F50,'Table Output'!$A$1:$H$9998,8,FALSE)="Clay",VLOOKUP(T$37,BoundParameters_HiddenSheetCLAY!$I$3:$L$50,MATCH(VLOOKUP($K85,$K$5:$AL$34,MATCH(VLOOKUP(T$37,$BJ$3:$BK$50,2,FALSE),$K$4:$AL$4,0),FALSE),BoundParameters_HiddenSheetCLAY!$I$1:$L$1,0),FALSE))),'Control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8" t="str">
        <f>IF($K85="","",IF(U$37="","",IF('Control Panel'!U85="",IF(VLOOKUP($F50,'Table Output'!$A$1:$H$99998,8,FALSE)="Sand",VLOOKUP(U$37,BoundParameters_HiddenSheetSAND!$I$3:$L$50,MATCH(VLOOKUP($K85,$K$5:$AL$34,MATCH(VLOOKUP(U$37,$BJ$3:$BK$50,2,FALSE),$K$4:$AL$4,0),FALSE),BoundParameters_HiddenSheetCLAY!$I$1:$L$1,0),FALSE),IF(VLOOKUP($F50,'Table Output'!$A$1:$H$9998,8,FALSE)="Clay",VLOOKUP(U$37,BoundParameters_HiddenSheetCLAY!$I$3:$L$50,MATCH(VLOOKUP($K85,$K$5:$AL$34,MATCH(VLOOKUP(U$37,$BJ$3:$BK$50,2,FALSE),$K$4:$AL$4,0),FALSE),BoundParameters_HiddenSheetCLAY!$I$1:$L$1,0),FALSE))),'Control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/>
      </c>
      <c r="K86" s="5" t="str">
        <f t="shared" si="49"/>
        <v/>
      </c>
      <c r="L86" s="28" t="str">
        <f>IF($K86="","",IF(L$37="","",IF('Control Panel'!L86="",IF(VLOOKUP($F51,'Table Output'!$A$1:$H$99998,8,FALSE)="Sand",VLOOKUP(L$37,BoundParameters_HiddenSheetSAND!$I$3:$L$50,MATCH(VLOOKUP($K86,$K$5:$AL$34,MATCH(VLOOKUP(L$37,$BJ$3:$BK$50,2,FALSE),$K$4:$AL$4,0),FALSE),BoundParameters_HiddenSheetCLAY!$I$1:$L$1,0),FALSE),IF(VLOOKUP($F51,'Table Output'!$A$1:$H$9998,8,FALSE)="Clay",VLOOKUP(L$37,BoundParameters_HiddenSheetCLAY!$I$3:$L$50,MATCH(VLOOKUP($K86,$K$5:$AL$34,MATCH(VLOOKUP(L$37,$BJ$3:$BK$50,2,FALSE),$K$4:$AL$4,0),FALSE),BoundParameters_HiddenSheetCLAY!$I$1:$L$1,0),FALSE))),'Control Panel'!L86)))</f>
        <v/>
      </c>
      <c r="M86" s="28" t="str">
        <f>IF($K86="","",IF(M$37="","",IF('Control Panel'!M86="",IF(VLOOKUP($F51,'Table Output'!$A$1:$H$99998,8,FALSE)="Sand",VLOOKUP(M$37,BoundParameters_HiddenSheetSAND!$I$3:$L$50,MATCH(VLOOKUP($K86,$K$5:$AL$34,MATCH(VLOOKUP(M$37,$BJ$3:$BK$50,2,FALSE),$K$4:$AL$4,0),FALSE),BoundParameters_HiddenSheetCLAY!$I$1:$L$1,0),FALSE),IF(VLOOKUP($F51,'Table Output'!$A$1:$H$9998,8,FALSE)="Clay",VLOOKUP(M$37,BoundParameters_HiddenSheetCLAY!$I$3:$L$50,MATCH(VLOOKUP($K86,$K$5:$AL$34,MATCH(VLOOKUP(M$37,$BJ$3:$BK$50,2,FALSE),$K$4:$AL$4,0),FALSE),BoundParameters_HiddenSheetCLAY!$I$1:$L$1,0),FALSE))),'Control Panel'!M86)))</f>
        <v/>
      </c>
      <c r="N86" s="28" t="str">
        <f>IF($K86="","",IF(N$37="","",IF('Control Panel'!N86="",IF(VLOOKUP($F51,'Table Output'!$A$1:$H$99998,8,FALSE)="Sand",VLOOKUP(N$37,BoundParameters_HiddenSheetSAND!$I$3:$L$50,MATCH(VLOOKUP($K86,$K$5:$AL$34,MATCH(VLOOKUP(N$37,$BJ$3:$BK$50,2,FALSE),$K$4:$AL$4,0),FALSE),BoundParameters_HiddenSheetCLAY!$I$1:$L$1,0),FALSE),IF(VLOOKUP($F51,'Table Output'!$A$1:$H$9998,8,FALSE)="Clay",VLOOKUP(N$37,BoundParameters_HiddenSheetCLAY!$I$3:$L$50,MATCH(VLOOKUP($K86,$K$5:$AL$34,MATCH(VLOOKUP(N$37,$BJ$3:$BK$50,2,FALSE),$K$4:$AL$4,0),FALSE),BoundParameters_HiddenSheetCLAY!$I$1:$L$1,0),FALSE))),'Control Panel'!N86)))</f>
        <v/>
      </c>
      <c r="O86" s="28" t="str">
        <f>IF($K86="","",IF(O$37="","",IF('Control Panel'!O86="",IF(VLOOKUP($F51,'Table Output'!$A$1:$H$99998,8,FALSE)="Sand",VLOOKUP(O$37,BoundParameters_HiddenSheetSAND!$I$3:$L$50,MATCH(VLOOKUP($K86,$K$5:$AL$34,MATCH(VLOOKUP(O$37,$BJ$3:$BK$50,2,FALSE),$K$4:$AL$4,0),FALSE),BoundParameters_HiddenSheetCLAY!$I$1:$L$1,0),FALSE),IF(VLOOKUP($F51,'Table Output'!$A$1:$H$9998,8,FALSE)="Clay",VLOOKUP(O$37,BoundParameters_HiddenSheetCLAY!$I$3:$L$50,MATCH(VLOOKUP($K86,$K$5:$AL$34,MATCH(VLOOKUP(O$37,$BJ$3:$BK$50,2,FALSE),$K$4:$AL$4,0),FALSE),BoundParameters_HiddenSheetCLAY!$I$1:$L$1,0),FALSE))),'Control Panel'!O86)))</f>
        <v/>
      </c>
      <c r="P86" s="28" t="str">
        <f>IF($K86="","",IF(P$37="","",IF('Control Panel'!P86="",IF(VLOOKUP($F51,'Table Output'!$A$1:$H$99998,8,FALSE)="Sand",VLOOKUP(P$37,BoundParameters_HiddenSheetSAND!$I$3:$L$50,MATCH(VLOOKUP($K86,$K$5:$AL$34,MATCH(VLOOKUP(P$37,$BJ$3:$BK$50,2,FALSE),$K$4:$AL$4,0),FALSE),BoundParameters_HiddenSheetCLAY!$I$1:$L$1,0),FALSE),IF(VLOOKUP($F51,'Table Output'!$A$1:$H$9998,8,FALSE)="Clay",VLOOKUP(P$37,BoundParameters_HiddenSheetCLAY!$I$3:$L$50,MATCH(VLOOKUP($K86,$K$5:$AL$34,MATCH(VLOOKUP(P$37,$BJ$3:$BK$50,2,FALSE),$K$4:$AL$4,0),FALSE),BoundParameters_HiddenSheetCLAY!$I$1:$L$1,0),FALSE))),'Control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8" t="str">
        <f>IF($K86="","",IF(Q$37="","",IF('Control Panel'!Q86="",IF(VLOOKUP($F51,'Table Output'!$A$1:$H$99998,8,FALSE)="Sand",VLOOKUP(Q$37,BoundParameters_HiddenSheetSAND!$I$3:$L$50,MATCH(VLOOKUP($K86,$K$5:$AL$34,MATCH(VLOOKUP(Q$37,$BJ$3:$BK$50,2,FALSE),$K$4:$AL$4,0),FALSE),BoundParameters_HiddenSheetCLAY!$I$1:$L$1,0),FALSE),IF(VLOOKUP($F51,'Table Output'!$A$1:$H$9998,8,FALSE)="Clay",VLOOKUP(Q$37,BoundParameters_HiddenSheetCLAY!$I$3:$L$50,MATCH(VLOOKUP($K86,$K$5:$AL$34,MATCH(VLOOKUP(Q$37,$BJ$3:$BK$50,2,FALSE),$K$4:$AL$4,0),FALSE),BoundParameters_HiddenSheetCLAY!$I$1:$L$1,0),FALSE))),'Control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8" t="str">
        <f>IF($K86="","",IF(R$37="","",IF('Control Panel'!R86="",IF(VLOOKUP($F51,'Table Output'!$A$1:$H$99998,8,FALSE)="Sand",VLOOKUP(R$37,BoundParameters_HiddenSheetSAND!$I$3:$L$50,MATCH(VLOOKUP($K86,$K$5:$AL$34,MATCH(VLOOKUP(R$37,$BJ$3:$BK$50,2,FALSE),$K$4:$AL$4,0),FALSE),BoundParameters_HiddenSheetCLAY!$I$1:$L$1,0),FALSE),IF(VLOOKUP($F51,'Table Output'!$A$1:$H$9998,8,FALSE)="Clay",VLOOKUP(R$37,BoundParameters_HiddenSheetCLAY!$I$3:$L$50,MATCH(VLOOKUP($K86,$K$5:$AL$34,MATCH(VLOOKUP(R$37,$BJ$3:$BK$50,2,FALSE),$K$4:$AL$4,0),FALSE),BoundParameters_HiddenSheetCLAY!$I$1:$L$1,0),FALSE))),'Control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8" t="str">
        <f>IF($K86="","",IF(S$37="","",IF('Control Panel'!S86="",IF(VLOOKUP($F51,'Table Output'!$A$1:$H$99998,8,FALSE)="Sand",VLOOKUP(S$37,BoundParameters_HiddenSheetSAND!$I$3:$L$50,MATCH(VLOOKUP($K86,$K$5:$AL$34,MATCH(VLOOKUP(S$37,$BJ$3:$BK$50,2,FALSE),$K$4:$AL$4,0),FALSE),BoundParameters_HiddenSheetCLAY!$I$1:$L$1,0),FALSE),IF(VLOOKUP($F51,'Table Output'!$A$1:$H$9998,8,FALSE)="Clay",VLOOKUP(S$37,BoundParameters_HiddenSheetCLAY!$I$3:$L$50,MATCH(VLOOKUP($K86,$K$5:$AL$34,MATCH(VLOOKUP(S$37,$BJ$3:$BK$50,2,FALSE),$K$4:$AL$4,0),FALSE),BoundParameters_HiddenSheetCLAY!$I$1:$L$1,0),FALSE))),'Control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8" t="str">
        <f>IF($K86="","",IF(T$37="","",IF('Control Panel'!T86="",IF(VLOOKUP($F51,'Table Output'!$A$1:$H$99998,8,FALSE)="Sand",VLOOKUP(T$37,BoundParameters_HiddenSheetSAND!$I$3:$L$50,MATCH(VLOOKUP($K86,$K$5:$AL$34,MATCH(VLOOKUP(T$37,$BJ$3:$BK$50,2,FALSE),$K$4:$AL$4,0),FALSE),BoundParameters_HiddenSheetCLAY!$I$1:$L$1,0),FALSE),IF(VLOOKUP($F51,'Table Output'!$A$1:$H$9998,8,FALSE)="Clay",VLOOKUP(T$37,BoundParameters_HiddenSheetCLAY!$I$3:$L$50,MATCH(VLOOKUP($K86,$K$5:$AL$34,MATCH(VLOOKUP(T$37,$BJ$3:$BK$50,2,FALSE),$K$4:$AL$4,0),FALSE),BoundParameters_HiddenSheetCLAY!$I$1:$L$1,0),FALSE))),'Control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8" t="str">
        <f>IF($K86="","",IF(U$37="","",IF('Control Panel'!U86="",IF(VLOOKUP($F51,'Table Output'!$A$1:$H$99998,8,FALSE)="Sand",VLOOKUP(U$37,BoundParameters_HiddenSheetSAND!$I$3:$L$50,MATCH(VLOOKUP($K86,$K$5:$AL$34,MATCH(VLOOKUP(U$37,$BJ$3:$BK$50,2,FALSE),$K$4:$AL$4,0),FALSE),BoundParameters_HiddenSheetCLAY!$I$1:$L$1,0),FALSE),IF(VLOOKUP($F51,'Table Output'!$A$1:$H$9998,8,FALSE)="Clay",VLOOKUP(U$37,BoundParameters_HiddenSheetCLAY!$I$3:$L$50,MATCH(VLOOKUP($K86,$K$5:$AL$34,MATCH(VLOOKUP(U$37,$BJ$3:$BK$50,2,FALSE),$K$4:$AL$4,0),FALSE),BoundParameters_HiddenSheetCLAY!$I$1:$L$1,0),FALSE))),'Control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/>
      </c>
      <c r="K87" s="5" t="str">
        <f t="shared" si="49"/>
        <v/>
      </c>
      <c r="L87" s="28" t="str">
        <f>IF($K87="","",IF(L$37="","",IF('Control Panel'!L87="",IF(VLOOKUP($F52,'Table Output'!$A$1:$H$99998,8,FALSE)="Sand",VLOOKUP(L$37,BoundParameters_HiddenSheetSAND!$I$3:$L$50,MATCH(VLOOKUP($K87,$K$5:$AL$34,MATCH(VLOOKUP(L$37,$BJ$3:$BK$50,2,FALSE),$K$4:$AL$4,0),FALSE),BoundParameters_HiddenSheetCLAY!$I$1:$L$1,0),FALSE),IF(VLOOKUP($F52,'Table Output'!$A$1:$H$9998,8,FALSE)="Clay",VLOOKUP(L$37,BoundParameters_HiddenSheetCLAY!$I$3:$L$50,MATCH(VLOOKUP($K87,$K$5:$AL$34,MATCH(VLOOKUP(L$37,$BJ$3:$BK$50,2,FALSE),$K$4:$AL$4,0),FALSE),BoundParameters_HiddenSheetCLAY!$I$1:$L$1,0),FALSE))),'Control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8" t="str">
        <f>IF($K87="","",IF(M$37="","",IF('Control Panel'!M87="",IF(VLOOKUP($F52,'Table Output'!$A$1:$H$99998,8,FALSE)="Sand",VLOOKUP(M$37,BoundParameters_HiddenSheetSAND!$I$3:$L$50,MATCH(VLOOKUP($K87,$K$5:$AL$34,MATCH(VLOOKUP(M$37,$BJ$3:$BK$50,2,FALSE),$K$4:$AL$4,0),FALSE),BoundParameters_HiddenSheetCLAY!$I$1:$L$1,0),FALSE),IF(VLOOKUP($F52,'Table Output'!$A$1:$H$9998,8,FALSE)="Clay",VLOOKUP(M$37,BoundParameters_HiddenSheetCLAY!$I$3:$L$50,MATCH(VLOOKUP($K87,$K$5:$AL$34,MATCH(VLOOKUP(M$37,$BJ$3:$BK$50,2,FALSE),$K$4:$AL$4,0),FALSE),BoundParameters_HiddenSheetCLAY!$I$1:$L$1,0),FALSE))),'Control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8" t="str">
        <f>IF($K87="","",IF(N$37="","",IF('Control Panel'!N87="",IF(VLOOKUP($F52,'Table Output'!$A$1:$H$99998,8,FALSE)="Sand",VLOOKUP(N$37,BoundParameters_HiddenSheetSAND!$I$3:$L$50,MATCH(VLOOKUP($K87,$K$5:$AL$34,MATCH(VLOOKUP(N$37,$BJ$3:$BK$50,2,FALSE),$K$4:$AL$4,0),FALSE),BoundParameters_HiddenSheetCLAY!$I$1:$L$1,0),FALSE),IF(VLOOKUP($F52,'Table Output'!$A$1:$H$9998,8,FALSE)="Clay",VLOOKUP(N$37,BoundParameters_HiddenSheetCLAY!$I$3:$L$50,MATCH(VLOOKUP($K87,$K$5:$AL$34,MATCH(VLOOKUP(N$37,$BJ$3:$BK$50,2,FALSE),$K$4:$AL$4,0),FALSE),BoundParameters_HiddenSheetCLAY!$I$1:$L$1,0),FALSE))),'Control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8" t="str">
        <f>IF($K87="","",IF(O$37="","",IF('Control Panel'!O87="",IF(VLOOKUP($F52,'Table Output'!$A$1:$H$99998,8,FALSE)="Sand",VLOOKUP(O$37,BoundParameters_HiddenSheetSAND!$I$3:$L$50,MATCH(VLOOKUP($K87,$K$5:$AL$34,MATCH(VLOOKUP(O$37,$BJ$3:$BK$50,2,FALSE),$K$4:$AL$4,0),FALSE),BoundParameters_HiddenSheetCLAY!$I$1:$L$1,0),FALSE),IF(VLOOKUP($F52,'Table Output'!$A$1:$H$9998,8,FALSE)="Clay",VLOOKUP(O$37,BoundParameters_HiddenSheetCLAY!$I$3:$L$50,MATCH(VLOOKUP($K87,$K$5:$AL$34,MATCH(VLOOKUP(O$37,$BJ$3:$BK$50,2,FALSE),$K$4:$AL$4,0),FALSE),BoundParameters_HiddenSheetCLAY!$I$1:$L$1,0),FALSE))),'Control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8" t="str">
        <f>IF($K87="","",IF(P$37="","",IF('Control Panel'!P87="",IF(VLOOKUP($F52,'Table Output'!$A$1:$H$99998,8,FALSE)="Sand",VLOOKUP(P$37,BoundParameters_HiddenSheetSAND!$I$3:$L$50,MATCH(VLOOKUP($K87,$K$5:$AL$34,MATCH(VLOOKUP(P$37,$BJ$3:$BK$50,2,FALSE),$K$4:$AL$4,0),FALSE),BoundParameters_HiddenSheetCLAY!$I$1:$L$1,0),FALSE),IF(VLOOKUP($F52,'Table Output'!$A$1:$H$9998,8,FALSE)="Clay",VLOOKUP(P$37,BoundParameters_HiddenSheetCLAY!$I$3:$L$50,MATCH(VLOOKUP($K87,$K$5:$AL$34,MATCH(VLOOKUP(P$37,$BJ$3:$BK$50,2,FALSE),$K$4:$AL$4,0),FALSE),BoundParameters_HiddenSheetCLAY!$I$1:$L$1,0),FALSE))),'Control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8" t="str">
        <f>IF($K87="","",IF(Q$37="","",IF('Control Panel'!Q87="",IF(VLOOKUP($F52,'Table Output'!$A$1:$H$99998,8,FALSE)="Sand",VLOOKUP(Q$37,BoundParameters_HiddenSheetSAND!$I$3:$L$50,MATCH(VLOOKUP($K87,$K$5:$AL$34,MATCH(VLOOKUP(Q$37,$BJ$3:$BK$50,2,FALSE),$K$4:$AL$4,0),FALSE),BoundParameters_HiddenSheetCLAY!$I$1:$L$1,0),FALSE),IF(VLOOKUP($F52,'Table Output'!$A$1:$H$9998,8,FALSE)="Clay",VLOOKUP(Q$37,BoundParameters_HiddenSheetCLAY!$I$3:$L$50,MATCH(VLOOKUP($K87,$K$5:$AL$34,MATCH(VLOOKUP(Q$37,$BJ$3:$BK$50,2,FALSE),$K$4:$AL$4,0),FALSE),BoundParameters_HiddenSheetCLAY!$I$1:$L$1,0),FALSE))),'Control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8" t="str">
        <f>IF($K87="","",IF(R$37="","",IF('Control Panel'!R87="",IF(VLOOKUP($F52,'Table Output'!$A$1:$H$99998,8,FALSE)="Sand",VLOOKUP(R$37,BoundParameters_HiddenSheetSAND!$I$3:$L$50,MATCH(VLOOKUP($K87,$K$5:$AL$34,MATCH(VLOOKUP(R$37,$BJ$3:$BK$50,2,FALSE),$K$4:$AL$4,0),FALSE),BoundParameters_HiddenSheetCLAY!$I$1:$L$1,0),FALSE),IF(VLOOKUP($F52,'Table Output'!$A$1:$H$9998,8,FALSE)="Clay",VLOOKUP(R$37,BoundParameters_HiddenSheetCLAY!$I$3:$L$50,MATCH(VLOOKUP($K87,$K$5:$AL$34,MATCH(VLOOKUP(R$37,$BJ$3:$BK$50,2,FALSE),$K$4:$AL$4,0),FALSE),BoundParameters_HiddenSheetCLAY!$I$1:$L$1,0),FALSE))),'Control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8" t="str">
        <f>IF($K87="","",IF(S$37="","",IF('Control Panel'!S87="",IF(VLOOKUP($F52,'Table Output'!$A$1:$H$99998,8,FALSE)="Sand",VLOOKUP(S$37,BoundParameters_HiddenSheetSAND!$I$3:$L$50,MATCH(VLOOKUP($K87,$K$5:$AL$34,MATCH(VLOOKUP(S$37,$BJ$3:$BK$50,2,FALSE),$K$4:$AL$4,0),FALSE),BoundParameters_HiddenSheetCLAY!$I$1:$L$1,0),FALSE),IF(VLOOKUP($F52,'Table Output'!$A$1:$H$9998,8,FALSE)="Clay",VLOOKUP(S$37,BoundParameters_HiddenSheetCLAY!$I$3:$L$50,MATCH(VLOOKUP($K87,$K$5:$AL$34,MATCH(VLOOKUP(S$37,$BJ$3:$BK$50,2,FALSE),$K$4:$AL$4,0),FALSE),BoundParameters_HiddenSheetCLAY!$I$1:$L$1,0),FALSE))),'Control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8" t="str">
        <f>IF($K87="","",IF(T$37="","",IF('Control Panel'!T87="",IF(VLOOKUP($F52,'Table Output'!$A$1:$H$99998,8,FALSE)="Sand",VLOOKUP(T$37,BoundParameters_HiddenSheetSAND!$I$3:$L$50,MATCH(VLOOKUP($K87,$K$5:$AL$34,MATCH(VLOOKUP(T$37,$BJ$3:$BK$50,2,FALSE),$K$4:$AL$4,0),FALSE),BoundParameters_HiddenSheetCLAY!$I$1:$L$1,0),FALSE),IF(VLOOKUP($F52,'Table Output'!$A$1:$H$9998,8,FALSE)="Clay",VLOOKUP(T$37,BoundParameters_HiddenSheetCLAY!$I$3:$L$50,MATCH(VLOOKUP($K87,$K$5:$AL$34,MATCH(VLOOKUP(T$37,$BJ$3:$BK$50,2,FALSE),$K$4:$AL$4,0),FALSE),BoundParameters_HiddenSheetCLAY!$I$1:$L$1,0),FALSE))),'Control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8" t="str">
        <f>IF($K87="","",IF(U$37="","",IF('Control Panel'!U87="",IF(VLOOKUP($F52,'Table Output'!$A$1:$H$99998,8,FALSE)="Sand",VLOOKUP(U$37,BoundParameters_HiddenSheetSAND!$I$3:$L$50,MATCH(VLOOKUP($K87,$K$5:$AL$34,MATCH(VLOOKUP(U$37,$BJ$3:$BK$50,2,FALSE),$K$4:$AL$4,0),FALSE),BoundParameters_HiddenSheetCLAY!$I$1:$L$1,0),FALSE),IF(VLOOKUP($F52,'Table Output'!$A$1:$H$9998,8,FALSE)="Clay",VLOOKUP(U$37,BoundParameters_HiddenSheetCLAY!$I$3:$L$50,MATCH(VLOOKUP($K87,$K$5:$AL$34,MATCH(VLOOKUP(U$37,$BJ$3:$BK$50,2,FALSE),$K$4:$AL$4,0),FALSE),BoundParameters_HiddenSheetCLAY!$I$1:$L$1,0),FALSE))),'Control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F88" si="63">E53</f>
        <v/>
      </c>
      <c r="F88" s="2" t="str">
        <f t="shared" si="63"/>
        <v/>
      </c>
      <c r="K88" s="5" t="str">
        <f t="shared" si="49"/>
        <v/>
      </c>
      <c r="L88" s="28" t="str">
        <f>IF($K88="","",IF(L$37="","",IF('Control Panel'!L88="",IF(VLOOKUP($F53,'Table Output'!$A$1:$H$99998,8,FALSE)="Sand",VLOOKUP(L$37,BoundParameters_HiddenSheetSAND!$I$3:$L$50,MATCH(VLOOKUP($K88,$K$5:$AL$34,MATCH(VLOOKUP(L$37,$BJ$3:$BK$50,2,FALSE),$K$4:$AL$4,0),FALSE),BoundParameters_HiddenSheetCLAY!$I$1:$L$1,0),FALSE),IF(VLOOKUP($F53,'Table Output'!$A$1:$H$9998,8,FALSE)="Clay",VLOOKUP(L$37,BoundParameters_HiddenSheetCLAY!$I$3:$L$50,MATCH(VLOOKUP($K88,$K$5:$AL$34,MATCH(VLOOKUP(L$37,$BJ$3:$BK$50,2,FALSE),$K$4:$AL$4,0),FALSE),BoundParameters_HiddenSheetCLAY!$I$1:$L$1,0),FALSE))),'Control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8" t="str">
        <f>IF($K88="","",IF(M$37="","",IF('Control Panel'!M88="",IF(VLOOKUP($F53,'Table Output'!$A$1:$H$99998,8,FALSE)="Sand",VLOOKUP(M$37,BoundParameters_HiddenSheetSAND!$I$3:$L$50,MATCH(VLOOKUP($K88,$K$5:$AL$34,MATCH(VLOOKUP(M$37,$BJ$3:$BK$50,2,FALSE),$K$4:$AL$4,0),FALSE),BoundParameters_HiddenSheetCLAY!$I$1:$L$1,0),FALSE),IF(VLOOKUP($F53,'Table Output'!$A$1:$H$9998,8,FALSE)="Clay",VLOOKUP(M$37,BoundParameters_HiddenSheetCLAY!$I$3:$L$50,MATCH(VLOOKUP($K88,$K$5:$AL$34,MATCH(VLOOKUP(M$37,$BJ$3:$BK$50,2,FALSE),$K$4:$AL$4,0),FALSE),BoundParameters_HiddenSheetCLAY!$I$1:$L$1,0),FALSE))),'Control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8" t="str">
        <f>IF($K88="","",IF(N$37="","",IF('Control Panel'!N88="",IF(VLOOKUP($F53,'Table Output'!$A$1:$H$99998,8,FALSE)="Sand",VLOOKUP(N$37,BoundParameters_HiddenSheetSAND!$I$3:$L$50,MATCH(VLOOKUP($K88,$K$5:$AL$34,MATCH(VLOOKUP(N$37,$BJ$3:$BK$50,2,FALSE),$K$4:$AL$4,0),FALSE),BoundParameters_HiddenSheetCLAY!$I$1:$L$1,0),FALSE),IF(VLOOKUP($F53,'Table Output'!$A$1:$H$9998,8,FALSE)="Clay",VLOOKUP(N$37,BoundParameters_HiddenSheetCLAY!$I$3:$L$50,MATCH(VLOOKUP($K88,$K$5:$AL$34,MATCH(VLOOKUP(N$37,$BJ$3:$BK$50,2,FALSE),$K$4:$AL$4,0),FALSE),BoundParameters_HiddenSheetCLAY!$I$1:$L$1,0),FALSE))),'Control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8" t="str">
        <f>IF($K88="","",IF(O$37="","",IF('Control Panel'!O88="",IF(VLOOKUP($F53,'Table Output'!$A$1:$H$99998,8,FALSE)="Sand",VLOOKUP(O$37,BoundParameters_HiddenSheetSAND!$I$3:$L$50,MATCH(VLOOKUP($K88,$K$5:$AL$34,MATCH(VLOOKUP(O$37,$BJ$3:$BK$50,2,FALSE),$K$4:$AL$4,0),FALSE),BoundParameters_HiddenSheetCLAY!$I$1:$L$1,0),FALSE),IF(VLOOKUP($F53,'Table Output'!$A$1:$H$9998,8,FALSE)="Clay",VLOOKUP(O$37,BoundParameters_HiddenSheetCLAY!$I$3:$L$50,MATCH(VLOOKUP($K88,$K$5:$AL$34,MATCH(VLOOKUP(O$37,$BJ$3:$BK$50,2,FALSE),$K$4:$AL$4,0),FALSE),BoundParameters_HiddenSheetCLAY!$I$1:$L$1,0),FALSE))),'Control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8" t="str">
        <f>IF($K88="","",IF(P$37="","",IF('Control Panel'!P88="",IF(VLOOKUP($F53,'Table Output'!$A$1:$H$99998,8,FALSE)="Sand",VLOOKUP(P$37,BoundParameters_HiddenSheetSAND!$I$3:$L$50,MATCH(VLOOKUP($K88,$K$5:$AL$34,MATCH(VLOOKUP(P$37,$BJ$3:$BK$50,2,FALSE),$K$4:$AL$4,0),FALSE),BoundParameters_HiddenSheetCLAY!$I$1:$L$1,0),FALSE),IF(VLOOKUP($F53,'Table Output'!$A$1:$H$9998,8,FALSE)="Clay",VLOOKUP(P$37,BoundParameters_HiddenSheetCLAY!$I$3:$L$50,MATCH(VLOOKUP($K88,$K$5:$AL$34,MATCH(VLOOKUP(P$37,$BJ$3:$BK$50,2,FALSE),$K$4:$AL$4,0),FALSE),BoundParameters_HiddenSheetCLAY!$I$1:$L$1,0),FALSE))),'Control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8" t="str">
        <f>IF($K88="","",IF(Q$37="","",IF('Control Panel'!Q88="",IF(VLOOKUP($F53,'Table Output'!$A$1:$H$99998,8,FALSE)="Sand",VLOOKUP(Q$37,BoundParameters_HiddenSheetSAND!$I$3:$L$50,MATCH(VLOOKUP($K88,$K$5:$AL$34,MATCH(VLOOKUP(Q$37,$BJ$3:$BK$50,2,FALSE),$K$4:$AL$4,0),FALSE),BoundParameters_HiddenSheetCLAY!$I$1:$L$1,0),FALSE),IF(VLOOKUP($F53,'Table Output'!$A$1:$H$9998,8,FALSE)="Clay",VLOOKUP(Q$37,BoundParameters_HiddenSheetCLAY!$I$3:$L$50,MATCH(VLOOKUP($K88,$K$5:$AL$34,MATCH(VLOOKUP(Q$37,$BJ$3:$BK$50,2,FALSE),$K$4:$AL$4,0),FALSE),BoundParameters_HiddenSheetCLAY!$I$1:$L$1,0),FALSE))),'Control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8" t="str">
        <f>IF($K88="","",IF(R$37="","",IF('Control Panel'!R88="",IF(VLOOKUP($F53,'Table Output'!$A$1:$H$99998,8,FALSE)="Sand",VLOOKUP(R$37,BoundParameters_HiddenSheetSAND!$I$3:$L$50,MATCH(VLOOKUP($K88,$K$5:$AL$34,MATCH(VLOOKUP(R$37,$BJ$3:$BK$50,2,FALSE),$K$4:$AL$4,0),FALSE),BoundParameters_HiddenSheetCLAY!$I$1:$L$1,0),FALSE),IF(VLOOKUP($F53,'Table Output'!$A$1:$H$9998,8,FALSE)="Clay",VLOOKUP(R$37,BoundParameters_HiddenSheetCLAY!$I$3:$L$50,MATCH(VLOOKUP($K88,$K$5:$AL$34,MATCH(VLOOKUP(R$37,$BJ$3:$BK$50,2,FALSE),$K$4:$AL$4,0),FALSE),BoundParameters_HiddenSheetCLAY!$I$1:$L$1,0),FALSE))),'Control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8" t="str">
        <f>IF($K88="","",IF(S$37="","",IF('Control Panel'!S88="",IF(VLOOKUP($F53,'Table Output'!$A$1:$H$99998,8,FALSE)="Sand",VLOOKUP(S$37,BoundParameters_HiddenSheetSAND!$I$3:$L$50,MATCH(VLOOKUP($K88,$K$5:$AL$34,MATCH(VLOOKUP(S$37,$BJ$3:$BK$50,2,FALSE),$K$4:$AL$4,0),FALSE),BoundParameters_HiddenSheetCLAY!$I$1:$L$1,0),FALSE),IF(VLOOKUP($F53,'Table Output'!$A$1:$H$9998,8,FALSE)="Clay",VLOOKUP(S$37,BoundParameters_HiddenSheetCLAY!$I$3:$L$50,MATCH(VLOOKUP($K88,$K$5:$AL$34,MATCH(VLOOKUP(S$37,$BJ$3:$BK$50,2,FALSE),$K$4:$AL$4,0),FALSE),BoundParameters_HiddenSheetCLAY!$I$1:$L$1,0),FALSE))),'Control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8" t="str">
        <f>IF($K88="","",IF(T$37="","",IF('Control Panel'!T88="",IF(VLOOKUP($F53,'Table Output'!$A$1:$H$99998,8,FALSE)="Sand",VLOOKUP(T$37,BoundParameters_HiddenSheetSAND!$I$3:$L$50,MATCH(VLOOKUP($K88,$K$5:$AL$34,MATCH(VLOOKUP(T$37,$BJ$3:$BK$50,2,FALSE),$K$4:$AL$4,0),FALSE),BoundParameters_HiddenSheetCLAY!$I$1:$L$1,0),FALSE),IF(VLOOKUP($F53,'Table Output'!$A$1:$H$9998,8,FALSE)="Clay",VLOOKUP(T$37,BoundParameters_HiddenSheetCLAY!$I$3:$L$50,MATCH(VLOOKUP($K88,$K$5:$AL$34,MATCH(VLOOKUP(T$37,$BJ$3:$BK$50,2,FALSE),$K$4:$AL$4,0),FALSE),BoundParameters_HiddenSheetCLAY!$I$1:$L$1,0),FALSE))),'Control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8" t="str">
        <f>IF($K88="","",IF(U$37="","",IF('Control Panel'!U88="",IF(VLOOKUP($F53,'Table Output'!$A$1:$H$99998,8,FALSE)="Sand",VLOOKUP(U$37,BoundParameters_HiddenSheetSAND!$I$3:$L$50,MATCH(VLOOKUP($K88,$K$5:$AL$34,MATCH(VLOOKUP(U$37,$BJ$3:$BK$50,2,FALSE),$K$4:$AL$4,0),FALSE),BoundParameters_HiddenSheetCLAY!$I$1:$L$1,0),FALSE),IF(VLOOKUP($F53,'Table Output'!$A$1:$H$9998,8,FALSE)="Clay",VLOOKUP(U$37,BoundParameters_HiddenSheetCLAY!$I$3:$L$50,MATCH(VLOOKUP($K88,$K$5:$AL$34,MATCH(VLOOKUP(U$37,$BJ$3:$BK$50,2,FALSE),$K$4:$AL$4,0),FALSE),BoundParameters_HiddenSheetCLAY!$I$1:$L$1,0),FALSE))),'Control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5" t="str">
        <f t="shared" si="49"/>
        <v/>
      </c>
      <c r="L89" s="28" t="str">
        <f>IF($K89="","",IF(L$37="","",IF('Control Panel'!L89="",IF(VLOOKUP($F54,'Table Output'!$A$1:$H$99998,8,FALSE)="Sand",VLOOKUP(L$37,BoundParameters_HiddenSheetSAND!$I$3:$L$50,MATCH(VLOOKUP($K89,$K$5:$AL$34,MATCH(VLOOKUP(L$37,$BJ$3:$BK$50,2,FALSE),$K$4:$AL$4,0),FALSE),BoundParameters_HiddenSheetCLAY!$I$1:$L$1,0),FALSE),IF(VLOOKUP($F54,'Table Output'!$A$1:$H$9998,8,FALSE)="Clay",VLOOKUP(L$37,BoundParameters_HiddenSheetCLAY!$I$3:$L$50,MATCH(VLOOKUP($K89,$K$5:$AL$34,MATCH(VLOOKUP(L$37,$BJ$3:$BK$50,2,FALSE),$K$4:$AL$4,0),FALSE),BoundParameters_HiddenSheetCLAY!$I$1:$L$1,0),FALSE))),'Control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8" t="str">
        <f>IF($K89="","",IF(M$37="","",IF('Control Panel'!M89="",IF(VLOOKUP($F54,'Table Output'!$A$1:$H$99998,8,FALSE)="Sand",VLOOKUP(M$37,BoundParameters_HiddenSheetSAND!$I$3:$L$50,MATCH(VLOOKUP($K89,$K$5:$AL$34,MATCH(VLOOKUP(M$37,$BJ$3:$BK$50,2,FALSE),$K$4:$AL$4,0),FALSE),BoundParameters_HiddenSheetCLAY!$I$1:$L$1,0),FALSE),IF(VLOOKUP($F54,'Table Output'!$A$1:$H$9998,8,FALSE)="Clay",VLOOKUP(M$37,BoundParameters_HiddenSheetCLAY!$I$3:$L$50,MATCH(VLOOKUP($K89,$K$5:$AL$34,MATCH(VLOOKUP(M$37,$BJ$3:$BK$50,2,FALSE),$K$4:$AL$4,0),FALSE),BoundParameters_HiddenSheetCLAY!$I$1:$L$1,0),FALSE))),'Control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8" t="str">
        <f>IF($K89="","",IF(N$37="","",IF('Control Panel'!N89="",IF(VLOOKUP($F54,'Table Output'!$A$1:$H$99998,8,FALSE)="Sand",VLOOKUP(N$37,BoundParameters_HiddenSheetSAND!$I$3:$L$50,MATCH(VLOOKUP($K89,$K$5:$AL$34,MATCH(VLOOKUP(N$37,$BJ$3:$BK$50,2,FALSE),$K$4:$AL$4,0),FALSE),BoundParameters_HiddenSheetCLAY!$I$1:$L$1,0),FALSE),IF(VLOOKUP($F54,'Table Output'!$A$1:$H$9998,8,FALSE)="Clay",VLOOKUP(N$37,BoundParameters_HiddenSheetCLAY!$I$3:$L$50,MATCH(VLOOKUP($K89,$K$5:$AL$34,MATCH(VLOOKUP(N$37,$BJ$3:$BK$50,2,FALSE),$K$4:$AL$4,0),FALSE),BoundParameters_HiddenSheetCLAY!$I$1:$L$1,0),FALSE))),'Control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8" t="str">
        <f>IF($K89="","",IF(O$37="","",IF('Control Panel'!O89="",IF(VLOOKUP($F54,'Table Output'!$A$1:$H$99998,8,FALSE)="Sand",VLOOKUP(O$37,BoundParameters_HiddenSheetSAND!$I$3:$L$50,MATCH(VLOOKUP($K89,$K$5:$AL$34,MATCH(VLOOKUP(O$37,$BJ$3:$BK$50,2,FALSE),$K$4:$AL$4,0),FALSE),BoundParameters_HiddenSheetCLAY!$I$1:$L$1,0),FALSE),IF(VLOOKUP($F54,'Table Output'!$A$1:$H$9998,8,FALSE)="Clay",VLOOKUP(O$37,BoundParameters_HiddenSheetCLAY!$I$3:$L$50,MATCH(VLOOKUP($K89,$K$5:$AL$34,MATCH(VLOOKUP(O$37,$BJ$3:$BK$50,2,FALSE),$K$4:$AL$4,0),FALSE),BoundParameters_HiddenSheetCLAY!$I$1:$L$1,0),FALSE))),'Control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8" t="str">
        <f>IF($K89="","",IF(P$37="","",IF('Control Panel'!P89="",IF(VLOOKUP($F54,'Table Output'!$A$1:$H$99998,8,FALSE)="Sand",VLOOKUP(P$37,BoundParameters_HiddenSheetSAND!$I$3:$L$50,MATCH(VLOOKUP($K89,$K$5:$AL$34,MATCH(VLOOKUP(P$37,$BJ$3:$BK$50,2,FALSE),$K$4:$AL$4,0),FALSE),BoundParameters_HiddenSheetCLAY!$I$1:$L$1,0),FALSE),IF(VLOOKUP($F54,'Table Output'!$A$1:$H$9998,8,FALSE)="Clay",VLOOKUP(P$37,BoundParameters_HiddenSheetCLAY!$I$3:$L$50,MATCH(VLOOKUP($K89,$K$5:$AL$34,MATCH(VLOOKUP(P$37,$BJ$3:$BK$50,2,FALSE),$K$4:$AL$4,0),FALSE),BoundParameters_HiddenSheetCLAY!$I$1:$L$1,0),FALSE))),'Control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8" t="str">
        <f>IF($K89="","",IF(Q$37="","",IF('Control Panel'!Q89="",IF(VLOOKUP($F54,'Table Output'!$A$1:$H$99998,8,FALSE)="Sand",VLOOKUP(Q$37,BoundParameters_HiddenSheetSAND!$I$3:$L$50,MATCH(VLOOKUP($K89,$K$5:$AL$34,MATCH(VLOOKUP(Q$37,$BJ$3:$BK$50,2,FALSE),$K$4:$AL$4,0),FALSE),BoundParameters_HiddenSheetCLAY!$I$1:$L$1,0),FALSE),IF(VLOOKUP($F54,'Table Output'!$A$1:$H$9998,8,FALSE)="Clay",VLOOKUP(Q$37,BoundParameters_HiddenSheetCLAY!$I$3:$L$50,MATCH(VLOOKUP($K89,$K$5:$AL$34,MATCH(VLOOKUP(Q$37,$BJ$3:$BK$50,2,FALSE),$K$4:$AL$4,0),FALSE),BoundParameters_HiddenSheetCLAY!$I$1:$L$1,0),FALSE))),'Control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8" t="str">
        <f>IF($K89="","",IF(R$37="","",IF('Control Panel'!R89="",IF(VLOOKUP($F54,'Table Output'!$A$1:$H$99998,8,FALSE)="Sand",VLOOKUP(R$37,BoundParameters_HiddenSheetSAND!$I$3:$L$50,MATCH(VLOOKUP($K89,$K$5:$AL$34,MATCH(VLOOKUP(R$37,$BJ$3:$BK$50,2,FALSE),$K$4:$AL$4,0),FALSE),BoundParameters_HiddenSheetCLAY!$I$1:$L$1,0),FALSE),IF(VLOOKUP($F54,'Table Output'!$A$1:$H$9998,8,FALSE)="Clay",VLOOKUP(R$37,BoundParameters_HiddenSheetCLAY!$I$3:$L$50,MATCH(VLOOKUP($K89,$K$5:$AL$34,MATCH(VLOOKUP(R$37,$BJ$3:$BK$50,2,FALSE),$K$4:$AL$4,0),FALSE),BoundParameters_HiddenSheetCLAY!$I$1:$L$1,0),FALSE))),'Control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8" t="str">
        <f>IF($K89="","",IF(S$37="","",IF('Control Panel'!S89="",IF(VLOOKUP($F54,'Table Output'!$A$1:$H$99998,8,FALSE)="Sand",VLOOKUP(S$37,BoundParameters_HiddenSheetSAND!$I$3:$L$50,MATCH(VLOOKUP($K89,$K$5:$AL$34,MATCH(VLOOKUP(S$37,$BJ$3:$BK$50,2,FALSE),$K$4:$AL$4,0),FALSE),BoundParameters_HiddenSheetCLAY!$I$1:$L$1,0),FALSE),IF(VLOOKUP($F54,'Table Output'!$A$1:$H$9998,8,FALSE)="Clay",VLOOKUP(S$37,BoundParameters_HiddenSheetCLAY!$I$3:$L$50,MATCH(VLOOKUP($K89,$K$5:$AL$34,MATCH(VLOOKUP(S$37,$BJ$3:$BK$50,2,FALSE),$K$4:$AL$4,0),FALSE),BoundParameters_HiddenSheetCLAY!$I$1:$L$1,0),FALSE))),'Control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8" t="str">
        <f>IF($K89="","",IF(T$37="","",IF('Control Panel'!T89="",IF(VLOOKUP($F54,'Table Output'!$A$1:$H$99998,8,FALSE)="Sand",VLOOKUP(T$37,BoundParameters_HiddenSheetSAND!$I$3:$L$50,MATCH(VLOOKUP($K89,$K$5:$AL$34,MATCH(VLOOKUP(T$37,$BJ$3:$BK$50,2,FALSE),$K$4:$AL$4,0),FALSE),BoundParameters_HiddenSheetCLAY!$I$1:$L$1,0),FALSE),IF(VLOOKUP($F54,'Table Output'!$A$1:$H$9998,8,FALSE)="Clay",VLOOKUP(T$37,BoundParameters_HiddenSheetCLAY!$I$3:$L$50,MATCH(VLOOKUP($K89,$K$5:$AL$34,MATCH(VLOOKUP(T$37,$BJ$3:$BK$50,2,FALSE),$K$4:$AL$4,0),FALSE),BoundParameters_HiddenSheetCLAY!$I$1:$L$1,0),FALSE))),'Control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8" t="str">
        <f>IF($K89="","",IF(U$37="","",IF('Control Panel'!U89="",IF(VLOOKUP($F54,'Table Output'!$A$1:$H$99998,8,FALSE)="Sand",VLOOKUP(U$37,BoundParameters_HiddenSheetSAND!$I$3:$L$50,MATCH(VLOOKUP($K89,$K$5:$AL$34,MATCH(VLOOKUP(U$37,$BJ$3:$BK$50,2,FALSE),$K$4:$AL$4,0),FALSE),BoundParameters_HiddenSheetCLAY!$I$1:$L$1,0),FALSE),IF(VLOOKUP($F54,'Table Output'!$A$1:$H$9998,8,FALSE)="Clay",VLOOKUP(U$37,BoundParameters_HiddenSheetCLAY!$I$3:$L$50,MATCH(VLOOKUP($K89,$K$5:$AL$34,MATCH(VLOOKUP(U$37,$BJ$3:$BK$50,2,FALSE),$K$4:$AL$4,0),FALSE),BoundParameters_HiddenSheetCLAY!$I$1:$L$1,0),FALSE))),'Control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5" t="str">
        <f t="shared" ref="K90" si="66">K55</f>
        <v/>
      </c>
      <c r="L90" s="28" t="str">
        <f>IF($K90="","",IF(L$37="","",IF('Control Panel'!L90="",IF(VLOOKUP($F55,'Table Output'!$A$1:$H$99998,8,FALSE)="Sand",VLOOKUP(L$37,BoundParameters_HiddenSheetSAND!$I$3:$L$50,MATCH(VLOOKUP($K90,$K$5:$AL$34,MATCH(VLOOKUP(L$37,$BJ$3:$BK$50,2,FALSE),$K$4:$AL$4,0),FALSE),BoundParameters_HiddenSheetCLAY!$I$1:$L$1,0),FALSE),IF(VLOOKUP($F55,'Table Output'!$A$1:$H$9998,8,FALSE)="Clay",VLOOKUP(L$37,BoundParameters_HiddenSheetCLAY!$I$3:$L$50,MATCH(VLOOKUP($K90,$K$5:$AL$34,MATCH(VLOOKUP(L$37,$BJ$3:$BK$50,2,FALSE),$K$4:$AL$4,0),FALSE),BoundParameters_HiddenSheetCLAY!$I$1:$L$1,0),FALSE))),'Control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8" t="str">
        <f>IF($K90="","",IF(M$37="","",IF('Control Panel'!M90="",IF(VLOOKUP($F55,'Table Output'!$A$1:$H$99998,8,FALSE)="Sand",VLOOKUP(M$37,BoundParameters_HiddenSheetSAND!$I$3:$L$50,MATCH(VLOOKUP($K90,$K$5:$AL$34,MATCH(VLOOKUP(M$37,$BJ$3:$BK$50,2,FALSE),$K$4:$AL$4,0),FALSE),BoundParameters_HiddenSheetCLAY!$I$1:$L$1,0),FALSE),IF(VLOOKUP($F55,'Table Output'!$A$1:$H$9998,8,FALSE)="Clay",VLOOKUP(M$37,BoundParameters_HiddenSheetCLAY!$I$3:$L$50,MATCH(VLOOKUP($K90,$K$5:$AL$34,MATCH(VLOOKUP(M$37,$BJ$3:$BK$50,2,FALSE),$K$4:$AL$4,0),FALSE),BoundParameters_HiddenSheetCLAY!$I$1:$L$1,0),FALSE))),'Control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8" t="str">
        <f>IF($K90="","",IF(N$37="","",IF('Control Panel'!N90="",IF(VLOOKUP($F55,'Table Output'!$A$1:$H$99998,8,FALSE)="Sand",VLOOKUP(N$37,BoundParameters_HiddenSheetSAND!$I$3:$L$50,MATCH(VLOOKUP($K90,$K$5:$AL$34,MATCH(VLOOKUP(N$37,$BJ$3:$BK$50,2,FALSE),$K$4:$AL$4,0),FALSE),BoundParameters_HiddenSheetCLAY!$I$1:$L$1,0),FALSE),IF(VLOOKUP($F55,'Table Output'!$A$1:$H$9998,8,FALSE)="Clay",VLOOKUP(N$37,BoundParameters_HiddenSheetCLAY!$I$3:$L$50,MATCH(VLOOKUP($K90,$K$5:$AL$34,MATCH(VLOOKUP(N$37,$BJ$3:$BK$50,2,FALSE),$K$4:$AL$4,0),FALSE),BoundParameters_HiddenSheetCLAY!$I$1:$L$1,0),FALSE))),'Control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8" t="str">
        <f>IF($K90="","",IF(O$37="","",IF('Control Panel'!O90="",IF(VLOOKUP($F55,'Table Output'!$A$1:$H$99998,8,FALSE)="Sand",VLOOKUP(O$37,BoundParameters_HiddenSheetSAND!$I$3:$L$50,MATCH(VLOOKUP($K90,$K$5:$AL$34,MATCH(VLOOKUP(O$37,$BJ$3:$BK$50,2,FALSE),$K$4:$AL$4,0),FALSE),BoundParameters_HiddenSheetCLAY!$I$1:$L$1,0),FALSE),IF(VLOOKUP($F55,'Table Output'!$A$1:$H$9998,8,FALSE)="Clay",VLOOKUP(O$37,BoundParameters_HiddenSheetCLAY!$I$3:$L$50,MATCH(VLOOKUP($K90,$K$5:$AL$34,MATCH(VLOOKUP(O$37,$BJ$3:$BK$50,2,FALSE),$K$4:$AL$4,0),FALSE),BoundParameters_HiddenSheetCLAY!$I$1:$L$1,0),FALSE))),'Control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8" t="str">
        <f>IF($K90="","",IF(P$37="","",IF('Control Panel'!P90="",IF(VLOOKUP($F55,'Table Output'!$A$1:$H$99998,8,FALSE)="Sand",VLOOKUP(P$37,BoundParameters_HiddenSheetSAND!$I$3:$L$50,MATCH(VLOOKUP($K90,$K$5:$AL$34,MATCH(VLOOKUP(P$37,$BJ$3:$BK$50,2,FALSE),$K$4:$AL$4,0),FALSE),BoundParameters_HiddenSheetCLAY!$I$1:$L$1,0),FALSE),IF(VLOOKUP($F55,'Table Output'!$A$1:$H$9998,8,FALSE)="Clay",VLOOKUP(P$37,BoundParameters_HiddenSheetCLAY!$I$3:$L$50,MATCH(VLOOKUP($K90,$K$5:$AL$34,MATCH(VLOOKUP(P$37,$BJ$3:$BK$50,2,FALSE),$K$4:$AL$4,0),FALSE),BoundParameters_HiddenSheetCLAY!$I$1:$L$1,0),FALSE))),'Control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8" t="str">
        <f>IF($K90="","",IF(Q$37="","",IF('Control Panel'!Q90="",IF(VLOOKUP($F55,'Table Output'!$A$1:$H$99998,8,FALSE)="Sand",VLOOKUP(Q$37,BoundParameters_HiddenSheetSAND!$I$3:$L$50,MATCH(VLOOKUP($K90,$K$5:$AL$34,MATCH(VLOOKUP(Q$37,$BJ$3:$BK$50,2,FALSE),$K$4:$AL$4,0),FALSE),BoundParameters_HiddenSheetCLAY!$I$1:$L$1,0),FALSE),IF(VLOOKUP($F55,'Table Output'!$A$1:$H$9998,8,FALSE)="Clay",VLOOKUP(Q$37,BoundParameters_HiddenSheetCLAY!$I$3:$L$50,MATCH(VLOOKUP($K90,$K$5:$AL$34,MATCH(VLOOKUP(Q$37,$BJ$3:$BK$50,2,FALSE),$K$4:$AL$4,0),FALSE),BoundParameters_HiddenSheetCLAY!$I$1:$L$1,0),FALSE))),'Control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8" t="str">
        <f>IF($K90="","",IF(R$37="","",IF('Control Panel'!R90="",IF(VLOOKUP($F55,'Table Output'!$A$1:$H$99998,8,FALSE)="Sand",VLOOKUP(R$37,BoundParameters_HiddenSheetSAND!$I$3:$L$50,MATCH(VLOOKUP($K90,$K$5:$AL$34,MATCH(VLOOKUP(R$37,$BJ$3:$BK$50,2,FALSE),$K$4:$AL$4,0),FALSE),BoundParameters_HiddenSheetCLAY!$I$1:$L$1,0),FALSE),IF(VLOOKUP($F55,'Table Output'!$A$1:$H$9998,8,FALSE)="Clay",VLOOKUP(R$37,BoundParameters_HiddenSheetCLAY!$I$3:$L$50,MATCH(VLOOKUP($K90,$K$5:$AL$34,MATCH(VLOOKUP(R$37,$BJ$3:$BK$50,2,FALSE),$K$4:$AL$4,0),FALSE),BoundParameters_HiddenSheetCLAY!$I$1:$L$1,0),FALSE))),'Control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8" t="str">
        <f>IF($K90="","",IF(S$37="","",IF('Control Panel'!S90="",IF(VLOOKUP($F55,'Table Output'!$A$1:$H$99998,8,FALSE)="Sand",VLOOKUP(S$37,BoundParameters_HiddenSheetSAND!$I$3:$L$50,MATCH(VLOOKUP($K90,$K$5:$AL$34,MATCH(VLOOKUP(S$37,$BJ$3:$BK$50,2,FALSE),$K$4:$AL$4,0),FALSE),BoundParameters_HiddenSheetCLAY!$I$1:$L$1,0),FALSE),IF(VLOOKUP($F55,'Table Output'!$A$1:$H$9998,8,FALSE)="Clay",VLOOKUP(S$37,BoundParameters_HiddenSheetCLAY!$I$3:$L$50,MATCH(VLOOKUP($K90,$K$5:$AL$34,MATCH(VLOOKUP(S$37,$BJ$3:$BK$50,2,FALSE),$K$4:$AL$4,0),FALSE),BoundParameters_HiddenSheetCLAY!$I$1:$L$1,0),FALSE))),'Control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8" t="str">
        <f>IF($K90="","",IF(T$37="","",IF('Control Panel'!T90="",IF(VLOOKUP($F55,'Table Output'!$A$1:$H$99998,8,FALSE)="Sand",VLOOKUP(T$37,BoundParameters_HiddenSheetSAND!$I$3:$L$50,MATCH(VLOOKUP($K90,$K$5:$AL$34,MATCH(VLOOKUP(T$37,$BJ$3:$BK$50,2,FALSE),$K$4:$AL$4,0),FALSE),BoundParameters_HiddenSheetCLAY!$I$1:$L$1,0),FALSE),IF(VLOOKUP($F55,'Table Output'!$A$1:$H$9998,8,FALSE)="Clay",VLOOKUP(T$37,BoundParameters_HiddenSheetCLAY!$I$3:$L$50,MATCH(VLOOKUP($K90,$K$5:$AL$34,MATCH(VLOOKUP(T$37,$BJ$3:$BK$50,2,FALSE),$K$4:$AL$4,0),FALSE),BoundParameters_HiddenSheetCLAY!$I$1:$L$1,0),FALSE))),'Control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8" t="str">
        <f>IF($K90="","",IF(U$37="","",IF('Control Panel'!U90="",IF(VLOOKUP($F55,'Table Output'!$A$1:$H$99998,8,FALSE)="Sand",VLOOKUP(U$37,BoundParameters_HiddenSheetSAND!$I$3:$L$50,MATCH(VLOOKUP($K90,$K$5:$AL$34,MATCH(VLOOKUP(U$37,$BJ$3:$BK$50,2,FALSE),$K$4:$AL$4,0),FALSE),BoundParameters_HiddenSheetCLAY!$I$1:$L$1,0),FALSE),IF(VLOOKUP($F55,'Table Output'!$A$1:$H$9998,8,FALSE)="Clay",VLOOKUP(U$37,BoundParameters_HiddenSheetCLAY!$I$3:$L$50,MATCH(VLOOKUP($K90,$K$5:$AL$34,MATCH(VLOOKUP(U$37,$BJ$3:$BK$50,2,FALSE),$K$4:$AL$4,0),FALSE),BoundParameters_HiddenSheetCLAY!$I$1:$L$1,0),FALSE))),'Control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5" t="str">
        <f t="shared" ref="K91:K97" si="68">K56</f>
        <v/>
      </c>
      <c r="L91" s="28" t="str">
        <f>IF($K91="","",IF(L$37="","",IF('Control Panel'!L91="",IF(VLOOKUP($F56,'Table Output'!$A$1:$H$99998,8,FALSE)="Sand",VLOOKUP(L$37,BoundParameters_HiddenSheetSAND!$I$3:$L$50,MATCH(VLOOKUP($K91,$K$5:$AL$34,MATCH(VLOOKUP(L$37,$BJ$3:$BK$50,2,FALSE),$K$4:$AL$4,0),FALSE),BoundParameters_HiddenSheetCLAY!$I$1:$L$1,0),FALSE),IF(VLOOKUP($F56,'Table Output'!$A$1:$H$9998,8,FALSE)="Clay",VLOOKUP(L$37,BoundParameters_HiddenSheetCLAY!$I$3:$L$50,MATCH(VLOOKUP($K91,$K$5:$AL$34,MATCH(VLOOKUP(L$37,$BJ$3:$BK$50,2,FALSE),$K$4:$AL$4,0),FALSE),BoundParameters_HiddenSheetCLAY!$I$1:$L$1,0),FALSE))),'Control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8" t="str">
        <f>IF($K91="","",IF(M$37="","",IF('Control Panel'!M91="",IF(VLOOKUP($F56,'Table Output'!$A$1:$H$99998,8,FALSE)="Sand",VLOOKUP(M$37,BoundParameters_HiddenSheetSAND!$I$3:$L$50,MATCH(VLOOKUP($K91,$K$5:$AL$34,MATCH(VLOOKUP(M$37,$BJ$3:$BK$50,2,FALSE),$K$4:$AL$4,0),FALSE),BoundParameters_HiddenSheetCLAY!$I$1:$L$1,0),FALSE),IF(VLOOKUP($F56,'Table Output'!$A$1:$H$9998,8,FALSE)="Clay",VLOOKUP(M$37,BoundParameters_HiddenSheetCLAY!$I$3:$L$50,MATCH(VLOOKUP($K91,$K$5:$AL$34,MATCH(VLOOKUP(M$37,$BJ$3:$BK$50,2,FALSE),$K$4:$AL$4,0),FALSE),BoundParameters_HiddenSheetCLAY!$I$1:$L$1,0),FALSE))),'Control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8" t="str">
        <f>IF($K91="","",IF(N$37="","",IF('Control Panel'!N91="",IF(VLOOKUP($F56,'Table Output'!$A$1:$H$99998,8,FALSE)="Sand",VLOOKUP(N$37,BoundParameters_HiddenSheetSAND!$I$3:$L$50,MATCH(VLOOKUP($K91,$K$5:$AL$34,MATCH(VLOOKUP(N$37,$BJ$3:$BK$50,2,FALSE),$K$4:$AL$4,0),FALSE),BoundParameters_HiddenSheetCLAY!$I$1:$L$1,0),FALSE),IF(VLOOKUP($F56,'Table Output'!$A$1:$H$9998,8,FALSE)="Clay",VLOOKUP(N$37,BoundParameters_HiddenSheetCLAY!$I$3:$L$50,MATCH(VLOOKUP($K91,$K$5:$AL$34,MATCH(VLOOKUP(N$37,$BJ$3:$BK$50,2,FALSE),$K$4:$AL$4,0),FALSE),BoundParameters_HiddenSheetCLAY!$I$1:$L$1,0),FALSE))),'Control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8" t="str">
        <f>IF($K91="","",IF(O$37="","",IF('Control Panel'!O91="",IF(VLOOKUP($F56,'Table Output'!$A$1:$H$99998,8,FALSE)="Sand",VLOOKUP(O$37,BoundParameters_HiddenSheetSAND!$I$3:$L$50,MATCH(VLOOKUP($K91,$K$5:$AL$34,MATCH(VLOOKUP(O$37,$BJ$3:$BK$50,2,FALSE),$K$4:$AL$4,0),FALSE),BoundParameters_HiddenSheetCLAY!$I$1:$L$1,0),FALSE),IF(VLOOKUP($F56,'Table Output'!$A$1:$H$9998,8,FALSE)="Clay",VLOOKUP(O$37,BoundParameters_HiddenSheetCLAY!$I$3:$L$50,MATCH(VLOOKUP($K91,$K$5:$AL$34,MATCH(VLOOKUP(O$37,$BJ$3:$BK$50,2,FALSE),$K$4:$AL$4,0),FALSE),BoundParameters_HiddenSheetCLAY!$I$1:$L$1,0),FALSE))),'Control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8" t="str">
        <f>IF($K91="","",IF(P$37="","",IF('Control Panel'!P91="",IF(VLOOKUP($F56,'Table Output'!$A$1:$H$99998,8,FALSE)="Sand",VLOOKUP(P$37,BoundParameters_HiddenSheetSAND!$I$3:$L$50,MATCH(VLOOKUP($K91,$K$5:$AL$34,MATCH(VLOOKUP(P$37,$BJ$3:$BK$50,2,FALSE),$K$4:$AL$4,0),FALSE),BoundParameters_HiddenSheetCLAY!$I$1:$L$1,0),FALSE),IF(VLOOKUP($F56,'Table Output'!$A$1:$H$9998,8,FALSE)="Clay",VLOOKUP(P$37,BoundParameters_HiddenSheetCLAY!$I$3:$L$50,MATCH(VLOOKUP($K91,$K$5:$AL$34,MATCH(VLOOKUP(P$37,$BJ$3:$BK$50,2,FALSE),$K$4:$AL$4,0),FALSE),BoundParameters_HiddenSheetCLAY!$I$1:$L$1,0),FALSE))),'Control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8" t="str">
        <f>IF($K91="","",IF(Q$37="","",IF('Control Panel'!Q91="",IF(VLOOKUP($F56,'Table Output'!$A$1:$H$99998,8,FALSE)="Sand",VLOOKUP(Q$37,BoundParameters_HiddenSheetSAND!$I$3:$L$50,MATCH(VLOOKUP($K91,$K$5:$AL$34,MATCH(VLOOKUP(Q$37,$BJ$3:$BK$50,2,FALSE),$K$4:$AL$4,0),FALSE),BoundParameters_HiddenSheetCLAY!$I$1:$L$1,0),FALSE),IF(VLOOKUP($F56,'Table Output'!$A$1:$H$9998,8,FALSE)="Clay",VLOOKUP(Q$37,BoundParameters_HiddenSheetCLAY!$I$3:$L$50,MATCH(VLOOKUP($K91,$K$5:$AL$34,MATCH(VLOOKUP(Q$37,$BJ$3:$BK$50,2,FALSE),$K$4:$AL$4,0),FALSE),BoundParameters_HiddenSheetCLAY!$I$1:$L$1,0),FALSE))),'Control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8" t="str">
        <f>IF($K91="","",IF(R$37="","",IF('Control Panel'!R91="",IF(VLOOKUP($F56,'Table Output'!$A$1:$H$99998,8,FALSE)="Sand",VLOOKUP(R$37,BoundParameters_HiddenSheetSAND!$I$3:$L$50,MATCH(VLOOKUP($K91,$K$5:$AL$34,MATCH(VLOOKUP(R$37,$BJ$3:$BK$50,2,FALSE),$K$4:$AL$4,0),FALSE),BoundParameters_HiddenSheetCLAY!$I$1:$L$1,0),FALSE),IF(VLOOKUP($F56,'Table Output'!$A$1:$H$9998,8,FALSE)="Clay",VLOOKUP(R$37,BoundParameters_HiddenSheetCLAY!$I$3:$L$50,MATCH(VLOOKUP($K91,$K$5:$AL$34,MATCH(VLOOKUP(R$37,$BJ$3:$BK$50,2,FALSE),$K$4:$AL$4,0),FALSE),BoundParameters_HiddenSheetCLAY!$I$1:$L$1,0),FALSE))),'Control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8" t="str">
        <f>IF($K91="","",IF(S$37="","",IF('Control Panel'!S91="",IF(VLOOKUP($F56,'Table Output'!$A$1:$H$99998,8,FALSE)="Sand",VLOOKUP(S$37,BoundParameters_HiddenSheetSAND!$I$3:$L$50,MATCH(VLOOKUP($K91,$K$5:$AL$34,MATCH(VLOOKUP(S$37,$BJ$3:$BK$50,2,FALSE),$K$4:$AL$4,0),FALSE),BoundParameters_HiddenSheetCLAY!$I$1:$L$1,0),FALSE),IF(VLOOKUP($F56,'Table Output'!$A$1:$H$9998,8,FALSE)="Clay",VLOOKUP(S$37,BoundParameters_HiddenSheetCLAY!$I$3:$L$50,MATCH(VLOOKUP($K91,$K$5:$AL$34,MATCH(VLOOKUP(S$37,$BJ$3:$BK$50,2,FALSE),$K$4:$AL$4,0),FALSE),BoundParameters_HiddenSheetCLAY!$I$1:$L$1,0),FALSE))),'Control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8" t="str">
        <f>IF($K91="","",IF(T$37="","",IF('Control Panel'!T91="",IF(VLOOKUP($F56,'Table Output'!$A$1:$H$99998,8,FALSE)="Sand",VLOOKUP(T$37,BoundParameters_HiddenSheetSAND!$I$3:$L$50,MATCH(VLOOKUP($K91,$K$5:$AL$34,MATCH(VLOOKUP(T$37,$BJ$3:$BK$50,2,FALSE),$K$4:$AL$4,0),FALSE),BoundParameters_HiddenSheetCLAY!$I$1:$L$1,0),FALSE),IF(VLOOKUP($F56,'Table Output'!$A$1:$H$9998,8,FALSE)="Clay",VLOOKUP(T$37,BoundParameters_HiddenSheetCLAY!$I$3:$L$50,MATCH(VLOOKUP($K91,$K$5:$AL$34,MATCH(VLOOKUP(T$37,$BJ$3:$BK$50,2,FALSE),$K$4:$AL$4,0),FALSE),BoundParameters_HiddenSheetCLAY!$I$1:$L$1,0),FALSE))),'Control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8" t="str">
        <f>IF($K91="","",IF(U$37="","",IF('Control Panel'!U91="",IF(VLOOKUP($F56,'Table Output'!$A$1:$H$99998,8,FALSE)="Sand",VLOOKUP(U$37,BoundParameters_HiddenSheetSAND!$I$3:$L$50,MATCH(VLOOKUP($K91,$K$5:$AL$34,MATCH(VLOOKUP(U$37,$BJ$3:$BK$50,2,FALSE),$K$4:$AL$4,0),FALSE),BoundParameters_HiddenSheetCLAY!$I$1:$L$1,0),FALSE),IF(VLOOKUP($F56,'Table Output'!$A$1:$H$9998,8,FALSE)="Clay",VLOOKUP(U$37,BoundParameters_HiddenSheetCLAY!$I$3:$L$50,MATCH(VLOOKUP($K91,$K$5:$AL$34,MATCH(VLOOKUP(U$37,$BJ$3:$BK$50,2,FALSE),$K$4:$AL$4,0),FALSE),BoundParameters_HiddenSheetCLAY!$I$1:$L$1,0),FALSE))),'Control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5" t="str">
        <f t="shared" si="68"/>
        <v/>
      </c>
      <c r="L92" s="28" t="str">
        <f>IF($K92="","",IF(L$37="","",IF('Control Panel'!L92="",IF(VLOOKUP($F57,'Table Output'!$A$1:$H$99998,8,FALSE)="Sand",VLOOKUP(L$37,BoundParameters_HiddenSheetSAND!$I$3:$L$50,MATCH(VLOOKUP($K92,$K$5:$AL$34,MATCH(VLOOKUP(L$37,$BJ$3:$BK$50,2,FALSE),$K$4:$AL$4,0),FALSE),BoundParameters_HiddenSheetCLAY!$I$1:$L$1,0),FALSE),IF(VLOOKUP($F57,'Table Output'!$A$1:$H$9998,8,FALSE)="Clay",VLOOKUP(L$37,BoundParameters_HiddenSheetCLAY!$I$3:$L$50,MATCH(VLOOKUP($K92,$K$5:$AL$34,MATCH(VLOOKUP(L$37,$BJ$3:$BK$50,2,FALSE),$K$4:$AL$4,0),FALSE),BoundParameters_HiddenSheetCLAY!$I$1:$L$1,0),FALSE))),'Control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8" t="str">
        <f>IF($K92="","",IF(M$37="","",IF('Control Panel'!M92="",IF(VLOOKUP($F57,'Table Output'!$A$1:$H$99998,8,FALSE)="Sand",VLOOKUP(M$37,BoundParameters_HiddenSheetSAND!$I$3:$L$50,MATCH(VLOOKUP($K92,$K$5:$AL$34,MATCH(VLOOKUP(M$37,$BJ$3:$BK$50,2,FALSE),$K$4:$AL$4,0),FALSE),BoundParameters_HiddenSheetCLAY!$I$1:$L$1,0),FALSE),IF(VLOOKUP($F57,'Table Output'!$A$1:$H$9998,8,FALSE)="Clay",VLOOKUP(M$37,BoundParameters_HiddenSheetCLAY!$I$3:$L$50,MATCH(VLOOKUP($K92,$K$5:$AL$34,MATCH(VLOOKUP(M$37,$BJ$3:$BK$50,2,FALSE),$K$4:$AL$4,0),FALSE),BoundParameters_HiddenSheetCLAY!$I$1:$L$1,0),FALSE))),'Control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8" t="str">
        <f>IF($K92="","",IF(N$37="","",IF('Control Panel'!N92="",IF(VLOOKUP($F57,'Table Output'!$A$1:$H$99998,8,FALSE)="Sand",VLOOKUP(N$37,BoundParameters_HiddenSheetSAND!$I$3:$L$50,MATCH(VLOOKUP($K92,$K$5:$AL$34,MATCH(VLOOKUP(N$37,$BJ$3:$BK$50,2,FALSE),$K$4:$AL$4,0),FALSE),BoundParameters_HiddenSheetCLAY!$I$1:$L$1,0),FALSE),IF(VLOOKUP($F57,'Table Output'!$A$1:$H$9998,8,FALSE)="Clay",VLOOKUP(N$37,BoundParameters_HiddenSheetCLAY!$I$3:$L$50,MATCH(VLOOKUP($K92,$K$5:$AL$34,MATCH(VLOOKUP(N$37,$BJ$3:$BK$50,2,FALSE),$K$4:$AL$4,0),FALSE),BoundParameters_HiddenSheetCLAY!$I$1:$L$1,0),FALSE))),'Control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8" t="str">
        <f>IF($K92="","",IF(O$37="","",IF('Control Panel'!O92="",IF(VLOOKUP($F57,'Table Output'!$A$1:$H$99998,8,FALSE)="Sand",VLOOKUP(O$37,BoundParameters_HiddenSheetSAND!$I$3:$L$50,MATCH(VLOOKUP($K92,$K$5:$AL$34,MATCH(VLOOKUP(O$37,$BJ$3:$BK$50,2,FALSE),$K$4:$AL$4,0),FALSE),BoundParameters_HiddenSheetCLAY!$I$1:$L$1,0),FALSE),IF(VLOOKUP($F57,'Table Output'!$A$1:$H$9998,8,FALSE)="Clay",VLOOKUP(O$37,BoundParameters_HiddenSheetCLAY!$I$3:$L$50,MATCH(VLOOKUP($K92,$K$5:$AL$34,MATCH(VLOOKUP(O$37,$BJ$3:$BK$50,2,FALSE),$K$4:$AL$4,0),FALSE),BoundParameters_HiddenSheetCLAY!$I$1:$L$1,0),FALSE))),'Control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8" t="str">
        <f>IF($K92="","",IF(P$37="","",IF('Control Panel'!P92="",IF(VLOOKUP($F57,'Table Output'!$A$1:$H$99998,8,FALSE)="Sand",VLOOKUP(P$37,BoundParameters_HiddenSheetSAND!$I$3:$L$50,MATCH(VLOOKUP($K92,$K$5:$AL$34,MATCH(VLOOKUP(P$37,$BJ$3:$BK$50,2,FALSE),$K$4:$AL$4,0),FALSE),BoundParameters_HiddenSheetCLAY!$I$1:$L$1,0),FALSE),IF(VLOOKUP($F57,'Table Output'!$A$1:$H$9998,8,FALSE)="Clay",VLOOKUP(P$37,BoundParameters_HiddenSheetCLAY!$I$3:$L$50,MATCH(VLOOKUP($K92,$K$5:$AL$34,MATCH(VLOOKUP(P$37,$BJ$3:$BK$50,2,FALSE),$K$4:$AL$4,0),FALSE),BoundParameters_HiddenSheetCLAY!$I$1:$L$1,0),FALSE))),'Control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8" t="str">
        <f>IF($K92="","",IF(Q$37="","",IF('Control Panel'!Q92="",IF(VLOOKUP($F57,'Table Output'!$A$1:$H$99998,8,FALSE)="Sand",VLOOKUP(Q$37,BoundParameters_HiddenSheetSAND!$I$3:$L$50,MATCH(VLOOKUP($K92,$K$5:$AL$34,MATCH(VLOOKUP(Q$37,$BJ$3:$BK$50,2,FALSE),$K$4:$AL$4,0),FALSE),BoundParameters_HiddenSheetCLAY!$I$1:$L$1,0),FALSE),IF(VLOOKUP($F57,'Table Output'!$A$1:$H$9998,8,FALSE)="Clay",VLOOKUP(Q$37,BoundParameters_HiddenSheetCLAY!$I$3:$L$50,MATCH(VLOOKUP($K92,$K$5:$AL$34,MATCH(VLOOKUP(Q$37,$BJ$3:$BK$50,2,FALSE),$K$4:$AL$4,0),FALSE),BoundParameters_HiddenSheetCLAY!$I$1:$L$1,0),FALSE))),'Control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8" t="str">
        <f>IF($K92="","",IF(R$37="","",IF('Control Panel'!R92="",IF(VLOOKUP($F57,'Table Output'!$A$1:$H$99998,8,FALSE)="Sand",VLOOKUP(R$37,BoundParameters_HiddenSheetSAND!$I$3:$L$50,MATCH(VLOOKUP($K92,$K$5:$AL$34,MATCH(VLOOKUP(R$37,$BJ$3:$BK$50,2,FALSE),$K$4:$AL$4,0),FALSE),BoundParameters_HiddenSheetCLAY!$I$1:$L$1,0),FALSE),IF(VLOOKUP($F57,'Table Output'!$A$1:$H$9998,8,FALSE)="Clay",VLOOKUP(R$37,BoundParameters_HiddenSheetCLAY!$I$3:$L$50,MATCH(VLOOKUP($K92,$K$5:$AL$34,MATCH(VLOOKUP(R$37,$BJ$3:$BK$50,2,FALSE),$K$4:$AL$4,0),FALSE),BoundParameters_HiddenSheetCLAY!$I$1:$L$1,0),FALSE))),'Control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8" t="str">
        <f>IF($K92="","",IF(S$37="","",IF('Control Panel'!S92="",IF(VLOOKUP($F57,'Table Output'!$A$1:$H$99998,8,FALSE)="Sand",VLOOKUP(S$37,BoundParameters_HiddenSheetSAND!$I$3:$L$50,MATCH(VLOOKUP($K92,$K$5:$AL$34,MATCH(VLOOKUP(S$37,$BJ$3:$BK$50,2,FALSE),$K$4:$AL$4,0),FALSE),BoundParameters_HiddenSheetCLAY!$I$1:$L$1,0),FALSE),IF(VLOOKUP($F57,'Table Output'!$A$1:$H$9998,8,FALSE)="Clay",VLOOKUP(S$37,BoundParameters_HiddenSheetCLAY!$I$3:$L$50,MATCH(VLOOKUP($K92,$K$5:$AL$34,MATCH(VLOOKUP(S$37,$BJ$3:$BK$50,2,FALSE),$K$4:$AL$4,0),FALSE),BoundParameters_HiddenSheetCLAY!$I$1:$L$1,0),FALSE))),'Control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8" t="str">
        <f>IF($K92="","",IF(T$37="","",IF('Control Panel'!T92="",IF(VLOOKUP($F57,'Table Output'!$A$1:$H$99998,8,FALSE)="Sand",VLOOKUP(T$37,BoundParameters_HiddenSheetSAND!$I$3:$L$50,MATCH(VLOOKUP($K92,$K$5:$AL$34,MATCH(VLOOKUP(T$37,$BJ$3:$BK$50,2,FALSE),$K$4:$AL$4,0),FALSE),BoundParameters_HiddenSheetCLAY!$I$1:$L$1,0),FALSE),IF(VLOOKUP($F57,'Table Output'!$A$1:$H$9998,8,FALSE)="Clay",VLOOKUP(T$37,BoundParameters_HiddenSheetCLAY!$I$3:$L$50,MATCH(VLOOKUP($K92,$K$5:$AL$34,MATCH(VLOOKUP(T$37,$BJ$3:$BK$50,2,FALSE),$K$4:$AL$4,0),FALSE),BoundParameters_HiddenSheetCLAY!$I$1:$L$1,0),FALSE))),'Control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8" t="str">
        <f>IF($K92="","",IF(U$37="","",IF('Control Panel'!U92="",IF(VLOOKUP($F57,'Table Output'!$A$1:$H$99998,8,FALSE)="Sand",VLOOKUP(U$37,BoundParameters_HiddenSheetSAND!$I$3:$L$50,MATCH(VLOOKUP($K92,$K$5:$AL$34,MATCH(VLOOKUP(U$37,$BJ$3:$BK$50,2,FALSE),$K$4:$AL$4,0),FALSE),BoundParameters_HiddenSheetCLAY!$I$1:$L$1,0),FALSE),IF(VLOOKUP($F57,'Table Output'!$A$1:$H$9998,8,FALSE)="Clay",VLOOKUP(U$37,BoundParameters_HiddenSheetCLAY!$I$3:$L$50,MATCH(VLOOKUP($K92,$K$5:$AL$34,MATCH(VLOOKUP(U$37,$BJ$3:$BK$50,2,FALSE),$K$4:$AL$4,0),FALSE),BoundParameters_HiddenSheetCLAY!$I$1:$L$1,0),FALSE))),'Control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5" t="str">
        <f t="shared" si="68"/>
        <v/>
      </c>
      <c r="L93" s="28" t="str">
        <f>IF($K93="","",IF(L$37="","",IF('Control Panel'!L93="",IF(VLOOKUP($F58,'Table Output'!$A$1:$H$99998,8,FALSE)="Sand",VLOOKUP(L$37,BoundParameters_HiddenSheetSAND!$I$3:$L$50,MATCH(VLOOKUP($K93,$K$5:$AL$34,MATCH(VLOOKUP(L$37,$BJ$3:$BK$50,2,FALSE),$K$4:$AL$4,0),FALSE),BoundParameters_HiddenSheetCLAY!$I$1:$L$1,0),FALSE),IF(VLOOKUP($F58,'Table Output'!$A$1:$H$9998,8,FALSE)="Clay",VLOOKUP(L$37,BoundParameters_HiddenSheetCLAY!$I$3:$L$50,MATCH(VLOOKUP($K93,$K$5:$AL$34,MATCH(VLOOKUP(L$37,$BJ$3:$BK$50,2,FALSE),$K$4:$AL$4,0),FALSE),BoundParameters_HiddenSheetCLAY!$I$1:$L$1,0),FALSE))),'Control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8" t="str">
        <f>IF($K93="","",IF(M$37="","",IF('Control Panel'!M93="",IF(VLOOKUP($F58,'Table Output'!$A$1:$H$99998,8,FALSE)="Sand",VLOOKUP(M$37,BoundParameters_HiddenSheetSAND!$I$3:$L$50,MATCH(VLOOKUP($K93,$K$5:$AL$34,MATCH(VLOOKUP(M$37,$BJ$3:$BK$50,2,FALSE),$K$4:$AL$4,0),FALSE),BoundParameters_HiddenSheetCLAY!$I$1:$L$1,0),FALSE),IF(VLOOKUP($F58,'Table Output'!$A$1:$H$9998,8,FALSE)="Clay",VLOOKUP(M$37,BoundParameters_HiddenSheetCLAY!$I$3:$L$50,MATCH(VLOOKUP($K93,$K$5:$AL$34,MATCH(VLOOKUP(M$37,$BJ$3:$BK$50,2,FALSE),$K$4:$AL$4,0),FALSE),BoundParameters_HiddenSheetCLAY!$I$1:$L$1,0),FALSE))),'Control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8" t="str">
        <f>IF($K93="","",IF(N$37="","",IF('Control Panel'!N93="",IF(VLOOKUP($F58,'Table Output'!$A$1:$H$99998,8,FALSE)="Sand",VLOOKUP(N$37,BoundParameters_HiddenSheetSAND!$I$3:$L$50,MATCH(VLOOKUP($K93,$K$5:$AL$34,MATCH(VLOOKUP(N$37,$BJ$3:$BK$50,2,FALSE),$K$4:$AL$4,0),FALSE),BoundParameters_HiddenSheetCLAY!$I$1:$L$1,0),FALSE),IF(VLOOKUP($F58,'Table Output'!$A$1:$H$9998,8,FALSE)="Clay",VLOOKUP(N$37,BoundParameters_HiddenSheetCLAY!$I$3:$L$50,MATCH(VLOOKUP($K93,$K$5:$AL$34,MATCH(VLOOKUP(N$37,$BJ$3:$BK$50,2,FALSE),$K$4:$AL$4,0),FALSE),BoundParameters_HiddenSheetCLAY!$I$1:$L$1,0),FALSE))),'Control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8" t="str">
        <f>IF($K93="","",IF(O$37="","",IF('Control Panel'!O93="",IF(VLOOKUP($F58,'Table Output'!$A$1:$H$99998,8,FALSE)="Sand",VLOOKUP(O$37,BoundParameters_HiddenSheetSAND!$I$3:$L$50,MATCH(VLOOKUP($K93,$K$5:$AL$34,MATCH(VLOOKUP(O$37,$BJ$3:$BK$50,2,FALSE),$K$4:$AL$4,0),FALSE),BoundParameters_HiddenSheetCLAY!$I$1:$L$1,0),FALSE),IF(VLOOKUP($F58,'Table Output'!$A$1:$H$9998,8,FALSE)="Clay",VLOOKUP(O$37,BoundParameters_HiddenSheetCLAY!$I$3:$L$50,MATCH(VLOOKUP($K93,$K$5:$AL$34,MATCH(VLOOKUP(O$37,$BJ$3:$BK$50,2,FALSE),$K$4:$AL$4,0),FALSE),BoundParameters_HiddenSheetCLAY!$I$1:$L$1,0),FALSE))),'Control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8" t="str">
        <f>IF($K93="","",IF(P$37="","",IF('Control Panel'!P93="",IF(VLOOKUP($F58,'Table Output'!$A$1:$H$99998,8,FALSE)="Sand",VLOOKUP(P$37,BoundParameters_HiddenSheetSAND!$I$3:$L$50,MATCH(VLOOKUP($K93,$K$5:$AL$34,MATCH(VLOOKUP(P$37,$BJ$3:$BK$50,2,FALSE),$K$4:$AL$4,0),FALSE),BoundParameters_HiddenSheetCLAY!$I$1:$L$1,0),FALSE),IF(VLOOKUP($F58,'Table Output'!$A$1:$H$9998,8,FALSE)="Clay",VLOOKUP(P$37,BoundParameters_HiddenSheetCLAY!$I$3:$L$50,MATCH(VLOOKUP($K93,$K$5:$AL$34,MATCH(VLOOKUP(P$37,$BJ$3:$BK$50,2,FALSE),$K$4:$AL$4,0),FALSE),BoundParameters_HiddenSheetCLAY!$I$1:$L$1,0),FALSE))),'Control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8" t="str">
        <f>IF($K93="","",IF(Q$37="","",IF('Control Panel'!Q93="",IF(VLOOKUP($F58,'Table Output'!$A$1:$H$99998,8,FALSE)="Sand",VLOOKUP(Q$37,BoundParameters_HiddenSheetSAND!$I$3:$L$50,MATCH(VLOOKUP($K93,$K$5:$AL$34,MATCH(VLOOKUP(Q$37,$BJ$3:$BK$50,2,FALSE),$K$4:$AL$4,0),FALSE),BoundParameters_HiddenSheetCLAY!$I$1:$L$1,0),FALSE),IF(VLOOKUP($F58,'Table Output'!$A$1:$H$9998,8,FALSE)="Clay",VLOOKUP(Q$37,BoundParameters_HiddenSheetCLAY!$I$3:$L$50,MATCH(VLOOKUP($K93,$K$5:$AL$34,MATCH(VLOOKUP(Q$37,$BJ$3:$BK$50,2,FALSE),$K$4:$AL$4,0),FALSE),BoundParameters_HiddenSheetCLAY!$I$1:$L$1,0),FALSE))),'Control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8" t="str">
        <f>IF($K93="","",IF(R$37="","",IF('Control Panel'!R93="",IF(VLOOKUP($F58,'Table Output'!$A$1:$H$99998,8,FALSE)="Sand",VLOOKUP(R$37,BoundParameters_HiddenSheetSAND!$I$3:$L$50,MATCH(VLOOKUP($K93,$K$5:$AL$34,MATCH(VLOOKUP(R$37,$BJ$3:$BK$50,2,FALSE),$K$4:$AL$4,0),FALSE),BoundParameters_HiddenSheetCLAY!$I$1:$L$1,0),FALSE),IF(VLOOKUP($F58,'Table Output'!$A$1:$H$9998,8,FALSE)="Clay",VLOOKUP(R$37,BoundParameters_HiddenSheetCLAY!$I$3:$L$50,MATCH(VLOOKUP($K93,$K$5:$AL$34,MATCH(VLOOKUP(R$37,$BJ$3:$BK$50,2,FALSE),$K$4:$AL$4,0),FALSE),BoundParameters_HiddenSheetCLAY!$I$1:$L$1,0),FALSE))),'Control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8" t="str">
        <f>IF($K93="","",IF(S$37="","",IF('Control Panel'!S93="",IF(VLOOKUP($F58,'Table Output'!$A$1:$H$99998,8,FALSE)="Sand",VLOOKUP(S$37,BoundParameters_HiddenSheetSAND!$I$3:$L$50,MATCH(VLOOKUP($K93,$K$5:$AL$34,MATCH(VLOOKUP(S$37,$BJ$3:$BK$50,2,FALSE),$K$4:$AL$4,0),FALSE),BoundParameters_HiddenSheetCLAY!$I$1:$L$1,0),FALSE),IF(VLOOKUP($F58,'Table Output'!$A$1:$H$9998,8,FALSE)="Clay",VLOOKUP(S$37,BoundParameters_HiddenSheetCLAY!$I$3:$L$50,MATCH(VLOOKUP($K93,$K$5:$AL$34,MATCH(VLOOKUP(S$37,$BJ$3:$BK$50,2,FALSE),$K$4:$AL$4,0),FALSE),BoundParameters_HiddenSheetCLAY!$I$1:$L$1,0),FALSE))),'Control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8" t="str">
        <f>IF($K93="","",IF(T$37="","",IF('Control Panel'!T93="",IF(VLOOKUP($F58,'Table Output'!$A$1:$H$99998,8,FALSE)="Sand",VLOOKUP(T$37,BoundParameters_HiddenSheetSAND!$I$3:$L$50,MATCH(VLOOKUP($K93,$K$5:$AL$34,MATCH(VLOOKUP(T$37,$BJ$3:$BK$50,2,FALSE),$K$4:$AL$4,0),FALSE),BoundParameters_HiddenSheetCLAY!$I$1:$L$1,0),FALSE),IF(VLOOKUP($F58,'Table Output'!$A$1:$H$9998,8,FALSE)="Clay",VLOOKUP(T$37,BoundParameters_HiddenSheetCLAY!$I$3:$L$50,MATCH(VLOOKUP($K93,$K$5:$AL$34,MATCH(VLOOKUP(T$37,$BJ$3:$BK$50,2,FALSE),$K$4:$AL$4,0),FALSE),BoundParameters_HiddenSheetCLAY!$I$1:$L$1,0),FALSE))),'Control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8" t="str">
        <f>IF($K93="","",IF(U$37="","",IF('Control Panel'!U93="",IF(VLOOKUP($F58,'Table Output'!$A$1:$H$99998,8,FALSE)="Sand",VLOOKUP(U$37,BoundParameters_HiddenSheetSAND!$I$3:$L$50,MATCH(VLOOKUP($K93,$K$5:$AL$34,MATCH(VLOOKUP(U$37,$BJ$3:$BK$50,2,FALSE),$K$4:$AL$4,0),FALSE),BoundParameters_HiddenSheetCLAY!$I$1:$L$1,0),FALSE),IF(VLOOKUP($F58,'Table Output'!$A$1:$H$9998,8,FALSE)="Clay",VLOOKUP(U$37,BoundParameters_HiddenSheetCLAY!$I$3:$L$50,MATCH(VLOOKUP($K93,$K$5:$AL$34,MATCH(VLOOKUP(U$37,$BJ$3:$BK$50,2,FALSE),$K$4:$AL$4,0),FALSE),BoundParameters_HiddenSheetCLAY!$I$1:$L$1,0),FALSE))),'Control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5" t="str">
        <f t="shared" si="68"/>
        <v/>
      </c>
      <c r="L94" s="28" t="str">
        <f>IF($K94="","",IF(L$37="","",IF('Control Panel'!L94="",IF(VLOOKUP($F59,'Table Output'!$A$1:$H$99998,8,FALSE)="Sand",VLOOKUP(L$37,BoundParameters_HiddenSheetSAND!$I$3:$L$50,MATCH(VLOOKUP($K94,$K$5:$AL$34,MATCH(VLOOKUP(L$37,$BJ$3:$BK$50,2,FALSE),$K$4:$AL$4,0),FALSE),BoundParameters_HiddenSheetCLAY!$I$1:$L$1,0),FALSE),IF(VLOOKUP($F59,'Table Output'!$A$1:$H$9998,8,FALSE)="Clay",VLOOKUP(L$37,BoundParameters_HiddenSheetCLAY!$I$3:$L$50,MATCH(VLOOKUP($K94,$K$5:$AL$34,MATCH(VLOOKUP(L$37,$BJ$3:$BK$50,2,FALSE),$K$4:$AL$4,0),FALSE),BoundParameters_HiddenSheetCLAY!$I$1:$L$1,0),FALSE))),'Control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8" t="str">
        <f>IF($K94="","",IF(M$37="","",IF('Control Panel'!M94="",IF(VLOOKUP($F59,'Table Output'!$A$1:$H$99998,8,FALSE)="Sand",VLOOKUP(M$37,BoundParameters_HiddenSheetSAND!$I$3:$L$50,MATCH(VLOOKUP($K94,$K$5:$AL$34,MATCH(VLOOKUP(M$37,$BJ$3:$BK$50,2,FALSE),$K$4:$AL$4,0),FALSE),BoundParameters_HiddenSheetCLAY!$I$1:$L$1,0),FALSE),IF(VLOOKUP($F59,'Table Output'!$A$1:$H$9998,8,FALSE)="Clay",VLOOKUP(M$37,BoundParameters_HiddenSheetCLAY!$I$3:$L$50,MATCH(VLOOKUP($K94,$K$5:$AL$34,MATCH(VLOOKUP(M$37,$BJ$3:$BK$50,2,FALSE),$K$4:$AL$4,0),FALSE),BoundParameters_HiddenSheetCLAY!$I$1:$L$1,0),FALSE))),'Control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8" t="str">
        <f>IF($K94="","",IF(N$37="","",IF('Control Panel'!N94="",IF(VLOOKUP($F59,'Table Output'!$A$1:$H$99998,8,FALSE)="Sand",VLOOKUP(N$37,BoundParameters_HiddenSheetSAND!$I$3:$L$50,MATCH(VLOOKUP($K94,$K$5:$AL$34,MATCH(VLOOKUP(N$37,$BJ$3:$BK$50,2,FALSE),$K$4:$AL$4,0),FALSE),BoundParameters_HiddenSheetCLAY!$I$1:$L$1,0),FALSE),IF(VLOOKUP($F59,'Table Output'!$A$1:$H$9998,8,FALSE)="Clay",VLOOKUP(N$37,BoundParameters_HiddenSheetCLAY!$I$3:$L$50,MATCH(VLOOKUP($K94,$K$5:$AL$34,MATCH(VLOOKUP(N$37,$BJ$3:$BK$50,2,FALSE),$K$4:$AL$4,0),FALSE),BoundParameters_HiddenSheetCLAY!$I$1:$L$1,0),FALSE))),'Control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8" t="str">
        <f>IF($K94="","",IF(O$37="","",IF('Control Panel'!O94="",IF(VLOOKUP($F59,'Table Output'!$A$1:$H$99998,8,FALSE)="Sand",VLOOKUP(O$37,BoundParameters_HiddenSheetSAND!$I$3:$L$50,MATCH(VLOOKUP($K94,$K$5:$AL$34,MATCH(VLOOKUP(O$37,$BJ$3:$BK$50,2,FALSE),$K$4:$AL$4,0),FALSE),BoundParameters_HiddenSheetCLAY!$I$1:$L$1,0),FALSE),IF(VLOOKUP($F59,'Table Output'!$A$1:$H$9998,8,FALSE)="Clay",VLOOKUP(O$37,BoundParameters_HiddenSheetCLAY!$I$3:$L$50,MATCH(VLOOKUP($K94,$K$5:$AL$34,MATCH(VLOOKUP(O$37,$BJ$3:$BK$50,2,FALSE),$K$4:$AL$4,0),FALSE),BoundParameters_HiddenSheetCLAY!$I$1:$L$1,0),FALSE))),'Control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8" t="str">
        <f>IF($K94="","",IF(P$37="","",IF('Control Panel'!P94="",IF(VLOOKUP($F59,'Table Output'!$A$1:$H$99998,8,FALSE)="Sand",VLOOKUP(P$37,BoundParameters_HiddenSheetSAND!$I$3:$L$50,MATCH(VLOOKUP($K94,$K$5:$AL$34,MATCH(VLOOKUP(P$37,$BJ$3:$BK$50,2,FALSE),$K$4:$AL$4,0),FALSE),BoundParameters_HiddenSheetCLAY!$I$1:$L$1,0),FALSE),IF(VLOOKUP($F59,'Table Output'!$A$1:$H$9998,8,FALSE)="Clay",VLOOKUP(P$37,BoundParameters_HiddenSheetCLAY!$I$3:$L$50,MATCH(VLOOKUP($K94,$K$5:$AL$34,MATCH(VLOOKUP(P$37,$BJ$3:$BK$50,2,FALSE),$K$4:$AL$4,0),FALSE),BoundParameters_HiddenSheetCLAY!$I$1:$L$1,0),FALSE))),'Control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8" t="str">
        <f>IF($K94="","",IF(Q$37="","",IF('Control Panel'!Q94="",IF(VLOOKUP($F59,'Table Output'!$A$1:$H$99998,8,FALSE)="Sand",VLOOKUP(Q$37,BoundParameters_HiddenSheetSAND!$I$3:$L$50,MATCH(VLOOKUP($K94,$K$5:$AL$34,MATCH(VLOOKUP(Q$37,$BJ$3:$BK$50,2,FALSE),$K$4:$AL$4,0),FALSE),BoundParameters_HiddenSheetCLAY!$I$1:$L$1,0),FALSE),IF(VLOOKUP($F59,'Table Output'!$A$1:$H$9998,8,FALSE)="Clay",VLOOKUP(Q$37,BoundParameters_HiddenSheetCLAY!$I$3:$L$50,MATCH(VLOOKUP($K94,$K$5:$AL$34,MATCH(VLOOKUP(Q$37,$BJ$3:$BK$50,2,FALSE),$K$4:$AL$4,0),FALSE),BoundParameters_HiddenSheetCLAY!$I$1:$L$1,0),FALSE))),'Control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8" t="str">
        <f>IF($K94="","",IF(R$37="","",IF('Control Panel'!R94="",IF(VLOOKUP($F59,'Table Output'!$A$1:$H$99998,8,FALSE)="Sand",VLOOKUP(R$37,BoundParameters_HiddenSheetSAND!$I$3:$L$50,MATCH(VLOOKUP($K94,$K$5:$AL$34,MATCH(VLOOKUP(R$37,$BJ$3:$BK$50,2,FALSE),$K$4:$AL$4,0),FALSE),BoundParameters_HiddenSheetCLAY!$I$1:$L$1,0),FALSE),IF(VLOOKUP($F59,'Table Output'!$A$1:$H$9998,8,FALSE)="Clay",VLOOKUP(R$37,BoundParameters_HiddenSheetCLAY!$I$3:$L$50,MATCH(VLOOKUP($K94,$K$5:$AL$34,MATCH(VLOOKUP(R$37,$BJ$3:$BK$50,2,FALSE),$K$4:$AL$4,0),FALSE),BoundParameters_HiddenSheetCLAY!$I$1:$L$1,0),FALSE))),'Control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8" t="str">
        <f>IF($K94="","",IF(S$37="","",IF('Control Panel'!S94="",IF(VLOOKUP($F59,'Table Output'!$A$1:$H$99998,8,FALSE)="Sand",VLOOKUP(S$37,BoundParameters_HiddenSheetSAND!$I$3:$L$50,MATCH(VLOOKUP($K94,$K$5:$AL$34,MATCH(VLOOKUP(S$37,$BJ$3:$BK$50,2,FALSE),$K$4:$AL$4,0),FALSE),BoundParameters_HiddenSheetCLAY!$I$1:$L$1,0),FALSE),IF(VLOOKUP($F59,'Table Output'!$A$1:$H$9998,8,FALSE)="Clay",VLOOKUP(S$37,BoundParameters_HiddenSheetCLAY!$I$3:$L$50,MATCH(VLOOKUP($K94,$K$5:$AL$34,MATCH(VLOOKUP(S$37,$BJ$3:$BK$50,2,FALSE),$K$4:$AL$4,0),FALSE),BoundParameters_HiddenSheetCLAY!$I$1:$L$1,0),FALSE))),'Control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8" t="str">
        <f>IF($K94="","",IF(T$37="","",IF('Control Panel'!T94="",IF(VLOOKUP($F59,'Table Output'!$A$1:$H$99998,8,FALSE)="Sand",VLOOKUP(T$37,BoundParameters_HiddenSheetSAND!$I$3:$L$50,MATCH(VLOOKUP($K94,$K$5:$AL$34,MATCH(VLOOKUP(T$37,$BJ$3:$BK$50,2,FALSE),$K$4:$AL$4,0),FALSE),BoundParameters_HiddenSheetCLAY!$I$1:$L$1,0),FALSE),IF(VLOOKUP($F59,'Table Output'!$A$1:$H$9998,8,FALSE)="Clay",VLOOKUP(T$37,BoundParameters_HiddenSheetCLAY!$I$3:$L$50,MATCH(VLOOKUP($K94,$K$5:$AL$34,MATCH(VLOOKUP(T$37,$BJ$3:$BK$50,2,FALSE),$K$4:$AL$4,0),FALSE),BoundParameters_HiddenSheetCLAY!$I$1:$L$1,0),FALSE))),'Control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8" t="str">
        <f>IF($K94="","",IF(U$37="","",IF('Control Panel'!U94="",IF(VLOOKUP($F59,'Table Output'!$A$1:$H$99998,8,FALSE)="Sand",VLOOKUP(U$37,BoundParameters_HiddenSheetSAND!$I$3:$L$50,MATCH(VLOOKUP($K94,$K$5:$AL$34,MATCH(VLOOKUP(U$37,$BJ$3:$BK$50,2,FALSE),$K$4:$AL$4,0),FALSE),BoundParameters_HiddenSheetCLAY!$I$1:$L$1,0),FALSE),IF(VLOOKUP($F59,'Table Output'!$A$1:$H$9998,8,FALSE)="Clay",VLOOKUP(U$37,BoundParameters_HiddenSheetCLAY!$I$3:$L$50,MATCH(VLOOKUP($K94,$K$5:$AL$34,MATCH(VLOOKUP(U$37,$BJ$3:$BK$50,2,FALSE),$K$4:$AL$4,0),FALSE),BoundParameters_HiddenSheetCLAY!$I$1:$L$1,0),FALSE))),'Control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5" t="str">
        <f t="shared" si="68"/>
        <v/>
      </c>
      <c r="L95" s="28" t="str">
        <f>IF($K95="","",IF(L$37="","",IF('Control Panel'!L95="",IF(VLOOKUP($F60,'Table Output'!$A$1:$H$99998,8,FALSE)="Sand",VLOOKUP(L$37,BoundParameters_HiddenSheetSAND!$I$3:$L$50,MATCH(VLOOKUP($K95,$K$5:$AL$34,MATCH(VLOOKUP(L$37,$BJ$3:$BK$50,2,FALSE),$K$4:$AL$4,0),FALSE),BoundParameters_HiddenSheetCLAY!$I$1:$L$1,0),FALSE),IF(VLOOKUP($F60,'Table Output'!$A$1:$H$9998,8,FALSE)="Clay",VLOOKUP(L$37,BoundParameters_HiddenSheetCLAY!$I$3:$L$50,MATCH(VLOOKUP($K95,$K$5:$AL$34,MATCH(VLOOKUP(L$37,$BJ$3:$BK$50,2,FALSE),$K$4:$AL$4,0),FALSE),BoundParameters_HiddenSheetCLAY!$I$1:$L$1,0),FALSE))),'Control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8" t="str">
        <f>IF($K95="","",IF(M$37="","",IF('Control Panel'!M95="",IF(VLOOKUP($F60,'Table Output'!$A$1:$H$99998,8,FALSE)="Sand",VLOOKUP(M$37,BoundParameters_HiddenSheetSAND!$I$3:$L$50,MATCH(VLOOKUP($K95,$K$5:$AL$34,MATCH(VLOOKUP(M$37,$BJ$3:$BK$50,2,FALSE),$K$4:$AL$4,0),FALSE),BoundParameters_HiddenSheetCLAY!$I$1:$L$1,0),FALSE),IF(VLOOKUP($F60,'Table Output'!$A$1:$H$9998,8,FALSE)="Clay",VLOOKUP(M$37,BoundParameters_HiddenSheetCLAY!$I$3:$L$50,MATCH(VLOOKUP($K95,$K$5:$AL$34,MATCH(VLOOKUP(M$37,$BJ$3:$BK$50,2,FALSE),$K$4:$AL$4,0),FALSE),BoundParameters_HiddenSheetCLAY!$I$1:$L$1,0),FALSE))),'Control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8" t="str">
        <f>IF($K95="","",IF(N$37="","",IF('Control Panel'!N95="",IF(VLOOKUP($F60,'Table Output'!$A$1:$H$99998,8,FALSE)="Sand",VLOOKUP(N$37,BoundParameters_HiddenSheetSAND!$I$3:$L$50,MATCH(VLOOKUP($K95,$K$5:$AL$34,MATCH(VLOOKUP(N$37,$BJ$3:$BK$50,2,FALSE),$K$4:$AL$4,0),FALSE),BoundParameters_HiddenSheetCLAY!$I$1:$L$1,0),FALSE),IF(VLOOKUP($F60,'Table Output'!$A$1:$H$9998,8,FALSE)="Clay",VLOOKUP(N$37,BoundParameters_HiddenSheetCLAY!$I$3:$L$50,MATCH(VLOOKUP($K95,$K$5:$AL$34,MATCH(VLOOKUP(N$37,$BJ$3:$BK$50,2,FALSE),$K$4:$AL$4,0),FALSE),BoundParameters_HiddenSheetCLAY!$I$1:$L$1,0),FALSE))),'Control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8" t="str">
        <f>IF($K95="","",IF(O$37="","",IF('Control Panel'!O95="",IF(VLOOKUP($F60,'Table Output'!$A$1:$H$99998,8,FALSE)="Sand",VLOOKUP(O$37,BoundParameters_HiddenSheetSAND!$I$3:$L$50,MATCH(VLOOKUP($K95,$K$5:$AL$34,MATCH(VLOOKUP(O$37,$BJ$3:$BK$50,2,FALSE),$K$4:$AL$4,0),FALSE),BoundParameters_HiddenSheetCLAY!$I$1:$L$1,0),FALSE),IF(VLOOKUP($F60,'Table Output'!$A$1:$H$9998,8,FALSE)="Clay",VLOOKUP(O$37,BoundParameters_HiddenSheetCLAY!$I$3:$L$50,MATCH(VLOOKUP($K95,$K$5:$AL$34,MATCH(VLOOKUP(O$37,$BJ$3:$BK$50,2,FALSE),$K$4:$AL$4,0),FALSE),BoundParameters_HiddenSheetCLAY!$I$1:$L$1,0),FALSE))),'Control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8" t="str">
        <f>IF($K95="","",IF(P$37="","",IF('Control Panel'!P95="",IF(VLOOKUP($F60,'Table Output'!$A$1:$H$99998,8,FALSE)="Sand",VLOOKUP(P$37,BoundParameters_HiddenSheetSAND!$I$3:$L$50,MATCH(VLOOKUP($K95,$K$5:$AL$34,MATCH(VLOOKUP(P$37,$BJ$3:$BK$50,2,FALSE),$K$4:$AL$4,0),FALSE),BoundParameters_HiddenSheetCLAY!$I$1:$L$1,0),FALSE),IF(VLOOKUP($F60,'Table Output'!$A$1:$H$9998,8,FALSE)="Clay",VLOOKUP(P$37,BoundParameters_HiddenSheetCLAY!$I$3:$L$50,MATCH(VLOOKUP($K95,$K$5:$AL$34,MATCH(VLOOKUP(P$37,$BJ$3:$BK$50,2,FALSE),$K$4:$AL$4,0),FALSE),BoundParameters_HiddenSheetCLAY!$I$1:$L$1,0),FALSE))),'Control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8" t="str">
        <f>IF($K95="","",IF(Q$37="","",IF('Control Panel'!Q95="",IF(VLOOKUP($F60,'Table Output'!$A$1:$H$99998,8,FALSE)="Sand",VLOOKUP(Q$37,BoundParameters_HiddenSheetSAND!$I$3:$L$50,MATCH(VLOOKUP($K95,$K$5:$AL$34,MATCH(VLOOKUP(Q$37,$BJ$3:$BK$50,2,FALSE),$K$4:$AL$4,0),FALSE),BoundParameters_HiddenSheetCLAY!$I$1:$L$1,0),FALSE),IF(VLOOKUP($F60,'Table Output'!$A$1:$H$9998,8,FALSE)="Clay",VLOOKUP(Q$37,BoundParameters_HiddenSheetCLAY!$I$3:$L$50,MATCH(VLOOKUP($K95,$K$5:$AL$34,MATCH(VLOOKUP(Q$37,$BJ$3:$BK$50,2,FALSE),$K$4:$AL$4,0),FALSE),BoundParameters_HiddenSheetCLAY!$I$1:$L$1,0),FALSE))),'Control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8" t="str">
        <f>IF($K95="","",IF(R$37="","",IF('Control Panel'!R95="",IF(VLOOKUP($F60,'Table Output'!$A$1:$H$99998,8,FALSE)="Sand",VLOOKUP(R$37,BoundParameters_HiddenSheetSAND!$I$3:$L$50,MATCH(VLOOKUP($K95,$K$5:$AL$34,MATCH(VLOOKUP(R$37,$BJ$3:$BK$50,2,FALSE),$K$4:$AL$4,0),FALSE),BoundParameters_HiddenSheetCLAY!$I$1:$L$1,0),FALSE),IF(VLOOKUP($F60,'Table Output'!$A$1:$H$9998,8,FALSE)="Clay",VLOOKUP(R$37,BoundParameters_HiddenSheetCLAY!$I$3:$L$50,MATCH(VLOOKUP($K95,$K$5:$AL$34,MATCH(VLOOKUP(R$37,$BJ$3:$BK$50,2,FALSE),$K$4:$AL$4,0),FALSE),BoundParameters_HiddenSheetCLAY!$I$1:$L$1,0),FALSE))),'Control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8" t="str">
        <f>IF($K95="","",IF(S$37="","",IF('Control Panel'!S95="",IF(VLOOKUP($F60,'Table Output'!$A$1:$H$99998,8,FALSE)="Sand",VLOOKUP(S$37,BoundParameters_HiddenSheetSAND!$I$3:$L$50,MATCH(VLOOKUP($K95,$K$5:$AL$34,MATCH(VLOOKUP(S$37,$BJ$3:$BK$50,2,FALSE),$K$4:$AL$4,0),FALSE),BoundParameters_HiddenSheetCLAY!$I$1:$L$1,0),FALSE),IF(VLOOKUP($F60,'Table Output'!$A$1:$H$9998,8,FALSE)="Clay",VLOOKUP(S$37,BoundParameters_HiddenSheetCLAY!$I$3:$L$50,MATCH(VLOOKUP($K95,$K$5:$AL$34,MATCH(VLOOKUP(S$37,$BJ$3:$BK$50,2,FALSE),$K$4:$AL$4,0),FALSE),BoundParameters_HiddenSheetCLAY!$I$1:$L$1,0),FALSE))),'Control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8" t="str">
        <f>IF($K95="","",IF(T$37="","",IF('Control Panel'!T95="",IF(VLOOKUP($F60,'Table Output'!$A$1:$H$99998,8,FALSE)="Sand",VLOOKUP(T$37,BoundParameters_HiddenSheetSAND!$I$3:$L$50,MATCH(VLOOKUP($K95,$K$5:$AL$34,MATCH(VLOOKUP(T$37,$BJ$3:$BK$50,2,FALSE),$K$4:$AL$4,0),FALSE),BoundParameters_HiddenSheetCLAY!$I$1:$L$1,0),FALSE),IF(VLOOKUP($F60,'Table Output'!$A$1:$H$9998,8,FALSE)="Clay",VLOOKUP(T$37,BoundParameters_HiddenSheetCLAY!$I$3:$L$50,MATCH(VLOOKUP($K95,$K$5:$AL$34,MATCH(VLOOKUP(T$37,$BJ$3:$BK$50,2,FALSE),$K$4:$AL$4,0),FALSE),BoundParameters_HiddenSheetCLAY!$I$1:$L$1,0),FALSE))),'Control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8" t="str">
        <f>IF($K95="","",IF(U$37="","",IF('Control Panel'!U95="",IF(VLOOKUP($F60,'Table Output'!$A$1:$H$99998,8,FALSE)="Sand",VLOOKUP(U$37,BoundParameters_HiddenSheetSAND!$I$3:$L$50,MATCH(VLOOKUP($K95,$K$5:$AL$34,MATCH(VLOOKUP(U$37,$BJ$3:$BK$50,2,FALSE),$K$4:$AL$4,0),FALSE),BoundParameters_HiddenSheetCLAY!$I$1:$L$1,0),FALSE),IF(VLOOKUP($F60,'Table Output'!$A$1:$H$9998,8,FALSE)="Clay",VLOOKUP(U$37,BoundParameters_HiddenSheetCLAY!$I$3:$L$50,MATCH(VLOOKUP($K95,$K$5:$AL$34,MATCH(VLOOKUP(U$37,$BJ$3:$BK$50,2,FALSE),$K$4:$AL$4,0),FALSE),BoundParameters_HiddenSheetCLAY!$I$1:$L$1,0),FALSE))),'Control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5" t="str">
        <f t="shared" si="68"/>
        <v/>
      </c>
      <c r="L96" s="28" t="str">
        <f>IF($K96="","",IF(L$37="","",IF('Control Panel'!L96="",IF(VLOOKUP($F61,'Table Output'!$A$1:$H$99998,8,FALSE)="Sand",VLOOKUP(L$37,BoundParameters_HiddenSheetSAND!$I$3:$L$50,MATCH(VLOOKUP($K96,$K$5:$AL$34,MATCH(VLOOKUP(L$37,$BJ$3:$BK$50,2,FALSE),$K$4:$AL$4,0),FALSE),BoundParameters_HiddenSheetCLAY!$I$1:$L$1,0),FALSE),IF(VLOOKUP($F61,'Table Output'!$A$1:$H$9998,8,FALSE)="Clay",VLOOKUP(L$37,BoundParameters_HiddenSheetCLAY!$I$3:$L$50,MATCH(VLOOKUP($K96,$K$5:$AL$34,MATCH(VLOOKUP(L$37,$BJ$3:$BK$50,2,FALSE),$K$4:$AL$4,0),FALSE),BoundParameters_HiddenSheetCLAY!$I$1:$L$1,0),FALSE))),'Control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8" t="str">
        <f>IF($K96="","",IF(M$37="","",IF('Control Panel'!M96="",IF(VLOOKUP($F61,'Table Output'!$A$1:$H$99998,8,FALSE)="Sand",VLOOKUP(M$37,BoundParameters_HiddenSheetSAND!$I$3:$L$50,MATCH(VLOOKUP($K96,$K$5:$AL$34,MATCH(VLOOKUP(M$37,$BJ$3:$BK$50,2,FALSE),$K$4:$AL$4,0),FALSE),BoundParameters_HiddenSheetCLAY!$I$1:$L$1,0),FALSE),IF(VLOOKUP($F61,'Table Output'!$A$1:$H$9998,8,FALSE)="Clay",VLOOKUP(M$37,BoundParameters_HiddenSheetCLAY!$I$3:$L$50,MATCH(VLOOKUP($K96,$K$5:$AL$34,MATCH(VLOOKUP(M$37,$BJ$3:$BK$50,2,FALSE),$K$4:$AL$4,0),FALSE),BoundParameters_HiddenSheetCLAY!$I$1:$L$1,0),FALSE))),'Control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8" t="str">
        <f>IF($K96="","",IF(N$37="","",IF('Control Panel'!N96="",IF(VLOOKUP($F61,'Table Output'!$A$1:$H$99998,8,FALSE)="Sand",VLOOKUP(N$37,BoundParameters_HiddenSheetSAND!$I$3:$L$50,MATCH(VLOOKUP($K96,$K$5:$AL$34,MATCH(VLOOKUP(N$37,$BJ$3:$BK$50,2,FALSE),$K$4:$AL$4,0),FALSE),BoundParameters_HiddenSheetCLAY!$I$1:$L$1,0),FALSE),IF(VLOOKUP($F61,'Table Output'!$A$1:$H$9998,8,FALSE)="Clay",VLOOKUP(N$37,BoundParameters_HiddenSheetCLAY!$I$3:$L$50,MATCH(VLOOKUP($K96,$K$5:$AL$34,MATCH(VLOOKUP(N$37,$BJ$3:$BK$50,2,FALSE),$K$4:$AL$4,0),FALSE),BoundParameters_HiddenSheetCLAY!$I$1:$L$1,0),FALSE))),'Control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8" t="str">
        <f>IF($K96="","",IF(O$37="","",IF('Control Panel'!O96="",IF(VLOOKUP($F61,'Table Output'!$A$1:$H$99998,8,FALSE)="Sand",VLOOKUP(O$37,BoundParameters_HiddenSheetSAND!$I$3:$L$50,MATCH(VLOOKUP($K96,$K$5:$AL$34,MATCH(VLOOKUP(O$37,$BJ$3:$BK$50,2,FALSE),$K$4:$AL$4,0),FALSE),BoundParameters_HiddenSheetCLAY!$I$1:$L$1,0),FALSE),IF(VLOOKUP($F61,'Table Output'!$A$1:$H$9998,8,FALSE)="Clay",VLOOKUP(O$37,BoundParameters_HiddenSheetCLAY!$I$3:$L$50,MATCH(VLOOKUP($K96,$K$5:$AL$34,MATCH(VLOOKUP(O$37,$BJ$3:$BK$50,2,FALSE),$K$4:$AL$4,0),FALSE),BoundParameters_HiddenSheetCLAY!$I$1:$L$1,0),FALSE))),'Control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8" t="str">
        <f>IF($K96="","",IF(P$37="","",IF('Control Panel'!P96="",IF(VLOOKUP($F61,'Table Output'!$A$1:$H$99998,8,FALSE)="Sand",VLOOKUP(P$37,BoundParameters_HiddenSheetSAND!$I$3:$L$50,MATCH(VLOOKUP($K96,$K$5:$AL$34,MATCH(VLOOKUP(P$37,$BJ$3:$BK$50,2,FALSE),$K$4:$AL$4,0),FALSE),BoundParameters_HiddenSheetCLAY!$I$1:$L$1,0),FALSE),IF(VLOOKUP($F61,'Table Output'!$A$1:$H$9998,8,FALSE)="Clay",VLOOKUP(P$37,BoundParameters_HiddenSheetCLAY!$I$3:$L$50,MATCH(VLOOKUP($K96,$K$5:$AL$34,MATCH(VLOOKUP(P$37,$BJ$3:$BK$50,2,FALSE),$K$4:$AL$4,0),FALSE),BoundParameters_HiddenSheetCLAY!$I$1:$L$1,0),FALSE))),'Control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8" t="str">
        <f>IF($K96="","",IF(Q$37="","",IF('Control Panel'!Q96="",IF(VLOOKUP($F61,'Table Output'!$A$1:$H$99998,8,FALSE)="Sand",VLOOKUP(Q$37,BoundParameters_HiddenSheetSAND!$I$3:$L$50,MATCH(VLOOKUP($K96,$K$5:$AL$34,MATCH(VLOOKUP(Q$37,$BJ$3:$BK$50,2,FALSE),$K$4:$AL$4,0),FALSE),BoundParameters_HiddenSheetCLAY!$I$1:$L$1,0),FALSE),IF(VLOOKUP($F61,'Table Output'!$A$1:$H$9998,8,FALSE)="Clay",VLOOKUP(Q$37,BoundParameters_HiddenSheetCLAY!$I$3:$L$50,MATCH(VLOOKUP($K96,$K$5:$AL$34,MATCH(VLOOKUP(Q$37,$BJ$3:$BK$50,2,FALSE),$K$4:$AL$4,0),FALSE),BoundParameters_HiddenSheetCLAY!$I$1:$L$1,0),FALSE))),'Control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8" t="str">
        <f>IF($K96="","",IF(R$37="","",IF('Control Panel'!R96="",IF(VLOOKUP($F61,'Table Output'!$A$1:$H$99998,8,FALSE)="Sand",VLOOKUP(R$37,BoundParameters_HiddenSheetSAND!$I$3:$L$50,MATCH(VLOOKUP($K96,$K$5:$AL$34,MATCH(VLOOKUP(R$37,$BJ$3:$BK$50,2,FALSE),$K$4:$AL$4,0),FALSE),BoundParameters_HiddenSheetCLAY!$I$1:$L$1,0),FALSE),IF(VLOOKUP($F61,'Table Output'!$A$1:$H$9998,8,FALSE)="Clay",VLOOKUP(R$37,BoundParameters_HiddenSheetCLAY!$I$3:$L$50,MATCH(VLOOKUP($K96,$K$5:$AL$34,MATCH(VLOOKUP(R$37,$BJ$3:$BK$50,2,FALSE),$K$4:$AL$4,0),FALSE),BoundParameters_HiddenSheetCLAY!$I$1:$L$1,0),FALSE))),'Control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8" t="str">
        <f>IF($K96="","",IF(S$37="","",IF('Control Panel'!S96="",IF(VLOOKUP($F61,'Table Output'!$A$1:$H$99998,8,FALSE)="Sand",VLOOKUP(S$37,BoundParameters_HiddenSheetSAND!$I$3:$L$50,MATCH(VLOOKUP($K96,$K$5:$AL$34,MATCH(VLOOKUP(S$37,$BJ$3:$BK$50,2,FALSE),$K$4:$AL$4,0),FALSE),BoundParameters_HiddenSheetCLAY!$I$1:$L$1,0),FALSE),IF(VLOOKUP($F61,'Table Output'!$A$1:$H$9998,8,FALSE)="Clay",VLOOKUP(S$37,BoundParameters_HiddenSheetCLAY!$I$3:$L$50,MATCH(VLOOKUP($K96,$K$5:$AL$34,MATCH(VLOOKUP(S$37,$BJ$3:$BK$50,2,FALSE),$K$4:$AL$4,0),FALSE),BoundParameters_HiddenSheetCLAY!$I$1:$L$1,0),FALSE))),'Control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8" t="str">
        <f>IF($K96="","",IF(T$37="","",IF('Control Panel'!T96="",IF(VLOOKUP($F61,'Table Output'!$A$1:$H$99998,8,FALSE)="Sand",VLOOKUP(T$37,BoundParameters_HiddenSheetSAND!$I$3:$L$50,MATCH(VLOOKUP($K96,$K$5:$AL$34,MATCH(VLOOKUP(T$37,$BJ$3:$BK$50,2,FALSE),$K$4:$AL$4,0),FALSE),BoundParameters_HiddenSheetCLAY!$I$1:$L$1,0),FALSE),IF(VLOOKUP($F61,'Table Output'!$A$1:$H$9998,8,FALSE)="Clay",VLOOKUP(T$37,BoundParameters_HiddenSheetCLAY!$I$3:$L$50,MATCH(VLOOKUP($K96,$K$5:$AL$34,MATCH(VLOOKUP(T$37,$BJ$3:$BK$50,2,FALSE),$K$4:$AL$4,0),FALSE),BoundParameters_HiddenSheetCLAY!$I$1:$L$1,0),FALSE))),'Control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8" t="str">
        <f>IF($K96="","",IF(U$37="","",IF('Control Panel'!U96="",IF(VLOOKUP($F61,'Table Output'!$A$1:$H$99998,8,FALSE)="Sand",VLOOKUP(U$37,BoundParameters_HiddenSheetSAND!$I$3:$L$50,MATCH(VLOOKUP($K96,$K$5:$AL$34,MATCH(VLOOKUP(U$37,$BJ$3:$BK$50,2,FALSE),$K$4:$AL$4,0),FALSE),BoundParameters_HiddenSheetCLAY!$I$1:$L$1,0),FALSE),IF(VLOOKUP($F61,'Table Output'!$A$1:$H$9998,8,FALSE)="Clay",VLOOKUP(U$37,BoundParameters_HiddenSheetCLAY!$I$3:$L$50,MATCH(VLOOKUP($K96,$K$5:$AL$34,MATCH(VLOOKUP(U$37,$BJ$3:$BK$50,2,FALSE),$K$4:$AL$4,0),FALSE),BoundParameters_HiddenSheetCLAY!$I$1:$L$1,0),FALSE))),'Control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5" t="str">
        <f t="shared" si="68"/>
        <v/>
      </c>
      <c r="L97" s="28" t="str">
        <f>IF($K97="","",IF(L$37="","",IF('Control Panel'!L97="",IF(VLOOKUP($F62,'Table Output'!$A$1:$H$99998,8,FALSE)="Sand",VLOOKUP(L$37,BoundParameters_HiddenSheetSAND!$I$3:$L$50,MATCH(VLOOKUP($K97,$K$5:$AL$34,MATCH(VLOOKUP(L$37,$BJ$3:$BK$50,2,FALSE),$K$4:$AL$4,0),FALSE),BoundParameters_HiddenSheetCLAY!$I$1:$L$1,0),FALSE),IF(VLOOKUP($F62,'Table Output'!$A$1:$H$9998,8,FALSE)="Clay",VLOOKUP(L$37,BoundParameters_HiddenSheetCLAY!$I$3:$L$50,MATCH(VLOOKUP($K97,$K$5:$AL$34,MATCH(VLOOKUP(L$37,$BJ$3:$BK$50,2,FALSE),$K$4:$AL$4,0),FALSE),BoundParameters_HiddenSheetCLAY!$I$1:$L$1,0),FALSE))),'Control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8" t="str">
        <f>IF($K97="","",IF(M$37="","",IF('Control Panel'!M97="",IF(VLOOKUP($F62,'Table Output'!$A$1:$H$99998,8,FALSE)="Sand",VLOOKUP(M$37,BoundParameters_HiddenSheetSAND!$I$3:$L$50,MATCH(VLOOKUP($K97,$K$5:$AL$34,MATCH(VLOOKUP(M$37,$BJ$3:$BK$50,2,FALSE),$K$4:$AL$4,0),FALSE),BoundParameters_HiddenSheetCLAY!$I$1:$L$1,0),FALSE),IF(VLOOKUP($F62,'Table Output'!$A$1:$H$9998,8,FALSE)="Clay",VLOOKUP(M$37,BoundParameters_HiddenSheetCLAY!$I$3:$L$50,MATCH(VLOOKUP($K97,$K$5:$AL$34,MATCH(VLOOKUP(M$37,$BJ$3:$BK$50,2,FALSE),$K$4:$AL$4,0),FALSE),BoundParameters_HiddenSheetCLAY!$I$1:$L$1,0),FALSE))),'Control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8" t="str">
        <f>IF($K97="","",IF(N$37="","",IF('Control Panel'!N97="",IF(VLOOKUP($F62,'Table Output'!$A$1:$H$99998,8,FALSE)="Sand",VLOOKUP(N$37,BoundParameters_HiddenSheetSAND!$I$3:$L$50,MATCH(VLOOKUP($K97,$K$5:$AL$34,MATCH(VLOOKUP(N$37,$BJ$3:$BK$50,2,FALSE),$K$4:$AL$4,0),FALSE),BoundParameters_HiddenSheetCLAY!$I$1:$L$1,0),FALSE),IF(VLOOKUP($F62,'Table Output'!$A$1:$H$9998,8,FALSE)="Clay",VLOOKUP(N$37,BoundParameters_HiddenSheetCLAY!$I$3:$L$50,MATCH(VLOOKUP($K97,$K$5:$AL$34,MATCH(VLOOKUP(N$37,$BJ$3:$BK$50,2,FALSE),$K$4:$AL$4,0),FALSE),BoundParameters_HiddenSheetCLAY!$I$1:$L$1,0),FALSE))),'Control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8" t="str">
        <f>IF($K97="","",IF(O$37="","",IF('Control Panel'!O97="",IF(VLOOKUP($F62,'Table Output'!$A$1:$H$99998,8,FALSE)="Sand",VLOOKUP(O$37,BoundParameters_HiddenSheetSAND!$I$3:$L$50,MATCH(VLOOKUP($K97,$K$5:$AL$34,MATCH(VLOOKUP(O$37,$BJ$3:$BK$50,2,FALSE),$K$4:$AL$4,0),FALSE),BoundParameters_HiddenSheetCLAY!$I$1:$L$1,0),FALSE),IF(VLOOKUP($F62,'Table Output'!$A$1:$H$9998,8,FALSE)="Clay",VLOOKUP(O$37,BoundParameters_HiddenSheetCLAY!$I$3:$L$50,MATCH(VLOOKUP($K97,$K$5:$AL$34,MATCH(VLOOKUP(O$37,$BJ$3:$BK$50,2,FALSE),$K$4:$AL$4,0),FALSE),BoundParameters_HiddenSheetCLAY!$I$1:$L$1,0),FALSE))),'Control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8" t="str">
        <f>IF($K97="","",IF(P$37="","",IF('Control Panel'!P97="",IF(VLOOKUP($F62,'Table Output'!$A$1:$H$99998,8,FALSE)="Sand",VLOOKUP(P$37,BoundParameters_HiddenSheetSAND!$I$3:$L$50,MATCH(VLOOKUP($K97,$K$5:$AL$34,MATCH(VLOOKUP(P$37,$BJ$3:$BK$50,2,FALSE),$K$4:$AL$4,0),FALSE),BoundParameters_HiddenSheetCLAY!$I$1:$L$1,0),FALSE),IF(VLOOKUP($F62,'Table Output'!$A$1:$H$9998,8,FALSE)="Clay",VLOOKUP(P$37,BoundParameters_HiddenSheetCLAY!$I$3:$L$50,MATCH(VLOOKUP($K97,$K$5:$AL$34,MATCH(VLOOKUP(P$37,$BJ$3:$BK$50,2,FALSE),$K$4:$AL$4,0),FALSE),BoundParameters_HiddenSheetCLAY!$I$1:$L$1,0),FALSE))),'Control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8" t="str">
        <f>IF($K97="","",IF(Q$37="","",IF('Control Panel'!Q97="",IF(VLOOKUP($F62,'Table Output'!$A$1:$H$99998,8,FALSE)="Sand",VLOOKUP(Q$37,BoundParameters_HiddenSheetSAND!$I$3:$L$50,MATCH(VLOOKUP($K97,$K$5:$AL$34,MATCH(VLOOKUP(Q$37,$BJ$3:$BK$50,2,FALSE),$K$4:$AL$4,0),FALSE),BoundParameters_HiddenSheetCLAY!$I$1:$L$1,0),FALSE),IF(VLOOKUP($F62,'Table Output'!$A$1:$H$9998,8,FALSE)="Clay",VLOOKUP(Q$37,BoundParameters_HiddenSheetCLAY!$I$3:$L$50,MATCH(VLOOKUP($K97,$K$5:$AL$34,MATCH(VLOOKUP(Q$37,$BJ$3:$BK$50,2,FALSE),$K$4:$AL$4,0),FALSE),BoundParameters_HiddenSheetCLAY!$I$1:$L$1,0),FALSE))),'Control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8" t="str">
        <f>IF($K97="","",IF(R$37="","",IF('Control Panel'!R97="",IF(VLOOKUP($F62,'Table Output'!$A$1:$H$99998,8,FALSE)="Sand",VLOOKUP(R$37,BoundParameters_HiddenSheetSAND!$I$3:$L$50,MATCH(VLOOKUP($K97,$K$5:$AL$34,MATCH(VLOOKUP(R$37,$BJ$3:$BK$50,2,FALSE),$K$4:$AL$4,0),FALSE),BoundParameters_HiddenSheetCLAY!$I$1:$L$1,0),FALSE),IF(VLOOKUP($F62,'Table Output'!$A$1:$H$9998,8,FALSE)="Clay",VLOOKUP(R$37,BoundParameters_HiddenSheetCLAY!$I$3:$L$50,MATCH(VLOOKUP($K97,$K$5:$AL$34,MATCH(VLOOKUP(R$37,$BJ$3:$BK$50,2,FALSE),$K$4:$AL$4,0),FALSE),BoundParameters_HiddenSheetCLAY!$I$1:$L$1,0),FALSE))),'Control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8" t="str">
        <f>IF($K97="","",IF(S$37="","",IF('Control Panel'!S97="",IF(VLOOKUP($F62,'Table Output'!$A$1:$H$99998,8,FALSE)="Sand",VLOOKUP(S$37,BoundParameters_HiddenSheetSAND!$I$3:$L$50,MATCH(VLOOKUP($K97,$K$5:$AL$34,MATCH(VLOOKUP(S$37,$BJ$3:$BK$50,2,FALSE),$K$4:$AL$4,0),FALSE),BoundParameters_HiddenSheetCLAY!$I$1:$L$1,0),FALSE),IF(VLOOKUP($F62,'Table Output'!$A$1:$H$9998,8,FALSE)="Clay",VLOOKUP(S$37,BoundParameters_HiddenSheetCLAY!$I$3:$L$50,MATCH(VLOOKUP($K97,$K$5:$AL$34,MATCH(VLOOKUP(S$37,$BJ$3:$BK$50,2,FALSE),$K$4:$AL$4,0),FALSE),BoundParameters_HiddenSheetCLAY!$I$1:$L$1,0),FALSE))),'Control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8" t="str">
        <f>IF($K97="","",IF(T$37="","",IF('Control Panel'!T97="",IF(VLOOKUP($F62,'Table Output'!$A$1:$H$99998,8,FALSE)="Sand",VLOOKUP(T$37,BoundParameters_HiddenSheetSAND!$I$3:$L$50,MATCH(VLOOKUP($K97,$K$5:$AL$34,MATCH(VLOOKUP(T$37,$BJ$3:$BK$50,2,FALSE),$K$4:$AL$4,0),FALSE),BoundParameters_HiddenSheetCLAY!$I$1:$L$1,0),FALSE),IF(VLOOKUP($F62,'Table Output'!$A$1:$H$9998,8,FALSE)="Clay",VLOOKUP(T$37,BoundParameters_HiddenSheetCLAY!$I$3:$L$50,MATCH(VLOOKUP($K97,$K$5:$AL$34,MATCH(VLOOKUP(T$37,$BJ$3:$BK$50,2,FALSE),$K$4:$AL$4,0),FALSE),BoundParameters_HiddenSheetCLAY!$I$1:$L$1,0),FALSE))),'Control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8" t="str">
        <f>IF($K97="","",IF(U$37="","",IF('Control Panel'!U97="",IF(VLOOKUP($F62,'Table Output'!$A$1:$H$99998,8,FALSE)="Sand",VLOOKUP(U$37,BoundParameters_HiddenSheetSAND!$I$3:$L$50,MATCH(VLOOKUP($K97,$K$5:$AL$34,MATCH(VLOOKUP(U$37,$BJ$3:$BK$50,2,FALSE),$K$4:$AL$4,0),FALSE),BoundParameters_HiddenSheetCLAY!$I$1:$L$1,0),FALSE),IF(VLOOKUP($F62,'Table Output'!$A$1:$H$9998,8,FALSE)="Clay",VLOOKUP(U$37,BoundParameters_HiddenSheetCLAY!$I$3:$L$50,MATCH(VLOOKUP($K97,$K$5:$AL$34,MATCH(VLOOKUP(U$37,$BJ$3:$BK$50,2,FALSE),$K$4:$AL$4,0),FALSE),BoundParameters_HiddenSheetCLAY!$I$1:$L$1,0),FALSE))),'Control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5" t="str">
        <f>K63</f>
        <v/>
      </c>
      <c r="L98" s="28" t="str">
        <f>IF($K98="","",IF(L$37="","",IF('Control Panel'!L98="",IF(VLOOKUP($F63,'Table Output'!$A$1:$H$99998,8,FALSE)="Sand",VLOOKUP(L$37,BoundParameters_HiddenSheetSAND!$I$3:$L$50,MATCH(VLOOKUP($K98,$K$5:$AL$34,MATCH(VLOOKUP(L$37,$BJ$3:$BK$50,2,FALSE),$K$4:$AL$4,0),FALSE),BoundParameters_HiddenSheetCLAY!$I$1:$L$1,0),FALSE),IF(VLOOKUP($F63,'Table Output'!$A$1:$H$9998,8,FALSE)="Clay",VLOOKUP(L$37,BoundParameters_HiddenSheetCLAY!$I$3:$L$50,MATCH(VLOOKUP($K98,$K$5:$AL$34,MATCH(VLOOKUP(L$37,$BJ$3:$BK$50,2,FALSE),$K$4:$AL$4,0),FALSE),BoundParameters_HiddenSheetCLAY!$I$1:$L$1,0),FALSE))),'Control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8" t="str">
        <f>IF($K98="","",IF(M$37="","",IF('Control Panel'!M98="",IF(VLOOKUP($F63,'Table Output'!$A$1:$H$99998,8,FALSE)="Sand",VLOOKUP(M$37,BoundParameters_HiddenSheetSAND!$I$3:$L$50,MATCH(VLOOKUP($K98,$K$5:$AL$34,MATCH(VLOOKUP(M$37,$BJ$3:$BK$50,2,FALSE),$K$4:$AL$4,0),FALSE),BoundParameters_HiddenSheetCLAY!$I$1:$L$1,0),FALSE),IF(VLOOKUP($F63,'Table Output'!$A$1:$H$9998,8,FALSE)="Clay",VLOOKUP(M$37,BoundParameters_HiddenSheetCLAY!$I$3:$L$50,MATCH(VLOOKUP($K98,$K$5:$AL$34,MATCH(VLOOKUP(M$37,$BJ$3:$BK$50,2,FALSE),$K$4:$AL$4,0),FALSE),BoundParameters_HiddenSheetCLAY!$I$1:$L$1,0),FALSE))),'Control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8" t="str">
        <f>IF($K98="","",IF(N$37="","",IF('Control Panel'!N98="",IF(VLOOKUP($F63,'Table Output'!$A$1:$H$99998,8,FALSE)="Sand",VLOOKUP(N$37,BoundParameters_HiddenSheetSAND!$I$3:$L$50,MATCH(VLOOKUP($K98,$K$5:$AL$34,MATCH(VLOOKUP(N$37,$BJ$3:$BK$50,2,FALSE),$K$4:$AL$4,0),FALSE),BoundParameters_HiddenSheetCLAY!$I$1:$L$1,0),FALSE),IF(VLOOKUP($F63,'Table Output'!$A$1:$H$9998,8,FALSE)="Clay",VLOOKUP(N$37,BoundParameters_HiddenSheetCLAY!$I$3:$L$50,MATCH(VLOOKUP($K98,$K$5:$AL$34,MATCH(VLOOKUP(N$37,$BJ$3:$BK$50,2,FALSE),$K$4:$AL$4,0),FALSE),BoundParameters_HiddenSheetCLAY!$I$1:$L$1,0),FALSE))),'Control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8" t="str">
        <f>IF($K98="","",IF(O$37="","",IF('Control Panel'!O98="",IF(VLOOKUP($F63,'Table Output'!$A$1:$H$99998,8,FALSE)="Sand",VLOOKUP(O$37,BoundParameters_HiddenSheetSAND!$I$3:$L$50,MATCH(VLOOKUP($K98,$K$5:$AL$34,MATCH(VLOOKUP(O$37,$BJ$3:$BK$50,2,FALSE),$K$4:$AL$4,0),FALSE),BoundParameters_HiddenSheetCLAY!$I$1:$L$1,0),FALSE),IF(VLOOKUP($F63,'Table Output'!$A$1:$H$9998,8,FALSE)="Clay",VLOOKUP(O$37,BoundParameters_HiddenSheetCLAY!$I$3:$L$50,MATCH(VLOOKUP($K98,$K$5:$AL$34,MATCH(VLOOKUP(O$37,$BJ$3:$BK$50,2,FALSE),$K$4:$AL$4,0),FALSE),BoundParameters_HiddenSheetCLAY!$I$1:$L$1,0),FALSE))),'Control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8" t="str">
        <f>IF($K98="","",IF(P$37="","",IF('Control Panel'!P98="",IF(VLOOKUP($F63,'Table Output'!$A$1:$H$99998,8,FALSE)="Sand",VLOOKUP(P$37,BoundParameters_HiddenSheetSAND!$I$3:$L$50,MATCH(VLOOKUP($K98,$K$5:$AL$34,MATCH(VLOOKUP(P$37,$BJ$3:$BK$50,2,FALSE),$K$4:$AL$4,0),FALSE),BoundParameters_HiddenSheetCLAY!$I$1:$L$1,0),FALSE),IF(VLOOKUP($F63,'Table Output'!$A$1:$H$9998,8,FALSE)="Clay",VLOOKUP(P$37,BoundParameters_HiddenSheetCLAY!$I$3:$L$50,MATCH(VLOOKUP($K98,$K$5:$AL$34,MATCH(VLOOKUP(P$37,$BJ$3:$BK$50,2,FALSE),$K$4:$AL$4,0),FALSE),BoundParameters_HiddenSheetCLAY!$I$1:$L$1,0),FALSE))),'Control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8" t="str">
        <f>IF($K98="","",IF(Q$37="","",IF('Control Panel'!Q98="",IF(VLOOKUP($F63,'Table Output'!$A$1:$H$99998,8,FALSE)="Sand",VLOOKUP(Q$37,BoundParameters_HiddenSheetSAND!$I$3:$L$50,MATCH(VLOOKUP($K98,$K$5:$AL$34,MATCH(VLOOKUP(Q$37,$BJ$3:$BK$50,2,FALSE),$K$4:$AL$4,0),FALSE),BoundParameters_HiddenSheetCLAY!$I$1:$L$1,0),FALSE),IF(VLOOKUP($F63,'Table Output'!$A$1:$H$9998,8,FALSE)="Clay",VLOOKUP(Q$37,BoundParameters_HiddenSheetCLAY!$I$3:$L$50,MATCH(VLOOKUP($K98,$K$5:$AL$34,MATCH(VLOOKUP(Q$37,$BJ$3:$BK$50,2,FALSE),$K$4:$AL$4,0),FALSE),BoundParameters_HiddenSheetCLAY!$I$1:$L$1,0),FALSE))),'Control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8" t="str">
        <f>IF($K98="","",IF(R$37="","",IF('Control Panel'!R98="",IF(VLOOKUP($F63,'Table Output'!$A$1:$H$99998,8,FALSE)="Sand",VLOOKUP(R$37,BoundParameters_HiddenSheetSAND!$I$3:$L$50,MATCH(VLOOKUP($K98,$K$5:$AL$34,MATCH(VLOOKUP(R$37,$BJ$3:$BK$50,2,FALSE),$K$4:$AL$4,0),FALSE),BoundParameters_HiddenSheetCLAY!$I$1:$L$1,0),FALSE),IF(VLOOKUP($F63,'Table Output'!$A$1:$H$9998,8,FALSE)="Clay",VLOOKUP(R$37,BoundParameters_HiddenSheetCLAY!$I$3:$L$50,MATCH(VLOOKUP($K98,$K$5:$AL$34,MATCH(VLOOKUP(R$37,$BJ$3:$BK$50,2,FALSE),$K$4:$AL$4,0),FALSE),BoundParameters_HiddenSheetCLAY!$I$1:$L$1,0),FALSE))),'Control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8" t="str">
        <f>IF($K98="","",IF(S$37="","",IF('Control Panel'!S98="",IF(VLOOKUP($F63,'Table Output'!$A$1:$H$99998,8,FALSE)="Sand",VLOOKUP(S$37,BoundParameters_HiddenSheetSAND!$I$3:$L$50,MATCH(VLOOKUP($K98,$K$5:$AL$34,MATCH(VLOOKUP(S$37,$BJ$3:$BK$50,2,FALSE),$K$4:$AL$4,0),FALSE),BoundParameters_HiddenSheetCLAY!$I$1:$L$1,0),FALSE),IF(VLOOKUP($F63,'Table Output'!$A$1:$H$9998,8,FALSE)="Clay",VLOOKUP(S$37,BoundParameters_HiddenSheetCLAY!$I$3:$L$50,MATCH(VLOOKUP($K98,$K$5:$AL$34,MATCH(VLOOKUP(S$37,$BJ$3:$BK$50,2,FALSE),$K$4:$AL$4,0),FALSE),BoundParameters_HiddenSheetCLAY!$I$1:$L$1,0),FALSE))),'Control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8" t="str">
        <f>IF($K98="","",IF(T$37="","",IF('Control Panel'!T98="",IF(VLOOKUP($F63,'Table Output'!$A$1:$H$99998,8,FALSE)="Sand",VLOOKUP(T$37,BoundParameters_HiddenSheetSAND!$I$3:$L$50,MATCH(VLOOKUP($K98,$K$5:$AL$34,MATCH(VLOOKUP(T$37,$BJ$3:$BK$50,2,FALSE),$K$4:$AL$4,0),FALSE),BoundParameters_HiddenSheetCLAY!$I$1:$L$1,0),FALSE),IF(VLOOKUP($F63,'Table Output'!$A$1:$H$9998,8,FALSE)="Clay",VLOOKUP(T$37,BoundParameters_HiddenSheetCLAY!$I$3:$L$50,MATCH(VLOOKUP($K98,$K$5:$AL$34,MATCH(VLOOKUP(T$37,$BJ$3:$BK$50,2,FALSE),$K$4:$AL$4,0),FALSE),BoundParameters_HiddenSheetCLAY!$I$1:$L$1,0),FALSE))),'Control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8" t="str">
        <f>IF($K98="","",IF(U$37="","",IF('Control Panel'!U98="",IF(VLOOKUP($F63,'Table Output'!$A$1:$H$99998,8,FALSE)="Sand",VLOOKUP(U$37,BoundParameters_HiddenSheetSAND!$I$3:$L$50,MATCH(VLOOKUP($K98,$K$5:$AL$34,MATCH(VLOOKUP(U$37,$BJ$3:$BK$50,2,FALSE),$K$4:$AL$4,0),FALSE),BoundParameters_HiddenSheetCLAY!$I$1:$L$1,0),FALSE),IF(VLOOKUP($F63,'Table Output'!$A$1:$H$9998,8,FALSE)="Clay",VLOOKUP(U$37,BoundParameters_HiddenSheetCLAY!$I$3:$L$50,MATCH(VLOOKUP($K98,$K$5:$AL$34,MATCH(VLOOKUP(U$37,$BJ$3:$BK$50,2,FALSE),$K$4:$AL$4,0),FALSE),BoundParameters_HiddenSheetCLAY!$I$1:$L$1,0),FALSE))),'Control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5" t="str">
        <f>K64</f>
        <v/>
      </c>
      <c r="L99" s="28" t="str">
        <f>IF($K99="","",IF(L$37="","",IF('Control Panel'!L99="",IF(VLOOKUP($F64,'Table Output'!$A$1:$H$99998,8,FALSE)="Sand",VLOOKUP(L$37,BoundParameters_HiddenSheetSAND!$I$3:$L$50,MATCH(VLOOKUP($K99,$K$5:$AL$34,MATCH(VLOOKUP(L$37,$BJ$3:$BK$50,2,FALSE),$K$4:$AL$4,0),FALSE),BoundParameters_HiddenSheetCLAY!$I$1:$L$1,0),FALSE),IF(VLOOKUP($F64,'Table Output'!$A$1:$H$9998,8,FALSE)="Clay",VLOOKUP(L$37,BoundParameters_HiddenSheetCLAY!$I$3:$L$50,MATCH(VLOOKUP($K99,$K$5:$AL$34,MATCH(VLOOKUP(L$37,$BJ$3:$BK$50,2,FALSE),$K$4:$AL$4,0),FALSE),BoundParameters_HiddenSheetCLAY!$I$1:$L$1,0),FALSE))),'Control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8" t="str">
        <f>IF($K99="","",IF(M$37="","",IF('Control Panel'!M99="",IF(VLOOKUP($F64,'Table Output'!$A$1:$H$99998,8,FALSE)="Sand",VLOOKUP(M$37,BoundParameters_HiddenSheetSAND!$I$3:$L$50,MATCH(VLOOKUP($K99,$K$5:$AL$34,MATCH(VLOOKUP(M$37,$BJ$3:$BK$50,2,FALSE),$K$4:$AL$4,0),FALSE),BoundParameters_HiddenSheetCLAY!$I$1:$L$1,0),FALSE),IF(VLOOKUP($F64,'Table Output'!$A$1:$H$9998,8,FALSE)="Clay",VLOOKUP(M$37,BoundParameters_HiddenSheetCLAY!$I$3:$L$50,MATCH(VLOOKUP($K99,$K$5:$AL$34,MATCH(VLOOKUP(M$37,$BJ$3:$BK$50,2,FALSE),$K$4:$AL$4,0),FALSE),BoundParameters_HiddenSheetCLAY!$I$1:$L$1,0),FALSE))),'Control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8" t="str">
        <f>IF($K99="","",IF(N$37="","",IF('Control Panel'!N99="",IF(VLOOKUP($F64,'Table Output'!$A$1:$H$99998,8,FALSE)="Sand",VLOOKUP(N$37,BoundParameters_HiddenSheetSAND!$I$3:$L$50,MATCH(VLOOKUP($K99,$K$5:$AL$34,MATCH(VLOOKUP(N$37,$BJ$3:$BK$50,2,FALSE),$K$4:$AL$4,0),FALSE),BoundParameters_HiddenSheetCLAY!$I$1:$L$1,0),FALSE),IF(VLOOKUP($F64,'Table Output'!$A$1:$H$9998,8,FALSE)="Clay",VLOOKUP(N$37,BoundParameters_HiddenSheetCLAY!$I$3:$L$50,MATCH(VLOOKUP($K99,$K$5:$AL$34,MATCH(VLOOKUP(N$37,$BJ$3:$BK$50,2,FALSE),$K$4:$AL$4,0),FALSE),BoundParameters_HiddenSheetCLAY!$I$1:$L$1,0),FALSE))),'Control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8" t="str">
        <f>IF($K99="","",IF(O$37="","",IF('Control Panel'!O99="",IF(VLOOKUP($F64,'Table Output'!$A$1:$H$99998,8,FALSE)="Sand",VLOOKUP(O$37,BoundParameters_HiddenSheetSAND!$I$3:$L$50,MATCH(VLOOKUP($K99,$K$5:$AL$34,MATCH(VLOOKUP(O$37,$BJ$3:$BK$50,2,FALSE),$K$4:$AL$4,0),FALSE),BoundParameters_HiddenSheetCLAY!$I$1:$L$1,0),FALSE),IF(VLOOKUP($F64,'Table Output'!$A$1:$H$9998,8,FALSE)="Clay",VLOOKUP(O$37,BoundParameters_HiddenSheetCLAY!$I$3:$L$50,MATCH(VLOOKUP($K99,$K$5:$AL$34,MATCH(VLOOKUP(O$37,$BJ$3:$BK$50,2,FALSE),$K$4:$AL$4,0),FALSE),BoundParameters_HiddenSheetCLAY!$I$1:$L$1,0),FALSE))),'Control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8" t="str">
        <f>IF($K99="","",IF(P$37="","",IF('Control Panel'!P99="",IF(VLOOKUP($F64,'Table Output'!$A$1:$H$99998,8,FALSE)="Sand",VLOOKUP(P$37,BoundParameters_HiddenSheetSAND!$I$3:$L$50,MATCH(VLOOKUP($K99,$K$5:$AL$34,MATCH(VLOOKUP(P$37,$BJ$3:$BK$50,2,FALSE),$K$4:$AL$4,0),FALSE),BoundParameters_HiddenSheetCLAY!$I$1:$L$1,0),FALSE),IF(VLOOKUP($F64,'Table Output'!$A$1:$H$9998,8,FALSE)="Clay",VLOOKUP(P$37,BoundParameters_HiddenSheetCLAY!$I$3:$L$50,MATCH(VLOOKUP($K99,$K$5:$AL$34,MATCH(VLOOKUP(P$37,$BJ$3:$BK$50,2,FALSE),$K$4:$AL$4,0),FALSE),BoundParameters_HiddenSheetCLAY!$I$1:$L$1,0),FALSE))),'Control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8" t="str">
        <f>IF($K99="","",IF(Q$37="","",IF('Control Panel'!Q99="",IF(VLOOKUP($F64,'Table Output'!$A$1:$H$99998,8,FALSE)="Sand",VLOOKUP(Q$37,BoundParameters_HiddenSheetSAND!$I$3:$L$50,MATCH(VLOOKUP($K99,$K$5:$AL$34,MATCH(VLOOKUP(Q$37,$BJ$3:$BK$50,2,FALSE),$K$4:$AL$4,0),FALSE),BoundParameters_HiddenSheetCLAY!$I$1:$L$1,0),FALSE),IF(VLOOKUP($F64,'Table Output'!$A$1:$H$9998,8,FALSE)="Clay",VLOOKUP(Q$37,BoundParameters_HiddenSheetCLAY!$I$3:$L$50,MATCH(VLOOKUP($K99,$K$5:$AL$34,MATCH(VLOOKUP(Q$37,$BJ$3:$BK$50,2,FALSE),$K$4:$AL$4,0),FALSE),BoundParameters_HiddenSheetCLAY!$I$1:$L$1,0),FALSE))),'Control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8" t="str">
        <f>IF($K99="","",IF(R$37="","",IF('Control Panel'!R99="",IF(VLOOKUP($F64,'Table Output'!$A$1:$H$99998,8,FALSE)="Sand",VLOOKUP(R$37,BoundParameters_HiddenSheetSAND!$I$3:$L$50,MATCH(VLOOKUP($K99,$K$5:$AL$34,MATCH(VLOOKUP(R$37,$BJ$3:$BK$50,2,FALSE),$K$4:$AL$4,0),FALSE),BoundParameters_HiddenSheetCLAY!$I$1:$L$1,0),FALSE),IF(VLOOKUP($F64,'Table Output'!$A$1:$H$9998,8,FALSE)="Clay",VLOOKUP(R$37,BoundParameters_HiddenSheetCLAY!$I$3:$L$50,MATCH(VLOOKUP($K99,$K$5:$AL$34,MATCH(VLOOKUP(R$37,$BJ$3:$BK$50,2,FALSE),$K$4:$AL$4,0),FALSE),BoundParameters_HiddenSheetCLAY!$I$1:$L$1,0),FALSE))),'Control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8" t="str">
        <f>IF($K99="","",IF(S$37="","",IF('Control Panel'!S99="",IF(VLOOKUP($F64,'Table Output'!$A$1:$H$99998,8,FALSE)="Sand",VLOOKUP(S$37,BoundParameters_HiddenSheetSAND!$I$3:$L$50,MATCH(VLOOKUP($K99,$K$5:$AL$34,MATCH(VLOOKUP(S$37,$BJ$3:$BK$50,2,FALSE),$K$4:$AL$4,0),FALSE),BoundParameters_HiddenSheetCLAY!$I$1:$L$1,0),FALSE),IF(VLOOKUP($F64,'Table Output'!$A$1:$H$9998,8,FALSE)="Clay",VLOOKUP(S$37,BoundParameters_HiddenSheetCLAY!$I$3:$L$50,MATCH(VLOOKUP($K99,$K$5:$AL$34,MATCH(VLOOKUP(S$37,$BJ$3:$BK$50,2,FALSE),$K$4:$AL$4,0),FALSE),BoundParameters_HiddenSheetCLAY!$I$1:$L$1,0),FALSE))),'Control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8" t="str">
        <f>IF($K99="","",IF(T$37="","",IF('Control Panel'!T99="",IF(VLOOKUP($F64,'Table Output'!$A$1:$H$99998,8,FALSE)="Sand",VLOOKUP(T$37,BoundParameters_HiddenSheetSAND!$I$3:$L$50,MATCH(VLOOKUP($K99,$K$5:$AL$34,MATCH(VLOOKUP(T$37,$BJ$3:$BK$50,2,FALSE),$K$4:$AL$4,0),FALSE),BoundParameters_HiddenSheetCLAY!$I$1:$L$1,0),FALSE),IF(VLOOKUP($F64,'Table Output'!$A$1:$H$9998,8,FALSE)="Clay",VLOOKUP(T$37,BoundParameters_HiddenSheetCLAY!$I$3:$L$50,MATCH(VLOOKUP($K99,$K$5:$AL$34,MATCH(VLOOKUP(T$37,$BJ$3:$BK$50,2,FALSE),$K$4:$AL$4,0),FALSE),BoundParameters_HiddenSheetCLAY!$I$1:$L$1,0),FALSE))),'Control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8" t="str">
        <f>IF($K99="","",IF(U$37="","",IF('Control Panel'!U99="",IF(VLOOKUP($F64,'Table Output'!$A$1:$H$99998,8,FALSE)="Sand",VLOOKUP(U$37,BoundParameters_HiddenSheetSAND!$I$3:$L$50,MATCH(VLOOKUP($K99,$K$5:$AL$34,MATCH(VLOOKUP(U$37,$BJ$3:$BK$50,2,FALSE),$K$4:$AL$4,0),FALSE),BoundParameters_HiddenSheetCLAY!$I$1:$L$1,0),FALSE),IF(VLOOKUP($F64,'Table Output'!$A$1:$H$9998,8,FALSE)="Clay",VLOOKUP(U$37,BoundParameters_HiddenSheetCLAY!$I$3:$L$50,MATCH(VLOOKUP($K99,$K$5:$AL$34,MATCH(VLOOKUP(U$37,$BJ$3:$BK$50,2,FALSE),$K$4:$AL$4,0),FALSE),BoundParameters_HiddenSheetCLAY!$I$1:$L$1,0),FALSE))),'Control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5" t="str">
        <f>K65</f>
        <v/>
      </c>
      <c r="L100" s="28" t="str">
        <f>IF($K100="","",IF(L$37="","",IF('Control Panel'!L100="",IF(VLOOKUP($F65,'Table Output'!$A$1:$H$99998,8,FALSE)="Sand",VLOOKUP(L$37,BoundParameters_HiddenSheetSAND!$I$3:$L$50,MATCH(VLOOKUP($K100,$K$5:$AL$34,MATCH(VLOOKUP(L$37,$BJ$3:$BK$50,2,FALSE),$K$4:$AL$4,0),FALSE),BoundParameters_HiddenSheetCLAY!$I$1:$L$1,0),FALSE),IF(VLOOKUP($F65,'Table Output'!$A$1:$H$9998,8,FALSE)="Clay",VLOOKUP(L$37,BoundParameters_HiddenSheetCLAY!$I$3:$L$50,MATCH(VLOOKUP($K100,$K$5:$AL$34,MATCH(VLOOKUP(L$37,$BJ$3:$BK$50,2,FALSE),$K$4:$AL$4,0),FALSE),BoundParameters_HiddenSheetCLAY!$I$1:$L$1,0),FALSE))),'Control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8" t="str">
        <f>IF($K100="","",IF(M$37="","",IF('Control Panel'!M100="",IF(VLOOKUP($F65,'Table Output'!$A$1:$H$99998,8,FALSE)="Sand",VLOOKUP(M$37,BoundParameters_HiddenSheetSAND!$I$3:$L$50,MATCH(VLOOKUP($K100,$K$5:$AL$34,MATCH(VLOOKUP(M$37,$BJ$3:$BK$50,2,FALSE),$K$4:$AL$4,0),FALSE),BoundParameters_HiddenSheetCLAY!$I$1:$L$1,0),FALSE),IF(VLOOKUP($F65,'Table Output'!$A$1:$H$9998,8,FALSE)="Clay",VLOOKUP(M$37,BoundParameters_HiddenSheetCLAY!$I$3:$L$50,MATCH(VLOOKUP($K100,$K$5:$AL$34,MATCH(VLOOKUP(M$37,$BJ$3:$BK$50,2,FALSE),$K$4:$AL$4,0),FALSE),BoundParameters_HiddenSheetCLAY!$I$1:$L$1,0),FALSE))),'Control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8" t="str">
        <f>IF($K100="","",IF(N$37="","",IF('Control Panel'!N100="",IF(VLOOKUP($F65,'Table Output'!$A$1:$H$99998,8,FALSE)="Sand",VLOOKUP(N$37,BoundParameters_HiddenSheetSAND!$I$3:$L$50,MATCH(VLOOKUP($K100,$K$5:$AL$34,MATCH(VLOOKUP(N$37,$BJ$3:$BK$50,2,FALSE),$K$4:$AL$4,0),FALSE),BoundParameters_HiddenSheetCLAY!$I$1:$L$1,0),FALSE),IF(VLOOKUP($F65,'Table Output'!$A$1:$H$9998,8,FALSE)="Clay",VLOOKUP(N$37,BoundParameters_HiddenSheetCLAY!$I$3:$L$50,MATCH(VLOOKUP($K100,$K$5:$AL$34,MATCH(VLOOKUP(N$37,$BJ$3:$BK$50,2,FALSE),$K$4:$AL$4,0),FALSE),BoundParameters_HiddenSheetCLAY!$I$1:$L$1,0),FALSE))),'Control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8" t="str">
        <f>IF($K100="","",IF(O$37="","",IF('Control Panel'!O100="",IF(VLOOKUP($F65,'Table Output'!$A$1:$H$99998,8,FALSE)="Sand",VLOOKUP(O$37,BoundParameters_HiddenSheetSAND!$I$3:$L$50,MATCH(VLOOKUP($K100,$K$5:$AL$34,MATCH(VLOOKUP(O$37,$BJ$3:$BK$50,2,FALSE),$K$4:$AL$4,0),FALSE),BoundParameters_HiddenSheetCLAY!$I$1:$L$1,0),FALSE),IF(VLOOKUP($F65,'Table Output'!$A$1:$H$9998,8,FALSE)="Clay",VLOOKUP(O$37,BoundParameters_HiddenSheetCLAY!$I$3:$L$50,MATCH(VLOOKUP($K100,$K$5:$AL$34,MATCH(VLOOKUP(O$37,$BJ$3:$BK$50,2,FALSE),$K$4:$AL$4,0),FALSE),BoundParameters_HiddenSheetCLAY!$I$1:$L$1,0),FALSE))),'Control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8" t="str">
        <f>IF($K100="","",IF(P$37="","",IF('Control Panel'!P100="",IF(VLOOKUP($F65,'Table Output'!$A$1:$H$99998,8,FALSE)="Sand",VLOOKUP(P$37,BoundParameters_HiddenSheetSAND!$I$3:$L$50,MATCH(VLOOKUP($K100,$K$5:$AL$34,MATCH(VLOOKUP(P$37,$BJ$3:$BK$50,2,FALSE),$K$4:$AL$4,0),FALSE),BoundParameters_HiddenSheetCLAY!$I$1:$L$1,0),FALSE),IF(VLOOKUP($F65,'Table Output'!$A$1:$H$9998,8,FALSE)="Clay",VLOOKUP(P$37,BoundParameters_HiddenSheetCLAY!$I$3:$L$50,MATCH(VLOOKUP($K100,$K$5:$AL$34,MATCH(VLOOKUP(P$37,$BJ$3:$BK$50,2,FALSE),$K$4:$AL$4,0),FALSE),BoundParameters_HiddenSheetCLAY!$I$1:$L$1,0),FALSE))),'Control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8" t="str">
        <f>IF($K100="","",IF(Q$37="","",IF('Control Panel'!Q100="",IF(VLOOKUP($F65,'Table Output'!$A$1:$H$99998,8,FALSE)="Sand",VLOOKUP(Q$37,BoundParameters_HiddenSheetSAND!$I$3:$L$50,MATCH(VLOOKUP($K100,$K$5:$AL$34,MATCH(VLOOKUP(Q$37,$BJ$3:$BK$50,2,FALSE),$K$4:$AL$4,0),FALSE),BoundParameters_HiddenSheetCLAY!$I$1:$L$1,0),FALSE),IF(VLOOKUP($F65,'Table Output'!$A$1:$H$9998,8,FALSE)="Clay",VLOOKUP(Q$37,BoundParameters_HiddenSheetCLAY!$I$3:$L$50,MATCH(VLOOKUP($K100,$K$5:$AL$34,MATCH(VLOOKUP(Q$37,$BJ$3:$BK$50,2,FALSE),$K$4:$AL$4,0),FALSE),BoundParameters_HiddenSheetCLAY!$I$1:$L$1,0),FALSE))),'Control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8" t="str">
        <f>IF($K100="","",IF(R$37="","",IF('Control Panel'!R100="",IF(VLOOKUP($F65,'Table Output'!$A$1:$H$99998,8,FALSE)="Sand",VLOOKUP(R$37,BoundParameters_HiddenSheetSAND!$I$3:$L$50,MATCH(VLOOKUP($K100,$K$5:$AL$34,MATCH(VLOOKUP(R$37,$BJ$3:$BK$50,2,FALSE),$K$4:$AL$4,0),FALSE),BoundParameters_HiddenSheetCLAY!$I$1:$L$1,0),FALSE),IF(VLOOKUP($F65,'Table Output'!$A$1:$H$9998,8,FALSE)="Clay",VLOOKUP(R$37,BoundParameters_HiddenSheetCLAY!$I$3:$L$50,MATCH(VLOOKUP($K100,$K$5:$AL$34,MATCH(VLOOKUP(R$37,$BJ$3:$BK$50,2,FALSE),$K$4:$AL$4,0),FALSE),BoundParameters_HiddenSheetCLAY!$I$1:$L$1,0),FALSE))),'Control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8" t="str">
        <f>IF($K100="","",IF(S$37="","",IF('Control Panel'!S100="",IF(VLOOKUP($F65,'Table Output'!$A$1:$H$99998,8,FALSE)="Sand",VLOOKUP(S$37,BoundParameters_HiddenSheetSAND!$I$3:$L$50,MATCH(VLOOKUP($K100,$K$5:$AL$34,MATCH(VLOOKUP(S$37,$BJ$3:$BK$50,2,FALSE),$K$4:$AL$4,0),FALSE),BoundParameters_HiddenSheetCLAY!$I$1:$L$1,0),FALSE),IF(VLOOKUP($F65,'Table Output'!$A$1:$H$9998,8,FALSE)="Clay",VLOOKUP(S$37,BoundParameters_HiddenSheetCLAY!$I$3:$L$50,MATCH(VLOOKUP($K100,$K$5:$AL$34,MATCH(VLOOKUP(S$37,$BJ$3:$BK$50,2,FALSE),$K$4:$AL$4,0),FALSE),BoundParameters_HiddenSheetCLAY!$I$1:$L$1,0),FALSE))),'Control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8" t="str">
        <f>IF($K100="","",IF(T$37="","",IF('Control Panel'!T100="",IF(VLOOKUP($F65,'Table Output'!$A$1:$H$99998,8,FALSE)="Sand",VLOOKUP(T$37,BoundParameters_HiddenSheetSAND!$I$3:$L$50,MATCH(VLOOKUP($K100,$K$5:$AL$34,MATCH(VLOOKUP(T$37,$BJ$3:$BK$50,2,FALSE),$K$4:$AL$4,0),FALSE),BoundParameters_HiddenSheetCLAY!$I$1:$L$1,0),FALSE),IF(VLOOKUP($F65,'Table Output'!$A$1:$H$9998,8,FALSE)="Clay",VLOOKUP(T$37,BoundParameters_HiddenSheetCLAY!$I$3:$L$50,MATCH(VLOOKUP($K100,$K$5:$AL$34,MATCH(VLOOKUP(T$37,$BJ$3:$BK$50,2,FALSE),$K$4:$AL$4,0),FALSE),BoundParameters_HiddenSheetCLAY!$I$1:$L$1,0),FALSE))),'Control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8" t="str">
        <f>IF($K100="","",IF(U$37="","",IF('Control Panel'!U100="",IF(VLOOKUP($F65,'Table Output'!$A$1:$H$99998,8,FALSE)="Sand",VLOOKUP(U$37,BoundParameters_HiddenSheetSAND!$I$3:$L$50,MATCH(VLOOKUP($K100,$K$5:$AL$34,MATCH(VLOOKUP(U$37,$BJ$3:$BK$50,2,FALSE),$K$4:$AL$4,0),FALSE),BoundParameters_HiddenSheetCLAY!$I$1:$L$1,0),FALSE),IF(VLOOKUP($F65,'Table Output'!$A$1:$H$9998,8,FALSE)="Clay",VLOOKUP(U$37,BoundParameters_HiddenSheetCLAY!$I$3:$L$50,MATCH(VLOOKUP($K100,$K$5:$AL$34,MATCH(VLOOKUP(U$37,$BJ$3:$BK$50,2,FALSE),$K$4:$AL$4,0),FALSE),BoundParameters_HiddenSheetCLAY!$I$1:$L$1,0),FALSE))),'Control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5" t="str">
        <f>K66</f>
        <v/>
      </c>
      <c r="L101" s="28" t="str">
        <f>IF($K101="","",IF(L$37="","",IF('Control Panel'!L101="",IF(VLOOKUP($F66,'Table Output'!$A$1:$H$99998,8,FALSE)="Sand",VLOOKUP(L$37,BoundParameters_HiddenSheetSAND!$I$3:$L$50,MATCH(VLOOKUP($K101,$K$5:$AL$34,MATCH(VLOOKUP(L$37,$BJ$3:$BK$50,2,FALSE),$K$4:$AL$4,0),FALSE),BoundParameters_HiddenSheetCLAY!$I$1:$L$1,0),FALSE),IF(VLOOKUP($F66,'Table Output'!$A$1:$H$9998,8,FALSE)="Clay",VLOOKUP(L$37,BoundParameters_HiddenSheetCLAY!$I$3:$L$50,MATCH(VLOOKUP($K101,$K$5:$AL$34,MATCH(VLOOKUP(L$37,$BJ$3:$BK$50,2,FALSE),$K$4:$AL$4,0),FALSE),BoundParameters_HiddenSheetCLAY!$I$1:$L$1,0),FALSE))),'Control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8" t="str">
        <f>IF($K101="","",IF(M$37="","",IF('Control Panel'!M101="",IF(VLOOKUP($F66,'Table Output'!$A$1:$H$99998,8,FALSE)="Sand",VLOOKUP(M$37,BoundParameters_HiddenSheetSAND!$I$3:$L$50,MATCH(VLOOKUP($K101,$K$5:$AL$34,MATCH(VLOOKUP(M$37,$BJ$3:$BK$50,2,FALSE),$K$4:$AL$4,0),FALSE),BoundParameters_HiddenSheetCLAY!$I$1:$L$1,0),FALSE),IF(VLOOKUP($F66,'Table Output'!$A$1:$H$9998,8,FALSE)="Clay",VLOOKUP(M$37,BoundParameters_HiddenSheetCLAY!$I$3:$L$50,MATCH(VLOOKUP($K101,$K$5:$AL$34,MATCH(VLOOKUP(M$37,$BJ$3:$BK$50,2,FALSE),$K$4:$AL$4,0),FALSE),BoundParameters_HiddenSheetCLAY!$I$1:$L$1,0),FALSE))),'Control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8" t="str">
        <f>IF($K101="","",IF(N$37="","",IF('Control Panel'!N101="",IF(VLOOKUP($F66,'Table Output'!$A$1:$H$99998,8,FALSE)="Sand",VLOOKUP(N$37,BoundParameters_HiddenSheetSAND!$I$3:$L$50,MATCH(VLOOKUP($K101,$K$5:$AL$34,MATCH(VLOOKUP(N$37,$BJ$3:$BK$50,2,FALSE),$K$4:$AL$4,0),FALSE),BoundParameters_HiddenSheetCLAY!$I$1:$L$1,0),FALSE),IF(VLOOKUP($F66,'Table Output'!$A$1:$H$9998,8,FALSE)="Clay",VLOOKUP(N$37,BoundParameters_HiddenSheetCLAY!$I$3:$L$50,MATCH(VLOOKUP($K101,$K$5:$AL$34,MATCH(VLOOKUP(N$37,$BJ$3:$BK$50,2,FALSE),$K$4:$AL$4,0),FALSE),BoundParameters_HiddenSheetCLAY!$I$1:$L$1,0),FALSE))),'Control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8" t="str">
        <f>IF($K101="","",IF(O$37="","",IF('Control Panel'!O101="",IF(VLOOKUP($F66,'Table Output'!$A$1:$H$99998,8,FALSE)="Sand",VLOOKUP(O$37,BoundParameters_HiddenSheetSAND!$I$3:$L$50,MATCH(VLOOKUP($K101,$K$5:$AL$34,MATCH(VLOOKUP(O$37,$BJ$3:$BK$50,2,FALSE),$K$4:$AL$4,0),FALSE),BoundParameters_HiddenSheetCLAY!$I$1:$L$1,0),FALSE),IF(VLOOKUP($F66,'Table Output'!$A$1:$H$9998,8,FALSE)="Clay",VLOOKUP(O$37,BoundParameters_HiddenSheetCLAY!$I$3:$L$50,MATCH(VLOOKUP($K101,$K$5:$AL$34,MATCH(VLOOKUP(O$37,$BJ$3:$BK$50,2,FALSE),$K$4:$AL$4,0),FALSE),BoundParameters_HiddenSheetCLAY!$I$1:$L$1,0),FALSE))),'Control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8" t="str">
        <f>IF($K101="","",IF(P$37="","",IF('Control Panel'!P101="",IF(VLOOKUP($F66,'Table Output'!$A$1:$H$99998,8,FALSE)="Sand",VLOOKUP(P$37,BoundParameters_HiddenSheetSAND!$I$3:$L$50,MATCH(VLOOKUP($K101,$K$5:$AL$34,MATCH(VLOOKUP(P$37,$BJ$3:$BK$50,2,FALSE),$K$4:$AL$4,0),FALSE),BoundParameters_HiddenSheetCLAY!$I$1:$L$1,0),FALSE),IF(VLOOKUP($F66,'Table Output'!$A$1:$H$9998,8,FALSE)="Clay",VLOOKUP(P$37,BoundParameters_HiddenSheetCLAY!$I$3:$L$50,MATCH(VLOOKUP($K101,$K$5:$AL$34,MATCH(VLOOKUP(P$37,$BJ$3:$BK$50,2,FALSE),$K$4:$AL$4,0),FALSE),BoundParameters_HiddenSheetCLAY!$I$1:$L$1,0),FALSE))),'Control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8" t="str">
        <f>IF($K101="","",IF(Q$37="","",IF('Control Panel'!Q101="",IF(VLOOKUP($F66,'Table Output'!$A$1:$H$99998,8,FALSE)="Sand",VLOOKUP(Q$37,BoundParameters_HiddenSheetSAND!$I$3:$L$50,MATCH(VLOOKUP($K101,$K$5:$AL$34,MATCH(VLOOKUP(Q$37,$BJ$3:$BK$50,2,FALSE),$K$4:$AL$4,0),FALSE),BoundParameters_HiddenSheetCLAY!$I$1:$L$1,0),FALSE),IF(VLOOKUP($F66,'Table Output'!$A$1:$H$9998,8,FALSE)="Clay",VLOOKUP(Q$37,BoundParameters_HiddenSheetCLAY!$I$3:$L$50,MATCH(VLOOKUP($K101,$K$5:$AL$34,MATCH(VLOOKUP(Q$37,$BJ$3:$BK$50,2,FALSE),$K$4:$AL$4,0),FALSE),BoundParameters_HiddenSheetCLAY!$I$1:$L$1,0),FALSE))),'Control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8" t="str">
        <f>IF($K101="","",IF(R$37="","",IF('Control Panel'!R101="",IF(VLOOKUP($F66,'Table Output'!$A$1:$H$99998,8,FALSE)="Sand",VLOOKUP(R$37,BoundParameters_HiddenSheetSAND!$I$3:$L$50,MATCH(VLOOKUP($K101,$K$5:$AL$34,MATCH(VLOOKUP(R$37,$BJ$3:$BK$50,2,FALSE),$K$4:$AL$4,0),FALSE),BoundParameters_HiddenSheetCLAY!$I$1:$L$1,0),FALSE),IF(VLOOKUP($F66,'Table Output'!$A$1:$H$9998,8,FALSE)="Clay",VLOOKUP(R$37,BoundParameters_HiddenSheetCLAY!$I$3:$L$50,MATCH(VLOOKUP($K101,$K$5:$AL$34,MATCH(VLOOKUP(R$37,$BJ$3:$BK$50,2,FALSE),$K$4:$AL$4,0),FALSE),BoundParameters_HiddenSheetCLAY!$I$1:$L$1,0),FALSE))),'Control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8" t="str">
        <f>IF($K101="","",IF(S$37="","",IF('Control Panel'!S101="",IF(VLOOKUP($F66,'Table Output'!$A$1:$H$99998,8,FALSE)="Sand",VLOOKUP(S$37,BoundParameters_HiddenSheetSAND!$I$3:$L$50,MATCH(VLOOKUP($K101,$K$5:$AL$34,MATCH(VLOOKUP(S$37,$BJ$3:$BK$50,2,FALSE),$K$4:$AL$4,0),FALSE),BoundParameters_HiddenSheetCLAY!$I$1:$L$1,0),FALSE),IF(VLOOKUP($F66,'Table Output'!$A$1:$H$9998,8,FALSE)="Clay",VLOOKUP(S$37,BoundParameters_HiddenSheetCLAY!$I$3:$L$50,MATCH(VLOOKUP($K101,$K$5:$AL$34,MATCH(VLOOKUP(S$37,$BJ$3:$BK$50,2,FALSE),$K$4:$AL$4,0),FALSE),BoundParameters_HiddenSheetCLAY!$I$1:$L$1,0),FALSE))),'Control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8" t="str">
        <f>IF($K101="","",IF(T$37="","",IF('Control Panel'!T101="",IF(VLOOKUP($F66,'Table Output'!$A$1:$H$99998,8,FALSE)="Sand",VLOOKUP(T$37,BoundParameters_HiddenSheetSAND!$I$3:$L$50,MATCH(VLOOKUP($K101,$K$5:$AL$34,MATCH(VLOOKUP(T$37,$BJ$3:$BK$50,2,FALSE),$K$4:$AL$4,0),FALSE),BoundParameters_HiddenSheetCLAY!$I$1:$L$1,0),FALSE),IF(VLOOKUP($F66,'Table Output'!$A$1:$H$9998,8,FALSE)="Clay",VLOOKUP(T$37,BoundParameters_HiddenSheetCLAY!$I$3:$L$50,MATCH(VLOOKUP($K101,$K$5:$AL$34,MATCH(VLOOKUP(T$37,$BJ$3:$BK$50,2,FALSE),$K$4:$AL$4,0),FALSE),BoundParameters_HiddenSheetCLAY!$I$1:$L$1,0),FALSE))),'Control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8" t="str">
        <f>IF($K101="","",IF(U$37="","",IF('Control Panel'!U101="",IF(VLOOKUP($F66,'Table Output'!$A$1:$H$99998,8,FALSE)="Sand",VLOOKUP(U$37,BoundParameters_HiddenSheetSAND!$I$3:$L$50,MATCH(VLOOKUP($K101,$K$5:$AL$34,MATCH(VLOOKUP(U$37,$BJ$3:$BK$50,2,FALSE),$K$4:$AL$4,0),FALSE),BoundParameters_HiddenSheetCLAY!$I$1:$L$1,0),FALSE),IF(VLOOKUP($F66,'Table Output'!$A$1:$H$9998,8,FALSE)="Clay",VLOOKUP(U$37,BoundParameters_HiddenSheetCLAY!$I$3:$L$50,MATCH(VLOOKUP($K101,$K$5:$AL$34,MATCH(VLOOKUP(U$37,$BJ$3:$BK$50,2,FALSE),$K$4:$AL$4,0),FALSE),BoundParameters_HiddenSheetCLAY!$I$1:$L$1,0),FALSE))),'Control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5" t="str">
        <f>K67</f>
        <v/>
      </c>
      <c r="L102" s="28" t="str">
        <f>IF($K102="","",IF(L$37="","",IF('Control Panel'!L102="",IF(VLOOKUP($F67,'Table Output'!$A$1:$H$99998,8,FALSE)="Sand",VLOOKUP(L$37,BoundParameters_HiddenSheetSAND!$I$3:$L$50,MATCH(VLOOKUP($K102,$K$5:$AL$34,MATCH(VLOOKUP(L$37,$BJ$3:$BK$50,2,FALSE),$K$4:$AL$4,0),FALSE),BoundParameters_HiddenSheetCLAY!$I$1:$L$1,0),FALSE),IF(VLOOKUP($F67,'Table Output'!$A$1:$H$9998,8,FALSE)="Clay",VLOOKUP(L$37,BoundParameters_HiddenSheetCLAY!$I$3:$L$50,MATCH(VLOOKUP($K102,$K$5:$AL$34,MATCH(VLOOKUP(L$37,$BJ$3:$BK$50,2,FALSE),$K$4:$AL$4,0),FALSE),BoundParameters_HiddenSheetCLAY!$I$1:$L$1,0),FALSE))),'Control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8" t="str">
        <f>IF($K102="","",IF(M$37="","",IF('Control Panel'!M102="",IF(VLOOKUP($F67,'Table Output'!$A$1:$H$99998,8,FALSE)="Sand",VLOOKUP(M$37,BoundParameters_HiddenSheetSAND!$I$3:$L$50,MATCH(VLOOKUP($K102,$K$5:$AL$34,MATCH(VLOOKUP(M$37,$BJ$3:$BK$50,2,FALSE),$K$4:$AL$4,0),FALSE),BoundParameters_HiddenSheetCLAY!$I$1:$L$1,0),FALSE),IF(VLOOKUP($F67,'Table Output'!$A$1:$H$9998,8,FALSE)="Clay",VLOOKUP(M$37,BoundParameters_HiddenSheetCLAY!$I$3:$L$50,MATCH(VLOOKUP($K102,$K$5:$AL$34,MATCH(VLOOKUP(M$37,$BJ$3:$BK$50,2,FALSE),$K$4:$AL$4,0),FALSE),BoundParameters_HiddenSheetCLAY!$I$1:$L$1,0),FALSE))),'Control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8" t="str">
        <f>IF($K102="","",IF(N$37="","",IF('Control Panel'!N102="",IF(VLOOKUP($F67,'Table Output'!$A$1:$H$99998,8,FALSE)="Sand",VLOOKUP(N$37,BoundParameters_HiddenSheetSAND!$I$3:$L$50,MATCH(VLOOKUP($K102,$K$5:$AL$34,MATCH(VLOOKUP(N$37,$BJ$3:$BK$50,2,FALSE),$K$4:$AL$4,0),FALSE),BoundParameters_HiddenSheetCLAY!$I$1:$L$1,0),FALSE),IF(VLOOKUP($F67,'Table Output'!$A$1:$H$9998,8,FALSE)="Clay",VLOOKUP(N$37,BoundParameters_HiddenSheetCLAY!$I$3:$L$50,MATCH(VLOOKUP($K102,$K$5:$AL$34,MATCH(VLOOKUP(N$37,$BJ$3:$BK$50,2,FALSE),$K$4:$AL$4,0),FALSE),BoundParameters_HiddenSheetCLAY!$I$1:$L$1,0),FALSE))),'Control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8" t="str">
        <f>IF($K102="","",IF(O$37="","",IF('Control Panel'!O102="",IF(VLOOKUP($F67,'Table Output'!$A$1:$H$99998,8,FALSE)="Sand",VLOOKUP(O$37,BoundParameters_HiddenSheetSAND!$I$3:$L$50,MATCH(VLOOKUP($K102,$K$5:$AL$34,MATCH(VLOOKUP(O$37,$BJ$3:$BK$50,2,FALSE),$K$4:$AL$4,0),FALSE),BoundParameters_HiddenSheetCLAY!$I$1:$L$1,0),FALSE),IF(VLOOKUP($F67,'Table Output'!$A$1:$H$9998,8,FALSE)="Clay",VLOOKUP(O$37,BoundParameters_HiddenSheetCLAY!$I$3:$L$50,MATCH(VLOOKUP($K102,$K$5:$AL$34,MATCH(VLOOKUP(O$37,$BJ$3:$BK$50,2,FALSE),$K$4:$AL$4,0),FALSE),BoundParameters_HiddenSheetCLAY!$I$1:$L$1,0),FALSE))),'Control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8" t="str">
        <f>IF($K102="","",IF(P$37="","",IF('Control Panel'!P102="",IF(VLOOKUP($F67,'Table Output'!$A$1:$H$99998,8,FALSE)="Sand",VLOOKUP(P$37,BoundParameters_HiddenSheetSAND!$I$3:$L$50,MATCH(VLOOKUP($K102,$K$5:$AL$34,MATCH(VLOOKUP(P$37,$BJ$3:$BK$50,2,FALSE),$K$4:$AL$4,0),FALSE),BoundParameters_HiddenSheetCLAY!$I$1:$L$1,0),FALSE),IF(VLOOKUP($F67,'Table Output'!$A$1:$H$9998,8,FALSE)="Clay",VLOOKUP(P$37,BoundParameters_HiddenSheetCLAY!$I$3:$L$50,MATCH(VLOOKUP($K102,$K$5:$AL$34,MATCH(VLOOKUP(P$37,$BJ$3:$BK$50,2,FALSE),$K$4:$AL$4,0),FALSE),BoundParameters_HiddenSheetCLAY!$I$1:$L$1,0),FALSE))),'Control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8" t="str">
        <f>IF($K102="","",IF(Q$37="","",IF('Control Panel'!Q102="",IF(VLOOKUP($F67,'Table Output'!$A$1:$H$99998,8,FALSE)="Sand",VLOOKUP(Q$37,BoundParameters_HiddenSheetSAND!$I$3:$L$50,MATCH(VLOOKUP($K102,$K$5:$AL$34,MATCH(VLOOKUP(Q$37,$BJ$3:$BK$50,2,FALSE),$K$4:$AL$4,0),FALSE),BoundParameters_HiddenSheetCLAY!$I$1:$L$1,0),FALSE),IF(VLOOKUP($F67,'Table Output'!$A$1:$H$9998,8,FALSE)="Clay",VLOOKUP(Q$37,BoundParameters_HiddenSheetCLAY!$I$3:$L$50,MATCH(VLOOKUP($K102,$K$5:$AL$34,MATCH(VLOOKUP(Q$37,$BJ$3:$BK$50,2,FALSE),$K$4:$AL$4,0),FALSE),BoundParameters_HiddenSheetCLAY!$I$1:$L$1,0),FALSE))),'Control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8" t="str">
        <f>IF($K102="","",IF(R$37="","",IF('Control Panel'!R102="",IF(VLOOKUP($F67,'Table Output'!$A$1:$H$99998,8,FALSE)="Sand",VLOOKUP(R$37,BoundParameters_HiddenSheetSAND!$I$3:$L$50,MATCH(VLOOKUP($K102,$K$5:$AL$34,MATCH(VLOOKUP(R$37,$BJ$3:$BK$50,2,FALSE),$K$4:$AL$4,0),FALSE),BoundParameters_HiddenSheetCLAY!$I$1:$L$1,0),FALSE),IF(VLOOKUP($F67,'Table Output'!$A$1:$H$9998,8,FALSE)="Clay",VLOOKUP(R$37,BoundParameters_HiddenSheetCLAY!$I$3:$L$50,MATCH(VLOOKUP($K102,$K$5:$AL$34,MATCH(VLOOKUP(R$37,$BJ$3:$BK$50,2,FALSE),$K$4:$AL$4,0),FALSE),BoundParameters_HiddenSheetCLAY!$I$1:$L$1,0),FALSE))),'Control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8" t="str">
        <f>IF($K102="","",IF(S$37="","",IF('Control Panel'!S102="",IF(VLOOKUP($F67,'Table Output'!$A$1:$H$99998,8,FALSE)="Sand",VLOOKUP(S$37,BoundParameters_HiddenSheetSAND!$I$3:$L$50,MATCH(VLOOKUP($K102,$K$5:$AL$34,MATCH(VLOOKUP(S$37,$BJ$3:$BK$50,2,FALSE),$K$4:$AL$4,0),FALSE),BoundParameters_HiddenSheetCLAY!$I$1:$L$1,0),FALSE),IF(VLOOKUP($F67,'Table Output'!$A$1:$H$9998,8,FALSE)="Clay",VLOOKUP(S$37,BoundParameters_HiddenSheetCLAY!$I$3:$L$50,MATCH(VLOOKUP($K102,$K$5:$AL$34,MATCH(VLOOKUP(S$37,$BJ$3:$BK$50,2,FALSE),$K$4:$AL$4,0),FALSE),BoundParameters_HiddenSheetCLAY!$I$1:$L$1,0),FALSE))),'Control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8" t="str">
        <f>IF($K102="","",IF(T$37="","",IF('Control Panel'!T102="",IF(VLOOKUP($F67,'Table Output'!$A$1:$H$99998,8,FALSE)="Sand",VLOOKUP(T$37,BoundParameters_HiddenSheetSAND!$I$3:$L$50,MATCH(VLOOKUP($K102,$K$5:$AL$34,MATCH(VLOOKUP(T$37,$BJ$3:$BK$50,2,FALSE),$K$4:$AL$4,0),FALSE),BoundParameters_HiddenSheetCLAY!$I$1:$L$1,0),FALSE),IF(VLOOKUP($F67,'Table Output'!$A$1:$H$9998,8,FALSE)="Clay",VLOOKUP(T$37,BoundParameters_HiddenSheetCLAY!$I$3:$L$50,MATCH(VLOOKUP($K102,$K$5:$AL$34,MATCH(VLOOKUP(T$37,$BJ$3:$BK$50,2,FALSE),$K$4:$AL$4,0),FALSE),BoundParameters_HiddenSheetCLAY!$I$1:$L$1,0),FALSE))),'Control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8" t="str">
        <f>IF($K102="","",IF(U$37="","",IF('Control Panel'!U102="",IF(VLOOKUP($F67,'Table Output'!$A$1:$H$99998,8,FALSE)="Sand",VLOOKUP(U$37,BoundParameters_HiddenSheetSAND!$I$3:$L$50,MATCH(VLOOKUP($K102,$K$5:$AL$34,MATCH(VLOOKUP(U$37,$BJ$3:$BK$50,2,FALSE),$K$4:$AL$4,0),FALSE),BoundParameters_HiddenSheetCLAY!$I$1:$L$1,0),FALSE),IF(VLOOKUP($F67,'Table Output'!$A$1:$H$9998,8,FALSE)="Clay",VLOOKUP(U$37,BoundParameters_HiddenSheetCLAY!$I$3:$L$50,MATCH(VLOOKUP($K102,$K$5:$AL$34,MATCH(VLOOKUP(U$37,$BJ$3:$BK$50,2,FALSE),$K$4:$AL$4,0),FALSE),BoundParameters_HiddenSheetCLAY!$I$1:$L$1,0),FALSE))),'Control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opLeftCell="I1" zoomScaleNormal="100" workbookViewId="0">
      <selection activeCell="L18" sqref="L18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80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80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80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DataFilter!$A$2:$A$186</xm:f>
          </x14:formula1>
          <xm:sqref>L6 L16 L12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S255"/>
  <sheetViews>
    <sheetView tabSelected="1" zoomScaleNormal="100" workbookViewId="0">
      <selection activeCell="E13" sqref="E13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42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42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K9"/>
  <sheetViews>
    <sheetView workbookViewId="0">
      <selection activeCell="J6" sqref="J6"/>
    </sheetView>
  </sheetViews>
  <sheetFormatPr defaultRowHeight="15" x14ac:dyDescent="0.25"/>
  <sheetData>
    <row r="2" spans="2:11" ht="15.75" thickBot="1" x14ac:dyDescent="0.3">
      <c r="B2" s="36" t="s">
        <v>118</v>
      </c>
      <c r="C2" s="36" t="s">
        <v>423</v>
      </c>
      <c r="D2" s="36" t="s">
        <v>119</v>
      </c>
      <c r="E2" s="37" t="s">
        <v>181</v>
      </c>
      <c r="F2" s="144" t="s">
        <v>112</v>
      </c>
      <c r="G2" s="9" t="s">
        <v>107</v>
      </c>
      <c r="H2" s="6" t="s">
        <v>109</v>
      </c>
      <c r="I2" s="6" t="s">
        <v>111</v>
      </c>
      <c r="J2" s="6" t="s">
        <v>112</v>
      </c>
      <c r="K2" s="11" t="s">
        <v>114</v>
      </c>
    </row>
    <row r="3" spans="2:11" x14ac:dyDescent="0.25">
      <c r="B3" s="2" t="s">
        <v>182</v>
      </c>
      <c r="C3" s="27" t="s">
        <v>81</v>
      </c>
      <c r="D3" s="30" t="s">
        <v>120</v>
      </c>
      <c r="E3" t="s">
        <v>469</v>
      </c>
      <c r="F3" s="145" t="s">
        <v>467</v>
      </c>
      <c r="G3" t="s">
        <v>108</v>
      </c>
      <c r="H3" t="s">
        <v>110</v>
      </c>
      <c r="I3" t="s">
        <v>430</v>
      </c>
      <c r="J3" t="s">
        <v>113</v>
      </c>
      <c r="K3" t="s">
        <v>115</v>
      </c>
    </row>
    <row r="4" spans="2:11" x14ac:dyDescent="0.25">
      <c r="B4" s="2" t="s">
        <v>183</v>
      </c>
      <c r="C4" s="27" t="s">
        <v>184</v>
      </c>
      <c r="D4" s="30" t="s">
        <v>186</v>
      </c>
      <c r="E4" t="s">
        <v>468</v>
      </c>
      <c r="F4" s="145" t="s">
        <v>470</v>
      </c>
      <c r="G4" t="s">
        <v>427</v>
      </c>
      <c r="H4" t="s">
        <v>429</v>
      </c>
      <c r="I4" t="s">
        <v>431</v>
      </c>
      <c r="J4" t="s">
        <v>436</v>
      </c>
      <c r="K4" t="s">
        <v>437</v>
      </c>
    </row>
    <row r="5" spans="2:11" x14ac:dyDescent="0.25">
      <c r="B5" s="29" t="s">
        <v>185</v>
      </c>
      <c r="C5" s="2"/>
      <c r="D5" s="30" t="s">
        <v>187</v>
      </c>
      <c r="H5" t="s">
        <v>428</v>
      </c>
      <c r="I5" t="s">
        <v>432</v>
      </c>
      <c r="K5" t="s">
        <v>427</v>
      </c>
    </row>
    <row r="6" spans="2:11" x14ac:dyDescent="0.25">
      <c r="B6" s="2"/>
      <c r="C6" s="2"/>
      <c r="D6" s="30" t="s">
        <v>188</v>
      </c>
      <c r="I6" t="s">
        <v>433</v>
      </c>
    </row>
    <row r="7" spans="2:11" x14ac:dyDescent="0.25">
      <c r="B7" s="2"/>
      <c r="I7" t="s">
        <v>209</v>
      </c>
    </row>
    <row r="8" spans="2:11" x14ac:dyDescent="0.25">
      <c r="B8" s="2"/>
      <c r="I8" t="s">
        <v>434</v>
      </c>
    </row>
    <row r="9" spans="2:11" x14ac:dyDescent="0.25">
      <c r="I9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8" t="s">
        <v>420</v>
      </c>
    </row>
    <row r="3" spans="1:40" x14ac:dyDescent="0.25">
      <c r="F3" s="38" t="s">
        <v>37</v>
      </c>
      <c r="J3" s="38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8" t="s">
        <v>23</v>
      </c>
      <c r="F7" s="38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8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73"/>
      <c r="B1" s="174"/>
      <c r="C1" s="63">
        <v>0</v>
      </c>
      <c r="D1" s="64">
        <v>1</v>
      </c>
      <c r="E1" s="65">
        <v>2</v>
      </c>
      <c r="F1" s="25"/>
      <c r="H1" s="173"/>
      <c r="I1" s="174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75"/>
      <c r="B2" s="176"/>
      <c r="C2" s="23" t="s">
        <v>75</v>
      </c>
      <c r="D2" s="62" t="s">
        <v>75</v>
      </c>
      <c r="E2" s="61" t="s">
        <v>75</v>
      </c>
      <c r="H2" s="175"/>
      <c r="I2" s="176"/>
      <c r="J2" s="23" t="s">
        <v>76</v>
      </c>
      <c r="K2" s="62" t="s">
        <v>76</v>
      </c>
      <c r="L2" s="61" t="s">
        <v>76</v>
      </c>
    </row>
    <row r="3" spans="1:13" x14ac:dyDescent="0.15">
      <c r="A3" s="169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69" t="s">
        <v>176</v>
      </c>
      <c r="I3" s="51" t="s">
        <v>83</v>
      </c>
      <c r="J3" s="52">
        <v>700</v>
      </c>
      <c r="K3" s="52">
        <v>0</v>
      </c>
      <c r="L3" s="53">
        <v>-5555</v>
      </c>
    </row>
    <row r="4" spans="1:13" x14ac:dyDescent="0.15">
      <c r="A4" s="170"/>
      <c r="B4" s="24" t="s">
        <v>134</v>
      </c>
      <c r="C4" s="54">
        <v>-5555</v>
      </c>
      <c r="D4" s="54">
        <v>30</v>
      </c>
      <c r="E4" s="55">
        <v>-5555</v>
      </c>
      <c r="H4" s="170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0"/>
      <c r="B5" s="24" t="s">
        <v>135</v>
      </c>
      <c r="C5" s="54">
        <v>-5555</v>
      </c>
      <c r="D5" s="56">
        <v>-5555</v>
      </c>
      <c r="E5" s="55">
        <v>-5555</v>
      </c>
      <c r="H5" s="170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0"/>
      <c r="B6" s="24" t="s">
        <v>136</v>
      </c>
      <c r="C6" s="54">
        <v>3</v>
      </c>
      <c r="D6" s="54">
        <v>-120</v>
      </c>
      <c r="E6" s="55">
        <v>7.2110000000000003</v>
      </c>
      <c r="H6" s="170"/>
      <c r="I6" s="24" t="s">
        <v>136</v>
      </c>
      <c r="J6" s="54">
        <v>15</v>
      </c>
      <c r="K6" s="54">
        <v>300</v>
      </c>
      <c r="L6" s="55">
        <v>15.832000000000001</v>
      </c>
    </row>
    <row r="7" spans="1:13" x14ac:dyDescent="0.15">
      <c r="A7" s="170"/>
      <c r="B7" s="24" t="s">
        <v>84</v>
      </c>
      <c r="C7" s="54">
        <v>-5555</v>
      </c>
      <c r="D7" s="54">
        <v>1</v>
      </c>
      <c r="E7" s="55">
        <v>-11.798</v>
      </c>
      <c r="H7" s="170"/>
      <c r="I7" s="24" t="s">
        <v>84</v>
      </c>
      <c r="J7" s="54">
        <v>-5555</v>
      </c>
      <c r="K7" s="54">
        <v>120</v>
      </c>
      <c r="L7" s="55">
        <v>-4.0789999999999997</v>
      </c>
    </row>
    <row r="8" spans="1:13" x14ac:dyDescent="0.15">
      <c r="A8" s="170"/>
      <c r="B8" s="24" t="s">
        <v>86</v>
      </c>
      <c r="C8" s="54">
        <v>-5555</v>
      </c>
      <c r="D8" s="56">
        <v>-5555</v>
      </c>
      <c r="E8" s="55">
        <v>-2.44</v>
      </c>
      <c r="H8" s="170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0"/>
      <c r="B9" s="24" t="s">
        <v>85</v>
      </c>
      <c r="C9" s="54">
        <v>0.1</v>
      </c>
      <c r="D9" s="54">
        <v>-35</v>
      </c>
      <c r="E9" s="55">
        <v>-5555</v>
      </c>
      <c r="H9" s="170"/>
      <c r="I9" s="24" t="s">
        <v>85</v>
      </c>
      <c r="J9" s="54">
        <v>12</v>
      </c>
      <c r="K9" s="54">
        <v>50</v>
      </c>
      <c r="L9" s="55">
        <v>-5555</v>
      </c>
    </row>
    <row r="10" spans="1:13" x14ac:dyDescent="0.15">
      <c r="A10" s="170"/>
      <c r="B10" s="24" t="s">
        <v>137</v>
      </c>
      <c r="C10" s="54">
        <v>-5555</v>
      </c>
      <c r="D10" s="54">
        <v>0.2</v>
      </c>
      <c r="E10" s="55">
        <v>-5555</v>
      </c>
      <c r="H10" s="170"/>
      <c r="I10" s="24" t="s">
        <v>137</v>
      </c>
      <c r="J10" s="54">
        <v>-5555</v>
      </c>
      <c r="K10" s="54">
        <v>50</v>
      </c>
      <c r="L10" s="55">
        <v>-5555</v>
      </c>
    </row>
    <row r="11" spans="1:13" x14ac:dyDescent="0.15">
      <c r="A11" s="170"/>
      <c r="B11" s="24" t="s">
        <v>138</v>
      </c>
      <c r="C11" s="54">
        <v>-5555</v>
      </c>
      <c r="D11" s="56">
        <v>-5555</v>
      </c>
      <c r="E11" s="55">
        <v>-5555</v>
      </c>
      <c r="H11" s="170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0"/>
      <c r="B12" s="24" t="s">
        <v>139</v>
      </c>
      <c r="C12" s="54">
        <v>0</v>
      </c>
      <c r="D12" s="54">
        <v>-1.5</v>
      </c>
      <c r="E12" s="55">
        <v>-5555</v>
      </c>
      <c r="H12" s="170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0"/>
      <c r="B13" s="24" t="s">
        <v>140</v>
      </c>
      <c r="C13" s="54">
        <v>-5555</v>
      </c>
      <c r="D13" s="54">
        <v>0</v>
      </c>
      <c r="E13" s="55">
        <v>-5555</v>
      </c>
      <c r="H13" s="170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1"/>
      <c r="B14" s="57" t="s">
        <v>141</v>
      </c>
      <c r="C14" s="58">
        <v>-5555</v>
      </c>
      <c r="D14" s="59">
        <v>-5555</v>
      </c>
      <c r="E14" s="60">
        <v>-5555</v>
      </c>
      <c r="H14" s="171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2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2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67"/>
      <c r="B16" s="24" t="s">
        <v>142</v>
      </c>
      <c r="C16" s="54">
        <v>-5555</v>
      </c>
      <c r="D16" s="54">
        <v>5</v>
      </c>
      <c r="E16" s="55">
        <v>-5555</v>
      </c>
      <c r="H16" s="167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67"/>
      <c r="B17" s="24" t="s">
        <v>89</v>
      </c>
      <c r="C17" s="54">
        <v>-5555</v>
      </c>
      <c r="D17" s="56">
        <v>-5555</v>
      </c>
      <c r="E17" s="55">
        <v>-5555</v>
      </c>
      <c r="H17" s="167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67"/>
      <c r="B18" s="24" t="s">
        <v>143</v>
      </c>
      <c r="C18" s="54">
        <v>0.02</v>
      </c>
      <c r="D18" s="54">
        <v>-0.1</v>
      </c>
      <c r="E18" s="55">
        <v>-5555</v>
      </c>
      <c r="H18" s="167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67"/>
      <c r="B19" s="24" t="s">
        <v>144</v>
      </c>
      <c r="C19" s="54">
        <v>-5555</v>
      </c>
      <c r="D19" s="54">
        <v>0.1</v>
      </c>
      <c r="E19" s="55">
        <v>-5555</v>
      </c>
      <c r="H19" s="167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67"/>
      <c r="B20" s="24" t="s">
        <v>145</v>
      </c>
      <c r="C20" s="54">
        <v>-5555</v>
      </c>
      <c r="D20" s="56">
        <v>-5555</v>
      </c>
      <c r="E20" s="55">
        <v>-5555</v>
      </c>
      <c r="H20" s="167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67"/>
      <c r="B21" s="24" t="s">
        <v>146</v>
      </c>
      <c r="C21" s="54">
        <v>0.01</v>
      </c>
      <c r="D21" s="54">
        <v>-0.2</v>
      </c>
      <c r="E21" s="55">
        <v>-5555</v>
      </c>
      <c r="H21" s="167"/>
      <c r="I21" s="24" t="s">
        <v>146</v>
      </c>
      <c r="J21" s="54">
        <v>40</v>
      </c>
      <c r="K21" s="54">
        <v>0</v>
      </c>
      <c r="L21" s="55">
        <v>-5555</v>
      </c>
    </row>
    <row r="22" spans="1:12" x14ac:dyDescent="0.15">
      <c r="A22" s="167"/>
      <c r="B22" s="24" t="s">
        <v>147</v>
      </c>
      <c r="C22" s="54">
        <v>-5555</v>
      </c>
      <c r="D22" s="54">
        <v>0.01</v>
      </c>
      <c r="E22" s="55">
        <v>-5555</v>
      </c>
      <c r="H22" s="167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67"/>
      <c r="B23" s="24" t="s">
        <v>148</v>
      </c>
      <c r="C23" s="54">
        <v>-5555</v>
      </c>
      <c r="D23" s="56">
        <v>-5555</v>
      </c>
      <c r="E23" s="55">
        <v>-5555</v>
      </c>
      <c r="H23" s="167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67"/>
      <c r="B24" s="24" t="s">
        <v>149</v>
      </c>
      <c r="C24" s="54">
        <v>0</v>
      </c>
      <c r="D24" s="54">
        <v>0</v>
      </c>
      <c r="E24" s="55">
        <v>-5555</v>
      </c>
      <c r="H24" s="167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67"/>
      <c r="B25" s="24" t="s">
        <v>150</v>
      </c>
      <c r="C25" s="54">
        <v>-5555</v>
      </c>
      <c r="D25" s="54">
        <v>0</v>
      </c>
      <c r="E25" s="55">
        <v>-5555</v>
      </c>
      <c r="H25" s="167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68"/>
      <c r="B26" s="57" t="s">
        <v>152</v>
      </c>
      <c r="C26" s="58">
        <v>-5555</v>
      </c>
      <c r="D26" s="59">
        <v>-5555</v>
      </c>
      <c r="E26" s="60">
        <v>-5555</v>
      </c>
      <c r="H26" s="168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69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69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0"/>
      <c r="B28" s="24" t="s">
        <v>153</v>
      </c>
      <c r="C28" s="54">
        <v>-5555</v>
      </c>
      <c r="D28" s="54">
        <v>0</v>
      </c>
      <c r="E28" s="55">
        <v>-5555</v>
      </c>
      <c r="H28" s="170"/>
      <c r="I28" s="24" t="s">
        <v>153</v>
      </c>
      <c r="J28" s="54">
        <v>-5555</v>
      </c>
      <c r="K28" s="54">
        <v>150</v>
      </c>
      <c r="L28" s="55">
        <v>-5555</v>
      </c>
    </row>
    <row r="29" spans="1:12" x14ac:dyDescent="0.15">
      <c r="A29" s="170"/>
      <c r="B29" s="24" t="s">
        <v>154</v>
      </c>
      <c r="C29" s="54">
        <v>-5555</v>
      </c>
      <c r="D29" s="56">
        <v>-5555</v>
      </c>
      <c r="E29" s="55">
        <v>-5555</v>
      </c>
      <c r="H29" s="170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0"/>
      <c r="B30" s="24" t="s">
        <v>155</v>
      </c>
      <c r="C30" s="54">
        <v>0.02</v>
      </c>
      <c r="D30" s="54">
        <v>-0.5</v>
      </c>
      <c r="E30" s="55">
        <v>-5555</v>
      </c>
      <c r="H30" s="170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0"/>
      <c r="B31" s="24" t="s">
        <v>156</v>
      </c>
      <c r="C31" s="54">
        <v>-5555</v>
      </c>
      <c r="D31" s="54">
        <v>0.3</v>
      </c>
      <c r="E31" s="55">
        <v>-5555</v>
      </c>
      <c r="H31" s="170"/>
      <c r="I31" s="24" t="s">
        <v>156</v>
      </c>
      <c r="J31" s="54">
        <v>-5555</v>
      </c>
      <c r="K31" s="54">
        <v>5</v>
      </c>
      <c r="L31" s="55">
        <v>-5555</v>
      </c>
    </row>
    <row r="32" spans="1:12" x14ac:dyDescent="0.15">
      <c r="A32" s="170"/>
      <c r="B32" s="24" t="s">
        <v>157</v>
      </c>
      <c r="C32" s="54">
        <v>-5555</v>
      </c>
      <c r="D32" s="56">
        <v>-5555</v>
      </c>
      <c r="E32" s="55">
        <v>-5555</v>
      </c>
      <c r="H32" s="170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0"/>
      <c r="B33" s="24" t="s">
        <v>158</v>
      </c>
      <c r="C33" s="54">
        <v>1E-3</v>
      </c>
      <c r="D33" s="54">
        <v>-1.5</v>
      </c>
      <c r="E33" s="55">
        <v>-5555</v>
      </c>
      <c r="H33" s="170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0"/>
      <c r="B34" s="24" t="s">
        <v>159</v>
      </c>
      <c r="C34" s="54">
        <v>-5555</v>
      </c>
      <c r="D34" s="54">
        <v>-0.05</v>
      </c>
      <c r="E34" s="55">
        <v>-5555</v>
      </c>
      <c r="H34" s="170"/>
      <c r="I34" s="24" t="s">
        <v>159</v>
      </c>
      <c r="J34" s="54">
        <v>-5555</v>
      </c>
      <c r="K34" s="54">
        <v>10</v>
      </c>
      <c r="L34" s="55">
        <v>-5555</v>
      </c>
    </row>
    <row r="35" spans="1:12" x14ac:dyDescent="0.15">
      <c r="A35" s="170"/>
      <c r="B35" s="24" t="s">
        <v>160</v>
      </c>
      <c r="C35" s="54">
        <v>-5555</v>
      </c>
      <c r="D35" s="56">
        <v>-5555</v>
      </c>
      <c r="E35" s="55">
        <v>-5555</v>
      </c>
      <c r="H35" s="170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0"/>
      <c r="B36" s="24" t="s">
        <v>161</v>
      </c>
      <c r="C36" s="54">
        <v>0</v>
      </c>
      <c r="D36" s="54">
        <v>-0.3</v>
      </c>
      <c r="E36" s="55">
        <v>-5555</v>
      </c>
      <c r="H36" s="170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0"/>
      <c r="B37" s="24" t="s">
        <v>162</v>
      </c>
      <c r="C37" s="54">
        <v>-5555</v>
      </c>
      <c r="D37" s="54">
        <v>0</v>
      </c>
      <c r="E37" s="55">
        <v>-5555</v>
      </c>
      <c r="H37" s="170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1"/>
      <c r="B38" s="57" t="s">
        <v>163</v>
      </c>
      <c r="C38" s="58">
        <v>-5555</v>
      </c>
      <c r="D38" s="59">
        <v>-5555</v>
      </c>
      <c r="E38" s="60">
        <v>-5555</v>
      </c>
      <c r="H38" s="171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67" t="s">
        <v>179</v>
      </c>
      <c r="B39" s="24" t="s">
        <v>164</v>
      </c>
      <c r="C39" s="54">
        <v>35</v>
      </c>
      <c r="D39" s="54">
        <v>-350</v>
      </c>
      <c r="E39" s="55">
        <v>-5555</v>
      </c>
      <c r="H39" s="167" t="s">
        <v>179</v>
      </c>
      <c r="I39" s="24" t="s">
        <v>164</v>
      </c>
      <c r="J39" s="54">
        <v>2100</v>
      </c>
      <c r="K39" s="54">
        <v>500</v>
      </c>
      <c r="L39" s="55">
        <v>-5555</v>
      </c>
    </row>
    <row r="40" spans="1:12" x14ac:dyDescent="0.15">
      <c r="A40" s="167"/>
      <c r="B40" s="24" t="s">
        <v>165</v>
      </c>
      <c r="C40" s="54">
        <v>-5555</v>
      </c>
      <c r="D40" s="54">
        <v>-1000</v>
      </c>
      <c r="E40" s="55">
        <v>-5555</v>
      </c>
      <c r="H40" s="167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67"/>
      <c r="B41" s="24" t="s">
        <v>166</v>
      </c>
      <c r="C41" s="54">
        <v>-5555</v>
      </c>
      <c r="D41" s="56">
        <v>-5555</v>
      </c>
      <c r="E41" s="55">
        <v>-5555</v>
      </c>
      <c r="H41" s="167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67"/>
      <c r="B42" s="24" t="s">
        <v>167</v>
      </c>
      <c r="C42" s="54">
        <v>1E-3</v>
      </c>
      <c r="D42" s="54">
        <v>-0.5</v>
      </c>
      <c r="E42" s="55">
        <v>-5555</v>
      </c>
      <c r="H42" s="167"/>
      <c r="I42" s="24" t="s">
        <v>167</v>
      </c>
      <c r="J42" s="54">
        <v>0.4</v>
      </c>
      <c r="K42" s="54">
        <v>0.5</v>
      </c>
      <c r="L42" s="55">
        <v>-5555</v>
      </c>
    </row>
    <row r="43" spans="1:12" x14ac:dyDescent="0.15">
      <c r="A43" s="167"/>
      <c r="B43" s="24" t="s">
        <v>168</v>
      </c>
      <c r="C43" s="54">
        <v>-5555</v>
      </c>
      <c r="D43" s="54">
        <v>1E-3</v>
      </c>
      <c r="E43" s="55">
        <v>-5555</v>
      </c>
      <c r="H43" s="167"/>
      <c r="I43" s="24" t="s">
        <v>168</v>
      </c>
      <c r="J43" s="54">
        <v>-5555</v>
      </c>
      <c r="K43" s="54">
        <v>5</v>
      </c>
      <c r="L43" s="55">
        <v>-5555</v>
      </c>
    </row>
    <row r="44" spans="1:12" x14ac:dyDescent="0.15">
      <c r="A44" s="167"/>
      <c r="B44" s="24" t="s">
        <v>169</v>
      </c>
      <c r="C44" s="54">
        <v>-5555</v>
      </c>
      <c r="D44" s="56">
        <v>-5555</v>
      </c>
      <c r="E44" s="55">
        <v>-5555</v>
      </c>
      <c r="H44" s="167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67"/>
      <c r="B45" s="24" t="s">
        <v>88</v>
      </c>
      <c r="C45" s="54">
        <v>1E-4</v>
      </c>
      <c r="D45" s="54">
        <v>0</v>
      </c>
      <c r="E45" s="55">
        <v>-5555</v>
      </c>
      <c r="H45" s="167"/>
      <c r="I45" s="24" t="s">
        <v>88</v>
      </c>
      <c r="J45" s="54">
        <v>1</v>
      </c>
      <c r="K45" s="54">
        <v>0.01</v>
      </c>
      <c r="L45" s="55">
        <v>-5555</v>
      </c>
    </row>
    <row r="46" spans="1:12" x14ac:dyDescent="0.15">
      <c r="A46" s="167"/>
      <c r="B46" s="24" t="s">
        <v>170</v>
      </c>
      <c r="C46" s="54">
        <v>-5555</v>
      </c>
      <c r="D46" s="54">
        <v>-0.03</v>
      </c>
      <c r="E46" s="55">
        <v>-5555</v>
      </c>
      <c r="H46" s="167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67"/>
      <c r="B47" s="24" t="s">
        <v>171</v>
      </c>
      <c r="C47" s="54">
        <v>-5555</v>
      </c>
      <c r="D47" s="56">
        <v>-5555</v>
      </c>
      <c r="E47" s="55">
        <v>-5555</v>
      </c>
      <c r="H47" s="167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67"/>
      <c r="B48" s="24" t="s">
        <v>172</v>
      </c>
      <c r="C48" s="54">
        <v>0</v>
      </c>
      <c r="D48" s="54">
        <v>-0.5</v>
      </c>
      <c r="E48" s="55">
        <v>-5555</v>
      </c>
      <c r="H48" s="167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67"/>
      <c r="B49" s="24" t="s">
        <v>173</v>
      </c>
      <c r="C49" s="54">
        <v>-5555</v>
      </c>
      <c r="D49" s="54">
        <v>-0.5</v>
      </c>
      <c r="E49" s="55">
        <v>-5555</v>
      </c>
      <c r="H49" s="167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68"/>
      <c r="B50" s="57" t="s">
        <v>174</v>
      </c>
      <c r="C50" s="58">
        <v>-5555</v>
      </c>
      <c r="D50" s="59">
        <v>-5555</v>
      </c>
      <c r="E50" s="60">
        <v>-5555</v>
      </c>
      <c r="H50" s="168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73"/>
      <c r="B1" s="174"/>
      <c r="C1" s="63">
        <v>0</v>
      </c>
      <c r="D1" s="64">
        <v>1</v>
      </c>
      <c r="E1" s="65">
        <v>2</v>
      </c>
      <c r="F1" s="25"/>
      <c r="H1" s="173"/>
      <c r="I1" s="174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75"/>
      <c r="B2" s="176"/>
      <c r="C2" s="23" t="s">
        <v>75</v>
      </c>
      <c r="D2" s="62" t="s">
        <v>75</v>
      </c>
      <c r="E2" s="61" t="s">
        <v>75</v>
      </c>
      <c r="H2" s="175"/>
      <c r="I2" s="176"/>
      <c r="J2" s="23" t="s">
        <v>76</v>
      </c>
      <c r="K2" s="62" t="s">
        <v>76</v>
      </c>
      <c r="L2" s="61" t="s">
        <v>76</v>
      </c>
    </row>
    <row r="3" spans="1:13" x14ac:dyDescent="0.15">
      <c r="A3" s="169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69" t="s">
        <v>176</v>
      </c>
      <c r="I3" s="51" t="s">
        <v>83</v>
      </c>
      <c r="J3" s="52">
        <v>200</v>
      </c>
      <c r="K3" s="52">
        <v>0</v>
      </c>
      <c r="L3" s="53">
        <v>-5555</v>
      </c>
    </row>
    <row r="4" spans="1:13" x14ac:dyDescent="0.15">
      <c r="A4" s="170"/>
      <c r="B4" s="24" t="s">
        <v>134</v>
      </c>
      <c r="C4" s="54">
        <v>-5555</v>
      </c>
      <c r="D4" s="54">
        <v>30</v>
      </c>
      <c r="E4" s="55">
        <v>-5555</v>
      </c>
      <c r="H4" s="170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0"/>
      <c r="B5" s="24" t="s">
        <v>135</v>
      </c>
      <c r="C5" s="54">
        <v>-5555</v>
      </c>
      <c r="D5" s="56">
        <v>-5555</v>
      </c>
      <c r="E5" s="55">
        <v>-5555</v>
      </c>
      <c r="H5" s="170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0"/>
      <c r="B6" s="24" t="s">
        <v>136</v>
      </c>
      <c r="C6" s="54">
        <v>3</v>
      </c>
      <c r="D6" s="54">
        <v>0</v>
      </c>
      <c r="E6" s="55">
        <v>7.2110000000000003</v>
      </c>
      <c r="H6" s="170"/>
      <c r="I6" s="24" t="s">
        <v>136</v>
      </c>
      <c r="J6" s="54">
        <v>15</v>
      </c>
      <c r="K6" s="54">
        <v>3</v>
      </c>
      <c r="L6" s="55">
        <v>15.832000000000001</v>
      </c>
    </row>
    <row r="7" spans="1:13" x14ac:dyDescent="0.15">
      <c r="A7" s="170"/>
      <c r="B7" s="24" t="s">
        <v>84</v>
      </c>
      <c r="C7" s="54">
        <v>-5555</v>
      </c>
      <c r="D7" s="54">
        <v>3</v>
      </c>
      <c r="E7" s="55">
        <v>-11.798</v>
      </c>
      <c r="H7" s="170"/>
      <c r="I7" s="24" t="s">
        <v>84</v>
      </c>
      <c r="J7" s="54">
        <v>-5555</v>
      </c>
      <c r="K7" s="54">
        <v>8</v>
      </c>
      <c r="L7" s="55">
        <v>-4.0789999999999997</v>
      </c>
    </row>
    <row r="8" spans="1:13" x14ac:dyDescent="0.15">
      <c r="A8" s="170"/>
      <c r="B8" s="24" t="s">
        <v>86</v>
      </c>
      <c r="C8" s="54">
        <v>-5555</v>
      </c>
      <c r="D8" s="56">
        <v>-5555</v>
      </c>
      <c r="E8" s="55">
        <v>-2.44</v>
      </c>
      <c r="H8" s="170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0"/>
      <c r="B9" s="24" t="s">
        <v>85</v>
      </c>
      <c r="C9" s="54">
        <v>0.1</v>
      </c>
      <c r="D9" s="54">
        <v>-2.4</v>
      </c>
      <c r="E9" s="55">
        <v>-5555</v>
      </c>
      <c r="H9" s="170"/>
      <c r="I9" s="24" t="s">
        <v>85</v>
      </c>
      <c r="J9" s="54">
        <v>12</v>
      </c>
      <c r="K9" s="54">
        <v>0.5</v>
      </c>
      <c r="L9" s="55">
        <v>-5555</v>
      </c>
    </row>
    <row r="10" spans="1:13" x14ac:dyDescent="0.15">
      <c r="A10" s="170"/>
      <c r="B10" s="24" t="s">
        <v>137</v>
      </c>
      <c r="C10" s="54">
        <v>-5555</v>
      </c>
      <c r="D10" s="54">
        <v>0.5</v>
      </c>
      <c r="E10" s="55">
        <v>-5555</v>
      </c>
      <c r="H10" s="170"/>
      <c r="I10" s="24" t="s">
        <v>137</v>
      </c>
      <c r="J10" s="54">
        <v>-5555</v>
      </c>
      <c r="K10" s="54">
        <v>14.4</v>
      </c>
      <c r="L10" s="55">
        <v>-5555</v>
      </c>
    </row>
    <row r="11" spans="1:13" x14ac:dyDescent="0.15">
      <c r="A11" s="170"/>
      <c r="B11" s="24" t="s">
        <v>138</v>
      </c>
      <c r="C11" s="54">
        <v>-5555</v>
      </c>
      <c r="D11" s="56">
        <v>-5555</v>
      </c>
      <c r="E11" s="55">
        <v>-5555</v>
      </c>
      <c r="H11" s="170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0"/>
      <c r="B12" s="24" t="s">
        <v>139</v>
      </c>
      <c r="C12" s="54">
        <v>0</v>
      </c>
      <c r="D12" s="54">
        <v>-1.5</v>
      </c>
      <c r="E12" s="55">
        <v>-5555</v>
      </c>
      <c r="H12" s="170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0"/>
      <c r="B13" s="24" t="s">
        <v>140</v>
      </c>
      <c r="C13" s="54">
        <v>-5555</v>
      </c>
      <c r="D13" s="54">
        <v>0</v>
      </c>
      <c r="E13" s="55">
        <v>-5555</v>
      </c>
      <c r="H13" s="170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1"/>
      <c r="B14" s="57" t="s">
        <v>141</v>
      </c>
      <c r="C14" s="58">
        <v>-5555</v>
      </c>
      <c r="D14" s="59">
        <v>-5555</v>
      </c>
      <c r="E14" s="60">
        <v>-5555</v>
      </c>
      <c r="H14" s="171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2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2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67"/>
      <c r="B16" s="24" t="s">
        <v>142</v>
      </c>
      <c r="C16" s="54">
        <v>-5555</v>
      </c>
      <c r="D16" s="54">
        <v>5</v>
      </c>
      <c r="E16" s="55">
        <v>-5555</v>
      </c>
      <c r="H16" s="167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67"/>
      <c r="B17" s="24" t="s">
        <v>89</v>
      </c>
      <c r="C17" s="54">
        <v>-5555</v>
      </c>
      <c r="D17" s="56">
        <v>-5555</v>
      </c>
      <c r="E17" s="55">
        <v>-5555</v>
      </c>
      <c r="H17" s="167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67"/>
      <c r="B18" s="24" t="s">
        <v>143</v>
      </c>
      <c r="C18" s="54">
        <v>0.02</v>
      </c>
      <c r="D18" s="54">
        <v>-0.1</v>
      </c>
      <c r="E18" s="55">
        <v>-5555</v>
      </c>
      <c r="H18" s="167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67"/>
      <c r="B19" s="24" t="s">
        <v>144</v>
      </c>
      <c r="C19" s="54">
        <v>-5555</v>
      </c>
      <c r="D19" s="54">
        <v>0.1</v>
      </c>
      <c r="E19" s="55">
        <v>-5555</v>
      </c>
      <c r="H19" s="167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67"/>
      <c r="B20" s="24" t="s">
        <v>145</v>
      </c>
      <c r="C20" s="54">
        <v>-5555</v>
      </c>
      <c r="D20" s="56">
        <v>-5555</v>
      </c>
      <c r="E20" s="55">
        <v>-5555</v>
      </c>
      <c r="H20" s="167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67"/>
      <c r="B21" s="24" t="s">
        <v>146</v>
      </c>
      <c r="C21" s="54">
        <v>0.01</v>
      </c>
      <c r="D21" s="54">
        <v>-0.2</v>
      </c>
      <c r="E21" s="55">
        <v>-5555</v>
      </c>
      <c r="H21" s="167"/>
      <c r="I21" s="24" t="s">
        <v>146</v>
      </c>
      <c r="J21" s="54">
        <v>0.45</v>
      </c>
      <c r="K21" s="54">
        <v>0</v>
      </c>
      <c r="L21" s="55">
        <v>-5555</v>
      </c>
    </row>
    <row r="22" spans="1:12" x14ac:dyDescent="0.15">
      <c r="A22" s="167"/>
      <c r="B22" s="24" t="s">
        <v>147</v>
      </c>
      <c r="C22" s="54">
        <v>-5555</v>
      </c>
      <c r="D22" s="54">
        <v>0.01</v>
      </c>
      <c r="E22" s="55">
        <v>-5555</v>
      </c>
      <c r="H22" s="167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67"/>
      <c r="B23" s="24" t="s">
        <v>148</v>
      </c>
      <c r="C23" s="54">
        <v>-5555</v>
      </c>
      <c r="D23" s="56">
        <v>-5555</v>
      </c>
      <c r="E23" s="55">
        <v>-5555</v>
      </c>
      <c r="H23" s="167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67"/>
      <c r="B24" s="24" t="s">
        <v>149</v>
      </c>
      <c r="C24" s="54">
        <v>0</v>
      </c>
      <c r="D24" s="54">
        <v>0</v>
      </c>
      <c r="E24" s="55">
        <v>-5555</v>
      </c>
      <c r="H24" s="167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67"/>
      <c r="B25" s="24" t="s">
        <v>150</v>
      </c>
      <c r="C25" s="54">
        <v>-5555</v>
      </c>
      <c r="D25" s="54">
        <v>0</v>
      </c>
      <c r="E25" s="55">
        <v>-5555</v>
      </c>
      <c r="H25" s="167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68"/>
      <c r="B26" s="57" t="s">
        <v>152</v>
      </c>
      <c r="C26" s="58">
        <v>-5555</v>
      </c>
      <c r="D26" s="59">
        <v>-5555</v>
      </c>
      <c r="E26" s="60">
        <v>-5555</v>
      </c>
      <c r="H26" s="168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69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69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0"/>
      <c r="B28" s="24" t="s">
        <v>153</v>
      </c>
      <c r="C28" s="54">
        <v>-5555</v>
      </c>
      <c r="D28" s="54">
        <v>0</v>
      </c>
      <c r="E28" s="55">
        <v>-5555</v>
      </c>
      <c r="H28" s="170"/>
      <c r="I28" s="24" t="s">
        <v>153</v>
      </c>
      <c r="J28" s="54">
        <v>-5555</v>
      </c>
      <c r="K28" s="54">
        <v>50</v>
      </c>
      <c r="L28" s="55">
        <v>-5555</v>
      </c>
    </row>
    <row r="29" spans="1:12" x14ac:dyDescent="0.15">
      <c r="A29" s="170"/>
      <c r="B29" s="24" t="s">
        <v>154</v>
      </c>
      <c r="C29" s="54">
        <v>-5555</v>
      </c>
      <c r="D29" s="56">
        <v>-5555</v>
      </c>
      <c r="E29" s="55">
        <v>-5555</v>
      </c>
      <c r="H29" s="170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0"/>
      <c r="B30" s="24" t="s">
        <v>155</v>
      </c>
      <c r="C30" s="54">
        <v>0.02</v>
      </c>
      <c r="D30" s="54">
        <v>0</v>
      </c>
      <c r="E30" s="55">
        <v>-5555</v>
      </c>
      <c r="H30" s="170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0"/>
      <c r="B31" s="24" t="s">
        <v>156</v>
      </c>
      <c r="C31" s="54">
        <v>-5555</v>
      </c>
      <c r="D31" s="54">
        <v>0.3</v>
      </c>
      <c r="E31" s="55">
        <v>-5555</v>
      </c>
      <c r="H31" s="170"/>
      <c r="I31" s="24" t="s">
        <v>156</v>
      </c>
      <c r="J31" s="54">
        <v>-5555</v>
      </c>
      <c r="K31" s="54">
        <v>0</v>
      </c>
      <c r="L31" s="55">
        <v>-5555</v>
      </c>
    </row>
    <row r="32" spans="1:12" x14ac:dyDescent="0.15">
      <c r="A32" s="170"/>
      <c r="B32" s="24" t="s">
        <v>157</v>
      </c>
      <c r="C32" s="54">
        <v>-5555</v>
      </c>
      <c r="D32" s="56">
        <v>-5555</v>
      </c>
      <c r="E32" s="55">
        <v>-5555</v>
      </c>
      <c r="H32" s="170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0"/>
      <c r="B33" s="24" t="s">
        <v>158</v>
      </c>
      <c r="C33" s="54">
        <v>1E-3</v>
      </c>
      <c r="D33" s="54">
        <v>-1.5</v>
      </c>
      <c r="E33" s="55">
        <v>-5555</v>
      </c>
      <c r="H33" s="170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0"/>
      <c r="B34" s="24" t="s">
        <v>159</v>
      </c>
      <c r="C34" s="54">
        <v>-5555</v>
      </c>
      <c r="D34" s="54">
        <v>-0.05</v>
      </c>
      <c r="E34" s="55">
        <v>-5555</v>
      </c>
      <c r="H34" s="170"/>
      <c r="I34" s="24" t="s">
        <v>159</v>
      </c>
      <c r="J34" s="54">
        <v>-5555</v>
      </c>
      <c r="K34" s="54">
        <v>0.2</v>
      </c>
      <c r="L34" s="55">
        <v>-5555</v>
      </c>
    </row>
    <row r="35" spans="1:12" x14ac:dyDescent="0.15">
      <c r="A35" s="170"/>
      <c r="B35" s="24" t="s">
        <v>160</v>
      </c>
      <c r="C35" s="54">
        <v>-5555</v>
      </c>
      <c r="D35" s="56">
        <v>-5555</v>
      </c>
      <c r="E35" s="55">
        <v>-5555</v>
      </c>
      <c r="H35" s="170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0"/>
      <c r="B36" s="24" t="s">
        <v>161</v>
      </c>
      <c r="C36" s="54">
        <v>0</v>
      </c>
      <c r="D36" s="54">
        <v>-0.3</v>
      </c>
      <c r="E36" s="55">
        <v>-5555</v>
      </c>
      <c r="H36" s="170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0"/>
      <c r="B37" s="24" t="s">
        <v>162</v>
      </c>
      <c r="C37" s="54">
        <v>-5555</v>
      </c>
      <c r="D37" s="54">
        <v>0</v>
      </c>
      <c r="E37" s="55">
        <v>-5555</v>
      </c>
      <c r="H37" s="170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1"/>
      <c r="B38" s="57" t="s">
        <v>163</v>
      </c>
      <c r="C38" s="58">
        <v>-5555</v>
      </c>
      <c r="D38" s="59">
        <v>-5555</v>
      </c>
      <c r="E38" s="60">
        <v>-5555</v>
      </c>
      <c r="H38" s="171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67" t="s">
        <v>179</v>
      </c>
      <c r="B39" s="24" t="s">
        <v>164</v>
      </c>
      <c r="C39" s="54">
        <v>200</v>
      </c>
      <c r="D39" s="54">
        <v>-350</v>
      </c>
      <c r="E39" s="55">
        <v>-5555</v>
      </c>
      <c r="H39" s="167" t="s">
        <v>179</v>
      </c>
      <c r="I39" s="24" t="s">
        <v>164</v>
      </c>
      <c r="J39" s="54">
        <v>1200</v>
      </c>
      <c r="K39" s="54">
        <v>500</v>
      </c>
      <c r="L39" s="55">
        <v>-5555</v>
      </c>
    </row>
    <row r="40" spans="1:12" x14ac:dyDescent="0.15">
      <c r="A40" s="167"/>
      <c r="B40" s="24" t="s">
        <v>165</v>
      </c>
      <c r="C40" s="54">
        <v>-5555</v>
      </c>
      <c r="D40" s="54">
        <v>-1000</v>
      </c>
      <c r="E40" s="55">
        <v>-5555</v>
      </c>
      <c r="H40" s="167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67"/>
      <c r="B41" s="24" t="s">
        <v>166</v>
      </c>
      <c r="C41" s="54">
        <v>-5555</v>
      </c>
      <c r="D41" s="56">
        <v>-5555</v>
      </c>
      <c r="E41" s="55">
        <v>-5555</v>
      </c>
      <c r="H41" s="167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67"/>
      <c r="B42" s="24" t="s">
        <v>167</v>
      </c>
      <c r="C42" s="54">
        <v>1E-3</v>
      </c>
      <c r="D42" s="54">
        <v>-0.05</v>
      </c>
      <c r="E42" s="55">
        <v>-5555</v>
      </c>
      <c r="H42" s="167"/>
      <c r="I42" s="24" t="s">
        <v>167</v>
      </c>
      <c r="J42" s="54">
        <v>0.4</v>
      </c>
      <c r="K42" s="54">
        <v>0.05</v>
      </c>
      <c r="L42" s="55">
        <v>-5555</v>
      </c>
    </row>
    <row r="43" spans="1:12" x14ac:dyDescent="0.15">
      <c r="A43" s="167"/>
      <c r="B43" s="24" t="s">
        <v>168</v>
      </c>
      <c r="C43" s="54">
        <v>-5555</v>
      </c>
      <c r="D43" s="54">
        <v>1E-3</v>
      </c>
      <c r="E43" s="55">
        <v>-5555</v>
      </c>
      <c r="H43" s="167"/>
      <c r="I43" s="24" t="s">
        <v>168</v>
      </c>
      <c r="J43" s="54">
        <v>-5555</v>
      </c>
      <c r="K43" s="54">
        <v>0.4</v>
      </c>
      <c r="L43" s="55">
        <v>-5555</v>
      </c>
    </row>
    <row r="44" spans="1:12" x14ac:dyDescent="0.15">
      <c r="A44" s="167"/>
      <c r="B44" s="24" t="s">
        <v>169</v>
      </c>
      <c r="C44" s="54">
        <v>-5555</v>
      </c>
      <c r="D44" s="56">
        <v>-5555</v>
      </c>
      <c r="E44" s="55">
        <v>-5555</v>
      </c>
      <c r="H44" s="167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67"/>
      <c r="B45" s="24" t="s">
        <v>88</v>
      </c>
      <c r="C45" s="54">
        <v>1E-4</v>
      </c>
      <c r="D45" s="54">
        <v>0</v>
      </c>
      <c r="E45" s="55">
        <v>-5555</v>
      </c>
      <c r="H45" s="167"/>
      <c r="I45" s="24" t="s">
        <v>88</v>
      </c>
      <c r="J45" s="54">
        <v>0.02</v>
      </c>
      <c r="K45" s="54">
        <v>0.01</v>
      </c>
      <c r="L45" s="55">
        <v>-5555</v>
      </c>
    </row>
    <row r="46" spans="1:12" x14ac:dyDescent="0.15">
      <c r="A46" s="167"/>
      <c r="B46" s="24" t="s">
        <v>170</v>
      </c>
      <c r="C46" s="54">
        <v>-5555</v>
      </c>
      <c r="D46" s="54">
        <v>-0.03</v>
      </c>
      <c r="E46" s="55">
        <v>-5555</v>
      </c>
      <c r="H46" s="167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67"/>
      <c r="B47" s="24" t="s">
        <v>171</v>
      </c>
      <c r="C47" s="54">
        <v>-5555</v>
      </c>
      <c r="D47" s="56">
        <v>-5555</v>
      </c>
      <c r="E47" s="55">
        <v>-5555</v>
      </c>
      <c r="H47" s="167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67"/>
      <c r="B48" s="24" t="s">
        <v>172</v>
      </c>
      <c r="C48" s="54">
        <v>0</v>
      </c>
      <c r="D48" s="54">
        <v>-0.5</v>
      </c>
      <c r="E48" s="55">
        <v>-5555</v>
      </c>
      <c r="H48" s="167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67"/>
      <c r="B49" s="24" t="s">
        <v>173</v>
      </c>
      <c r="C49" s="54">
        <v>-5555</v>
      </c>
      <c r="D49" s="54">
        <v>-0.5</v>
      </c>
      <c r="E49" s="55">
        <v>-5555</v>
      </c>
      <c r="H49" s="167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68"/>
      <c r="B50" s="57" t="s">
        <v>174</v>
      </c>
      <c r="C50" s="58">
        <v>-5555</v>
      </c>
      <c r="D50" s="59">
        <v>-5555</v>
      </c>
      <c r="E50" s="60">
        <v>-5555</v>
      </c>
      <c r="H50" s="168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2022-01-22T00:24:46Z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