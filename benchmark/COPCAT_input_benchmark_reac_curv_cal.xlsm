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8FC5A2F7-4988-4BCF-B941-1DE1AECC4CBB}" xr6:coauthVersionLast="46" xr6:coauthVersionMax="46" xr10:uidLastSave="{00000000-0000-0000-0000-000000000000}"/>
  <bookViews>
    <workbookView xWindow="-120" yWindow="-120" windowWidth="29040" windowHeight="15840" tabRatio="734" activeTab="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I47" i="125" s="1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<sst xmlns="http://schemas.openxmlformats.org/spreadsheetml/2006/main" count="1119" uniqueCount="438">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</sst>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zoomScaleNormal="100" workbookViewId="0">
      <selection activeCell="E26" sqref="E26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0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0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0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G24" sqref="G2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/>
      </c>
      <c r="F7" s="2" t="str">
        <f>IF(T7=1,IF('Control Panel'!F6="","",'Control Panel'!F6),"")</f>
        <v/>
      </c>
      <c r="G7" s="2" t="str">
        <f>IF(T7=1,IF('Control Panel'!G6="","",'Control Panel'!G6),"")</f>
        <v/>
      </c>
      <c r="H7" s="2" t="str">
        <f>IF(T7=1,IF('Control Panel'!H6="","",'Control Panel'!H6),"")</f>
        <v/>
      </c>
      <c r="I7" s="42" t="str">
        <f>IF(T7=1,IF('Control Panel'!I6="","",'Control Panel'!I6),"")</f>
        <v/>
      </c>
      <c r="J7" s="36" t="str">
        <f>IF($I7="","",IF(J$4="","",IF('Control Panel'!J6="",VLOOKUP($E7,'Table Output'!$A$2:$BR$1048576,MATCH(J$4,'Table Output'!$A$1:$BQ$1,0),),'Control Panel'!J6)))</f>
        <v/>
      </c>
      <c r="K7" s="36" t="str">
        <f>IF($I7="","",IF(K$4="","",IF('Control Panel'!K6="",VLOOKUP($E7,'Table Output'!$A$2:$BR$1048576,MATCH(K$4,'Table Output'!$A$1:$BQ$1,0),),'Control Panel'!K6)))</f>
        <v/>
      </c>
      <c r="L7" s="36" t="str">
        <f>IF($I7="","",IF(L$4="","",IF('Control Panel'!L6="",VLOOKUP($E7,'Table Output'!$A$2:$BR$1048576,MATCH(L$4,'Table Output'!$A$1:$BQ$1,0),),'Control Panel'!L6)))</f>
        <v/>
      </c>
      <c r="M7" s="36" t="str">
        <f>IF($I7="","",IF(M$4="","",IF('Control Panel'!M6="",VLOOKUP($E7,'Table Output'!$A$2:$BR$1048576,MATCH(M$4,'Table Output'!$A$1:$BQ$1,0),),'Control Panel'!M6)))</f>
        <v/>
      </c>
      <c r="N7" s="36" t="str">
        <f>IF($I7="","",IF(N$4="","",IF('Control Panel'!N6="",VLOOKUP($E7,'Table Output'!$A$2:$BR$1048576,MATCH(N$4,'Table Output'!$A$1:$BQ$1,0),),'Control Panel'!N6)))</f>
        <v/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0</v>
      </c>
      <c r="U7" s="36" t="str">
        <f>IF($I7="","",IF('Control Panel'!U6="",VLOOKUP($E7,'Table Output'!$A$2:$BR$99998,MATCH(U$4,'Table Output'!$A$1:$BQ$1,0),),'Control Panel'!U6))</f>
        <v/>
      </c>
      <c r="V7" s="36" t="str">
        <f>IF($I7="","",IF('Control Panel'!V6="",VLOOKUP($E7,'Table Output'!$A$2:$BR$99998,MATCH(V$4,'Table Output'!$A$1:$BQ$1,0),),'Control Panel'!V6))</f>
        <v/>
      </c>
      <c r="W7" s="36" t="str">
        <f>IF($I7="","",IF('Control Panel'!W6="",VLOOKUP($E7,'Table Output'!$A$2:$BR$99998,MATCH(W$4,'Table Output'!$A$1:$BQ$1,0),),'Control Panel'!W6))</f>
        <v/>
      </c>
      <c r="X7" s="36" t="str">
        <f>IF($I7="","",IF('Control Panel'!X6="",VLOOKUP($E7,'Table Output'!$A$2:$BR$99998,MATCH(X$4,'Table Output'!$A$1:$BQ$1,0),),'Control Panel'!X6))</f>
        <v/>
      </c>
      <c r="Y7" s="36" t="str">
        <f>IF($I7="","",IF('Control Panel'!Y6="",VLOOKUP($E7,'Table Output'!$A$2:$BR$99998,MATCH(Y$4,'Table Output'!$A$1:$BQ$1,0),),'Control Panel'!Y6))</f>
        <v/>
      </c>
      <c r="Z7" s="36" t="str">
        <f>IF($I7="","",IF('Control Panel'!Z6="",VLOOKUP($E7,'Table Output'!$A$2:$BR$99998,MATCH(Z$4,'Table Output'!$A$1:$BQ$1,0),),'Control Panel'!Z6))</f>
        <v/>
      </c>
      <c r="AA7" s="36" t="str">
        <f>IF($I7="","",IF('Control Panel'!AA6="",VLOOKUP($E7,'Table Output'!$A$2:$BR$99998,MATCH(AA$4,'Table Output'!$A$1:$BQ$1,0),),'Control Panel'!AA6))</f>
        <v/>
      </c>
      <c r="AB7" s="36" t="str">
        <f>IF($I7="","",IF('Control Panel'!AB6="",VLOOKUP($E7,'Table Output'!$A$2:$BR$99998,MATCH(AB$4,'Table Output'!$A$1:$BQ$1,0),),'Control Panel'!AB6))</f>
        <v/>
      </c>
      <c r="AC7" s="36" t="str">
        <f>IF($I7="","",IF('Control Panel'!AC6="",VLOOKUP($E7,'Table Output'!$A$2:$BR$99998,MATCH(AC$4,'Table Output'!$A$1:$BQ$1,0),),'Control Panel'!AC6))</f>
        <v/>
      </c>
      <c r="AD7" s="36" t="str">
        <f>IF($I7="","",IF('Control Panel'!AD6="",VLOOKUP($E7,'Table Output'!$A$2:$BR$99998,MATCH(AD$4,'Table Output'!$A$1:$BQ$1,0),),'Control Panel'!AD6))</f>
        <v/>
      </c>
      <c r="AE7" s="36" t="str">
        <f>IF($I7="","",IF('Control Panel'!AE6="",VLOOKUP($E7,'Table Output'!$A$2:$BR$99998,MATCH(AE$4,'Table Output'!$A$1:$BQ$1,0),),'Control Panel'!AE6))</f>
        <v/>
      </c>
      <c r="AF7" s="36" t="str">
        <f>IF($I7="","",IF('Control Panel'!AF6="",VLOOKUP($E7,'Table Output'!$A$2:$BR$99998,MATCH(AF$4,'Table Output'!$A$1:$BQ$1,0),),'Control Panel'!AF6))</f>
        <v/>
      </c>
      <c r="AG7" s="36" t="str">
        <f>IF($I7="","",IF('Control Panel'!AG6="",VLOOKUP($E7,'Table Output'!$A$2:$BR$99998,MATCH(AG$4,'Table Output'!$A$1:$BQ$1,0),),'Control Panel'!AG6))</f>
        <v/>
      </c>
      <c r="AH7" s="36" t="str">
        <f>IF($I7="","",IF('Control Panel'!AH6="",VLOOKUP($E7,'Table Output'!$A$2:$BR$99998,MATCH(AH$4,'Table Output'!$A$1:$BQ$1,0),),'Control Panel'!AH6))</f>
        <v/>
      </c>
      <c r="AI7" s="36" t="str">
        <f>IF($I7="","",IF('Control Panel'!AI6="",VLOOKUP($E7,'Table Output'!$A$2:$BR$99998,MATCH(AI$4,'Table Output'!$A$1:$BQ$1,0),),'Control Panel'!AI6))</f>
        <v/>
      </c>
      <c r="AJ7" s="36" t="str">
        <f>IF($I7="","",IF('Control Panel'!AJ6="",VLOOKUP($E7,'Table Output'!$A$2:$BR$99998,MATCH(AJ$4,'Table Output'!$A$1:$BQ$1,0),),'Control Panel'!AJ6))</f>
        <v/>
      </c>
      <c r="AL7" s="51" t="str">
        <f t="shared" si="0"/>
        <v/>
      </c>
      <c r="AM7" s="48" t="str">
        <f>IF(AM$4="","",IF($I7="","",IF('Control Panel'!AM6="",VLOOKUP($E7,'Table Output'!$A$2:$BR$99998,MATCH(AM$4,'Table Output'!$A$1:$BQ$1,0),FALSE),'Control Panel'!AM6)))</f>
        <v/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/>
      </c>
      <c r="F8" s="2" t="str">
        <f>IF(T8=1,IF('Control Panel'!F7="","",'Control Panel'!F7),"")</f>
        <v/>
      </c>
      <c r="G8" s="2" t="str">
        <f>IF(T8=1,IF('Control Panel'!G7="","",'Control Panel'!G7),"")</f>
        <v/>
      </c>
      <c r="H8" s="2" t="str">
        <f>IF(T8=1,IF('Control Panel'!H7="","",'Control Panel'!H7),"")</f>
        <v/>
      </c>
      <c r="I8" s="42" t="str">
        <f>IF(T8=1,IF('Control Panel'!I7="","",'Control Panel'!I7),"")</f>
        <v/>
      </c>
      <c r="J8" s="36" t="str">
        <f>IF($I8="","",IF(J$4="","",IF('Control Panel'!J7="",VLOOKUP($E8,'Table Output'!$A$2:$BR$1048576,MATCH(J$4,'Table Output'!$A$1:$BQ$1,0),),'Control Panel'!J7)))</f>
        <v/>
      </c>
      <c r="K8" s="36" t="str">
        <f>IF($I8="","",IF(K$4="","",IF('Control Panel'!K7="",VLOOKUP($E8,'Table Output'!$A$2:$BR$1048576,MATCH(K$4,'Table Output'!$A$1:$BQ$1,0),),'Control Panel'!K7)))</f>
        <v/>
      </c>
      <c r="L8" s="36" t="str">
        <f>IF($I8="","",IF(L$4="","",IF('Control Panel'!L7="",VLOOKUP($E8,'Table Output'!$A$2:$BR$1048576,MATCH(L$4,'Table Output'!$A$1:$BQ$1,0),),'Control Panel'!L7)))</f>
        <v/>
      </c>
      <c r="M8" s="36" t="str">
        <f>IF($I8="","",IF(M$4="","",IF('Control Panel'!M7="",VLOOKUP($E8,'Table Output'!$A$2:$BR$1048576,MATCH(M$4,'Table Output'!$A$1:$BQ$1,0),),'Control Panel'!M7)))</f>
        <v/>
      </c>
      <c r="N8" s="36" t="str">
        <f>IF($I8="","",IF(N$4="","",IF('Control Panel'!N7="",VLOOKUP($E8,'Table Output'!$A$2:$BR$1048576,MATCH(N$4,'Table Output'!$A$1:$BQ$1,0),),'Control Panel'!N7)))</f>
        <v/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0</v>
      </c>
      <c r="U8" s="36" t="str">
        <f>IF($I8="","",IF('Control Panel'!U7="",VLOOKUP($E8,'Table Output'!$A$2:$BR$99998,MATCH(U$4,'Table Output'!$A$1:$BQ$1,0),),'Control Panel'!U7))</f>
        <v/>
      </c>
      <c r="V8" s="36" t="str">
        <f>IF($I8="","",IF('Control Panel'!V7="",VLOOKUP($E8,'Table Output'!$A$2:$BR$99998,MATCH(V$4,'Table Output'!$A$1:$BQ$1,0),),'Control Panel'!V7))</f>
        <v/>
      </c>
      <c r="W8" s="36" t="str">
        <f>IF($I8="","",IF('Control Panel'!W7="",VLOOKUP($E8,'Table Output'!$A$2:$BR$99998,MATCH(W$4,'Table Output'!$A$1:$BQ$1,0),),'Control Panel'!W7))</f>
        <v/>
      </c>
      <c r="X8" s="36" t="str">
        <f>IF($I8="","",IF('Control Panel'!X7="",VLOOKUP($E8,'Table Output'!$A$2:$BR$99998,MATCH(X$4,'Table Output'!$A$1:$BQ$1,0),),'Control Panel'!X7))</f>
        <v/>
      </c>
      <c r="Y8" s="36" t="str">
        <f>IF($I8="","",IF('Control Panel'!Y7="",VLOOKUP($E8,'Table Output'!$A$2:$BR$99998,MATCH(Y$4,'Table Output'!$A$1:$BQ$1,0),),'Control Panel'!Y7))</f>
        <v/>
      </c>
      <c r="Z8" s="36" t="str">
        <f>IF($I8="","",IF('Control Panel'!Z7="",VLOOKUP($E8,'Table Output'!$A$2:$BR$99998,MATCH(Z$4,'Table Output'!$A$1:$BQ$1,0),),'Control Panel'!Z7))</f>
        <v/>
      </c>
      <c r="AA8" s="36" t="str">
        <f>IF($I8="","",IF('Control Panel'!AA7="",VLOOKUP($E8,'Table Output'!$A$2:$BR$99998,MATCH(AA$4,'Table Output'!$A$1:$BQ$1,0),),'Control Panel'!AA7))</f>
        <v/>
      </c>
      <c r="AB8" s="36" t="str">
        <f>IF($I8="","",IF('Control Panel'!AB7="",VLOOKUP($E8,'Table Output'!$A$2:$BR$99998,MATCH(AB$4,'Table Output'!$A$1:$BQ$1,0),),'Control Panel'!AB7))</f>
        <v/>
      </c>
      <c r="AC8" s="36" t="str">
        <f>IF($I8="","",IF('Control Panel'!AC7="",VLOOKUP($E8,'Table Output'!$A$2:$BR$99998,MATCH(AC$4,'Table Output'!$A$1:$BQ$1,0),),'Control Panel'!AC7))</f>
        <v/>
      </c>
      <c r="AD8" s="36" t="str">
        <f>IF($I8="","",IF('Control Panel'!AD7="",VLOOKUP($E8,'Table Output'!$A$2:$BR$99998,MATCH(AD$4,'Table Output'!$A$1:$BQ$1,0),),'Control Panel'!AD7))</f>
        <v/>
      </c>
      <c r="AE8" s="36" t="str">
        <f>IF($I8="","",IF('Control Panel'!AE7="",VLOOKUP($E8,'Table Output'!$A$2:$BR$99998,MATCH(AE$4,'Table Output'!$A$1:$BQ$1,0),),'Control Panel'!AE7))</f>
        <v/>
      </c>
      <c r="AF8" s="36" t="str">
        <f>IF($I8="","",IF('Control Panel'!AF7="",VLOOKUP($E8,'Table Output'!$A$2:$BR$99998,MATCH(AF$4,'Table Output'!$A$1:$BQ$1,0),),'Control Panel'!AF7))</f>
        <v/>
      </c>
      <c r="AG8" s="36" t="str">
        <f>IF($I8="","",IF('Control Panel'!AG7="",VLOOKUP($E8,'Table Output'!$A$2:$BR$99998,MATCH(AG$4,'Table Output'!$A$1:$BQ$1,0),),'Control Panel'!AG7))</f>
        <v/>
      </c>
      <c r="AH8" s="36" t="str">
        <f>IF($I8="","",IF('Control Panel'!AH7="",VLOOKUP($E8,'Table Output'!$A$2:$BR$99998,MATCH(AH$4,'Table Output'!$A$1:$BQ$1,0),),'Control Panel'!AH7))</f>
        <v/>
      </c>
      <c r="AI8" s="36" t="str">
        <f>IF($I8="","",IF('Control Panel'!AI7="",VLOOKUP($E8,'Table Output'!$A$2:$BR$99998,MATCH(AI$4,'Table Output'!$A$1:$BQ$1,0),),'Control Panel'!AI7))</f>
        <v/>
      </c>
      <c r="AJ8" s="36" t="str">
        <f>IF($I8="","",IF('Control Panel'!AJ7="",VLOOKUP($E8,'Table Output'!$A$2:$BR$99998,MATCH(AJ$4,'Table Output'!$A$1:$BQ$1,0),),'Control Panel'!AJ7))</f>
        <v/>
      </c>
      <c r="AL8" s="51" t="str">
        <f t="shared" si="0"/>
        <v/>
      </c>
      <c r="AM8" s="48" t="str">
        <f>IF(AM$4="","",IF($I8="","",IF('Control Panel'!AM7="",VLOOKUP($E8,'Table Output'!$A$2:$BR$99998,MATCH(AM$4,'Table Output'!$A$1:$BQ$1,0),FALSE),'Control Panel'!AM7)))</f>
        <v/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/>
      </c>
      <c r="F9" s="2" t="str">
        <f>IF(T9=1,IF('Control Panel'!F8="","",'Control Panel'!F8),"")</f>
        <v/>
      </c>
      <c r="G9" s="2" t="str">
        <f>IF(T9=1,IF('Control Panel'!G8="","",'Control Panel'!G8),"")</f>
        <v/>
      </c>
      <c r="H9" s="2" t="str">
        <f>IF(T9=1,IF('Control Panel'!H8="","",'Control Panel'!H8),"")</f>
        <v/>
      </c>
      <c r="I9" s="42" t="str">
        <f>IF(T9=1,IF('Control Panel'!I8="","",'Control Panel'!I8),"")</f>
        <v/>
      </c>
      <c r="J9" s="36" t="str">
        <f>IF($I9="","",IF(J$4="","",IF('Control Panel'!J8="",VLOOKUP($E9,'Table Output'!$A$2:$BR$1048576,MATCH(J$4,'Table Output'!$A$1:$BQ$1,0),),'Control Panel'!J8)))</f>
        <v/>
      </c>
      <c r="K9" s="36" t="str">
        <f>IF($I9="","",IF(K$4="","",IF('Control Panel'!K8="",VLOOKUP($E9,'Table Output'!$A$2:$BR$1048576,MATCH(K$4,'Table Output'!$A$1:$BQ$1,0),),'Control Panel'!K8)))</f>
        <v/>
      </c>
      <c r="L9" s="36" t="str">
        <f>IF($I9="","",IF(L$4="","",IF('Control Panel'!L8="",VLOOKUP($E9,'Table Output'!$A$2:$BR$1048576,MATCH(L$4,'Table Output'!$A$1:$BQ$1,0),),'Control Panel'!L8)))</f>
        <v/>
      </c>
      <c r="M9" s="36" t="str">
        <f>IF($I9="","",IF(M$4="","",IF('Control Panel'!M8="",VLOOKUP($E9,'Table Output'!$A$2:$BR$1048576,MATCH(M$4,'Table Output'!$A$1:$BQ$1,0),),'Control Panel'!M8)))</f>
        <v/>
      </c>
      <c r="N9" s="36" t="str">
        <f>IF($I9="","",IF(N$4="","",IF('Control Panel'!N8="",VLOOKUP($E9,'Table Output'!$A$2:$BR$1048576,MATCH(N$4,'Table Output'!$A$1:$BQ$1,0),),'Control Panel'!N8)))</f>
        <v/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0</v>
      </c>
      <c r="U9" s="36" t="str">
        <f>IF($I9="","",IF('Control Panel'!U8="",VLOOKUP($E9,'Table Output'!$A$2:$BR$99998,MATCH(U$4,'Table Output'!$A$1:$BQ$1,0),),'Control Panel'!U8))</f>
        <v/>
      </c>
      <c r="V9" s="36" t="str">
        <f>IF($I9="","",IF('Control Panel'!V8="",VLOOKUP($E9,'Table Output'!$A$2:$BR$99998,MATCH(V$4,'Table Output'!$A$1:$BQ$1,0),),'Control Panel'!V8))</f>
        <v/>
      </c>
      <c r="W9" s="36" t="str">
        <f>IF($I9="","",IF('Control Panel'!W8="",VLOOKUP($E9,'Table Output'!$A$2:$BR$99998,MATCH(W$4,'Table Output'!$A$1:$BQ$1,0),),'Control Panel'!W8))</f>
        <v/>
      </c>
      <c r="X9" s="36" t="str">
        <f>IF($I9="","",IF('Control Panel'!X8="",VLOOKUP($E9,'Table Output'!$A$2:$BR$99998,MATCH(X$4,'Table Output'!$A$1:$BQ$1,0),),'Control Panel'!X8))</f>
        <v/>
      </c>
      <c r="Y9" s="36" t="str">
        <f>IF($I9="","",IF('Control Panel'!Y8="",VLOOKUP($E9,'Table Output'!$A$2:$BR$99998,MATCH(Y$4,'Table Output'!$A$1:$BQ$1,0),),'Control Panel'!Y8))</f>
        <v/>
      </c>
      <c r="Z9" s="36" t="str">
        <f>IF($I9="","",IF('Control Panel'!Z8="",VLOOKUP($E9,'Table Output'!$A$2:$BR$99998,MATCH(Z$4,'Table Output'!$A$1:$BQ$1,0),),'Control Panel'!Z8))</f>
        <v/>
      </c>
      <c r="AA9" s="36" t="str">
        <f>IF($I9="","",IF('Control Panel'!AA8="",VLOOKUP($E9,'Table Output'!$A$2:$BR$99998,MATCH(AA$4,'Table Output'!$A$1:$BQ$1,0),),'Control Panel'!AA8))</f>
        <v/>
      </c>
      <c r="AB9" s="36" t="str">
        <f>IF($I9="","",IF('Control Panel'!AB8="",VLOOKUP($E9,'Table Output'!$A$2:$BR$99998,MATCH(AB$4,'Table Output'!$A$1:$BQ$1,0),),'Control Panel'!AB8))</f>
        <v/>
      </c>
      <c r="AC9" s="36" t="str">
        <f>IF($I9="","",IF('Control Panel'!AC8="",VLOOKUP($E9,'Table Output'!$A$2:$BR$99998,MATCH(AC$4,'Table Output'!$A$1:$BQ$1,0),),'Control Panel'!AC8))</f>
        <v/>
      </c>
      <c r="AD9" s="36" t="str">
        <f>IF($I9="","",IF('Control Panel'!AD8="",VLOOKUP($E9,'Table Output'!$A$2:$BR$99998,MATCH(AD$4,'Table Output'!$A$1:$BQ$1,0),),'Control Panel'!AD8))</f>
        <v/>
      </c>
      <c r="AE9" s="36" t="str">
        <f>IF($I9="","",IF('Control Panel'!AE8="",VLOOKUP($E9,'Table Output'!$A$2:$BR$99998,MATCH(AE$4,'Table Output'!$A$1:$BQ$1,0),),'Control Panel'!AE8))</f>
        <v/>
      </c>
      <c r="AF9" s="36" t="str">
        <f>IF($I9="","",IF('Control Panel'!AF8="",VLOOKUP($E9,'Table Output'!$A$2:$BR$99998,MATCH(AF$4,'Table Output'!$A$1:$BQ$1,0),),'Control Panel'!AF8))</f>
        <v/>
      </c>
      <c r="AG9" s="36" t="str">
        <f>IF($I9="","",IF('Control Panel'!AG8="",VLOOKUP($E9,'Table Output'!$A$2:$BR$99998,MATCH(AG$4,'Table Output'!$A$1:$BQ$1,0),),'Control Panel'!AG8))</f>
        <v/>
      </c>
      <c r="AH9" s="36" t="str">
        <f>IF($I9="","",IF('Control Panel'!AH8="",VLOOKUP($E9,'Table Output'!$A$2:$BR$99998,MATCH(AH$4,'Table Output'!$A$1:$BQ$1,0),),'Control Panel'!AH8))</f>
        <v/>
      </c>
      <c r="AI9" s="36" t="str">
        <f>IF($I9="","",IF('Control Panel'!AI8="",VLOOKUP($E9,'Table Output'!$A$2:$BR$99998,MATCH(AI$4,'Table Output'!$A$1:$BQ$1,0),),'Control Panel'!AI8))</f>
        <v/>
      </c>
      <c r="AJ9" s="36" t="str">
        <f>IF($I9="","",IF('Control Panel'!AJ8="",VLOOKUP($E9,'Table Output'!$A$2:$BR$99998,MATCH(AJ$4,'Table Output'!$A$1:$BQ$1,0),),'Control Panel'!AJ8))</f>
        <v/>
      </c>
      <c r="AL9" s="51" t="str">
        <f t="shared" si="0"/>
        <v/>
      </c>
      <c r="AM9" s="48" t="str">
        <f>IF(AM$4="","",IF($I9="","",IF('Control Panel'!AM8="",VLOOKUP($E9,'Table Output'!$A$2:$BR$99998,MATCH(AM$4,'Table Output'!$A$1:$BQ$1,0),FALSE),'Control Panel'!AM8)))</f>
        <v/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Output'!$A$2:$BR$1048576,MATCH(J$4,'Table Output'!$A$1:$BQ$1,0),),'Control Panel'!J9)))</f>
        <v/>
      </c>
      <c r="K10" s="36" t="str">
        <f>IF($I10="","",IF(K$4="","",IF('Control Panel'!K9="",VLOOKUP($E10,'Table Output'!$A$2:$BR$1048576,MATCH(K$4,'Table Output'!$A$1:$BQ$1,0),),'Control Panel'!K9)))</f>
        <v/>
      </c>
      <c r="L10" s="36" t="str">
        <f>IF($I10="","",IF(L$4="","",IF('Control Panel'!L9="",VLOOKUP($E10,'Table Output'!$A$2:$BR$1048576,MATCH(L$4,'Table Output'!$A$1:$BQ$1,0),),'Control Panel'!L9)))</f>
        <v/>
      </c>
      <c r="M10" s="36" t="str">
        <f>IF($I10="","",IF(M$4="","",IF('Control Panel'!M9="",VLOOKUP($E10,'Table Output'!$A$2:$BR$1048576,MATCH(M$4,'Table Output'!$A$1:$BQ$1,0),),'Control Panel'!M9)))</f>
        <v/>
      </c>
      <c r="N10" s="36" t="str">
        <f>IF($I10="","",IF(N$4="","",IF('Control Panel'!N9="",VLOOKUP($E10,'Table Output'!$A$2:$BR$1048576,MATCH(N$4,'Table Output'!$A$1:$BQ$1,0),),'Control Panel'!N9)))</f>
        <v/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Output'!$A$2:$BR$1048576,MATCH(J$4,'Table Output'!$A$1:$BQ$1,0),),'Control Panel'!J11)))</f>
        <v/>
      </c>
      <c r="K12" s="36" t="str">
        <f>IF($I12="","",IF(K$4="","",IF('Control Panel'!K11="",VLOOKUP($E12,'Table Output'!$A$2:$BR$1048576,MATCH(K$4,'Table Output'!$A$1:$BQ$1,0),),'Control Panel'!K11)))</f>
        <v/>
      </c>
      <c r="L12" s="36" t="str">
        <f>IF($I12="","",IF(L$4="","",IF('Control Panel'!L11="",VLOOKUP($E12,'Table Output'!$A$2:$BR$1048576,MATCH(L$4,'Table Output'!$A$1:$BQ$1,0),),'Control Panel'!L11)))</f>
        <v/>
      </c>
      <c r="M12" s="36" t="str">
        <f>IF($I12="","",IF(M$4="","",IF('Control Panel'!M11="",VLOOKUP($E12,'Table Output'!$A$2:$BR$1048576,MATCH(M$4,'Table Output'!$A$1:$BQ$1,0),),'Control Panel'!M11)))</f>
        <v/>
      </c>
      <c r="N12" s="36" t="str">
        <f>IF($I12="","",IF(N$4="","",IF('Control Panel'!N11="",VLOOKUP($E12,'Table Output'!$A$2:$BR$1048576,MATCH(N$4,'Table Output'!$A$1:$BQ$1,0),),'Control Panel'!N11)))</f>
        <v/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Output'!$A$2:$BR$1048576,MATCH(J$4,'Table Output'!$A$1:$BQ$1,0),),'Control Panel'!J12)))</f>
        <v/>
      </c>
      <c r="K13" s="36" t="str">
        <f>IF($I13="","",IF(K$4="","",IF('Control Panel'!K12="",VLOOKUP($E13,'Table Output'!$A$2:$BR$1048576,MATCH(K$4,'Table Output'!$A$1:$BQ$1,0),),'Control Panel'!K12)))</f>
        <v/>
      </c>
      <c r="L13" s="36" t="str">
        <f>IF($I13="","",IF(L$4="","",IF('Control Panel'!L12="",VLOOKUP($E13,'Table Output'!$A$2:$BR$1048576,MATCH(L$4,'Table Output'!$A$1:$BQ$1,0),),'Control Panel'!L12)))</f>
        <v/>
      </c>
      <c r="M13" s="36" t="str">
        <f>IF($I13="","",IF(M$4="","",IF('Control Panel'!M12="",VLOOKUP($E13,'Table Output'!$A$2:$BR$1048576,MATCH(M$4,'Table Output'!$A$1:$BQ$1,0),),'Control Panel'!M12)))</f>
        <v/>
      </c>
      <c r="N13" s="36" t="str">
        <f>IF($I13="","",IF(N$4="","",IF('Control Panel'!N12="",VLOOKUP($E13,'Table Output'!$A$2:$BR$1048576,MATCH(N$4,'Table Output'!$A$1:$BQ$1,0),),'Control Panel'!N12)))</f>
        <v/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Output'!$A$2:$BR$1048576,MATCH(J$4,'Table Output'!$A$1:$BQ$1,0),),'Control Panel'!J13)))</f>
        <v/>
      </c>
      <c r="K14" s="36" t="str">
        <f>IF($I14="","",IF(K$4="","",IF('Control Panel'!K13="",VLOOKUP($E14,'Table Output'!$A$2:$BR$1048576,MATCH(K$4,'Table Output'!$A$1:$BQ$1,0),),'Control Panel'!K13)))</f>
        <v/>
      </c>
      <c r="L14" s="36" t="str">
        <f>IF($I14="","",IF(L$4="","",IF('Control Panel'!L13="",VLOOKUP($E14,'Table Output'!$A$2:$BR$1048576,MATCH(L$4,'Table Output'!$A$1:$BQ$1,0),),'Control Panel'!L13)))</f>
        <v/>
      </c>
      <c r="M14" s="36" t="str">
        <f>IF($I14="","",IF(M$4="","",IF('Control Panel'!M13="",VLOOKUP($E14,'Table Output'!$A$2:$BR$1048576,MATCH(M$4,'Table Output'!$A$1:$BQ$1,0),),'Control Panel'!M13)))</f>
        <v/>
      </c>
      <c r="N14" s="36" t="str">
        <f>IF($I14="","",IF(N$4="","",IF('Control Panel'!N13="",VLOOKUP($E14,'Table Output'!$A$2:$BR$1048576,MATCH(N$4,'Table Output'!$A$1:$BQ$1,0),),'Control Panel'!N13)))</f>
        <v/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Output'!$A$2:$BR$1048576,MATCH(J$4,'Table Output'!$A$1:$BQ$1,0),),'Control Panel'!J14)))</f>
        <v/>
      </c>
      <c r="K15" s="36" t="str">
        <f>IF($I15="","",IF(K$4="","",IF('Control Panel'!K14="",VLOOKUP($E15,'Table Output'!$A$2:$BR$1048576,MATCH(K$4,'Table Output'!$A$1:$BQ$1,0),),'Control Panel'!K14)))</f>
        <v/>
      </c>
      <c r="L15" s="36" t="str">
        <f>IF($I15="","",IF(L$4="","",IF('Control Panel'!L14="",VLOOKUP($E15,'Table Output'!$A$2:$BR$1048576,MATCH(L$4,'Table Output'!$A$1:$BQ$1,0),),'Control Panel'!L14)))</f>
        <v/>
      </c>
      <c r="M15" s="36" t="str">
        <f>IF($I15="","",IF(M$4="","",IF('Control Panel'!M14="",VLOOKUP($E15,'Table Output'!$A$2:$BR$1048576,MATCH(M$4,'Table Output'!$A$1:$BQ$1,0),),'Control Panel'!M14)))</f>
        <v/>
      </c>
      <c r="N15" s="36" t="str">
        <f>IF($I15="","",IF(N$4="","",IF('Control Panel'!N14="",VLOOKUP($E15,'Table Output'!$A$2:$BR$1048576,MATCH(N$4,'Table Output'!$A$1:$BQ$1,0),),'Control Panel'!N14)))</f>
        <v/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0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/>
      </c>
      <c r="I40" s="7" t="str">
        <f t="shared" si="4"/>
        <v/>
      </c>
      <c r="J40" s="44" t="str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/>
      </c>
      <c r="K40" s="44" t="str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/>
      </c>
      <c r="L40" s="44" t="str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/>
      </c>
      <c r="M40" s="44" t="str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/>
      </c>
      <c r="N40" s="44" t="str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/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/>
      </c>
      <c r="I41" s="7" t="str">
        <f t="shared" si="4"/>
        <v/>
      </c>
      <c r="J41" s="44" t="str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/>
      </c>
      <c r="K41" s="44" t="str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/>
      </c>
      <c r="L41" s="44" t="str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/>
      </c>
      <c r="M41" s="44" t="str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/>
      </c>
      <c r="N41" s="44" t="str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/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/>
      </c>
      <c r="I42" s="7" t="str">
        <f t="shared" si="4"/>
        <v/>
      </c>
      <c r="J42" s="44" t="str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/>
      </c>
      <c r="K42" s="44" t="str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/>
      </c>
      <c r="L42" s="44" t="str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/>
      </c>
      <c r="M42" s="44" t="str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/>
      </c>
      <c r="N42" s="44" t="str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/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/>
      </c>
      <c r="I75" s="7" t="str">
        <f t="shared" si="7"/>
        <v/>
      </c>
      <c r="J75" s="44" t="str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/>
      </c>
      <c r="K75" s="44" t="str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/>
      </c>
      <c r="L75" s="44" t="str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/>
      </c>
      <c r="M75" s="44" t="str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/>
      </c>
      <c r="N75" s="44" t="str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/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/>
      </c>
      <c r="I76" s="7" t="str">
        <f t="shared" si="7"/>
        <v/>
      </c>
      <c r="J76" s="44" t="str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/>
      </c>
      <c r="K76" s="44" t="str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/>
      </c>
      <c r="L76" s="44" t="str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/>
      </c>
      <c r="M76" s="44" t="str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/>
      </c>
      <c r="N76" s="44" t="str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/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/>
      </c>
      <c r="I77" s="7" t="str">
        <f t="shared" si="7"/>
        <v/>
      </c>
      <c r="J77" s="44" t="str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/>
      </c>
      <c r="K77" s="44" t="str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/>
      </c>
      <c r="L77" s="44" t="str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/>
      </c>
      <c r="M77" s="44" t="str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/>
      </c>
      <c r="N77" s="44" t="str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/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abSelected="1" zoomScaleNormal="100" workbookViewId="0">
      <selection activeCell="B11" sqref="B11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L22" sqref="L2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-120</v>
      </c>
      <c r="E6" s="91">
        <v>7.2110000000000003</v>
      </c>
      <c r="H6" s="13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1</v>
      </c>
      <c r="E7" s="91">
        <v>-11.798</v>
      </c>
      <c r="H7" s="13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-35</v>
      </c>
      <c r="E9" s="91">
        <v>-5555</v>
      </c>
      <c r="H9" s="13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0.2</v>
      </c>
      <c r="E10" s="91">
        <v>-5555</v>
      </c>
      <c r="H10" s="13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-0.5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-0.5</v>
      </c>
      <c r="E42" s="91">
        <v>-5555</v>
      </c>
      <c r="H42" s="13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0</v>
      </c>
      <c r="E6" s="91">
        <v>7.2110000000000003</v>
      </c>
      <c r="H6" s="13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3</v>
      </c>
      <c r="E7" s="91">
        <v>-11.798</v>
      </c>
      <c r="H7" s="13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-2.4</v>
      </c>
      <c r="E9" s="91">
        <v>-5555</v>
      </c>
      <c r="H9" s="13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0.5</v>
      </c>
      <c r="E10" s="91">
        <v>-5555</v>
      </c>
      <c r="H10" s="13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0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-0.05</v>
      </c>
      <c r="E42" s="91">
        <v>-5555</v>
      </c>
      <c r="H42" s="13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2022-01-14T13:34:50Z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