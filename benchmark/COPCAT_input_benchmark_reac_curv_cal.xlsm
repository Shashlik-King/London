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KMV\Desktop\COPCAT\COPCAT\benchmark\"/>
    </mc:Choice>
  </mc:AlternateContent>
  <xr:revisionPtr revIDLastSave="0" documentId="13_ncr:1_{7C6EAFD0-9DB9-4073-B850-225E262B41F4}" xr6:coauthVersionLast="46" xr6:coauthVersionMax="46" xr10:uidLastSave="{00000000-0000-0000-0000-000000000000}"/>
  <bookViews>
    <workbookView xWindow="-120" yWindow="-120" windowWidth="29040" windowHeight="15840" tabRatio="734" xr2:uid="{00000000-000D-0000-FFFF-FFFF00000000}"/>
  </bookViews>
  <sheets>
    <sheet name="Control Panel" sheetId="124" r:id="rId1"/>
    <sheet name="DataFilter" sheetId="225" r:id="rId2"/>
    <sheet name="Table Output" sheetId="222" r:id="rId3"/>
    <sheet name="Exchange" sheetId="125" r:id="rId4"/>
    <sheet name="benchmark" sheetId="229" r:id="rId5"/>
    <sheet name="Switch_options_hidden" sheetId="227" r:id="rId6"/>
    <sheet name="BoundParameters_HiddenSheetSAND" sheetId="133" state="hidden" r:id="rId7"/>
    <sheet name="BoundParameters_HiddenSheetCLAY" sheetId="128" state="hidden" r:id="rId8"/>
  </sheets>
  <definedNames>
    <definedName name="ExternalData_1" localSheetId="2" hidden="1">'Table Output'!$A$1:$BQ$8</definedName>
    <definedName name="ExternalData_2" localSheetId="1" hidden="1">DataFilter!$A$1:$C$189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0" i="125" l="1"/>
  <c r="H31" i="125"/>
  <c r="H32" i="125"/>
  <c r="C53" i="125"/>
  <c r="C52" i="125"/>
  <c r="C14" i="125"/>
  <c r="C13" i="125"/>
  <c r="C12" i="125"/>
  <c r="C3" i="125"/>
  <c r="C4" i="125"/>
  <c r="C19" i="125"/>
  <c r="A1" i="229"/>
  <c r="B5" i="229" s="1"/>
  <c r="B4" i="229"/>
  <c r="R6" i="229"/>
  <c r="R7" i="229"/>
  <c r="R8" i="229"/>
  <c r="R9" i="229"/>
  <c r="R10" i="229"/>
  <c r="R11" i="229"/>
  <c r="R12" i="229"/>
  <c r="R13" i="229"/>
  <c r="R14" i="229"/>
  <c r="R15" i="229"/>
  <c r="R16" i="229"/>
  <c r="AF40" i="229"/>
  <c r="AF41" i="229" s="1"/>
  <c r="AF42" i="229" s="1"/>
  <c r="AF43" i="229" s="1"/>
  <c r="AF44" i="229" s="1"/>
  <c r="AF45" i="229" s="1"/>
  <c r="AG40" i="229"/>
  <c r="AG41" i="229" s="1"/>
  <c r="AG42" i="229" s="1"/>
  <c r="AG43" i="229" s="1"/>
  <c r="AG44" i="229" s="1"/>
  <c r="AG45" i="229" s="1"/>
  <c r="AG46" i="229" s="1"/>
  <c r="AG47" i="229" s="1"/>
  <c r="AH40" i="229"/>
  <c r="AH41" i="229" s="1"/>
  <c r="AH42" i="229" s="1"/>
  <c r="AH43" i="229" s="1"/>
  <c r="AH44" i="229" s="1"/>
  <c r="AH45" i="229" s="1"/>
  <c r="AH46" i="229" s="1"/>
  <c r="AH47" i="229" s="1"/>
  <c r="AG50" i="229"/>
  <c r="AG51" i="229" s="1"/>
  <c r="AG52" i="229" s="1"/>
  <c r="AG53" i="229" s="1"/>
  <c r="AG54" i="229" s="1"/>
  <c r="AG55" i="229" s="1"/>
  <c r="AG56" i="229" s="1"/>
  <c r="AG57" i="229" s="1"/>
  <c r="AG58" i="229" s="1"/>
  <c r="AB11" i="229" l="1"/>
  <c r="AF46" i="229"/>
  <c r="AF47" i="229" s="1"/>
  <c r="Z11" i="229"/>
  <c r="AB14" i="229"/>
  <c r="AG48" i="229"/>
  <c r="AB13" i="229"/>
  <c r="AJ14" i="229"/>
  <c r="AH48" i="229"/>
  <c r="AH49" i="229" s="1"/>
  <c r="AH50" i="229" s="1"/>
  <c r="AH51" i="229" s="1"/>
  <c r="AH52" i="229" s="1"/>
  <c r="AH53" i="229" s="1"/>
  <c r="AH54" i="229" s="1"/>
  <c r="AH55" i="229" s="1"/>
  <c r="AH56" i="229" s="1"/>
  <c r="AH57" i="229" s="1"/>
  <c r="AH58" i="229" s="1"/>
  <c r="AH59" i="229" s="1"/>
  <c r="AJ7" i="229" s="1"/>
  <c r="AJ13" i="229"/>
  <c r="AJ15" i="229"/>
  <c r="AB9" i="229"/>
  <c r="AG59" i="229"/>
  <c r="AB10" i="229" s="1"/>
  <c r="AB8" i="229"/>
  <c r="AB15" i="229"/>
  <c r="AJ11" i="229"/>
  <c r="K68" i="125"/>
  <c r="L68" i="125"/>
  <c r="M68" i="125"/>
  <c r="N68" i="125"/>
  <c r="O68" i="125"/>
  <c r="P68" i="125"/>
  <c r="Q68" i="125"/>
  <c r="R68" i="125"/>
  <c r="S68" i="125"/>
  <c r="J68" i="125"/>
  <c r="G30" i="125"/>
  <c r="G31" i="125"/>
  <c r="G32" i="125"/>
  <c r="F30" i="125"/>
  <c r="F31" i="125"/>
  <c r="F32" i="125"/>
  <c r="T4" i="125"/>
  <c r="M4" i="125"/>
  <c r="Z13" i="229" l="1"/>
  <c r="Z14" i="229"/>
  <c r="AF48" i="229"/>
  <c r="AF49" i="229" s="1"/>
  <c r="AF50" i="229" s="1"/>
  <c r="AF51" i="229" s="1"/>
  <c r="AF52" i="229" s="1"/>
  <c r="AF53" i="229" s="1"/>
  <c r="AF54" i="229" s="1"/>
  <c r="AF55" i="229" s="1"/>
  <c r="AF56" i="229" s="1"/>
  <c r="AJ9" i="229"/>
  <c r="AJ10" i="229"/>
  <c r="AB7" i="229"/>
  <c r="AJ8" i="229"/>
  <c r="Z15" i="229"/>
  <c r="AF57" i="229" l="1"/>
  <c r="AF58" i="229" s="1"/>
  <c r="Z8" i="229"/>
  <c r="B26" i="125"/>
  <c r="B28" i="125"/>
  <c r="C28" i="125"/>
  <c r="B30" i="125"/>
  <c r="C30" i="125"/>
  <c r="AF59" i="229" l="1"/>
  <c r="Z9" i="229"/>
  <c r="T21" i="125"/>
  <c r="H21" i="125" s="1"/>
  <c r="Z10" i="229" l="1"/>
  <c r="Z7" i="229"/>
  <c r="G21" i="125"/>
  <c r="F21" i="125"/>
  <c r="C24" i="125"/>
  <c r="B24" i="125"/>
  <c r="B25" i="125"/>
  <c r="C25" i="125"/>
  <c r="C26" i="125"/>
  <c r="B27" i="125"/>
  <c r="C27" i="125"/>
  <c r="B29" i="125"/>
  <c r="C29" i="125"/>
  <c r="B31" i="125"/>
  <c r="C31" i="125"/>
  <c r="B32" i="125"/>
  <c r="C32" i="125"/>
  <c r="O37" i="124" l="1"/>
  <c r="AL24" i="124" l="1"/>
  <c r="AL25" i="124"/>
  <c r="AL26" i="124"/>
  <c r="AL27" i="124"/>
  <c r="AL28" i="124"/>
  <c r="I93" i="124" l="1"/>
  <c r="I94" i="124"/>
  <c r="I95" i="124"/>
  <c r="I96" i="124"/>
  <c r="I97" i="124"/>
  <c r="I98" i="124"/>
  <c r="I99" i="124"/>
  <c r="I100" i="124"/>
  <c r="I101" i="124"/>
  <c r="I102" i="124"/>
  <c r="I103" i="124"/>
  <c r="I104" i="124"/>
  <c r="I58" i="124"/>
  <c r="I59" i="124"/>
  <c r="I60" i="124"/>
  <c r="I61" i="124"/>
  <c r="I62" i="124"/>
  <c r="I63" i="124"/>
  <c r="I64" i="124"/>
  <c r="I65" i="124"/>
  <c r="I66" i="124"/>
  <c r="I67" i="124"/>
  <c r="I68" i="124"/>
  <c r="I69" i="124"/>
  <c r="T25" i="125"/>
  <c r="H25" i="125" s="1"/>
  <c r="T26" i="125"/>
  <c r="H26" i="125" s="1"/>
  <c r="T27" i="125"/>
  <c r="H27" i="125" s="1"/>
  <c r="T28" i="125"/>
  <c r="H28" i="125" s="1"/>
  <c r="T29" i="125"/>
  <c r="H29" i="125" s="1"/>
  <c r="E30" i="125"/>
  <c r="E63" i="125" s="1"/>
  <c r="E98" i="125" s="1"/>
  <c r="T33" i="125"/>
  <c r="H33" i="125" s="1"/>
  <c r="T34" i="125"/>
  <c r="H34" i="125" s="1"/>
  <c r="I31" i="125"/>
  <c r="I32" i="125"/>
  <c r="E31" i="125"/>
  <c r="E64" i="125" s="1"/>
  <c r="E99" i="125" s="1"/>
  <c r="E32" i="125"/>
  <c r="E65" i="125" s="1"/>
  <c r="E100" i="125" s="1"/>
  <c r="X32" i="125" l="1"/>
  <c r="AJ32" i="125"/>
  <c r="Y32" i="125"/>
  <c r="Z32" i="125"/>
  <c r="AA32" i="125"/>
  <c r="V32" i="125"/>
  <c r="AB32" i="125"/>
  <c r="AC32" i="125"/>
  <c r="AD32" i="125"/>
  <c r="U32" i="125"/>
  <c r="AF32" i="125"/>
  <c r="AH32" i="125"/>
  <c r="AE32" i="125"/>
  <c r="AG32" i="125"/>
  <c r="W32" i="125"/>
  <c r="AI32" i="125"/>
  <c r="Z31" i="125"/>
  <c r="AA31" i="125"/>
  <c r="AJ31" i="125"/>
  <c r="AB31" i="125"/>
  <c r="V31" i="125"/>
  <c r="AH31" i="125"/>
  <c r="AC31" i="125"/>
  <c r="AD31" i="125"/>
  <c r="AE31" i="125"/>
  <c r="U31" i="125"/>
  <c r="AF31" i="125"/>
  <c r="AG31" i="125"/>
  <c r="X31" i="125"/>
  <c r="W31" i="125"/>
  <c r="AI31" i="125"/>
  <c r="Y31" i="125"/>
  <c r="I28" i="125"/>
  <c r="F28" i="125"/>
  <c r="G28" i="125"/>
  <c r="E34" i="125"/>
  <c r="E67" i="125" s="1"/>
  <c r="E102" i="125" s="1"/>
  <c r="G34" i="125"/>
  <c r="F34" i="125"/>
  <c r="E27" i="125"/>
  <c r="E60" i="125" s="1"/>
  <c r="E95" i="125" s="1"/>
  <c r="F27" i="125"/>
  <c r="G27" i="125"/>
  <c r="E33" i="125"/>
  <c r="E66" i="125" s="1"/>
  <c r="E101" i="125" s="1"/>
  <c r="F33" i="125"/>
  <c r="G33" i="125"/>
  <c r="E29" i="125"/>
  <c r="E62" i="125" s="1"/>
  <c r="E97" i="125" s="1"/>
  <c r="G29" i="125"/>
  <c r="F29" i="125"/>
  <c r="E26" i="125"/>
  <c r="E59" i="125" s="1"/>
  <c r="E94" i="125" s="1"/>
  <c r="F26" i="125"/>
  <c r="G26" i="125"/>
  <c r="E25" i="125"/>
  <c r="E58" i="125" s="1"/>
  <c r="E93" i="125" s="1"/>
  <c r="G25" i="125"/>
  <c r="F25" i="125"/>
  <c r="J31" i="125"/>
  <c r="K31" i="125"/>
  <c r="P31" i="125"/>
  <c r="Q31" i="125"/>
  <c r="R31" i="125"/>
  <c r="L31" i="125"/>
  <c r="M31" i="125"/>
  <c r="N31" i="125"/>
  <c r="O31" i="125"/>
  <c r="S31" i="125"/>
  <c r="K32" i="125"/>
  <c r="L32" i="125"/>
  <c r="M32" i="125"/>
  <c r="N32" i="125"/>
  <c r="O32" i="125"/>
  <c r="R32" i="125"/>
  <c r="S32" i="125"/>
  <c r="P32" i="125"/>
  <c r="Q32" i="125"/>
  <c r="J32" i="125"/>
  <c r="I64" i="125"/>
  <c r="I33" i="125"/>
  <c r="AL33" i="125" s="1"/>
  <c r="I34" i="125"/>
  <c r="AL32" i="125"/>
  <c r="AL31" i="125"/>
  <c r="E28" i="125"/>
  <c r="E61" i="125" s="1"/>
  <c r="E96" i="125" s="1"/>
  <c r="I26" i="125"/>
  <c r="I27" i="125"/>
  <c r="I25" i="125"/>
  <c r="I30" i="125"/>
  <c r="I29" i="125"/>
  <c r="I65" i="125"/>
  <c r="AB30" i="125" l="1"/>
  <c r="AC30" i="125"/>
  <c r="V30" i="125"/>
  <c r="AD30" i="125"/>
  <c r="AE30" i="125"/>
  <c r="AF30" i="125"/>
  <c r="U30" i="125"/>
  <c r="AJ30" i="125"/>
  <c r="AG30" i="125"/>
  <c r="X30" i="125"/>
  <c r="AH30" i="125"/>
  <c r="W30" i="125"/>
  <c r="AI30" i="125"/>
  <c r="Y30" i="125"/>
  <c r="Z30" i="125"/>
  <c r="AA30" i="125"/>
  <c r="M64" i="125"/>
  <c r="K64" i="125"/>
  <c r="N64" i="125"/>
  <c r="O64" i="125"/>
  <c r="J64" i="125"/>
  <c r="P64" i="125"/>
  <c r="Q64" i="125"/>
  <c r="R64" i="125"/>
  <c r="S64" i="125"/>
  <c r="L64" i="125"/>
  <c r="P65" i="125"/>
  <c r="Q65" i="125"/>
  <c r="L65" i="125"/>
  <c r="R65" i="125"/>
  <c r="S65" i="125"/>
  <c r="J65" i="125"/>
  <c r="K65" i="125"/>
  <c r="N65" i="125"/>
  <c r="M65" i="125"/>
  <c r="O65" i="125"/>
  <c r="X28" i="125"/>
  <c r="AJ28" i="125"/>
  <c r="V28" i="125"/>
  <c r="Y28" i="125"/>
  <c r="Z28" i="125"/>
  <c r="AA28" i="125"/>
  <c r="AB28" i="125"/>
  <c r="AC28" i="125"/>
  <c r="AD28" i="125"/>
  <c r="U28" i="125"/>
  <c r="AE28" i="125"/>
  <c r="AF28" i="125"/>
  <c r="AG28" i="125"/>
  <c r="AH28" i="125"/>
  <c r="W28" i="125"/>
  <c r="AI28" i="125"/>
  <c r="R28" i="125"/>
  <c r="L28" i="125"/>
  <c r="Z27" i="125"/>
  <c r="X27" i="125"/>
  <c r="AA27" i="125"/>
  <c r="AB27" i="125"/>
  <c r="AC27" i="125"/>
  <c r="AD27" i="125"/>
  <c r="AE27" i="125"/>
  <c r="U27" i="125"/>
  <c r="AJ27" i="125"/>
  <c r="AF27" i="125"/>
  <c r="AG27" i="125"/>
  <c r="AH27" i="125"/>
  <c r="W27" i="125"/>
  <c r="AI27" i="125"/>
  <c r="Y27" i="125"/>
  <c r="V27" i="125"/>
  <c r="S28" i="125"/>
  <c r="K28" i="125"/>
  <c r="Q28" i="125"/>
  <c r="AB26" i="125"/>
  <c r="V26" i="125"/>
  <c r="AC26" i="125"/>
  <c r="AD26" i="125"/>
  <c r="AE26" i="125"/>
  <c r="AF26" i="125"/>
  <c r="U26" i="125"/>
  <c r="AG26" i="125"/>
  <c r="AH26" i="125"/>
  <c r="W26" i="125"/>
  <c r="AI26" i="125"/>
  <c r="X26" i="125"/>
  <c r="AJ26" i="125"/>
  <c r="Z26" i="125"/>
  <c r="Y26" i="125"/>
  <c r="AA26" i="125"/>
  <c r="X34" i="125"/>
  <c r="AJ34" i="125"/>
  <c r="U34" i="125"/>
  <c r="Y34" i="125"/>
  <c r="Z34" i="125"/>
  <c r="AA34" i="125"/>
  <c r="AB34" i="125"/>
  <c r="AC34" i="125"/>
  <c r="AD34" i="125"/>
  <c r="V34" i="125"/>
  <c r="AE34" i="125"/>
  <c r="AF34" i="125"/>
  <c r="AH34" i="125"/>
  <c r="AG34" i="125"/>
  <c r="W34" i="125"/>
  <c r="AI34" i="125"/>
  <c r="P28" i="125"/>
  <c r="Z33" i="125"/>
  <c r="AA33" i="125"/>
  <c r="AB33" i="125"/>
  <c r="AJ33" i="125"/>
  <c r="AC33" i="125"/>
  <c r="AD33" i="125"/>
  <c r="AE33" i="125"/>
  <c r="V33" i="125"/>
  <c r="AF33" i="125"/>
  <c r="AG33" i="125"/>
  <c r="AH33" i="125"/>
  <c r="W33" i="125"/>
  <c r="AI33" i="125"/>
  <c r="Y33" i="125"/>
  <c r="U33" i="125"/>
  <c r="X33" i="125"/>
  <c r="O28" i="125"/>
  <c r="M28" i="125"/>
  <c r="AH29" i="125"/>
  <c r="W29" i="125"/>
  <c r="AI29" i="125"/>
  <c r="V29" i="125"/>
  <c r="X29" i="125"/>
  <c r="AJ29" i="125"/>
  <c r="Y29" i="125"/>
  <c r="Z29" i="125"/>
  <c r="AA29" i="125"/>
  <c r="AB29" i="125"/>
  <c r="AF29" i="125"/>
  <c r="AC29" i="125"/>
  <c r="U29" i="125"/>
  <c r="AD29" i="125"/>
  <c r="AE29" i="125"/>
  <c r="AG29" i="125"/>
  <c r="N28" i="125"/>
  <c r="AL28" i="125"/>
  <c r="AD25" i="125"/>
  <c r="AE25" i="125"/>
  <c r="AF25" i="125"/>
  <c r="AG25" i="125"/>
  <c r="U25" i="125"/>
  <c r="AH25" i="125"/>
  <c r="AB25" i="125"/>
  <c r="W25" i="125"/>
  <c r="AI25" i="125"/>
  <c r="X25" i="125"/>
  <c r="AJ25" i="125"/>
  <c r="Y25" i="125"/>
  <c r="Z25" i="125"/>
  <c r="AA25" i="125"/>
  <c r="V25" i="125"/>
  <c r="AC25" i="125"/>
  <c r="I61" i="125"/>
  <c r="J28" i="125"/>
  <c r="J26" i="125"/>
  <c r="K26" i="125"/>
  <c r="L26" i="125"/>
  <c r="M26" i="125"/>
  <c r="N26" i="125"/>
  <c r="O26" i="125"/>
  <c r="S26" i="125"/>
  <c r="P26" i="125"/>
  <c r="Q26" i="125"/>
  <c r="R26" i="125"/>
  <c r="N33" i="125"/>
  <c r="M33" i="125"/>
  <c r="O33" i="125"/>
  <c r="P33" i="125"/>
  <c r="Q33" i="125"/>
  <c r="R33" i="125"/>
  <c r="K33" i="125"/>
  <c r="L33" i="125"/>
  <c r="S33" i="125"/>
  <c r="J33" i="125"/>
  <c r="P34" i="125"/>
  <c r="Q34" i="125"/>
  <c r="M34" i="125"/>
  <c r="R34" i="125"/>
  <c r="J34" i="125"/>
  <c r="N34" i="125"/>
  <c r="S34" i="125"/>
  <c r="L34" i="125"/>
  <c r="K34" i="125"/>
  <c r="O34" i="125"/>
  <c r="N29" i="125"/>
  <c r="O29" i="125"/>
  <c r="P29" i="125"/>
  <c r="Q29" i="125"/>
  <c r="R29" i="125"/>
  <c r="S29" i="125"/>
  <c r="L29" i="125"/>
  <c r="J29" i="125"/>
  <c r="M29" i="125"/>
  <c r="K29" i="125"/>
  <c r="J25" i="125"/>
  <c r="K25" i="125"/>
  <c r="L25" i="125"/>
  <c r="R25" i="125"/>
  <c r="M25" i="125"/>
  <c r="P25" i="125"/>
  <c r="S25" i="125"/>
  <c r="N25" i="125"/>
  <c r="Q25" i="125"/>
  <c r="O25" i="125"/>
  <c r="S30" i="125"/>
  <c r="J30" i="125"/>
  <c r="P30" i="125"/>
  <c r="Q30" i="125"/>
  <c r="K30" i="125"/>
  <c r="R30" i="125"/>
  <c r="L30" i="125"/>
  <c r="M30" i="125"/>
  <c r="N30" i="125"/>
  <c r="O30" i="125"/>
  <c r="L27" i="125"/>
  <c r="M27" i="125"/>
  <c r="N27" i="125"/>
  <c r="O27" i="125"/>
  <c r="P27" i="125"/>
  <c r="Q27" i="125"/>
  <c r="R27" i="125"/>
  <c r="J27" i="125"/>
  <c r="K27" i="125"/>
  <c r="S27" i="125"/>
  <c r="I99" i="125"/>
  <c r="I66" i="125"/>
  <c r="I67" i="125"/>
  <c r="AL34" i="125"/>
  <c r="AL26" i="125"/>
  <c r="AL25" i="125"/>
  <c r="I59" i="125"/>
  <c r="AL27" i="125"/>
  <c r="I60" i="125"/>
  <c r="I58" i="125"/>
  <c r="I62" i="125"/>
  <c r="AL29" i="125"/>
  <c r="AL30" i="125"/>
  <c r="I63" i="125"/>
  <c r="I100" i="125"/>
  <c r="J100" i="125" l="1"/>
  <c r="K100" i="125"/>
  <c r="L100" i="125"/>
  <c r="R100" i="125"/>
  <c r="M100" i="125"/>
  <c r="N100" i="125"/>
  <c r="O100" i="125"/>
  <c r="P100" i="125"/>
  <c r="Q100" i="125"/>
  <c r="S100" i="125"/>
  <c r="S99" i="125"/>
  <c r="K99" i="125"/>
  <c r="O99" i="125"/>
  <c r="L99" i="125"/>
  <c r="Q99" i="125"/>
  <c r="M99" i="125"/>
  <c r="N99" i="125"/>
  <c r="P99" i="125"/>
  <c r="R99" i="125"/>
  <c r="J99" i="125"/>
  <c r="K63" i="125"/>
  <c r="J63" i="125"/>
  <c r="L63" i="125"/>
  <c r="M63" i="125"/>
  <c r="N63" i="125"/>
  <c r="O63" i="125"/>
  <c r="P63" i="125"/>
  <c r="R63" i="125"/>
  <c r="Q63" i="125"/>
  <c r="S63" i="125"/>
  <c r="M67" i="125"/>
  <c r="N67" i="125"/>
  <c r="O67" i="125"/>
  <c r="P67" i="125"/>
  <c r="Q67" i="125"/>
  <c r="R67" i="125"/>
  <c r="S67" i="125"/>
  <c r="K67" i="125"/>
  <c r="J67" i="125"/>
  <c r="L67" i="125"/>
  <c r="S61" i="125"/>
  <c r="J61" i="125"/>
  <c r="K61" i="125"/>
  <c r="L61" i="125"/>
  <c r="M61" i="125"/>
  <c r="Q61" i="125"/>
  <c r="N61" i="125"/>
  <c r="O61" i="125"/>
  <c r="P61" i="125"/>
  <c r="R61" i="125"/>
  <c r="I101" i="125"/>
  <c r="K66" i="125"/>
  <c r="L66" i="125"/>
  <c r="M66" i="125"/>
  <c r="N66" i="125"/>
  <c r="O66" i="125"/>
  <c r="P66" i="125"/>
  <c r="Q66" i="125"/>
  <c r="R66" i="125"/>
  <c r="J66" i="125"/>
  <c r="S66" i="125"/>
  <c r="K62" i="125"/>
  <c r="L62" i="125"/>
  <c r="M62" i="125"/>
  <c r="N62" i="125"/>
  <c r="J62" i="125"/>
  <c r="O62" i="125"/>
  <c r="P62" i="125"/>
  <c r="Q62" i="125"/>
  <c r="R62" i="125"/>
  <c r="S62" i="125"/>
  <c r="P60" i="125"/>
  <c r="Q60" i="125"/>
  <c r="R60" i="125"/>
  <c r="J60" i="125"/>
  <c r="N60" i="125"/>
  <c r="S60" i="125"/>
  <c r="K60" i="125"/>
  <c r="L60" i="125"/>
  <c r="M60" i="125"/>
  <c r="O60" i="125"/>
  <c r="I96" i="125"/>
  <c r="J58" i="125"/>
  <c r="K58" i="125"/>
  <c r="L58" i="125"/>
  <c r="M58" i="125"/>
  <c r="N58" i="125"/>
  <c r="O58" i="125"/>
  <c r="P58" i="125"/>
  <c r="Q58" i="125"/>
  <c r="R58" i="125"/>
  <c r="S58" i="125"/>
  <c r="M59" i="125"/>
  <c r="N59" i="125"/>
  <c r="J59" i="125"/>
  <c r="K59" i="125"/>
  <c r="O59" i="125"/>
  <c r="P59" i="125"/>
  <c r="Q59" i="125"/>
  <c r="R59" i="125"/>
  <c r="S59" i="125"/>
  <c r="L59" i="125"/>
  <c r="I93" i="125"/>
  <c r="I102" i="125"/>
  <c r="I94" i="125"/>
  <c r="I95" i="125"/>
  <c r="I97" i="125"/>
  <c r="I98" i="125"/>
  <c r="P98" i="125" l="1"/>
  <c r="Q98" i="125"/>
  <c r="R98" i="125"/>
  <c r="S98" i="125"/>
  <c r="L98" i="125"/>
  <c r="N98" i="125"/>
  <c r="K98" i="125"/>
  <c r="M98" i="125"/>
  <c r="J98" i="125"/>
  <c r="O98" i="125"/>
  <c r="K101" i="125"/>
  <c r="L101" i="125"/>
  <c r="M101" i="125"/>
  <c r="N101" i="125"/>
  <c r="O101" i="125"/>
  <c r="P101" i="125"/>
  <c r="Q101" i="125"/>
  <c r="R101" i="125"/>
  <c r="S101" i="125"/>
  <c r="J101" i="125"/>
  <c r="K97" i="125"/>
  <c r="L97" i="125"/>
  <c r="M97" i="125"/>
  <c r="N97" i="125"/>
  <c r="O97" i="125"/>
  <c r="P97" i="125"/>
  <c r="Q97" i="125"/>
  <c r="J97" i="125"/>
  <c r="R97" i="125"/>
  <c r="S97" i="125"/>
  <c r="P95" i="125"/>
  <c r="Q95" i="125"/>
  <c r="R95" i="125"/>
  <c r="N95" i="125"/>
  <c r="S95" i="125"/>
  <c r="J95" i="125"/>
  <c r="K95" i="125"/>
  <c r="L95" i="125"/>
  <c r="M95" i="125"/>
  <c r="O95" i="125"/>
  <c r="S96" i="125"/>
  <c r="K96" i="125"/>
  <c r="L96" i="125"/>
  <c r="M96" i="125"/>
  <c r="J96" i="125"/>
  <c r="Q96" i="125"/>
  <c r="N96" i="125"/>
  <c r="O96" i="125"/>
  <c r="P96" i="125"/>
  <c r="R96" i="125"/>
  <c r="M94" i="125"/>
  <c r="N94" i="125"/>
  <c r="O94" i="125"/>
  <c r="P94" i="125"/>
  <c r="Q94" i="125"/>
  <c r="J94" i="125"/>
  <c r="R94" i="125"/>
  <c r="S94" i="125"/>
  <c r="K94" i="125"/>
  <c r="L94" i="125"/>
  <c r="M102" i="125"/>
  <c r="J102" i="125"/>
  <c r="K102" i="125"/>
  <c r="N102" i="125"/>
  <c r="O102" i="125"/>
  <c r="P102" i="125"/>
  <c r="Q102" i="125"/>
  <c r="R102" i="125"/>
  <c r="S102" i="125"/>
  <c r="L102" i="125"/>
  <c r="K93" i="125"/>
  <c r="L93" i="125"/>
  <c r="M93" i="125"/>
  <c r="J93" i="125"/>
  <c r="N93" i="125"/>
  <c r="O93" i="125"/>
  <c r="P93" i="125"/>
  <c r="Q93" i="125"/>
  <c r="R93" i="125"/>
  <c r="S93" i="125"/>
  <c r="AO4" i="125" l="1"/>
  <c r="AP4" i="125"/>
  <c r="AQ4" i="125"/>
  <c r="AR4" i="125"/>
  <c r="AS4" i="125"/>
  <c r="AT4" i="125"/>
  <c r="AU4" i="125"/>
  <c r="AN4" i="125"/>
  <c r="AN6" i="125" l="1"/>
  <c r="AN9" i="125"/>
  <c r="AN12" i="125"/>
  <c r="AN15" i="125"/>
  <c r="AN18" i="125"/>
  <c r="AN21" i="125"/>
  <c r="AN24" i="125"/>
  <c r="AN27" i="125"/>
  <c r="AN30" i="125"/>
  <c r="AN33" i="125"/>
  <c r="AN10" i="125"/>
  <c r="AN31" i="125"/>
  <c r="AN13" i="125"/>
  <c r="AN5" i="125"/>
  <c r="AN8" i="125"/>
  <c r="AN11" i="125"/>
  <c r="AN14" i="125"/>
  <c r="AN17" i="125"/>
  <c r="AN20" i="125"/>
  <c r="AN23" i="125"/>
  <c r="AN26" i="125"/>
  <c r="AN29" i="125"/>
  <c r="AN32" i="125"/>
  <c r="AN16" i="125"/>
  <c r="AN25" i="125"/>
  <c r="AN7" i="125"/>
  <c r="AN19" i="125"/>
  <c r="AN22" i="125"/>
  <c r="AN28" i="125"/>
  <c r="AN34" i="125"/>
  <c r="AR7" i="125"/>
  <c r="AR10" i="125"/>
  <c r="AR13" i="125"/>
  <c r="AR16" i="125"/>
  <c r="AR19" i="125"/>
  <c r="AR22" i="125"/>
  <c r="AR25" i="125"/>
  <c r="AR28" i="125"/>
  <c r="AR31" i="125"/>
  <c r="AR34" i="125"/>
  <c r="AR14" i="125"/>
  <c r="AR26" i="125"/>
  <c r="AR29" i="125"/>
  <c r="AR6" i="125"/>
  <c r="AR9" i="125"/>
  <c r="AR12" i="125"/>
  <c r="AR15" i="125"/>
  <c r="AR18" i="125"/>
  <c r="AR21" i="125"/>
  <c r="AR24" i="125"/>
  <c r="AR27" i="125"/>
  <c r="AR30" i="125"/>
  <c r="AR33" i="125"/>
  <c r="AR8" i="125"/>
  <c r="AR17" i="125"/>
  <c r="AR20" i="125"/>
  <c r="AR23" i="125"/>
  <c r="AR11" i="125"/>
  <c r="AR32" i="125"/>
  <c r="AR5" i="125"/>
  <c r="AU7" i="125"/>
  <c r="AU10" i="125"/>
  <c r="AU13" i="125"/>
  <c r="AU16" i="125"/>
  <c r="AU19" i="125"/>
  <c r="AU22" i="125"/>
  <c r="AU25" i="125"/>
  <c r="AU28" i="125"/>
  <c r="AU31" i="125"/>
  <c r="AU34" i="125"/>
  <c r="AU6" i="125"/>
  <c r="AU9" i="125"/>
  <c r="AU12" i="125"/>
  <c r="AU15" i="125"/>
  <c r="AU18" i="125"/>
  <c r="AU21" i="125"/>
  <c r="AU24" i="125"/>
  <c r="AU27" i="125"/>
  <c r="AU30" i="125"/>
  <c r="AU33" i="125"/>
  <c r="AU5" i="125"/>
  <c r="AU8" i="125"/>
  <c r="AU11" i="125"/>
  <c r="AU14" i="125"/>
  <c r="AU17" i="125"/>
  <c r="AU20" i="125"/>
  <c r="AU23" i="125"/>
  <c r="AU26" i="125"/>
  <c r="AU29" i="125"/>
  <c r="AU32" i="125"/>
  <c r="AT7" i="125"/>
  <c r="AT10" i="125"/>
  <c r="AT13" i="125"/>
  <c r="AT16" i="125"/>
  <c r="AT19" i="125"/>
  <c r="AT22" i="125"/>
  <c r="AT25" i="125"/>
  <c r="AT28" i="125"/>
  <c r="AT31" i="125"/>
  <c r="AT34" i="125"/>
  <c r="AT20" i="125"/>
  <c r="AT32" i="125"/>
  <c r="AT29" i="125"/>
  <c r="AT6" i="125"/>
  <c r="AT9" i="125"/>
  <c r="AT12" i="125"/>
  <c r="AT15" i="125"/>
  <c r="AT18" i="125"/>
  <c r="AT21" i="125"/>
  <c r="AT24" i="125"/>
  <c r="AT27" i="125"/>
  <c r="AT30" i="125"/>
  <c r="AT33" i="125"/>
  <c r="AT17" i="125"/>
  <c r="AT8" i="125"/>
  <c r="AT11" i="125"/>
  <c r="AT14" i="125"/>
  <c r="AT23" i="125"/>
  <c r="AT26" i="125"/>
  <c r="AT5" i="125"/>
  <c r="AS7" i="125"/>
  <c r="AS10" i="125"/>
  <c r="AS13" i="125"/>
  <c r="AS16" i="125"/>
  <c r="AS19" i="125"/>
  <c r="AS22" i="125"/>
  <c r="AS25" i="125"/>
  <c r="AS28" i="125"/>
  <c r="AS31" i="125"/>
  <c r="AS34" i="125"/>
  <c r="AS6" i="125"/>
  <c r="AS9" i="125"/>
  <c r="AS12" i="125"/>
  <c r="AS15" i="125"/>
  <c r="AS18" i="125"/>
  <c r="AS21" i="125"/>
  <c r="AS24" i="125"/>
  <c r="AS27" i="125"/>
  <c r="AS30" i="125"/>
  <c r="AS33" i="125"/>
  <c r="AS5" i="125"/>
  <c r="AS8" i="125"/>
  <c r="AS11" i="125"/>
  <c r="AS14" i="125"/>
  <c r="AS17" i="125"/>
  <c r="AS20" i="125"/>
  <c r="AS23" i="125"/>
  <c r="AS26" i="125"/>
  <c r="AS29" i="125"/>
  <c r="AS32" i="125"/>
  <c r="AQ6" i="125"/>
  <c r="AQ9" i="125"/>
  <c r="AQ12" i="125"/>
  <c r="AQ15" i="125"/>
  <c r="AQ18" i="125"/>
  <c r="AQ21" i="125"/>
  <c r="AQ24" i="125"/>
  <c r="AQ27" i="125"/>
  <c r="AQ30" i="125"/>
  <c r="AQ33" i="125"/>
  <c r="AQ5" i="125"/>
  <c r="AQ8" i="125"/>
  <c r="AQ11" i="125"/>
  <c r="AQ14" i="125"/>
  <c r="AQ17" i="125"/>
  <c r="AQ20" i="125"/>
  <c r="AQ23" i="125"/>
  <c r="AQ26" i="125"/>
  <c r="AQ29" i="125"/>
  <c r="AQ32" i="125"/>
  <c r="AQ7" i="125"/>
  <c r="AQ10" i="125"/>
  <c r="AQ13" i="125"/>
  <c r="AQ16" i="125"/>
  <c r="AQ19" i="125"/>
  <c r="AQ22" i="125"/>
  <c r="AQ25" i="125"/>
  <c r="AQ28" i="125"/>
  <c r="AQ31" i="125"/>
  <c r="AQ34" i="125"/>
  <c r="AP25" i="125"/>
  <c r="AP6" i="125"/>
  <c r="AP9" i="125"/>
  <c r="AP12" i="125"/>
  <c r="AP15" i="125"/>
  <c r="AP18" i="125"/>
  <c r="AP21" i="125"/>
  <c r="AP24" i="125"/>
  <c r="AP27" i="125"/>
  <c r="AP30" i="125"/>
  <c r="AP33" i="125"/>
  <c r="AP31" i="125"/>
  <c r="AP22" i="125"/>
  <c r="AP34" i="125"/>
  <c r="AP19" i="125"/>
  <c r="AP5" i="125"/>
  <c r="AP8" i="125"/>
  <c r="AP11" i="125"/>
  <c r="AP14" i="125"/>
  <c r="AP17" i="125"/>
  <c r="AP20" i="125"/>
  <c r="AP23" i="125"/>
  <c r="AP26" i="125"/>
  <c r="AP29" i="125"/>
  <c r="AP32" i="125"/>
  <c r="AP7" i="125"/>
  <c r="AP10" i="125"/>
  <c r="AP13" i="125"/>
  <c r="AP16" i="125"/>
  <c r="AP28" i="125"/>
  <c r="AO6" i="125"/>
  <c r="AO9" i="125"/>
  <c r="AO12" i="125"/>
  <c r="AO15" i="125"/>
  <c r="AO18" i="125"/>
  <c r="AO21" i="125"/>
  <c r="AO24" i="125"/>
  <c r="AO27" i="125"/>
  <c r="AO30" i="125"/>
  <c r="AO33" i="125"/>
  <c r="AO5" i="125"/>
  <c r="AO8" i="125"/>
  <c r="AO11" i="125"/>
  <c r="AO14" i="125"/>
  <c r="AO17" i="125"/>
  <c r="AO20" i="125"/>
  <c r="AO23" i="125"/>
  <c r="AO26" i="125"/>
  <c r="AO29" i="125"/>
  <c r="AO32" i="125"/>
  <c r="AO7" i="125"/>
  <c r="AO10" i="125"/>
  <c r="AO13" i="125"/>
  <c r="AO16" i="125"/>
  <c r="AO19" i="125"/>
  <c r="AO22" i="125"/>
  <c r="AO25" i="125"/>
  <c r="AO28" i="125"/>
  <c r="AO31" i="125"/>
  <c r="AO34" i="125"/>
  <c r="T6" i="125"/>
  <c r="H6" i="125" s="1"/>
  <c r="T7" i="125"/>
  <c r="H7" i="125" s="1"/>
  <c r="T8" i="125"/>
  <c r="H8" i="125" s="1"/>
  <c r="T9" i="125"/>
  <c r="H9" i="125" s="1"/>
  <c r="T10" i="125"/>
  <c r="H10" i="125" s="1"/>
  <c r="T11" i="125"/>
  <c r="H11" i="125" s="1"/>
  <c r="T12" i="125"/>
  <c r="H12" i="125" s="1"/>
  <c r="T13" i="125"/>
  <c r="H13" i="125" s="1"/>
  <c r="T14" i="125"/>
  <c r="H14" i="125" s="1"/>
  <c r="T15" i="125"/>
  <c r="H15" i="125" s="1"/>
  <c r="T16" i="125"/>
  <c r="H16" i="125" s="1"/>
  <c r="T17" i="125"/>
  <c r="H17" i="125" s="1"/>
  <c r="T18" i="125"/>
  <c r="H18" i="125" s="1"/>
  <c r="T19" i="125"/>
  <c r="H19" i="125" s="1"/>
  <c r="T20" i="125"/>
  <c r="H20" i="125" s="1"/>
  <c r="E21" i="125"/>
  <c r="T22" i="125"/>
  <c r="H22" i="125" s="1"/>
  <c r="T23" i="125"/>
  <c r="H23" i="125" s="1"/>
  <c r="T24" i="125"/>
  <c r="H24" i="125" s="1"/>
  <c r="T5" i="125"/>
  <c r="H5" i="125" s="1"/>
  <c r="I17" i="125" l="1"/>
  <c r="S17" i="125" s="1"/>
  <c r="G17" i="125"/>
  <c r="F17" i="125"/>
  <c r="I14" i="125"/>
  <c r="I47" i="125" s="1"/>
  <c r="F14" i="125"/>
  <c r="G14" i="125"/>
  <c r="G10" i="125"/>
  <c r="F10" i="125"/>
  <c r="F18" i="125"/>
  <c r="G18" i="125"/>
  <c r="I23" i="125"/>
  <c r="K23" i="125" s="1"/>
  <c r="G23" i="125"/>
  <c r="F23" i="125"/>
  <c r="G9" i="125"/>
  <c r="F9" i="125"/>
  <c r="I16" i="125"/>
  <c r="I49" i="125" s="1"/>
  <c r="F16" i="125"/>
  <c r="G16" i="125"/>
  <c r="I5" i="125"/>
  <c r="I38" i="125" s="1"/>
  <c r="F5" i="125"/>
  <c r="G5" i="125"/>
  <c r="E24" i="125"/>
  <c r="F24" i="125"/>
  <c r="G24" i="125"/>
  <c r="I11" i="125"/>
  <c r="I44" i="125" s="1"/>
  <c r="G11" i="125"/>
  <c r="F11" i="125"/>
  <c r="E20" i="125"/>
  <c r="F20" i="125"/>
  <c r="G20" i="125"/>
  <c r="G8" i="125"/>
  <c r="F8" i="125"/>
  <c r="I6" i="125"/>
  <c r="I39" i="125" s="1"/>
  <c r="I74" i="125" s="1"/>
  <c r="F6" i="125"/>
  <c r="G6" i="125"/>
  <c r="F15" i="125"/>
  <c r="G15" i="125"/>
  <c r="F13" i="125"/>
  <c r="G13" i="125"/>
  <c r="I12" i="125"/>
  <c r="I45" i="125" s="1"/>
  <c r="F12" i="125"/>
  <c r="G12" i="125"/>
  <c r="E22" i="125"/>
  <c r="F22" i="125"/>
  <c r="G22" i="125"/>
  <c r="I19" i="125"/>
  <c r="J19" i="125" s="1"/>
  <c r="G19" i="125"/>
  <c r="F19" i="125"/>
  <c r="I7" i="125"/>
  <c r="I40" i="125" s="1"/>
  <c r="G7" i="125"/>
  <c r="F7" i="125"/>
  <c r="E15" i="125"/>
  <c r="I15" i="125"/>
  <c r="E13" i="125"/>
  <c r="I13" i="125"/>
  <c r="E8" i="125"/>
  <c r="I8" i="125"/>
  <c r="E18" i="125"/>
  <c r="I18" i="125"/>
  <c r="E10" i="125"/>
  <c r="I10" i="125"/>
  <c r="E9" i="125"/>
  <c r="I9" i="125"/>
  <c r="E19" i="125"/>
  <c r="E17" i="125"/>
  <c r="E11" i="125"/>
  <c r="E12" i="125"/>
  <c r="I21" i="125"/>
  <c r="E16" i="125"/>
  <c r="M16" i="125" s="1"/>
  <c r="I20" i="125"/>
  <c r="I24" i="125"/>
  <c r="E14" i="125"/>
  <c r="E7" i="125"/>
  <c r="E23" i="125"/>
  <c r="I22" i="125"/>
  <c r="E6" i="125"/>
  <c r="E5" i="125"/>
  <c r="M17" i="125" l="1"/>
  <c r="P17" i="125"/>
  <c r="K17" i="125"/>
  <c r="N17" i="125"/>
  <c r="L17" i="125"/>
  <c r="R17" i="125"/>
  <c r="I50" i="125"/>
  <c r="S50" i="125" s="1"/>
  <c r="Q17" i="125"/>
  <c r="O17" i="125"/>
  <c r="J17" i="125"/>
  <c r="M23" i="125"/>
  <c r="J23" i="125"/>
  <c r="R19" i="125"/>
  <c r="AH23" i="125"/>
  <c r="W23" i="125"/>
  <c r="AI23" i="125"/>
  <c r="U23" i="125"/>
  <c r="X23" i="125"/>
  <c r="AJ23" i="125"/>
  <c r="AF23" i="125"/>
  <c r="Y23" i="125"/>
  <c r="Z23" i="125"/>
  <c r="AA23" i="125"/>
  <c r="AB23" i="125"/>
  <c r="AC23" i="125"/>
  <c r="V23" i="125"/>
  <c r="AD23" i="125"/>
  <c r="AE23" i="125"/>
  <c r="AG23" i="125"/>
  <c r="Q19" i="125"/>
  <c r="N19" i="125"/>
  <c r="X22" i="125"/>
  <c r="AJ22" i="125"/>
  <c r="U22" i="125"/>
  <c r="Y22" i="125"/>
  <c r="Z22" i="125"/>
  <c r="AA22" i="125"/>
  <c r="AB22" i="125"/>
  <c r="AC22" i="125"/>
  <c r="AH22" i="125"/>
  <c r="AD22" i="125"/>
  <c r="V22" i="125"/>
  <c r="AE22" i="125"/>
  <c r="AF22" i="125"/>
  <c r="AG22" i="125"/>
  <c r="W22" i="125"/>
  <c r="AI22" i="125"/>
  <c r="O19" i="125"/>
  <c r="AF18" i="125"/>
  <c r="AD18" i="125"/>
  <c r="AG18" i="125"/>
  <c r="AH18" i="125"/>
  <c r="V18" i="125"/>
  <c r="W18" i="125"/>
  <c r="AI18" i="125"/>
  <c r="X18" i="125"/>
  <c r="AJ18" i="125"/>
  <c r="Y18" i="125"/>
  <c r="Z18" i="125"/>
  <c r="AA18" i="125"/>
  <c r="AB18" i="125"/>
  <c r="U18" i="125"/>
  <c r="AC18" i="125"/>
  <c r="AE18" i="125"/>
  <c r="L23" i="125"/>
  <c r="M19" i="125"/>
  <c r="I75" i="125"/>
  <c r="AB20" i="125"/>
  <c r="AC20" i="125"/>
  <c r="AD20" i="125"/>
  <c r="AE20" i="125"/>
  <c r="AF20" i="125"/>
  <c r="V20" i="125"/>
  <c r="AG20" i="125"/>
  <c r="AH20" i="125"/>
  <c r="Z20" i="125"/>
  <c r="W20" i="125"/>
  <c r="AI20" i="125"/>
  <c r="U20" i="125"/>
  <c r="X20" i="125"/>
  <c r="AJ20" i="125"/>
  <c r="Y20" i="125"/>
  <c r="AA20" i="125"/>
  <c r="P19" i="125"/>
  <c r="I56" i="125"/>
  <c r="I91" i="125" s="1"/>
  <c r="R23" i="125"/>
  <c r="K19" i="125"/>
  <c r="AF24" i="125"/>
  <c r="AG24" i="125"/>
  <c r="AH24" i="125"/>
  <c r="U24" i="125"/>
  <c r="W24" i="125"/>
  <c r="AI24" i="125"/>
  <c r="X24" i="125"/>
  <c r="AJ24" i="125"/>
  <c r="Y24" i="125"/>
  <c r="Z24" i="125"/>
  <c r="AA24" i="125"/>
  <c r="AD24" i="125"/>
  <c r="AB24" i="125"/>
  <c r="V24" i="125"/>
  <c r="AC24" i="125"/>
  <c r="AE24" i="125"/>
  <c r="S23" i="125"/>
  <c r="Q23" i="125"/>
  <c r="AD19" i="125"/>
  <c r="AE19" i="125"/>
  <c r="AF19" i="125"/>
  <c r="AG19" i="125"/>
  <c r="V19" i="125"/>
  <c r="AH19" i="125"/>
  <c r="W19" i="125"/>
  <c r="AI19" i="125"/>
  <c r="AB19" i="125"/>
  <c r="X19" i="125"/>
  <c r="AJ19" i="125"/>
  <c r="Y19" i="125"/>
  <c r="Z19" i="125"/>
  <c r="AA19" i="125"/>
  <c r="U19" i="125"/>
  <c r="AC19" i="125"/>
  <c r="P23" i="125"/>
  <c r="L19" i="125"/>
  <c r="Z21" i="125"/>
  <c r="AA21" i="125"/>
  <c r="AJ21" i="125"/>
  <c r="AB21" i="125"/>
  <c r="AC21" i="125"/>
  <c r="X21" i="125"/>
  <c r="AD21" i="125"/>
  <c r="AE21" i="125"/>
  <c r="V21" i="125"/>
  <c r="AF21" i="125"/>
  <c r="AG21" i="125"/>
  <c r="AH21" i="125"/>
  <c r="W21" i="125"/>
  <c r="AI21" i="125"/>
  <c r="Y21" i="125"/>
  <c r="U21" i="125"/>
  <c r="I52" i="125"/>
  <c r="O23" i="125"/>
  <c r="S19" i="125"/>
  <c r="I82" i="125"/>
  <c r="N23" i="125"/>
  <c r="AH17" i="125"/>
  <c r="W17" i="125"/>
  <c r="AI17" i="125"/>
  <c r="V17" i="125"/>
  <c r="X17" i="125"/>
  <c r="AJ17" i="125"/>
  <c r="Y17" i="125"/>
  <c r="Z17" i="125"/>
  <c r="AA17" i="125"/>
  <c r="AB17" i="125"/>
  <c r="AC17" i="125"/>
  <c r="U17" i="125"/>
  <c r="AD17" i="125"/>
  <c r="AF17" i="125"/>
  <c r="AE17" i="125"/>
  <c r="AG17" i="125"/>
  <c r="M6" i="125"/>
  <c r="M7" i="125"/>
  <c r="M12" i="125"/>
  <c r="M5" i="125"/>
  <c r="M11" i="125"/>
  <c r="M14" i="125"/>
  <c r="M21" i="125"/>
  <c r="N21" i="125"/>
  <c r="O21" i="125"/>
  <c r="J21" i="125"/>
  <c r="P21" i="125"/>
  <c r="Q21" i="125"/>
  <c r="R21" i="125"/>
  <c r="S21" i="125"/>
  <c r="K21" i="125"/>
  <c r="L21" i="125"/>
  <c r="O22" i="125"/>
  <c r="P22" i="125"/>
  <c r="Q22" i="125"/>
  <c r="N22" i="125"/>
  <c r="R22" i="125"/>
  <c r="L22" i="125"/>
  <c r="M22" i="125"/>
  <c r="S22" i="125"/>
  <c r="K22" i="125"/>
  <c r="J22" i="125"/>
  <c r="M9" i="125"/>
  <c r="I79" i="125"/>
  <c r="M10" i="125"/>
  <c r="M15" i="125"/>
  <c r="S24" i="125"/>
  <c r="N24" i="125"/>
  <c r="O24" i="125"/>
  <c r="Q24" i="125"/>
  <c r="J24" i="125"/>
  <c r="K24" i="125"/>
  <c r="L24" i="125"/>
  <c r="R24" i="125"/>
  <c r="M24" i="125"/>
  <c r="P24" i="125"/>
  <c r="P18" i="125"/>
  <c r="Q18" i="125"/>
  <c r="R18" i="125"/>
  <c r="S18" i="125"/>
  <c r="N18" i="125"/>
  <c r="J18" i="125"/>
  <c r="K18" i="125"/>
  <c r="O18" i="125"/>
  <c r="L18" i="125"/>
  <c r="M18" i="125"/>
  <c r="K20" i="125"/>
  <c r="L20" i="125"/>
  <c r="M20" i="125"/>
  <c r="N20" i="125"/>
  <c r="S20" i="125"/>
  <c r="J20" i="125"/>
  <c r="O20" i="125"/>
  <c r="P20" i="125"/>
  <c r="Q20" i="125"/>
  <c r="R20" i="125"/>
  <c r="I85" i="125"/>
  <c r="M8" i="125"/>
  <c r="I80" i="125"/>
  <c r="M13" i="125"/>
  <c r="I84" i="125"/>
  <c r="I43" i="125"/>
  <c r="I41" i="125"/>
  <c r="I53" i="125"/>
  <c r="I57" i="125"/>
  <c r="I54" i="125"/>
  <c r="I55" i="125"/>
  <c r="I42" i="125"/>
  <c r="I46" i="125"/>
  <c r="I51" i="125"/>
  <c r="I48" i="125"/>
  <c r="P37" i="124"/>
  <c r="R50" i="125" l="1"/>
  <c r="J50" i="125"/>
  <c r="Q50" i="125"/>
  <c r="P50" i="125"/>
  <c r="O50" i="125"/>
  <c r="N50" i="125"/>
  <c r="M50" i="125"/>
  <c r="K50" i="125"/>
  <c r="L50" i="125"/>
  <c r="P52" i="125"/>
  <c r="Q52" i="125"/>
  <c r="R52" i="125"/>
  <c r="S52" i="125"/>
  <c r="N52" i="125"/>
  <c r="J52" i="125"/>
  <c r="K52" i="125"/>
  <c r="L52" i="125"/>
  <c r="M52" i="125"/>
  <c r="O52" i="125"/>
  <c r="I87" i="125"/>
  <c r="K54" i="125"/>
  <c r="L54" i="125"/>
  <c r="M54" i="125"/>
  <c r="N54" i="125"/>
  <c r="O54" i="125"/>
  <c r="P54" i="125"/>
  <c r="Q54" i="125"/>
  <c r="R54" i="125"/>
  <c r="J54" i="125"/>
  <c r="S54" i="125"/>
  <c r="I92" i="125"/>
  <c r="S57" i="125"/>
  <c r="K57" i="125"/>
  <c r="L57" i="125"/>
  <c r="M57" i="125"/>
  <c r="N57" i="125"/>
  <c r="O57" i="125"/>
  <c r="P57" i="125"/>
  <c r="R57" i="125"/>
  <c r="J57" i="125"/>
  <c r="Q57" i="125"/>
  <c r="S53" i="125"/>
  <c r="K53" i="125"/>
  <c r="L53" i="125"/>
  <c r="M53" i="125"/>
  <c r="N53" i="125"/>
  <c r="J53" i="125"/>
  <c r="O53" i="125"/>
  <c r="Q53" i="125"/>
  <c r="P53" i="125"/>
  <c r="R53" i="125"/>
  <c r="P56" i="125"/>
  <c r="N56" i="125"/>
  <c r="Q56" i="125"/>
  <c r="R56" i="125"/>
  <c r="S56" i="125"/>
  <c r="K56" i="125"/>
  <c r="L56" i="125"/>
  <c r="M56" i="125"/>
  <c r="O56" i="125"/>
  <c r="J56" i="125"/>
  <c r="K85" i="125"/>
  <c r="L85" i="125"/>
  <c r="M85" i="125"/>
  <c r="N85" i="125"/>
  <c r="O85" i="125"/>
  <c r="P85" i="125"/>
  <c r="Q85" i="125"/>
  <c r="J85" i="125"/>
  <c r="R85" i="125"/>
  <c r="S85" i="125"/>
  <c r="P91" i="125"/>
  <c r="N91" i="125"/>
  <c r="Q91" i="125"/>
  <c r="J91" i="125"/>
  <c r="R91" i="125"/>
  <c r="S91" i="125"/>
  <c r="K91" i="125"/>
  <c r="L91" i="125"/>
  <c r="M91" i="125"/>
  <c r="O91" i="125"/>
  <c r="M51" i="125"/>
  <c r="N51" i="125"/>
  <c r="O51" i="125"/>
  <c r="P51" i="125"/>
  <c r="Q51" i="125"/>
  <c r="R51" i="125"/>
  <c r="J51" i="125"/>
  <c r="S51" i="125"/>
  <c r="K51" i="125"/>
  <c r="L51" i="125"/>
  <c r="M55" i="125"/>
  <c r="N55" i="125"/>
  <c r="O55" i="125"/>
  <c r="P55" i="125"/>
  <c r="K55" i="125"/>
  <c r="Q55" i="125"/>
  <c r="R55" i="125"/>
  <c r="S55" i="125"/>
  <c r="J55" i="125"/>
  <c r="L55" i="125"/>
  <c r="I86" i="125"/>
  <c r="I77" i="125"/>
  <c r="I90" i="125"/>
  <c r="I81" i="125"/>
  <c r="I89" i="125"/>
  <c r="I83" i="125"/>
  <c r="I88" i="125"/>
  <c r="I78" i="125"/>
  <c r="I76" i="125"/>
  <c r="I78" i="124"/>
  <c r="I79" i="124"/>
  <c r="I80" i="124"/>
  <c r="I81" i="124"/>
  <c r="I82" i="124"/>
  <c r="I83" i="124"/>
  <c r="I84" i="124"/>
  <c r="I85" i="124"/>
  <c r="I86" i="124"/>
  <c r="I87" i="124"/>
  <c r="I88" i="124"/>
  <c r="I89" i="124"/>
  <c r="I90" i="124"/>
  <c r="I91" i="124"/>
  <c r="I92" i="124"/>
  <c r="S88" i="125" l="1"/>
  <c r="Q88" i="125"/>
  <c r="J88" i="125"/>
  <c r="K88" i="125"/>
  <c r="L88" i="125"/>
  <c r="M88" i="125"/>
  <c r="N88" i="125"/>
  <c r="O88" i="125"/>
  <c r="P88" i="125"/>
  <c r="R88" i="125"/>
  <c r="M86" i="125"/>
  <c r="N86" i="125"/>
  <c r="O86" i="125"/>
  <c r="P86" i="125"/>
  <c r="Q86" i="125"/>
  <c r="R86" i="125"/>
  <c r="K86" i="125"/>
  <c r="S86" i="125"/>
  <c r="J86" i="125"/>
  <c r="L86" i="125"/>
  <c r="P87" i="125"/>
  <c r="Q87" i="125"/>
  <c r="R87" i="125"/>
  <c r="S87" i="125"/>
  <c r="N87" i="125"/>
  <c r="K87" i="125"/>
  <c r="L87" i="125"/>
  <c r="M87" i="125"/>
  <c r="J87" i="125"/>
  <c r="O87" i="125"/>
  <c r="S92" i="125"/>
  <c r="J92" i="125"/>
  <c r="K92" i="125"/>
  <c r="L92" i="125"/>
  <c r="M92" i="125"/>
  <c r="N92" i="125"/>
  <c r="O92" i="125"/>
  <c r="Q92" i="125"/>
  <c r="P92" i="125"/>
  <c r="R92" i="125"/>
  <c r="K89" i="125"/>
  <c r="L89" i="125"/>
  <c r="M89" i="125"/>
  <c r="N89" i="125"/>
  <c r="O89" i="125"/>
  <c r="P89" i="125"/>
  <c r="Q89" i="125"/>
  <c r="R89" i="125"/>
  <c r="S89" i="125"/>
  <c r="J89" i="125"/>
  <c r="M90" i="125"/>
  <c r="J90" i="125"/>
  <c r="N90" i="125"/>
  <c r="O90" i="125"/>
  <c r="P90" i="125"/>
  <c r="Q90" i="125"/>
  <c r="R90" i="125"/>
  <c r="S90" i="125"/>
  <c r="L90" i="125"/>
  <c r="K90" i="125"/>
  <c r="D3" i="133"/>
  <c r="K72" i="124" l="1"/>
  <c r="L72" i="124"/>
  <c r="M72" i="124"/>
  <c r="N72" i="124"/>
  <c r="O72" i="124"/>
  <c r="P72" i="124"/>
  <c r="Q72" i="124"/>
  <c r="R72" i="124"/>
  <c r="S72" i="124"/>
  <c r="J72" i="124"/>
  <c r="AL5" i="124" l="1"/>
  <c r="AL6" i="124"/>
  <c r="AL7" i="124"/>
  <c r="AL8" i="124"/>
  <c r="AL9" i="124"/>
  <c r="AL10" i="124"/>
  <c r="AL11" i="124"/>
  <c r="AL12" i="124"/>
  <c r="AL13" i="124"/>
  <c r="AL14" i="124"/>
  <c r="AL15" i="124"/>
  <c r="AL16" i="124"/>
  <c r="AL17" i="124"/>
  <c r="AL18" i="124"/>
  <c r="AL19" i="124"/>
  <c r="AL20" i="124"/>
  <c r="AL21" i="124"/>
  <c r="AL22" i="124"/>
  <c r="AL23" i="124"/>
  <c r="AL4" i="124"/>
  <c r="B4" i="125" l="1"/>
  <c r="B5" i="125"/>
  <c r="C5" i="125"/>
  <c r="B6" i="125"/>
  <c r="C6" i="125"/>
  <c r="B7" i="125"/>
  <c r="C7" i="125"/>
  <c r="B8" i="125"/>
  <c r="C8" i="125"/>
  <c r="B9" i="125"/>
  <c r="C9" i="125"/>
  <c r="B10" i="125"/>
  <c r="C10" i="125"/>
  <c r="B11" i="125"/>
  <c r="C11" i="125"/>
  <c r="B12" i="125"/>
  <c r="B13" i="125"/>
  <c r="B14" i="125"/>
  <c r="B15" i="125"/>
  <c r="C15" i="125"/>
  <c r="B16" i="125"/>
  <c r="C16" i="125"/>
  <c r="B17" i="125"/>
  <c r="C17" i="125"/>
  <c r="B18" i="125"/>
  <c r="C18" i="125"/>
  <c r="B19" i="125"/>
  <c r="B20" i="125"/>
  <c r="C20" i="125"/>
  <c r="B21" i="125"/>
  <c r="C21" i="125"/>
  <c r="B22" i="125"/>
  <c r="C22" i="125"/>
  <c r="B23" i="125"/>
  <c r="C23" i="125"/>
  <c r="B35" i="125"/>
  <c r="C35" i="125"/>
  <c r="B36" i="125"/>
  <c r="C36" i="125"/>
  <c r="B37" i="125"/>
  <c r="C37" i="125"/>
  <c r="B38" i="125"/>
  <c r="C38" i="125"/>
  <c r="B39" i="125"/>
  <c r="C39" i="125"/>
  <c r="B40" i="125"/>
  <c r="C40" i="125"/>
  <c r="B41" i="125"/>
  <c r="C41" i="125"/>
  <c r="B42" i="125"/>
  <c r="C42" i="125"/>
  <c r="B43" i="125"/>
  <c r="C43" i="125"/>
  <c r="B44" i="125"/>
  <c r="C44" i="125"/>
  <c r="B45" i="125"/>
  <c r="C45" i="125"/>
  <c r="B46" i="125"/>
  <c r="C46" i="125"/>
  <c r="B47" i="125"/>
  <c r="C47" i="125"/>
  <c r="B48" i="125"/>
  <c r="C48" i="125"/>
  <c r="B49" i="125"/>
  <c r="C49" i="125"/>
  <c r="B50" i="125"/>
  <c r="C50" i="125"/>
  <c r="B51" i="125"/>
  <c r="C51" i="125"/>
  <c r="B52" i="125"/>
  <c r="B53" i="125"/>
  <c r="B54" i="125"/>
  <c r="C54" i="125"/>
  <c r="B55" i="125"/>
  <c r="C55" i="125"/>
  <c r="B56" i="125"/>
  <c r="C56" i="125"/>
  <c r="B57" i="125"/>
  <c r="C57" i="125"/>
  <c r="B58" i="125"/>
  <c r="C58" i="125"/>
  <c r="B59" i="125"/>
  <c r="C59" i="125"/>
  <c r="B60" i="125"/>
  <c r="C60" i="125"/>
  <c r="B3" i="125"/>
  <c r="I74" i="124" l="1"/>
  <c r="I75" i="124"/>
  <c r="I76" i="124"/>
  <c r="I77" i="124"/>
  <c r="I73" i="124"/>
  <c r="I39" i="124"/>
  <c r="I40" i="124"/>
  <c r="I41" i="124"/>
  <c r="I42" i="124"/>
  <c r="I43" i="124"/>
  <c r="I44" i="124"/>
  <c r="I45" i="124"/>
  <c r="I46" i="124"/>
  <c r="I47" i="124"/>
  <c r="I48" i="124"/>
  <c r="I49" i="124"/>
  <c r="I50" i="124"/>
  <c r="I51" i="124"/>
  <c r="I52" i="124"/>
  <c r="I53" i="124"/>
  <c r="I54" i="124"/>
  <c r="I55" i="124"/>
  <c r="I56" i="124"/>
  <c r="I57" i="124"/>
  <c r="I38" i="124"/>
  <c r="AL24" i="125" l="1"/>
  <c r="AL7" i="125"/>
  <c r="AL14" i="125"/>
  <c r="AL13" i="125"/>
  <c r="AL17" i="125"/>
  <c r="AL8" i="125"/>
  <c r="AL6" i="125"/>
  <c r="AL20" i="125"/>
  <c r="AL5" i="125"/>
  <c r="AL9" i="125"/>
  <c r="AL16" i="125"/>
  <c r="AL23" i="125"/>
  <c r="AL15" i="125"/>
  <c r="AL22" i="125"/>
  <c r="AL21" i="125"/>
  <c r="AL12" i="125"/>
  <c r="AL19" i="125"/>
  <c r="AL11" i="125"/>
  <c r="AL18" i="125"/>
  <c r="AL10" i="125"/>
  <c r="J4" i="125"/>
  <c r="K4" i="125"/>
  <c r="L4" i="125"/>
  <c r="N4" i="125"/>
  <c r="O4" i="125"/>
  <c r="P4" i="125"/>
  <c r="Q4" i="125"/>
  <c r="R4" i="125"/>
  <c r="S4" i="125"/>
  <c r="D3" i="128"/>
  <c r="E50" i="125"/>
  <c r="E49" i="125"/>
  <c r="E48" i="125"/>
  <c r="E47" i="125"/>
  <c r="E46" i="125"/>
  <c r="E45" i="125"/>
  <c r="E44" i="125"/>
  <c r="E43" i="125"/>
  <c r="E42" i="125"/>
  <c r="E41" i="125"/>
  <c r="E40" i="125"/>
  <c r="E39" i="125"/>
  <c r="E38" i="125"/>
  <c r="AJ4" i="125"/>
  <c r="AI4" i="125"/>
  <c r="AH4" i="125"/>
  <c r="AG4" i="125"/>
  <c r="AF4" i="125"/>
  <c r="AE4" i="125"/>
  <c r="AD4" i="125"/>
  <c r="AC4" i="125"/>
  <c r="AB4" i="125"/>
  <c r="AA4" i="125"/>
  <c r="Z4" i="125"/>
  <c r="Y4" i="125"/>
  <c r="X4" i="125"/>
  <c r="W4" i="125"/>
  <c r="V4" i="125"/>
  <c r="U4" i="125"/>
  <c r="S37" i="124"/>
  <c r="R37" i="124"/>
  <c r="Q37" i="124"/>
  <c r="N37" i="124"/>
  <c r="M37" i="124"/>
  <c r="L37" i="124"/>
  <c r="K37" i="124"/>
  <c r="J37" i="124"/>
  <c r="AG11" i="125" l="1"/>
  <c r="AG13" i="125"/>
  <c r="AG12" i="125"/>
  <c r="AG5" i="125"/>
  <c r="AG10" i="125"/>
  <c r="AG16" i="125"/>
  <c r="AG9" i="125"/>
  <c r="AG8" i="125"/>
  <c r="AG6" i="125"/>
  <c r="AG14" i="125"/>
  <c r="AG15" i="125"/>
  <c r="AG7" i="125"/>
  <c r="AM4" i="125"/>
  <c r="AF12" i="125"/>
  <c r="AF10" i="125"/>
  <c r="AF11" i="125"/>
  <c r="AF5" i="125"/>
  <c r="AF16" i="125"/>
  <c r="AF13" i="125"/>
  <c r="AF15" i="125"/>
  <c r="AF8" i="125"/>
  <c r="AF9" i="125"/>
  <c r="AF14" i="125"/>
  <c r="AF7" i="125"/>
  <c r="AF6" i="125"/>
  <c r="W5" i="125"/>
  <c r="W11" i="125"/>
  <c r="W12" i="125"/>
  <c r="W9" i="125"/>
  <c r="W14" i="125"/>
  <c r="W13" i="125"/>
  <c r="W10" i="125"/>
  <c r="W16" i="125"/>
  <c r="W6" i="125"/>
  <c r="W15" i="125"/>
  <c r="W7" i="125"/>
  <c r="W8" i="125"/>
  <c r="V16" i="125"/>
  <c r="V15" i="125"/>
  <c r="V13" i="125"/>
  <c r="V5" i="125"/>
  <c r="V8" i="125"/>
  <c r="V14" i="125"/>
  <c r="V10" i="125"/>
  <c r="V7" i="125"/>
  <c r="V11" i="125"/>
  <c r="V9" i="125"/>
  <c r="V12" i="125"/>
  <c r="V6" i="125"/>
  <c r="Y6" i="125"/>
  <c r="Y15" i="125"/>
  <c r="Y11" i="125"/>
  <c r="Y8" i="125"/>
  <c r="Y7" i="125"/>
  <c r="Y14" i="125"/>
  <c r="Y12" i="125"/>
  <c r="Y10" i="125"/>
  <c r="Y9" i="125"/>
  <c r="Y16" i="125"/>
  <c r="Y5" i="125"/>
  <c r="Y13" i="125"/>
  <c r="X15" i="125"/>
  <c r="X16" i="125"/>
  <c r="X7" i="125"/>
  <c r="X5" i="125"/>
  <c r="X12" i="125"/>
  <c r="X11" i="125"/>
  <c r="X10" i="125"/>
  <c r="X9" i="125"/>
  <c r="X8" i="125"/>
  <c r="X14" i="125"/>
  <c r="X13" i="125"/>
  <c r="X6" i="125"/>
  <c r="Z13" i="125"/>
  <c r="Z15" i="125"/>
  <c r="Z5" i="125"/>
  <c r="Z6" i="125"/>
  <c r="Z8" i="125"/>
  <c r="Z7" i="125"/>
  <c r="Z14" i="125"/>
  <c r="Z9" i="125"/>
  <c r="Z16" i="125"/>
  <c r="Z11" i="125"/>
  <c r="Z12" i="125"/>
  <c r="Z10" i="125"/>
  <c r="AA13" i="125"/>
  <c r="AA15" i="125"/>
  <c r="AA11" i="125"/>
  <c r="AA16" i="125"/>
  <c r="AA5" i="125"/>
  <c r="AA10" i="125"/>
  <c r="AA9" i="125"/>
  <c r="AA8" i="125"/>
  <c r="AA6" i="125"/>
  <c r="AA7" i="125"/>
  <c r="AA14" i="125"/>
  <c r="AA12" i="125"/>
  <c r="AH5" i="125"/>
  <c r="AH13" i="125"/>
  <c r="AH12" i="125"/>
  <c r="AH10" i="125"/>
  <c r="AH11" i="125"/>
  <c r="AH15" i="125"/>
  <c r="AH16" i="125"/>
  <c r="AH8" i="125"/>
  <c r="AH6" i="125"/>
  <c r="AH7" i="125"/>
  <c r="AH14" i="125"/>
  <c r="AH9" i="125"/>
  <c r="AJ15" i="125"/>
  <c r="AJ14" i="125"/>
  <c r="AJ11" i="125"/>
  <c r="AJ7" i="125"/>
  <c r="AJ5" i="125"/>
  <c r="AJ10" i="125"/>
  <c r="AJ9" i="125"/>
  <c r="AJ8" i="125"/>
  <c r="AJ6" i="125"/>
  <c r="AJ16" i="125"/>
  <c r="AJ12" i="125"/>
  <c r="AJ13" i="125"/>
  <c r="AB6" i="125"/>
  <c r="AB15" i="125"/>
  <c r="AB10" i="125"/>
  <c r="AB16" i="125"/>
  <c r="AB8" i="125"/>
  <c r="AB13" i="125"/>
  <c r="AB11" i="125"/>
  <c r="AB5" i="125"/>
  <c r="AB9" i="125"/>
  <c r="AB14" i="125"/>
  <c r="AB7" i="125"/>
  <c r="AB12" i="125"/>
  <c r="AC9" i="125"/>
  <c r="AC16" i="125"/>
  <c r="AC12" i="125"/>
  <c r="AC13" i="125"/>
  <c r="AC14" i="125"/>
  <c r="AC8" i="125"/>
  <c r="AC6" i="125"/>
  <c r="AC5" i="125"/>
  <c r="AC11" i="125"/>
  <c r="AC15" i="125"/>
  <c r="AC10" i="125"/>
  <c r="AC7" i="125"/>
  <c r="U12" i="125"/>
  <c r="U16" i="125"/>
  <c r="U13" i="125"/>
  <c r="U6" i="125"/>
  <c r="U15" i="125"/>
  <c r="U8" i="125"/>
  <c r="U11" i="125"/>
  <c r="U14" i="125"/>
  <c r="U10" i="125"/>
  <c r="U7" i="125"/>
  <c r="U5" i="125"/>
  <c r="U9" i="125"/>
  <c r="AI7" i="125"/>
  <c r="AI14" i="125"/>
  <c r="AI8" i="125"/>
  <c r="AI5" i="125"/>
  <c r="AI11" i="125"/>
  <c r="AI9" i="125"/>
  <c r="AI6" i="125"/>
  <c r="AI12" i="125"/>
  <c r="AI13" i="125"/>
  <c r="AI10" i="125"/>
  <c r="AI16" i="125"/>
  <c r="AI15" i="125"/>
  <c r="AD13" i="125"/>
  <c r="AD9" i="125"/>
  <c r="AD16" i="125"/>
  <c r="AD15" i="125"/>
  <c r="AD11" i="125"/>
  <c r="AD12" i="125"/>
  <c r="AD7" i="125"/>
  <c r="AD14" i="125"/>
  <c r="AD8" i="125"/>
  <c r="AD6" i="125"/>
  <c r="AD5" i="125"/>
  <c r="AD10" i="125"/>
  <c r="AE10" i="125"/>
  <c r="AE8" i="125"/>
  <c r="AE14" i="125"/>
  <c r="AE16" i="125"/>
  <c r="AE13" i="125"/>
  <c r="AE12" i="125"/>
  <c r="AE15" i="125"/>
  <c r="AE7" i="125"/>
  <c r="AE9" i="125"/>
  <c r="AE11" i="125"/>
  <c r="AE6" i="125"/>
  <c r="AE5" i="125"/>
  <c r="J16" i="125"/>
  <c r="J7" i="125"/>
  <c r="J11" i="125"/>
  <c r="J14" i="125"/>
  <c r="J5" i="125"/>
  <c r="J12" i="125"/>
  <c r="J6" i="125"/>
  <c r="J15" i="125"/>
  <c r="J10" i="125"/>
  <c r="J8" i="125"/>
  <c r="J9" i="125"/>
  <c r="J13" i="125"/>
  <c r="S5" i="125"/>
  <c r="S14" i="125"/>
  <c r="S7" i="125"/>
  <c r="S16" i="125"/>
  <c r="S11" i="125"/>
  <c r="S12" i="125"/>
  <c r="S6" i="125"/>
  <c r="S10" i="125"/>
  <c r="S8" i="125"/>
  <c r="S13" i="125"/>
  <c r="S9" i="125"/>
  <c r="S15" i="125"/>
  <c r="R14" i="125"/>
  <c r="R7" i="125"/>
  <c r="R12" i="125"/>
  <c r="R6" i="125"/>
  <c r="R16" i="125"/>
  <c r="R5" i="125"/>
  <c r="R11" i="125"/>
  <c r="R15" i="125"/>
  <c r="R10" i="125"/>
  <c r="R13" i="125"/>
  <c r="R8" i="125"/>
  <c r="R9" i="125"/>
  <c r="K12" i="125"/>
  <c r="K14" i="125"/>
  <c r="K5" i="125"/>
  <c r="K11" i="125"/>
  <c r="K7" i="125"/>
  <c r="K16" i="125"/>
  <c r="K6" i="125"/>
  <c r="K13" i="125"/>
  <c r="K9" i="125"/>
  <c r="K10" i="125"/>
  <c r="K8" i="125"/>
  <c r="K15" i="125"/>
  <c r="Q5" i="125"/>
  <c r="Q11" i="125"/>
  <c r="Q6" i="125"/>
  <c r="Q7" i="125"/>
  <c r="Q12" i="125"/>
  <c r="Q14" i="125"/>
  <c r="Q16" i="125"/>
  <c r="Q15" i="125"/>
  <c r="Q9" i="125"/>
  <c r="Q8" i="125"/>
  <c r="Q13" i="125"/>
  <c r="Q10" i="125"/>
  <c r="P7" i="125"/>
  <c r="P6" i="125"/>
  <c r="P12" i="125"/>
  <c r="P16" i="125"/>
  <c r="P5" i="125"/>
  <c r="P14" i="125"/>
  <c r="P11" i="125"/>
  <c r="P10" i="125"/>
  <c r="P13" i="125"/>
  <c r="P9" i="125"/>
  <c r="P8" i="125"/>
  <c r="P15" i="125"/>
  <c r="O12" i="125"/>
  <c r="O6" i="125"/>
  <c r="O5" i="125"/>
  <c r="O16" i="125"/>
  <c r="O7" i="125"/>
  <c r="O14" i="125"/>
  <c r="O11" i="125"/>
  <c r="O13" i="125"/>
  <c r="O15" i="125"/>
  <c r="O9" i="125"/>
  <c r="O10" i="125"/>
  <c r="O8" i="125"/>
  <c r="N6" i="125"/>
  <c r="N12" i="125"/>
  <c r="N5" i="125"/>
  <c r="N16" i="125"/>
  <c r="N14" i="125"/>
  <c r="N11" i="125"/>
  <c r="N7" i="125"/>
  <c r="N13" i="125"/>
  <c r="N9" i="125"/>
  <c r="N8" i="125"/>
  <c r="N10" i="125"/>
  <c r="N15" i="125"/>
  <c r="L6" i="125"/>
  <c r="L16" i="125"/>
  <c r="L11" i="125"/>
  <c r="L14" i="125"/>
  <c r="L5" i="125"/>
  <c r="L7" i="125"/>
  <c r="L12" i="125"/>
  <c r="L9" i="125"/>
  <c r="L10" i="125"/>
  <c r="L8" i="125"/>
  <c r="L13" i="125"/>
  <c r="L15" i="125"/>
  <c r="E79" i="125"/>
  <c r="E80" i="125"/>
  <c r="E82" i="125"/>
  <c r="E81" i="125"/>
  <c r="E83" i="125"/>
  <c r="E84" i="125"/>
  <c r="E85" i="125"/>
  <c r="E77" i="125"/>
  <c r="E78" i="125"/>
  <c r="E74" i="125"/>
  <c r="E75" i="125"/>
  <c r="E76" i="125"/>
  <c r="E73" i="125"/>
  <c r="Q37" i="125"/>
  <c r="M37" i="125"/>
  <c r="L37" i="125"/>
  <c r="I73" i="125"/>
  <c r="O37" i="125"/>
  <c r="P37" i="125"/>
  <c r="S37" i="125"/>
  <c r="K37" i="125"/>
  <c r="R37" i="125"/>
  <c r="E51" i="125"/>
  <c r="E54" i="125"/>
  <c r="E53" i="125"/>
  <c r="E55" i="125"/>
  <c r="J37" i="125"/>
  <c r="N37" i="125"/>
  <c r="E57" i="125"/>
  <c r="E56" i="125"/>
  <c r="R39" i="125" l="1"/>
  <c r="R44" i="125"/>
  <c r="R38" i="125"/>
  <c r="R47" i="125"/>
  <c r="R74" i="125"/>
  <c r="R40" i="125"/>
  <c r="R45" i="125"/>
  <c r="R49" i="125"/>
  <c r="R43" i="125"/>
  <c r="R46" i="125"/>
  <c r="R80" i="125"/>
  <c r="R75" i="125"/>
  <c r="R42" i="125"/>
  <c r="R79" i="125"/>
  <c r="R84" i="125"/>
  <c r="R82" i="125"/>
  <c r="R41" i="125"/>
  <c r="R48" i="125"/>
  <c r="R76" i="125"/>
  <c r="R81" i="125"/>
  <c r="R83" i="125"/>
  <c r="R78" i="125"/>
  <c r="R77" i="125"/>
  <c r="P39" i="125"/>
  <c r="P38" i="125"/>
  <c r="P74" i="125"/>
  <c r="P40" i="125"/>
  <c r="P44" i="125"/>
  <c r="P45" i="125"/>
  <c r="P47" i="125"/>
  <c r="P49" i="125"/>
  <c r="P48" i="125"/>
  <c r="P80" i="125"/>
  <c r="P84" i="125"/>
  <c r="P41" i="125"/>
  <c r="P79" i="125"/>
  <c r="P82" i="125"/>
  <c r="P43" i="125"/>
  <c r="P75" i="125"/>
  <c r="P46" i="125"/>
  <c r="P42" i="125"/>
  <c r="P83" i="125"/>
  <c r="P77" i="125"/>
  <c r="P76" i="125"/>
  <c r="P81" i="125"/>
  <c r="P78" i="125"/>
  <c r="O74" i="125"/>
  <c r="O38" i="125"/>
  <c r="O44" i="125"/>
  <c r="O45" i="125"/>
  <c r="O47" i="125"/>
  <c r="O49" i="125"/>
  <c r="O40" i="125"/>
  <c r="O39" i="125"/>
  <c r="O84" i="125"/>
  <c r="O75" i="125"/>
  <c r="O82" i="125"/>
  <c r="O48" i="125"/>
  <c r="O41" i="125"/>
  <c r="O79" i="125"/>
  <c r="O43" i="125"/>
  <c r="O42" i="125"/>
  <c r="O80" i="125"/>
  <c r="O46" i="125"/>
  <c r="O83" i="125"/>
  <c r="O77" i="125"/>
  <c r="O76" i="125"/>
  <c r="O81" i="125"/>
  <c r="O78" i="125"/>
  <c r="S74" i="125"/>
  <c r="S38" i="125"/>
  <c r="S47" i="125"/>
  <c r="S49" i="125"/>
  <c r="S40" i="125"/>
  <c r="S44" i="125"/>
  <c r="S45" i="125"/>
  <c r="S39" i="125"/>
  <c r="S84" i="125"/>
  <c r="S46" i="125"/>
  <c r="S75" i="125"/>
  <c r="S42" i="125"/>
  <c r="S80" i="125"/>
  <c r="S82" i="125"/>
  <c r="S79" i="125"/>
  <c r="S41" i="125"/>
  <c r="S43" i="125"/>
  <c r="S48" i="125"/>
  <c r="S83" i="125"/>
  <c r="S76" i="125"/>
  <c r="S81" i="125"/>
  <c r="S78" i="125"/>
  <c r="S77" i="125"/>
  <c r="Q39" i="125"/>
  <c r="Q38" i="125"/>
  <c r="Q47" i="125"/>
  <c r="Q74" i="125"/>
  <c r="Q40" i="125"/>
  <c r="Q44" i="125"/>
  <c r="Q49" i="125"/>
  <c r="Q45" i="125"/>
  <c r="Q80" i="125"/>
  <c r="Q75" i="125"/>
  <c r="Q41" i="125"/>
  <c r="Q82" i="125"/>
  <c r="Q46" i="125"/>
  <c r="Q84" i="125"/>
  <c r="Q79" i="125"/>
  <c r="Q48" i="125"/>
  <c r="Q42" i="125"/>
  <c r="Q43" i="125"/>
  <c r="Q83" i="125"/>
  <c r="Q77" i="125"/>
  <c r="Q76" i="125"/>
  <c r="Q78" i="125"/>
  <c r="Q81" i="125"/>
  <c r="AM30" i="125"/>
  <c r="AM31" i="125"/>
  <c r="AM32" i="125"/>
  <c r="AM33" i="125"/>
  <c r="AM27" i="125"/>
  <c r="AM25" i="125"/>
  <c r="AM28" i="125"/>
  <c r="AM26" i="125"/>
  <c r="AM34" i="125"/>
  <c r="AM29" i="125"/>
  <c r="AM24" i="125"/>
  <c r="AM12" i="125"/>
  <c r="AM8" i="125"/>
  <c r="AM22" i="125"/>
  <c r="AM15" i="125"/>
  <c r="AM9" i="125"/>
  <c r="AM10" i="125"/>
  <c r="AM11" i="125"/>
  <c r="AM16" i="125"/>
  <c r="AM13" i="125"/>
  <c r="AM6" i="125"/>
  <c r="AM7" i="125"/>
  <c r="AM5" i="125"/>
  <c r="AM23" i="125"/>
  <c r="AM17" i="125"/>
  <c r="AM21" i="125"/>
  <c r="AM14" i="125"/>
  <c r="AM18" i="125"/>
  <c r="AM20" i="125"/>
  <c r="AM19" i="125"/>
  <c r="O73" i="125"/>
  <c r="P73" i="125"/>
  <c r="Q73" i="125"/>
  <c r="R73" i="125"/>
  <c r="S73" i="125"/>
  <c r="K72" i="125"/>
  <c r="R72" i="125"/>
  <c r="O72" i="125"/>
  <c r="E91" i="125"/>
  <c r="E86" i="125"/>
  <c r="E92" i="125"/>
  <c r="E90" i="125"/>
  <c r="E88" i="125"/>
  <c r="E89" i="125"/>
  <c r="E87" i="125"/>
  <c r="Q72" i="125"/>
  <c r="L72" i="125"/>
  <c r="P72" i="125"/>
  <c r="M72" i="125"/>
  <c r="S72" i="125"/>
  <c r="N72" i="125"/>
  <c r="J72" i="125"/>
  <c r="J84" i="125" l="1"/>
  <c r="J49" i="125"/>
  <c r="M49" i="125"/>
  <c r="M84" i="125"/>
  <c r="K84" i="125"/>
  <c r="K49" i="125"/>
  <c r="L49" i="125"/>
  <c r="L84" i="125"/>
  <c r="N49" i="125"/>
  <c r="N84" i="125"/>
  <c r="J80" i="125" l="1"/>
  <c r="J45" i="125"/>
  <c r="K81" i="125"/>
  <c r="K46" i="125"/>
  <c r="M45" i="125"/>
  <c r="M80" i="125"/>
  <c r="M79" i="125"/>
  <c r="M44" i="125"/>
  <c r="L79" i="125"/>
  <c r="L44" i="125"/>
  <c r="N79" i="125"/>
  <c r="N44" i="125"/>
  <c r="K39" i="125"/>
  <c r="K74" i="125"/>
  <c r="M81" i="125"/>
  <c r="M46" i="125"/>
  <c r="M41" i="125"/>
  <c r="M76" i="125"/>
  <c r="K75" i="125"/>
  <c r="K40" i="125"/>
  <c r="L81" i="125"/>
  <c r="L46" i="125"/>
  <c r="N46" i="125"/>
  <c r="N81" i="125"/>
  <c r="K82" i="125"/>
  <c r="K47" i="125"/>
  <c r="J75" i="125"/>
  <c r="J40" i="125"/>
  <c r="L41" i="125"/>
  <c r="L76" i="125"/>
  <c r="N41" i="125"/>
  <c r="N76" i="125"/>
  <c r="J47" i="125"/>
  <c r="J82" i="125"/>
  <c r="K79" i="125"/>
  <c r="K44" i="125"/>
  <c r="M48" i="125"/>
  <c r="M83" i="125"/>
  <c r="L75" i="125"/>
  <c r="L40" i="125"/>
  <c r="N40" i="125"/>
  <c r="N75" i="125"/>
  <c r="M78" i="125"/>
  <c r="M43" i="125"/>
  <c r="L73" i="125"/>
  <c r="L38" i="125"/>
  <c r="N73" i="125"/>
  <c r="N38" i="125"/>
  <c r="J42" i="125"/>
  <c r="J77" i="125"/>
  <c r="L83" i="125"/>
  <c r="L48" i="125"/>
  <c r="N48" i="125"/>
  <c r="N83" i="125"/>
  <c r="J38" i="125"/>
  <c r="J73" i="125"/>
  <c r="M73" i="125"/>
  <c r="M38" i="125"/>
  <c r="J78" i="125"/>
  <c r="J43" i="125"/>
  <c r="L43" i="125"/>
  <c r="L78" i="125"/>
  <c r="N78" i="125"/>
  <c r="N43" i="125"/>
  <c r="J79" i="125"/>
  <c r="J44" i="125"/>
  <c r="K73" i="125"/>
  <c r="K38" i="125"/>
  <c r="M74" i="125"/>
  <c r="M39" i="125"/>
  <c r="K48" i="125"/>
  <c r="K83" i="125"/>
  <c r="J76" i="125"/>
  <c r="J41" i="125"/>
  <c r="L42" i="125"/>
  <c r="L77" i="125"/>
  <c r="N77" i="125"/>
  <c r="N42" i="125"/>
  <c r="K77" i="125"/>
  <c r="K42" i="125"/>
  <c r="M77" i="125"/>
  <c r="M42" i="125"/>
  <c r="L45" i="125"/>
  <c r="L80" i="125"/>
  <c r="N45" i="125"/>
  <c r="N80" i="125"/>
  <c r="K80" i="125"/>
  <c r="K45" i="125"/>
  <c r="K76" i="125"/>
  <c r="K41" i="125"/>
  <c r="J46" i="125"/>
  <c r="J81" i="125"/>
  <c r="J83" i="125"/>
  <c r="J48" i="125"/>
  <c r="K78" i="125"/>
  <c r="K43" i="125"/>
  <c r="L47" i="125"/>
  <c r="L82" i="125"/>
  <c r="N82" i="125"/>
  <c r="N47" i="125"/>
  <c r="M82" i="125"/>
  <c r="M47" i="125"/>
  <c r="J39" i="125"/>
  <c r="J74" i="125"/>
  <c r="M75" i="125"/>
  <c r="M40" i="125"/>
  <c r="L39" i="125"/>
  <c r="L74" i="125"/>
  <c r="N74" i="125"/>
  <c r="N39" i="1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0D10588B-CA89-45CB-826D-73C8CE9E0C4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CAC52DA-1561-450C-9BDB-22B439AF050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78C1F0B-AD09-410B-8BCF-1966A200232E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FF2CC79-97A7-4FEF-AB8D-47401870C69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F3F0CEA1-5857-4DED-9A1C-CE081CFB58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5C7F4E2-A432-43F6-BFFA-E6B9CB1B7E1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D861DB-FB03-4B72-B0CF-755B7DF28B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5CC6607-5617-4FD2-B568-C4B3F06D625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0A37EE6-C4FC-4FCD-840B-E6F44C2CACC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5BC054C-E3A7-417B-BCA1-82A53C84843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2" authorId="2" shapeId="0" xr:uid="{881F0FCF-A714-4462-86A5-F55D2C197D5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2BC70D5-3C69-4F1F-9E59-F0D3F790D45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R13" authorId="2" shapeId="0" xr:uid="{6E1B251F-FAAF-442D-820A-254F794E92B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4" authorId="0" shapeId="0" xr:uid="{9FC85BF4-C2A6-40A5-8143-921109979A0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B17" authorId="3" shapeId="0" xr:uid="{01C697BE-AAAA-413C-8C50-CEE7D81724E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4FDC49D-EAF0-44C5-B23A-C7572AFF4D4D}" keepAlive="1" name="Query - Data List" description="Connection to the 'Data List' query in the workbook." type="5" refreshedVersion="6" background="1" saveData="1">
    <dbPr connection="Provider=Microsoft.Mashup.OleDb.1;Data Source=$Workbook$;Location=&quot;Data List&quot;;Extended Properties=&quot;&quot;" command="SELECT * FROM [Data List]"/>
  </connection>
  <connection id="2" xr16:uid="{571CB343-CCBB-41A2-B29B-B68E37270ED1}" keepAlive="1" name="Query - NameFilterTable" description="Connection to the 'NameFilterTable' query in the workbook." type="5" refreshedVersion="6" background="1" saveData="1">
    <dbPr connection="Provider=Microsoft.Mashup.OleDb.1;Data Source=$Workbook$;Location=NameFilterTable;Extended Properties=&quot;&quot;" command="SELECT * FROM [NameFilterTable]"/>
  </connection>
  <connection id="3" xr16:uid="{5F19B133-5D8A-494D-9259-BBC762A79D9F}" keepAlive="1" name="Query - owdb COPCAT_Data_Base" description="Connection to the 'owdb COPCAT_Data_Base' query in the workbook." type="5" refreshedVersion="6" background="1" saveData="1">
    <dbPr connection="Provider=Microsoft.Mashup.OleDb.1;Data Source=$Workbook$;Location=&quot;owdb COPCAT_Data_Base&quot;;Extended Properties=&quot;&quot;" command="SELECT * FROM [owdb COPCAT_Data_Base]"/>
  </connection>
</connections>
</file>

<file path=xl/sharedStrings.xml><?xml version="1.0" encoding="utf-8"?>
<sst xmlns="http://schemas.openxmlformats.org/spreadsheetml/2006/main" count="1119" uniqueCount="438">
  <si>
    <t>layer</t>
  </si>
  <si>
    <t>model_py</t>
  </si>
  <si>
    <t>model_axial</t>
  </si>
  <si>
    <t>toplevel</t>
  </si>
  <si>
    <t>cu</t>
  </si>
  <si>
    <t>delta_cu</t>
  </si>
  <si>
    <t>gamma_eff</t>
  </si>
  <si>
    <t>phi</t>
  </si>
  <si>
    <t>epsilon50</t>
  </si>
  <si>
    <t>delta_epsilon50</t>
  </si>
  <si>
    <t>J</t>
  </si>
  <si>
    <t>G0</t>
  </si>
  <si>
    <t>delta_G0</t>
  </si>
  <si>
    <t>delta_eff</t>
  </si>
  <si>
    <t>c_eff</t>
  </si>
  <si>
    <t>limit_skin</t>
  </si>
  <si>
    <t>limit_alpha</t>
  </si>
  <si>
    <t>limit_tip</t>
  </si>
  <si>
    <t>poisson</t>
  </si>
  <si>
    <t>q_ur</t>
  </si>
  <si>
    <t>k_rm</t>
  </si>
  <si>
    <t>RQD</t>
  </si>
  <si>
    <t>Soil</t>
  </si>
  <si>
    <t>Pile</t>
  </si>
  <si>
    <t>head</t>
  </si>
  <si>
    <t>section</t>
  </si>
  <si>
    <t>cross_section.toplevel</t>
  </si>
  <si>
    <t>cross_section.thickness</t>
  </si>
  <si>
    <t>m</t>
  </si>
  <si>
    <t>[m VREF]</t>
  </si>
  <si>
    <t>[text]</t>
  </si>
  <si>
    <t>[kN/m³]</t>
  </si>
  <si>
    <t>[kPa]</t>
  </si>
  <si>
    <t>[-]</t>
  </si>
  <si>
    <t>[kPa/m]</t>
  </si>
  <si>
    <t>[degrees]</t>
  </si>
  <si>
    <t>[number]</t>
  </si>
  <si>
    <t>Scour</t>
  </si>
  <si>
    <t>local</t>
  </si>
  <si>
    <t>ORD</t>
  </si>
  <si>
    <t>density</t>
  </si>
  <si>
    <t>sigma_y</t>
  </si>
  <si>
    <t>E</t>
  </si>
  <si>
    <t>G</t>
  </si>
  <si>
    <t>Loads</t>
  </si>
  <si>
    <t>H</t>
  </si>
  <si>
    <t>Vc</t>
  </si>
  <si>
    <t>Vt</t>
  </si>
  <si>
    <t>kN</t>
  </si>
  <si>
    <t>kNm</t>
  </si>
  <si>
    <t>Settings</t>
  </si>
  <si>
    <t>pile_type</t>
  </si>
  <si>
    <t>open</t>
  </si>
  <si>
    <t>[m]</t>
  </si>
  <si>
    <t>n_layers</t>
  </si>
  <si>
    <t>n_sections</t>
  </si>
  <si>
    <t>text</t>
  </si>
  <si>
    <t>API sand</t>
  </si>
  <si>
    <t>API clay</t>
  </si>
  <si>
    <t>Nq</t>
  </si>
  <si>
    <t>water depth</t>
  </si>
  <si>
    <t>length (start)</t>
  </si>
  <si>
    <t>length (end)</t>
  </si>
  <si>
    <t>length (increment)</t>
  </si>
  <si>
    <t>t-multiplier</t>
  </si>
  <si>
    <t>K0</t>
  </si>
  <si>
    <t>outer diameter</t>
  </si>
  <si>
    <t>Es</t>
  </si>
  <si>
    <t>z-multiplier</t>
  </si>
  <si>
    <t>p-multiplier</t>
  </si>
  <si>
    <t>y-multiplier</t>
  </si>
  <si>
    <t>delta_Es</t>
  </si>
  <si>
    <t>Mxy</t>
  </si>
  <si>
    <t>Mz</t>
  </si>
  <si>
    <t>ksf</t>
  </si>
  <si>
    <t>LB</t>
  </si>
  <si>
    <t>UB</t>
  </si>
  <si>
    <t>Main calibration settings</t>
  </si>
  <si>
    <t>Starting Variables</t>
  </si>
  <si>
    <t>Constants</t>
  </si>
  <si>
    <t>Calibration</t>
  </si>
  <si>
    <t>On</t>
  </si>
  <si>
    <t xml:space="preserve">Base Case </t>
  </si>
  <si>
    <t>Soil layer</t>
  </si>
  <si>
    <t>y_u_1</t>
  </si>
  <si>
    <t>p_u_2</t>
  </si>
  <si>
    <t>k_p_1</t>
  </si>
  <si>
    <t>p_u_3</t>
  </si>
  <si>
    <t>tetam_u_1</t>
  </si>
  <si>
    <t>k_Mb_1</t>
  </si>
  <si>
    <t>tetam_u_3</t>
  </si>
  <si>
    <t>yB_u_1</t>
  </si>
  <si>
    <t>y_u_F</t>
  </si>
  <si>
    <t>p_u_F</t>
  </si>
  <si>
    <t>k_p_F</t>
  </si>
  <si>
    <t>n_p_F</t>
  </si>
  <si>
    <t>tetam_u_F</t>
  </si>
  <si>
    <t>m_u_F</t>
  </si>
  <si>
    <t>k_m_F</t>
  </si>
  <si>
    <t>n_m_F</t>
  </si>
  <si>
    <t>yB_u_F</t>
  </si>
  <si>
    <t>HB_u_F</t>
  </si>
  <si>
    <t>k_H_F</t>
  </si>
  <si>
    <t>n_H_F</t>
  </si>
  <si>
    <t>tetaMb_u_F</t>
  </si>
  <si>
    <t>MB_u_F</t>
  </si>
  <si>
    <t>k_Mb_F</t>
  </si>
  <si>
    <t>n_Mb_F</t>
  </si>
  <si>
    <t>Reaction curve creator</t>
  </si>
  <si>
    <t>Calibration method</t>
  </si>
  <si>
    <t>Non-linear least square residual</t>
  </si>
  <si>
    <t>Cost function</t>
  </si>
  <si>
    <t>Vector</t>
  </si>
  <si>
    <t>Involvement</t>
  </si>
  <si>
    <t>Calibration type</t>
  </si>
  <si>
    <t>sqpso</t>
  </si>
  <si>
    <t>Weight type</t>
  </si>
  <si>
    <t>SWR_Max</t>
  </si>
  <si>
    <t>Model settings</t>
  </si>
  <si>
    <t>Models</t>
  </si>
  <si>
    <t>Load levels</t>
  </si>
  <si>
    <t>Springs type</t>
  </si>
  <si>
    <t>p-y</t>
  </si>
  <si>
    <t>Focus and weight settings</t>
  </si>
  <si>
    <t>Moment weight</t>
  </si>
  <si>
    <t>Displacement weight</t>
  </si>
  <si>
    <t>Load-displacement weight</t>
  </si>
  <si>
    <t>Moment focus</t>
  </si>
  <si>
    <t>Displacement focus</t>
  </si>
  <si>
    <t>load-displacement focus</t>
  </si>
  <si>
    <t>Load level focus</t>
  </si>
  <si>
    <t>Model focus</t>
  </si>
  <si>
    <t>LB/ values for Starting Variables</t>
  </si>
  <si>
    <t>UB/ values for Starting Variables</t>
  </si>
  <si>
    <t>Param_Name</t>
  </si>
  <si>
    <t>Function_Key</t>
  </si>
  <si>
    <t>Parcoloumn</t>
  </si>
  <si>
    <t>y_u_2</t>
  </si>
  <si>
    <t>y_u_3</t>
  </si>
  <si>
    <t>p_u_1</t>
  </si>
  <si>
    <t>k_p_2</t>
  </si>
  <si>
    <t>k_p_3</t>
  </si>
  <si>
    <t>n_p_1</t>
  </si>
  <si>
    <t>n_p_2</t>
  </si>
  <si>
    <t>n_p_3</t>
  </si>
  <si>
    <t>tetam_u_2</t>
  </si>
  <si>
    <t>m_u_1</t>
  </si>
  <si>
    <t>m_u_2</t>
  </si>
  <si>
    <t>m_u_3</t>
  </si>
  <si>
    <t>k_m_1</t>
  </si>
  <si>
    <t>k_m_2</t>
  </si>
  <si>
    <t>k_m_3</t>
  </si>
  <si>
    <t>n_m_1</t>
  </si>
  <si>
    <t>n_m_2</t>
  </si>
  <si>
    <t>LB values for Starting Variables</t>
  </si>
  <si>
    <t>n_m_3</t>
  </si>
  <si>
    <t>yB_u_2</t>
  </si>
  <si>
    <t>yB_u_3</t>
  </si>
  <si>
    <t>HB_u_1</t>
  </si>
  <si>
    <t>HB_u_2</t>
  </si>
  <si>
    <t>HB_u_3</t>
  </si>
  <si>
    <t>k_H_1</t>
  </si>
  <si>
    <t>k_H_2</t>
  </si>
  <si>
    <t>k_H_3</t>
  </si>
  <si>
    <t>n_H_1</t>
  </si>
  <si>
    <t>n_H_2</t>
  </si>
  <si>
    <t>n_H_3</t>
  </si>
  <si>
    <t>tetaMb_u_1</t>
  </si>
  <si>
    <t>tetaMb_u_2</t>
  </si>
  <si>
    <t>tetaMb_u_3</t>
  </si>
  <si>
    <t>MB_u_1</t>
  </si>
  <si>
    <t>MB_u_2</t>
  </si>
  <si>
    <t>MB_u_3</t>
  </si>
  <si>
    <t>k_Mb_2</t>
  </si>
  <si>
    <t>k_Mb_3</t>
  </si>
  <si>
    <t>n_Mb_1</t>
  </si>
  <si>
    <t>n_Mb_2</t>
  </si>
  <si>
    <t>n_Mb_3</t>
  </si>
  <si>
    <t>UB values for Starting Variables</t>
  </si>
  <si>
    <t>Distributed load</t>
  </si>
  <si>
    <t>Distributed moment</t>
  </si>
  <si>
    <t>Base Shear</t>
  </si>
  <si>
    <t>Base Moment</t>
  </si>
  <si>
    <t>NONE</t>
  </si>
  <si>
    <t>Stratigraphy</t>
  </si>
  <si>
    <t>D_10</t>
  </si>
  <si>
    <t>D_200</t>
  </si>
  <si>
    <t>Off</t>
  </si>
  <si>
    <t>D_10,D_200</t>
  </si>
  <si>
    <t>m-t</t>
  </si>
  <si>
    <t>Hb</t>
  </si>
  <si>
    <t>Mb</t>
  </si>
  <si>
    <t>1&amp;1</t>
  </si>
  <si>
    <t>Soil_layer</t>
  </si>
  <si>
    <t>Sand 90</t>
  </si>
  <si>
    <t>Sand 75</t>
  </si>
  <si>
    <t>layerd</t>
  </si>
  <si>
    <t>Switch</t>
  </si>
  <si>
    <t>Layered_wise_calibration</t>
  </si>
  <si>
    <t>Direct_Soil_Springs</t>
  </si>
  <si>
    <t>Ommit_Bad_curves</t>
  </si>
  <si>
    <t>2&amp;1</t>
  </si>
  <si>
    <t>Reduction_factor_ultimate_PU_drained</t>
  </si>
  <si>
    <t>Reduction_factor_ultimate_MU_drained</t>
  </si>
  <si>
    <t xml:space="preserve">General_reduction_drained </t>
  </si>
  <si>
    <t xml:space="preserve">General_reduction_Undrained </t>
  </si>
  <si>
    <t>EW_69_2a</t>
  </si>
  <si>
    <t>EW_69_2b</t>
  </si>
  <si>
    <t>EW_69_10a</t>
  </si>
  <si>
    <t>EW_69_10b_1</t>
  </si>
  <si>
    <t>EW_69_10b_2</t>
  </si>
  <si>
    <t>EW_69_14a</t>
  </si>
  <si>
    <t>EW_69_14b</t>
  </si>
  <si>
    <t>EW_69_15b_1</t>
  </si>
  <si>
    <t>EW_69_15b_2</t>
  </si>
  <si>
    <t>EW_69_21a</t>
  </si>
  <si>
    <t>EW_69_23d</t>
  </si>
  <si>
    <t>def_mom_defmud</t>
  </si>
  <si>
    <t>-0.442525859271570</t>
  </si>
  <si>
    <t>0.695981810396415</t>
  </si>
  <si>
    <t>-0.330585150521234</t>
  </si>
  <si>
    <t>EW_32_AYBR_1a_1</t>
  </si>
  <si>
    <t>EW_32_AYBR_2a_2</t>
  </si>
  <si>
    <t>EW_32_AYBR_10a_3</t>
  </si>
  <si>
    <t>EW_32_AYBR_10b_4</t>
  </si>
  <si>
    <t>EW_32_AYBR_10b_5</t>
  </si>
  <si>
    <t>EW_32_AYBR_20a_6</t>
  </si>
  <si>
    <t>EW_32_AYBR_20a_7</t>
  </si>
  <si>
    <t>EW_32_AYBR_20a_8</t>
  </si>
  <si>
    <t>EW_32_AYBR_20a_9</t>
  </si>
  <si>
    <t>EW_32_AYBR_21a_10</t>
  </si>
  <si>
    <t>EW_32_AYBR_21a_11</t>
  </si>
  <si>
    <t>EW_32_AYBR_21a_12</t>
  </si>
  <si>
    <t>EW_32_AYBR_21a_13</t>
  </si>
  <si>
    <t>EW_32_AYBR_21a_14</t>
  </si>
  <si>
    <t>EW_47_1a_1</t>
  </si>
  <si>
    <t>EW_47_2a_2</t>
  </si>
  <si>
    <t>EW_47_9b_3</t>
  </si>
  <si>
    <t>EW_47_9b_4</t>
  </si>
  <si>
    <t>EW_47_10a_5</t>
  </si>
  <si>
    <t>EW_47_10c_6</t>
  </si>
  <si>
    <t>EW_47_10c_7</t>
  </si>
  <si>
    <t>EW_47_10b_8</t>
  </si>
  <si>
    <t>EW_47_11a_9</t>
  </si>
  <si>
    <t>EW_47_11a_10</t>
  </si>
  <si>
    <t>Project name</t>
  </si>
  <si>
    <t>Revision</t>
  </si>
  <si>
    <t>rev</t>
  </si>
  <si>
    <t>P_u_F</t>
  </si>
  <si>
    <t>P_u_1</t>
  </si>
  <si>
    <t>P_u_2</t>
  </si>
  <si>
    <t>P_u_3</t>
  </si>
  <si>
    <t>PISA</t>
  </si>
  <si>
    <t>EW_32_AYBR_K0_10</t>
  </si>
  <si>
    <t>EW_32_AYBR_K0_11</t>
  </si>
  <si>
    <t>EW_32_AYBR_K0_12</t>
  </si>
  <si>
    <t>EW_32_AYBR_K0_13</t>
  </si>
  <si>
    <t>EW_32_AYBR_K0_14</t>
  </si>
  <si>
    <t>EW_32_AYBR_K0_3</t>
  </si>
  <si>
    <t>EW_32_AYBR_K0_4</t>
  </si>
  <si>
    <t>EW_32_AYBR_K0_5</t>
  </si>
  <si>
    <t>EW_32_AYBR_K0_6</t>
  </si>
  <si>
    <t>EW_32_AYBR_K0_7</t>
  </si>
  <si>
    <t>EW_32_AYBR_K0_8</t>
  </si>
  <si>
    <t>EW_32_AYBR_K0_9</t>
  </si>
  <si>
    <t>Arcadis Ost 1</t>
  </si>
  <si>
    <t>Empire Wind</t>
  </si>
  <si>
    <t>EW_32_AYBR_K0_1</t>
  </si>
  <si>
    <t>EW_32_AYBR_K0_2</t>
  </si>
  <si>
    <t>EW_43_10a_5</t>
  </si>
  <si>
    <t>EW_43_10b_6</t>
  </si>
  <si>
    <t>EW_43_10b_7</t>
  </si>
  <si>
    <t>EW_43_10b_8</t>
  </si>
  <si>
    <t>EW_43_10b_9</t>
  </si>
  <si>
    <t>EW_43_19a_10</t>
  </si>
  <si>
    <t>EW_43_19a_11</t>
  </si>
  <si>
    <t>EW_43_19b_12</t>
  </si>
  <si>
    <t>EW_43_1a_1</t>
  </si>
  <si>
    <t>EW_43_1a_2</t>
  </si>
  <si>
    <t>EW_43_1a_3</t>
  </si>
  <si>
    <t>EW_43_21a_13</t>
  </si>
  <si>
    <t>EW_43_23d_14</t>
  </si>
  <si>
    <t>EW_43_2c_4</t>
  </si>
  <si>
    <t>Sand 45</t>
  </si>
  <si>
    <t>PISA_old</t>
  </si>
  <si>
    <t>Sand 60</t>
  </si>
  <si>
    <t>Sand_1</t>
  </si>
  <si>
    <t>Sand_10</t>
  </si>
  <si>
    <t>Sand_100</t>
  </si>
  <si>
    <t>Sand_11</t>
  </si>
  <si>
    <t>Sand_12</t>
  </si>
  <si>
    <t>Sand_13</t>
  </si>
  <si>
    <t>Sand_14</t>
  </si>
  <si>
    <t>Sand_15</t>
  </si>
  <si>
    <t>Sand_16</t>
  </si>
  <si>
    <t>Sand_17</t>
  </si>
  <si>
    <t>Sand_18</t>
  </si>
  <si>
    <t>Sand_19</t>
  </si>
  <si>
    <t>Sand_2</t>
  </si>
  <si>
    <t>Sand_20</t>
  </si>
  <si>
    <t>Sand_21</t>
  </si>
  <si>
    <t>Sand_22</t>
  </si>
  <si>
    <t>Sand_23</t>
  </si>
  <si>
    <t>Sand_24</t>
  </si>
  <si>
    <t>Sand_25</t>
  </si>
  <si>
    <t>Sand_26</t>
  </si>
  <si>
    <t>Sand_27</t>
  </si>
  <si>
    <t>Sand_28</t>
  </si>
  <si>
    <t>Sand_29</t>
  </si>
  <si>
    <t>Sand_3</t>
  </si>
  <si>
    <t>Sand_30</t>
  </si>
  <si>
    <t>Sand_31</t>
  </si>
  <si>
    <t>Sand_32</t>
  </si>
  <si>
    <t>Sand_33</t>
  </si>
  <si>
    <t>Sand_34</t>
  </si>
  <si>
    <t>Sand_35</t>
  </si>
  <si>
    <t>Sand_36</t>
  </si>
  <si>
    <t>Sand_37</t>
  </si>
  <si>
    <t>Sand_38</t>
  </si>
  <si>
    <t>Sand_39</t>
  </si>
  <si>
    <t>Sand_4</t>
  </si>
  <si>
    <t>Sand_40</t>
  </si>
  <si>
    <t>Sand_41</t>
  </si>
  <si>
    <t>Sand_42</t>
  </si>
  <si>
    <t>Sand_43</t>
  </si>
  <si>
    <t>Sand_44</t>
  </si>
  <si>
    <t>Sand_45</t>
  </si>
  <si>
    <t>Sand_46</t>
  </si>
  <si>
    <t>Sand_47</t>
  </si>
  <si>
    <t>Sand_48</t>
  </si>
  <si>
    <t>Sand_49</t>
  </si>
  <si>
    <t>Sand_5</t>
  </si>
  <si>
    <t>Sand_50</t>
  </si>
  <si>
    <t>Sand_51</t>
  </si>
  <si>
    <t>Sand_52</t>
  </si>
  <si>
    <t>Sand_53</t>
  </si>
  <si>
    <t>Sand_54</t>
  </si>
  <si>
    <t>Sand_55</t>
  </si>
  <si>
    <t>Sand_56</t>
  </si>
  <si>
    <t>Sand_57</t>
  </si>
  <si>
    <t>Sand_58</t>
  </si>
  <si>
    <t>Sand_59</t>
  </si>
  <si>
    <t>Sand_6</t>
  </si>
  <si>
    <t>Sand_60</t>
  </si>
  <si>
    <t>Sand_61</t>
  </si>
  <si>
    <t>Sand_62</t>
  </si>
  <si>
    <t>Sand_63</t>
  </si>
  <si>
    <t>Sand_64</t>
  </si>
  <si>
    <t>Sand_65</t>
  </si>
  <si>
    <t>Sand_66</t>
  </si>
  <si>
    <t>Sand_67</t>
  </si>
  <si>
    <t>Sand_68</t>
  </si>
  <si>
    <t>Sand_69</t>
  </si>
  <si>
    <t>Sand_7</t>
  </si>
  <si>
    <t>Sand_70</t>
  </si>
  <si>
    <t>Sand_71</t>
  </si>
  <si>
    <t>Sand_72</t>
  </si>
  <si>
    <t>Sand_73</t>
  </si>
  <si>
    <t>Sand_74</t>
  </si>
  <si>
    <t>Sand_75</t>
  </si>
  <si>
    <t>Sand_76</t>
  </si>
  <si>
    <t>Sand_77</t>
  </si>
  <si>
    <t>Sand_78</t>
  </si>
  <si>
    <t>Sand_79</t>
  </si>
  <si>
    <t>Sand_8</t>
  </si>
  <si>
    <t>Sand_80</t>
  </si>
  <si>
    <t>Sand_81</t>
  </si>
  <si>
    <t>Sand_82</t>
  </si>
  <si>
    <t>Sand_83</t>
  </si>
  <si>
    <t>Sand_84</t>
  </si>
  <si>
    <t>Sand_85</t>
  </si>
  <si>
    <t>Sand_86</t>
  </si>
  <si>
    <t>Sand_87</t>
  </si>
  <si>
    <t>Sand_88</t>
  </si>
  <si>
    <t>Sand_89</t>
  </si>
  <si>
    <t>Sand_9</t>
  </si>
  <si>
    <t>Sand_90</t>
  </si>
  <si>
    <t>Sand_91</t>
  </si>
  <si>
    <t>Sand_92</t>
  </si>
  <si>
    <t>Sand_93</t>
  </si>
  <si>
    <t>Sand_94</t>
  </si>
  <si>
    <t>Sand_95</t>
  </si>
  <si>
    <t>Sand_96</t>
  </si>
  <si>
    <t>Sand_97</t>
  </si>
  <si>
    <t>Sand_98</t>
  </si>
  <si>
    <t>Sand_99</t>
  </si>
  <si>
    <t>Sand</t>
  </si>
  <si>
    <t>Clay</t>
  </si>
  <si>
    <t>Orsted calibration settings</t>
  </si>
  <si>
    <t>Write text file output</t>
  </si>
  <si>
    <t>Cowden_Clay</t>
  </si>
  <si>
    <t>name</t>
  </si>
  <si>
    <t>project</t>
  </si>
  <si>
    <t>Bothkennar_Clay</t>
  </si>
  <si>
    <t>Chalk</t>
  </si>
  <si>
    <t>Glacial_Till</t>
  </si>
  <si>
    <t>Upper_Clay</t>
  </si>
  <si>
    <t>Database update</t>
  </si>
  <si>
    <t>q1</t>
  </si>
  <si>
    <t>f1</t>
  </si>
  <si>
    <t>delta</t>
  </si>
  <si>
    <t>tip</t>
  </si>
  <si>
    <t>skin</t>
  </si>
  <si>
    <t/>
  </si>
  <si>
    <t>kPa</t>
  </si>
  <si>
    <t>kN/m³</t>
  </si>
  <si>
    <t>m VREF</t>
  </si>
  <si>
    <t>[%]</t>
  </si>
  <si>
    <t>[degrees/m]</t>
  </si>
  <si>
    <r>
      <t>[m</t>
    </r>
    <r>
      <rPr>
        <vertAlign val="superscript"/>
        <sz val="11"/>
        <color theme="0" tint="-0.14999847407452621"/>
        <rFont val="Calibri"/>
        <family val="2"/>
        <scheme val="minor"/>
      </rPr>
      <t>-1</t>
    </r>
    <r>
      <rPr>
        <sz val="11"/>
        <color theme="0" tint="-0.14999847407452621"/>
        <rFont val="Calibri"/>
        <family val="2"/>
        <scheme val="minor"/>
      </rPr>
      <t>]</t>
    </r>
  </si>
  <si>
    <t>-</t>
  </si>
  <si>
    <t>Cyclic_Multiplier</t>
  </si>
  <si>
    <t>Dr</t>
  </si>
  <si>
    <t>delta_phi</t>
  </si>
  <si>
    <t>Cyclic_Pisa_Multiplier_Y_Thehta</t>
  </si>
  <si>
    <t>Cyclic_Pisa_Multiplier_P_M</t>
  </si>
  <si>
    <t xml:space="preserve">delta_q_ur </t>
  </si>
  <si>
    <t>revision for saving</t>
  </si>
  <si>
    <t>Empire_Wind_1</t>
  </si>
  <si>
    <t>Layer_name</t>
  </si>
  <si>
    <t>Loc_69_Clay_1</t>
  </si>
  <si>
    <t>Loc_69_Sand_1</t>
  </si>
  <si>
    <t>Loc_69_Sand_2</t>
  </si>
  <si>
    <t>Loc_69_Sand_3</t>
  </si>
  <si>
    <t>Loc_69_Sand_4</t>
  </si>
  <si>
    <t>Loc_69_Sand_5</t>
  </si>
  <si>
    <t>Loc_69_Clay_2</t>
  </si>
  <si>
    <t>Loc_69_Clay_3</t>
  </si>
  <si>
    <t>Loc_69_Clay_4</t>
  </si>
  <si>
    <t>Loc_69_Clay_5</t>
  </si>
  <si>
    <t>Loc_69_Sand_6</t>
  </si>
  <si>
    <t>Exchange sheet</t>
  </si>
  <si>
    <t>notes</t>
  </si>
  <si>
    <t>soil_type</t>
  </si>
  <si>
    <t>On/Off</t>
  </si>
  <si>
    <t>Stiff clay from PISA papers</t>
  </si>
  <si>
    <t>correlation with_Dr</t>
  </si>
  <si>
    <t>benchmark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</si>
</sst>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theme="1"/>
      <name val="Calibri"/>
      <family val="2"/>
      <scheme val="minor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11"/>
      <color rgb="FFFF0000"/>
      <name val="Calibri"/>
      <family val="2"/>
      <scheme val="minor"/>
    </font>
    <font>
      <sz val="9"/>
      <color rgb="FF9C0006"/>
      <name val="Verdana"/>
      <family val="2"/>
    </font>
    <font>
      <b/>
      <sz val="9"/>
      <color theme="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rgb="FF000000"/>
      <name val="Verdana"/>
      <family val="2"/>
    </font>
    <font>
      <sz val="9"/>
      <color rgb="FFFF0000"/>
      <name val="Verdana"/>
      <family val="2"/>
    </font>
    <font>
      <b/>
      <sz val="9"/>
      <color rgb="FF000000"/>
      <name val="Verdan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14999847407452621"/>
      <name val="Calibri"/>
      <family val="2"/>
      <scheme val="minor"/>
    </font>
    <font>
      <vertAlign val="superscript"/>
      <sz val="11"/>
      <color theme="0" tint="-0.1499984740745262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theme="9" tint="0.39997558519241921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/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9" fillId="5" borderId="0" applyNumberFormat="0" applyBorder="0" applyAlignment="0" applyProtection="0"/>
    <xf numFmtId="0" fontId="17" fillId="0" borderId="0"/>
    <xf numFmtId="0" fontId="10" fillId="0" borderId="0"/>
    <xf numFmtId="0" fontId="7" fillId="0" borderId="0"/>
    <xf numFmtId="0" fontId="28" fillId="0" borderId="0"/>
    <xf numFmtId="0" fontId="4" fillId="0" borderId="0"/>
  </cellStyleXfs>
  <cellXfs count="140">
    <xf numFmtId="0" fontId="0" fillId="0" borderId="0" xfId="0"/>
    <xf numFmtId="0" fontId="18" fillId="0" borderId="0" xfId="0" applyFont="1"/>
    <xf numFmtId="0" fontId="17" fillId="0" borderId="0" xfId="2"/>
    <xf numFmtId="0" fontId="22" fillId="9" borderId="5" xfId="2" applyFont="1" applyFill="1" applyBorder="1"/>
    <xf numFmtId="0" fontId="22" fillId="9" borderId="6" xfId="2" applyFont="1" applyFill="1" applyBorder="1"/>
    <xf numFmtId="0" fontId="20" fillId="10" borderId="7" xfId="2" applyFont="1" applyFill="1" applyBorder="1"/>
    <xf numFmtId="2" fontId="20" fillId="0" borderId="2" xfId="2" applyNumberFormat="1" applyFont="1" applyBorder="1"/>
    <xf numFmtId="0" fontId="17" fillId="2" borderId="0" xfId="2" applyFill="1"/>
    <xf numFmtId="0" fontId="20" fillId="11" borderId="8" xfId="2" applyFont="1" applyFill="1" applyBorder="1"/>
    <xf numFmtId="0" fontId="22" fillId="9" borderId="9" xfId="2" applyFont="1" applyFill="1" applyBorder="1"/>
    <xf numFmtId="0" fontId="22" fillId="9" borderId="10" xfId="2" applyFont="1" applyFill="1" applyBorder="1"/>
    <xf numFmtId="0" fontId="17" fillId="10" borderId="0" xfId="2" applyFill="1" applyBorder="1"/>
    <xf numFmtId="0" fontId="17" fillId="7" borderId="0" xfId="2" applyFill="1"/>
    <xf numFmtId="0" fontId="17" fillId="11" borderId="12" xfId="2" applyFill="1" applyBorder="1"/>
    <xf numFmtId="0" fontId="22" fillId="9" borderId="14" xfId="2" applyFont="1" applyFill="1" applyBorder="1"/>
    <xf numFmtId="0" fontId="22" fillId="9" borderId="15" xfId="2" applyFont="1" applyFill="1" applyBorder="1"/>
    <xf numFmtId="0" fontId="17" fillId="10" borderId="12" xfId="2" applyFill="1" applyBorder="1"/>
    <xf numFmtId="0" fontId="22" fillId="9" borderId="16" xfId="2" applyFont="1" applyFill="1" applyBorder="1"/>
    <xf numFmtId="0" fontId="22" fillId="9" borderId="17" xfId="2" applyFont="1" applyFill="1" applyBorder="1"/>
    <xf numFmtId="0" fontId="21" fillId="12" borderId="2" xfId="2" applyFont="1" applyFill="1" applyBorder="1" applyAlignment="1">
      <alignment horizontal="center"/>
    </xf>
    <xf numFmtId="0" fontId="21" fillId="12" borderId="3" xfId="2" applyFont="1" applyFill="1" applyBorder="1" applyAlignment="1">
      <alignment horizontal="center"/>
    </xf>
    <xf numFmtId="0" fontId="22" fillId="13" borderId="6" xfId="2" applyFont="1" applyFill="1" applyBorder="1"/>
    <xf numFmtId="0" fontId="22" fillId="3" borderId="5" xfId="2" applyFont="1" applyFill="1" applyBorder="1"/>
    <xf numFmtId="0" fontId="22" fillId="3" borderId="6" xfId="2" applyFont="1" applyFill="1" applyBorder="1"/>
    <xf numFmtId="0" fontId="22" fillId="3" borderId="9" xfId="2" applyFont="1" applyFill="1" applyBorder="1"/>
    <xf numFmtId="0" fontId="22" fillId="3" borderId="10" xfId="2" applyFont="1" applyFill="1" applyBorder="1"/>
    <xf numFmtId="0" fontId="22" fillId="3" borderId="14" xfId="2" applyFont="1" applyFill="1" applyBorder="1"/>
    <xf numFmtId="0" fontId="22" fillId="3" borderId="15" xfId="2" applyFont="1" applyFill="1" applyBorder="1"/>
    <xf numFmtId="0" fontId="17" fillId="4" borderId="0" xfId="2" applyFill="1"/>
    <xf numFmtId="0" fontId="22" fillId="3" borderId="16" xfId="2" applyFont="1" applyFill="1" applyBorder="1"/>
    <xf numFmtId="0" fontId="22" fillId="3" borderId="17" xfId="2" applyFont="1" applyFill="1" applyBorder="1"/>
    <xf numFmtId="0" fontId="20" fillId="10" borderId="8" xfId="2" applyFont="1" applyFill="1" applyBorder="1"/>
    <xf numFmtId="0" fontId="20" fillId="10" borderId="2" xfId="2" applyFont="1" applyFill="1" applyBorder="1"/>
    <xf numFmtId="0" fontId="17" fillId="10" borderId="13" xfId="2" applyFill="1" applyBorder="1"/>
    <xf numFmtId="0" fontId="17" fillId="10" borderId="1" xfId="2" applyFill="1" applyBorder="1"/>
    <xf numFmtId="0" fontId="17" fillId="10" borderId="19" xfId="2" applyFill="1" applyBorder="1"/>
    <xf numFmtId="0" fontId="17" fillId="10" borderId="20" xfId="2" applyFill="1" applyBorder="1"/>
    <xf numFmtId="0" fontId="20" fillId="0" borderId="16" xfId="2" applyFont="1" applyBorder="1"/>
    <xf numFmtId="0" fontId="17" fillId="0" borderId="0" xfId="2" applyBorder="1"/>
    <xf numFmtId="0" fontId="17" fillId="0" borderId="0" xfId="2" applyAlignment="1"/>
    <xf numFmtId="0" fontId="21" fillId="14" borderId="2" xfId="2" applyFont="1" applyFill="1" applyBorder="1" applyAlignment="1">
      <alignment horizontal="center"/>
    </xf>
    <xf numFmtId="0" fontId="21" fillId="14" borderId="3" xfId="2" applyFont="1" applyFill="1" applyBorder="1" applyAlignment="1">
      <alignment horizontal="center"/>
    </xf>
    <xf numFmtId="0" fontId="17" fillId="2" borderId="7" xfId="2" applyFill="1" applyBorder="1"/>
    <xf numFmtId="0" fontId="16" fillId="0" borderId="0" xfId="2" applyFont="1"/>
    <xf numFmtId="0" fontId="17" fillId="15" borderId="0" xfId="2" applyFill="1"/>
    <xf numFmtId="0" fontId="15" fillId="0" borderId="0" xfId="2" applyFont="1"/>
    <xf numFmtId="0" fontId="14" fillId="0" borderId="0" xfId="2" applyFont="1"/>
    <xf numFmtId="2" fontId="20" fillId="10" borderId="2" xfId="2" applyNumberFormat="1" applyFont="1" applyFill="1" applyBorder="1"/>
    <xf numFmtId="0" fontId="17" fillId="16" borderId="0" xfId="2" applyFill="1"/>
    <xf numFmtId="0" fontId="14" fillId="17" borderId="0" xfId="2" applyFont="1" applyFill="1"/>
    <xf numFmtId="0" fontId="17" fillId="17" borderId="0" xfId="2" applyFill="1"/>
    <xf numFmtId="0" fontId="17" fillId="18" borderId="0" xfId="2" applyFill="1"/>
    <xf numFmtId="0" fontId="22" fillId="13" borderId="10" xfId="2" applyFont="1" applyFill="1" applyBorder="1"/>
    <xf numFmtId="0" fontId="22" fillId="13" borderId="17" xfId="2" applyFont="1" applyFill="1" applyBorder="1"/>
    <xf numFmtId="0" fontId="13" fillId="0" borderId="0" xfId="2" applyFont="1"/>
    <xf numFmtId="0" fontId="23" fillId="0" borderId="0" xfId="0" applyFont="1"/>
    <xf numFmtId="0" fontId="13" fillId="0" borderId="0" xfId="2" applyFont="1" applyFill="1" applyBorder="1"/>
    <xf numFmtId="0" fontId="12" fillId="0" borderId="0" xfId="2" applyFont="1" applyFill="1" applyBorder="1"/>
    <xf numFmtId="0" fontId="11" fillId="0" borderId="0" xfId="2" applyFont="1"/>
    <xf numFmtId="0" fontId="9" fillId="0" borderId="0" xfId="2" applyFont="1"/>
    <xf numFmtId="0" fontId="20" fillId="20" borderId="20" xfId="2" applyFont="1" applyFill="1" applyBorder="1"/>
    <xf numFmtId="0" fontId="8" fillId="0" borderId="0" xfId="2" applyFont="1"/>
    <xf numFmtId="0" fontId="18" fillId="0" borderId="22" xfId="0" applyFont="1" applyBorder="1" applyAlignment="1">
      <alignment horizontal="right" vertical="center" wrapText="1"/>
    </xf>
    <xf numFmtId="11" fontId="18" fillId="0" borderId="22" xfId="0" applyNumberFormat="1" applyFont="1" applyBorder="1" applyAlignment="1">
      <alignment horizontal="right" vertical="center" wrapText="1"/>
    </xf>
    <xf numFmtId="0" fontId="26" fillId="0" borderId="22" xfId="0" applyFont="1" applyBorder="1" applyAlignment="1">
      <alignment horizontal="right" vertical="center" wrapText="1"/>
    </xf>
    <xf numFmtId="0" fontId="26" fillId="0" borderId="0" xfId="0" applyFont="1" applyBorder="1" applyAlignment="1">
      <alignment horizontal="right" vertical="center" wrapText="1"/>
    </xf>
    <xf numFmtId="11" fontId="17" fillId="0" borderId="0" xfId="2" applyNumberFormat="1"/>
    <xf numFmtId="11" fontId="26" fillId="0" borderId="22" xfId="0" applyNumberFormat="1" applyFont="1" applyBorder="1" applyAlignment="1">
      <alignment horizontal="right" vertical="center" wrapText="1"/>
    </xf>
    <xf numFmtId="0" fontId="6" fillId="22" borderId="25" xfId="2" applyFont="1" applyFill="1" applyBorder="1"/>
    <xf numFmtId="0" fontId="17" fillId="22" borderId="26" xfId="2" applyFill="1" applyBorder="1"/>
    <xf numFmtId="0" fontId="6" fillId="22" borderId="27" xfId="2" applyFont="1" applyFill="1" applyBorder="1"/>
    <xf numFmtId="0" fontId="17" fillId="22" borderId="28" xfId="2" applyFill="1" applyBorder="1"/>
    <xf numFmtId="0" fontId="5" fillId="10" borderId="0" xfId="2" applyFont="1" applyFill="1" applyBorder="1"/>
    <xf numFmtId="11" fontId="26" fillId="0" borderId="0" xfId="0" applyNumberFormat="1" applyFont="1" applyBorder="1" applyAlignment="1">
      <alignment horizontal="right" vertical="center" wrapText="1"/>
    </xf>
    <xf numFmtId="3" fontId="17" fillId="0" borderId="0" xfId="2" applyNumberFormat="1"/>
    <xf numFmtId="3" fontId="26" fillId="0" borderId="0" xfId="0" applyNumberFormat="1" applyFont="1" applyBorder="1" applyAlignment="1">
      <alignment horizontal="right" vertical="center" wrapText="1"/>
    </xf>
    <xf numFmtId="2" fontId="17" fillId="0" borderId="0" xfId="2" applyNumberFormat="1"/>
    <xf numFmtId="0" fontId="0" fillId="0" borderId="0" xfId="0" applyNumberFormat="1"/>
    <xf numFmtId="0" fontId="2" fillId="0" borderId="0" xfId="2" applyFont="1"/>
    <xf numFmtId="0" fontId="27" fillId="21" borderId="29" xfId="0" applyFont="1" applyFill="1" applyBorder="1" applyAlignment="1">
      <alignment vertical="center" wrapText="1"/>
    </xf>
    <xf numFmtId="0" fontId="25" fillId="21" borderId="29" xfId="0" applyFont="1" applyFill="1" applyBorder="1" applyAlignment="1">
      <alignment horizontal="right" vertical="center" wrapText="1"/>
    </xf>
    <xf numFmtId="0" fontId="17" fillId="0" borderId="30" xfId="2" applyBorder="1"/>
    <xf numFmtId="0" fontId="3" fillId="0" borderId="31" xfId="2" applyFont="1" applyBorder="1"/>
    <xf numFmtId="0" fontId="3" fillId="0" borderId="32" xfId="2" applyFont="1" applyBorder="1"/>
    <xf numFmtId="0" fontId="3" fillId="0" borderId="23" xfId="2" applyFont="1" applyBorder="1"/>
    <xf numFmtId="0" fontId="17" fillId="0" borderId="33" xfId="2" applyBorder="1"/>
    <xf numFmtId="0" fontId="17" fillId="0" borderId="23" xfId="2" applyBorder="1"/>
    <xf numFmtId="0" fontId="17" fillId="0" borderId="11" xfId="2" applyBorder="1"/>
    <xf numFmtId="0" fontId="17" fillId="13" borderId="11" xfId="2" applyFill="1" applyBorder="1"/>
    <xf numFmtId="0" fontId="19" fillId="5" borderId="21" xfId="1" applyBorder="1"/>
    <xf numFmtId="0" fontId="17" fillId="13" borderId="0" xfId="2" applyFill="1" applyBorder="1"/>
    <xf numFmtId="0" fontId="19" fillId="5" borderId="13" xfId="1" applyBorder="1"/>
    <xf numFmtId="0" fontId="19" fillId="5" borderId="0" xfId="1" applyBorder="1"/>
    <xf numFmtId="0" fontId="17" fillId="0" borderId="1" xfId="2" applyBorder="1"/>
    <xf numFmtId="0" fontId="17" fillId="13" borderId="1" xfId="2" applyFill="1" applyBorder="1"/>
    <xf numFmtId="0" fontId="19" fillId="5" borderId="1" xfId="1" applyBorder="1"/>
    <xf numFmtId="0" fontId="19" fillId="5" borderId="19" xfId="1" applyBorder="1"/>
    <xf numFmtId="0" fontId="20" fillId="0" borderId="19" xfId="2" applyFont="1" applyBorder="1"/>
    <xf numFmtId="0" fontId="20" fillId="0" borderId="17" xfId="2" applyFont="1" applyBorder="1"/>
    <xf numFmtId="0" fontId="20" fillId="0" borderId="2" xfId="2" applyFont="1" applyBorder="1"/>
    <xf numFmtId="0" fontId="20" fillId="0" borderId="8" xfId="2" applyFont="1" applyBorder="1" applyAlignment="1"/>
    <xf numFmtId="0" fontId="20" fillId="0" borderId="3" xfId="2" applyFont="1" applyBorder="1" applyAlignment="1"/>
    <xf numFmtId="0" fontId="20" fillId="20" borderId="0" xfId="2" applyFont="1" applyFill="1"/>
    <xf numFmtId="0" fontId="28" fillId="0" borderId="0" xfId="5"/>
    <xf numFmtId="0" fontId="18" fillId="0" borderId="0" xfId="5" quotePrefix="1" applyFont="1" applyAlignment="1">
      <alignment horizontal="center" vertical="center"/>
    </xf>
    <xf numFmtId="0" fontId="28" fillId="0" borderId="0" xfId="5" applyAlignment="1">
      <alignment horizontal="center" vertical="center"/>
    </xf>
    <xf numFmtId="0" fontId="28" fillId="0" borderId="0" xfId="5" applyAlignment="1">
      <alignment vertical="center"/>
    </xf>
    <xf numFmtId="0" fontId="1" fillId="0" borderId="0" xfId="2" applyFont="1"/>
    <xf numFmtId="16" fontId="22" fillId="3" borderId="10" xfId="2" applyNumberFormat="1" applyFont="1" applyFill="1" applyBorder="1" applyAlignment="1">
      <alignment horizontal="right"/>
    </xf>
    <xf numFmtId="0" fontId="22" fillId="3" borderId="10" xfId="2" applyFont="1" applyFill="1" applyBorder="1" applyAlignment="1">
      <alignment horizontal="right"/>
    </xf>
    <xf numFmtId="0" fontId="1" fillId="0" borderId="0" xfId="2" applyFont="1" applyBorder="1"/>
    <xf numFmtId="0" fontId="1" fillId="0" borderId="31" xfId="2" applyFont="1" applyBorder="1"/>
    <xf numFmtId="2" fontId="20" fillId="0" borderId="8" xfId="2" applyNumberFormat="1" applyFont="1" applyBorder="1"/>
    <xf numFmtId="0" fontId="20" fillId="10" borderId="20" xfId="2" applyFont="1" applyFill="1" applyBorder="1"/>
    <xf numFmtId="0" fontId="20" fillId="10" borderId="11" xfId="2" applyFont="1" applyFill="1" applyBorder="1"/>
    <xf numFmtId="0" fontId="20" fillId="10" borderId="21" xfId="2" applyFont="1" applyFill="1" applyBorder="1"/>
    <xf numFmtId="0" fontId="5" fillId="10" borderId="11" xfId="2" applyFont="1" applyFill="1" applyBorder="1"/>
    <xf numFmtId="0" fontId="17" fillId="10" borderId="11" xfId="2" applyFill="1" applyBorder="1"/>
    <xf numFmtId="0" fontId="17" fillId="10" borderId="21" xfId="2" applyFill="1" applyBorder="1"/>
    <xf numFmtId="0" fontId="17" fillId="10" borderId="7" xfId="2" applyFill="1" applyBorder="1"/>
    <xf numFmtId="0" fontId="17" fillId="10" borderId="17" xfId="2" applyFill="1" applyBorder="1"/>
    <xf numFmtId="0" fontId="20" fillId="7" borderId="2" xfId="2" applyFont="1" applyFill="1" applyBorder="1" applyAlignment="1">
      <alignment horizontal="center"/>
    </xf>
    <xf numFmtId="0" fontId="20" fillId="7" borderId="4" xfId="2" applyFont="1" applyFill="1" applyBorder="1" applyAlignment="1">
      <alignment horizontal="center"/>
    </xf>
    <xf numFmtId="0" fontId="20" fillId="7" borderId="3" xfId="2" applyFont="1" applyFill="1" applyBorder="1" applyAlignment="1">
      <alignment horizontal="center"/>
    </xf>
    <xf numFmtId="0" fontId="21" fillId="6" borderId="2" xfId="2" applyFont="1" applyFill="1" applyBorder="1" applyAlignment="1">
      <alignment horizontal="center"/>
    </xf>
    <xf numFmtId="0" fontId="21" fillId="6" borderId="3" xfId="2" applyFont="1" applyFill="1" applyBorder="1" applyAlignment="1">
      <alignment horizontal="center"/>
    </xf>
    <xf numFmtId="0" fontId="20" fillId="8" borderId="2" xfId="2" applyFont="1" applyFill="1" applyBorder="1" applyAlignment="1">
      <alignment horizontal="center"/>
    </xf>
    <xf numFmtId="0" fontId="20" fillId="8" borderId="4" xfId="2" applyFont="1" applyFill="1" applyBorder="1" applyAlignment="1">
      <alignment horizontal="center"/>
    </xf>
    <xf numFmtId="0" fontId="20" fillId="8" borderId="3" xfId="2" applyFont="1" applyFill="1" applyBorder="1" applyAlignment="1">
      <alignment horizontal="center"/>
    </xf>
    <xf numFmtId="0" fontId="6" fillId="22" borderId="24" xfId="2" applyFont="1" applyFill="1" applyBorder="1" applyAlignment="1">
      <alignment horizontal="center"/>
    </xf>
    <xf numFmtId="0" fontId="17" fillId="0" borderId="18" xfId="2" applyBorder="1" applyAlignment="1">
      <alignment horizontal="center" vertical="center"/>
    </xf>
    <xf numFmtId="0" fontId="17" fillId="0" borderId="16" xfId="2" applyBorder="1" applyAlignment="1">
      <alignment horizontal="center" vertical="center"/>
    </xf>
    <xf numFmtId="0" fontId="17" fillId="19" borderId="20" xfId="2" applyFill="1" applyBorder="1" applyAlignment="1">
      <alignment horizontal="center" vertical="center"/>
    </xf>
    <xf numFmtId="0" fontId="17" fillId="19" borderId="18" xfId="2" applyFill="1" applyBorder="1" applyAlignment="1">
      <alignment horizontal="center" vertical="center"/>
    </xf>
    <xf numFmtId="0" fontId="17" fillId="19" borderId="16" xfId="2" applyFill="1" applyBorder="1" applyAlignment="1">
      <alignment horizontal="center" vertical="center"/>
    </xf>
    <xf numFmtId="0" fontId="17" fillId="0" borderId="20" xfId="2" applyBorder="1" applyAlignment="1">
      <alignment horizontal="center" vertical="center"/>
    </xf>
    <xf numFmtId="0" fontId="17" fillId="0" borderId="20" xfId="2" applyBorder="1" applyAlignment="1">
      <alignment horizontal="center"/>
    </xf>
    <xf numFmtId="0" fontId="17" fillId="0" borderId="21" xfId="2" applyBorder="1" applyAlignment="1">
      <alignment horizontal="center"/>
    </xf>
    <xf numFmtId="0" fontId="17" fillId="0" borderId="16" xfId="2" applyBorder="1" applyAlignment="1">
      <alignment horizontal="center"/>
    </xf>
    <xf numFmtId="0" fontId="17" fillId="0" borderId="19" xfId="2" applyBorder="1" applyAlignment="1">
      <alignment horizontal="center"/>
    </xf>
  </cellXfs>
  <cellStyles count="7">
    <cellStyle name="Bad" xfId="1" builtinId="27"/>
    <cellStyle name="Normal" xfId="0" builtinId="0"/>
    <cellStyle name="Normal 2" xfId="2" xr:uid="{9E45CB99-6D3F-478D-9045-CACEC2E9DE19}"/>
    <cellStyle name="Normal 2 2" xfId="3" xr:uid="{6909914C-7D7C-47B0-B149-797A9DB89FD4}"/>
    <cellStyle name="Normal 2 3" xfId="4" xr:uid="{A09C9B27-7ABC-413E-B79D-9178FCB1FE6E}"/>
    <cellStyle name="Normal 2 4" xfId="5" xr:uid="{D193BF8D-3D59-4602-9366-ADD88E507442}"/>
    <cellStyle name="Normal 2 5" xfId="6" xr:uid="{4394911E-0571-471E-9055-CA216E06947B}"/>
  </cellStyles>
  <dxfs count="66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426720</xdr:colOff>
      <xdr:row>57</xdr:row>
      <xdr:rowOff>38100</xdr:rowOff>
    </xdr:from>
    <xdr:to>
      <xdr:col>2</xdr:col>
      <xdr:colOff>904240</xdr:colOff>
      <xdr:row>79</xdr:row>
      <xdr:rowOff>14456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6320" y="9921240"/>
          <a:ext cx="2940685" cy="3155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34</xdr:row>
          <xdr:rowOff>47625</xdr:rowOff>
        </xdr:from>
        <xdr:to>
          <xdr:col>1</xdr:col>
          <xdr:colOff>2181225</xdr:colOff>
          <xdr:row>39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29</xdr:row>
          <xdr:rowOff>190500</xdr:rowOff>
        </xdr:from>
        <xdr:to>
          <xdr:col>1</xdr:col>
          <xdr:colOff>2171700</xdr:colOff>
          <xdr:row>33</xdr:row>
          <xdr:rowOff>133350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List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C46BADB5-2F0F-48DC-8B9B-795BC75A6D8F}" autoFormatId="16" applyNumberFormats="0" applyBorderFormats="0" applyFontFormats="0" applyPatternFormats="0" applyAlignmentFormats="0" applyWidthHeightFormats="0">
  <queryTableRefresh nextId="70">
    <queryTableFields count="3">
      <queryTableField id="1" name="Name" tableColumnId="1"/>
      <queryTableField id="2" name="Project" tableColumnId="2"/>
      <queryTableField id="3" name="rev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D74913B2-626C-4EAC-A8F8-C2D91854514B}" autoFormatId="16" applyNumberFormats="0" applyBorderFormats="0" applyFontFormats="0" applyPatternFormats="0" applyAlignmentFormats="0" applyWidthHeightFormats="0">
  <queryTableRefresh nextId="73">
    <queryTableFields count="69">
      <queryTableField id="1" name="Name" tableColumnId="1"/>
      <queryTableField id="2" name="Project" tableColumnId="2"/>
      <queryTableField id="3" name="rev" tableColumnId="3"/>
      <queryTableField id="4" name="Notes" tableColumnId="4"/>
      <queryTableField id="71" name="soil_type" tableColumnId="5"/>
      <queryTableField id="6" name="y_u_F" tableColumnId="6"/>
      <queryTableField id="7" name="y_u_1" tableColumnId="7"/>
      <queryTableField id="8" name="y_u_2" tableColumnId="8"/>
      <queryTableField id="9" name="y_u_3" tableColumnId="9"/>
      <queryTableField id="10" name="P_u_F" tableColumnId="10"/>
      <queryTableField id="11" name="P_u_1" tableColumnId="11"/>
      <queryTableField id="12" name="P_u_2" tableColumnId="12"/>
      <queryTableField id="13" name="P_u_3" tableColumnId="13"/>
      <queryTableField id="14" name="k_p_F" tableColumnId="14"/>
      <queryTableField id="15" name="k_p_1" tableColumnId="15"/>
      <queryTableField id="16" name="k_p_2" tableColumnId="16"/>
      <queryTableField id="17" name="k_p_3" tableColumnId="17"/>
      <queryTableField id="18" name="n_p_F" tableColumnId="18"/>
      <queryTableField id="19" name="n_p_1" tableColumnId="19"/>
      <queryTableField id="20" name="n_p_2" tableColumnId="20"/>
      <queryTableField id="21" name="n_p_3" tableColumnId="21"/>
      <queryTableField id="22" name="tetam_u_F" tableColumnId="22"/>
      <queryTableField id="23" name="tetam_u_1" tableColumnId="23"/>
      <queryTableField id="24" name="tetam_u_2" tableColumnId="24"/>
      <queryTableField id="25" name="tetam_u_3" tableColumnId="25"/>
      <queryTableField id="26" name="m_u_F" tableColumnId="26"/>
      <queryTableField id="27" name="m_u_1" tableColumnId="27"/>
      <queryTableField id="28" name="m_u_2" tableColumnId="28"/>
      <queryTableField id="29" name="m_u_3" tableColumnId="29"/>
      <queryTableField id="30" name="k_m_F" tableColumnId="30"/>
      <queryTableField id="31" name="k_m_1" tableColumnId="31"/>
      <queryTableField id="32" name="k_m_2" tableColumnId="32"/>
      <queryTableField id="33" name="k_m_3" tableColumnId="33"/>
      <queryTableField id="34" name="n_m_F" tableColumnId="34"/>
      <queryTableField id="35" name="n_m_1" tableColumnId="35"/>
      <queryTableField id="36" name="n_m_2" tableColumnId="36"/>
      <queryTableField id="37" name="n_m_3" tableColumnId="37"/>
      <queryTableField id="38" name="yB_u_F" tableColumnId="38"/>
      <queryTableField id="39" name="yB_u_1" tableColumnId="39"/>
      <queryTableField id="40" name="yB_u_2" tableColumnId="40"/>
      <queryTableField id="41" name="yB_u_3" tableColumnId="41"/>
      <queryTableField id="42" name="HB_u_F" tableColumnId="42"/>
      <queryTableField id="43" name="HB_u_1" tableColumnId="43"/>
      <queryTableField id="44" name="HB_u_2" tableColumnId="44"/>
      <queryTableField id="45" name="HB_u_3" tableColumnId="45"/>
      <queryTableField id="46" name="k_H_F" tableColumnId="46"/>
      <queryTableField id="47" name="k_H_1" tableColumnId="47"/>
      <queryTableField id="48" name="k_H_2" tableColumnId="48"/>
      <queryTableField id="49" name="k_H_3" tableColumnId="49"/>
      <queryTableField id="50" name="n_H_F" tableColumnId="50"/>
      <queryTableField id="51" name="n_H_1" tableColumnId="51"/>
      <queryTableField id="52" name="n_H_2" tableColumnId="52"/>
      <queryTableField id="53" name="n_H_3" tableColumnId="53"/>
      <queryTableField id="54" name="tetaMb_u_F" tableColumnId="54"/>
      <queryTableField id="55" name="tetaMb_u_1" tableColumnId="55"/>
      <queryTableField id="56" name="tetaMb_u_2" tableColumnId="56"/>
      <queryTableField id="57" name="tetaMb_u_3" tableColumnId="57"/>
      <queryTableField id="58" name="MB_u_F" tableColumnId="58"/>
      <queryTableField id="59" name="MB_u_1" tableColumnId="59"/>
      <queryTableField id="60" name="MB_u_2" tableColumnId="60"/>
      <queryTableField id="61" name="MB_u_3" tableColumnId="61"/>
      <queryTableField id="62" name="k_Mb_F" tableColumnId="62"/>
      <queryTableField id="63" name="k_Mb_1" tableColumnId="63"/>
      <queryTableField id="64" name="k_Mb_2" tableColumnId="64"/>
      <queryTableField id="65" name="k_Mb_3" tableColumnId="65"/>
      <queryTableField id="66" name="n_Mb_F" tableColumnId="66"/>
      <queryTableField id="67" name="n_Mb_1" tableColumnId="67"/>
      <queryTableField id="68" name="n_Mb_2" tableColumnId="68"/>
      <queryTableField id="69" name="n_Mb_3" tableColumnId="6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FDD90B6-63DB-4F65-8B87-A1B7D578E4EC}" name="Table5" displayName="Table5" ref="E3:H36" totalsRowShown="0" headerRowDxfId="65" headerRowBorderDxfId="64" tableBorderDxfId="63" totalsRowBorderDxfId="62">
  <autoFilter ref="E3:H36" xr:uid="{959DA9F9-400D-4E84-A65C-F78F8C4FDFBF}"/>
  <tableColumns count="4">
    <tableColumn id="1" xr3:uid="{C71BB3DE-C7A3-40FB-833B-63BF72AA888D}" name="Base Case " dataDxfId="61" dataCellStyle="Normal 2"/>
    <tableColumn id="2" xr3:uid="{7A77F484-DAB4-4361-85D9-C2C76229D64F}" name="Project name" dataDxfId="60" dataCellStyle="Normal 2"/>
    <tableColumn id="3" xr3:uid="{CA0234AE-9297-42A2-838A-5321E59C661B}" name="Revision" dataDxfId="59" dataCellStyle="Normal 2"/>
    <tableColumn id="4" xr3:uid="{E3C88C09-393C-44D7-A719-ECBE6181F574}" name="Layer_name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FB530E-86B7-4FE7-B008-D9B750D1425D}" name="Data_List" displayName="Data_List" ref="A1:C189" tableType="queryTable" totalsRowShown="0">
  <autoFilter ref="A1:C189" xr:uid="{A11908FE-CA7E-4612-A1DE-4C3DC224AD35}"/>
  <tableColumns count="3">
    <tableColumn id="1" xr3:uid="{5C927C2C-2904-44BF-96B8-BE364C752530}" uniqueName="1" name="name" queryTableFieldId="1" dataDxfId="58"/>
    <tableColumn id="2" xr3:uid="{D3F255F2-2A86-4157-9656-81F9A8679A3F}" uniqueName="2" name="project" queryTableFieldId="2" dataDxfId="57"/>
    <tableColumn id="3" xr3:uid="{6F32062A-6396-48AD-96E4-AC8769C16D3B}" uniqueName="3" name="rev" queryTableField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BD567BC-898B-4A09-94F5-6D9061C4FCD0}" name="owdb_COPCAT_Data_Base" displayName="owdb_COPCAT_Data_Base" ref="A1:BQ8" tableType="queryTable" totalsRowShown="0">
  <autoFilter ref="A1:BQ8" xr:uid="{A5D94D1B-C464-4416-9FC1-BFC80439ADB3}"/>
  <tableColumns count="69">
    <tableColumn id="1" xr3:uid="{29D2CB5E-420C-4D47-A545-A4BDF692C1F1}" uniqueName="1" name="name" queryTableFieldId="1" dataDxfId="56"/>
    <tableColumn id="2" xr3:uid="{0352DEE9-A2F6-4B8A-8599-04C147D10F35}" uniqueName="2" name="project" queryTableFieldId="2" dataDxfId="55"/>
    <tableColumn id="3" xr3:uid="{BF6C5043-F72C-4AE8-9579-515A96C3E5DA}" uniqueName="3" name="rev" queryTableFieldId="3"/>
    <tableColumn id="4" xr3:uid="{555920D1-D4C3-4246-B1CC-654778957766}" uniqueName="4" name="notes" queryTableFieldId="4" dataDxfId="54"/>
    <tableColumn id="5" xr3:uid="{3C8B1387-C128-40BC-85BE-2A2258FF5090}" uniqueName="5" name="soil_type" queryTableFieldId="71" dataDxfId="53"/>
    <tableColumn id="6" xr3:uid="{B120AA35-A36C-4373-9DD8-C12E4ADEA753}" uniqueName="6" name="y_u_F" queryTableFieldId="6"/>
    <tableColumn id="7" xr3:uid="{F216CB51-7D8A-4CAB-B103-A97C18570B42}" uniqueName="7" name="y_u_1" queryTableFieldId="7"/>
    <tableColumn id="8" xr3:uid="{5E1A5A34-C7D5-48D2-BAD3-79BC8A9D391C}" uniqueName="8" name="y_u_2" queryTableFieldId="8"/>
    <tableColumn id="9" xr3:uid="{112929AD-B40A-4789-8296-7B68CCBFDDE0}" uniqueName="9" name="y_u_3" queryTableFieldId="9"/>
    <tableColumn id="10" xr3:uid="{680551A0-4AF1-4EBB-9E7D-EEC857EA75F2}" uniqueName="10" name="P_u_F" queryTableFieldId="10"/>
    <tableColumn id="11" xr3:uid="{F3BBDD09-25A5-42F9-A6B2-7DAB62EBE996}" uniqueName="11" name="P_u_1" queryTableFieldId="11"/>
    <tableColumn id="12" xr3:uid="{5A30FA74-7D9F-46F5-90FA-F4E1DF2A93FF}" uniqueName="12" name="P_u_2" queryTableFieldId="12"/>
    <tableColumn id="13" xr3:uid="{78B2B5CB-9ECA-4FDB-91F7-1F634917D704}" uniqueName="13" name="P_u_3" queryTableFieldId="13"/>
    <tableColumn id="14" xr3:uid="{270CE350-9AD3-4749-B160-D32D857A2B67}" uniqueName="14" name="k_p_F" queryTableFieldId="14"/>
    <tableColumn id="15" xr3:uid="{EFB57D74-123B-4233-84F3-3BCB7C1753E6}" uniqueName="15" name="k_p_1" queryTableFieldId="15"/>
    <tableColumn id="16" xr3:uid="{EDAAEEB7-95ED-43B7-B162-BB2F14472D2A}" uniqueName="16" name="k_p_2" queryTableFieldId="16"/>
    <tableColumn id="17" xr3:uid="{188E5B5E-BA0F-48CF-813A-359C90EE99CE}" uniqueName="17" name="k_p_3" queryTableFieldId="17"/>
    <tableColumn id="18" xr3:uid="{F2702E5B-57AD-4DB6-BF4D-3D45DAE92D22}" uniqueName="18" name="n_p_F" queryTableFieldId="18"/>
    <tableColumn id="19" xr3:uid="{9F339A91-F01E-477A-9BD4-6021B65377C7}" uniqueName="19" name="n_p_1" queryTableFieldId="19"/>
    <tableColumn id="20" xr3:uid="{35C5C7F8-D32B-41C6-A5DB-9860BC602402}" uniqueName="20" name="n_p_2" queryTableFieldId="20"/>
    <tableColumn id="21" xr3:uid="{9444C63A-7067-4DB0-ACC1-8841AC86F523}" uniqueName="21" name="n_p_3" queryTableFieldId="21"/>
    <tableColumn id="22" xr3:uid="{DDF2E8CC-8F90-4165-A9DD-0C0446BC0AE9}" uniqueName="22" name="tetam_u_F" queryTableFieldId="22"/>
    <tableColumn id="23" xr3:uid="{1E77899F-BAE1-4C69-80F2-8DD3F7568DDF}" uniqueName="23" name="tetam_u_1" queryTableFieldId="23"/>
    <tableColumn id="24" xr3:uid="{8D308B4D-3DA5-4226-BB61-05CF57C765B9}" uniqueName="24" name="tetam_u_2" queryTableFieldId="24"/>
    <tableColumn id="25" xr3:uid="{E20C4DD4-73B3-4F26-AC3B-9D9D9EFF8E78}" uniqueName="25" name="tetam_u_3" queryTableFieldId="25"/>
    <tableColumn id="26" xr3:uid="{B32D83B6-0288-4F5C-A136-04E35382EA9B}" uniqueName="26" name="m_u_F" queryTableFieldId="26"/>
    <tableColumn id="27" xr3:uid="{9D423EC6-DE48-4679-9597-F3276CF34ACB}" uniqueName="27" name="m_u_1" queryTableFieldId="27"/>
    <tableColumn id="28" xr3:uid="{E63D4EA9-AFF4-4F10-BD76-73B66327D646}" uniqueName="28" name="m_u_2" queryTableFieldId="28"/>
    <tableColumn id="29" xr3:uid="{AE39FD62-AC30-4947-9515-55E882298580}" uniqueName="29" name="m_u_3" queryTableFieldId="29"/>
    <tableColumn id="30" xr3:uid="{9A4FD6CD-D7C9-4734-AAE8-5901B9945529}" uniqueName="30" name="k_m_F" queryTableFieldId="30"/>
    <tableColumn id="31" xr3:uid="{992039A2-7A43-4053-91FB-393FC8A21838}" uniqueName="31" name="k_m_1" queryTableFieldId="31"/>
    <tableColumn id="32" xr3:uid="{455E7EA0-0676-45DB-AFD4-2840B99FC2D9}" uniqueName="32" name="k_m_2" queryTableFieldId="32"/>
    <tableColumn id="33" xr3:uid="{2033B71D-8E22-438E-AEC7-2179DACB00C1}" uniqueName="33" name="k_m_3" queryTableFieldId="33"/>
    <tableColumn id="34" xr3:uid="{E4640CC7-1D3F-4B35-B1FB-B0B13D9C234F}" uniqueName="34" name="n_m_F" queryTableFieldId="34"/>
    <tableColumn id="35" xr3:uid="{DE52FB47-D1FD-4A99-8C10-300D4340CCC5}" uniqueName="35" name="n_m_1" queryTableFieldId="35"/>
    <tableColumn id="36" xr3:uid="{36FE4889-19B2-4C9F-A9B5-B32DF16D65F4}" uniqueName="36" name="n_m_2" queryTableFieldId="36"/>
    <tableColumn id="37" xr3:uid="{179FEDBC-7CBD-4E61-B81D-9D8287FE871F}" uniqueName="37" name="n_m_3" queryTableFieldId="37"/>
    <tableColumn id="38" xr3:uid="{AE0DC746-D8B2-43F4-92F2-2255EDBA42E9}" uniqueName="38" name="yB_u_F" queryTableFieldId="38"/>
    <tableColumn id="39" xr3:uid="{85256E58-2BE5-4A2A-961E-25B1BCC64597}" uniqueName="39" name="yB_u_1" queryTableFieldId="39"/>
    <tableColumn id="40" xr3:uid="{B1B7DB1E-7CD8-4341-BD9F-49B9C802ACF7}" uniqueName="40" name="yB_u_2" queryTableFieldId="40"/>
    <tableColumn id="41" xr3:uid="{1D55B262-BBDF-4F68-BE52-1B486ABEEC6B}" uniqueName="41" name="yB_u_3" queryTableFieldId="41"/>
    <tableColumn id="42" xr3:uid="{05459AEB-AC03-427D-B292-12A58F711EE1}" uniqueName="42" name="HB_u_F" queryTableFieldId="42"/>
    <tableColumn id="43" xr3:uid="{38F792CC-B148-4C88-87C1-FEF3379753F8}" uniqueName="43" name="HB_u_1" queryTableFieldId="43"/>
    <tableColumn id="44" xr3:uid="{10043DD9-DCAC-42B6-9D0F-37A6E87B5A7C}" uniqueName="44" name="HB_u_2" queryTableFieldId="44"/>
    <tableColumn id="45" xr3:uid="{853E76CB-1E9E-49B9-8C2C-E83556DBB605}" uniqueName="45" name="HB_u_3" queryTableFieldId="45"/>
    <tableColumn id="46" xr3:uid="{26F1B2AF-4E4F-4A2F-AB67-5204DCB04E4B}" uniqueName="46" name="k_H_F" queryTableFieldId="46"/>
    <tableColumn id="47" xr3:uid="{42AA187C-9081-493A-A30F-619C8D441EEC}" uniqueName="47" name="k_H_1" queryTableFieldId="47"/>
    <tableColumn id="48" xr3:uid="{EED2CC40-60DF-4E31-9257-73B0B0A25150}" uniqueName="48" name="k_H_2" queryTableFieldId="48"/>
    <tableColumn id="49" xr3:uid="{935F2245-8DDF-4800-929C-17C28FEAE44E}" uniqueName="49" name="k_H_3" queryTableFieldId="49"/>
    <tableColumn id="50" xr3:uid="{0242F2C2-9F27-4765-AC99-237F7FC428D1}" uniqueName="50" name="n_H_F" queryTableFieldId="50"/>
    <tableColumn id="51" xr3:uid="{A69C6721-2C77-49B7-9E16-EDE6A2DC1700}" uniqueName="51" name="n_H_1" queryTableFieldId="51"/>
    <tableColumn id="52" xr3:uid="{A5984A85-B9E0-41CC-9B58-D05AA9EB0899}" uniqueName="52" name="n_H_2" queryTableFieldId="52"/>
    <tableColumn id="53" xr3:uid="{96286AD4-74C6-458F-BAE8-4ABA21984B68}" uniqueName="53" name="n_H_3" queryTableFieldId="53"/>
    <tableColumn id="54" xr3:uid="{F50B2D1F-8054-4D43-9D9F-605E7F01705A}" uniqueName="54" name="tetaMb_u_F" queryTableFieldId="54"/>
    <tableColumn id="55" xr3:uid="{4DF2BB46-E47B-4F14-8EB3-00D74441A4D7}" uniqueName="55" name="tetaMb_u_1" queryTableFieldId="55"/>
    <tableColumn id="56" xr3:uid="{6053AAEA-E445-4BD5-9029-462DCE4E8CE0}" uniqueName="56" name="tetaMb_u_2" queryTableFieldId="56"/>
    <tableColumn id="57" xr3:uid="{1461223C-4327-449E-A074-0E47BB8252B0}" uniqueName="57" name="tetaMb_u_3" queryTableFieldId="57"/>
    <tableColumn id="58" xr3:uid="{0474068F-F718-4EA6-9974-BCAD0E309E0A}" uniqueName="58" name="MB_u_F" queryTableFieldId="58"/>
    <tableColumn id="59" xr3:uid="{EDEEBFF7-9D2A-47F7-A2FC-7619D4867EB4}" uniqueName="59" name="MB_u_1" queryTableFieldId="59"/>
    <tableColumn id="60" xr3:uid="{A34154C3-978C-439B-93E2-A790C70F7590}" uniqueName="60" name="MB_u_2" queryTableFieldId="60"/>
    <tableColumn id="61" xr3:uid="{26C0C07C-9898-41FE-9E7C-4D4A4796F51A}" uniqueName="61" name="MB_u_3" queryTableFieldId="61"/>
    <tableColumn id="62" xr3:uid="{67E10F69-6734-43DA-B805-754B4BDD67A5}" uniqueName="62" name="k_Mb_F" queryTableFieldId="62"/>
    <tableColumn id="63" xr3:uid="{C2ADB237-1932-4C0E-AA09-1EA8FBDC6A09}" uniqueName="63" name="k_Mb_1" queryTableFieldId="63"/>
    <tableColumn id="64" xr3:uid="{42F3F71C-D0B5-4A11-885D-3DF9A7FF701C}" uniqueName="64" name="k_Mb_2" queryTableFieldId="64"/>
    <tableColumn id="65" xr3:uid="{4F69572F-8672-4B54-BBAB-D73E7C86A634}" uniqueName="65" name="k_Mb_3" queryTableFieldId="65"/>
    <tableColumn id="66" xr3:uid="{21216BF0-CDCD-42E4-BCBB-05E3616876DC}" uniqueName="66" name="n_Mb_F" queryTableFieldId="66"/>
    <tableColumn id="67" xr3:uid="{61E7A889-4B30-4F27-9859-66372D787C04}" uniqueName="67" name="n_Mb_1" queryTableFieldId="67"/>
    <tableColumn id="68" xr3:uid="{30048036-5AC3-4DD4-8E35-A2866DD184D7}" uniqueName="68" name="n_Mb_2" queryTableFieldId="68"/>
    <tableColumn id="69" xr3:uid="{6F3C674B-0C72-49E7-A5F3-E51C90CADC05}" uniqueName="69" name="n_Mb_3" queryTableFieldId="6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8ED65-2C5D-4F5E-8114-0FA57DCD0D77}">
  <sheetPr codeName="Sheet2"/>
  <dimension ref="B1:AU104"/>
  <sheetViews>
    <sheetView tabSelected="1" zoomScaleNormal="100" workbookViewId="0">
      <selection activeCell="E26" sqref="E26"/>
    </sheetView>
  </sheetViews>
  <sheetFormatPr defaultColWidth="9.140625" defaultRowHeight="11.25" x14ac:dyDescent="0.15"/>
  <cols>
    <col min="1" max="1" width="9.140625" style="2"/>
    <col min="2" max="2" width="37" style="2" bestFit="1" customWidth="1"/>
    <col min="3" max="3" width="30" style="2" customWidth="1"/>
    <col min="4" max="4" width="6.28515625" style="2" customWidth="1"/>
    <col min="5" max="5" width="20.140625" style="2" bestFit="1" customWidth="1"/>
    <col min="6" max="6" width="15.42578125" style="2" customWidth="1"/>
    <col min="7" max="7" width="10.85546875" style="2" customWidth="1"/>
    <col min="8" max="8" width="16" style="2" customWidth="1"/>
    <col min="9" max="9" width="10.28515625" style="2" bestFit="1" customWidth="1"/>
    <col min="10" max="10" width="11.140625" style="2" customWidth="1"/>
    <col min="11" max="11" width="9.85546875" style="2" bestFit="1" customWidth="1"/>
    <col min="12" max="12" width="13.85546875" style="2" bestFit="1" customWidth="1"/>
    <col min="13" max="13" width="13.140625" style="2" bestFit="1" customWidth="1"/>
    <col min="14" max="14" width="9.7109375" style="2" bestFit="1" customWidth="1"/>
    <col min="15" max="15" width="9.28515625" style="2" bestFit="1" customWidth="1"/>
    <col min="16" max="16" width="9.140625" style="2"/>
    <col min="17" max="17" width="8" style="2" bestFit="1" customWidth="1"/>
    <col min="18" max="18" width="11.7109375" style="2" bestFit="1" customWidth="1"/>
    <col min="19" max="19" width="9.140625" style="2"/>
    <col min="20" max="20" width="6.85546875" style="2" bestFit="1" customWidth="1"/>
    <col min="21" max="22" width="11.42578125" style="2" customWidth="1"/>
    <col min="23" max="23" width="9.42578125" style="2" customWidth="1"/>
    <col min="24" max="24" width="10.85546875" style="2" customWidth="1"/>
    <col min="25" max="25" width="8.7109375" style="2" customWidth="1"/>
    <col min="26" max="37" width="9.85546875" style="2" customWidth="1"/>
    <col min="38" max="38" width="9.140625" style="2"/>
    <col min="39" max="39" width="9.5703125" style="2" bestFit="1" customWidth="1"/>
    <col min="40" max="40" width="9.140625" style="2"/>
    <col min="41" max="41" width="13.85546875" style="2" bestFit="1" customWidth="1"/>
    <col min="42" max="42" width="9.7109375" style="2" bestFit="1" customWidth="1"/>
    <col min="43" max="16384" width="9.140625" style="2"/>
  </cols>
  <sheetData>
    <row r="1" spans="2:47" ht="12" thickBot="1" x14ac:dyDescent="0.2"/>
    <row r="2" spans="2:47" ht="12" thickBot="1" x14ac:dyDescent="0.2">
      <c r="B2" s="124" t="s">
        <v>77</v>
      </c>
      <c r="C2" s="125"/>
      <c r="I2" s="121" t="s">
        <v>78</v>
      </c>
      <c r="J2" s="122"/>
      <c r="K2" s="122"/>
      <c r="L2" s="122"/>
      <c r="M2" s="122"/>
      <c r="N2" s="122"/>
      <c r="O2" s="122"/>
      <c r="P2" s="122"/>
      <c r="Q2" s="122"/>
      <c r="R2" s="122"/>
      <c r="S2" s="123"/>
      <c r="AL2" s="126" t="s">
        <v>79</v>
      </c>
      <c r="AM2" s="127"/>
      <c r="AN2" s="127"/>
      <c r="AO2" s="127"/>
      <c r="AP2" s="127"/>
      <c r="AQ2" s="127"/>
      <c r="AR2" s="127"/>
      <c r="AS2" s="127"/>
      <c r="AT2" s="127"/>
      <c r="AU2" s="128"/>
    </row>
    <row r="3" spans="2:47" ht="13.5" customHeight="1" thickBot="1" x14ac:dyDescent="0.2">
      <c r="B3" s="3" t="s">
        <v>80</v>
      </c>
      <c r="C3" s="4" t="s">
        <v>81</v>
      </c>
      <c r="E3" s="81" t="s">
        <v>82</v>
      </c>
      <c r="F3" s="82" t="s">
        <v>245</v>
      </c>
      <c r="G3" s="83" t="s">
        <v>246</v>
      </c>
      <c r="H3" s="111" t="s">
        <v>419</v>
      </c>
      <c r="I3" s="79" t="s">
        <v>83</v>
      </c>
      <c r="J3" s="6" t="s">
        <v>84</v>
      </c>
      <c r="K3" s="6" t="s">
        <v>139</v>
      </c>
      <c r="L3" s="6" t="s">
        <v>86</v>
      </c>
      <c r="M3" s="6" t="s">
        <v>142</v>
      </c>
      <c r="N3" s="6" t="s">
        <v>140</v>
      </c>
      <c r="O3" s="6" t="s">
        <v>183</v>
      </c>
      <c r="P3" s="6" t="s">
        <v>183</v>
      </c>
      <c r="Q3" s="6" t="s">
        <v>183</v>
      </c>
      <c r="R3" s="6" t="s">
        <v>183</v>
      </c>
      <c r="S3" s="6" t="s">
        <v>183</v>
      </c>
      <c r="T3" s="59" t="s">
        <v>197</v>
      </c>
      <c r="U3" s="7" t="s">
        <v>92</v>
      </c>
      <c r="V3" s="7" t="s">
        <v>93</v>
      </c>
      <c r="W3" s="7" t="s">
        <v>94</v>
      </c>
      <c r="X3" s="7" t="s">
        <v>95</v>
      </c>
      <c r="Y3" s="7" t="s">
        <v>96</v>
      </c>
      <c r="Z3" s="7" t="s">
        <v>97</v>
      </c>
      <c r="AA3" s="7" t="s">
        <v>98</v>
      </c>
      <c r="AB3" s="7" t="s">
        <v>99</v>
      </c>
      <c r="AC3" s="7" t="s">
        <v>100</v>
      </c>
      <c r="AD3" s="7" t="s">
        <v>101</v>
      </c>
      <c r="AE3" s="7" t="s">
        <v>102</v>
      </c>
      <c r="AF3" s="7" t="s">
        <v>103</v>
      </c>
      <c r="AG3" s="7" t="s">
        <v>104</v>
      </c>
      <c r="AH3" s="7" t="s">
        <v>105</v>
      </c>
      <c r="AI3" s="7" t="s">
        <v>106</v>
      </c>
      <c r="AJ3" s="7" t="s">
        <v>107</v>
      </c>
      <c r="AL3" s="8" t="s">
        <v>83</v>
      </c>
      <c r="AM3" s="6" t="s">
        <v>183</v>
      </c>
      <c r="AN3" s="6" t="s">
        <v>183</v>
      </c>
      <c r="AO3" s="6" t="s">
        <v>183</v>
      </c>
      <c r="AP3" s="6" t="s">
        <v>183</v>
      </c>
      <c r="AQ3" s="6" t="s">
        <v>183</v>
      </c>
      <c r="AR3" s="6" t="s">
        <v>183</v>
      </c>
      <c r="AS3" s="6" t="s">
        <v>183</v>
      </c>
      <c r="AT3" s="6" t="s">
        <v>183</v>
      </c>
      <c r="AU3" s="112" t="s">
        <v>183</v>
      </c>
    </row>
    <row r="4" spans="2:47" ht="12" thickBot="1" x14ac:dyDescent="0.2">
      <c r="B4" s="9" t="s">
        <v>108</v>
      </c>
      <c r="C4" s="10" t="s">
        <v>81</v>
      </c>
      <c r="E4" s="84" t="s">
        <v>390</v>
      </c>
      <c r="F4" s="84" t="s">
        <v>252</v>
      </c>
      <c r="G4" s="85">
        <v>0</v>
      </c>
      <c r="H4" s="110" t="s">
        <v>420</v>
      </c>
      <c r="I4" s="80">
        <v>1</v>
      </c>
      <c r="P4" s="65"/>
      <c r="Q4" s="65"/>
      <c r="R4" s="65"/>
      <c r="S4" s="65"/>
      <c r="T4" s="2">
        <v>1</v>
      </c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L4" s="13">
        <f>IF(I4="","",I4)</f>
        <v>1</v>
      </c>
      <c r="AM4" s="64"/>
      <c r="AN4" s="64"/>
      <c r="AO4" s="64"/>
      <c r="AP4" s="64"/>
      <c r="AQ4" s="64"/>
      <c r="AR4" s="64"/>
      <c r="AS4" s="64"/>
      <c r="AT4" s="64"/>
      <c r="AU4" s="64"/>
    </row>
    <row r="5" spans="2:47" ht="12" thickBot="1" x14ac:dyDescent="0.2">
      <c r="B5" s="14" t="s">
        <v>109</v>
      </c>
      <c r="C5" s="15" t="s">
        <v>110</v>
      </c>
      <c r="E5" s="84" t="s">
        <v>359</v>
      </c>
      <c r="F5" s="84" t="s">
        <v>252</v>
      </c>
      <c r="G5" s="85">
        <v>1</v>
      </c>
      <c r="H5" s="110" t="s">
        <v>421</v>
      </c>
      <c r="I5" s="80">
        <v>2</v>
      </c>
      <c r="P5" s="65"/>
      <c r="Q5" s="65"/>
      <c r="R5" s="65"/>
      <c r="S5" s="65"/>
      <c r="T5" s="2">
        <v>1</v>
      </c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L5" s="13">
        <f t="shared" ref="AL5:AL28" si="0">IF(I5="","",I5)</f>
        <v>2</v>
      </c>
      <c r="AM5" s="64"/>
      <c r="AN5" s="64"/>
      <c r="AO5" s="64"/>
      <c r="AP5" s="64"/>
      <c r="AQ5" s="64"/>
      <c r="AR5" s="64"/>
      <c r="AS5" s="64"/>
      <c r="AT5" s="64"/>
      <c r="AU5" s="64"/>
    </row>
    <row r="6" spans="2:47" ht="12" thickBot="1" x14ac:dyDescent="0.2">
      <c r="B6" s="9" t="s">
        <v>111</v>
      </c>
      <c r="C6" s="10" t="s">
        <v>112</v>
      </c>
      <c r="E6" s="84" t="s">
        <v>338</v>
      </c>
      <c r="F6" s="84" t="s">
        <v>252</v>
      </c>
      <c r="G6" s="85">
        <v>1</v>
      </c>
      <c r="H6" s="110" t="s">
        <v>422</v>
      </c>
      <c r="I6" s="80">
        <v>3</v>
      </c>
      <c r="P6" s="65"/>
      <c r="Q6" s="65"/>
      <c r="R6" s="65"/>
      <c r="S6" s="65"/>
      <c r="T6" s="2">
        <v>0</v>
      </c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L6" s="13">
        <f t="shared" si="0"/>
        <v>3</v>
      </c>
      <c r="AM6" s="64"/>
      <c r="AN6" s="64"/>
      <c r="AO6" s="64"/>
      <c r="AP6" s="64"/>
      <c r="AQ6" s="64"/>
      <c r="AR6" s="64"/>
      <c r="AS6" s="64"/>
      <c r="AT6" s="64"/>
      <c r="AU6" s="64"/>
    </row>
    <row r="7" spans="2:47" ht="12" thickBot="1" x14ac:dyDescent="0.2">
      <c r="B7" s="9" t="s">
        <v>113</v>
      </c>
      <c r="C7" s="10" t="s">
        <v>217</v>
      </c>
      <c r="E7" s="84" t="s">
        <v>351</v>
      </c>
      <c r="F7" s="84" t="s">
        <v>252</v>
      </c>
      <c r="G7" s="85">
        <v>1</v>
      </c>
      <c r="H7" s="110" t="s">
        <v>423</v>
      </c>
      <c r="I7" s="80">
        <v>4</v>
      </c>
      <c r="P7" s="65"/>
      <c r="Q7" s="65"/>
      <c r="R7" s="65"/>
      <c r="S7" s="65"/>
      <c r="T7" s="2">
        <v>0</v>
      </c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L7" s="13">
        <f t="shared" si="0"/>
        <v>4</v>
      </c>
      <c r="AM7" s="64"/>
      <c r="AN7" s="64"/>
      <c r="AO7" s="64"/>
      <c r="AP7" s="64"/>
      <c r="AQ7" s="64"/>
      <c r="AR7" s="64"/>
      <c r="AS7" s="64"/>
      <c r="AT7" s="64"/>
      <c r="AU7" s="64"/>
    </row>
    <row r="8" spans="2:47" ht="12" thickBot="1" x14ac:dyDescent="0.2">
      <c r="B8" s="9" t="s">
        <v>114</v>
      </c>
      <c r="C8" s="10" t="s">
        <v>115</v>
      </c>
      <c r="E8" s="84" t="s">
        <v>363</v>
      </c>
      <c r="F8" s="84" t="s">
        <v>252</v>
      </c>
      <c r="G8" s="85">
        <v>1</v>
      </c>
      <c r="H8" s="110" t="s">
        <v>424</v>
      </c>
      <c r="I8" s="80">
        <v>5</v>
      </c>
      <c r="P8" s="65"/>
      <c r="Q8" s="65"/>
      <c r="R8" s="65"/>
      <c r="S8" s="65"/>
      <c r="T8" s="2">
        <v>0</v>
      </c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L8" s="13">
        <f t="shared" si="0"/>
        <v>5</v>
      </c>
      <c r="AM8" s="64"/>
      <c r="AN8" s="64"/>
      <c r="AO8" s="67"/>
      <c r="AP8" s="67"/>
      <c r="AQ8" s="64"/>
      <c r="AR8" s="64"/>
      <c r="AS8" s="64"/>
      <c r="AT8" s="64"/>
      <c r="AU8" s="64"/>
    </row>
    <row r="9" spans="2:47" ht="12" thickBot="1" x14ac:dyDescent="0.2">
      <c r="B9" s="17" t="s">
        <v>116</v>
      </c>
      <c r="C9" s="18" t="s">
        <v>117</v>
      </c>
      <c r="E9" s="84" t="s">
        <v>341</v>
      </c>
      <c r="F9" s="84" t="s">
        <v>252</v>
      </c>
      <c r="G9" s="85">
        <v>1</v>
      </c>
      <c r="H9" s="110" t="s">
        <v>425</v>
      </c>
      <c r="I9" s="80">
        <v>6</v>
      </c>
      <c r="P9" s="65"/>
      <c r="Q9" s="65"/>
      <c r="R9" s="65"/>
      <c r="S9" s="65"/>
      <c r="T9" s="2">
        <v>0</v>
      </c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L9" s="13">
        <f t="shared" si="0"/>
        <v>6</v>
      </c>
      <c r="AM9" s="64"/>
      <c r="AN9" s="64"/>
      <c r="AO9" s="64"/>
      <c r="AP9" s="64"/>
      <c r="AQ9" s="64"/>
      <c r="AR9" s="64"/>
      <c r="AS9" s="64"/>
      <c r="AT9" s="64"/>
      <c r="AU9" s="64"/>
    </row>
    <row r="10" spans="2:47" ht="12" thickBot="1" x14ac:dyDescent="0.2">
      <c r="B10" s="54"/>
      <c r="E10" s="84" t="s">
        <v>390</v>
      </c>
      <c r="F10" s="84" t="s">
        <v>252</v>
      </c>
      <c r="G10" s="85">
        <v>0</v>
      </c>
      <c r="H10" s="110" t="s">
        <v>426</v>
      </c>
      <c r="I10" s="80">
        <v>7</v>
      </c>
      <c r="P10" s="65"/>
      <c r="Q10" s="65"/>
      <c r="R10" s="65"/>
      <c r="S10" s="65"/>
      <c r="T10" s="2">
        <v>1</v>
      </c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L10" s="13">
        <f t="shared" si="0"/>
        <v>7</v>
      </c>
      <c r="AM10" s="64"/>
      <c r="AN10" s="64"/>
      <c r="AO10" s="64"/>
      <c r="AP10" s="64"/>
      <c r="AQ10" s="64"/>
      <c r="AR10" s="64"/>
      <c r="AS10" s="64"/>
      <c r="AT10" s="64"/>
      <c r="AU10" s="64"/>
    </row>
    <row r="11" spans="2:47" ht="12" thickBot="1" x14ac:dyDescent="0.2">
      <c r="B11" s="124" t="s">
        <v>388</v>
      </c>
      <c r="C11" s="125"/>
      <c r="E11" s="84" t="s">
        <v>365</v>
      </c>
      <c r="F11" s="84" t="s">
        <v>252</v>
      </c>
      <c r="G11" s="85">
        <v>1</v>
      </c>
      <c r="H11" s="110" t="s">
        <v>427</v>
      </c>
      <c r="I11" s="80">
        <v>8</v>
      </c>
      <c r="P11" s="65"/>
      <c r="Q11" s="65"/>
      <c r="R11" s="65"/>
      <c r="S11" s="65"/>
      <c r="T11" s="2">
        <v>0</v>
      </c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L11" s="13">
        <f t="shared" si="0"/>
        <v>8</v>
      </c>
      <c r="AM11" s="64"/>
      <c r="AN11" s="64"/>
      <c r="AO11" s="64"/>
      <c r="AP11" s="64"/>
      <c r="AQ11" s="64"/>
      <c r="AR11" s="64"/>
      <c r="AS11" s="64"/>
      <c r="AT11" s="64"/>
      <c r="AU11" s="64"/>
    </row>
    <row r="12" spans="2:47" ht="12" thickBot="1" x14ac:dyDescent="0.2">
      <c r="B12" s="4" t="s">
        <v>198</v>
      </c>
      <c r="C12" s="4" t="s">
        <v>187</v>
      </c>
      <c r="E12" s="84" t="s">
        <v>365</v>
      </c>
      <c r="F12" s="84" t="s">
        <v>252</v>
      </c>
      <c r="G12" s="85">
        <v>1</v>
      </c>
      <c r="H12" s="110" t="s">
        <v>428</v>
      </c>
      <c r="I12" s="80">
        <v>9</v>
      </c>
      <c r="P12" s="65"/>
      <c r="Q12" s="65"/>
      <c r="R12" s="65"/>
      <c r="S12" s="65"/>
      <c r="T12" s="2">
        <v>0</v>
      </c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L12" s="13">
        <f t="shared" si="0"/>
        <v>9</v>
      </c>
      <c r="AM12" s="64"/>
      <c r="AN12" s="64"/>
      <c r="AO12" s="64"/>
      <c r="AP12" s="64"/>
      <c r="AQ12" s="64"/>
      <c r="AR12" s="64"/>
      <c r="AS12" s="64"/>
      <c r="AT12" s="64"/>
      <c r="AU12" s="64"/>
    </row>
    <row r="13" spans="2:47" ht="12" thickBot="1" x14ac:dyDescent="0.2">
      <c r="B13" s="10" t="s">
        <v>199</v>
      </c>
      <c r="C13" s="10" t="s">
        <v>187</v>
      </c>
      <c r="E13" s="84" t="s">
        <v>365</v>
      </c>
      <c r="F13" s="84" t="s">
        <v>252</v>
      </c>
      <c r="G13" s="85">
        <v>1</v>
      </c>
      <c r="H13" s="110" t="s">
        <v>429</v>
      </c>
      <c r="I13" s="80">
        <v>10</v>
      </c>
      <c r="P13" s="65"/>
      <c r="Q13" s="65"/>
      <c r="R13" s="65"/>
      <c r="S13" s="65"/>
      <c r="T13" s="2">
        <v>0</v>
      </c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L13" s="13">
        <f t="shared" si="0"/>
        <v>10</v>
      </c>
      <c r="AM13" s="64"/>
      <c r="AN13" s="64"/>
      <c r="AO13" s="64"/>
      <c r="AP13" s="64"/>
      <c r="AQ13" s="64"/>
      <c r="AR13" s="64"/>
      <c r="AS13" s="64"/>
      <c r="AT13" s="64"/>
      <c r="AU13" s="64"/>
    </row>
    <row r="14" spans="2:47" ht="12" thickBot="1" x14ac:dyDescent="0.2">
      <c r="B14" s="18" t="s">
        <v>200</v>
      </c>
      <c r="C14" s="18" t="s">
        <v>187</v>
      </c>
      <c r="E14" s="86" t="s">
        <v>390</v>
      </c>
      <c r="F14" s="84" t="s">
        <v>252</v>
      </c>
      <c r="G14" s="85">
        <v>0</v>
      </c>
      <c r="H14" s="110" t="s">
        <v>430</v>
      </c>
      <c r="I14" s="80">
        <v>11</v>
      </c>
      <c r="P14" s="65"/>
      <c r="Q14" s="65"/>
      <c r="R14" s="65"/>
      <c r="S14" s="65"/>
      <c r="T14" s="2">
        <v>0</v>
      </c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L14" s="13">
        <f t="shared" si="0"/>
        <v>11</v>
      </c>
      <c r="AM14" s="64"/>
      <c r="AN14" s="64"/>
      <c r="AO14" s="64"/>
      <c r="AP14" s="64"/>
      <c r="AQ14" s="64"/>
      <c r="AR14" s="64"/>
      <c r="AS14" s="64"/>
      <c r="AT14" s="64"/>
      <c r="AU14" s="64"/>
    </row>
    <row r="15" spans="2:47" ht="12" thickBot="1" x14ac:dyDescent="0.2">
      <c r="E15" s="86"/>
      <c r="F15" s="84"/>
      <c r="G15" s="85"/>
      <c r="H15" s="110"/>
      <c r="I15" s="80"/>
      <c r="P15" s="65"/>
      <c r="Q15" s="65"/>
      <c r="R15" s="65"/>
      <c r="S15" s="65"/>
      <c r="T15" s="2">
        <v>0</v>
      </c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L15" s="13" t="str">
        <f t="shared" si="0"/>
        <v/>
      </c>
      <c r="AM15" s="64"/>
      <c r="AN15" s="64"/>
      <c r="AO15" s="64"/>
      <c r="AP15" s="64"/>
      <c r="AQ15" s="64"/>
      <c r="AR15" s="64"/>
      <c r="AS15" s="64"/>
      <c r="AT15" s="64"/>
      <c r="AU15" s="64"/>
    </row>
    <row r="16" spans="2:47" ht="12" thickBot="1" x14ac:dyDescent="0.2">
      <c r="B16" s="19" t="s">
        <v>118</v>
      </c>
      <c r="C16" s="20"/>
      <c r="E16" s="86"/>
      <c r="F16" s="86"/>
      <c r="G16" s="85"/>
      <c r="H16" s="38"/>
      <c r="I16" s="80"/>
      <c r="N16" s="65"/>
      <c r="O16" s="65"/>
      <c r="P16" s="65"/>
      <c r="Q16" s="65"/>
      <c r="R16" s="65"/>
      <c r="S16" s="65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L16" s="13" t="str">
        <f t="shared" si="0"/>
        <v/>
      </c>
      <c r="AM16" s="64"/>
      <c r="AN16" s="64"/>
      <c r="AO16" s="64"/>
      <c r="AP16" s="64"/>
      <c r="AQ16" s="64"/>
      <c r="AR16" s="64"/>
      <c r="AS16" s="64"/>
      <c r="AT16" s="64"/>
      <c r="AU16" s="64"/>
    </row>
    <row r="17" spans="2:47" ht="12" thickBot="1" x14ac:dyDescent="0.2">
      <c r="B17" s="21" t="s">
        <v>119</v>
      </c>
      <c r="C17" s="21" t="s">
        <v>437</v>
      </c>
      <c r="E17" s="86"/>
      <c r="F17" s="86"/>
      <c r="G17" s="85"/>
      <c r="H17" s="38"/>
      <c r="I17" s="80"/>
      <c r="N17" s="65"/>
      <c r="O17" s="65"/>
      <c r="P17" s="65"/>
      <c r="Q17" s="65"/>
      <c r="R17" s="65"/>
      <c r="S17" s="65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L17" s="13" t="str">
        <f t="shared" si="0"/>
        <v/>
      </c>
      <c r="AM17" s="64"/>
      <c r="AN17" s="64"/>
      <c r="AO17" s="64"/>
      <c r="AP17" s="64"/>
      <c r="AQ17" s="64"/>
      <c r="AR17" s="64"/>
      <c r="AS17" s="64"/>
      <c r="AT17" s="64"/>
      <c r="AU17" s="64"/>
    </row>
    <row r="18" spans="2:47" ht="12" thickBot="1" x14ac:dyDescent="0.2">
      <c r="B18" s="52" t="s">
        <v>120</v>
      </c>
      <c r="C18" s="52" t="s">
        <v>188</v>
      </c>
      <c r="E18" s="86"/>
      <c r="F18" s="86"/>
      <c r="G18" s="85"/>
      <c r="H18" s="38"/>
      <c r="I18" s="80"/>
      <c r="J18" s="65"/>
      <c r="K18" s="65"/>
      <c r="L18" s="65"/>
      <c r="M18" s="65"/>
      <c r="N18" s="65"/>
      <c r="O18" s="65"/>
      <c r="P18" s="65"/>
      <c r="Q18" s="65"/>
      <c r="R18" s="65"/>
      <c r="S18" s="65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L18" s="13" t="str">
        <f t="shared" si="0"/>
        <v/>
      </c>
      <c r="AM18" s="64"/>
      <c r="AN18" s="64"/>
      <c r="AO18" s="64"/>
      <c r="AP18" s="64"/>
      <c r="AQ18" s="64"/>
      <c r="AR18" s="64"/>
      <c r="AS18" s="64"/>
      <c r="AT18" s="64"/>
      <c r="AU18" s="64"/>
    </row>
    <row r="19" spans="2:47" ht="12" thickBot="1" x14ac:dyDescent="0.2">
      <c r="B19" s="52" t="s">
        <v>121</v>
      </c>
      <c r="C19" s="52" t="s">
        <v>122</v>
      </c>
      <c r="E19" s="86"/>
      <c r="F19" s="86"/>
      <c r="G19" s="85"/>
      <c r="H19" s="38"/>
      <c r="I19" s="80"/>
      <c r="J19" s="65"/>
      <c r="K19" s="65"/>
      <c r="L19" s="65"/>
      <c r="M19" s="65"/>
      <c r="N19" s="65"/>
      <c r="O19" s="65"/>
      <c r="P19" s="65"/>
      <c r="Q19" s="65"/>
      <c r="R19" s="65"/>
      <c r="S19" s="65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L19" s="13" t="str">
        <f t="shared" si="0"/>
        <v/>
      </c>
      <c r="AM19" s="64"/>
      <c r="AN19" s="64"/>
      <c r="AO19" s="64"/>
      <c r="AP19" s="64"/>
      <c r="AQ19" s="64"/>
      <c r="AR19" s="64"/>
      <c r="AS19" s="64"/>
      <c r="AT19" s="64"/>
      <c r="AU19" s="64"/>
    </row>
    <row r="20" spans="2:47" ht="12" thickBot="1" x14ac:dyDescent="0.2">
      <c r="B20" s="53" t="s">
        <v>184</v>
      </c>
      <c r="C20" s="53" t="s">
        <v>196</v>
      </c>
      <c r="E20" s="86"/>
      <c r="F20" s="86"/>
      <c r="G20" s="85"/>
      <c r="H20" s="38"/>
      <c r="I20" s="80"/>
      <c r="J20" s="65"/>
      <c r="K20" s="65"/>
      <c r="L20" s="65"/>
      <c r="M20" s="65"/>
      <c r="N20" s="65"/>
      <c r="O20" s="65"/>
      <c r="P20" s="65"/>
      <c r="Q20" s="65"/>
      <c r="R20" s="65"/>
      <c r="S20" s="65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L20" s="13" t="str">
        <f t="shared" si="0"/>
        <v/>
      </c>
      <c r="AM20" s="64"/>
      <c r="AN20" s="64"/>
      <c r="AO20" s="64"/>
      <c r="AP20" s="64"/>
      <c r="AQ20" s="64"/>
      <c r="AR20" s="64"/>
      <c r="AS20" s="64"/>
      <c r="AT20" s="64"/>
      <c r="AU20" s="64"/>
    </row>
    <row r="21" spans="2:47" ht="12" thickBot="1" x14ac:dyDescent="0.2">
      <c r="B21" s="56"/>
      <c r="C21" s="57"/>
      <c r="E21" s="86"/>
      <c r="F21" s="86"/>
      <c r="G21" s="85"/>
      <c r="H21" s="38"/>
      <c r="I21" s="80"/>
      <c r="J21" s="65"/>
      <c r="K21" s="65"/>
      <c r="L21" s="65"/>
      <c r="M21" s="65"/>
      <c r="N21" s="65"/>
      <c r="O21" s="65"/>
      <c r="P21" s="65"/>
      <c r="Q21" s="65"/>
      <c r="R21" s="65"/>
      <c r="S21" s="65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L21" s="13" t="str">
        <f t="shared" si="0"/>
        <v/>
      </c>
      <c r="AM21" s="64"/>
      <c r="AN21" s="64"/>
      <c r="AO21" s="64"/>
      <c r="AP21" s="64"/>
      <c r="AQ21" s="64"/>
      <c r="AR21" s="64"/>
      <c r="AS21" s="64"/>
      <c r="AT21" s="64"/>
      <c r="AU21" s="64"/>
    </row>
    <row r="22" spans="2:47" ht="12" thickBot="1" x14ac:dyDescent="0.2">
      <c r="E22" s="86"/>
      <c r="F22" s="86"/>
      <c r="G22" s="85"/>
      <c r="H22" s="38"/>
      <c r="I22" s="80"/>
      <c r="J22" s="65"/>
      <c r="K22" s="65"/>
      <c r="L22" s="65"/>
      <c r="M22" s="65"/>
      <c r="N22" s="65"/>
      <c r="O22" s="65"/>
      <c r="P22" s="65"/>
      <c r="Q22" s="65"/>
      <c r="R22" s="65"/>
      <c r="S22" s="65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L22" s="13" t="str">
        <f t="shared" si="0"/>
        <v/>
      </c>
      <c r="AM22" s="64"/>
      <c r="AN22" s="64"/>
      <c r="AO22" s="64"/>
      <c r="AP22" s="64"/>
      <c r="AQ22" s="64"/>
      <c r="AR22" s="64"/>
      <c r="AS22" s="64"/>
      <c r="AT22" s="64"/>
      <c r="AU22" s="64"/>
    </row>
    <row r="23" spans="2:47" ht="12.75" thickTop="1" thickBot="1" x14ac:dyDescent="0.2">
      <c r="B23" s="129" t="s">
        <v>204</v>
      </c>
      <c r="C23" s="129"/>
      <c r="E23" s="86"/>
      <c r="F23" s="86"/>
      <c r="G23" s="85"/>
      <c r="H23" s="38"/>
      <c r="I23" s="80"/>
      <c r="J23" s="65"/>
      <c r="K23" s="65"/>
      <c r="L23" s="65"/>
      <c r="M23" s="65"/>
      <c r="N23" s="65"/>
      <c r="O23" s="65"/>
      <c r="P23" s="65"/>
      <c r="Q23" s="65"/>
      <c r="R23" s="65"/>
      <c r="S23" s="65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L23" s="13" t="str">
        <f t="shared" si="0"/>
        <v/>
      </c>
      <c r="AM23" s="64"/>
      <c r="AN23" s="64"/>
      <c r="AO23" s="64"/>
      <c r="AP23" s="64"/>
      <c r="AQ23" s="64"/>
      <c r="AR23" s="64"/>
      <c r="AS23" s="64"/>
      <c r="AT23" s="64"/>
      <c r="AU23" s="64"/>
    </row>
    <row r="24" spans="2:47" ht="12.75" thickTop="1" thickBot="1" x14ac:dyDescent="0.2">
      <c r="B24" s="68" t="s">
        <v>202</v>
      </c>
      <c r="C24" s="69">
        <v>1</v>
      </c>
      <c r="E24" s="86"/>
      <c r="F24" s="86"/>
      <c r="G24" s="85"/>
      <c r="H24" s="38"/>
      <c r="I24" s="80"/>
      <c r="J24" s="65"/>
      <c r="K24" s="65"/>
      <c r="L24" s="65"/>
      <c r="M24" s="65"/>
      <c r="N24" s="65"/>
      <c r="O24" s="65"/>
      <c r="P24" s="65"/>
      <c r="Q24" s="65"/>
      <c r="R24" s="65"/>
      <c r="S24" s="65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L24" s="13" t="str">
        <f t="shared" si="0"/>
        <v/>
      </c>
      <c r="AM24" s="64"/>
      <c r="AN24" s="64"/>
      <c r="AO24" s="64"/>
      <c r="AP24" s="64"/>
      <c r="AQ24" s="64"/>
      <c r="AR24" s="64"/>
      <c r="AS24" s="64"/>
      <c r="AT24" s="64"/>
      <c r="AU24" s="64"/>
    </row>
    <row r="25" spans="2:47" ht="15.75" thickBot="1" x14ac:dyDescent="0.2">
      <c r="B25" s="70" t="s">
        <v>203</v>
      </c>
      <c r="C25" s="71">
        <v>1</v>
      </c>
      <c r="E25" s="86"/>
      <c r="F25" s="86"/>
      <c r="G25" s="85"/>
      <c r="H25" s="38"/>
      <c r="I25" s="80"/>
      <c r="J25" s="65"/>
      <c r="K25" s="65"/>
      <c r="L25" s="65"/>
      <c r="M25" s="65"/>
      <c r="N25" s="65"/>
      <c r="O25" s="65"/>
      <c r="P25" s="65"/>
      <c r="Q25" s="65"/>
      <c r="R25" s="65"/>
      <c r="S25" s="65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L25" s="13" t="str">
        <f t="shared" si="0"/>
        <v/>
      </c>
      <c r="AM25" s="62"/>
      <c r="AN25" s="63"/>
      <c r="AO25" s="64"/>
      <c r="AP25" s="67"/>
      <c r="AQ25" s="64"/>
      <c r="AR25" s="64"/>
      <c r="AS25" s="64"/>
      <c r="AT25" s="64"/>
      <c r="AU25" s="64"/>
    </row>
    <row r="26" spans="2:47" ht="16.5" thickTop="1" thickBot="1" x14ac:dyDescent="0.2">
      <c r="E26" s="86"/>
      <c r="F26" s="86"/>
      <c r="G26" s="85"/>
      <c r="H26" s="38"/>
      <c r="I26" s="80"/>
      <c r="J26" s="65"/>
      <c r="K26" s="65"/>
      <c r="L26" s="65"/>
      <c r="M26" s="65"/>
      <c r="N26" s="65"/>
      <c r="O26" s="65"/>
      <c r="P26" s="65"/>
      <c r="Q26" s="65"/>
      <c r="R26" s="65"/>
      <c r="S26" s="65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L26" s="13" t="str">
        <f t="shared" si="0"/>
        <v/>
      </c>
      <c r="AM26" s="62"/>
      <c r="AN26" s="63"/>
      <c r="AO26" s="64"/>
      <c r="AP26" s="67"/>
      <c r="AQ26" s="64"/>
      <c r="AR26" s="64"/>
      <c r="AS26" s="64"/>
      <c r="AT26" s="64"/>
      <c r="AU26" s="64"/>
    </row>
    <row r="27" spans="2:47" ht="12.75" thickTop="1" thickBot="1" x14ac:dyDescent="0.2">
      <c r="B27" s="129" t="s">
        <v>205</v>
      </c>
      <c r="C27" s="129"/>
      <c r="E27" s="86"/>
      <c r="F27" s="86"/>
      <c r="G27" s="85"/>
      <c r="H27" s="38"/>
      <c r="I27" s="80"/>
      <c r="J27" s="65"/>
      <c r="K27" s="65"/>
      <c r="L27" s="65"/>
      <c r="M27" s="65"/>
      <c r="N27" s="65"/>
      <c r="O27" s="65"/>
      <c r="P27" s="65"/>
      <c r="Q27" s="65"/>
      <c r="R27" s="65"/>
      <c r="S27" s="65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L27" s="13" t="str">
        <f t="shared" si="0"/>
        <v/>
      </c>
      <c r="AM27" s="64"/>
      <c r="AN27" s="64"/>
      <c r="AO27" s="64"/>
      <c r="AP27" s="64"/>
      <c r="AQ27" s="64"/>
      <c r="AR27" s="64"/>
      <c r="AS27" s="64"/>
      <c r="AT27" s="64"/>
      <c r="AU27" s="64"/>
    </row>
    <row r="28" spans="2:47" ht="12.75" thickTop="1" thickBot="1" x14ac:dyDescent="0.2">
      <c r="B28" s="68" t="s">
        <v>202</v>
      </c>
      <c r="C28" s="69">
        <v>1</v>
      </c>
      <c r="E28" s="86"/>
      <c r="F28" s="86"/>
      <c r="G28" s="85"/>
      <c r="H28" s="38"/>
      <c r="I28" s="80"/>
      <c r="J28" s="65"/>
      <c r="K28" s="65"/>
      <c r="L28" s="65"/>
      <c r="M28" s="65"/>
      <c r="N28" s="65"/>
      <c r="O28" s="65"/>
      <c r="P28" s="65"/>
      <c r="Q28" s="65"/>
      <c r="R28" s="65"/>
      <c r="S28" s="65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L28" s="13" t="str">
        <f t="shared" si="0"/>
        <v/>
      </c>
      <c r="AM28" s="64"/>
      <c r="AN28" s="64"/>
      <c r="AO28" s="64"/>
      <c r="AP28" s="64"/>
      <c r="AQ28" s="64"/>
      <c r="AR28" s="64"/>
      <c r="AS28" s="64"/>
      <c r="AT28" s="64"/>
      <c r="AU28" s="64"/>
    </row>
    <row r="29" spans="2:47" ht="15.75" thickBot="1" x14ac:dyDescent="0.3">
      <c r="B29" s="70" t="s">
        <v>203</v>
      </c>
      <c r="C29" s="71">
        <v>1</v>
      </c>
      <c r="E29" s="86"/>
      <c r="F29" s="86"/>
      <c r="G29" s="85"/>
      <c r="H29" s="38"/>
      <c r="I29"/>
      <c r="J29" s="65"/>
      <c r="K29" s="65"/>
      <c r="L29" s="65"/>
      <c r="M29" s="65"/>
      <c r="N29" s="65"/>
      <c r="O29" s="65"/>
      <c r="P29" s="65"/>
      <c r="Q29" s="65"/>
      <c r="R29" s="65"/>
      <c r="S29" s="65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L29" s="13"/>
      <c r="AM29" s="64"/>
      <c r="AN29" s="64"/>
      <c r="AO29" s="64"/>
      <c r="AP29" s="64"/>
      <c r="AQ29" s="64"/>
      <c r="AR29" s="64"/>
      <c r="AS29" s="64"/>
      <c r="AT29" s="64"/>
      <c r="AU29" s="64"/>
    </row>
    <row r="30" spans="2:47" ht="16.5" thickTop="1" thickBot="1" x14ac:dyDescent="0.3">
      <c r="E30" s="86"/>
      <c r="F30" s="86"/>
      <c r="G30" s="85"/>
      <c r="H30" s="38"/>
      <c r="I30"/>
      <c r="J30" s="65"/>
      <c r="K30" s="65"/>
      <c r="L30" s="65"/>
      <c r="M30" s="65"/>
      <c r="N30" s="65"/>
      <c r="O30" s="65"/>
      <c r="P30" s="65"/>
      <c r="Q30" s="65"/>
      <c r="R30" s="65"/>
      <c r="S30" s="65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L30" s="13"/>
      <c r="AM30" s="62"/>
      <c r="AN30" s="63"/>
      <c r="AO30" s="64"/>
      <c r="AP30" s="67"/>
      <c r="AQ30" s="64"/>
      <c r="AR30" s="64"/>
      <c r="AS30" s="64"/>
      <c r="AT30" s="64"/>
      <c r="AU30" s="64"/>
    </row>
    <row r="31" spans="2:47" ht="15" x14ac:dyDescent="0.25">
      <c r="B31" s="78"/>
      <c r="E31" s="86"/>
      <c r="F31" s="86"/>
      <c r="G31" s="85"/>
      <c r="H31" s="38"/>
      <c r="I31"/>
      <c r="P31" s="65"/>
      <c r="Q31" s="65"/>
      <c r="R31" s="65"/>
      <c r="S31" s="65"/>
    </row>
    <row r="32" spans="2:47" x14ac:dyDescent="0.15">
      <c r="E32" s="86"/>
      <c r="F32" s="86"/>
      <c r="G32" s="85"/>
      <c r="H32" s="38"/>
      <c r="U32" s="75"/>
      <c r="V32" s="75"/>
      <c r="W32" s="75"/>
      <c r="X32" s="75"/>
      <c r="Y32" s="65"/>
      <c r="AC32" s="75"/>
      <c r="AD32" s="75"/>
      <c r="AE32" s="75"/>
    </row>
    <row r="33" spans="2:45" x14ac:dyDescent="0.15">
      <c r="E33" s="86"/>
      <c r="F33" s="86"/>
      <c r="G33" s="85"/>
      <c r="H33" s="38"/>
      <c r="U33" s="75"/>
      <c r="V33" s="73"/>
      <c r="W33" s="73"/>
      <c r="X33" s="75"/>
      <c r="Y33" s="65"/>
      <c r="AC33" s="75"/>
      <c r="AD33" s="73"/>
      <c r="AE33" s="73"/>
    </row>
    <row r="34" spans="2:45" x14ac:dyDescent="0.15">
      <c r="E34" s="86"/>
      <c r="F34" s="86"/>
      <c r="G34" s="85"/>
      <c r="H34" s="38"/>
      <c r="U34" s="75"/>
      <c r="V34" s="75"/>
      <c r="W34" s="75"/>
      <c r="X34" s="65"/>
      <c r="Y34" s="65"/>
      <c r="AC34" s="75"/>
      <c r="AD34" s="75"/>
      <c r="AE34" s="75"/>
    </row>
    <row r="35" spans="2:45" ht="12" thickBot="1" x14ac:dyDescent="0.2">
      <c r="E35" s="86"/>
      <c r="F35" s="86"/>
      <c r="G35" s="85"/>
      <c r="H35" s="38"/>
      <c r="U35" s="75"/>
      <c r="V35" s="75"/>
      <c r="W35" s="65"/>
      <c r="X35" s="65"/>
      <c r="Y35" s="65"/>
      <c r="AC35" s="75"/>
      <c r="AD35" s="75"/>
      <c r="AE35" s="65"/>
    </row>
    <row r="36" spans="2:45" ht="12" thickBot="1" x14ac:dyDescent="0.2">
      <c r="I36" s="122" t="s">
        <v>132</v>
      </c>
      <c r="J36" s="122"/>
      <c r="K36" s="122"/>
      <c r="L36" s="122"/>
      <c r="M36" s="122"/>
      <c r="N36" s="122"/>
      <c r="O36" s="122"/>
      <c r="P36" s="122"/>
      <c r="Q36" s="122"/>
      <c r="R36" s="122"/>
      <c r="S36" s="123"/>
      <c r="U36" s="75"/>
      <c r="V36" s="75"/>
      <c r="W36" s="75"/>
      <c r="X36" s="75"/>
      <c r="Y36" s="65"/>
      <c r="AC36" s="75"/>
      <c r="AD36" s="75"/>
      <c r="AE36" s="75"/>
    </row>
    <row r="37" spans="2:45" ht="12" thickBot="1" x14ac:dyDescent="0.2">
      <c r="I37" s="5" t="s">
        <v>83</v>
      </c>
      <c r="J37" s="113" t="str">
        <f>J3</f>
        <v>y_u_1</v>
      </c>
      <c r="K37" s="114" t="str">
        <f t="shared" ref="K37:S37" si="1">K3</f>
        <v>p_u_1</v>
      </c>
      <c r="L37" s="114" t="str">
        <f t="shared" si="1"/>
        <v>k_p_1</v>
      </c>
      <c r="M37" s="114" t="str">
        <f>M3</f>
        <v>n_p_1</v>
      </c>
      <c r="N37" s="114" t="str">
        <f t="shared" si="1"/>
        <v>k_p_2</v>
      </c>
      <c r="O37" s="114" t="str">
        <f>O3</f>
        <v>NONE</v>
      </c>
      <c r="P37" s="114" t="str">
        <f t="shared" si="1"/>
        <v>NONE</v>
      </c>
      <c r="Q37" s="114" t="str">
        <f t="shared" si="1"/>
        <v>NONE</v>
      </c>
      <c r="R37" s="114" t="str">
        <f t="shared" si="1"/>
        <v>NONE</v>
      </c>
      <c r="S37" s="115" t="str">
        <f t="shared" si="1"/>
        <v>NONE</v>
      </c>
      <c r="U37" s="75"/>
      <c r="V37" s="73"/>
      <c r="W37" s="73"/>
      <c r="X37" s="75"/>
      <c r="Y37" s="65"/>
      <c r="AC37" s="75"/>
      <c r="AD37" s="73"/>
      <c r="AE37" s="73"/>
    </row>
    <row r="38" spans="2:45" x14ac:dyDescent="0.15">
      <c r="I38" s="119">
        <f>IF(I4="","",I4)</f>
        <v>1</v>
      </c>
      <c r="J38" s="116"/>
      <c r="K38" s="116"/>
      <c r="L38" s="117"/>
      <c r="M38" s="117"/>
      <c r="N38" s="117"/>
      <c r="O38" s="117"/>
      <c r="P38" s="117"/>
      <c r="Q38" s="117"/>
      <c r="R38" s="117"/>
      <c r="S38" s="118"/>
      <c r="U38" s="75"/>
      <c r="V38" s="75"/>
      <c r="W38" s="75"/>
      <c r="X38" s="65"/>
      <c r="Y38" s="65"/>
      <c r="AC38" s="75"/>
      <c r="AD38" s="75"/>
      <c r="AE38" s="75"/>
    </row>
    <row r="39" spans="2:45" x14ac:dyDescent="0.15">
      <c r="I39" s="16">
        <f t="shared" ref="I39:I69" si="2">IF(I5="","",I5)</f>
        <v>2</v>
      </c>
      <c r="J39" s="72"/>
      <c r="K39" s="72"/>
      <c r="L39" s="11"/>
      <c r="M39" s="11"/>
      <c r="N39" s="11"/>
      <c r="O39" s="11"/>
      <c r="P39" s="11"/>
      <c r="Q39" s="11"/>
      <c r="R39" s="11"/>
      <c r="S39" s="33"/>
      <c r="U39" s="75"/>
      <c r="V39" s="75"/>
      <c r="W39" s="65"/>
      <c r="X39" s="65"/>
      <c r="Y39" s="65"/>
      <c r="AC39" s="75"/>
      <c r="AD39" s="75"/>
      <c r="AE39" s="65"/>
    </row>
    <row r="40" spans="2:45" ht="12" thickBot="1" x14ac:dyDescent="0.2">
      <c r="I40" s="16">
        <f t="shared" si="2"/>
        <v>3</v>
      </c>
      <c r="J40" s="72"/>
      <c r="K40" s="72"/>
      <c r="L40" s="11"/>
      <c r="M40" s="11"/>
      <c r="N40" s="11"/>
      <c r="O40" s="11"/>
      <c r="P40" s="11"/>
      <c r="Q40" s="11"/>
      <c r="R40" s="11"/>
      <c r="S40" s="33"/>
      <c r="U40" s="75"/>
      <c r="V40" s="75"/>
      <c r="W40" s="75"/>
      <c r="X40" s="75"/>
      <c r="Y40" s="65"/>
      <c r="AC40" s="75"/>
      <c r="AD40" s="75"/>
      <c r="AE40" s="75"/>
    </row>
    <row r="41" spans="2:45" ht="15.75" thickBot="1" x14ac:dyDescent="0.3">
      <c r="B41" s="40" t="s">
        <v>123</v>
      </c>
      <c r="C41" s="41"/>
      <c r="I41" s="16">
        <f t="shared" si="2"/>
        <v>4</v>
      </c>
      <c r="J41" s="72"/>
      <c r="K41" s="72"/>
      <c r="L41" s="11"/>
      <c r="M41" s="11"/>
      <c r="N41" s="11"/>
      <c r="O41" s="11"/>
      <c r="P41" s="11"/>
      <c r="Q41" s="11"/>
      <c r="R41" s="11"/>
      <c r="S41" s="33"/>
      <c r="U41" s="75"/>
      <c r="V41" s="75"/>
      <c r="W41" s="75"/>
      <c r="X41" s="75"/>
      <c r="Y41" s="75"/>
      <c r="Z41" s="65"/>
      <c r="AS41"/>
    </row>
    <row r="42" spans="2:45" ht="15" x14ac:dyDescent="0.25">
      <c r="B42" s="22" t="s">
        <v>124</v>
      </c>
      <c r="C42" s="23">
        <v>0.01</v>
      </c>
      <c r="I42" s="16">
        <f t="shared" si="2"/>
        <v>5</v>
      </c>
      <c r="J42" s="72"/>
      <c r="K42" s="72"/>
      <c r="L42" s="11"/>
      <c r="M42" s="11"/>
      <c r="N42" s="11"/>
      <c r="O42" s="11"/>
      <c r="P42" s="11"/>
      <c r="Q42" s="11"/>
      <c r="R42" s="11"/>
      <c r="S42" s="33"/>
      <c r="U42" s="75"/>
      <c r="V42" s="75"/>
      <c r="W42" s="75"/>
      <c r="X42" s="75"/>
      <c r="Y42" s="75"/>
      <c r="Z42" s="65"/>
      <c r="AS42"/>
    </row>
    <row r="43" spans="2:45" ht="15" x14ac:dyDescent="0.25">
      <c r="B43" s="24" t="s">
        <v>125</v>
      </c>
      <c r="C43" s="25">
        <v>0.01</v>
      </c>
      <c r="I43" s="16">
        <f t="shared" si="2"/>
        <v>6</v>
      </c>
      <c r="J43" s="72"/>
      <c r="K43" s="72"/>
      <c r="L43" s="11"/>
      <c r="M43" s="11"/>
      <c r="N43" s="11"/>
      <c r="O43" s="11"/>
      <c r="P43" s="11"/>
      <c r="Q43" s="11"/>
      <c r="R43" s="11"/>
      <c r="S43" s="33"/>
      <c r="U43" s="75"/>
      <c r="V43" s="75"/>
      <c r="W43" s="75"/>
      <c r="X43" s="75"/>
      <c r="Y43" s="75"/>
      <c r="Z43" s="65"/>
      <c r="AS43"/>
    </row>
    <row r="44" spans="2:45" ht="15" x14ac:dyDescent="0.25">
      <c r="B44" s="26" t="s">
        <v>126</v>
      </c>
      <c r="C44" s="27">
        <v>0.01</v>
      </c>
      <c r="I44" s="16">
        <f t="shared" si="2"/>
        <v>7</v>
      </c>
      <c r="J44" s="72"/>
      <c r="K44" s="72"/>
      <c r="L44" s="11"/>
      <c r="M44" s="11"/>
      <c r="N44" s="11"/>
      <c r="O44" s="11"/>
      <c r="P44" s="11"/>
      <c r="Q44" s="11"/>
      <c r="R44" s="11"/>
      <c r="S44" s="33"/>
      <c r="U44" s="65"/>
      <c r="V44" s="75"/>
      <c r="W44" s="73"/>
      <c r="X44" s="73"/>
      <c r="Y44" s="75"/>
      <c r="Z44" s="65"/>
      <c r="AS44"/>
    </row>
    <row r="45" spans="2:45" ht="15" x14ac:dyDescent="0.25">
      <c r="B45" s="24" t="s">
        <v>127</v>
      </c>
      <c r="C45" s="108" t="s">
        <v>201</v>
      </c>
      <c r="I45" s="16">
        <f t="shared" si="2"/>
        <v>8</v>
      </c>
      <c r="J45" s="72"/>
      <c r="K45" s="72"/>
      <c r="L45" s="11"/>
      <c r="M45" s="11"/>
      <c r="N45" s="11"/>
      <c r="O45" s="11"/>
      <c r="P45" s="11"/>
      <c r="Q45" s="11"/>
      <c r="R45" s="11"/>
      <c r="S45" s="33"/>
      <c r="U45" s="75"/>
      <c r="V45" s="75"/>
      <c r="W45" s="75"/>
      <c r="X45" s="75"/>
      <c r="Y45" s="65"/>
      <c r="Z45" s="65"/>
      <c r="AS45"/>
    </row>
    <row r="46" spans="2:45" ht="15" x14ac:dyDescent="0.25">
      <c r="B46" s="24" t="s">
        <v>128</v>
      </c>
      <c r="C46" s="108" t="s">
        <v>192</v>
      </c>
      <c r="I46" s="16">
        <f t="shared" si="2"/>
        <v>9</v>
      </c>
      <c r="J46" s="72"/>
      <c r="K46" s="72"/>
      <c r="L46" s="11"/>
      <c r="M46" s="11"/>
      <c r="N46" s="11"/>
      <c r="O46" s="11"/>
      <c r="P46" s="11"/>
      <c r="Q46" s="11"/>
      <c r="R46" s="11"/>
      <c r="S46" s="33"/>
      <c r="U46" s="75"/>
      <c r="V46" s="75"/>
      <c r="W46" s="75"/>
      <c r="X46" s="65"/>
      <c r="Y46" s="65"/>
      <c r="Z46" s="65"/>
      <c r="AS46" s="1"/>
    </row>
    <row r="47" spans="2:45" ht="15" x14ac:dyDescent="0.25">
      <c r="B47" s="24" t="s">
        <v>129</v>
      </c>
      <c r="C47" s="109" t="s">
        <v>192</v>
      </c>
      <c r="I47" s="16">
        <f t="shared" si="2"/>
        <v>10</v>
      </c>
      <c r="J47" s="72"/>
      <c r="K47" s="72"/>
      <c r="L47" s="11"/>
      <c r="M47" s="11"/>
      <c r="N47" s="11"/>
      <c r="O47" s="11"/>
      <c r="P47" s="11"/>
      <c r="Q47" s="11"/>
      <c r="R47" s="11"/>
      <c r="S47" s="33"/>
      <c r="U47" s="75"/>
      <c r="V47" s="75"/>
      <c r="W47" s="75"/>
      <c r="X47" s="75"/>
      <c r="Y47" s="75"/>
      <c r="Z47" s="65"/>
      <c r="AS47"/>
    </row>
    <row r="48" spans="2:45" ht="15" x14ac:dyDescent="0.25">
      <c r="B48" s="24" t="s">
        <v>130</v>
      </c>
      <c r="C48" s="109" t="s">
        <v>192</v>
      </c>
      <c r="I48" s="16">
        <f t="shared" si="2"/>
        <v>11</v>
      </c>
      <c r="J48" s="72"/>
      <c r="K48" s="72"/>
      <c r="L48" s="11"/>
      <c r="M48" s="11"/>
      <c r="N48" s="11"/>
      <c r="O48" s="11"/>
      <c r="P48" s="11"/>
      <c r="Q48" s="11"/>
      <c r="R48" s="11"/>
      <c r="S48" s="33"/>
      <c r="U48" s="65"/>
      <c r="V48" s="75"/>
      <c r="W48" s="65"/>
      <c r="X48" s="75"/>
      <c r="Y48" s="65"/>
      <c r="Z48" s="65"/>
      <c r="AS48"/>
    </row>
    <row r="49" spans="2:45" ht="15" x14ac:dyDescent="0.25">
      <c r="B49" s="24" t="s">
        <v>131</v>
      </c>
      <c r="C49" s="109" t="s">
        <v>192</v>
      </c>
      <c r="I49" s="16" t="str">
        <f t="shared" si="2"/>
        <v/>
      </c>
      <c r="J49" s="72"/>
      <c r="K49" s="72"/>
      <c r="L49" s="11"/>
      <c r="M49" s="11"/>
      <c r="N49" s="11"/>
      <c r="O49" s="11"/>
      <c r="P49" s="11"/>
      <c r="Q49" s="11"/>
      <c r="R49" s="11"/>
      <c r="S49" s="33"/>
      <c r="U49" s="75"/>
      <c r="V49" s="75"/>
      <c r="W49" s="75"/>
      <c r="X49" s="75"/>
      <c r="Y49" s="75"/>
      <c r="Z49" s="65"/>
      <c r="AS49"/>
    </row>
    <row r="50" spans="2:45" ht="15.75" thickBot="1" x14ac:dyDescent="0.3">
      <c r="B50" s="29"/>
      <c r="C50" s="30"/>
      <c r="I50" s="16" t="str">
        <f t="shared" si="2"/>
        <v/>
      </c>
      <c r="J50" s="72"/>
      <c r="K50" s="72"/>
      <c r="L50" s="11"/>
      <c r="M50" s="11"/>
      <c r="N50" s="11"/>
      <c r="O50" s="11"/>
      <c r="P50" s="11"/>
      <c r="Q50" s="11"/>
      <c r="R50" s="11"/>
      <c r="S50" s="33"/>
      <c r="U50" s="75"/>
      <c r="V50" s="75"/>
      <c r="W50" s="75"/>
      <c r="X50" s="75"/>
      <c r="Y50" s="65"/>
      <c r="Z50" s="65"/>
      <c r="AS50"/>
    </row>
    <row r="51" spans="2:45" ht="15.75" thickBot="1" x14ac:dyDescent="0.3">
      <c r="I51" s="16" t="str">
        <f t="shared" si="2"/>
        <v/>
      </c>
      <c r="J51" s="72"/>
      <c r="K51" s="72"/>
      <c r="L51" s="11"/>
      <c r="M51" s="11"/>
      <c r="N51" s="11"/>
      <c r="O51" s="11"/>
      <c r="P51" s="11"/>
      <c r="Q51" s="11"/>
      <c r="R51" s="11"/>
      <c r="S51" s="33"/>
      <c r="U51" s="76"/>
      <c r="Y51" s="66"/>
      <c r="AS51"/>
    </row>
    <row r="52" spans="2:45" ht="15.75" thickBot="1" x14ac:dyDescent="0.3">
      <c r="B52" s="4" t="s">
        <v>389</v>
      </c>
      <c r="C52" s="4" t="s">
        <v>81</v>
      </c>
      <c r="I52" s="16" t="str">
        <f t="shared" si="2"/>
        <v/>
      </c>
      <c r="J52" s="11"/>
      <c r="K52" s="11"/>
      <c r="L52" s="11"/>
      <c r="M52" s="11"/>
      <c r="N52" s="11"/>
      <c r="O52" s="11"/>
      <c r="P52" s="11"/>
      <c r="Q52" s="11"/>
      <c r="R52" s="11"/>
      <c r="S52" s="33"/>
      <c r="U52" s="76"/>
      <c r="Y52" s="66"/>
      <c r="AS52"/>
    </row>
    <row r="53" spans="2:45" ht="15.75" thickBot="1" x14ac:dyDescent="0.3">
      <c r="B53" s="4" t="s">
        <v>397</v>
      </c>
      <c r="C53" s="4" t="s">
        <v>187</v>
      </c>
      <c r="I53" s="16" t="str">
        <f t="shared" si="2"/>
        <v/>
      </c>
      <c r="J53" s="11"/>
      <c r="K53" s="11"/>
      <c r="L53" s="11"/>
      <c r="M53" s="11"/>
      <c r="N53" s="11"/>
      <c r="O53" s="11"/>
      <c r="P53" s="11"/>
      <c r="Q53" s="11"/>
      <c r="R53" s="11"/>
      <c r="S53" s="33"/>
      <c r="U53" s="76"/>
      <c r="Y53" s="66"/>
      <c r="AS53"/>
    </row>
    <row r="54" spans="2:45" ht="15.75" thickBot="1" x14ac:dyDescent="0.3">
      <c r="B54" s="4" t="s">
        <v>245</v>
      </c>
      <c r="C54" s="4" t="s">
        <v>418</v>
      </c>
      <c r="I54" s="16" t="str">
        <f t="shared" si="2"/>
        <v/>
      </c>
      <c r="J54" s="11"/>
      <c r="K54" s="11"/>
      <c r="L54" s="11"/>
      <c r="M54" s="11"/>
      <c r="N54" s="11"/>
      <c r="O54" s="11"/>
      <c r="P54" s="11"/>
      <c r="Q54" s="11"/>
      <c r="R54" s="11"/>
      <c r="S54" s="33"/>
      <c r="U54" s="76"/>
      <c r="Y54" s="66"/>
      <c r="AS54"/>
    </row>
    <row r="55" spans="2:45" ht="15" x14ac:dyDescent="0.25">
      <c r="B55" s="4" t="s">
        <v>417</v>
      </c>
      <c r="C55" s="4">
        <v>11</v>
      </c>
      <c r="I55" s="16" t="str">
        <f t="shared" si="2"/>
        <v/>
      </c>
      <c r="J55" s="11"/>
      <c r="K55" s="11"/>
      <c r="L55" s="11"/>
      <c r="M55" s="11"/>
      <c r="N55" s="11"/>
      <c r="O55" s="11"/>
      <c r="P55" s="11"/>
      <c r="Q55" s="11"/>
      <c r="R55" s="11"/>
      <c r="S55" s="33"/>
      <c r="U55" s="76"/>
      <c r="Y55" s="66"/>
      <c r="AS55"/>
    </row>
    <row r="56" spans="2:45" ht="15" x14ac:dyDescent="0.25">
      <c r="I56" s="16" t="str">
        <f t="shared" si="2"/>
        <v/>
      </c>
      <c r="J56" s="11"/>
      <c r="K56" s="11"/>
      <c r="L56" s="11"/>
      <c r="M56" s="11"/>
      <c r="N56" s="11"/>
      <c r="O56" s="11"/>
      <c r="P56" s="11"/>
      <c r="Q56" s="11"/>
      <c r="R56" s="11"/>
      <c r="S56" s="33"/>
      <c r="U56" s="76"/>
      <c r="Y56" s="66"/>
      <c r="AS56"/>
    </row>
    <row r="57" spans="2:45" ht="15" x14ac:dyDescent="0.25">
      <c r="I57" s="16" t="str">
        <f t="shared" si="2"/>
        <v/>
      </c>
      <c r="J57" s="11"/>
      <c r="K57" s="11"/>
      <c r="L57" s="11"/>
      <c r="M57" s="11"/>
      <c r="N57" s="11"/>
      <c r="O57" s="11"/>
      <c r="P57" s="11"/>
      <c r="Q57" s="11"/>
      <c r="R57" s="11"/>
      <c r="S57" s="33"/>
      <c r="U57" s="76"/>
      <c r="AS57"/>
    </row>
    <row r="58" spans="2:45" x14ac:dyDescent="0.15">
      <c r="I58" s="16" t="str">
        <f t="shared" si="2"/>
        <v/>
      </c>
      <c r="J58" s="11"/>
      <c r="K58" s="11"/>
      <c r="L58" s="11"/>
      <c r="M58" s="11"/>
      <c r="N58" s="11"/>
      <c r="O58" s="11"/>
      <c r="P58" s="11"/>
      <c r="Q58" s="11"/>
      <c r="R58" s="11"/>
      <c r="S58" s="33"/>
      <c r="U58" s="76"/>
    </row>
    <row r="59" spans="2:45" x14ac:dyDescent="0.15">
      <c r="I59" s="16" t="str">
        <f t="shared" si="2"/>
        <v/>
      </c>
      <c r="J59" s="11"/>
      <c r="K59" s="11"/>
      <c r="L59" s="11"/>
      <c r="M59" s="11"/>
      <c r="N59" s="11"/>
      <c r="O59" s="11"/>
      <c r="P59" s="11"/>
      <c r="Q59" s="11"/>
      <c r="R59" s="11"/>
      <c r="S59" s="33"/>
      <c r="U59" s="76"/>
    </row>
    <row r="60" spans="2:45" x14ac:dyDescent="0.15">
      <c r="I60" s="16" t="str">
        <f t="shared" si="2"/>
        <v/>
      </c>
      <c r="J60" s="11"/>
      <c r="K60" s="11"/>
      <c r="L60" s="11"/>
      <c r="M60" s="11"/>
      <c r="N60" s="11"/>
      <c r="O60" s="11"/>
      <c r="P60" s="11"/>
      <c r="Q60" s="11"/>
      <c r="R60" s="11"/>
      <c r="S60" s="33"/>
      <c r="U60" s="76"/>
    </row>
    <row r="61" spans="2:45" x14ac:dyDescent="0.15">
      <c r="I61" s="16" t="str">
        <f t="shared" si="2"/>
        <v/>
      </c>
      <c r="J61" s="11"/>
      <c r="K61" s="11"/>
      <c r="L61" s="11"/>
      <c r="M61" s="11"/>
      <c r="N61" s="11"/>
      <c r="O61" s="11"/>
      <c r="P61" s="11"/>
      <c r="Q61" s="11"/>
      <c r="R61" s="11"/>
      <c r="S61" s="33"/>
    </row>
    <row r="62" spans="2:45" x14ac:dyDescent="0.15">
      <c r="I62" s="16" t="str">
        <f t="shared" si="2"/>
        <v/>
      </c>
      <c r="J62" s="11"/>
      <c r="K62" s="11"/>
      <c r="L62" s="11"/>
      <c r="M62" s="11"/>
      <c r="N62" s="11"/>
      <c r="O62" s="11"/>
      <c r="P62" s="11"/>
      <c r="Q62" s="11"/>
      <c r="R62" s="11"/>
      <c r="S62" s="33"/>
    </row>
    <row r="63" spans="2:45" x14ac:dyDescent="0.15">
      <c r="I63" s="16" t="str">
        <f t="shared" si="2"/>
        <v/>
      </c>
      <c r="J63" s="11"/>
      <c r="K63" s="11"/>
      <c r="L63" s="11"/>
      <c r="M63" s="11"/>
      <c r="N63" s="11"/>
      <c r="O63" s="11"/>
      <c r="P63" s="11"/>
      <c r="Q63" s="11"/>
      <c r="R63" s="11"/>
      <c r="S63" s="33"/>
    </row>
    <row r="64" spans="2:45" x14ac:dyDescent="0.15">
      <c r="I64" s="16" t="str">
        <f t="shared" si="2"/>
        <v/>
      </c>
      <c r="J64" s="11"/>
      <c r="K64" s="11"/>
      <c r="L64" s="11"/>
      <c r="M64" s="11"/>
      <c r="N64" s="11"/>
      <c r="O64" s="11"/>
      <c r="P64" s="11"/>
      <c r="Q64" s="11"/>
      <c r="R64" s="11"/>
      <c r="S64" s="33"/>
    </row>
    <row r="65" spans="9:19" x14ac:dyDescent="0.15">
      <c r="I65" s="16" t="str">
        <f t="shared" si="2"/>
        <v/>
      </c>
      <c r="J65" s="11"/>
      <c r="K65" s="11"/>
      <c r="L65" s="11"/>
      <c r="M65" s="11"/>
      <c r="N65" s="11"/>
      <c r="O65" s="11"/>
      <c r="P65" s="11"/>
      <c r="Q65" s="11"/>
      <c r="R65" s="11"/>
      <c r="S65" s="33"/>
    </row>
    <row r="66" spans="9:19" x14ac:dyDescent="0.15">
      <c r="I66" s="16" t="str">
        <f t="shared" si="2"/>
        <v/>
      </c>
      <c r="J66" s="11"/>
      <c r="K66" s="11"/>
      <c r="L66" s="11"/>
      <c r="M66" s="11"/>
      <c r="N66" s="11"/>
      <c r="O66" s="11"/>
      <c r="P66" s="11"/>
      <c r="Q66" s="11"/>
      <c r="R66" s="11"/>
      <c r="S66" s="33"/>
    </row>
    <row r="67" spans="9:19" x14ac:dyDescent="0.15">
      <c r="I67" s="16" t="str">
        <f t="shared" si="2"/>
        <v/>
      </c>
      <c r="J67" s="11"/>
      <c r="K67" s="11"/>
      <c r="L67" s="11"/>
      <c r="M67" s="11"/>
      <c r="N67" s="11"/>
      <c r="O67" s="11"/>
      <c r="P67" s="11"/>
      <c r="Q67" s="11"/>
      <c r="R67" s="11"/>
      <c r="S67" s="33"/>
    </row>
    <row r="68" spans="9:19" x14ac:dyDescent="0.15">
      <c r="I68" s="16" t="str">
        <f t="shared" si="2"/>
        <v/>
      </c>
      <c r="J68" s="11"/>
      <c r="K68" s="11"/>
      <c r="L68" s="11"/>
      <c r="M68" s="11"/>
      <c r="N68" s="11"/>
      <c r="O68" s="11"/>
      <c r="P68" s="11"/>
      <c r="Q68" s="11"/>
      <c r="R68" s="11"/>
      <c r="S68" s="33"/>
    </row>
    <row r="69" spans="9:19" ht="12" thickBot="1" x14ac:dyDescent="0.2">
      <c r="I69" s="120" t="str">
        <f t="shared" si="2"/>
        <v/>
      </c>
      <c r="J69" s="34"/>
      <c r="K69" s="34"/>
      <c r="L69" s="34"/>
      <c r="M69" s="34"/>
      <c r="N69" s="34"/>
      <c r="O69" s="34"/>
      <c r="P69" s="34"/>
      <c r="Q69" s="34"/>
      <c r="R69" s="34"/>
      <c r="S69" s="35"/>
    </row>
    <row r="70" spans="9:19" ht="12" thickBot="1" x14ac:dyDescent="0.2"/>
    <row r="71" spans="9:19" ht="12" thickBot="1" x14ac:dyDescent="0.2">
      <c r="I71" s="121" t="s">
        <v>133</v>
      </c>
      <c r="J71" s="122"/>
      <c r="K71" s="122"/>
      <c r="L71" s="122"/>
      <c r="M71" s="122"/>
      <c r="N71" s="122"/>
      <c r="O71" s="122"/>
      <c r="P71" s="122"/>
      <c r="Q71" s="122"/>
      <c r="R71" s="122"/>
      <c r="S71" s="123"/>
    </row>
    <row r="72" spans="9:19" ht="12" thickBot="1" x14ac:dyDescent="0.2">
      <c r="I72" s="31" t="s">
        <v>83</v>
      </c>
      <c r="J72" s="47" t="str">
        <f>J$3</f>
        <v>y_u_1</v>
      </c>
      <c r="K72" s="47" t="str">
        <f t="shared" ref="K72:S72" si="3">K$3</f>
        <v>p_u_1</v>
      </c>
      <c r="L72" s="47" t="str">
        <f t="shared" si="3"/>
        <v>k_p_1</v>
      </c>
      <c r="M72" s="47" t="str">
        <f>M$3</f>
        <v>n_p_1</v>
      </c>
      <c r="N72" s="47" t="str">
        <f t="shared" si="3"/>
        <v>k_p_2</v>
      </c>
      <c r="O72" s="47" t="str">
        <f>O$3</f>
        <v>NONE</v>
      </c>
      <c r="P72" s="47" t="str">
        <f t="shared" si="3"/>
        <v>NONE</v>
      </c>
      <c r="Q72" s="47" t="str">
        <f t="shared" si="3"/>
        <v>NONE</v>
      </c>
      <c r="R72" s="47" t="str">
        <f t="shared" si="3"/>
        <v>NONE</v>
      </c>
      <c r="S72" s="47" t="str">
        <f t="shared" si="3"/>
        <v>NONE</v>
      </c>
    </row>
    <row r="73" spans="9:19" x14ac:dyDescent="0.15">
      <c r="I73" s="119">
        <f>IF(I4="","",I4)</f>
        <v>1</v>
      </c>
      <c r="J73" s="117"/>
      <c r="K73" s="117"/>
      <c r="L73" s="117"/>
      <c r="M73" s="117"/>
      <c r="N73" s="117"/>
      <c r="O73" s="117"/>
      <c r="P73" s="117"/>
      <c r="Q73" s="117"/>
      <c r="R73" s="117"/>
      <c r="S73" s="118"/>
    </row>
    <row r="74" spans="9:19" x14ac:dyDescent="0.15">
      <c r="I74" s="16">
        <f t="shared" ref="I74:I104" si="4">IF(I5="","",I5)</f>
        <v>2</v>
      </c>
      <c r="J74" s="11"/>
      <c r="K74" s="11"/>
      <c r="L74" s="11"/>
      <c r="M74" s="11"/>
      <c r="N74" s="11"/>
      <c r="O74" s="11"/>
      <c r="P74" s="11"/>
      <c r="Q74" s="11"/>
      <c r="R74" s="11"/>
      <c r="S74" s="33"/>
    </row>
    <row r="75" spans="9:19" x14ac:dyDescent="0.15">
      <c r="I75" s="16">
        <f t="shared" si="4"/>
        <v>3</v>
      </c>
      <c r="J75" s="11"/>
      <c r="K75" s="11"/>
      <c r="L75" s="11"/>
      <c r="M75" s="11"/>
      <c r="N75" s="11"/>
      <c r="O75" s="11"/>
      <c r="P75" s="11"/>
      <c r="Q75" s="11"/>
      <c r="R75" s="11"/>
      <c r="S75" s="33"/>
    </row>
    <row r="76" spans="9:19" x14ac:dyDescent="0.15">
      <c r="I76" s="16">
        <f t="shared" si="4"/>
        <v>4</v>
      </c>
      <c r="J76" s="11"/>
      <c r="K76" s="11"/>
      <c r="L76" s="11"/>
      <c r="M76" s="11"/>
      <c r="N76" s="11"/>
      <c r="O76" s="11"/>
      <c r="P76" s="11"/>
      <c r="Q76" s="11"/>
      <c r="R76" s="11"/>
      <c r="S76" s="33"/>
    </row>
    <row r="77" spans="9:19" x14ac:dyDescent="0.15">
      <c r="I77" s="16">
        <f t="shared" si="4"/>
        <v>5</v>
      </c>
      <c r="J77" s="11"/>
      <c r="K77" s="11"/>
      <c r="L77" s="11"/>
      <c r="M77" s="11"/>
      <c r="N77" s="11"/>
      <c r="O77" s="11"/>
      <c r="P77" s="11"/>
      <c r="Q77" s="11"/>
      <c r="R77" s="11"/>
      <c r="S77" s="33"/>
    </row>
    <row r="78" spans="9:19" x14ac:dyDescent="0.15">
      <c r="I78" s="16">
        <f t="shared" si="4"/>
        <v>6</v>
      </c>
      <c r="J78" s="11"/>
      <c r="K78" s="11"/>
      <c r="L78" s="11"/>
      <c r="M78" s="11"/>
      <c r="N78" s="11"/>
      <c r="O78" s="11"/>
      <c r="P78" s="11"/>
      <c r="Q78" s="11"/>
      <c r="R78" s="11"/>
      <c r="S78" s="33"/>
    </row>
    <row r="79" spans="9:19" x14ac:dyDescent="0.15">
      <c r="I79" s="16">
        <f t="shared" si="4"/>
        <v>7</v>
      </c>
      <c r="J79" s="11"/>
      <c r="K79" s="11"/>
      <c r="L79" s="11"/>
      <c r="M79" s="11"/>
      <c r="N79" s="11"/>
      <c r="O79" s="11"/>
      <c r="P79" s="11"/>
      <c r="Q79" s="11"/>
      <c r="R79" s="11"/>
      <c r="S79" s="33"/>
    </row>
    <row r="80" spans="9:19" x14ac:dyDescent="0.15">
      <c r="I80" s="16">
        <f t="shared" si="4"/>
        <v>8</v>
      </c>
      <c r="J80" s="11"/>
      <c r="K80" s="11"/>
      <c r="L80" s="11"/>
      <c r="M80" s="11"/>
      <c r="N80" s="11"/>
      <c r="O80" s="11"/>
      <c r="P80" s="11"/>
      <c r="Q80" s="11"/>
      <c r="R80" s="11"/>
      <c r="S80" s="33"/>
    </row>
    <row r="81" spans="9:19" x14ac:dyDescent="0.15">
      <c r="I81" s="16">
        <f t="shared" si="4"/>
        <v>9</v>
      </c>
      <c r="J81" s="11"/>
      <c r="K81" s="11"/>
      <c r="L81" s="11"/>
      <c r="M81" s="11"/>
      <c r="N81" s="11"/>
      <c r="O81" s="11"/>
      <c r="P81" s="11"/>
      <c r="Q81" s="11"/>
      <c r="R81" s="11"/>
      <c r="S81" s="33"/>
    </row>
    <row r="82" spans="9:19" x14ac:dyDescent="0.15">
      <c r="I82" s="16">
        <f t="shared" si="4"/>
        <v>10</v>
      </c>
      <c r="J82" s="11"/>
      <c r="K82" s="11"/>
      <c r="L82" s="11"/>
      <c r="M82" s="11"/>
      <c r="N82" s="11"/>
      <c r="O82" s="11"/>
      <c r="P82" s="11"/>
      <c r="Q82" s="11"/>
      <c r="R82" s="11"/>
      <c r="S82" s="33"/>
    </row>
    <row r="83" spans="9:19" x14ac:dyDescent="0.15">
      <c r="I83" s="16">
        <f t="shared" si="4"/>
        <v>11</v>
      </c>
      <c r="J83" s="11"/>
      <c r="K83" s="11"/>
      <c r="L83" s="11"/>
      <c r="M83" s="11"/>
      <c r="N83" s="11"/>
      <c r="O83" s="11"/>
      <c r="P83" s="11"/>
      <c r="Q83" s="11"/>
      <c r="R83" s="11"/>
      <c r="S83" s="33"/>
    </row>
    <row r="84" spans="9:19" x14ac:dyDescent="0.15">
      <c r="I84" s="16" t="str">
        <f t="shared" si="4"/>
        <v/>
      </c>
      <c r="J84" s="11"/>
      <c r="K84" s="11"/>
      <c r="L84" s="11"/>
      <c r="M84" s="11"/>
      <c r="N84" s="11"/>
      <c r="O84" s="11"/>
      <c r="P84" s="11"/>
      <c r="Q84" s="11"/>
      <c r="R84" s="11"/>
      <c r="S84" s="33"/>
    </row>
    <row r="85" spans="9:19" x14ac:dyDescent="0.15">
      <c r="I85" s="16" t="str">
        <f t="shared" si="4"/>
        <v/>
      </c>
      <c r="J85" s="11"/>
      <c r="K85" s="11"/>
      <c r="L85" s="11"/>
      <c r="M85" s="11"/>
      <c r="N85" s="11"/>
      <c r="O85" s="11"/>
      <c r="P85" s="11"/>
      <c r="Q85" s="11"/>
      <c r="R85" s="11"/>
      <c r="S85" s="33"/>
    </row>
    <row r="86" spans="9:19" x14ac:dyDescent="0.15">
      <c r="I86" s="16" t="str">
        <f t="shared" si="4"/>
        <v/>
      </c>
      <c r="J86" s="11"/>
      <c r="K86" s="11"/>
      <c r="L86" s="11"/>
      <c r="M86" s="11"/>
      <c r="N86" s="11"/>
      <c r="O86" s="11"/>
      <c r="P86" s="11"/>
      <c r="Q86" s="11"/>
      <c r="R86" s="11"/>
      <c r="S86" s="33"/>
    </row>
    <row r="87" spans="9:19" x14ac:dyDescent="0.15">
      <c r="I87" s="16" t="str">
        <f t="shared" si="4"/>
        <v/>
      </c>
      <c r="J87" s="11"/>
      <c r="K87" s="11"/>
      <c r="L87" s="11"/>
      <c r="M87" s="11"/>
      <c r="N87" s="11"/>
      <c r="O87" s="11"/>
      <c r="P87" s="11"/>
      <c r="Q87" s="11"/>
      <c r="R87" s="11"/>
      <c r="S87" s="33"/>
    </row>
    <row r="88" spans="9:19" x14ac:dyDescent="0.15">
      <c r="I88" s="16" t="str">
        <f t="shared" si="4"/>
        <v/>
      </c>
      <c r="J88" s="11"/>
      <c r="K88" s="11"/>
      <c r="L88" s="11"/>
      <c r="M88" s="11"/>
      <c r="N88" s="11"/>
      <c r="O88" s="11"/>
      <c r="P88" s="11"/>
      <c r="Q88" s="11"/>
      <c r="R88" s="11"/>
      <c r="S88" s="33"/>
    </row>
    <row r="89" spans="9:19" x14ac:dyDescent="0.15">
      <c r="I89" s="16" t="str">
        <f t="shared" si="4"/>
        <v/>
      </c>
      <c r="J89" s="11"/>
      <c r="K89" s="11"/>
      <c r="L89" s="11"/>
      <c r="M89" s="11"/>
      <c r="N89" s="11"/>
      <c r="O89" s="11"/>
      <c r="P89" s="11"/>
      <c r="Q89" s="11"/>
      <c r="R89" s="11"/>
      <c r="S89" s="33"/>
    </row>
    <row r="90" spans="9:19" x14ac:dyDescent="0.15">
      <c r="I90" s="16" t="str">
        <f t="shared" si="4"/>
        <v/>
      </c>
      <c r="J90" s="11"/>
      <c r="K90" s="11"/>
      <c r="L90" s="11"/>
      <c r="M90" s="11"/>
      <c r="N90" s="11"/>
      <c r="O90" s="11"/>
      <c r="P90" s="11"/>
      <c r="Q90" s="11"/>
      <c r="R90" s="11"/>
      <c r="S90" s="33"/>
    </row>
    <row r="91" spans="9:19" x14ac:dyDescent="0.15">
      <c r="I91" s="16" t="str">
        <f t="shared" si="4"/>
        <v/>
      </c>
      <c r="J91" s="11"/>
      <c r="K91" s="11"/>
      <c r="L91" s="11"/>
      <c r="M91" s="11"/>
      <c r="N91" s="11"/>
      <c r="O91" s="11"/>
      <c r="P91" s="11"/>
      <c r="Q91" s="11"/>
      <c r="R91" s="11"/>
      <c r="S91" s="33"/>
    </row>
    <row r="92" spans="9:19" x14ac:dyDescent="0.15">
      <c r="I92" s="16" t="str">
        <f t="shared" si="4"/>
        <v/>
      </c>
      <c r="J92" s="11"/>
      <c r="K92" s="11"/>
      <c r="L92" s="11"/>
      <c r="M92" s="11"/>
      <c r="N92" s="11"/>
      <c r="O92" s="11"/>
      <c r="P92" s="11"/>
      <c r="Q92" s="11"/>
      <c r="R92" s="11"/>
      <c r="S92" s="33"/>
    </row>
    <row r="93" spans="9:19" x14ac:dyDescent="0.15">
      <c r="I93" s="16" t="str">
        <f t="shared" si="4"/>
        <v/>
      </c>
      <c r="J93" s="11"/>
      <c r="K93" s="11"/>
      <c r="L93" s="11"/>
      <c r="M93" s="11"/>
      <c r="N93" s="11"/>
      <c r="O93" s="11"/>
      <c r="P93" s="11"/>
      <c r="Q93" s="11"/>
      <c r="R93" s="11"/>
      <c r="S93" s="33"/>
    </row>
    <row r="94" spans="9:19" x14ac:dyDescent="0.15">
      <c r="I94" s="16" t="str">
        <f t="shared" si="4"/>
        <v/>
      </c>
      <c r="J94" s="11"/>
      <c r="K94" s="11"/>
      <c r="L94" s="11"/>
      <c r="M94" s="11"/>
      <c r="N94" s="11"/>
      <c r="O94" s="11"/>
      <c r="P94" s="11"/>
      <c r="Q94" s="11"/>
      <c r="R94" s="11"/>
      <c r="S94" s="33"/>
    </row>
    <row r="95" spans="9:19" x14ac:dyDescent="0.15">
      <c r="I95" s="16" t="str">
        <f t="shared" si="4"/>
        <v/>
      </c>
      <c r="J95" s="11"/>
      <c r="K95" s="11"/>
      <c r="L95" s="11"/>
      <c r="M95" s="11"/>
      <c r="N95" s="11"/>
      <c r="O95" s="11"/>
      <c r="P95" s="11"/>
      <c r="Q95" s="11"/>
      <c r="R95" s="11"/>
      <c r="S95" s="33"/>
    </row>
    <row r="96" spans="9:19" x14ac:dyDescent="0.15">
      <c r="I96" s="16" t="str">
        <f t="shared" si="4"/>
        <v/>
      </c>
      <c r="J96" s="11"/>
      <c r="K96" s="11"/>
      <c r="L96" s="11"/>
      <c r="M96" s="11"/>
      <c r="N96" s="11"/>
      <c r="O96" s="11"/>
      <c r="P96" s="11"/>
      <c r="Q96" s="11"/>
      <c r="R96" s="11"/>
      <c r="S96" s="33"/>
    </row>
    <row r="97" spans="9:19" x14ac:dyDescent="0.15">
      <c r="I97" s="16" t="str">
        <f t="shared" si="4"/>
        <v/>
      </c>
      <c r="J97" s="11"/>
      <c r="K97" s="11"/>
      <c r="L97" s="11"/>
      <c r="M97" s="11"/>
      <c r="N97" s="11"/>
      <c r="O97" s="11"/>
      <c r="P97" s="11"/>
      <c r="Q97" s="11"/>
      <c r="R97" s="11"/>
      <c r="S97" s="33"/>
    </row>
    <row r="98" spans="9:19" x14ac:dyDescent="0.15">
      <c r="I98" s="16" t="str">
        <f t="shared" si="4"/>
        <v/>
      </c>
      <c r="J98" s="11"/>
      <c r="K98" s="11"/>
      <c r="L98" s="11"/>
      <c r="M98" s="11"/>
      <c r="N98" s="11"/>
      <c r="O98" s="11"/>
      <c r="P98" s="11"/>
      <c r="Q98" s="11"/>
      <c r="R98" s="11"/>
      <c r="S98" s="33"/>
    </row>
    <row r="99" spans="9:19" x14ac:dyDescent="0.15">
      <c r="I99" s="16" t="str">
        <f t="shared" si="4"/>
        <v/>
      </c>
      <c r="J99" s="11"/>
      <c r="K99" s="11"/>
      <c r="L99" s="11"/>
      <c r="M99" s="11"/>
      <c r="N99" s="11"/>
      <c r="O99" s="11"/>
      <c r="P99" s="11"/>
      <c r="Q99" s="11"/>
      <c r="R99" s="11"/>
      <c r="S99" s="33"/>
    </row>
    <row r="100" spans="9:19" x14ac:dyDescent="0.15">
      <c r="I100" s="16" t="str">
        <f t="shared" si="4"/>
        <v/>
      </c>
      <c r="J100" s="11"/>
      <c r="K100" s="11"/>
      <c r="L100" s="11"/>
      <c r="M100" s="11"/>
      <c r="N100" s="11"/>
      <c r="O100" s="11"/>
      <c r="P100" s="11"/>
      <c r="Q100" s="11"/>
      <c r="R100" s="11"/>
      <c r="S100" s="33"/>
    </row>
    <row r="101" spans="9:19" x14ac:dyDescent="0.15">
      <c r="I101" s="16" t="str">
        <f t="shared" si="4"/>
        <v/>
      </c>
      <c r="J101" s="11"/>
      <c r="K101" s="11"/>
      <c r="L101" s="11"/>
      <c r="M101" s="11"/>
      <c r="N101" s="11"/>
      <c r="O101" s="11"/>
      <c r="P101" s="11"/>
      <c r="Q101" s="11"/>
      <c r="R101" s="11"/>
      <c r="S101" s="33"/>
    </row>
    <row r="102" spans="9:19" x14ac:dyDescent="0.15">
      <c r="I102" s="16" t="str">
        <f t="shared" si="4"/>
        <v/>
      </c>
      <c r="J102" s="11"/>
      <c r="K102" s="11"/>
      <c r="L102" s="11"/>
      <c r="M102" s="11"/>
      <c r="N102" s="11"/>
      <c r="O102" s="11"/>
      <c r="P102" s="11"/>
      <c r="Q102" s="11"/>
      <c r="R102" s="11"/>
      <c r="S102" s="33"/>
    </row>
    <row r="103" spans="9:19" x14ac:dyDescent="0.15">
      <c r="I103" s="16" t="str">
        <f t="shared" si="4"/>
        <v/>
      </c>
      <c r="J103" s="11"/>
      <c r="K103" s="11"/>
      <c r="L103" s="11"/>
      <c r="M103" s="11"/>
      <c r="N103" s="11"/>
      <c r="O103" s="11"/>
      <c r="P103" s="11"/>
      <c r="Q103" s="11"/>
      <c r="R103" s="11"/>
      <c r="S103" s="33"/>
    </row>
    <row r="104" spans="9:19" ht="12" thickBot="1" x14ac:dyDescent="0.2">
      <c r="I104" s="120" t="str">
        <f t="shared" si="4"/>
        <v/>
      </c>
      <c r="J104" s="34"/>
      <c r="K104" s="34"/>
      <c r="L104" s="34"/>
      <c r="M104" s="34"/>
      <c r="N104" s="34"/>
      <c r="O104" s="34"/>
      <c r="P104" s="34"/>
      <c r="Q104" s="34"/>
      <c r="R104" s="34"/>
      <c r="S104" s="35"/>
    </row>
  </sheetData>
  <mergeCells count="8">
    <mergeCell ref="I71:S71"/>
    <mergeCell ref="B2:C2"/>
    <mergeCell ref="I2:S2"/>
    <mergeCell ref="AL2:AU2"/>
    <mergeCell ref="I36:S36"/>
    <mergeCell ref="B23:C23"/>
    <mergeCell ref="B27:C27"/>
    <mergeCell ref="B11:C11"/>
  </mergeCells>
  <phoneticPr fontId="24" type="noConversion"/>
  <dataValidations count="10">
    <dataValidation type="list" allowBlank="1" showInputMessage="1" showErrorMessage="1" sqref="C9" xr:uid="{96FEC19D-CE45-487D-8C04-DAABD1C522FD}">
      <formula1>"SWR_Max, Obs_NP, Other"</formula1>
    </dataValidation>
    <dataValidation type="list" allowBlank="1" showInputMessage="1" showErrorMessage="1" sqref="C8" xr:uid="{299E9590-F2AB-40FB-950D-BFB4DA92BC68}">
      <formula1>"sqpso, lsqnonlin"</formula1>
    </dataValidation>
    <dataValidation type="list" allowBlank="1" showInputMessage="1" showErrorMessage="1" sqref="C7" xr:uid="{3DE2C077-953B-4D69-B80C-642485AA295D}">
      <formula1>"def, mom, defmud, def_mom, def_mom_defmud, mom_defmud, def_defmud"</formula1>
    </dataValidation>
    <dataValidation type="list" allowBlank="1" showInputMessage="1" showErrorMessage="1" sqref="C6" xr:uid="{53D6207A-7749-4658-96EA-68CE5DC8E881}">
      <formula1>"Vector, Scalar, PISA Method"</formula1>
    </dataValidation>
    <dataValidation type="list" allowBlank="1" showInputMessage="1" showErrorMessage="1" sqref="C5" xr:uid="{06FE7553-B02A-4DB8-8AEE-EAD80793D383}">
      <formula1>"Non-linear least square residual, Other"</formula1>
    </dataValidation>
    <dataValidation type="list" allowBlank="1" showInputMessage="1" showErrorMessage="1" sqref="C3:C4 C12:C14 C52:C53" xr:uid="{29957585-1230-4757-9D7B-26EF161F9D87}">
      <formula1>"On, Off"</formula1>
    </dataValidation>
    <dataValidation type="list" allowBlank="1" showInputMessage="1" showErrorMessage="1" sqref="C19" xr:uid="{421D5546-CAAC-4445-A494-937B3E666FB2}">
      <formula1>"p-y, m-t, Hb, Mb"</formula1>
    </dataValidation>
    <dataValidation type="list" allowBlank="1" showInputMessage="1" showErrorMessage="1" sqref="C20" xr:uid="{56722C79-A152-4203-934B-4CBD7934567F}">
      <formula1>"homogeneous,layerd"</formula1>
    </dataValidation>
    <dataValidation type="list" allowBlank="1" showInputMessage="1" showErrorMessage="1" sqref="C21" xr:uid="{0DC47EC4-9518-47B2-8D33-946686762DEF}">
      <formula1>"Sand, Clay"</formula1>
    </dataValidation>
    <dataValidation type="list" allowBlank="1" showInputMessage="1" showErrorMessage="1" sqref="AF43:AF51 V76:V86" xr:uid="{D8EA8F07-4F22-4AAB-8806-DC2A56AC4A92}">
      <formula1>#REF!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Refresh">
                <anchor moveWithCells="1" sizeWithCells="1">
                  <from>
                    <xdr:col>1</xdr:col>
                    <xdr:colOff>19050</xdr:colOff>
                    <xdr:row>34</xdr:row>
                    <xdr:rowOff>47625</xdr:rowOff>
                  </from>
                  <to>
                    <xdr:col>1</xdr:col>
                    <xdr:colOff>2181225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RefreshUpdateList">
                <anchor moveWithCells="1" sizeWithCells="1">
                  <from>
                    <xdr:col>1</xdr:col>
                    <xdr:colOff>28575</xdr:colOff>
                    <xdr:row>29</xdr:row>
                    <xdr:rowOff>190500</xdr:rowOff>
                  </from>
                  <to>
                    <xdr:col>1</xdr:col>
                    <xdr:colOff>2171700</xdr:colOff>
                    <xdr:row>33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ACF57B2-64E1-4475-B72F-B4796B42F9D6}">
          <x14:formula1>
            <xm:f>Exchange!$X$41:$X$43</xm:f>
          </x14:formula1>
          <xm:sqref>C18</xm:sqref>
        </x14:dataValidation>
        <x14:dataValidation type="list" allowBlank="1" showInputMessage="1" showErrorMessage="1" xr:uid="{20FFEB8C-CD58-4B89-931E-C6008BC0BA30}">
          <x14:formula1>
            <xm:f>Exchange!$BH$3:$BH$71</xm:f>
          </x14:formula1>
          <xm:sqref>W34:Z34 AW43:AY43 AT63:AY63 AM3:AU3 U36:AA36 J3:S3 U33:AD33</xm:sqref>
        </x14:dataValidation>
        <x14:dataValidation type="list" allowBlank="1" showInputMessage="1" showErrorMessage="1" xr:uid="{98CC90B5-8F9C-46BD-AFD5-5EAA9BB8CDFA}">
          <x14:formula1>
            <xm:f>DataFilter!$A$2:$A$189</xm:f>
          </x14:formula1>
          <xm:sqref>E4:E36</xm:sqref>
        </x14:dataValidation>
        <x14:dataValidation type="list" allowBlank="1" showInputMessage="1" showErrorMessage="1" xr:uid="{D91D42F4-4054-4DF6-A9F2-A07C89042C4D}">
          <x14:formula1>
            <xm:f>DataFilter!$B$2:$B$189</xm:f>
          </x14:formula1>
          <xm:sqref>F4:F36</xm:sqref>
        </x14:dataValidation>
        <x14:dataValidation type="list" allowBlank="1" showInputMessage="1" showErrorMessage="1" xr:uid="{E231E27B-58C8-448B-87B4-672A6BCB727B}">
          <x14:formula1>
            <xm:f>DataFilter!$C$2:$C$189</xm:f>
          </x14:formula1>
          <xm:sqref>H36 G4:G36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AD3A0-F8A4-4B32-8BA2-0375C86AABD2}">
  <sheetPr codeName="Sheet107"/>
  <dimension ref="A1:C189"/>
  <sheetViews>
    <sheetView topLeftCell="A52" workbookViewId="0">
      <selection activeCell="A73" sqref="A73"/>
    </sheetView>
  </sheetViews>
  <sheetFormatPr defaultRowHeight="15" x14ac:dyDescent="0.25"/>
  <cols>
    <col min="1" max="1" width="19.7109375" bestFit="1" customWidth="1"/>
    <col min="2" max="2" width="15.140625" bestFit="1" customWidth="1"/>
    <col min="3" max="3" width="5.85546875" bestFit="1" customWidth="1"/>
    <col min="4" max="4" width="19.42578125" bestFit="1" customWidth="1"/>
    <col min="5" max="5" width="11" bestFit="1" customWidth="1"/>
    <col min="6" max="6" width="8.140625" bestFit="1" customWidth="1"/>
    <col min="7" max="7" width="11" bestFit="1" customWidth="1"/>
    <col min="8" max="9" width="8.140625" bestFit="1" customWidth="1"/>
    <col min="10" max="10" width="8.28515625" bestFit="1" customWidth="1"/>
    <col min="11" max="11" width="12" bestFit="1" customWidth="1"/>
    <col min="12" max="13" width="12.7109375" bestFit="1" customWidth="1"/>
    <col min="14" max="14" width="8.140625" bestFit="1" customWidth="1"/>
    <col min="15" max="15" width="12.7109375" bestFit="1" customWidth="1"/>
    <col min="16" max="16" width="12" bestFit="1" customWidth="1"/>
    <col min="17" max="17" width="8.140625" bestFit="1" customWidth="1"/>
    <col min="18" max="18" width="8.28515625" bestFit="1" customWidth="1"/>
    <col min="19" max="19" width="12.7109375" bestFit="1" customWidth="1"/>
    <col min="20" max="20" width="12" bestFit="1" customWidth="1"/>
    <col min="21" max="21" width="8.28515625" bestFit="1" customWidth="1"/>
    <col min="22" max="25" width="12.42578125" bestFit="1" customWidth="1"/>
    <col min="26" max="29" width="8.85546875" bestFit="1" customWidth="1"/>
    <col min="30" max="30" width="8.7109375" bestFit="1" customWidth="1"/>
    <col min="31" max="31" width="11.7109375" bestFit="1" customWidth="1"/>
    <col min="32" max="33" width="8.7109375" bestFit="1" customWidth="1"/>
    <col min="34" max="34" width="8.85546875" bestFit="1" customWidth="1"/>
    <col min="35" max="35" width="11" bestFit="1" customWidth="1"/>
    <col min="36" max="37" width="8.85546875" bestFit="1" customWidth="1"/>
    <col min="38" max="38" width="9.28515625" bestFit="1" customWidth="1"/>
    <col min="39" max="39" width="9.7109375" bestFit="1" customWidth="1"/>
    <col min="40" max="41" width="9.28515625" bestFit="1" customWidth="1"/>
    <col min="42" max="42" width="9.5703125" bestFit="1" customWidth="1"/>
    <col min="43" max="43" width="9.7109375" bestFit="1" customWidth="1"/>
    <col min="44" max="45" width="9.5703125" bestFit="1" customWidth="1"/>
    <col min="46" max="46" width="8.28515625" bestFit="1" customWidth="1"/>
    <col min="47" max="47" width="9.7109375" bestFit="1" customWidth="1"/>
    <col min="48" max="49" width="8.28515625" bestFit="1" customWidth="1"/>
    <col min="50" max="50" width="8.42578125" bestFit="1" customWidth="1"/>
    <col min="51" max="51" width="10.7109375" bestFit="1" customWidth="1"/>
    <col min="52" max="52" width="9" bestFit="1" customWidth="1"/>
    <col min="53" max="53" width="8.42578125" bestFit="1" customWidth="1"/>
    <col min="54" max="57" width="13.7109375" bestFit="1" customWidth="1"/>
    <col min="58" max="58" width="10.140625" bestFit="1" customWidth="1"/>
    <col min="59" max="59" width="10.7109375" bestFit="1" customWidth="1"/>
    <col min="60" max="61" width="10.140625" bestFit="1" customWidth="1"/>
    <col min="62" max="65" width="10" bestFit="1" customWidth="1"/>
    <col min="66" max="69" width="10.140625" bestFit="1" customWidth="1"/>
  </cols>
  <sheetData>
    <row r="1" spans="1:3" x14ac:dyDescent="0.25">
      <c r="A1" t="s">
        <v>391</v>
      </c>
      <c r="B1" t="s">
        <v>392</v>
      </c>
      <c r="C1" t="s">
        <v>247</v>
      </c>
    </row>
    <row r="2" spans="1:3" x14ac:dyDescent="0.25">
      <c r="A2" s="77" t="s">
        <v>393</v>
      </c>
      <c r="B2" s="77" t="s">
        <v>252</v>
      </c>
      <c r="C2">
        <v>0</v>
      </c>
    </row>
    <row r="3" spans="1:3" x14ac:dyDescent="0.25">
      <c r="A3" s="77" t="s">
        <v>394</v>
      </c>
      <c r="B3" s="77" t="s">
        <v>265</v>
      </c>
      <c r="C3">
        <v>1</v>
      </c>
    </row>
    <row r="4" spans="1:3" x14ac:dyDescent="0.25">
      <c r="A4" s="77" t="s">
        <v>390</v>
      </c>
      <c r="B4" s="77" t="s">
        <v>252</v>
      </c>
      <c r="C4">
        <v>0</v>
      </c>
    </row>
    <row r="5" spans="1:3" x14ac:dyDescent="0.25">
      <c r="A5" s="77" t="s">
        <v>223</v>
      </c>
      <c r="B5" s="77" t="s">
        <v>266</v>
      </c>
      <c r="C5">
        <v>1</v>
      </c>
    </row>
    <row r="6" spans="1:3" x14ac:dyDescent="0.25">
      <c r="A6" s="77" t="s">
        <v>224</v>
      </c>
      <c r="B6" s="77" t="s">
        <v>266</v>
      </c>
      <c r="C6">
        <v>1</v>
      </c>
    </row>
    <row r="7" spans="1:3" x14ac:dyDescent="0.25">
      <c r="A7" s="77" t="s">
        <v>225</v>
      </c>
      <c r="B7" s="77" t="s">
        <v>266</v>
      </c>
      <c r="C7">
        <v>1</v>
      </c>
    </row>
    <row r="8" spans="1:3" x14ac:dyDescent="0.25">
      <c r="A8" s="77" t="s">
        <v>221</v>
      </c>
      <c r="B8" s="77" t="s">
        <v>266</v>
      </c>
      <c r="C8">
        <v>1</v>
      </c>
    </row>
    <row r="9" spans="1:3" x14ac:dyDescent="0.25">
      <c r="A9" s="77" t="s">
        <v>226</v>
      </c>
      <c r="B9" s="77" t="s">
        <v>266</v>
      </c>
      <c r="C9">
        <v>1</v>
      </c>
    </row>
    <row r="10" spans="1:3" x14ac:dyDescent="0.25">
      <c r="A10" s="77" t="s">
        <v>227</v>
      </c>
      <c r="B10" s="77" t="s">
        <v>266</v>
      </c>
      <c r="C10">
        <v>1</v>
      </c>
    </row>
    <row r="11" spans="1:3" x14ac:dyDescent="0.25">
      <c r="A11" s="77" t="s">
        <v>228</v>
      </c>
      <c r="B11" s="77" t="s">
        <v>266</v>
      </c>
      <c r="C11">
        <v>1</v>
      </c>
    </row>
    <row r="12" spans="1:3" x14ac:dyDescent="0.25">
      <c r="A12" s="77" t="s">
        <v>229</v>
      </c>
      <c r="B12" s="77" t="s">
        <v>266</v>
      </c>
      <c r="C12">
        <v>1</v>
      </c>
    </row>
    <row r="13" spans="1:3" x14ac:dyDescent="0.25">
      <c r="A13" s="77" t="s">
        <v>230</v>
      </c>
      <c r="B13" s="77" t="s">
        <v>266</v>
      </c>
      <c r="C13">
        <v>1</v>
      </c>
    </row>
    <row r="14" spans="1:3" x14ac:dyDescent="0.25">
      <c r="A14" s="77" t="s">
        <v>231</v>
      </c>
      <c r="B14" s="77" t="s">
        <v>266</v>
      </c>
      <c r="C14">
        <v>1</v>
      </c>
    </row>
    <row r="15" spans="1:3" x14ac:dyDescent="0.25">
      <c r="A15" s="77" t="s">
        <v>232</v>
      </c>
      <c r="B15" s="77" t="s">
        <v>266</v>
      </c>
      <c r="C15">
        <v>1</v>
      </c>
    </row>
    <row r="16" spans="1:3" x14ac:dyDescent="0.25">
      <c r="A16" s="77" t="s">
        <v>233</v>
      </c>
      <c r="B16" s="77" t="s">
        <v>266</v>
      </c>
      <c r="C16">
        <v>1</v>
      </c>
    </row>
    <row r="17" spans="1:3" x14ac:dyDescent="0.25">
      <c r="A17" s="77" t="s">
        <v>234</v>
      </c>
      <c r="B17" s="77" t="s">
        <v>266</v>
      </c>
      <c r="C17">
        <v>1</v>
      </c>
    </row>
    <row r="18" spans="1:3" x14ac:dyDescent="0.25">
      <c r="A18" s="77" t="s">
        <v>222</v>
      </c>
      <c r="B18" s="77" t="s">
        <v>266</v>
      </c>
      <c r="C18">
        <v>1</v>
      </c>
    </row>
    <row r="19" spans="1:3" x14ac:dyDescent="0.25">
      <c r="A19" s="77" t="s">
        <v>267</v>
      </c>
      <c r="B19" s="77" t="s">
        <v>266</v>
      </c>
      <c r="C19">
        <v>1</v>
      </c>
    </row>
    <row r="20" spans="1:3" x14ac:dyDescent="0.25">
      <c r="A20" s="77" t="s">
        <v>253</v>
      </c>
      <c r="B20" s="77" t="s">
        <v>266</v>
      </c>
      <c r="C20">
        <v>1</v>
      </c>
    </row>
    <row r="21" spans="1:3" x14ac:dyDescent="0.25">
      <c r="A21" s="77" t="s">
        <v>254</v>
      </c>
      <c r="B21" s="77" t="s">
        <v>266</v>
      </c>
      <c r="C21">
        <v>1</v>
      </c>
    </row>
    <row r="22" spans="1:3" x14ac:dyDescent="0.25">
      <c r="A22" s="77" t="s">
        <v>255</v>
      </c>
      <c r="B22" s="77" t="s">
        <v>266</v>
      </c>
      <c r="C22">
        <v>1</v>
      </c>
    </row>
    <row r="23" spans="1:3" x14ac:dyDescent="0.25">
      <c r="A23" s="77" t="s">
        <v>256</v>
      </c>
      <c r="B23" s="77" t="s">
        <v>266</v>
      </c>
      <c r="C23">
        <v>1</v>
      </c>
    </row>
    <row r="24" spans="1:3" x14ac:dyDescent="0.25">
      <c r="A24" s="77" t="s">
        <v>257</v>
      </c>
      <c r="B24" s="77" t="s">
        <v>266</v>
      </c>
      <c r="C24">
        <v>1</v>
      </c>
    </row>
    <row r="25" spans="1:3" x14ac:dyDescent="0.25">
      <c r="A25" s="77" t="s">
        <v>268</v>
      </c>
      <c r="B25" s="77" t="s">
        <v>266</v>
      </c>
      <c r="C25">
        <v>1</v>
      </c>
    </row>
    <row r="26" spans="1:3" x14ac:dyDescent="0.25">
      <c r="A26" s="77" t="s">
        <v>258</v>
      </c>
      <c r="B26" s="77" t="s">
        <v>266</v>
      </c>
      <c r="C26">
        <v>1</v>
      </c>
    </row>
    <row r="27" spans="1:3" x14ac:dyDescent="0.25">
      <c r="A27" s="77" t="s">
        <v>259</v>
      </c>
      <c r="B27" s="77" t="s">
        <v>266</v>
      </c>
      <c r="C27">
        <v>1</v>
      </c>
    </row>
    <row r="28" spans="1:3" x14ac:dyDescent="0.25">
      <c r="A28" s="77" t="s">
        <v>260</v>
      </c>
      <c r="B28" s="77" t="s">
        <v>266</v>
      </c>
      <c r="C28">
        <v>1</v>
      </c>
    </row>
    <row r="29" spans="1:3" x14ac:dyDescent="0.25">
      <c r="A29" s="77" t="s">
        <v>261</v>
      </c>
      <c r="B29" s="77" t="s">
        <v>266</v>
      </c>
      <c r="C29">
        <v>1</v>
      </c>
    </row>
    <row r="30" spans="1:3" x14ac:dyDescent="0.25">
      <c r="A30" s="77" t="s">
        <v>262</v>
      </c>
      <c r="B30" s="77" t="s">
        <v>266</v>
      </c>
      <c r="C30">
        <v>1</v>
      </c>
    </row>
    <row r="31" spans="1:3" x14ac:dyDescent="0.25">
      <c r="A31" s="77" t="s">
        <v>263</v>
      </c>
      <c r="B31" s="77" t="s">
        <v>266</v>
      </c>
      <c r="C31">
        <v>1</v>
      </c>
    </row>
    <row r="32" spans="1:3" x14ac:dyDescent="0.25">
      <c r="A32" s="77" t="s">
        <v>264</v>
      </c>
      <c r="B32" s="77" t="s">
        <v>266</v>
      </c>
      <c r="C32">
        <v>1</v>
      </c>
    </row>
    <row r="33" spans="1:3" x14ac:dyDescent="0.25">
      <c r="A33" s="77" t="s">
        <v>269</v>
      </c>
      <c r="B33" s="77" t="s">
        <v>266</v>
      </c>
      <c r="C33">
        <v>1</v>
      </c>
    </row>
    <row r="34" spans="1:3" x14ac:dyDescent="0.25">
      <c r="A34" s="77" t="s">
        <v>270</v>
      </c>
      <c r="B34" s="77" t="s">
        <v>266</v>
      </c>
      <c r="C34">
        <v>1</v>
      </c>
    </row>
    <row r="35" spans="1:3" x14ac:dyDescent="0.25">
      <c r="A35" s="77" t="s">
        <v>271</v>
      </c>
      <c r="B35" s="77" t="s">
        <v>266</v>
      </c>
      <c r="C35">
        <v>1</v>
      </c>
    </row>
    <row r="36" spans="1:3" x14ac:dyDescent="0.25">
      <c r="A36" s="77" t="s">
        <v>272</v>
      </c>
      <c r="B36" s="77" t="s">
        <v>266</v>
      </c>
      <c r="C36">
        <v>1</v>
      </c>
    </row>
    <row r="37" spans="1:3" x14ac:dyDescent="0.25">
      <c r="A37" s="77" t="s">
        <v>273</v>
      </c>
      <c r="B37" s="77" t="s">
        <v>266</v>
      </c>
      <c r="C37">
        <v>1</v>
      </c>
    </row>
    <row r="38" spans="1:3" x14ac:dyDescent="0.25">
      <c r="A38" s="77" t="s">
        <v>274</v>
      </c>
      <c r="B38" s="77" t="s">
        <v>266</v>
      </c>
      <c r="C38">
        <v>1</v>
      </c>
    </row>
    <row r="39" spans="1:3" x14ac:dyDescent="0.25">
      <c r="A39" s="77" t="s">
        <v>275</v>
      </c>
      <c r="B39" s="77" t="s">
        <v>266</v>
      </c>
      <c r="C39">
        <v>1</v>
      </c>
    </row>
    <row r="40" spans="1:3" x14ac:dyDescent="0.25">
      <c r="A40" s="77" t="s">
        <v>276</v>
      </c>
      <c r="B40" s="77" t="s">
        <v>266</v>
      </c>
      <c r="C40">
        <v>1</v>
      </c>
    </row>
    <row r="41" spans="1:3" x14ac:dyDescent="0.25">
      <c r="A41" s="77" t="s">
        <v>277</v>
      </c>
      <c r="B41" s="77" t="s">
        <v>266</v>
      </c>
      <c r="C41">
        <v>1</v>
      </c>
    </row>
    <row r="42" spans="1:3" x14ac:dyDescent="0.25">
      <c r="A42" s="77" t="s">
        <v>278</v>
      </c>
      <c r="B42" s="77" t="s">
        <v>266</v>
      </c>
      <c r="C42">
        <v>1</v>
      </c>
    </row>
    <row r="43" spans="1:3" x14ac:dyDescent="0.25">
      <c r="A43" s="77" t="s">
        <v>279</v>
      </c>
      <c r="B43" s="77" t="s">
        <v>266</v>
      </c>
      <c r="C43">
        <v>1</v>
      </c>
    </row>
    <row r="44" spans="1:3" x14ac:dyDescent="0.25">
      <c r="A44" s="77" t="s">
        <v>280</v>
      </c>
      <c r="B44" s="77" t="s">
        <v>266</v>
      </c>
      <c r="C44">
        <v>1</v>
      </c>
    </row>
    <row r="45" spans="1:3" x14ac:dyDescent="0.25">
      <c r="A45" s="77" t="s">
        <v>281</v>
      </c>
      <c r="B45" s="77" t="s">
        <v>266</v>
      </c>
      <c r="C45">
        <v>1</v>
      </c>
    </row>
    <row r="46" spans="1:3" x14ac:dyDescent="0.25">
      <c r="A46" s="77" t="s">
        <v>282</v>
      </c>
      <c r="B46" s="77" t="s">
        <v>266</v>
      </c>
      <c r="C46">
        <v>1</v>
      </c>
    </row>
    <row r="47" spans="1:3" x14ac:dyDescent="0.25">
      <c r="A47" s="77" t="s">
        <v>239</v>
      </c>
      <c r="B47" s="77" t="s">
        <v>266</v>
      </c>
      <c r="C47">
        <v>1</v>
      </c>
    </row>
    <row r="48" spans="1:3" x14ac:dyDescent="0.25">
      <c r="A48" s="77" t="s">
        <v>242</v>
      </c>
      <c r="B48" s="77" t="s">
        <v>266</v>
      </c>
      <c r="C48">
        <v>1</v>
      </c>
    </row>
    <row r="49" spans="1:3" x14ac:dyDescent="0.25">
      <c r="A49" s="77" t="s">
        <v>240</v>
      </c>
      <c r="B49" s="77" t="s">
        <v>266</v>
      </c>
      <c r="C49">
        <v>1</v>
      </c>
    </row>
    <row r="50" spans="1:3" x14ac:dyDescent="0.25">
      <c r="A50" s="77" t="s">
        <v>241</v>
      </c>
      <c r="B50" s="77" t="s">
        <v>266</v>
      </c>
      <c r="C50">
        <v>1</v>
      </c>
    </row>
    <row r="51" spans="1:3" x14ac:dyDescent="0.25">
      <c r="A51" s="77" t="s">
        <v>244</v>
      </c>
      <c r="B51" s="77" t="s">
        <v>266</v>
      </c>
      <c r="C51">
        <v>1</v>
      </c>
    </row>
    <row r="52" spans="1:3" x14ac:dyDescent="0.25">
      <c r="A52" s="77" t="s">
        <v>243</v>
      </c>
      <c r="B52" s="77" t="s">
        <v>266</v>
      </c>
      <c r="C52">
        <v>1</v>
      </c>
    </row>
    <row r="53" spans="1:3" x14ac:dyDescent="0.25">
      <c r="A53" s="77" t="s">
        <v>235</v>
      </c>
      <c r="B53" s="77" t="s">
        <v>266</v>
      </c>
      <c r="C53">
        <v>1</v>
      </c>
    </row>
    <row r="54" spans="1:3" x14ac:dyDescent="0.25">
      <c r="A54" s="77" t="s">
        <v>236</v>
      </c>
      <c r="B54" s="77" t="s">
        <v>266</v>
      </c>
      <c r="C54">
        <v>1</v>
      </c>
    </row>
    <row r="55" spans="1:3" x14ac:dyDescent="0.25">
      <c r="A55" s="77" t="s">
        <v>237</v>
      </c>
      <c r="B55" s="77" t="s">
        <v>266</v>
      </c>
      <c r="C55">
        <v>1</v>
      </c>
    </row>
    <row r="56" spans="1:3" x14ac:dyDescent="0.25">
      <c r="A56" s="77" t="s">
        <v>238</v>
      </c>
      <c r="B56" s="77" t="s">
        <v>266</v>
      </c>
      <c r="C56">
        <v>1</v>
      </c>
    </row>
    <row r="57" spans="1:3" x14ac:dyDescent="0.25">
      <c r="A57" s="77" t="s">
        <v>208</v>
      </c>
      <c r="B57" s="77" t="s">
        <v>266</v>
      </c>
      <c r="C57">
        <v>1</v>
      </c>
    </row>
    <row r="58" spans="1:3" x14ac:dyDescent="0.25">
      <c r="A58" s="77" t="s">
        <v>209</v>
      </c>
      <c r="B58" s="77" t="s">
        <v>266</v>
      </c>
      <c r="C58">
        <v>1</v>
      </c>
    </row>
    <row r="59" spans="1:3" x14ac:dyDescent="0.25">
      <c r="A59" s="77" t="s">
        <v>210</v>
      </c>
      <c r="B59" s="77" t="s">
        <v>266</v>
      </c>
      <c r="C59">
        <v>1</v>
      </c>
    </row>
    <row r="60" spans="1:3" x14ac:dyDescent="0.25">
      <c r="A60" s="77" t="s">
        <v>211</v>
      </c>
      <c r="B60" s="77" t="s">
        <v>266</v>
      </c>
      <c r="C60">
        <v>1</v>
      </c>
    </row>
    <row r="61" spans="1:3" x14ac:dyDescent="0.25">
      <c r="A61" s="77" t="s">
        <v>212</v>
      </c>
      <c r="B61" s="77" t="s">
        <v>266</v>
      </c>
      <c r="C61">
        <v>1</v>
      </c>
    </row>
    <row r="62" spans="1:3" x14ac:dyDescent="0.25">
      <c r="A62" s="77" t="s">
        <v>213</v>
      </c>
      <c r="B62" s="77" t="s">
        <v>266</v>
      </c>
      <c r="C62">
        <v>1</v>
      </c>
    </row>
    <row r="63" spans="1:3" x14ac:dyDescent="0.25">
      <c r="A63" s="77" t="s">
        <v>214</v>
      </c>
      <c r="B63" s="77" t="s">
        <v>266</v>
      </c>
      <c r="C63">
        <v>1</v>
      </c>
    </row>
    <row r="64" spans="1:3" x14ac:dyDescent="0.25">
      <c r="A64" s="77" t="s">
        <v>215</v>
      </c>
      <c r="B64" s="77" t="s">
        <v>266</v>
      </c>
      <c r="C64">
        <v>1</v>
      </c>
    </row>
    <row r="65" spans="1:3" x14ac:dyDescent="0.25">
      <c r="A65" s="77" t="s">
        <v>216</v>
      </c>
      <c r="B65" s="77" t="s">
        <v>266</v>
      </c>
      <c r="C65">
        <v>1</v>
      </c>
    </row>
    <row r="66" spans="1:3" x14ac:dyDescent="0.25">
      <c r="A66" s="77" t="s">
        <v>206</v>
      </c>
      <c r="B66" s="77" t="s">
        <v>266</v>
      </c>
      <c r="C66">
        <v>1</v>
      </c>
    </row>
    <row r="67" spans="1:3" x14ac:dyDescent="0.25">
      <c r="A67" s="77" t="s">
        <v>207</v>
      </c>
      <c r="B67" s="77" t="s">
        <v>266</v>
      </c>
      <c r="C67">
        <v>1</v>
      </c>
    </row>
    <row r="68" spans="1:3" x14ac:dyDescent="0.25">
      <c r="A68" s="77" t="s">
        <v>395</v>
      </c>
      <c r="B68" s="77" t="s">
        <v>265</v>
      </c>
      <c r="C68">
        <v>1</v>
      </c>
    </row>
    <row r="69" spans="1:3" x14ac:dyDescent="0.25">
      <c r="A69" s="77" t="s">
        <v>420</v>
      </c>
      <c r="B69" s="77" t="s">
        <v>418</v>
      </c>
      <c r="C69">
        <v>10</v>
      </c>
    </row>
    <row r="70" spans="1:3" x14ac:dyDescent="0.25">
      <c r="A70" s="77" t="s">
        <v>420</v>
      </c>
      <c r="B70" s="77" t="s">
        <v>418</v>
      </c>
      <c r="C70">
        <v>11</v>
      </c>
    </row>
    <row r="71" spans="1:3" x14ac:dyDescent="0.25">
      <c r="A71" s="77" t="s">
        <v>426</v>
      </c>
      <c r="B71" s="77" t="s">
        <v>418</v>
      </c>
      <c r="C71">
        <v>10</v>
      </c>
    </row>
    <row r="72" spans="1:3" x14ac:dyDescent="0.25">
      <c r="A72" s="77" t="s">
        <v>426</v>
      </c>
      <c r="B72" s="77" t="s">
        <v>418</v>
      </c>
      <c r="C72">
        <v>11</v>
      </c>
    </row>
    <row r="73" spans="1:3" x14ac:dyDescent="0.25">
      <c r="A73" s="77" t="s">
        <v>427</v>
      </c>
      <c r="B73" s="77" t="s">
        <v>418</v>
      </c>
      <c r="C73">
        <v>10</v>
      </c>
    </row>
    <row r="74" spans="1:3" x14ac:dyDescent="0.25">
      <c r="A74" s="77" t="s">
        <v>427</v>
      </c>
      <c r="B74" s="77" t="s">
        <v>418</v>
      </c>
      <c r="C74">
        <v>11</v>
      </c>
    </row>
    <row r="75" spans="1:3" x14ac:dyDescent="0.25">
      <c r="A75" s="77" t="s">
        <v>421</v>
      </c>
      <c r="B75" s="77" t="s">
        <v>418</v>
      </c>
      <c r="C75">
        <v>10</v>
      </c>
    </row>
    <row r="76" spans="1:3" x14ac:dyDescent="0.25">
      <c r="A76" s="77" t="s">
        <v>421</v>
      </c>
      <c r="B76" s="77" t="s">
        <v>418</v>
      </c>
      <c r="C76">
        <v>11</v>
      </c>
    </row>
    <row r="77" spans="1:3" x14ac:dyDescent="0.25">
      <c r="A77" s="77" t="s">
        <v>422</v>
      </c>
      <c r="B77" s="77" t="s">
        <v>418</v>
      </c>
      <c r="C77">
        <v>10</v>
      </c>
    </row>
    <row r="78" spans="1:3" x14ac:dyDescent="0.25">
      <c r="A78" s="77" t="s">
        <v>422</v>
      </c>
      <c r="B78" s="77" t="s">
        <v>418</v>
      </c>
      <c r="C78">
        <v>11</v>
      </c>
    </row>
    <row r="79" spans="1:3" x14ac:dyDescent="0.25">
      <c r="A79" s="77" t="s">
        <v>423</v>
      </c>
      <c r="B79" s="77" t="s">
        <v>418</v>
      </c>
      <c r="C79">
        <v>10</v>
      </c>
    </row>
    <row r="80" spans="1:3" x14ac:dyDescent="0.25">
      <c r="A80" s="77" t="s">
        <v>423</v>
      </c>
      <c r="B80" s="77" t="s">
        <v>418</v>
      </c>
      <c r="C80">
        <v>11</v>
      </c>
    </row>
    <row r="81" spans="1:3" x14ac:dyDescent="0.25">
      <c r="A81" s="77" t="s">
        <v>424</v>
      </c>
      <c r="B81" s="77" t="s">
        <v>418</v>
      </c>
      <c r="C81">
        <v>10</v>
      </c>
    </row>
    <row r="82" spans="1:3" x14ac:dyDescent="0.25">
      <c r="A82" s="77" t="s">
        <v>424</v>
      </c>
      <c r="B82" s="77" t="s">
        <v>418</v>
      </c>
      <c r="C82">
        <v>11</v>
      </c>
    </row>
    <row r="83" spans="1:3" x14ac:dyDescent="0.25">
      <c r="A83" s="77" t="s">
        <v>425</v>
      </c>
      <c r="B83" s="77" t="s">
        <v>418</v>
      </c>
      <c r="C83">
        <v>10</v>
      </c>
    </row>
    <row r="84" spans="1:3" x14ac:dyDescent="0.25">
      <c r="A84" s="77" t="s">
        <v>425</v>
      </c>
      <c r="B84" s="77" t="s">
        <v>418</v>
      </c>
      <c r="C84">
        <v>11</v>
      </c>
    </row>
    <row r="85" spans="1:3" x14ac:dyDescent="0.25">
      <c r="A85" s="77" t="s">
        <v>283</v>
      </c>
      <c r="B85" s="77" t="s">
        <v>284</v>
      </c>
      <c r="C85">
        <v>0</v>
      </c>
    </row>
    <row r="86" spans="1:3" x14ac:dyDescent="0.25">
      <c r="A86" s="77" t="s">
        <v>285</v>
      </c>
      <c r="B86" s="77" t="s">
        <v>284</v>
      </c>
      <c r="C86">
        <v>0</v>
      </c>
    </row>
    <row r="87" spans="1:3" x14ac:dyDescent="0.25">
      <c r="A87" s="77" t="s">
        <v>195</v>
      </c>
      <c r="B87" s="77" t="s">
        <v>284</v>
      </c>
      <c r="C87">
        <v>0</v>
      </c>
    </row>
    <row r="88" spans="1:3" x14ac:dyDescent="0.25">
      <c r="A88" s="77" t="s">
        <v>194</v>
      </c>
      <c r="B88" s="77" t="s">
        <v>284</v>
      </c>
      <c r="C88">
        <v>0</v>
      </c>
    </row>
    <row r="89" spans="1:3" x14ac:dyDescent="0.25">
      <c r="A89" s="77" t="s">
        <v>286</v>
      </c>
      <c r="B89" s="77" t="s">
        <v>252</v>
      </c>
      <c r="C89">
        <v>1</v>
      </c>
    </row>
    <row r="90" spans="1:3" x14ac:dyDescent="0.25">
      <c r="A90" s="77" t="s">
        <v>287</v>
      </c>
      <c r="B90" s="77" t="s">
        <v>252</v>
      </c>
      <c r="C90">
        <v>1</v>
      </c>
    </row>
    <row r="91" spans="1:3" x14ac:dyDescent="0.25">
      <c r="A91" s="77" t="s">
        <v>288</v>
      </c>
      <c r="B91" s="77" t="s">
        <v>252</v>
      </c>
      <c r="C91">
        <v>1</v>
      </c>
    </row>
    <row r="92" spans="1:3" x14ac:dyDescent="0.25">
      <c r="A92" s="77" t="s">
        <v>289</v>
      </c>
      <c r="B92" s="77" t="s">
        <v>252</v>
      </c>
      <c r="C92">
        <v>1</v>
      </c>
    </row>
    <row r="93" spans="1:3" x14ac:dyDescent="0.25">
      <c r="A93" s="77" t="s">
        <v>290</v>
      </c>
      <c r="B93" s="77" t="s">
        <v>252</v>
      </c>
      <c r="C93">
        <v>1</v>
      </c>
    </row>
    <row r="94" spans="1:3" x14ac:dyDescent="0.25">
      <c r="A94" s="77" t="s">
        <v>291</v>
      </c>
      <c r="B94" s="77" t="s">
        <v>252</v>
      </c>
      <c r="C94">
        <v>1</v>
      </c>
    </row>
    <row r="95" spans="1:3" x14ac:dyDescent="0.25">
      <c r="A95" s="77" t="s">
        <v>292</v>
      </c>
      <c r="B95" s="77" t="s">
        <v>252</v>
      </c>
      <c r="C95">
        <v>1</v>
      </c>
    </row>
    <row r="96" spans="1:3" x14ac:dyDescent="0.25">
      <c r="A96" s="77" t="s">
        <v>293</v>
      </c>
      <c r="B96" s="77" t="s">
        <v>252</v>
      </c>
      <c r="C96">
        <v>1</v>
      </c>
    </row>
    <row r="97" spans="1:3" x14ac:dyDescent="0.25">
      <c r="A97" s="77" t="s">
        <v>294</v>
      </c>
      <c r="B97" s="77" t="s">
        <v>252</v>
      </c>
      <c r="C97">
        <v>1</v>
      </c>
    </row>
    <row r="98" spans="1:3" x14ac:dyDescent="0.25">
      <c r="A98" s="77" t="s">
        <v>295</v>
      </c>
      <c r="B98" s="77" t="s">
        <v>252</v>
      </c>
      <c r="C98">
        <v>1</v>
      </c>
    </row>
    <row r="99" spans="1:3" x14ac:dyDescent="0.25">
      <c r="A99" s="77" t="s">
        <v>296</v>
      </c>
      <c r="B99" s="77" t="s">
        <v>252</v>
      </c>
      <c r="C99">
        <v>1</v>
      </c>
    </row>
    <row r="100" spans="1:3" x14ac:dyDescent="0.25">
      <c r="A100" s="77" t="s">
        <v>297</v>
      </c>
      <c r="B100" s="77" t="s">
        <v>252</v>
      </c>
      <c r="C100">
        <v>1</v>
      </c>
    </row>
    <row r="101" spans="1:3" x14ac:dyDescent="0.25">
      <c r="A101" s="77" t="s">
        <v>298</v>
      </c>
      <c r="B101" s="77" t="s">
        <v>252</v>
      </c>
      <c r="C101">
        <v>1</v>
      </c>
    </row>
    <row r="102" spans="1:3" x14ac:dyDescent="0.25">
      <c r="A102" s="77" t="s">
        <v>299</v>
      </c>
      <c r="B102" s="77" t="s">
        <v>252</v>
      </c>
      <c r="C102">
        <v>1</v>
      </c>
    </row>
    <row r="103" spans="1:3" x14ac:dyDescent="0.25">
      <c r="A103" s="77" t="s">
        <v>300</v>
      </c>
      <c r="B103" s="77" t="s">
        <v>252</v>
      </c>
      <c r="C103">
        <v>1</v>
      </c>
    </row>
    <row r="104" spans="1:3" x14ac:dyDescent="0.25">
      <c r="A104" s="77" t="s">
        <v>301</v>
      </c>
      <c r="B104" s="77" t="s">
        <v>252</v>
      </c>
      <c r="C104">
        <v>1</v>
      </c>
    </row>
    <row r="105" spans="1:3" x14ac:dyDescent="0.25">
      <c r="A105" s="77" t="s">
        <v>302</v>
      </c>
      <c r="B105" s="77" t="s">
        <v>252</v>
      </c>
      <c r="C105">
        <v>1</v>
      </c>
    </row>
    <row r="106" spans="1:3" x14ac:dyDescent="0.25">
      <c r="A106" s="77" t="s">
        <v>303</v>
      </c>
      <c r="B106" s="77" t="s">
        <v>252</v>
      </c>
      <c r="C106">
        <v>1</v>
      </c>
    </row>
    <row r="107" spans="1:3" x14ac:dyDescent="0.25">
      <c r="A107" s="77" t="s">
        <v>304</v>
      </c>
      <c r="B107" s="77" t="s">
        <v>252</v>
      </c>
      <c r="C107">
        <v>1</v>
      </c>
    </row>
    <row r="108" spans="1:3" x14ac:dyDescent="0.25">
      <c r="A108" s="77" t="s">
        <v>305</v>
      </c>
      <c r="B108" s="77" t="s">
        <v>252</v>
      </c>
      <c r="C108">
        <v>1</v>
      </c>
    </row>
    <row r="109" spans="1:3" x14ac:dyDescent="0.25">
      <c r="A109" s="77" t="s">
        <v>306</v>
      </c>
      <c r="B109" s="77" t="s">
        <v>252</v>
      </c>
      <c r="C109">
        <v>1</v>
      </c>
    </row>
    <row r="110" spans="1:3" x14ac:dyDescent="0.25">
      <c r="A110" s="77" t="s">
        <v>307</v>
      </c>
      <c r="B110" s="77" t="s">
        <v>252</v>
      </c>
      <c r="C110">
        <v>1</v>
      </c>
    </row>
    <row r="111" spans="1:3" x14ac:dyDescent="0.25">
      <c r="A111" s="77" t="s">
        <v>308</v>
      </c>
      <c r="B111" s="77" t="s">
        <v>252</v>
      </c>
      <c r="C111">
        <v>1</v>
      </c>
    </row>
    <row r="112" spans="1:3" x14ac:dyDescent="0.25">
      <c r="A112" s="77" t="s">
        <v>309</v>
      </c>
      <c r="B112" s="77" t="s">
        <v>252</v>
      </c>
      <c r="C112">
        <v>1</v>
      </c>
    </row>
    <row r="113" spans="1:3" x14ac:dyDescent="0.25">
      <c r="A113" s="77" t="s">
        <v>310</v>
      </c>
      <c r="B113" s="77" t="s">
        <v>252</v>
      </c>
      <c r="C113">
        <v>1</v>
      </c>
    </row>
    <row r="114" spans="1:3" x14ac:dyDescent="0.25">
      <c r="A114" s="77" t="s">
        <v>311</v>
      </c>
      <c r="B114" s="77" t="s">
        <v>252</v>
      </c>
      <c r="C114">
        <v>1</v>
      </c>
    </row>
    <row r="115" spans="1:3" x14ac:dyDescent="0.25">
      <c r="A115" s="77" t="s">
        <v>312</v>
      </c>
      <c r="B115" s="77" t="s">
        <v>252</v>
      </c>
      <c r="C115">
        <v>1</v>
      </c>
    </row>
    <row r="116" spans="1:3" x14ac:dyDescent="0.25">
      <c r="A116" s="77" t="s">
        <v>313</v>
      </c>
      <c r="B116" s="77" t="s">
        <v>252</v>
      </c>
      <c r="C116">
        <v>1</v>
      </c>
    </row>
    <row r="117" spans="1:3" x14ac:dyDescent="0.25">
      <c r="A117" s="77" t="s">
        <v>314</v>
      </c>
      <c r="B117" s="77" t="s">
        <v>252</v>
      </c>
      <c r="C117">
        <v>1</v>
      </c>
    </row>
    <row r="118" spans="1:3" x14ac:dyDescent="0.25">
      <c r="A118" s="77" t="s">
        <v>315</v>
      </c>
      <c r="B118" s="77" t="s">
        <v>252</v>
      </c>
      <c r="C118">
        <v>1</v>
      </c>
    </row>
    <row r="119" spans="1:3" x14ac:dyDescent="0.25">
      <c r="A119" s="77" t="s">
        <v>316</v>
      </c>
      <c r="B119" s="77" t="s">
        <v>252</v>
      </c>
      <c r="C119">
        <v>1</v>
      </c>
    </row>
    <row r="120" spans="1:3" x14ac:dyDescent="0.25">
      <c r="A120" s="77" t="s">
        <v>317</v>
      </c>
      <c r="B120" s="77" t="s">
        <v>252</v>
      </c>
      <c r="C120">
        <v>1</v>
      </c>
    </row>
    <row r="121" spans="1:3" x14ac:dyDescent="0.25">
      <c r="A121" s="77" t="s">
        <v>318</v>
      </c>
      <c r="B121" s="77" t="s">
        <v>252</v>
      </c>
      <c r="C121">
        <v>1</v>
      </c>
    </row>
    <row r="122" spans="1:3" x14ac:dyDescent="0.25">
      <c r="A122" s="77" t="s">
        <v>319</v>
      </c>
      <c r="B122" s="77" t="s">
        <v>252</v>
      </c>
      <c r="C122">
        <v>1</v>
      </c>
    </row>
    <row r="123" spans="1:3" x14ac:dyDescent="0.25">
      <c r="A123" s="77" t="s">
        <v>320</v>
      </c>
      <c r="B123" s="77" t="s">
        <v>252</v>
      </c>
      <c r="C123">
        <v>1</v>
      </c>
    </row>
    <row r="124" spans="1:3" x14ac:dyDescent="0.25">
      <c r="A124" s="77" t="s">
        <v>321</v>
      </c>
      <c r="B124" s="77" t="s">
        <v>252</v>
      </c>
      <c r="C124">
        <v>1</v>
      </c>
    </row>
    <row r="125" spans="1:3" x14ac:dyDescent="0.25">
      <c r="A125" s="77" t="s">
        <v>322</v>
      </c>
      <c r="B125" s="77" t="s">
        <v>252</v>
      </c>
      <c r="C125">
        <v>1</v>
      </c>
    </row>
    <row r="126" spans="1:3" x14ac:dyDescent="0.25">
      <c r="A126" s="77" t="s">
        <v>323</v>
      </c>
      <c r="B126" s="77" t="s">
        <v>252</v>
      </c>
      <c r="C126">
        <v>1</v>
      </c>
    </row>
    <row r="127" spans="1:3" x14ac:dyDescent="0.25">
      <c r="A127" s="77" t="s">
        <v>324</v>
      </c>
      <c r="B127" s="77" t="s">
        <v>252</v>
      </c>
      <c r="C127">
        <v>1</v>
      </c>
    </row>
    <row r="128" spans="1:3" x14ac:dyDescent="0.25">
      <c r="A128" s="77" t="s">
        <v>325</v>
      </c>
      <c r="B128" s="77" t="s">
        <v>252</v>
      </c>
      <c r="C128">
        <v>1</v>
      </c>
    </row>
    <row r="129" spans="1:3" x14ac:dyDescent="0.25">
      <c r="A129" s="77" t="s">
        <v>326</v>
      </c>
      <c r="B129" s="77" t="s">
        <v>252</v>
      </c>
      <c r="C129">
        <v>1</v>
      </c>
    </row>
    <row r="130" spans="1:3" x14ac:dyDescent="0.25">
      <c r="A130" s="77" t="s">
        <v>327</v>
      </c>
      <c r="B130" s="77" t="s">
        <v>252</v>
      </c>
      <c r="C130">
        <v>1</v>
      </c>
    </row>
    <row r="131" spans="1:3" x14ac:dyDescent="0.25">
      <c r="A131" s="77" t="s">
        <v>328</v>
      </c>
      <c r="B131" s="77" t="s">
        <v>252</v>
      </c>
      <c r="C131">
        <v>1</v>
      </c>
    </row>
    <row r="132" spans="1:3" x14ac:dyDescent="0.25">
      <c r="A132" s="77" t="s">
        <v>329</v>
      </c>
      <c r="B132" s="77" t="s">
        <v>252</v>
      </c>
      <c r="C132">
        <v>1</v>
      </c>
    </row>
    <row r="133" spans="1:3" x14ac:dyDescent="0.25">
      <c r="A133" s="77" t="s">
        <v>330</v>
      </c>
      <c r="B133" s="77" t="s">
        <v>252</v>
      </c>
      <c r="C133">
        <v>1</v>
      </c>
    </row>
    <row r="134" spans="1:3" x14ac:dyDescent="0.25">
      <c r="A134" s="77" t="s">
        <v>331</v>
      </c>
      <c r="B134" s="77" t="s">
        <v>252</v>
      </c>
      <c r="C134">
        <v>1</v>
      </c>
    </row>
    <row r="135" spans="1:3" x14ac:dyDescent="0.25">
      <c r="A135" s="77" t="s">
        <v>332</v>
      </c>
      <c r="B135" s="77" t="s">
        <v>252</v>
      </c>
      <c r="C135">
        <v>1</v>
      </c>
    </row>
    <row r="136" spans="1:3" x14ac:dyDescent="0.25">
      <c r="A136" s="77" t="s">
        <v>333</v>
      </c>
      <c r="B136" s="77" t="s">
        <v>252</v>
      </c>
      <c r="C136">
        <v>1</v>
      </c>
    </row>
    <row r="137" spans="1:3" x14ac:dyDescent="0.25">
      <c r="A137" s="77" t="s">
        <v>334</v>
      </c>
      <c r="B137" s="77" t="s">
        <v>252</v>
      </c>
      <c r="C137">
        <v>1</v>
      </c>
    </row>
    <row r="138" spans="1:3" x14ac:dyDescent="0.25">
      <c r="A138" s="77" t="s">
        <v>335</v>
      </c>
      <c r="B138" s="77" t="s">
        <v>252</v>
      </c>
      <c r="C138">
        <v>1</v>
      </c>
    </row>
    <row r="139" spans="1:3" x14ac:dyDescent="0.25">
      <c r="A139" s="77" t="s">
        <v>336</v>
      </c>
      <c r="B139" s="77" t="s">
        <v>252</v>
      </c>
      <c r="C139">
        <v>1</v>
      </c>
    </row>
    <row r="140" spans="1:3" x14ac:dyDescent="0.25">
      <c r="A140" s="77" t="s">
        <v>337</v>
      </c>
      <c r="B140" s="77" t="s">
        <v>252</v>
      </c>
      <c r="C140">
        <v>1</v>
      </c>
    </row>
    <row r="141" spans="1:3" x14ac:dyDescent="0.25">
      <c r="A141" s="77" t="s">
        <v>338</v>
      </c>
      <c r="B141" s="77" t="s">
        <v>252</v>
      </c>
      <c r="C141">
        <v>1</v>
      </c>
    </row>
    <row r="142" spans="1:3" x14ac:dyDescent="0.25">
      <c r="A142" s="77" t="s">
        <v>339</v>
      </c>
      <c r="B142" s="77" t="s">
        <v>252</v>
      </c>
      <c r="C142">
        <v>1</v>
      </c>
    </row>
    <row r="143" spans="1:3" x14ac:dyDescent="0.25">
      <c r="A143" s="77" t="s">
        <v>340</v>
      </c>
      <c r="B143" s="77" t="s">
        <v>252</v>
      </c>
      <c r="C143">
        <v>1</v>
      </c>
    </row>
    <row r="144" spans="1:3" x14ac:dyDescent="0.25">
      <c r="A144" s="77" t="s">
        <v>341</v>
      </c>
      <c r="B144" s="77" t="s">
        <v>252</v>
      </c>
      <c r="C144">
        <v>1</v>
      </c>
    </row>
    <row r="145" spans="1:3" x14ac:dyDescent="0.25">
      <c r="A145" s="77" t="s">
        <v>342</v>
      </c>
      <c r="B145" s="77" t="s">
        <v>252</v>
      </c>
      <c r="C145">
        <v>1</v>
      </c>
    </row>
    <row r="146" spans="1:3" x14ac:dyDescent="0.25">
      <c r="A146" s="77" t="s">
        <v>343</v>
      </c>
      <c r="B146" s="77" t="s">
        <v>252</v>
      </c>
      <c r="C146">
        <v>1</v>
      </c>
    </row>
    <row r="147" spans="1:3" x14ac:dyDescent="0.25">
      <c r="A147" s="77" t="s">
        <v>344</v>
      </c>
      <c r="B147" s="77" t="s">
        <v>252</v>
      </c>
      <c r="C147">
        <v>1</v>
      </c>
    </row>
    <row r="148" spans="1:3" x14ac:dyDescent="0.25">
      <c r="A148" s="77" t="s">
        <v>345</v>
      </c>
      <c r="B148" s="77" t="s">
        <v>252</v>
      </c>
      <c r="C148">
        <v>1</v>
      </c>
    </row>
    <row r="149" spans="1:3" x14ac:dyDescent="0.25">
      <c r="A149" s="77" t="s">
        <v>346</v>
      </c>
      <c r="B149" s="77" t="s">
        <v>252</v>
      </c>
      <c r="C149">
        <v>1</v>
      </c>
    </row>
    <row r="150" spans="1:3" x14ac:dyDescent="0.25">
      <c r="A150" s="77" t="s">
        <v>347</v>
      </c>
      <c r="B150" s="77" t="s">
        <v>252</v>
      </c>
      <c r="C150">
        <v>1</v>
      </c>
    </row>
    <row r="151" spans="1:3" x14ac:dyDescent="0.25">
      <c r="A151" s="77" t="s">
        <v>348</v>
      </c>
      <c r="B151" s="77" t="s">
        <v>252</v>
      </c>
      <c r="C151">
        <v>1</v>
      </c>
    </row>
    <row r="152" spans="1:3" x14ac:dyDescent="0.25">
      <c r="A152" s="77" t="s">
        <v>349</v>
      </c>
      <c r="B152" s="77" t="s">
        <v>252</v>
      </c>
      <c r="C152">
        <v>1</v>
      </c>
    </row>
    <row r="153" spans="1:3" x14ac:dyDescent="0.25">
      <c r="A153" s="77" t="s">
        <v>350</v>
      </c>
      <c r="B153" s="77" t="s">
        <v>252</v>
      </c>
      <c r="C153">
        <v>1</v>
      </c>
    </row>
    <row r="154" spans="1:3" x14ac:dyDescent="0.25">
      <c r="A154" s="77" t="s">
        <v>351</v>
      </c>
      <c r="B154" s="77" t="s">
        <v>252</v>
      </c>
      <c r="C154">
        <v>1</v>
      </c>
    </row>
    <row r="155" spans="1:3" x14ac:dyDescent="0.25">
      <c r="A155" s="77" t="s">
        <v>352</v>
      </c>
      <c r="B155" s="77" t="s">
        <v>252</v>
      </c>
      <c r="C155">
        <v>1</v>
      </c>
    </row>
    <row r="156" spans="1:3" x14ac:dyDescent="0.25">
      <c r="A156" s="77" t="s">
        <v>353</v>
      </c>
      <c r="B156" s="77" t="s">
        <v>252</v>
      </c>
      <c r="C156">
        <v>1</v>
      </c>
    </row>
    <row r="157" spans="1:3" x14ac:dyDescent="0.25">
      <c r="A157" s="77" t="s">
        <v>354</v>
      </c>
      <c r="B157" s="77" t="s">
        <v>252</v>
      </c>
      <c r="C157">
        <v>1</v>
      </c>
    </row>
    <row r="158" spans="1:3" x14ac:dyDescent="0.25">
      <c r="A158" s="77" t="s">
        <v>355</v>
      </c>
      <c r="B158" s="77" t="s">
        <v>252</v>
      </c>
      <c r="C158">
        <v>1</v>
      </c>
    </row>
    <row r="159" spans="1:3" x14ac:dyDescent="0.25">
      <c r="A159" s="77" t="s">
        <v>356</v>
      </c>
      <c r="B159" s="77" t="s">
        <v>252</v>
      </c>
      <c r="C159">
        <v>1</v>
      </c>
    </row>
    <row r="160" spans="1:3" x14ac:dyDescent="0.25">
      <c r="A160" s="77" t="s">
        <v>357</v>
      </c>
      <c r="B160" s="77" t="s">
        <v>252</v>
      </c>
      <c r="C160">
        <v>1</v>
      </c>
    </row>
    <row r="161" spans="1:3" x14ac:dyDescent="0.25">
      <c r="A161" s="77" t="s">
        <v>358</v>
      </c>
      <c r="B161" s="77" t="s">
        <v>252</v>
      </c>
      <c r="C161">
        <v>1</v>
      </c>
    </row>
    <row r="162" spans="1:3" x14ac:dyDescent="0.25">
      <c r="A162" s="77" t="s">
        <v>359</v>
      </c>
      <c r="B162" s="77" t="s">
        <v>252</v>
      </c>
      <c r="C162">
        <v>1</v>
      </c>
    </row>
    <row r="163" spans="1:3" x14ac:dyDescent="0.25">
      <c r="A163" s="77" t="s">
        <v>360</v>
      </c>
      <c r="B163" s="77" t="s">
        <v>252</v>
      </c>
      <c r="C163">
        <v>1</v>
      </c>
    </row>
    <row r="164" spans="1:3" x14ac:dyDescent="0.25">
      <c r="A164" s="77" t="s">
        <v>361</v>
      </c>
      <c r="B164" s="77" t="s">
        <v>252</v>
      </c>
      <c r="C164">
        <v>1</v>
      </c>
    </row>
    <row r="165" spans="1:3" x14ac:dyDescent="0.25">
      <c r="A165" s="77" t="s">
        <v>362</v>
      </c>
      <c r="B165" s="77" t="s">
        <v>252</v>
      </c>
      <c r="C165">
        <v>1</v>
      </c>
    </row>
    <row r="166" spans="1:3" x14ac:dyDescent="0.25">
      <c r="A166" s="77" t="s">
        <v>363</v>
      </c>
      <c r="B166" s="77" t="s">
        <v>252</v>
      </c>
      <c r="C166">
        <v>1</v>
      </c>
    </row>
    <row r="167" spans="1:3" x14ac:dyDescent="0.25">
      <c r="A167" s="77" t="s">
        <v>364</v>
      </c>
      <c r="B167" s="77" t="s">
        <v>252</v>
      </c>
      <c r="C167">
        <v>1</v>
      </c>
    </row>
    <row r="168" spans="1:3" x14ac:dyDescent="0.25">
      <c r="A168" s="77" t="s">
        <v>365</v>
      </c>
      <c r="B168" s="77" t="s">
        <v>252</v>
      </c>
      <c r="C168">
        <v>1</v>
      </c>
    </row>
    <row r="169" spans="1:3" x14ac:dyDescent="0.25">
      <c r="A169" s="77" t="s">
        <v>366</v>
      </c>
      <c r="B169" s="77" t="s">
        <v>252</v>
      </c>
      <c r="C169">
        <v>1</v>
      </c>
    </row>
    <row r="170" spans="1:3" x14ac:dyDescent="0.25">
      <c r="A170" s="77" t="s">
        <v>367</v>
      </c>
      <c r="B170" s="77" t="s">
        <v>252</v>
      </c>
      <c r="C170">
        <v>1</v>
      </c>
    </row>
    <row r="171" spans="1:3" x14ac:dyDescent="0.25">
      <c r="A171" s="77" t="s">
        <v>368</v>
      </c>
      <c r="B171" s="77" t="s">
        <v>252</v>
      </c>
      <c r="C171">
        <v>1</v>
      </c>
    </row>
    <row r="172" spans="1:3" x14ac:dyDescent="0.25">
      <c r="A172" s="77" t="s">
        <v>369</v>
      </c>
      <c r="B172" s="77" t="s">
        <v>252</v>
      </c>
      <c r="C172">
        <v>1</v>
      </c>
    </row>
    <row r="173" spans="1:3" x14ac:dyDescent="0.25">
      <c r="A173" s="77" t="s">
        <v>370</v>
      </c>
      <c r="B173" s="77" t="s">
        <v>252</v>
      </c>
      <c r="C173">
        <v>1</v>
      </c>
    </row>
    <row r="174" spans="1:3" x14ac:dyDescent="0.25">
      <c r="A174" s="77" t="s">
        <v>371</v>
      </c>
      <c r="B174" s="77" t="s">
        <v>252</v>
      </c>
      <c r="C174">
        <v>1</v>
      </c>
    </row>
    <row r="175" spans="1:3" x14ac:dyDescent="0.25">
      <c r="A175" s="77" t="s">
        <v>372</v>
      </c>
      <c r="B175" s="77" t="s">
        <v>252</v>
      </c>
      <c r="C175">
        <v>1</v>
      </c>
    </row>
    <row r="176" spans="1:3" x14ac:dyDescent="0.25">
      <c r="A176" s="77" t="s">
        <v>373</v>
      </c>
      <c r="B176" s="77" t="s">
        <v>252</v>
      </c>
      <c r="C176">
        <v>1</v>
      </c>
    </row>
    <row r="177" spans="1:3" x14ac:dyDescent="0.25">
      <c r="A177" s="77" t="s">
        <v>374</v>
      </c>
      <c r="B177" s="77" t="s">
        <v>252</v>
      </c>
      <c r="C177">
        <v>1</v>
      </c>
    </row>
    <row r="178" spans="1:3" x14ac:dyDescent="0.25">
      <c r="A178" s="77" t="s">
        <v>375</v>
      </c>
      <c r="B178" s="77" t="s">
        <v>252</v>
      </c>
      <c r="C178">
        <v>1</v>
      </c>
    </row>
    <row r="179" spans="1:3" x14ac:dyDescent="0.25">
      <c r="A179" s="77" t="s">
        <v>376</v>
      </c>
      <c r="B179" s="77" t="s">
        <v>252</v>
      </c>
      <c r="C179">
        <v>1</v>
      </c>
    </row>
    <row r="180" spans="1:3" x14ac:dyDescent="0.25">
      <c r="A180" s="77" t="s">
        <v>377</v>
      </c>
      <c r="B180" s="77" t="s">
        <v>252</v>
      </c>
      <c r="C180">
        <v>1</v>
      </c>
    </row>
    <row r="181" spans="1:3" x14ac:dyDescent="0.25">
      <c r="A181" s="77" t="s">
        <v>378</v>
      </c>
      <c r="B181" s="77" t="s">
        <v>252</v>
      </c>
      <c r="C181">
        <v>1</v>
      </c>
    </row>
    <row r="182" spans="1:3" x14ac:dyDescent="0.25">
      <c r="A182" s="77" t="s">
        <v>379</v>
      </c>
      <c r="B182" s="77" t="s">
        <v>252</v>
      </c>
      <c r="C182">
        <v>1</v>
      </c>
    </row>
    <row r="183" spans="1:3" x14ac:dyDescent="0.25">
      <c r="A183" s="77" t="s">
        <v>380</v>
      </c>
      <c r="B183" s="77" t="s">
        <v>252</v>
      </c>
      <c r="C183">
        <v>1</v>
      </c>
    </row>
    <row r="184" spans="1:3" x14ac:dyDescent="0.25">
      <c r="A184" s="77" t="s">
        <v>381</v>
      </c>
      <c r="B184" s="77" t="s">
        <v>252</v>
      </c>
      <c r="C184">
        <v>1</v>
      </c>
    </row>
    <row r="185" spans="1:3" x14ac:dyDescent="0.25">
      <c r="A185" s="77" t="s">
        <v>382</v>
      </c>
      <c r="B185" s="77" t="s">
        <v>252</v>
      </c>
      <c r="C185">
        <v>1</v>
      </c>
    </row>
    <row r="186" spans="1:3" x14ac:dyDescent="0.25">
      <c r="A186" s="77" t="s">
        <v>383</v>
      </c>
      <c r="B186" s="77" t="s">
        <v>252</v>
      </c>
      <c r="C186">
        <v>1</v>
      </c>
    </row>
    <row r="187" spans="1:3" x14ac:dyDescent="0.25">
      <c r="A187" s="77" t="s">
        <v>384</v>
      </c>
      <c r="B187" s="77" t="s">
        <v>252</v>
      </c>
      <c r="C187">
        <v>1</v>
      </c>
    </row>
    <row r="188" spans="1:3" x14ac:dyDescent="0.25">
      <c r="A188" s="77" t="s">
        <v>385</v>
      </c>
      <c r="B188" s="77" t="s">
        <v>252</v>
      </c>
      <c r="C188">
        <v>1</v>
      </c>
    </row>
    <row r="189" spans="1:3" x14ac:dyDescent="0.25">
      <c r="A189" s="77" t="s">
        <v>396</v>
      </c>
      <c r="B189" s="77" t="s">
        <v>265</v>
      </c>
      <c r="C189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7C1E1-B706-4AB3-9221-270BE6FF0ADF}">
  <sheetPr codeName="Sheet1"/>
  <dimension ref="A1:BQ8"/>
  <sheetViews>
    <sheetView zoomScale="78" workbookViewId="0"/>
  </sheetViews>
  <sheetFormatPr defaultRowHeight="15" x14ac:dyDescent="0.25"/>
  <cols>
    <col min="1" max="1" width="13.140625" bestFit="1" customWidth="1"/>
    <col min="2" max="2" width="10" bestFit="1" customWidth="1"/>
    <col min="3" max="3" width="6.5703125" bestFit="1" customWidth="1"/>
    <col min="4" max="4" width="24.5703125" bestFit="1" customWidth="1"/>
    <col min="5" max="5" width="11.42578125" bestFit="1" customWidth="1"/>
    <col min="6" max="6" width="8.5703125" bestFit="1" customWidth="1"/>
    <col min="7" max="7" width="9" bestFit="1" customWidth="1"/>
    <col min="8" max="10" width="8.7109375" bestFit="1" customWidth="1"/>
    <col min="11" max="13" width="9" bestFit="1" customWidth="1"/>
    <col min="14" max="14" width="8.5703125" bestFit="1" customWidth="1"/>
    <col min="15" max="15" width="8.7109375" bestFit="1" customWidth="1"/>
    <col min="16" max="16" width="10" bestFit="1" customWidth="1"/>
    <col min="17" max="18" width="8.7109375" bestFit="1" customWidth="1"/>
    <col min="19" max="19" width="11.140625" bestFit="1" customWidth="1"/>
    <col min="20" max="21" width="9" bestFit="1" customWidth="1"/>
    <col min="22" max="22" width="12.7109375" bestFit="1" customWidth="1"/>
    <col min="23" max="25" width="13" bestFit="1" customWidth="1"/>
    <col min="26" max="26" width="9.28515625" bestFit="1" customWidth="1"/>
    <col min="27" max="27" width="10.5703125" bestFit="1" customWidth="1"/>
    <col min="28" max="29" width="9.42578125" bestFit="1" customWidth="1"/>
    <col min="30" max="30" width="9.140625" bestFit="1" customWidth="1"/>
    <col min="31" max="34" width="9.28515625" bestFit="1" customWidth="1"/>
    <col min="35" max="37" width="9.42578125" bestFit="1" customWidth="1"/>
    <col min="38" max="38" width="9.7109375" bestFit="1" customWidth="1"/>
    <col min="39" max="39" width="10.5703125" bestFit="1" customWidth="1"/>
    <col min="40" max="41" width="9.85546875" bestFit="1" customWidth="1"/>
    <col min="42" max="42" width="10" bestFit="1" customWidth="1"/>
    <col min="43" max="43" width="10.5703125" bestFit="1" customWidth="1"/>
    <col min="44" max="45" width="10.28515625" bestFit="1" customWidth="1"/>
    <col min="46" max="46" width="8.7109375" bestFit="1" customWidth="1"/>
    <col min="47" max="47" width="10.5703125" bestFit="1" customWidth="1"/>
    <col min="48" max="50" width="9" bestFit="1" customWidth="1"/>
    <col min="51" max="51" width="11.7109375" bestFit="1" customWidth="1"/>
    <col min="52" max="52" width="10" bestFit="1" customWidth="1"/>
    <col min="53" max="53" width="9.140625" bestFit="1" customWidth="1"/>
    <col min="54" max="54" width="14" bestFit="1" customWidth="1"/>
    <col min="55" max="57" width="14.28515625" bestFit="1" customWidth="1"/>
    <col min="58" max="58" width="10.5703125" bestFit="1" customWidth="1"/>
    <col min="59" max="59" width="11.7109375" bestFit="1" customWidth="1"/>
    <col min="60" max="61" width="10.7109375" bestFit="1" customWidth="1"/>
    <col min="62" max="62" width="10.42578125" bestFit="1" customWidth="1"/>
    <col min="63" max="66" width="10.5703125" bestFit="1" customWidth="1"/>
    <col min="67" max="68" width="10.7109375" bestFit="1" customWidth="1"/>
    <col min="69" max="69" width="10.7109375" customWidth="1"/>
    <col min="70" max="70" width="10.7109375" bestFit="1" customWidth="1"/>
    <col min="71" max="71" width="10.28515625" bestFit="1" customWidth="1"/>
  </cols>
  <sheetData>
    <row r="1" spans="1:69" x14ac:dyDescent="0.25">
      <c r="A1" t="s">
        <v>391</v>
      </c>
      <c r="B1" t="s">
        <v>392</v>
      </c>
      <c r="C1" t="s">
        <v>247</v>
      </c>
      <c r="D1" t="s">
        <v>432</v>
      </c>
      <c r="E1" t="s">
        <v>433</v>
      </c>
      <c r="F1" t="s">
        <v>92</v>
      </c>
      <c r="G1" t="s">
        <v>84</v>
      </c>
      <c r="H1" t="s">
        <v>137</v>
      </c>
      <c r="I1" t="s">
        <v>138</v>
      </c>
      <c r="J1" t="s">
        <v>248</v>
      </c>
      <c r="K1" t="s">
        <v>249</v>
      </c>
      <c r="L1" t="s">
        <v>250</v>
      </c>
      <c r="M1" t="s">
        <v>251</v>
      </c>
      <c r="N1" t="s">
        <v>94</v>
      </c>
      <c r="O1" t="s">
        <v>86</v>
      </c>
      <c r="P1" t="s">
        <v>140</v>
      </c>
      <c r="Q1" t="s">
        <v>141</v>
      </c>
      <c r="R1" t="s">
        <v>95</v>
      </c>
      <c r="S1" t="s">
        <v>142</v>
      </c>
      <c r="T1" t="s">
        <v>143</v>
      </c>
      <c r="U1" t="s">
        <v>144</v>
      </c>
      <c r="V1" t="s">
        <v>96</v>
      </c>
      <c r="W1" t="s">
        <v>88</v>
      </c>
      <c r="X1" t="s">
        <v>145</v>
      </c>
      <c r="Y1" t="s">
        <v>90</v>
      </c>
      <c r="Z1" t="s">
        <v>97</v>
      </c>
      <c r="AA1" t="s">
        <v>146</v>
      </c>
      <c r="AB1" t="s">
        <v>147</v>
      </c>
      <c r="AC1" t="s">
        <v>148</v>
      </c>
      <c r="AD1" t="s">
        <v>98</v>
      </c>
      <c r="AE1" t="s">
        <v>149</v>
      </c>
      <c r="AF1" t="s">
        <v>150</v>
      </c>
      <c r="AG1" t="s">
        <v>151</v>
      </c>
      <c r="AH1" t="s">
        <v>99</v>
      </c>
      <c r="AI1" t="s">
        <v>152</v>
      </c>
      <c r="AJ1" t="s">
        <v>153</v>
      </c>
      <c r="AK1" t="s">
        <v>155</v>
      </c>
      <c r="AL1" t="s">
        <v>100</v>
      </c>
      <c r="AM1" t="s">
        <v>91</v>
      </c>
      <c r="AN1" t="s">
        <v>156</v>
      </c>
      <c r="AO1" t="s">
        <v>157</v>
      </c>
      <c r="AP1" t="s">
        <v>101</v>
      </c>
      <c r="AQ1" t="s">
        <v>158</v>
      </c>
      <c r="AR1" t="s">
        <v>159</v>
      </c>
      <c r="AS1" t="s">
        <v>160</v>
      </c>
      <c r="AT1" t="s">
        <v>102</v>
      </c>
      <c r="AU1" t="s">
        <v>161</v>
      </c>
      <c r="AV1" t="s">
        <v>162</v>
      </c>
      <c r="AW1" t="s">
        <v>163</v>
      </c>
      <c r="AX1" t="s">
        <v>103</v>
      </c>
      <c r="AY1" t="s">
        <v>164</v>
      </c>
      <c r="AZ1" t="s">
        <v>165</v>
      </c>
      <c r="BA1" t="s">
        <v>166</v>
      </c>
      <c r="BB1" t="s">
        <v>104</v>
      </c>
      <c r="BC1" t="s">
        <v>167</v>
      </c>
      <c r="BD1" t="s">
        <v>168</v>
      </c>
      <c r="BE1" t="s">
        <v>169</v>
      </c>
      <c r="BF1" t="s">
        <v>105</v>
      </c>
      <c r="BG1" t="s">
        <v>170</v>
      </c>
      <c r="BH1" t="s">
        <v>171</v>
      </c>
      <c r="BI1" t="s">
        <v>172</v>
      </c>
      <c r="BJ1" t="s">
        <v>106</v>
      </c>
      <c r="BK1" t="s">
        <v>89</v>
      </c>
      <c r="BL1" t="s">
        <v>173</v>
      </c>
      <c r="BM1" t="s">
        <v>174</v>
      </c>
      <c r="BN1" t="s">
        <v>107</v>
      </c>
      <c r="BO1" t="s">
        <v>175</v>
      </c>
      <c r="BP1" t="s">
        <v>176</v>
      </c>
      <c r="BQ1" t="s">
        <v>177</v>
      </c>
    </row>
    <row r="2" spans="1:69" x14ac:dyDescent="0.25">
      <c r="A2" s="77" t="s">
        <v>390</v>
      </c>
      <c r="B2" s="77" t="s">
        <v>252</v>
      </c>
      <c r="C2">
        <v>0</v>
      </c>
      <c r="D2" s="77" t="s">
        <v>435</v>
      </c>
      <c r="E2" s="77" t="s">
        <v>387</v>
      </c>
      <c r="F2">
        <v>0</v>
      </c>
      <c r="G2">
        <v>200</v>
      </c>
      <c r="H2">
        <v>0</v>
      </c>
      <c r="I2">
        <v>0</v>
      </c>
      <c r="J2">
        <v>2</v>
      </c>
      <c r="K2">
        <v>10.210000000000001</v>
      </c>
      <c r="L2">
        <v>-7.22</v>
      </c>
      <c r="M2">
        <v>-0.33</v>
      </c>
      <c r="N2">
        <v>1</v>
      </c>
      <c r="O2">
        <v>-1.1000000000000001</v>
      </c>
      <c r="P2">
        <v>8.1199999999999992</v>
      </c>
      <c r="Q2">
        <v>0</v>
      </c>
      <c r="R2">
        <v>1</v>
      </c>
      <c r="S2">
        <v>-0.05</v>
      </c>
      <c r="T2">
        <v>0.92</v>
      </c>
      <c r="U2">
        <v>0</v>
      </c>
      <c r="V2">
        <v>0</v>
      </c>
      <c r="W2">
        <v>10</v>
      </c>
      <c r="X2">
        <v>0</v>
      </c>
      <c r="Y2">
        <v>0</v>
      </c>
      <c r="Z2">
        <v>1</v>
      </c>
      <c r="AA2">
        <v>-0.04</v>
      </c>
      <c r="AB2">
        <v>0.38</v>
      </c>
      <c r="AC2">
        <v>0</v>
      </c>
      <c r="AD2">
        <v>1</v>
      </c>
      <c r="AE2">
        <v>-0.11</v>
      </c>
      <c r="AF2">
        <v>0.97</v>
      </c>
      <c r="AG2">
        <v>0</v>
      </c>
      <c r="AH2">
        <v>0</v>
      </c>
      <c r="AI2">
        <v>1E-4</v>
      </c>
      <c r="AJ2">
        <v>0</v>
      </c>
      <c r="AK2">
        <v>0</v>
      </c>
      <c r="AL2">
        <v>0</v>
      </c>
      <c r="AM2">
        <v>300</v>
      </c>
      <c r="AN2">
        <v>0</v>
      </c>
      <c r="AO2">
        <v>0</v>
      </c>
      <c r="AP2">
        <v>1</v>
      </c>
      <c r="AQ2">
        <v>7.0000000000000007E-2</v>
      </c>
      <c r="AR2">
        <v>0.6</v>
      </c>
      <c r="AS2">
        <v>0</v>
      </c>
      <c r="AT2">
        <v>1</v>
      </c>
      <c r="AU2">
        <v>-0.32</v>
      </c>
      <c r="AV2">
        <v>2.56</v>
      </c>
      <c r="AW2">
        <v>0</v>
      </c>
      <c r="AX2">
        <v>1</v>
      </c>
      <c r="AY2">
        <v>-0.03</v>
      </c>
      <c r="AZ2">
        <v>0.74</v>
      </c>
      <c r="BA2">
        <v>0</v>
      </c>
      <c r="BB2">
        <v>0</v>
      </c>
      <c r="BC2">
        <v>200</v>
      </c>
      <c r="BD2">
        <v>0</v>
      </c>
      <c r="BE2">
        <v>0</v>
      </c>
      <c r="BF2">
        <v>1</v>
      </c>
      <c r="BG2">
        <v>-0.08</v>
      </c>
      <c r="BH2">
        <v>0.65</v>
      </c>
      <c r="BI2">
        <v>0</v>
      </c>
      <c r="BJ2">
        <v>1</v>
      </c>
      <c r="BK2">
        <v>-3.0000000000000001E-3</v>
      </c>
      <c r="BL2">
        <v>0.2</v>
      </c>
      <c r="BM2">
        <v>0</v>
      </c>
      <c r="BN2">
        <v>1</v>
      </c>
      <c r="BO2">
        <v>-0.16</v>
      </c>
      <c r="BP2">
        <v>1.01</v>
      </c>
      <c r="BQ2">
        <v>0</v>
      </c>
    </row>
    <row r="3" spans="1:69" x14ac:dyDescent="0.25">
      <c r="A3" s="77" t="s">
        <v>338</v>
      </c>
      <c r="B3" s="77" t="s">
        <v>252</v>
      </c>
      <c r="C3">
        <v>1</v>
      </c>
      <c r="D3" s="77" t="s">
        <v>436</v>
      </c>
      <c r="E3" s="77" t="s">
        <v>386</v>
      </c>
      <c r="F3">
        <v>0</v>
      </c>
      <c r="G3">
        <v>94.5184</v>
      </c>
      <c r="H3">
        <v>0</v>
      </c>
      <c r="I3">
        <v>0</v>
      </c>
      <c r="J3">
        <v>1</v>
      </c>
      <c r="K3">
        <v>-4.6464999999999996</v>
      </c>
      <c r="L3">
        <v>14.8651</v>
      </c>
      <c r="M3">
        <v>0</v>
      </c>
      <c r="N3">
        <v>1</v>
      </c>
      <c r="O3">
        <v>-0.91779999999999995</v>
      </c>
      <c r="P3">
        <v>8.3390079999999998</v>
      </c>
      <c r="Q3">
        <v>0</v>
      </c>
      <c r="R3">
        <v>0</v>
      </c>
      <c r="S3">
        <v>0.95168079999999999</v>
      </c>
      <c r="T3">
        <v>0</v>
      </c>
      <c r="U3">
        <v>0</v>
      </c>
      <c r="V3">
        <v>0</v>
      </c>
      <c r="W3">
        <v>20</v>
      </c>
      <c r="X3">
        <v>0</v>
      </c>
      <c r="Y3">
        <v>0</v>
      </c>
      <c r="Z3">
        <v>1</v>
      </c>
      <c r="AA3">
        <v>-8.5835999999999996E-2</v>
      </c>
      <c r="AB3">
        <v>0.26050000000000001</v>
      </c>
      <c r="AC3">
        <v>0</v>
      </c>
      <c r="AD3">
        <v>0</v>
      </c>
      <c r="AE3">
        <v>17</v>
      </c>
      <c r="AF3">
        <v>0</v>
      </c>
      <c r="AG3">
        <v>0</v>
      </c>
      <c r="AH3">
        <v>0</v>
      </c>
      <c r="AI3">
        <v>1E-4</v>
      </c>
      <c r="AJ3">
        <v>0</v>
      </c>
      <c r="AK3">
        <v>0</v>
      </c>
      <c r="AL3">
        <v>1</v>
      </c>
      <c r="AM3">
        <v>-0.22350800000000001</v>
      </c>
      <c r="AN3">
        <v>2.12948</v>
      </c>
      <c r="AO3">
        <v>0</v>
      </c>
      <c r="AP3">
        <v>1</v>
      </c>
      <c r="AQ3">
        <v>-5.0056000000000003E-2</v>
      </c>
      <c r="AR3">
        <v>0.547296</v>
      </c>
      <c r="AS3">
        <v>0</v>
      </c>
      <c r="AT3">
        <v>1</v>
      </c>
      <c r="AU3">
        <v>-0.24832099999999999</v>
      </c>
      <c r="AV3">
        <v>4.8334000000000001</v>
      </c>
      <c r="AW3">
        <v>0</v>
      </c>
      <c r="AX3">
        <v>1</v>
      </c>
      <c r="AY3">
        <v>-3.4234000000000001E-2</v>
      </c>
      <c r="AZ3">
        <v>0.54632400000000003</v>
      </c>
      <c r="BA3">
        <v>0</v>
      </c>
      <c r="BB3">
        <v>0</v>
      </c>
      <c r="BC3">
        <v>44.89</v>
      </c>
      <c r="BD3">
        <v>0</v>
      </c>
      <c r="BE3">
        <v>0</v>
      </c>
      <c r="BF3">
        <v>1</v>
      </c>
      <c r="BG3">
        <v>-3.0649599999999999E-2</v>
      </c>
      <c r="BH3">
        <v>0.30757000000000001</v>
      </c>
      <c r="BI3">
        <v>0</v>
      </c>
      <c r="BJ3">
        <v>0</v>
      </c>
      <c r="BK3">
        <v>0.35149999999999998</v>
      </c>
      <c r="BL3">
        <v>0</v>
      </c>
      <c r="BM3">
        <v>0</v>
      </c>
      <c r="BN3">
        <v>0</v>
      </c>
      <c r="BO3">
        <v>0.57921599999999995</v>
      </c>
      <c r="BP3">
        <v>0</v>
      </c>
      <c r="BQ3">
        <v>0</v>
      </c>
    </row>
    <row r="4" spans="1:69" x14ac:dyDescent="0.25">
      <c r="A4" s="77" t="s">
        <v>341</v>
      </c>
      <c r="B4" s="77" t="s">
        <v>252</v>
      </c>
      <c r="C4">
        <v>1</v>
      </c>
      <c r="D4" s="77" t="s">
        <v>436</v>
      </c>
      <c r="E4" s="77" t="s">
        <v>386</v>
      </c>
      <c r="F4">
        <v>0</v>
      </c>
      <c r="G4">
        <v>91.755099999999999</v>
      </c>
      <c r="H4">
        <v>0</v>
      </c>
      <c r="I4">
        <v>0</v>
      </c>
      <c r="J4">
        <v>1</v>
      </c>
      <c r="K4">
        <v>-4.9135</v>
      </c>
      <c r="L4">
        <v>15.6418</v>
      </c>
      <c r="M4">
        <v>0</v>
      </c>
      <c r="N4">
        <v>1</v>
      </c>
      <c r="O4">
        <v>-0.91779999999999995</v>
      </c>
      <c r="P4">
        <v>8.3180619999999994</v>
      </c>
      <c r="Q4">
        <v>0</v>
      </c>
      <c r="R4">
        <v>0</v>
      </c>
      <c r="S4">
        <v>0.95353869999999996</v>
      </c>
      <c r="T4">
        <v>0</v>
      </c>
      <c r="U4">
        <v>0</v>
      </c>
      <c r="V4">
        <v>0</v>
      </c>
      <c r="W4">
        <v>20</v>
      </c>
      <c r="X4">
        <v>0</v>
      </c>
      <c r="Y4">
        <v>0</v>
      </c>
      <c r="Z4">
        <v>1</v>
      </c>
      <c r="AA4">
        <v>-7.9779000000000003E-2</v>
      </c>
      <c r="AB4">
        <v>0.26050000000000001</v>
      </c>
      <c r="AC4">
        <v>0</v>
      </c>
      <c r="AD4">
        <v>0</v>
      </c>
      <c r="AE4">
        <v>17</v>
      </c>
      <c r="AF4">
        <v>0</v>
      </c>
      <c r="AG4">
        <v>0</v>
      </c>
      <c r="AH4">
        <v>0</v>
      </c>
      <c r="AI4">
        <v>1E-4</v>
      </c>
      <c r="AJ4">
        <v>0</v>
      </c>
      <c r="AK4">
        <v>0</v>
      </c>
      <c r="AL4">
        <v>1</v>
      </c>
      <c r="AM4">
        <v>-0.244562</v>
      </c>
      <c r="AN4">
        <v>2.21597</v>
      </c>
      <c r="AO4">
        <v>0</v>
      </c>
      <c r="AP4">
        <v>1</v>
      </c>
      <c r="AQ4">
        <v>-5.4873999999999999E-2</v>
      </c>
      <c r="AR4">
        <v>0.57128400000000001</v>
      </c>
      <c r="AS4">
        <v>0</v>
      </c>
      <c r="AT4">
        <v>1</v>
      </c>
      <c r="AU4">
        <v>-0.26119700000000001</v>
      </c>
      <c r="AV4">
        <v>4.7438500000000001</v>
      </c>
      <c r="AW4">
        <v>0</v>
      </c>
      <c r="AX4">
        <v>1</v>
      </c>
      <c r="AY4">
        <v>-3.63355E-2</v>
      </c>
      <c r="AZ4">
        <v>0.57024600000000003</v>
      </c>
      <c r="BA4">
        <v>0</v>
      </c>
      <c r="BB4">
        <v>0</v>
      </c>
      <c r="BC4">
        <v>44.89</v>
      </c>
      <c r="BD4">
        <v>0</v>
      </c>
      <c r="BE4">
        <v>0</v>
      </c>
      <c r="BF4">
        <v>1</v>
      </c>
      <c r="BG4">
        <v>-3.33619E-2</v>
      </c>
      <c r="BH4">
        <v>0.31869999999999998</v>
      </c>
      <c r="BI4">
        <v>0</v>
      </c>
      <c r="BJ4">
        <v>0</v>
      </c>
      <c r="BK4">
        <v>0.35149999999999998</v>
      </c>
      <c r="BL4">
        <v>0</v>
      </c>
      <c r="BM4">
        <v>0</v>
      </c>
      <c r="BN4">
        <v>0</v>
      </c>
      <c r="BO4">
        <v>0.59417399999999998</v>
      </c>
      <c r="BP4">
        <v>0</v>
      </c>
      <c r="BQ4">
        <v>0</v>
      </c>
    </row>
    <row r="5" spans="1:69" x14ac:dyDescent="0.25">
      <c r="A5" s="77" t="s">
        <v>351</v>
      </c>
      <c r="B5" s="77" t="s">
        <v>252</v>
      </c>
      <c r="C5">
        <v>1</v>
      </c>
      <c r="D5" s="77" t="s">
        <v>436</v>
      </c>
      <c r="E5" s="77" t="s">
        <v>386</v>
      </c>
      <c r="F5">
        <v>0</v>
      </c>
      <c r="G5">
        <v>83.465199999999996</v>
      </c>
      <c r="H5">
        <v>0</v>
      </c>
      <c r="I5">
        <v>0</v>
      </c>
      <c r="J5">
        <v>1</v>
      </c>
      <c r="K5">
        <v>-5.7145000000000001</v>
      </c>
      <c r="L5">
        <v>17.971900000000002</v>
      </c>
      <c r="M5">
        <v>0</v>
      </c>
      <c r="N5">
        <v>1</v>
      </c>
      <c r="O5">
        <v>-0.91779999999999995</v>
      </c>
      <c r="P5">
        <v>8.2552240000000001</v>
      </c>
      <c r="Q5">
        <v>0</v>
      </c>
      <c r="R5">
        <v>0</v>
      </c>
      <c r="S5">
        <v>0.95911239999999998</v>
      </c>
      <c r="T5">
        <v>0</v>
      </c>
      <c r="U5">
        <v>0</v>
      </c>
      <c r="V5">
        <v>0</v>
      </c>
      <c r="W5">
        <v>20</v>
      </c>
      <c r="X5">
        <v>0</v>
      </c>
      <c r="Y5">
        <v>0</v>
      </c>
      <c r="Z5">
        <v>1</v>
      </c>
      <c r="AA5">
        <v>-6.1608000000000003E-2</v>
      </c>
      <c r="AB5">
        <v>0.26050000000000001</v>
      </c>
      <c r="AC5">
        <v>0</v>
      </c>
      <c r="AD5">
        <v>0</v>
      </c>
      <c r="AE5">
        <v>17</v>
      </c>
      <c r="AF5">
        <v>0</v>
      </c>
      <c r="AG5">
        <v>0</v>
      </c>
      <c r="AH5">
        <v>0</v>
      </c>
      <c r="AI5">
        <v>1E-4</v>
      </c>
      <c r="AJ5">
        <v>0</v>
      </c>
      <c r="AK5">
        <v>0</v>
      </c>
      <c r="AL5">
        <v>1</v>
      </c>
      <c r="AM5">
        <v>-0.307724</v>
      </c>
      <c r="AN5">
        <v>2.4754399999999999</v>
      </c>
      <c r="AO5">
        <v>0</v>
      </c>
      <c r="AP5">
        <v>1</v>
      </c>
      <c r="AQ5">
        <v>-6.9328000000000001E-2</v>
      </c>
      <c r="AR5">
        <v>0.64324800000000004</v>
      </c>
      <c r="AS5">
        <v>0</v>
      </c>
      <c r="AT5">
        <v>1</v>
      </c>
      <c r="AU5">
        <v>-0.29982500000000001</v>
      </c>
      <c r="AV5">
        <v>4.4752000000000001</v>
      </c>
      <c r="AW5">
        <v>0</v>
      </c>
      <c r="AX5">
        <v>1</v>
      </c>
      <c r="AY5">
        <v>-4.2639999999999997E-2</v>
      </c>
      <c r="AZ5">
        <v>0.64201200000000003</v>
      </c>
      <c r="BA5">
        <v>0</v>
      </c>
      <c r="BB5">
        <v>0</v>
      </c>
      <c r="BC5">
        <v>44.89</v>
      </c>
      <c r="BD5">
        <v>0</v>
      </c>
      <c r="BE5">
        <v>0</v>
      </c>
      <c r="BF5">
        <v>1</v>
      </c>
      <c r="BG5">
        <v>-4.1498800000000002E-2</v>
      </c>
      <c r="BH5">
        <v>0.35209000000000001</v>
      </c>
      <c r="BI5">
        <v>0</v>
      </c>
      <c r="BJ5">
        <v>0</v>
      </c>
      <c r="BK5">
        <v>0.35149999999999998</v>
      </c>
      <c r="BL5">
        <v>0</v>
      </c>
      <c r="BM5">
        <v>0</v>
      </c>
      <c r="BN5">
        <v>0</v>
      </c>
      <c r="BO5">
        <v>0.63904799999999995</v>
      </c>
      <c r="BP5">
        <v>0</v>
      </c>
      <c r="BQ5">
        <v>0</v>
      </c>
    </row>
    <row r="6" spans="1:69" x14ac:dyDescent="0.25">
      <c r="A6" s="77" t="s">
        <v>359</v>
      </c>
      <c r="B6" s="77" t="s">
        <v>252</v>
      </c>
      <c r="C6">
        <v>1</v>
      </c>
      <c r="D6" s="77" t="s">
        <v>436</v>
      </c>
      <c r="E6" s="77" t="s">
        <v>386</v>
      </c>
      <c r="F6">
        <v>0</v>
      </c>
      <c r="G6">
        <v>77.017499999999998</v>
      </c>
      <c r="H6">
        <v>0</v>
      </c>
      <c r="I6">
        <v>0</v>
      </c>
      <c r="J6">
        <v>1</v>
      </c>
      <c r="K6">
        <v>-6.3375000000000004</v>
      </c>
      <c r="L6">
        <v>19.784199999999998</v>
      </c>
      <c r="M6">
        <v>0</v>
      </c>
      <c r="N6">
        <v>1</v>
      </c>
      <c r="O6">
        <v>-0.91779999999999995</v>
      </c>
      <c r="P6">
        <v>8.2063500000000005</v>
      </c>
      <c r="Q6">
        <v>0</v>
      </c>
      <c r="R6">
        <v>0</v>
      </c>
      <c r="S6">
        <v>0.96344750000000001</v>
      </c>
      <c r="T6">
        <v>0</v>
      </c>
      <c r="U6">
        <v>0</v>
      </c>
      <c r="V6">
        <v>0</v>
      </c>
      <c r="W6">
        <v>20</v>
      </c>
      <c r="X6">
        <v>0</v>
      </c>
      <c r="Y6">
        <v>0</v>
      </c>
      <c r="Z6">
        <v>1</v>
      </c>
      <c r="AA6">
        <v>-4.7475000000000003E-2</v>
      </c>
      <c r="AB6">
        <v>0.26050000000000001</v>
      </c>
      <c r="AC6">
        <v>0</v>
      </c>
      <c r="AD6">
        <v>0</v>
      </c>
      <c r="AE6">
        <v>17</v>
      </c>
      <c r="AF6">
        <v>0</v>
      </c>
      <c r="AG6">
        <v>0</v>
      </c>
      <c r="AH6">
        <v>0</v>
      </c>
      <c r="AI6">
        <v>1E-4</v>
      </c>
      <c r="AJ6">
        <v>0</v>
      </c>
      <c r="AK6">
        <v>0</v>
      </c>
      <c r="AL6">
        <v>1</v>
      </c>
      <c r="AM6">
        <v>-0.35685</v>
      </c>
      <c r="AN6">
        <v>2.6772499999999999</v>
      </c>
      <c r="AO6">
        <v>0</v>
      </c>
      <c r="AP6">
        <v>1</v>
      </c>
      <c r="AQ6">
        <v>-8.0570000000000003E-2</v>
      </c>
      <c r="AR6">
        <v>0.69921999999999995</v>
      </c>
      <c r="AS6">
        <v>0</v>
      </c>
      <c r="AT6">
        <v>1</v>
      </c>
      <c r="AU6">
        <v>-0.32986900000000002</v>
      </c>
      <c r="AV6">
        <v>4.2662500000000003</v>
      </c>
      <c r="AW6">
        <v>0</v>
      </c>
      <c r="AX6">
        <v>1</v>
      </c>
      <c r="AY6">
        <v>-4.7543500000000002E-2</v>
      </c>
      <c r="AZ6">
        <v>0.69782999999999995</v>
      </c>
      <c r="BA6">
        <v>0</v>
      </c>
      <c r="BB6">
        <v>0</v>
      </c>
      <c r="BC6">
        <v>44.89</v>
      </c>
      <c r="BD6">
        <v>0</v>
      </c>
      <c r="BE6">
        <v>0</v>
      </c>
      <c r="BF6">
        <v>1</v>
      </c>
      <c r="BG6">
        <v>-4.7827500000000002E-2</v>
      </c>
      <c r="BH6">
        <v>0.37806000000000001</v>
      </c>
      <c r="BI6">
        <v>0</v>
      </c>
      <c r="BJ6">
        <v>0</v>
      </c>
      <c r="BK6">
        <v>0.35149999999999998</v>
      </c>
      <c r="BL6">
        <v>0</v>
      </c>
      <c r="BM6">
        <v>0</v>
      </c>
      <c r="BN6">
        <v>0</v>
      </c>
      <c r="BO6">
        <v>0.67395000000000005</v>
      </c>
      <c r="BP6">
        <v>0</v>
      </c>
      <c r="BQ6">
        <v>0</v>
      </c>
    </row>
    <row r="7" spans="1:69" x14ac:dyDescent="0.25">
      <c r="A7" s="77" t="s">
        <v>363</v>
      </c>
      <c r="B7" s="77" t="s">
        <v>252</v>
      </c>
      <c r="C7">
        <v>1</v>
      </c>
      <c r="D7" s="77" t="s">
        <v>436</v>
      </c>
      <c r="E7" s="77" t="s">
        <v>386</v>
      </c>
      <c r="F7">
        <v>0</v>
      </c>
      <c r="G7">
        <v>73.333100000000002</v>
      </c>
      <c r="H7">
        <v>0</v>
      </c>
      <c r="I7">
        <v>0</v>
      </c>
      <c r="J7">
        <v>1</v>
      </c>
      <c r="K7">
        <v>-6.6935000000000002</v>
      </c>
      <c r="L7">
        <v>20.819800000000001</v>
      </c>
      <c r="M7">
        <v>0</v>
      </c>
      <c r="N7">
        <v>1</v>
      </c>
      <c r="O7">
        <v>-0.91779999999999995</v>
      </c>
      <c r="P7">
        <v>8.1784219999999994</v>
      </c>
      <c r="Q7">
        <v>0</v>
      </c>
      <c r="R7">
        <v>0</v>
      </c>
      <c r="S7">
        <v>0.96592469999999997</v>
      </c>
      <c r="T7">
        <v>0</v>
      </c>
      <c r="U7">
        <v>0</v>
      </c>
      <c r="V7">
        <v>0</v>
      </c>
      <c r="W7">
        <v>20</v>
      </c>
      <c r="X7">
        <v>0</v>
      </c>
      <c r="Y7">
        <v>0</v>
      </c>
      <c r="Z7">
        <v>1</v>
      </c>
      <c r="AA7">
        <v>-3.9399000000000003E-2</v>
      </c>
      <c r="AB7">
        <v>0.26050000000000001</v>
      </c>
      <c r="AC7">
        <v>0</v>
      </c>
      <c r="AD7">
        <v>0</v>
      </c>
      <c r="AE7">
        <v>17</v>
      </c>
      <c r="AF7">
        <v>0</v>
      </c>
      <c r="AG7">
        <v>0</v>
      </c>
      <c r="AH7">
        <v>0</v>
      </c>
      <c r="AI7">
        <v>1E-4</v>
      </c>
      <c r="AJ7">
        <v>0</v>
      </c>
      <c r="AK7">
        <v>0</v>
      </c>
      <c r="AL7">
        <v>1</v>
      </c>
      <c r="AM7">
        <v>-0.38492199999999999</v>
      </c>
      <c r="AN7">
        <v>2.79257</v>
      </c>
      <c r="AO7">
        <v>0</v>
      </c>
      <c r="AP7">
        <v>1</v>
      </c>
      <c r="AQ7">
        <v>-8.6994000000000002E-2</v>
      </c>
      <c r="AR7">
        <v>0.73120399999999997</v>
      </c>
      <c r="AS7">
        <v>0</v>
      </c>
      <c r="AT7">
        <v>1</v>
      </c>
      <c r="AU7">
        <v>-0.34703699999999998</v>
      </c>
      <c r="AV7">
        <v>4.1468499999999997</v>
      </c>
      <c r="AW7">
        <v>0</v>
      </c>
      <c r="AX7">
        <v>1</v>
      </c>
      <c r="AY7">
        <v>-5.0345500000000001E-2</v>
      </c>
      <c r="AZ7">
        <v>0.72972599999999999</v>
      </c>
      <c r="BA7">
        <v>0</v>
      </c>
      <c r="BB7">
        <v>0</v>
      </c>
      <c r="BC7">
        <v>44.89</v>
      </c>
      <c r="BD7">
        <v>0</v>
      </c>
      <c r="BE7">
        <v>0</v>
      </c>
      <c r="BF7">
        <v>1</v>
      </c>
      <c r="BG7">
        <v>-5.1443900000000001E-2</v>
      </c>
      <c r="BH7">
        <v>0.39290000000000003</v>
      </c>
      <c r="BI7">
        <v>0</v>
      </c>
      <c r="BJ7">
        <v>0</v>
      </c>
      <c r="BK7">
        <v>0.35149999999999998</v>
      </c>
      <c r="BL7">
        <v>0</v>
      </c>
      <c r="BM7">
        <v>0</v>
      </c>
      <c r="BN7">
        <v>0</v>
      </c>
      <c r="BO7">
        <v>0.69389400000000001</v>
      </c>
      <c r="BP7">
        <v>0</v>
      </c>
      <c r="BQ7">
        <v>0</v>
      </c>
    </row>
    <row r="8" spans="1:69" x14ac:dyDescent="0.25">
      <c r="A8" s="77" t="s">
        <v>365</v>
      </c>
      <c r="B8" s="77" t="s">
        <v>252</v>
      </c>
      <c r="C8">
        <v>1</v>
      </c>
      <c r="D8" s="77" t="s">
        <v>436</v>
      </c>
      <c r="E8" s="77" t="s">
        <v>386</v>
      </c>
      <c r="F8">
        <v>0</v>
      </c>
      <c r="G8">
        <v>72.412000000000006</v>
      </c>
      <c r="H8">
        <v>0</v>
      </c>
      <c r="I8">
        <v>0</v>
      </c>
      <c r="J8">
        <v>1</v>
      </c>
      <c r="K8">
        <v>-6.7824999999999998</v>
      </c>
      <c r="L8">
        <v>21.078700000000001</v>
      </c>
      <c r="M8">
        <v>0</v>
      </c>
      <c r="N8">
        <v>1</v>
      </c>
      <c r="O8">
        <v>-0.91779999999999995</v>
      </c>
      <c r="P8">
        <v>8.1714400000000005</v>
      </c>
      <c r="Q8">
        <v>0</v>
      </c>
      <c r="R8">
        <v>0</v>
      </c>
      <c r="S8">
        <v>0.96654399999999996</v>
      </c>
      <c r="T8">
        <v>0</v>
      </c>
      <c r="U8">
        <v>0</v>
      </c>
      <c r="V8">
        <v>0</v>
      </c>
      <c r="W8">
        <v>20</v>
      </c>
      <c r="X8">
        <v>0</v>
      </c>
      <c r="Y8">
        <v>0</v>
      </c>
      <c r="Z8">
        <v>1</v>
      </c>
      <c r="AA8">
        <v>-3.7379999999999997E-2</v>
      </c>
      <c r="AB8">
        <v>0.26050000000000001</v>
      </c>
      <c r="AC8">
        <v>0</v>
      </c>
      <c r="AD8">
        <v>0</v>
      </c>
      <c r="AE8">
        <v>17</v>
      </c>
      <c r="AF8">
        <v>0</v>
      </c>
      <c r="AG8">
        <v>0</v>
      </c>
      <c r="AH8">
        <v>0</v>
      </c>
      <c r="AI8">
        <v>1E-4</v>
      </c>
      <c r="AJ8">
        <v>0</v>
      </c>
      <c r="AK8">
        <v>0</v>
      </c>
      <c r="AL8">
        <v>1</v>
      </c>
      <c r="AM8">
        <v>-0.39194000000000001</v>
      </c>
      <c r="AN8">
        <v>2.8214000000000001</v>
      </c>
      <c r="AO8">
        <v>0</v>
      </c>
      <c r="AP8">
        <v>1</v>
      </c>
      <c r="AQ8">
        <v>-8.8599999999999998E-2</v>
      </c>
      <c r="AR8">
        <v>0.73919999999999997</v>
      </c>
      <c r="AS8">
        <v>0</v>
      </c>
      <c r="AT8">
        <v>1</v>
      </c>
      <c r="AU8">
        <v>-0.351329</v>
      </c>
      <c r="AV8">
        <v>4.117</v>
      </c>
      <c r="AW8">
        <v>0</v>
      </c>
      <c r="AX8">
        <v>1</v>
      </c>
      <c r="AY8">
        <v>-5.1046000000000001E-2</v>
      </c>
      <c r="AZ8">
        <v>0.73770000000000002</v>
      </c>
      <c r="BA8">
        <v>0</v>
      </c>
      <c r="BB8">
        <v>0</v>
      </c>
      <c r="BC8">
        <v>44.89</v>
      </c>
      <c r="BD8">
        <v>0</v>
      </c>
      <c r="BE8">
        <v>0</v>
      </c>
      <c r="BF8">
        <v>1</v>
      </c>
      <c r="BG8">
        <v>-5.2347999999999999E-2</v>
      </c>
      <c r="BH8">
        <v>0.39661000000000002</v>
      </c>
      <c r="BI8">
        <v>0</v>
      </c>
      <c r="BJ8">
        <v>0</v>
      </c>
      <c r="BK8">
        <v>0.35149999999999998</v>
      </c>
      <c r="BL8">
        <v>0</v>
      </c>
      <c r="BM8">
        <v>0</v>
      </c>
      <c r="BN8">
        <v>0</v>
      </c>
      <c r="BO8">
        <v>0.69887999999999995</v>
      </c>
      <c r="BP8">
        <v>0</v>
      </c>
      <c r="BQ8">
        <v>0</v>
      </c>
    </row>
  </sheetData>
  <phoneticPr fontId="24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D2F9-5BC5-4C03-8F12-BFF5123D369A}">
  <sheetPr codeName="Sheet3"/>
  <dimension ref="A1:BI102"/>
  <sheetViews>
    <sheetView zoomScale="85" zoomScaleNormal="85" workbookViewId="0">
      <selection activeCell="G24" sqref="G24"/>
    </sheetView>
  </sheetViews>
  <sheetFormatPr defaultColWidth="9.140625" defaultRowHeight="11.25" x14ac:dyDescent="0.15"/>
  <cols>
    <col min="1" max="1" width="9.140625" style="2"/>
    <col min="2" max="2" width="25.140625" style="2" bestFit="1" customWidth="1"/>
    <col min="3" max="4" width="9.140625" style="2"/>
    <col min="5" max="5" width="18.7109375" style="2" bestFit="1" customWidth="1"/>
    <col min="6" max="8" width="18.7109375" style="2" customWidth="1"/>
    <col min="9" max="9" width="9.140625" style="2"/>
    <col min="10" max="10" width="9.140625" style="2" customWidth="1"/>
    <col min="11" max="11" width="13.28515625" style="2" bestFit="1" customWidth="1"/>
    <col min="12" max="16384" width="9.140625" style="2"/>
  </cols>
  <sheetData>
    <row r="1" spans="1:61" x14ac:dyDescent="0.15">
      <c r="A1" s="107" t="s">
        <v>431</v>
      </c>
      <c r="AJ1" s="61" t="s">
        <v>183</v>
      </c>
    </row>
    <row r="2" spans="1:61" ht="12" thickBot="1" x14ac:dyDescent="0.2">
      <c r="BH2" s="2" t="s">
        <v>134</v>
      </c>
      <c r="BI2" s="2" t="s">
        <v>135</v>
      </c>
    </row>
    <row r="3" spans="1:61" ht="12" thickBot="1" x14ac:dyDescent="0.2">
      <c r="B3" s="2" t="str">
        <f>'Control Panel'!B3</f>
        <v>Calibration</v>
      </c>
      <c r="C3" s="2">
        <f>IF('Control Panel'!C3=Switch_options_hidden!C3,1,0)</f>
        <v>1</v>
      </c>
      <c r="I3" s="121" t="s">
        <v>78</v>
      </c>
      <c r="J3" s="122"/>
      <c r="K3" s="122"/>
      <c r="L3" s="122"/>
      <c r="M3" s="122"/>
      <c r="N3" s="122"/>
      <c r="O3" s="122"/>
      <c r="P3" s="122"/>
      <c r="Q3" s="122"/>
      <c r="R3" s="122"/>
      <c r="S3" s="123"/>
      <c r="BH3" s="2" t="s">
        <v>84</v>
      </c>
      <c r="BI3" s="2" t="s">
        <v>92</v>
      </c>
    </row>
    <row r="4" spans="1:61" ht="12" thickBot="1" x14ac:dyDescent="0.2">
      <c r="B4" s="2" t="str">
        <f>'Control Panel'!B4</f>
        <v>Reaction curve creator</v>
      </c>
      <c r="C4" s="2">
        <f>IF('Control Panel'!C4=Switch_options_hidden!C3,1,0)</f>
        <v>1</v>
      </c>
      <c r="D4" s="2" t="s">
        <v>136</v>
      </c>
      <c r="I4" s="5" t="s">
        <v>83</v>
      </c>
      <c r="J4" s="60" t="str">
        <f>IF('Control Panel'!J$3="NONE","",'Control Panel'!J$3)</f>
        <v>y_u_1</v>
      </c>
      <c r="K4" s="60" t="str">
        <f>IF('Control Panel'!K$3="NONE","",'Control Panel'!K$3)</f>
        <v>p_u_1</v>
      </c>
      <c r="L4" s="60" t="str">
        <f>IF('Control Panel'!L$3="NONE","",'Control Panel'!L$3)</f>
        <v>k_p_1</v>
      </c>
      <c r="M4" s="60" t="str">
        <f>IF('Control Panel'!M$3="NONE","",'Control Panel'!M$3)</f>
        <v>n_p_1</v>
      </c>
      <c r="N4" s="60" t="str">
        <f>IF('Control Panel'!N$3="NONE","",'Control Panel'!N$3)</f>
        <v>k_p_2</v>
      </c>
      <c r="O4" s="60" t="str">
        <f>IF('Control Panel'!O$3="NONE","",'Control Panel'!O$3)</f>
        <v/>
      </c>
      <c r="P4" s="60" t="str">
        <f>IF('Control Panel'!P$3="NONE","",'Control Panel'!P$3)</f>
        <v/>
      </c>
      <c r="Q4" s="60" t="str">
        <f>IF('Control Panel'!Q$3="NONE","",'Control Panel'!Q$3)</f>
        <v/>
      </c>
      <c r="R4" s="60" t="str">
        <f>IF('Control Panel'!R$3="NONE","",'Control Panel'!R$3)</f>
        <v/>
      </c>
      <c r="S4" s="60" t="str">
        <f>IF('Control Panel'!S$3="NONE","",'Control Panel'!S$3)</f>
        <v/>
      </c>
      <c r="T4" s="102" t="str">
        <f>IF('Control Panel'!T$3="NONE","",'Control Panel'!T$3)</f>
        <v>Switch</v>
      </c>
      <c r="U4" s="28" t="str">
        <f>'Control Panel'!U3</f>
        <v>y_u_F</v>
      </c>
      <c r="V4" s="28" t="str">
        <f>'Control Panel'!V3</f>
        <v>p_u_F</v>
      </c>
      <c r="W4" s="28" t="str">
        <f>'Control Panel'!W3</f>
        <v>k_p_F</v>
      </c>
      <c r="X4" s="28" t="str">
        <f>'Control Panel'!X3</f>
        <v>n_p_F</v>
      </c>
      <c r="Y4" s="28" t="str">
        <f>'Control Panel'!Y3</f>
        <v>tetam_u_F</v>
      </c>
      <c r="Z4" s="28" t="str">
        <f>'Control Panel'!Z3</f>
        <v>m_u_F</v>
      </c>
      <c r="AA4" s="28" t="str">
        <f>'Control Panel'!AA3</f>
        <v>k_m_F</v>
      </c>
      <c r="AB4" s="28" t="str">
        <f>'Control Panel'!AB3</f>
        <v>n_m_F</v>
      </c>
      <c r="AC4" s="28" t="str">
        <f>'Control Panel'!AC3</f>
        <v>yB_u_F</v>
      </c>
      <c r="AD4" s="28" t="str">
        <f>'Control Panel'!AD3</f>
        <v>HB_u_F</v>
      </c>
      <c r="AE4" s="28" t="str">
        <f>'Control Panel'!AE3</f>
        <v>k_H_F</v>
      </c>
      <c r="AF4" s="28" t="str">
        <f>'Control Panel'!AF3</f>
        <v>n_H_F</v>
      </c>
      <c r="AG4" s="28" t="str">
        <f>'Control Panel'!AG3</f>
        <v>tetaMb_u_F</v>
      </c>
      <c r="AH4" s="28" t="str">
        <f>'Control Panel'!AH3</f>
        <v>MB_u_F</v>
      </c>
      <c r="AI4" s="28" t="str">
        <f>'Control Panel'!AI3</f>
        <v>k_Mb_F</v>
      </c>
      <c r="AJ4" s="28" t="str">
        <f>'Control Panel'!AJ3</f>
        <v>n_Mb_F</v>
      </c>
      <c r="AL4" s="49" t="s">
        <v>193</v>
      </c>
      <c r="AM4" s="50" t="str">
        <f>IF('Control Panel'!AM3=Exchange!$AJ$1,Exchange!$AF$4,'Control Panel'!AM3)</f>
        <v>n_H_F</v>
      </c>
      <c r="AN4" s="50" t="str">
        <f>IF('Control Panel'!AN3=Exchange!$AJ$1,"",'Control Panel'!AN3)</f>
        <v/>
      </c>
      <c r="AO4" s="50" t="str">
        <f>IF('Control Panel'!AO3=Exchange!$AJ$1,"",'Control Panel'!AO3)</f>
        <v/>
      </c>
      <c r="AP4" s="50" t="str">
        <f>IF('Control Panel'!AP3=Exchange!$AJ$1,"",'Control Panel'!AP3)</f>
        <v/>
      </c>
      <c r="AQ4" s="50" t="str">
        <f>IF('Control Panel'!AQ3=Exchange!$AJ$1,"",'Control Panel'!AQ3)</f>
        <v/>
      </c>
      <c r="AR4" s="50" t="str">
        <f>IF('Control Panel'!AR3=Exchange!$AJ$1,"",'Control Panel'!AR3)</f>
        <v/>
      </c>
      <c r="AS4" s="50" t="str">
        <f>IF('Control Panel'!AS3=Exchange!$AJ$1,"",'Control Panel'!AS3)</f>
        <v/>
      </c>
      <c r="AT4" s="50" t="str">
        <f>IF('Control Panel'!AT3=Exchange!$AJ$1,"",'Control Panel'!AT3)</f>
        <v/>
      </c>
      <c r="AU4" s="50" t="str">
        <f>IF('Control Panel'!AU3=Exchange!$AJ$1,"",'Control Panel'!AU3)</f>
        <v/>
      </c>
      <c r="BH4" s="2" t="s">
        <v>137</v>
      </c>
      <c r="BI4" s="2" t="s">
        <v>92</v>
      </c>
    </row>
    <row r="5" spans="1:61" ht="12" thickBot="1" x14ac:dyDescent="0.2">
      <c r="B5" s="2" t="str">
        <f>'Control Panel'!B5</f>
        <v>Calibration method</v>
      </c>
      <c r="C5" s="2" t="str">
        <f>'Control Panel'!C5</f>
        <v>Non-linear least square residual</v>
      </c>
      <c r="E5" s="2" t="str">
        <f>IF(T5=1,IF('Control Panel'!E4="","",'Control Panel'!E4),"")</f>
        <v>Cowden_Clay</v>
      </c>
      <c r="F5" s="2" t="str">
        <f>IF(T5=1,IF('Control Panel'!F4="","",'Control Panel'!F4),"")</f>
        <v>PISA</v>
      </c>
      <c r="G5" s="2">
        <f>IF(T5=1,IF('Control Panel'!G4="","",'Control Panel'!G4),"")</f>
        <v>0</v>
      </c>
      <c r="H5" s="2" t="str">
        <f>IF(T5=1,IF('Control Panel'!H4="","",'Control Panel'!H4),"")</f>
        <v>Loc_69_Clay_1</v>
      </c>
      <c r="I5" s="42">
        <f>IF(T5=1,IF('Control Panel'!I4="","",'Control Panel'!I4),"")</f>
        <v>1</v>
      </c>
      <c r="J5" s="36">
        <f>IF($I5="","",IF(J$4="","",IF('Control Panel'!J4="",VLOOKUP($E5,'Table Output'!$A$2:$BR$1048576,MATCH(J$4,'Table Output'!$A$1:$BQ$1,0),),'Control Panel'!J4)))</f>
        <v>200</v>
      </c>
      <c r="K5" s="36">
        <f>IF($I5="","",IF(K$4="","",IF('Control Panel'!K4="",VLOOKUP($E5,'Table Output'!$A$2:$BR$1048576,MATCH(K$4,'Table Output'!$A$1:$BQ$1,0),),'Control Panel'!K4)))</f>
        <v>10.210000000000001</v>
      </c>
      <c r="L5" s="36">
        <f>IF($I5="","",IF(L$4="","",IF('Control Panel'!L4="",VLOOKUP($E5,'Table Output'!$A$2:$BR$1048576,MATCH(L$4,'Table Output'!$A$1:$BQ$1,0),),'Control Panel'!L4)))</f>
        <v>-1.1000000000000001</v>
      </c>
      <c r="M5" s="36">
        <f>IF($I5="","",IF(M$4="","",IF('Control Panel'!M4="",VLOOKUP($E5,'Table Output'!$A$2:$BR$1048576,MATCH(M$4,'Table Output'!$A$1:$BQ$1,0),),'Control Panel'!M4)))</f>
        <v>-0.05</v>
      </c>
      <c r="N5" s="36">
        <f>IF($I5="","",IF(N$4="","",IF('Control Panel'!N4="",VLOOKUP($E5,'Table Output'!$A$2:$BR$1048576,MATCH(N$4,'Table Output'!$A$1:$BQ$1,0),),'Control Panel'!N4)))</f>
        <v>8.1199999999999992</v>
      </c>
      <c r="O5" s="36" t="str">
        <f>IF($I5="","",IF(O$4="","",IF('Control Panel'!O4="",VLOOKUP($E5,'Table Output'!$A$2:$BR$1048576,MATCH(O$4,'Table Output'!$A$1:$BQ$1,0),),'Control Panel'!O4)))</f>
        <v/>
      </c>
      <c r="P5" s="36" t="str">
        <f>IF($I5="","",IF(P$4="","",IF('Control Panel'!P4="",VLOOKUP($E5,'Table Output'!$A$2:$BR$1048576,MATCH(P$4,'Table Output'!$A$1:$BQ$1,0),),'Control Panel'!P4)))</f>
        <v/>
      </c>
      <c r="Q5" s="36" t="str">
        <f>IF($I5="","",IF(Q$4="","",IF('Control Panel'!Q4="",VLOOKUP($E5,'Table Output'!$A$2:$BR$1048576,MATCH(Q$4,'Table Output'!$A$1:$BQ$1,0),),'Control Panel'!Q4)))</f>
        <v/>
      </c>
      <c r="R5" s="36" t="str">
        <f>IF($I5="","",IF(R$4="","",IF('Control Panel'!R4="",VLOOKUP($E5,'Table Output'!$A$2:$BR$1048576,MATCH(R$4,'Table Output'!$A$1:$BQ$1,0),),'Control Panel'!R4)))</f>
        <v/>
      </c>
      <c r="S5" s="36" t="str">
        <f>IF($I5="","",IF(S$4="","",IF('Control Panel'!S4="",VLOOKUP($E5,'Table Output'!$A$2:$BR$1048576,MATCH(S$4,'Table Output'!$A$1:$BQ$1,0),),'Control Panel'!S4)))</f>
        <v/>
      </c>
      <c r="T5" s="2">
        <f>IF('Control Panel'!T4="","",'Control Panel'!T4)</f>
        <v>1</v>
      </c>
      <c r="U5" s="36">
        <f>IF($I5="","",IF('Control Panel'!U4="",VLOOKUP($E5,'Table Output'!$A$2:$BR$99998,MATCH(U$4,'Table Output'!$A$1:$BQ$1,0),),'Control Panel'!U4))</f>
        <v>0</v>
      </c>
      <c r="V5" s="36">
        <f>IF($I5="","",IF('Control Panel'!V4="",VLOOKUP($E5,'Table Output'!$A$2:$BR$99998,MATCH(V$4,'Table Output'!$A$1:$BQ$1,0),),'Control Panel'!V4))</f>
        <v>2</v>
      </c>
      <c r="W5" s="36">
        <f>IF($I5="","",IF('Control Panel'!W4="",VLOOKUP($E5,'Table Output'!$A$2:$BR$99998,MATCH(W$4,'Table Output'!$A$1:$BQ$1,0),),'Control Panel'!W4))</f>
        <v>1</v>
      </c>
      <c r="X5" s="36">
        <f>IF($I5="","",IF('Control Panel'!X4="",VLOOKUP($E5,'Table Output'!$A$2:$BR$99998,MATCH(X$4,'Table Output'!$A$1:$BQ$1,0),),'Control Panel'!X4))</f>
        <v>1</v>
      </c>
      <c r="Y5" s="36">
        <f>IF($I5="","",IF('Control Panel'!Y4="",VLOOKUP($E5,'Table Output'!$A$2:$BR$99998,MATCH(Y$4,'Table Output'!$A$1:$BQ$1,0),),'Control Panel'!Y4))</f>
        <v>0</v>
      </c>
      <c r="Z5" s="36">
        <f>IF($I5="","",IF('Control Panel'!Z4="",VLOOKUP($E5,'Table Output'!$A$2:$BR$99998,MATCH(Z$4,'Table Output'!$A$1:$BQ$1,0),),'Control Panel'!Z4))</f>
        <v>1</v>
      </c>
      <c r="AA5" s="36">
        <f>IF($I5="","",IF('Control Panel'!AA4="",VLOOKUP($E5,'Table Output'!$A$2:$BR$99998,MATCH(AA$4,'Table Output'!$A$1:$BQ$1,0),),'Control Panel'!AA4))</f>
        <v>1</v>
      </c>
      <c r="AB5" s="36">
        <f>IF($I5="","",IF('Control Panel'!AB4="",VLOOKUP($E5,'Table Output'!$A$2:$BR$99998,MATCH(AB$4,'Table Output'!$A$1:$BQ$1,0),),'Control Panel'!AB4))</f>
        <v>0</v>
      </c>
      <c r="AC5" s="36">
        <f>IF($I5="","",IF('Control Panel'!AC4="",VLOOKUP($E5,'Table Output'!$A$2:$BR$99998,MATCH(AC$4,'Table Output'!$A$1:$BQ$1,0),),'Control Panel'!AC4))</f>
        <v>0</v>
      </c>
      <c r="AD5" s="36">
        <f>IF($I5="","",IF('Control Panel'!AD4="",VLOOKUP($E5,'Table Output'!$A$2:$BR$99998,MATCH(AD$4,'Table Output'!$A$1:$BQ$1,0),),'Control Panel'!AD4))</f>
        <v>1</v>
      </c>
      <c r="AE5" s="36">
        <f>IF($I5="","",IF('Control Panel'!AE4="",VLOOKUP($E5,'Table Output'!$A$2:$BR$99998,MATCH(AE$4,'Table Output'!$A$1:$BQ$1,0),),'Control Panel'!AE4))</f>
        <v>1</v>
      </c>
      <c r="AF5" s="36">
        <f>IF($I5="","",IF('Control Panel'!AF4="",VLOOKUP($E5,'Table Output'!$A$2:$BR$99998,MATCH(AF$4,'Table Output'!$A$1:$BQ$1,0),),'Control Panel'!AF4))</f>
        <v>1</v>
      </c>
      <c r="AG5" s="36">
        <f>IF($I5="","",IF('Control Panel'!AG4="",VLOOKUP($E5,'Table Output'!$A$2:$BR$99998,MATCH(AG$4,'Table Output'!$A$1:$BQ$1,0),),'Control Panel'!AG4))</f>
        <v>0</v>
      </c>
      <c r="AH5" s="36">
        <f>IF($I5="","",IF('Control Panel'!AH4="",VLOOKUP($E5,'Table Output'!$A$2:$BR$99998,MATCH(AH$4,'Table Output'!$A$1:$BQ$1,0),),'Control Panel'!AH4))</f>
        <v>1</v>
      </c>
      <c r="AI5" s="36">
        <f>IF($I5="","",IF('Control Panel'!AI4="",VLOOKUP($E5,'Table Output'!$A$2:$BR$99998,MATCH(AI$4,'Table Output'!$A$1:$BQ$1,0),),'Control Panel'!AI4))</f>
        <v>1</v>
      </c>
      <c r="AJ5" s="36">
        <f>IF($I5="","",IF('Control Panel'!AJ4="",VLOOKUP($E5,'Table Output'!$A$2:$BR$99998,MATCH(AJ$4,'Table Output'!$A$1:$BQ$1,0),),'Control Panel'!AJ4))</f>
        <v>1</v>
      </c>
      <c r="AL5" s="51">
        <f>I5</f>
        <v>1</v>
      </c>
      <c r="AM5" s="48">
        <f>IF(AM$4="","",IF($I5="","",IF('Control Panel'!AM4="",VLOOKUP($E5,'Table Output'!$A$2:$BR$99998,MATCH(AM$4,'Table Output'!$A$1:$BQ$1,0),FALSE),'Control Panel'!AM4)))</f>
        <v>1</v>
      </c>
      <c r="AN5" s="48" t="str">
        <f>IF(AN$4="","",IF($I5="","",IF('Control Panel'!AN4="",VLOOKUP($E5,'Table Output'!$A$2:$BR$99998,MATCH(AN$4,'Table Output'!$A$1:$BQ$1,0),FALSE),'Control Panel'!AN4)))</f>
        <v/>
      </c>
      <c r="AO5" s="48" t="str">
        <f>IF(AO$4="","",IF($I5="","",IF('Control Panel'!AO4="",VLOOKUP($E5,'Table Output'!$A$2:$BR$99998,MATCH(AO$4,'Table Output'!$A$1:$BQ$1,0),FALSE),'Control Panel'!AO4)))</f>
        <v/>
      </c>
      <c r="AP5" s="48" t="str">
        <f>IF(AP$4="","",IF($I5="","",IF('Control Panel'!AP4="",VLOOKUP($E5,'Table Output'!$A$2:$BR$99998,MATCH(AP$4,'Table Output'!$A$1:$BQ$1,0),FALSE),'Control Panel'!AP4)))</f>
        <v/>
      </c>
      <c r="AQ5" s="48" t="str">
        <f>IF(AQ$4="","",IF($I5="","",IF('Control Panel'!AQ4="",VLOOKUP($E5,'Table Output'!$A$2:$BR$99998,MATCH(AQ$4,'Table Output'!$A$1:$BQ$1,0),FALSE),'Control Panel'!AQ4)))</f>
        <v/>
      </c>
      <c r="AR5" s="48" t="str">
        <f>IF(AR$4="","",IF($I5="","",IF('Control Panel'!AR4="",VLOOKUP($E5,'Table Output'!$A$2:$BR$99998,MATCH(AR$4,'Table Output'!$A$1:$BQ$1,0),FALSE),'Control Panel'!AR4)))</f>
        <v/>
      </c>
      <c r="AS5" s="48" t="str">
        <f>IF(AS$4="","",IF($I5="","",IF('Control Panel'!AS4="",VLOOKUP($E5,'Table Output'!$A$2:$BR$99998,MATCH(AS$4,'Table Output'!$A$1:$BQ$1,0),FALSE),'Control Panel'!AS4)))</f>
        <v/>
      </c>
      <c r="AT5" s="48" t="str">
        <f>IF(AT$4="","",IF($I5="","",IF('Control Panel'!AT4="",VLOOKUP($E5,'Table Output'!$A$2:$BR$99998,MATCH(AT$4,'Table Output'!$A$1:$BQ$1,0),FALSE),'Control Panel'!AT4)))</f>
        <v/>
      </c>
      <c r="AU5" s="48" t="str">
        <f>IF(AU$4="","",IF($I5="","",IF('Control Panel'!AU4="",VLOOKUP($E5,'Table Output'!$A$2:$BR$99998,MATCH(AU$4,'Table Output'!$A$1:$BQ$1,0),FALSE),'Control Panel'!AU4)))</f>
        <v/>
      </c>
      <c r="BH5" s="2" t="s">
        <v>138</v>
      </c>
      <c r="BI5" s="2" t="s">
        <v>92</v>
      </c>
    </row>
    <row r="6" spans="1:61" ht="12" thickBot="1" x14ac:dyDescent="0.2">
      <c r="B6" s="2" t="str">
        <f>'Control Panel'!B6</f>
        <v>Cost function</v>
      </c>
      <c r="C6" s="2" t="str">
        <f>'Control Panel'!C6</f>
        <v>Vector</v>
      </c>
      <c r="E6" s="2" t="str">
        <f>IF(T6=1,IF('Control Panel'!E5="","",'Control Panel'!E5),"")</f>
        <v>Sand_75</v>
      </c>
      <c r="F6" s="2" t="str">
        <f>IF(T6=1,IF('Control Panel'!F5="","",'Control Panel'!F5),"")</f>
        <v>PISA</v>
      </c>
      <c r="G6" s="2">
        <f>IF(T6=1,IF('Control Panel'!G5="","",'Control Panel'!G5),"")</f>
        <v>1</v>
      </c>
      <c r="H6" s="2" t="str">
        <f>IF(T6=1,IF('Control Panel'!H5="","",'Control Panel'!H5),"")</f>
        <v>Loc_69_Sand_1</v>
      </c>
      <c r="I6" s="42">
        <f>IF(T6=1,IF('Control Panel'!I5="","",'Control Panel'!I5),"")</f>
        <v>2</v>
      </c>
      <c r="J6" s="36">
        <f>IF($I6="","",IF(J$4="","",IF('Control Panel'!J5="",VLOOKUP($E6,'Table Output'!$A$2:$BR$1048576,MATCH(J$4,'Table Output'!$A$1:$BQ$1,0),),'Control Panel'!J5)))</f>
        <v>77.017499999999998</v>
      </c>
      <c r="K6" s="36">
        <f>IF($I6="","",IF(K$4="","",IF('Control Panel'!K5="",VLOOKUP($E6,'Table Output'!$A$2:$BR$1048576,MATCH(K$4,'Table Output'!$A$1:$BQ$1,0),),'Control Panel'!K5)))</f>
        <v>-6.3375000000000004</v>
      </c>
      <c r="L6" s="36">
        <f>IF($I6="","",IF(L$4="","",IF('Control Panel'!L5="",VLOOKUP($E6,'Table Output'!$A$2:$BR$1048576,MATCH(L$4,'Table Output'!$A$1:$BQ$1,0),),'Control Panel'!L5)))</f>
        <v>-0.91779999999999995</v>
      </c>
      <c r="M6" s="36">
        <f>IF($I6="","",IF(M$4="","",IF('Control Panel'!M5="",VLOOKUP($E6,'Table Output'!$A$2:$BR$1048576,MATCH(M$4,'Table Output'!$A$1:$BQ$1,0),),'Control Panel'!M5)))</f>
        <v>0.96344750000000001</v>
      </c>
      <c r="N6" s="36">
        <f>IF($I6="","",IF(N$4="","",IF('Control Panel'!N5="",VLOOKUP($E6,'Table Output'!$A$2:$BR$1048576,MATCH(N$4,'Table Output'!$A$1:$BQ$1,0),),'Control Panel'!N5)))</f>
        <v>8.2063500000000005</v>
      </c>
      <c r="O6" s="36" t="str">
        <f>IF($I6="","",IF(O$4="","",IF('Control Panel'!O5="",VLOOKUP($E6,'Table Output'!$A$2:$BR$1048576,MATCH(O$4,'Table Output'!$A$1:$BQ$1,0),),'Control Panel'!O5)))</f>
        <v/>
      </c>
      <c r="P6" s="36" t="str">
        <f>IF($I6="","",IF(P$4="","",IF('Control Panel'!P5="",VLOOKUP($E6,'Table Output'!$A$2:$BR$1048576,MATCH(P$4,'Table Output'!$A$1:$BQ$1,0),),'Control Panel'!P5)))</f>
        <v/>
      </c>
      <c r="Q6" s="36" t="str">
        <f>IF($I6="","",IF(Q$4="","",IF('Control Panel'!Q5="",VLOOKUP($E6,'Table Output'!$A$2:$BR$1048576,MATCH(Q$4,'Table Output'!$A$1:$BQ$1,0),),'Control Panel'!Q5)))</f>
        <v/>
      </c>
      <c r="R6" s="36" t="str">
        <f>IF($I6="","",IF(R$4="","",IF('Control Panel'!R5="",VLOOKUP($E6,'Table Output'!$A$2:$BR$1048576,MATCH(R$4,'Table Output'!$A$1:$BQ$1,0),),'Control Panel'!R5)))</f>
        <v/>
      </c>
      <c r="S6" s="36" t="str">
        <f>IF($I6="","",IF(S$4="","",IF('Control Panel'!S5="",VLOOKUP($E6,'Table Output'!$A$2:$BR$1048576,MATCH(S$4,'Table Output'!$A$1:$BQ$1,0),),'Control Panel'!S5)))</f>
        <v/>
      </c>
      <c r="T6" s="2">
        <f>IF('Control Panel'!T5="","",'Control Panel'!T5)</f>
        <v>1</v>
      </c>
      <c r="U6" s="36">
        <f>IF($I6="","",IF('Control Panel'!U5="",VLOOKUP($E6,'Table Output'!$A$2:$BR$99998,MATCH(U$4,'Table Output'!$A$1:$BQ$1,0),),'Control Panel'!U5))</f>
        <v>0</v>
      </c>
      <c r="V6" s="36">
        <f>IF($I6="","",IF('Control Panel'!V5="",VLOOKUP($E6,'Table Output'!$A$2:$BR$99998,MATCH(V$4,'Table Output'!$A$1:$BQ$1,0),),'Control Panel'!V5))</f>
        <v>1</v>
      </c>
      <c r="W6" s="36">
        <f>IF($I6="","",IF('Control Panel'!W5="",VLOOKUP($E6,'Table Output'!$A$2:$BR$99998,MATCH(W$4,'Table Output'!$A$1:$BQ$1,0),),'Control Panel'!W5))</f>
        <v>1</v>
      </c>
      <c r="X6" s="36">
        <f>IF($I6="","",IF('Control Panel'!X5="",VLOOKUP($E6,'Table Output'!$A$2:$BR$99998,MATCH(X$4,'Table Output'!$A$1:$BQ$1,0),),'Control Panel'!X5))</f>
        <v>0</v>
      </c>
      <c r="Y6" s="36">
        <f>IF($I6="","",IF('Control Panel'!Y5="",VLOOKUP($E6,'Table Output'!$A$2:$BR$99998,MATCH(Y$4,'Table Output'!$A$1:$BQ$1,0),),'Control Panel'!Y5))</f>
        <v>0</v>
      </c>
      <c r="Z6" s="36">
        <f>IF($I6="","",IF('Control Panel'!Z5="",VLOOKUP($E6,'Table Output'!$A$2:$BR$99998,MATCH(Z$4,'Table Output'!$A$1:$BQ$1,0),),'Control Panel'!Z5))</f>
        <v>1</v>
      </c>
      <c r="AA6" s="36">
        <f>IF($I6="","",IF('Control Panel'!AA5="",VLOOKUP($E6,'Table Output'!$A$2:$BR$99998,MATCH(AA$4,'Table Output'!$A$1:$BQ$1,0),),'Control Panel'!AA5))</f>
        <v>0</v>
      </c>
      <c r="AB6" s="36">
        <f>IF($I6="","",IF('Control Panel'!AB5="",VLOOKUP($E6,'Table Output'!$A$2:$BR$99998,MATCH(AB$4,'Table Output'!$A$1:$BQ$1,0),),'Control Panel'!AB5))</f>
        <v>0</v>
      </c>
      <c r="AC6" s="36">
        <f>IF($I6="","",IF('Control Panel'!AC5="",VLOOKUP($E6,'Table Output'!$A$2:$BR$99998,MATCH(AC$4,'Table Output'!$A$1:$BQ$1,0),),'Control Panel'!AC5))</f>
        <v>1</v>
      </c>
      <c r="AD6" s="36">
        <f>IF($I6="","",IF('Control Panel'!AD5="",VLOOKUP($E6,'Table Output'!$A$2:$BR$99998,MATCH(AD$4,'Table Output'!$A$1:$BQ$1,0),),'Control Panel'!AD5))</f>
        <v>1</v>
      </c>
      <c r="AE6" s="36">
        <f>IF($I6="","",IF('Control Panel'!AE5="",VLOOKUP($E6,'Table Output'!$A$2:$BR$99998,MATCH(AE$4,'Table Output'!$A$1:$BQ$1,0),),'Control Panel'!AE5))</f>
        <v>1</v>
      </c>
      <c r="AF6" s="36">
        <f>IF($I6="","",IF('Control Panel'!AF5="",VLOOKUP($E6,'Table Output'!$A$2:$BR$99998,MATCH(AF$4,'Table Output'!$A$1:$BQ$1,0),),'Control Panel'!AF5))</f>
        <v>1</v>
      </c>
      <c r="AG6" s="36">
        <f>IF($I6="","",IF('Control Panel'!AG5="",VLOOKUP($E6,'Table Output'!$A$2:$BR$99998,MATCH(AG$4,'Table Output'!$A$1:$BQ$1,0),),'Control Panel'!AG5))</f>
        <v>0</v>
      </c>
      <c r="AH6" s="36">
        <f>IF($I6="","",IF('Control Panel'!AH5="",VLOOKUP($E6,'Table Output'!$A$2:$BR$99998,MATCH(AH$4,'Table Output'!$A$1:$BQ$1,0),),'Control Panel'!AH5))</f>
        <v>1</v>
      </c>
      <c r="AI6" s="36">
        <f>IF($I6="","",IF('Control Panel'!AI5="",VLOOKUP($E6,'Table Output'!$A$2:$BR$99998,MATCH(AI$4,'Table Output'!$A$1:$BQ$1,0),),'Control Panel'!AI5))</f>
        <v>0</v>
      </c>
      <c r="AJ6" s="36">
        <f>IF($I6="","",IF('Control Panel'!AJ5="",VLOOKUP($E6,'Table Output'!$A$2:$BR$99998,MATCH(AJ$4,'Table Output'!$A$1:$BQ$1,0),),'Control Panel'!AJ5))</f>
        <v>0</v>
      </c>
      <c r="AL6" s="51">
        <f t="shared" ref="AL6:AL24" si="0">I6</f>
        <v>2</v>
      </c>
      <c r="AM6" s="48">
        <f>IF(AM$4="","",IF($I6="","",IF('Control Panel'!AM5="",VLOOKUP($E6,'Table Output'!$A$2:$BR$99998,MATCH(AM$4,'Table Output'!$A$1:$BQ$1,0),FALSE),'Control Panel'!AM5)))</f>
        <v>1</v>
      </c>
      <c r="AN6" s="48" t="str">
        <f>IF(AN$4="","",IF($I6="","",IF('Control Panel'!AN5="",VLOOKUP($E6,'Table Output'!$A$2:$BR$99998,MATCH(AN$4,'Table Output'!$A$1:$BQ$1,0),FALSE),'Control Panel'!AN5)))</f>
        <v/>
      </c>
      <c r="AO6" s="48" t="str">
        <f>IF(AO$4="","",IF($I6="","",IF('Control Panel'!AO5="",VLOOKUP($E6,'Table Output'!$A$2:$BR$99998,MATCH(AO$4,'Table Output'!$A$1:$BQ$1,0),FALSE),'Control Panel'!AO5)))</f>
        <v/>
      </c>
      <c r="AP6" s="48" t="str">
        <f>IF(AP$4="","",IF($I6="","",IF('Control Panel'!AP5="",VLOOKUP($E6,'Table Output'!$A$2:$BR$99998,MATCH(AP$4,'Table Output'!$A$1:$BQ$1,0),FALSE),'Control Panel'!AP5)))</f>
        <v/>
      </c>
      <c r="AQ6" s="48" t="str">
        <f>IF(AQ$4="","",IF($I6="","",IF('Control Panel'!AQ5="",VLOOKUP($E6,'Table Output'!$A$2:$BR$99998,MATCH(AQ$4,'Table Output'!$A$1:$BQ$1,0),FALSE),'Control Panel'!AQ5)))</f>
        <v/>
      </c>
      <c r="AR6" s="48" t="str">
        <f>IF(AR$4="","",IF($I6="","",IF('Control Panel'!AR5="",VLOOKUP($E6,'Table Output'!$A$2:$BR$99998,MATCH(AR$4,'Table Output'!$A$1:$BQ$1,0),FALSE),'Control Panel'!AR5)))</f>
        <v/>
      </c>
      <c r="AS6" s="48" t="str">
        <f>IF(AS$4="","",IF($I6="","",IF('Control Panel'!AS5="",VLOOKUP($E6,'Table Output'!$A$2:$BR$99998,MATCH(AS$4,'Table Output'!$A$1:$BQ$1,0),FALSE),'Control Panel'!AS5)))</f>
        <v/>
      </c>
      <c r="AT6" s="48" t="str">
        <f>IF(AT$4="","",IF($I6="","",IF('Control Panel'!AT5="",VLOOKUP($E6,'Table Output'!$A$2:$BR$99998,MATCH(AT$4,'Table Output'!$A$1:$BQ$1,0),FALSE),'Control Panel'!AT5)))</f>
        <v/>
      </c>
      <c r="AU6" s="48" t="str">
        <f>IF(AU$4="","",IF($I6="","",IF('Control Panel'!AU5="",VLOOKUP($E6,'Table Output'!$A$2:$BR$99998,MATCH(AU$4,'Table Output'!$A$1:$BQ$1,0),FALSE),'Control Panel'!AU5)))</f>
        <v/>
      </c>
      <c r="BH6" s="2" t="s">
        <v>139</v>
      </c>
      <c r="BI6" s="2" t="s">
        <v>93</v>
      </c>
    </row>
    <row r="7" spans="1:61" ht="12" thickBot="1" x14ac:dyDescent="0.2">
      <c r="B7" s="2" t="str">
        <f>'Control Panel'!B7</f>
        <v>Involvement</v>
      </c>
      <c r="C7" s="2" t="str">
        <f>'Control Panel'!C7</f>
        <v>def_mom_defmud</v>
      </c>
      <c r="E7" s="2" t="str">
        <f>IF(T7=1,IF('Control Panel'!E6="","",'Control Panel'!E6),"")</f>
        <v/>
      </c>
      <c r="F7" s="2" t="str">
        <f>IF(T7=1,IF('Control Panel'!F6="","",'Control Panel'!F6),"")</f>
        <v/>
      </c>
      <c r="G7" s="2" t="str">
        <f>IF(T7=1,IF('Control Panel'!G6="","",'Control Panel'!G6),"")</f>
        <v/>
      </c>
      <c r="H7" s="2" t="str">
        <f>IF(T7=1,IF('Control Panel'!H6="","",'Control Panel'!H6),"")</f>
        <v/>
      </c>
      <c r="I7" s="42" t="str">
        <f>IF(T7=1,IF('Control Panel'!I6="","",'Control Panel'!I6),"")</f>
        <v/>
      </c>
      <c r="J7" s="36" t="str">
        <f>IF($I7="","",IF(J$4="","",IF('Control Panel'!J6="",VLOOKUP($E7,'Table Output'!$A$2:$BR$1048576,MATCH(J$4,'Table Output'!$A$1:$BQ$1,0),),'Control Panel'!J6)))</f>
        <v/>
      </c>
      <c r="K7" s="36" t="str">
        <f>IF($I7="","",IF(K$4="","",IF('Control Panel'!K6="",VLOOKUP($E7,'Table Output'!$A$2:$BR$1048576,MATCH(K$4,'Table Output'!$A$1:$BQ$1,0),),'Control Panel'!K6)))</f>
        <v/>
      </c>
      <c r="L7" s="36" t="str">
        <f>IF($I7="","",IF(L$4="","",IF('Control Panel'!L6="",VLOOKUP($E7,'Table Output'!$A$2:$BR$1048576,MATCH(L$4,'Table Output'!$A$1:$BQ$1,0),),'Control Panel'!L6)))</f>
        <v/>
      </c>
      <c r="M7" s="36" t="str">
        <f>IF($I7="","",IF(M$4="","",IF('Control Panel'!M6="",VLOOKUP($E7,'Table Output'!$A$2:$BR$1048576,MATCH(M$4,'Table Output'!$A$1:$BQ$1,0),),'Control Panel'!M6)))</f>
        <v/>
      </c>
      <c r="N7" s="36" t="str">
        <f>IF($I7="","",IF(N$4="","",IF('Control Panel'!N6="",VLOOKUP($E7,'Table Output'!$A$2:$BR$1048576,MATCH(N$4,'Table Output'!$A$1:$BQ$1,0),),'Control Panel'!N6)))</f>
        <v/>
      </c>
      <c r="O7" s="36" t="str">
        <f>IF($I7="","",IF(O$4="","",IF('Control Panel'!O6="",VLOOKUP($E7,'Table Output'!$A$2:$BR$1048576,MATCH(O$4,'Table Output'!$A$1:$BQ$1,0),),'Control Panel'!O6)))</f>
        <v/>
      </c>
      <c r="P7" s="36" t="str">
        <f>IF($I7="","",IF(P$4="","",IF('Control Panel'!P6="",VLOOKUP($E7,'Table Output'!$A$2:$BR$1048576,MATCH(P$4,'Table Output'!$A$1:$BQ$1,0),),'Control Panel'!P6)))</f>
        <v/>
      </c>
      <c r="Q7" s="36" t="str">
        <f>IF($I7="","",IF(Q$4="","",IF('Control Panel'!Q6="",VLOOKUP($E7,'Table Output'!$A$2:$BR$1048576,MATCH(Q$4,'Table Output'!$A$1:$BQ$1,0),),'Control Panel'!Q6)))</f>
        <v/>
      </c>
      <c r="R7" s="36" t="str">
        <f>IF($I7="","",IF(R$4="","",IF('Control Panel'!R6="",VLOOKUP($E7,'Table Output'!$A$2:$BR$1048576,MATCH(R$4,'Table Output'!$A$1:$BQ$1,0),),'Control Panel'!R6)))</f>
        <v/>
      </c>
      <c r="S7" s="36" t="str">
        <f>IF($I7="","",IF(S$4="","",IF('Control Panel'!S6="",VLOOKUP($E7,'Table Output'!$A$2:$BR$1048576,MATCH(S$4,'Table Output'!$A$1:$BQ$1,0),),'Control Panel'!S6)))</f>
        <v/>
      </c>
      <c r="T7" s="2">
        <f>IF('Control Panel'!T6="","",'Control Panel'!T6)</f>
        <v>0</v>
      </c>
      <c r="U7" s="36" t="str">
        <f>IF($I7="","",IF('Control Panel'!U6="",VLOOKUP($E7,'Table Output'!$A$2:$BR$99998,MATCH(U$4,'Table Output'!$A$1:$BQ$1,0),),'Control Panel'!U6))</f>
        <v/>
      </c>
      <c r="V7" s="36" t="str">
        <f>IF($I7="","",IF('Control Panel'!V6="",VLOOKUP($E7,'Table Output'!$A$2:$BR$99998,MATCH(V$4,'Table Output'!$A$1:$BQ$1,0),),'Control Panel'!V6))</f>
        <v/>
      </c>
      <c r="W7" s="36" t="str">
        <f>IF($I7="","",IF('Control Panel'!W6="",VLOOKUP($E7,'Table Output'!$A$2:$BR$99998,MATCH(W$4,'Table Output'!$A$1:$BQ$1,0),),'Control Panel'!W6))</f>
        <v/>
      </c>
      <c r="X7" s="36" t="str">
        <f>IF($I7="","",IF('Control Panel'!X6="",VLOOKUP($E7,'Table Output'!$A$2:$BR$99998,MATCH(X$4,'Table Output'!$A$1:$BQ$1,0),),'Control Panel'!X6))</f>
        <v/>
      </c>
      <c r="Y7" s="36" t="str">
        <f>IF($I7="","",IF('Control Panel'!Y6="",VLOOKUP($E7,'Table Output'!$A$2:$BR$99998,MATCH(Y$4,'Table Output'!$A$1:$BQ$1,0),),'Control Panel'!Y6))</f>
        <v/>
      </c>
      <c r="Z7" s="36" t="str">
        <f>IF($I7="","",IF('Control Panel'!Z6="",VLOOKUP($E7,'Table Output'!$A$2:$BR$99998,MATCH(Z$4,'Table Output'!$A$1:$BQ$1,0),),'Control Panel'!Z6))</f>
        <v/>
      </c>
      <c r="AA7" s="36" t="str">
        <f>IF($I7="","",IF('Control Panel'!AA6="",VLOOKUP($E7,'Table Output'!$A$2:$BR$99998,MATCH(AA$4,'Table Output'!$A$1:$BQ$1,0),),'Control Panel'!AA6))</f>
        <v/>
      </c>
      <c r="AB7" s="36" t="str">
        <f>IF($I7="","",IF('Control Panel'!AB6="",VLOOKUP($E7,'Table Output'!$A$2:$BR$99998,MATCH(AB$4,'Table Output'!$A$1:$BQ$1,0),),'Control Panel'!AB6))</f>
        <v/>
      </c>
      <c r="AC7" s="36" t="str">
        <f>IF($I7="","",IF('Control Panel'!AC6="",VLOOKUP($E7,'Table Output'!$A$2:$BR$99998,MATCH(AC$4,'Table Output'!$A$1:$BQ$1,0),),'Control Panel'!AC6))</f>
        <v/>
      </c>
      <c r="AD7" s="36" t="str">
        <f>IF($I7="","",IF('Control Panel'!AD6="",VLOOKUP($E7,'Table Output'!$A$2:$BR$99998,MATCH(AD$4,'Table Output'!$A$1:$BQ$1,0),),'Control Panel'!AD6))</f>
        <v/>
      </c>
      <c r="AE7" s="36" t="str">
        <f>IF($I7="","",IF('Control Panel'!AE6="",VLOOKUP($E7,'Table Output'!$A$2:$BR$99998,MATCH(AE$4,'Table Output'!$A$1:$BQ$1,0),),'Control Panel'!AE6))</f>
        <v/>
      </c>
      <c r="AF7" s="36" t="str">
        <f>IF($I7="","",IF('Control Panel'!AF6="",VLOOKUP($E7,'Table Output'!$A$2:$BR$99998,MATCH(AF$4,'Table Output'!$A$1:$BQ$1,0),),'Control Panel'!AF6))</f>
        <v/>
      </c>
      <c r="AG7" s="36" t="str">
        <f>IF($I7="","",IF('Control Panel'!AG6="",VLOOKUP($E7,'Table Output'!$A$2:$BR$99998,MATCH(AG$4,'Table Output'!$A$1:$BQ$1,0),),'Control Panel'!AG6))</f>
        <v/>
      </c>
      <c r="AH7" s="36" t="str">
        <f>IF($I7="","",IF('Control Panel'!AH6="",VLOOKUP($E7,'Table Output'!$A$2:$BR$99998,MATCH(AH$4,'Table Output'!$A$1:$BQ$1,0),),'Control Panel'!AH6))</f>
        <v/>
      </c>
      <c r="AI7" s="36" t="str">
        <f>IF($I7="","",IF('Control Panel'!AI6="",VLOOKUP($E7,'Table Output'!$A$2:$BR$99998,MATCH(AI$4,'Table Output'!$A$1:$BQ$1,0),),'Control Panel'!AI6))</f>
        <v/>
      </c>
      <c r="AJ7" s="36" t="str">
        <f>IF($I7="","",IF('Control Panel'!AJ6="",VLOOKUP($E7,'Table Output'!$A$2:$BR$99998,MATCH(AJ$4,'Table Output'!$A$1:$BQ$1,0),),'Control Panel'!AJ6))</f>
        <v/>
      </c>
      <c r="AL7" s="51" t="str">
        <f t="shared" si="0"/>
        <v/>
      </c>
      <c r="AM7" s="48" t="str">
        <f>IF(AM$4="","",IF($I7="","",IF('Control Panel'!AM6="",VLOOKUP($E7,'Table Output'!$A$2:$BR$99998,MATCH(AM$4,'Table Output'!$A$1:$BQ$1,0),FALSE),'Control Panel'!AM6)))</f>
        <v/>
      </c>
      <c r="AN7" s="48" t="str">
        <f>IF(AN$4="","",IF($I7="","",IF('Control Panel'!AN6="",VLOOKUP($E7,'Table Output'!$A$2:$BR$99998,MATCH(AN$4,'Table Output'!$A$1:$BQ$1,0),FALSE),'Control Panel'!AN6)))</f>
        <v/>
      </c>
      <c r="AO7" s="48" t="str">
        <f>IF(AO$4="","",IF($I7="","",IF('Control Panel'!AO6="",VLOOKUP($E7,'Table Output'!$A$2:$BR$99998,MATCH(AO$4,'Table Output'!$A$1:$BQ$1,0),FALSE),'Control Panel'!AO6)))</f>
        <v/>
      </c>
      <c r="AP7" s="48" t="str">
        <f>IF(AP$4="","",IF($I7="","",IF('Control Panel'!AP6="",VLOOKUP($E7,'Table Output'!$A$2:$BR$99998,MATCH(AP$4,'Table Output'!$A$1:$BQ$1,0),FALSE),'Control Panel'!AP6)))</f>
        <v/>
      </c>
      <c r="AQ7" s="48" t="str">
        <f>IF(AQ$4="","",IF($I7="","",IF('Control Panel'!AQ6="",VLOOKUP($E7,'Table Output'!$A$2:$BR$99998,MATCH(AQ$4,'Table Output'!$A$1:$BQ$1,0),FALSE),'Control Panel'!AQ6)))</f>
        <v/>
      </c>
      <c r="AR7" s="48" t="str">
        <f>IF(AR$4="","",IF($I7="","",IF('Control Panel'!AR6="",VLOOKUP($E7,'Table Output'!$A$2:$BR$99998,MATCH(AR$4,'Table Output'!$A$1:$BQ$1,0),FALSE),'Control Panel'!AR6)))</f>
        <v/>
      </c>
      <c r="AS7" s="48" t="str">
        <f>IF(AS$4="","",IF($I7="","",IF('Control Panel'!AS6="",VLOOKUP($E7,'Table Output'!$A$2:$BR$99998,MATCH(AS$4,'Table Output'!$A$1:$BQ$1,0),FALSE),'Control Panel'!AS6)))</f>
        <v/>
      </c>
      <c r="AT7" s="48" t="str">
        <f>IF(AT$4="","",IF($I7="","",IF('Control Panel'!AT6="",VLOOKUP($E7,'Table Output'!$A$2:$BR$99998,MATCH(AT$4,'Table Output'!$A$1:$BQ$1,0),FALSE),'Control Panel'!AT6)))</f>
        <v/>
      </c>
      <c r="AU7" s="48" t="str">
        <f>IF(AU$4="","",IF($I7="","",IF('Control Panel'!AU6="",VLOOKUP($E7,'Table Output'!$A$2:$BR$99998,MATCH(AU$4,'Table Output'!$A$1:$BQ$1,0),FALSE),'Control Panel'!AU6)))</f>
        <v/>
      </c>
      <c r="BH7" s="2" t="s">
        <v>85</v>
      </c>
      <c r="BI7" s="2" t="s">
        <v>93</v>
      </c>
    </row>
    <row r="8" spans="1:61" ht="12" thickBot="1" x14ac:dyDescent="0.2">
      <c r="B8" s="2" t="str">
        <f>'Control Panel'!B8</f>
        <v>Calibration type</v>
      </c>
      <c r="C8" s="2" t="str">
        <f>'Control Panel'!C8</f>
        <v>sqpso</v>
      </c>
      <c r="E8" s="2" t="str">
        <f>IF(T8=1,IF('Control Panel'!E7="","",'Control Panel'!E7),"")</f>
        <v/>
      </c>
      <c r="F8" s="2" t="str">
        <f>IF(T8=1,IF('Control Panel'!F7="","",'Control Panel'!F7),"")</f>
        <v/>
      </c>
      <c r="G8" s="2" t="str">
        <f>IF(T8=1,IF('Control Panel'!G7="","",'Control Panel'!G7),"")</f>
        <v/>
      </c>
      <c r="H8" s="2" t="str">
        <f>IF(T8=1,IF('Control Panel'!H7="","",'Control Panel'!H7),"")</f>
        <v/>
      </c>
      <c r="I8" s="42" t="str">
        <f>IF(T8=1,IF('Control Panel'!I7="","",'Control Panel'!I7),"")</f>
        <v/>
      </c>
      <c r="J8" s="36" t="str">
        <f>IF($I8="","",IF(J$4="","",IF('Control Panel'!J7="",VLOOKUP($E8,'Table Output'!$A$2:$BR$1048576,MATCH(J$4,'Table Output'!$A$1:$BQ$1,0),),'Control Panel'!J7)))</f>
        <v/>
      </c>
      <c r="K8" s="36" t="str">
        <f>IF($I8="","",IF(K$4="","",IF('Control Panel'!K7="",VLOOKUP($E8,'Table Output'!$A$2:$BR$1048576,MATCH(K$4,'Table Output'!$A$1:$BQ$1,0),),'Control Panel'!K7)))</f>
        <v/>
      </c>
      <c r="L8" s="36" t="str">
        <f>IF($I8="","",IF(L$4="","",IF('Control Panel'!L7="",VLOOKUP($E8,'Table Output'!$A$2:$BR$1048576,MATCH(L$4,'Table Output'!$A$1:$BQ$1,0),),'Control Panel'!L7)))</f>
        <v/>
      </c>
      <c r="M8" s="36" t="str">
        <f>IF($I8="","",IF(M$4="","",IF('Control Panel'!M7="",VLOOKUP($E8,'Table Output'!$A$2:$BR$1048576,MATCH(M$4,'Table Output'!$A$1:$BQ$1,0),),'Control Panel'!M7)))</f>
        <v/>
      </c>
      <c r="N8" s="36" t="str">
        <f>IF($I8="","",IF(N$4="","",IF('Control Panel'!N7="",VLOOKUP($E8,'Table Output'!$A$2:$BR$1048576,MATCH(N$4,'Table Output'!$A$1:$BQ$1,0),),'Control Panel'!N7)))</f>
        <v/>
      </c>
      <c r="O8" s="36" t="str">
        <f>IF($I8="","",IF(O$4="","",IF('Control Panel'!O7="",VLOOKUP($E8,'Table Output'!$A$2:$BR$1048576,MATCH(O$4,'Table Output'!$A$1:$BQ$1,0),),'Control Panel'!O7)))</f>
        <v/>
      </c>
      <c r="P8" s="36" t="str">
        <f>IF($I8="","",IF(P$4="","",IF('Control Panel'!P7="",VLOOKUP($E8,'Table Output'!$A$2:$BR$1048576,MATCH(P$4,'Table Output'!$A$1:$BQ$1,0),),'Control Panel'!P7)))</f>
        <v/>
      </c>
      <c r="Q8" s="36" t="str">
        <f>IF($I8="","",IF(Q$4="","",IF('Control Panel'!Q7="",VLOOKUP($E8,'Table Output'!$A$2:$BR$1048576,MATCH(Q$4,'Table Output'!$A$1:$BQ$1,0),),'Control Panel'!Q7)))</f>
        <v/>
      </c>
      <c r="R8" s="36" t="str">
        <f>IF($I8="","",IF(R$4="","",IF('Control Panel'!R7="",VLOOKUP($E8,'Table Output'!$A$2:$BR$1048576,MATCH(R$4,'Table Output'!$A$1:$BQ$1,0),),'Control Panel'!R7)))</f>
        <v/>
      </c>
      <c r="S8" s="36" t="str">
        <f>IF($I8="","",IF(S$4="","",IF('Control Panel'!S7="",VLOOKUP($E8,'Table Output'!$A$2:$BR$1048576,MATCH(S$4,'Table Output'!$A$1:$BQ$1,0),),'Control Panel'!S7)))</f>
        <v/>
      </c>
      <c r="T8" s="2">
        <f>IF('Control Panel'!T7="","",'Control Panel'!T7)</f>
        <v>0</v>
      </c>
      <c r="U8" s="36" t="str">
        <f>IF($I8="","",IF('Control Panel'!U7="",VLOOKUP($E8,'Table Output'!$A$2:$BR$99998,MATCH(U$4,'Table Output'!$A$1:$BQ$1,0),),'Control Panel'!U7))</f>
        <v/>
      </c>
      <c r="V8" s="36" t="str">
        <f>IF($I8="","",IF('Control Panel'!V7="",VLOOKUP($E8,'Table Output'!$A$2:$BR$99998,MATCH(V$4,'Table Output'!$A$1:$BQ$1,0),),'Control Panel'!V7))</f>
        <v/>
      </c>
      <c r="W8" s="36" t="str">
        <f>IF($I8="","",IF('Control Panel'!W7="",VLOOKUP($E8,'Table Output'!$A$2:$BR$99998,MATCH(W$4,'Table Output'!$A$1:$BQ$1,0),),'Control Panel'!W7))</f>
        <v/>
      </c>
      <c r="X8" s="36" t="str">
        <f>IF($I8="","",IF('Control Panel'!X7="",VLOOKUP($E8,'Table Output'!$A$2:$BR$99998,MATCH(X$4,'Table Output'!$A$1:$BQ$1,0),),'Control Panel'!X7))</f>
        <v/>
      </c>
      <c r="Y8" s="36" t="str">
        <f>IF($I8="","",IF('Control Panel'!Y7="",VLOOKUP($E8,'Table Output'!$A$2:$BR$99998,MATCH(Y$4,'Table Output'!$A$1:$BQ$1,0),),'Control Panel'!Y7))</f>
        <v/>
      </c>
      <c r="Z8" s="36" t="str">
        <f>IF($I8="","",IF('Control Panel'!Z7="",VLOOKUP($E8,'Table Output'!$A$2:$BR$99998,MATCH(Z$4,'Table Output'!$A$1:$BQ$1,0),),'Control Panel'!Z7))</f>
        <v/>
      </c>
      <c r="AA8" s="36" t="str">
        <f>IF($I8="","",IF('Control Panel'!AA7="",VLOOKUP($E8,'Table Output'!$A$2:$BR$99998,MATCH(AA$4,'Table Output'!$A$1:$BQ$1,0),),'Control Panel'!AA7))</f>
        <v/>
      </c>
      <c r="AB8" s="36" t="str">
        <f>IF($I8="","",IF('Control Panel'!AB7="",VLOOKUP($E8,'Table Output'!$A$2:$BR$99998,MATCH(AB$4,'Table Output'!$A$1:$BQ$1,0),),'Control Panel'!AB7))</f>
        <v/>
      </c>
      <c r="AC8" s="36" t="str">
        <f>IF($I8="","",IF('Control Panel'!AC7="",VLOOKUP($E8,'Table Output'!$A$2:$BR$99998,MATCH(AC$4,'Table Output'!$A$1:$BQ$1,0),),'Control Panel'!AC7))</f>
        <v/>
      </c>
      <c r="AD8" s="36" t="str">
        <f>IF($I8="","",IF('Control Panel'!AD7="",VLOOKUP($E8,'Table Output'!$A$2:$BR$99998,MATCH(AD$4,'Table Output'!$A$1:$BQ$1,0),),'Control Panel'!AD7))</f>
        <v/>
      </c>
      <c r="AE8" s="36" t="str">
        <f>IF($I8="","",IF('Control Panel'!AE7="",VLOOKUP($E8,'Table Output'!$A$2:$BR$99998,MATCH(AE$4,'Table Output'!$A$1:$BQ$1,0),),'Control Panel'!AE7))</f>
        <v/>
      </c>
      <c r="AF8" s="36" t="str">
        <f>IF($I8="","",IF('Control Panel'!AF7="",VLOOKUP($E8,'Table Output'!$A$2:$BR$99998,MATCH(AF$4,'Table Output'!$A$1:$BQ$1,0),),'Control Panel'!AF7))</f>
        <v/>
      </c>
      <c r="AG8" s="36" t="str">
        <f>IF($I8="","",IF('Control Panel'!AG7="",VLOOKUP($E8,'Table Output'!$A$2:$BR$99998,MATCH(AG$4,'Table Output'!$A$1:$BQ$1,0),),'Control Panel'!AG7))</f>
        <v/>
      </c>
      <c r="AH8" s="36" t="str">
        <f>IF($I8="","",IF('Control Panel'!AH7="",VLOOKUP($E8,'Table Output'!$A$2:$BR$99998,MATCH(AH$4,'Table Output'!$A$1:$BQ$1,0),),'Control Panel'!AH7))</f>
        <v/>
      </c>
      <c r="AI8" s="36" t="str">
        <f>IF($I8="","",IF('Control Panel'!AI7="",VLOOKUP($E8,'Table Output'!$A$2:$BR$99998,MATCH(AI$4,'Table Output'!$A$1:$BQ$1,0),),'Control Panel'!AI7))</f>
        <v/>
      </c>
      <c r="AJ8" s="36" t="str">
        <f>IF($I8="","",IF('Control Panel'!AJ7="",VLOOKUP($E8,'Table Output'!$A$2:$BR$99998,MATCH(AJ$4,'Table Output'!$A$1:$BQ$1,0),),'Control Panel'!AJ7))</f>
        <v/>
      </c>
      <c r="AL8" s="51" t="str">
        <f t="shared" si="0"/>
        <v/>
      </c>
      <c r="AM8" s="48" t="str">
        <f>IF(AM$4="","",IF($I8="","",IF('Control Panel'!AM7="",VLOOKUP($E8,'Table Output'!$A$2:$BR$99998,MATCH(AM$4,'Table Output'!$A$1:$BQ$1,0),FALSE),'Control Panel'!AM7)))</f>
        <v/>
      </c>
      <c r="AN8" s="48" t="str">
        <f>IF(AN$4="","",IF($I8="","",IF('Control Panel'!AN7="",VLOOKUP($E8,'Table Output'!$A$2:$BR$99998,MATCH(AN$4,'Table Output'!$A$1:$BQ$1,0),FALSE),'Control Panel'!AN7)))</f>
        <v/>
      </c>
      <c r="AO8" s="48" t="str">
        <f>IF(AO$4="","",IF($I8="","",IF('Control Panel'!AO7="",VLOOKUP($E8,'Table Output'!$A$2:$BR$99998,MATCH(AO$4,'Table Output'!$A$1:$BQ$1,0),FALSE),'Control Panel'!AO7)))</f>
        <v/>
      </c>
      <c r="AP8" s="48" t="str">
        <f>IF(AP$4="","",IF($I8="","",IF('Control Panel'!AP7="",VLOOKUP($E8,'Table Output'!$A$2:$BR$99998,MATCH(AP$4,'Table Output'!$A$1:$BQ$1,0),FALSE),'Control Panel'!AP7)))</f>
        <v/>
      </c>
      <c r="AQ8" s="48" t="str">
        <f>IF(AQ$4="","",IF($I8="","",IF('Control Panel'!AQ7="",VLOOKUP($E8,'Table Output'!$A$2:$BR$99998,MATCH(AQ$4,'Table Output'!$A$1:$BQ$1,0),FALSE),'Control Panel'!AQ7)))</f>
        <v/>
      </c>
      <c r="AR8" s="48" t="str">
        <f>IF(AR$4="","",IF($I8="","",IF('Control Panel'!AR7="",VLOOKUP($E8,'Table Output'!$A$2:$BR$99998,MATCH(AR$4,'Table Output'!$A$1:$BQ$1,0),FALSE),'Control Panel'!AR7)))</f>
        <v/>
      </c>
      <c r="AS8" s="48" t="str">
        <f>IF(AS$4="","",IF($I8="","",IF('Control Panel'!AS7="",VLOOKUP($E8,'Table Output'!$A$2:$BR$99998,MATCH(AS$4,'Table Output'!$A$1:$BQ$1,0),FALSE),'Control Panel'!AS7)))</f>
        <v/>
      </c>
      <c r="AT8" s="48" t="str">
        <f>IF(AT$4="","",IF($I8="","",IF('Control Panel'!AT7="",VLOOKUP($E8,'Table Output'!$A$2:$BR$99998,MATCH(AT$4,'Table Output'!$A$1:$BQ$1,0),FALSE),'Control Panel'!AT7)))</f>
        <v/>
      </c>
      <c r="AU8" s="48" t="str">
        <f>IF(AU$4="","",IF($I8="","",IF('Control Panel'!AU7="",VLOOKUP($E8,'Table Output'!$A$2:$BR$99998,MATCH(AU$4,'Table Output'!$A$1:$BQ$1,0),FALSE),'Control Panel'!AU7)))</f>
        <v/>
      </c>
      <c r="BH8" s="2" t="s">
        <v>87</v>
      </c>
      <c r="BI8" s="2" t="s">
        <v>93</v>
      </c>
    </row>
    <row r="9" spans="1:61" ht="12" thickBot="1" x14ac:dyDescent="0.2">
      <c r="B9" s="2" t="str">
        <f>'Control Panel'!B9</f>
        <v>Weight type</v>
      </c>
      <c r="C9" s="2" t="str">
        <f>'Control Panel'!C9</f>
        <v>SWR_Max</v>
      </c>
      <c r="E9" s="2" t="str">
        <f>IF(T9=1,IF('Control Panel'!E8="","",'Control Panel'!E8),"")</f>
        <v/>
      </c>
      <c r="F9" s="2" t="str">
        <f>IF(T9=1,IF('Control Panel'!F8="","",'Control Panel'!F8),"")</f>
        <v/>
      </c>
      <c r="G9" s="2" t="str">
        <f>IF(T9=1,IF('Control Panel'!G8="","",'Control Panel'!G8),"")</f>
        <v/>
      </c>
      <c r="H9" s="2" t="str">
        <f>IF(T9=1,IF('Control Panel'!H8="","",'Control Panel'!H8),"")</f>
        <v/>
      </c>
      <c r="I9" s="42" t="str">
        <f>IF(T9=1,IF('Control Panel'!I8="","",'Control Panel'!I8),"")</f>
        <v/>
      </c>
      <c r="J9" s="36" t="str">
        <f>IF($I9="","",IF(J$4="","",IF('Control Panel'!J8="",VLOOKUP($E9,'Table Output'!$A$2:$BR$1048576,MATCH(J$4,'Table Output'!$A$1:$BQ$1,0),),'Control Panel'!J8)))</f>
        <v/>
      </c>
      <c r="K9" s="36" t="str">
        <f>IF($I9="","",IF(K$4="","",IF('Control Panel'!K8="",VLOOKUP($E9,'Table Output'!$A$2:$BR$1048576,MATCH(K$4,'Table Output'!$A$1:$BQ$1,0),),'Control Panel'!K8)))</f>
        <v/>
      </c>
      <c r="L9" s="36" t="str">
        <f>IF($I9="","",IF(L$4="","",IF('Control Panel'!L8="",VLOOKUP($E9,'Table Output'!$A$2:$BR$1048576,MATCH(L$4,'Table Output'!$A$1:$BQ$1,0),),'Control Panel'!L8)))</f>
        <v/>
      </c>
      <c r="M9" s="36" t="str">
        <f>IF($I9="","",IF(M$4="","",IF('Control Panel'!M8="",VLOOKUP($E9,'Table Output'!$A$2:$BR$1048576,MATCH(M$4,'Table Output'!$A$1:$BQ$1,0),),'Control Panel'!M8)))</f>
        <v/>
      </c>
      <c r="N9" s="36" t="str">
        <f>IF($I9="","",IF(N$4="","",IF('Control Panel'!N8="",VLOOKUP($E9,'Table Output'!$A$2:$BR$1048576,MATCH(N$4,'Table Output'!$A$1:$BQ$1,0),),'Control Panel'!N8)))</f>
        <v/>
      </c>
      <c r="O9" s="36" t="str">
        <f>IF($I9="","",IF(O$4="","",IF('Control Panel'!O8="",VLOOKUP($E9,'Table Output'!$A$2:$BR$1048576,MATCH(O$4,'Table Output'!$A$1:$BQ$1,0),),'Control Panel'!O8)))</f>
        <v/>
      </c>
      <c r="P9" s="36" t="str">
        <f>IF($I9="","",IF(P$4="","",IF('Control Panel'!P8="",VLOOKUP($E9,'Table Output'!$A$2:$BR$1048576,MATCH(P$4,'Table Output'!$A$1:$BQ$1,0),),'Control Panel'!P8)))</f>
        <v/>
      </c>
      <c r="Q9" s="36" t="str">
        <f>IF($I9="","",IF(Q$4="","",IF('Control Panel'!Q8="",VLOOKUP($E9,'Table Output'!$A$2:$BR$1048576,MATCH(Q$4,'Table Output'!$A$1:$BQ$1,0),),'Control Panel'!Q8)))</f>
        <v/>
      </c>
      <c r="R9" s="36" t="str">
        <f>IF($I9="","",IF(R$4="","",IF('Control Panel'!R8="",VLOOKUP($E9,'Table Output'!$A$2:$BR$1048576,MATCH(R$4,'Table Output'!$A$1:$BQ$1,0),),'Control Panel'!R8)))</f>
        <v/>
      </c>
      <c r="S9" s="36" t="str">
        <f>IF($I9="","",IF(S$4="","",IF('Control Panel'!S8="",VLOOKUP($E9,'Table Output'!$A$2:$BR$1048576,MATCH(S$4,'Table Output'!$A$1:$BQ$1,0),),'Control Panel'!S8)))</f>
        <v/>
      </c>
      <c r="T9" s="2">
        <f>IF('Control Panel'!T8="","",'Control Panel'!T8)</f>
        <v>0</v>
      </c>
      <c r="U9" s="36" t="str">
        <f>IF($I9="","",IF('Control Panel'!U8="",VLOOKUP($E9,'Table Output'!$A$2:$BR$99998,MATCH(U$4,'Table Output'!$A$1:$BQ$1,0),),'Control Panel'!U8))</f>
        <v/>
      </c>
      <c r="V9" s="36" t="str">
        <f>IF($I9="","",IF('Control Panel'!V8="",VLOOKUP($E9,'Table Output'!$A$2:$BR$99998,MATCH(V$4,'Table Output'!$A$1:$BQ$1,0),),'Control Panel'!V8))</f>
        <v/>
      </c>
      <c r="W9" s="36" t="str">
        <f>IF($I9="","",IF('Control Panel'!W8="",VLOOKUP($E9,'Table Output'!$A$2:$BR$99998,MATCH(W$4,'Table Output'!$A$1:$BQ$1,0),),'Control Panel'!W8))</f>
        <v/>
      </c>
      <c r="X9" s="36" t="str">
        <f>IF($I9="","",IF('Control Panel'!X8="",VLOOKUP($E9,'Table Output'!$A$2:$BR$99998,MATCH(X$4,'Table Output'!$A$1:$BQ$1,0),),'Control Panel'!X8))</f>
        <v/>
      </c>
      <c r="Y9" s="36" t="str">
        <f>IF($I9="","",IF('Control Panel'!Y8="",VLOOKUP($E9,'Table Output'!$A$2:$BR$99998,MATCH(Y$4,'Table Output'!$A$1:$BQ$1,0),),'Control Panel'!Y8))</f>
        <v/>
      </c>
      <c r="Z9" s="36" t="str">
        <f>IF($I9="","",IF('Control Panel'!Z8="",VLOOKUP($E9,'Table Output'!$A$2:$BR$99998,MATCH(Z$4,'Table Output'!$A$1:$BQ$1,0),),'Control Panel'!Z8))</f>
        <v/>
      </c>
      <c r="AA9" s="36" t="str">
        <f>IF($I9="","",IF('Control Panel'!AA8="",VLOOKUP($E9,'Table Output'!$A$2:$BR$99998,MATCH(AA$4,'Table Output'!$A$1:$BQ$1,0),),'Control Panel'!AA8))</f>
        <v/>
      </c>
      <c r="AB9" s="36" t="str">
        <f>IF($I9="","",IF('Control Panel'!AB8="",VLOOKUP($E9,'Table Output'!$A$2:$BR$99998,MATCH(AB$4,'Table Output'!$A$1:$BQ$1,0),),'Control Panel'!AB8))</f>
        <v/>
      </c>
      <c r="AC9" s="36" t="str">
        <f>IF($I9="","",IF('Control Panel'!AC8="",VLOOKUP($E9,'Table Output'!$A$2:$BR$99998,MATCH(AC$4,'Table Output'!$A$1:$BQ$1,0),),'Control Panel'!AC8))</f>
        <v/>
      </c>
      <c r="AD9" s="36" t="str">
        <f>IF($I9="","",IF('Control Panel'!AD8="",VLOOKUP($E9,'Table Output'!$A$2:$BR$99998,MATCH(AD$4,'Table Output'!$A$1:$BQ$1,0),),'Control Panel'!AD8))</f>
        <v/>
      </c>
      <c r="AE9" s="36" t="str">
        <f>IF($I9="","",IF('Control Panel'!AE8="",VLOOKUP($E9,'Table Output'!$A$2:$BR$99998,MATCH(AE$4,'Table Output'!$A$1:$BQ$1,0),),'Control Panel'!AE8))</f>
        <v/>
      </c>
      <c r="AF9" s="36" t="str">
        <f>IF($I9="","",IF('Control Panel'!AF8="",VLOOKUP($E9,'Table Output'!$A$2:$BR$99998,MATCH(AF$4,'Table Output'!$A$1:$BQ$1,0),),'Control Panel'!AF8))</f>
        <v/>
      </c>
      <c r="AG9" s="36" t="str">
        <f>IF($I9="","",IF('Control Panel'!AG8="",VLOOKUP($E9,'Table Output'!$A$2:$BR$99998,MATCH(AG$4,'Table Output'!$A$1:$BQ$1,0),),'Control Panel'!AG8))</f>
        <v/>
      </c>
      <c r="AH9" s="36" t="str">
        <f>IF($I9="","",IF('Control Panel'!AH8="",VLOOKUP($E9,'Table Output'!$A$2:$BR$99998,MATCH(AH$4,'Table Output'!$A$1:$BQ$1,0),),'Control Panel'!AH8))</f>
        <v/>
      </c>
      <c r="AI9" s="36" t="str">
        <f>IF($I9="","",IF('Control Panel'!AI8="",VLOOKUP($E9,'Table Output'!$A$2:$BR$99998,MATCH(AI$4,'Table Output'!$A$1:$BQ$1,0),),'Control Panel'!AI8))</f>
        <v/>
      </c>
      <c r="AJ9" s="36" t="str">
        <f>IF($I9="","",IF('Control Panel'!AJ8="",VLOOKUP($E9,'Table Output'!$A$2:$BR$99998,MATCH(AJ$4,'Table Output'!$A$1:$BQ$1,0),),'Control Panel'!AJ8))</f>
        <v/>
      </c>
      <c r="AL9" s="51" t="str">
        <f t="shared" si="0"/>
        <v/>
      </c>
      <c r="AM9" s="48" t="str">
        <f>IF(AM$4="","",IF($I9="","",IF('Control Panel'!AM8="",VLOOKUP($E9,'Table Output'!$A$2:$BR$99998,MATCH(AM$4,'Table Output'!$A$1:$BQ$1,0),FALSE),'Control Panel'!AM8)))</f>
        <v/>
      </c>
      <c r="AN9" s="48" t="str">
        <f>IF(AN$4="","",IF($I9="","",IF('Control Panel'!AN8="",VLOOKUP($E9,'Table Output'!$A$2:$BR$99998,MATCH(AN$4,'Table Output'!$A$1:$BQ$1,0),FALSE),'Control Panel'!AN8)))</f>
        <v/>
      </c>
      <c r="AO9" s="48" t="str">
        <f>IF(AO$4="","",IF($I9="","",IF('Control Panel'!AO8="",VLOOKUP($E9,'Table Output'!$A$2:$BR$99998,MATCH(AO$4,'Table Output'!$A$1:$BQ$1,0),FALSE),'Control Panel'!AO8)))</f>
        <v/>
      </c>
      <c r="AP9" s="48" t="str">
        <f>IF(AP$4="","",IF($I9="","",IF('Control Panel'!AP8="",VLOOKUP($E9,'Table Output'!$A$2:$BR$99998,MATCH(AP$4,'Table Output'!$A$1:$BQ$1,0),FALSE),'Control Panel'!AP8)))</f>
        <v/>
      </c>
      <c r="AQ9" s="48" t="str">
        <f>IF(AQ$4="","",IF($I9="","",IF('Control Panel'!AQ8="",VLOOKUP($E9,'Table Output'!$A$2:$BR$99998,MATCH(AQ$4,'Table Output'!$A$1:$BQ$1,0),FALSE),'Control Panel'!AQ8)))</f>
        <v/>
      </c>
      <c r="AR9" s="48" t="str">
        <f>IF(AR$4="","",IF($I9="","",IF('Control Panel'!AR8="",VLOOKUP($E9,'Table Output'!$A$2:$BR$99998,MATCH(AR$4,'Table Output'!$A$1:$BQ$1,0),FALSE),'Control Panel'!AR8)))</f>
        <v/>
      </c>
      <c r="AS9" s="48" t="str">
        <f>IF(AS$4="","",IF($I9="","",IF('Control Panel'!AS8="",VLOOKUP($E9,'Table Output'!$A$2:$BR$99998,MATCH(AS$4,'Table Output'!$A$1:$BQ$1,0),FALSE),'Control Panel'!AS8)))</f>
        <v/>
      </c>
      <c r="AT9" s="48" t="str">
        <f>IF(AT$4="","",IF($I9="","",IF('Control Panel'!AT8="",VLOOKUP($E9,'Table Output'!$A$2:$BR$99998,MATCH(AT$4,'Table Output'!$A$1:$BQ$1,0),FALSE),'Control Panel'!AT8)))</f>
        <v/>
      </c>
      <c r="AU9" s="48" t="str">
        <f>IF(AU$4="","",IF($I9="","",IF('Control Panel'!AU8="",VLOOKUP($E9,'Table Output'!$A$2:$BR$99998,MATCH(AU$4,'Table Output'!$A$1:$BQ$1,0),FALSE),'Control Panel'!AU8)))</f>
        <v/>
      </c>
      <c r="BH9" s="2" t="s">
        <v>86</v>
      </c>
      <c r="BI9" s="2" t="s">
        <v>94</v>
      </c>
    </row>
    <row r="10" spans="1:61" ht="12" thickBot="1" x14ac:dyDescent="0.2">
      <c r="B10" s="2">
        <f>'Control Panel'!B10</f>
        <v>0</v>
      </c>
      <c r="C10" s="2">
        <f>'Control Panel'!C10</f>
        <v>0</v>
      </c>
      <c r="E10" s="2" t="str">
        <f>IF(T10=1,IF('Control Panel'!E9="","",'Control Panel'!E9),"")</f>
        <v/>
      </c>
      <c r="F10" s="2" t="str">
        <f>IF(T10=1,IF('Control Panel'!F9="","",'Control Panel'!F9),"")</f>
        <v/>
      </c>
      <c r="G10" s="2" t="str">
        <f>IF(T10=1,IF('Control Panel'!G9="","",'Control Panel'!G9),"")</f>
        <v/>
      </c>
      <c r="H10" s="2" t="str">
        <f>IF(T10=1,IF('Control Panel'!H9="","",'Control Panel'!H9),"")</f>
        <v/>
      </c>
      <c r="I10" s="42" t="str">
        <f>IF(T10=1,IF('Control Panel'!I9="","",'Control Panel'!I9),"")</f>
        <v/>
      </c>
      <c r="J10" s="36" t="str">
        <f>IF($I10="","",IF(J$4="","",IF('Control Panel'!J9="",VLOOKUP($E10,'Table Output'!$A$2:$BR$1048576,MATCH(J$4,'Table Output'!$A$1:$BQ$1,0),),'Control Panel'!J9)))</f>
        <v/>
      </c>
      <c r="K10" s="36" t="str">
        <f>IF($I10="","",IF(K$4="","",IF('Control Panel'!K9="",VLOOKUP($E10,'Table Output'!$A$2:$BR$1048576,MATCH(K$4,'Table Output'!$A$1:$BQ$1,0),),'Control Panel'!K9)))</f>
        <v/>
      </c>
      <c r="L10" s="36" t="str">
        <f>IF($I10="","",IF(L$4="","",IF('Control Panel'!L9="",VLOOKUP($E10,'Table Output'!$A$2:$BR$1048576,MATCH(L$4,'Table Output'!$A$1:$BQ$1,0),),'Control Panel'!L9)))</f>
        <v/>
      </c>
      <c r="M10" s="36" t="str">
        <f>IF($I10="","",IF(M$4="","",IF('Control Panel'!M9="",VLOOKUP($E10,'Table Output'!$A$2:$BR$1048576,MATCH(M$4,'Table Output'!$A$1:$BQ$1,0),),'Control Panel'!M9)))</f>
        <v/>
      </c>
      <c r="N10" s="36" t="str">
        <f>IF($I10="","",IF(N$4="","",IF('Control Panel'!N9="",VLOOKUP($E10,'Table Output'!$A$2:$BR$1048576,MATCH(N$4,'Table Output'!$A$1:$BQ$1,0),),'Control Panel'!N9)))</f>
        <v/>
      </c>
      <c r="O10" s="36" t="str">
        <f>IF($I10="","",IF(O$4="","",IF('Control Panel'!O9="",VLOOKUP($E10,'Table Output'!$A$2:$BR$1048576,MATCH(O$4,'Table Output'!$A$1:$BQ$1,0),),'Control Panel'!O9)))</f>
        <v/>
      </c>
      <c r="P10" s="36" t="str">
        <f>IF($I10="","",IF(P$4="","",IF('Control Panel'!P9="",VLOOKUP($E10,'Table Output'!$A$2:$BR$1048576,MATCH(P$4,'Table Output'!$A$1:$BQ$1,0),),'Control Panel'!P9)))</f>
        <v/>
      </c>
      <c r="Q10" s="36" t="str">
        <f>IF($I10="","",IF(Q$4="","",IF('Control Panel'!Q9="",VLOOKUP($E10,'Table Output'!$A$2:$BR$1048576,MATCH(Q$4,'Table Output'!$A$1:$BQ$1,0),),'Control Panel'!Q9)))</f>
        <v/>
      </c>
      <c r="R10" s="36" t="str">
        <f>IF($I10="","",IF(R$4="","",IF('Control Panel'!R9="",VLOOKUP($E10,'Table Output'!$A$2:$BR$1048576,MATCH(R$4,'Table Output'!$A$1:$BQ$1,0),),'Control Panel'!R9)))</f>
        <v/>
      </c>
      <c r="S10" s="36" t="str">
        <f>IF($I10="","",IF(S$4="","",IF('Control Panel'!S9="",VLOOKUP($E10,'Table Output'!$A$2:$BR$1048576,MATCH(S$4,'Table Output'!$A$1:$BQ$1,0),),'Control Panel'!S9)))</f>
        <v/>
      </c>
      <c r="T10" s="2">
        <f>IF('Control Panel'!T9="","",'Control Panel'!T9)</f>
        <v>0</v>
      </c>
      <c r="U10" s="36" t="str">
        <f>IF($I10="","",IF('Control Panel'!U9="",VLOOKUP($E10,'Table Output'!$A$2:$BR$99998,MATCH(U$4,'Table Output'!$A$1:$BQ$1,0),),'Control Panel'!U9))</f>
        <v/>
      </c>
      <c r="V10" s="36" t="str">
        <f>IF($I10="","",IF('Control Panel'!V9="",VLOOKUP($E10,'Table Output'!$A$2:$BR$99998,MATCH(V$4,'Table Output'!$A$1:$BQ$1,0),),'Control Panel'!V9))</f>
        <v/>
      </c>
      <c r="W10" s="36" t="str">
        <f>IF($I10="","",IF('Control Panel'!W9="",VLOOKUP($E10,'Table Output'!$A$2:$BR$99998,MATCH(W$4,'Table Output'!$A$1:$BQ$1,0),),'Control Panel'!W9))</f>
        <v/>
      </c>
      <c r="X10" s="36" t="str">
        <f>IF($I10="","",IF('Control Panel'!X9="",VLOOKUP($E10,'Table Output'!$A$2:$BR$99998,MATCH(X$4,'Table Output'!$A$1:$BQ$1,0),),'Control Panel'!X9))</f>
        <v/>
      </c>
      <c r="Y10" s="36" t="str">
        <f>IF($I10="","",IF('Control Panel'!Y9="",VLOOKUP($E10,'Table Output'!$A$2:$BR$99998,MATCH(Y$4,'Table Output'!$A$1:$BQ$1,0),),'Control Panel'!Y9))</f>
        <v/>
      </c>
      <c r="Z10" s="36" t="str">
        <f>IF($I10="","",IF('Control Panel'!Z9="",VLOOKUP($E10,'Table Output'!$A$2:$BR$99998,MATCH(Z$4,'Table Output'!$A$1:$BQ$1,0),),'Control Panel'!Z9))</f>
        <v/>
      </c>
      <c r="AA10" s="36" t="str">
        <f>IF($I10="","",IF('Control Panel'!AA9="",VLOOKUP($E10,'Table Output'!$A$2:$BR$99998,MATCH(AA$4,'Table Output'!$A$1:$BQ$1,0),),'Control Panel'!AA9))</f>
        <v/>
      </c>
      <c r="AB10" s="36" t="str">
        <f>IF($I10="","",IF('Control Panel'!AB9="",VLOOKUP($E10,'Table Output'!$A$2:$BR$99998,MATCH(AB$4,'Table Output'!$A$1:$BQ$1,0),),'Control Panel'!AB9))</f>
        <v/>
      </c>
      <c r="AC10" s="36" t="str">
        <f>IF($I10="","",IF('Control Panel'!AC9="",VLOOKUP($E10,'Table Output'!$A$2:$BR$99998,MATCH(AC$4,'Table Output'!$A$1:$BQ$1,0),),'Control Panel'!AC9))</f>
        <v/>
      </c>
      <c r="AD10" s="36" t="str">
        <f>IF($I10="","",IF('Control Panel'!AD9="",VLOOKUP($E10,'Table Output'!$A$2:$BR$99998,MATCH(AD$4,'Table Output'!$A$1:$BQ$1,0),),'Control Panel'!AD9))</f>
        <v/>
      </c>
      <c r="AE10" s="36" t="str">
        <f>IF($I10="","",IF('Control Panel'!AE9="",VLOOKUP($E10,'Table Output'!$A$2:$BR$99998,MATCH(AE$4,'Table Output'!$A$1:$BQ$1,0),),'Control Panel'!AE9))</f>
        <v/>
      </c>
      <c r="AF10" s="36" t="str">
        <f>IF($I10="","",IF('Control Panel'!AF9="",VLOOKUP($E10,'Table Output'!$A$2:$BR$99998,MATCH(AF$4,'Table Output'!$A$1:$BQ$1,0),),'Control Panel'!AF9))</f>
        <v/>
      </c>
      <c r="AG10" s="36" t="str">
        <f>IF($I10="","",IF('Control Panel'!AG9="",VLOOKUP($E10,'Table Output'!$A$2:$BR$99998,MATCH(AG$4,'Table Output'!$A$1:$BQ$1,0),),'Control Panel'!AG9))</f>
        <v/>
      </c>
      <c r="AH10" s="36" t="str">
        <f>IF($I10="","",IF('Control Panel'!AH9="",VLOOKUP($E10,'Table Output'!$A$2:$BR$99998,MATCH(AH$4,'Table Output'!$A$1:$BQ$1,0),),'Control Panel'!AH9))</f>
        <v/>
      </c>
      <c r="AI10" s="36" t="str">
        <f>IF($I10="","",IF('Control Panel'!AI9="",VLOOKUP($E10,'Table Output'!$A$2:$BR$99998,MATCH(AI$4,'Table Output'!$A$1:$BQ$1,0),),'Control Panel'!AI9))</f>
        <v/>
      </c>
      <c r="AJ10" s="36" t="str">
        <f>IF($I10="","",IF('Control Panel'!AJ9="",VLOOKUP($E10,'Table Output'!$A$2:$BR$99998,MATCH(AJ$4,'Table Output'!$A$1:$BQ$1,0),),'Control Panel'!AJ9))</f>
        <v/>
      </c>
      <c r="AL10" s="51" t="str">
        <f t="shared" si="0"/>
        <v/>
      </c>
      <c r="AM10" s="48" t="str">
        <f>IF(AM$4="","",IF($I10="","",IF('Control Panel'!AM9="",VLOOKUP($E10,'Table Output'!$A$2:$BR$99998,MATCH(AM$4,'Table Output'!$A$1:$BQ$1,0),FALSE),'Control Panel'!AM9)))</f>
        <v/>
      </c>
      <c r="AN10" s="48" t="str">
        <f>IF(AN$4="","",IF($I10="","",IF('Control Panel'!AN9="",VLOOKUP($E10,'Table Output'!$A$2:$BR$99998,MATCH(AN$4,'Table Output'!$A$1:$BQ$1,0),FALSE),'Control Panel'!AN9)))</f>
        <v/>
      </c>
      <c r="AO10" s="48" t="str">
        <f>IF(AO$4="","",IF($I10="","",IF('Control Panel'!AO9="",VLOOKUP($E10,'Table Output'!$A$2:$BR$99998,MATCH(AO$4,'Table Output'!$A$1:$BQ$1,0),FALSE),'Control Panel'!AO9)))</f>
        <v/>
      </c>
      <c r="AP10" s="48" t="str">
        <f>IF(AP$4="","",IF($I10="","",IF('Control Panel'!AP9="",VLOOKUP($E10,'Table Output'!$A$2:$BR$99998,MATCH(AP$4,'Table Output'!$A$1:$BQ$1,0),FALSE),'Control Panel'!AP9)))</f>
        <v/>
      </c>
      <c r="AQ10" s="48" t="str">
        <f>IF(AQ$4="","",IF($I10="","",IF('Control Panel'!AQ9="",VLOOKUP($E10,'Table Output'!$A$2:$BR$99998,MATCH(AQ$4,'Table Output'!$A$1:$BQ$1,0),FALSE),'Control Panel'!AQ9)))</f>
        <v/>
      </c>
      <c r="AR10" s="48" t="str">
        <f>IF(AR$4="","",IF($I10="","",IF('Control Panel'!AR9="",VLOOKUP($E10,'Table Output'!$A$2:$BR$99998,MATCH(AR$4,'Table Output'!$A$1:$BQ$1,0),FALSE),'Control Panel'!AR9)))</f>
        <v/>
      </c>
      <c r="AS10" s="48" t="str">
        <f>IF(AS$4="","",IF($I10="","",IF('Control Panel'!AS9="",VLOOKUP($E10,'Table Output'!$A$2:$BR$99998,MATCH(AS$4,'Table Output'!$A$1:$BQ$1,0),FALSE),'Control Panel'!AS9)))</f>
        <v/>
      </c>
      <c r="AT10" s="48" t="str">
        <f>IF(AT$4="","",IF($I10="","",IF('Control Panel'!AT9="",VLOOKUP($E10,'Table Output'!$A$2:$BR$99998,MATCH(AT$4,'Table Output'!$A$1:$BQ$1,0),FALSE),'Control Panel'!AT9)))</f>
        <v/>
      </c>
      <c r="AU10" s="48" t="str">
        <f>IF(AU$4="","",IF($I10="","",IF('Control Panel'!AU9="",VLOOKUP($E10,'Table Output'!$A$2:$BR$99998,MATCH(AU$4,'Table Output'!$A$1:$BQ$1,0),FALSE),'Control Panel'!AU9)))</f>
        <v/>
      </c>
      <c r="BH10" s="2" t="s">
        <v>140</v>
      </c>
      <c r="BI10" s="2" t="s">
        <v>94</v>
      </c>
    </row>
    <row r="11" spans="1:61" ht="12" thickBot="1" x14ac:dyDescent="0.2">
      <c r="B11" s="2" t="str">
        <f>'Control Panel'!B11</f>
        <v>Orsted calibration settings</v>
      </c>
      <c r="C11" s="2">
        <f>'Control Panel'!C11</f>
        <v>0</v>
      </c>
      <c r="E11" s="2" t="str">
        <f>IF(T11=1,IF('Control Panel'!E10="","",'Control Panel'!E10),"")</f>
        <v>Cowden_Clay</v>
      </c>
      <c r="F11" s="2" t="str">
        <f>IF(T11=1,IF('Control Panel'!F10="","",'Control Panel'!F10),"")</f>
        <v>PISA</v>
      </c>
      <c r="G11" s="2">
        <f>IF(T11=1,IF('Control Panel'!G10="","",'Control Panel'!G10),"")</f>
        <v>0</v>
      </c>
      <c r="H11" s="2" t="str">
        <f>IF(T11=1,IF('Control Panel'!H10="","",'Control Panel'!H10),"")</f>
        <v>Loc_69_Clay_2</v>
      </c>
      <c r="I11" s="42">
        <f>IF(T11=1,IF('Control Panel'!I10="","",'Control Panel'!I10),"")</f>
        <v>7</v>
      </c>
      <c r="J11" s="36">
        <f>IF($I11="","",IF(J$4="","",IF('Control Panel'!J10="",VLOOKUP($E11,'Table Output'!$A$2:$BR$1048576,MATCH(J$4,'Table Output'!$A$1:$BQ$1,0),),'Control Panel'!J10)))</f>
        <v>200</v>
      </c>
      <c r="K11" s="36">
        <f>IF($I11="","",IF(K$4="","",IF('Control Panel'!K10="",VLOOKUP($E11,'Table Output'!$A$2:$BR$1048576,MATCH(K$4,'Table Output'!$A$1:$BQ$1,0),),'Control Panel'!K10)))</f>
        <v>10.210000000000001</v>
      </c>
      <c r="L11" s="36">
        <f>IF($I11="","",IF(L$4="","",IF('Control Panel'!L10="",VLOOKUP($E11,'Table Output'!$A$2:$BR$1048576,MATCH(L$4,'Table Output'!$A$1:$BQ$1,0),),'Control Panel'!L10)))</f>
        <v>-1.1000000000000001</v>
      </c>
      <c r="M11" s="36">
        <f>IF($I11="","",IF(M$4="","",IF('Control Panel'!M10="",VLOOKUP($E11,'Table Output'!$A$2:$BR$1048576,MATCH(M$4,'Table Output'!$A$1:$BQ$1,0),),'Control Panel'!M10)))</f>
        <v>-0.05</v>
      </c>
      <c r="N11" s="36">
        <f>IF($I11="","",IF(N$4="","",IF('Control Panel'!N10="",VLOOKUP($E11,'Table Output'!$A$2:$BR$1048576,MATCH(N$4,'Table Output'!$A$1:$BQ$1,0),),'Control Panel'!N10)))</f>
        <v>8.1199999999999992</v>
      </c>
      <c r="O11" s="36" t="str">
        <f>IF($I11="","",IF(O$4="","",IF('Control Panel'!O10="",VLOOKUP($E11,'Table Output'!$A$2:$BR$1048576,MATCH(O$4,'Table Output'!$A$1:$BQ$1,0),),'Control Panel'!O10)))</f>
        <v/>
      </c>
      <c r="P11" s="36" t="str">
        <f>IF($I11="","",IF(P$4="","",IF('Control Panel'!P10="",VLOOKUP($E11,'Table Output'!$A$2:$BR$1048576,MATCH(P$4,'Table Output'!$A$1:$BQ$1,0),),'Control Panel'!P10)))</f>
        <v/>
      </c>
      <c r="Q11" s="36" t="str">
        <f>IF($I11="","",IF(Q$4="","",IF('Control Panel'!Q10="",VLOOKUP($E11,'Table Output'!$A$2:$BR$1048576,MATCH(Q$4,'Table Output'!$A$1:$BQ$1,0),),'Control Panel'!Q10)))</f>
        <v/>
      </c>
      <c r="R11" s="36" t="str">
        <f>IF($I11="","",IF(R$4="","",IF('Control Panel'!R10="",VLOOKUP($E11,'Table Output'!$A$2:$BR$1048576,MATCH(R$4,'Table Output'!$A$1:$BQ$1,0),),'Control Panel'!R10)))</f>
        <v/>
      </c>
      <c r="S11" s="36" t="str">
        <f>IF($I11="","",IF(S$4="","",IF('Control Panel'!S10="",VLOOKUP($E11,'Table Output'!$A$2:$BR$1048576,MATCH(S$4,'Table Output'!$A$1:$BQ$1,0),),'Control Panel'!S10)))</f>
        <v/>
      </c>
      <c r="T11" s="2">
        <f>IF('Control Panel'!T10="","",'Control Panel'!T10)</f>
        <v>1</v>
      </c>
      <c r="U11" s="36">
        <f>IF($I11="","",IF('Control Panel'!U10="",VLOOKUP($E11,'Table Output'!$A$2:$BR$99998,MATCH(U$4,'Table Output'!$A$1:$BQ$1,0),),'Control Panel'!U10))</f>
        <v>0</v>
      </c>
      <c r="V11" s="36">
        <f>IF($I11="","",IF('Control Panel'!V10="",VLOOKUP($E11,'Table Output'!$A$2:$BR$99998,MATCH(V$4,'Table Output'!$A$1:$BQ$1,0),),'Control Panel'!V10))</f>
        <v>2</v>
      </c>
      <c r="W11" s="36">
        <f>IF($I11="","",IF('Control Panel'!W10="",VLOOKUP($E11,'Table Output'!$A$2:$BR$99998,MATCH(W$4,'Table Output'!$A$1:$BQ$1,0),),'Control Panel'!W10))</f>
        <v>1</v>
      </c>
      <c r="X11" s="36">
        <f>IF($I11="","",IF('Control Panel'!X10="",VLOOKUP($E11,'Table Output'!$A$2:$BR$99998,MATCH(X$4,'Table Output'!$A$1:$BQ$1,0),),'Control Panel'!X10))</f>
        <v>1</v>
      </c>
      <c r="Y11" s="36">
        <f>IF($I11="","",IF('Control Panel'!Y10="",VLOOKUP($E11,'Table Output'!$A$2:$BR$99998,MATCH(Y$4,'Table Output'!$A$1:$BQ$1,0),),'Control Panel'!Y10))</f>
        <v>0</v>
      </c>
      <c r="Z11" s="36">
        <f>IF($I11="","",IF('Control Panel'!Z10="",VLOOKUP($E11,'Table Output'!$A$2:$BR$99998,MATCH(Z$4,'Table Output'!$A$1:$BQ$1,0),),'Control Panel'!Z10))</f>
        <v>1</v>
      </c>
      <c r="AA11" s="36">
        <f>IF($I11="","",IF('Control Panel'!AA10="",VLOOKUP($E11,'Table Output'!$A$2:$BR$99998,MATCH(AA$4,'Table Output'!$A$1:$BQ$1,0),),'Control Panel'!AA10))</f>
        <v>1</v>
      </c>
      <c r="AB11" s="36">
        <f>IF($I11="","",IF('Control Panel'!AB10="",VLOOKUP($E11,'Table Output'!$A$2:$BR$99998,MATCH(AB$4,'Table Output'!$A$1:$BQ$1,0),),'Control Panel'!AB10))</f>
        <v>0</v>
      </c>
      <c r="AC11" s="36">
        <f>IF($I11="","",IF('Control Panel'!AC10="",VLOOKUP($E11,'Table Output'!$A$2:$BR$99998,MATCH(AC$4,'Table Output'!$A$1:$BQ$1,0),),'Control Panel'!AC10))</f>
        <v>0</v>
      </c>
      <c r="AD11" s="36">
        <f>IF($I11="","",IF('Control Panel'!AD10="",VLOOKUP($E11,'Table Output'!$A$2:$BR$99998,MATCH(AD$4,'Table Output'!$A$1:$BQ$1,0),),'Control Panel'!AD10))</f>
        <v>1</v>
      </c>
      <c r="AE11" s="36">
        <f>IF($I11="","",IF('Control Panel'!AE10="",VLOOKUP($E11,'Table Output'!$A$2:$BR$99998,MATCH(AE$4,'Table Output'!$A$1:$BQ$1,0),),'Control Panel'!AE10))</f>
        <v>1</v>
      </c>
      <c r="AF11" s="36">
        <f>IF($I11="","",IF('Control Panel'!AF10="",VLOOKUP($E11,'Table Output'!$A$2:$BR$99998,MATCH(AF$4,'Table Output'!$A$1:$BQ$1,0),),'Control Panel'!AF10))</f>
        <v>1</v>
      </c>
      <c r="AG11" s="36">
        <f>IF($I11="","",IF('Control Panel'!AG10="",VLOOKUP($E11,'Table Output'!$A$2:$BR$99998,MATCH(AG$4,'Table Output'!$A$1:$BQ$1,0),),'Control Panel'!AG10))</f>
        <v>0</v>
      </c>
      <c r="AH11" s="36">
        <f>IF($I11="","",IF('Control Panel'!AH10="",VLOOKUP($E11,'Table Output'!$A$2:$BR$99998,MATCH(AH$4,'Table Output'!$A$1:$BQ$1,0),),'Control Panel'!AH10))</f>
        <v>1</v>
      </c>
      <c r="AI11" s="36">
        <f>IF($I11="","",IF('Control Panel'!AI10="",VLOOKUP($E11,'Table Output'!$A$2:$BR$99998,MATCH(AI$4,'Table Output'!$A$1:$BQ$1,0),),'Control Panel'!AI10))</f>
        <v>1</v>
      </c>
      <c r="AJ11" s="36">
        <f>IF($I11="","",IF('Control Panel'!AJ10="",VLOOKUP($E11,'Table Output'!$A$2:$BR$99998,MATCH(AJ$4,'Table Output'!$A$1:$BQ$1,0),),'Control Panel'!AJ10))</f>
        <v>1</v>
      </c>
      <c r="AL11" s="51">
        <f t="shared" si="0"/>
        <v>7</v>
      </c>
      <c r="AM11" s="48">
        <f>IF(AM$4="","",IF($I11="","",IF('Control Panel'!AM10="",VLOOKUP($E11,'Table Output'!$A$2:$BR$99998,MATCH(AM$4,'Table Output'!$A$1:$BQ$1,0),FALSE),'Control Panel'!AM10)))</f>
        <v>1</v>
      </c>
      <c r="AN11" s="48" t="str">
        <f>IF(AN$4="","",IF($I11="","",IF('Control Panel'!AN10="",VLOOKUP($E11,'Table Output'!$A$2:$BR$99998,MATCH(AN$4,'Table Output'!$A$1:$BQ$1,0),FALSE),'Control Panel'!AN10)))</f>
        <v/>
      </c>
      <c r="AO11" s="48" t="str">
        <f>IF(AO$4="","",IF($I11="","",IF('Control Panel'!AO10="",VLOOKUP($E11,'Table Output'!$A$2:$BR$99998,MATCH(AO$4,'Table Output'!$A$1:$BQ$1,0),FALSE),'Control Panel'!AO10)))</f>
        <v/>
      </c>
      <c r="AP11" s="48" t="str">
        <f>IF(AP$4="","",IF($I11="","",IF('Control Panel'!AP10="",VLOOKUP($E11,'Table Output'!$A$2:$BR$99998,MATCH(AP$4,'Table Output'!$A$1:$BQ$1,0),FALSE),'Control Panel'!AP10)))</f>
        <v/>
      </c>
      <c r="AQ11" s="48" t="str">
        <f>IF(AQ$4="","",IF($I11="","",IF('Control Panel'!AQ10="",VLOOKUP($E11,'Table Output'!$A$2:$BR$99998,MATCH(AQ$4,'Table Output'!$A$1:$BQ$1,0),FALSE),'Control Panel'!AQ10)))</f>
        <v/>
      </c>
      <c r="AR11" s="48" t="str">
        <f>IF(AR$4="","",IF($I11="","",IF('Control Panel'!AR10="",VLOOKUP($E11,'Table Output'!$A$2:$BR$99998,MATCH(AR$4,'Table Output'!$A$1:$BQ$1,0),FALSE),'Control Panel'!AR10)))</f>
        <v/>
      </c>
      <c r="AS11" s="48" t="str">
        <f>IF(AS$4="","",IF($I11="","",IF('Control Panel'!AS10="",VLOOKUP($E11,'Table Output'!$A$2:$BR$99998,MATCH(AS$4,'Table Output'!$A$1:$BQ$1,0),FALSE),'Control Panel'!AS10)))</f>
        <v/>
      </c>
      <c r="AT11" s="48" t="str">
        <f>IF(AT$4="","",IF($I11="","",IF('Control Panel'!AT10="",VLOOKUP($E11,'Table Output'!$A$2:$BR$99998,MATCH(AT$4,'Table Output'!$A$1:$BQ$1,0),FALSE),'Control Panel'!AT10)))</f>
        <v/>
      </c>
      <c r="AU11" s="48" t="str">
        <f>IF(AU$4="","",IF($I11="","",IF('Control Panel'!AU10="",VLOOKUP($E11,'Table Output'!$A$2:$BR$99998,MATCH(AU$4,'Table Output'!$A$1:$BQ$1,0),FALSE),'Control Panel'!AU10)))</f>
        <v/>
      </c>
      <c r="BH11" s="2" t="s">
        <v>141</v>
      </c>
      <c r="BI11" s="2" t="s">
        <v>94</v>
      </c>
    </row>
    <row r="12" spans="1:61" ht="12" thickBot="1" x14ac:dyDescent="0.2">
      <c r="B12" s="2" t="str">
        <f>'Control Panel'!B12</f>
        <v>Layered_wise_calibration</v>
      </c>
      <c r="C12" s="2">
        <f>IF('Control Panel'!C12=Switch_options_hidden!C3,1,0)</f>
        <v>0</v>
      </c>
      <c r="E12" s="2" t="str">
        <f>IF(T12=1,IF('Control Panel'!E11="","",'Control Panel'!E11),"")</f>
        <v/>
      </c>
      <c r="F12" s="2" t="str">
        <f>IF(T12=1,IF('Control Panel'!F11="","",'Control Panel'!F11),"")</f>
        <v/>
      </c>
      <c r="G12" s="2" t="str">
        <f>IF(T12=1,IF('Control Panel'!G11="","",'Control Panel'!G11),"")</f>
        <v/>
      </c>
      <c r="H12" s="2" t="str">
        <f>IF(T12=1,IF('Control Panel'!H11="","",'Control Panel'!H11),"")</f>
        <v/>
      </c>
      <c r="I12" s="42" t="str">
        <f>IF(T12=1,IF('Control Panel'!I11="","",'Control Panel'!I11),"")</f>
        <v/>
      </c>
      <c r="J12" s="36" t="str">
        <f>IF($I12="","",IF(J$4="","",IF('Control Panel'!J11="",VLOOKUP($E12,'Table Output'!$A$2:$BR$1048576,MATCH(J$4,'Table Output'!$A$1:$BQ$1,0),),'Control Panel'!J11)))</f>
        <v/>
      </c>
      <c r="K12" s="36" t="str">
        <f>IF($I12="","",IF(K$4="","",IF('Control Panel'!K11="",VLOOKUP($E12,'Table Output'!$A$2:$BR$1048576,MATCH(K$4,'Table Output'!$A$1:$BQ$1,0),),'Control Panel'!K11)))</f>
        <v/>
      </c>
      <c r="L12" s="36" t="str">
        <f>IF($I12="","",IF(L$4="","",IF('Control Panel'!L11="",VLOOKUP($E12,'Table Output'!$A$2:$BR$1048576,MATCH(L$4,'Table Output'!$A$1:$BQ$1,0),),'Control Panel'!L11)))</f>
        <v/>
      </c>
      <c r="M12" s="36" t="str">
        <f>IF($I12="","",IF(M$4="","",IF('Control Panel'!M11="",VLOOKUP($E12,'Table Output'!$A$2:$BR$1048576,MATCH(M$4,'Table Output'!$A$1:$BQ$1,0),),'Control Panel'!M11)))</f>
        <v/>
      </c>
      <c r="N12" s="36" t="str">
        <f>IF($I12="","",IF(N$4="","",IF('Control Panel'!N11="",VLOOKUP($E12,'Table Output'!$A$2:$BR$1048576,MATCH(N$4,'Table Output'!$A$1:$BQ$1,0),),'Control Panel'!N11)))</f>
        <v/>
      </c>
      <c r="O12" s="36" t="str">
        <f>IF($I12="","",IF(O$4="","",IF('Control Panel'!O11="",VLOOKUP($E12,'Table Output'!$A$2:$BR$1048576,MATCH(O$4,'Table Output'!$A$1:$BQ$1,0),),'Control Panel'!O11)))</f>
        <v/>
      </c>
      <c r="P12" s="36" t="str">
        <f>IF($I12="","",IF(P$4="","",IF('Control Panel'!P11="",VLOOKUP($E12,'Table Output'!$A$2:$BR$1048576,MATCH(P$4,'Table Output'!$A$1:$BQ$1,0),),'Control Panel'!P11)))</f>
        <v/>
      </c>
      <c r="Q12" s="36" t="str">
        <f>IF($I12="","",IF(Q$4="","",IF('Control Panel'!Q11="",VLOOKUP($E12,'Table Output'!$A$2:$BR$1048576,MATCH(Q$4,'Table Output'!$A$1:$BQ$1,0),),'Control Panel'!Q11)))</f>
        <v/>
      </c>
      <c r="R12" s="36" t="str">
        <f>IF($I12="","",IF(R$4="","",IF('Control Panel'!R11="",VLOOKUP($E12,'Table Output'!$A$2:$BR$1048576,MATCH(R$4,'Table Output'!$A$1:$BQ$1,0),),'Control Panel'!R11)))</f>
        <v/>
      </c>
      <c r="S12" s="36" t="str">
        <f>IF($I12="","",IF(S$4="","",IF('Control Panel'!S11="",VLOOKUP($E12,'Table Output'!$A$2:$BR$1048576,MATCH(S$4,'Table Output'!$A$1:$BQ$1,0),),'Control Panel'!S11)))</f>
        <v/>
      </c>
      <c r="T12" s="2">
        <f>IF('Control Panel'!T11="","",'Control Panel'!T11)</f>
        <v>0</v>
      </c>
      <c r="U12" s="36" t="str">
        <f>IF($I12="","",IF('Control Panel'!U11="",VLOOKUP($E12,'Table Output'!$A$2:$BR$99998,MATCH(U$4,'Table Output'!$A$1:$BQ$1,0),),'Control Panel'!U11))</f>
        <v/>
      </c>
      <c r="V12" s="36" t="str">
        <f>IF($I12="","",IF('Control Panel'!V11="",VLOOKUP($E12,'Table Output'!$A$2:$BR$99998,MATCH(V$4,'Table Output'!$A$1:$BQ$1,0),),'Control Panel'!V11))</f>
        <v/>
      </c>
      <c r="W12" s="36" t="str">
        <f>IF($I12="","",IF('Control Panel'!W11="",VLOOKUP($E12,'Table Output'!$A$2:$BR$99998,MATCH(W$4,'Table Output'!$A$1:$BQ$1,0),),'Control Panel'!W11))</f>
        <v/>
      </c>
      <c r="X12" s="36" t="str">
        <f>IF($I12="","",IF('Control Panel'!X11="",VLOOKUP($E12,'Table Output'!$A$2:$BR$99998,MATCH(X$4,'Table Output'!$A$1:$BQ$1,0),),'Control Panel'!X11))</f>
        <v/>
      </c>
      <c r="Y12" s="36" t="str">
        <f>IF($I12="","",IF('Control Panel'!Y11="",VLOOKUP($E12,'Table Output'!$A$2:$BR$99998,MATCH(Y$4,'Table Output'!$A$1:$BQ$1,0),),'Control Panel'!Y11))</f>
        <v/>
      </c>
      <c r="Z12" s="36" t="str">
        <f>IF($I12="","",IF('Control Panel'!Z11="",VLOOKUP($E12,'Table Output'!$A$2:$BR$99998,MATCH(Z$4,'Table Output'!$A$1:$BQ$1,0),),'Control Panel'!Z11))</f>
        <v/>
      </c>
      <c r="AA12" s="36" t="str">
        <f>IF($I12="","",IF('Control Panel'!AA11="",VLOOKUP($E12,'Table Output'!$A$2:$BR$99998,MATCH(AA$4,'Table Output'!$A$1:$BQ$1,0),),'Control Panel'!AA11))</f>
        <v/>
      </c>
      <c r="AB12" s="36" t="str">
        <f>IF($I12="","",IF('Control Panel'!AB11="",VLOOKUP($E12,'Table Output'!$A$2:$BR$99998,MATCH(AB$4,'Table Output'!$A$1:$BQ$1,0),),'Control Panel'!AB11))</f>
        <v/>
      </c>
      <c r="AC12" s="36" t="str">
        <f>IF($I12="","",IF('Control Panel'!AC11="",VLOOKUP($E12,'Table Output'!$A$2:$BR$99998,MATCH(AC$4,'Table Output'!$A$1:$BQ$1,0),),'Control Panel'!AC11))</f>
        <v/>
      </c>
      <c r="AD12" s="36" t="str">
        <f>IF($I12="","",IF('Control Panel'!AD11="",VLOOKUP($E12,'Table Output'!$A$2:$BR$99998,MATCH(AD$4,'Table Output'!$A$1:$BQ$1,0),),'Control Panel'!AD11))</f>
        <v/>
      </c>
      <c r="AE12" s="36" t="str">
        <f>IF($I12="","",IF('Control Panel'!AE11="",VLOOKUP($E12,'Table Output'!$A$2:$BR$99998,MATCH(AE$4,'Table Output'!$A$1:$BQ$1,0),),'Control Panel'!AE11))</f>
        <v/>
      </c>
      <c r="AF12" s="36" t="str">
        <f>IF($I12="","",IF('Control Panel'!AF11="",VLOOKUP($E12,'Table Output'!$A$2:$BR$99998,MATCH(AF$4,'Table Output'!$A$1:$BQ$1,0),),'Control Panel'!AF11))</f>
        <v/>
      </c>
      <c r="AG12" s="36" t="str">
        <f>IF($I12="","",IF('Control Panel'!AG11="",VLOOKUP($E12,'Table Output'!$A$2:$BR$99998,MATCH(AG$4,'Table Output'!$A$1:$BQ$1,0),),'Control Panel'!AG11))</f>
        <v/>
      </c>
      <c r="AH12" s="36" t="str">
        <f>IF($I12="","",IF('Control Panel'!AH11="",VLOOKUP($E12,'Table Output'!$A$2:$BR$99998,MATCH(AH$4,'Table Output'!$A$1:$BQ$1,0),),'Control Panel'!AH11))</f>
        <v/>
      </c>
      <c r="AI12" s="36" t="str">
        <f>IF($I12="","",IF('Control Panel'!AI11="",VLOOKUP($E12,'Table Output'!$A$2:$BR$99998,MATCH(AI$4,'Table Output'!$A$1:$BQ$1,0),),'Control Panel'!AI11))</f>
        <v/>
      </c>
      <c r="AJ12" s="36" t="str">
        <f>IF($I12="","",IF('Control Panel'!AJ11="",VLOOKUP($E12,'Table Output'!$A$2:$BR$99998,MATCH(AJ$4,'Table Output'!$A$1:$BQ$1,0),),'Control Panel'!AJ11))</f>
        <v/>
      </c>
      <c r="AL12" s="51" t="str">
        <f t="shared" si="0"/>
        <v/>
      </c>
      <c r="AM12" s="48" t="str">
        <f>IF(AM$4="","",IF($I12="","",IF('Control Panel'!AM11="",VLOOKUP($E12,'Table Output'!$A$2:$BR$99998,MATCH(AM$4,'Table Output'!$A$1:$BQ$1,0),FALSE),'Control Panel'!AM11)))</f>
        <v/>
      </c>
      <c r="AN12" s="48" t="str">
        <f>IF(AN$4="","",IF($I12="","",IF('Control Panel'!AN11="",VLOOKUP($E12,'Table Output'!$A$2:$BR$99998,MATCH(AN$4,'Table Output'!$A$1:$BQ$1,0),FALSE),'Control Panel'!AN11)))</f>
        <v/>
      </c>
      <c r="AO12" s="48" t="str">
        <f>IF(AO$4="","",IF($I12="","",IF('Control Panel'!AO11="",VLOOKUP($E12,'Table Output'!$A$2:$BR$99998,MATCH(AO$4,'Table Output'!$A$1:$BQ$1,0),FALSE),'Control Panel'!AO11)))</f>
        <v/>
      </c>
      <c r="AP12" s="48" t="str">
        <f>IF(AP$4="","",IF($I12="","",IF('Control Panel'!AP11="",VLOOKUP($E12,'Table Output'!$A$2:$BR$99998,MATCH(AP$4,'Table Output'!$A$1:$BQ$1,0),FALSE),'Control Panel'!AP11)))</f>
        <v/>
      </c>
      <c r="AQ12" s="48" t="str">
        <f>IF(AQ$4="","",IF($I12="","",IF('Control Panel'!AQ11="",VLOOKUP($E12,'Table Output'!$A$2:$BR$99998,MATCH(AQ$4,'Table Output'!$A$1:$BQ$1,0),FALSE),'Control Panel'!AQ11)))</f>
        <v/>
      </c>
      <c r="AR12" s="48" t="str">
        <f>IF(AR$4="","",IF($I12="","",IF('Control Panel'!AR11="",VLOOKUP($E12,'Table Output'!$A$2:$BR$99998,MATCH(AR$4,'Table Output'!$A$1:$BQ$1,0),FALSE),'Control Panel'!AR11)))</f>
        <v/>
      </c>
      <c r="AS12" s="48" t="str">
        <f>IF(AS$4="","",IF($I12="","",IF('Control Panel'!AS11="",VLOOKUP($E12,'Table Output'!$A$2:$BR$99998,MATCH(AS$4,'Table Output'!$A$1:$BQ$1,0),FALSE),'Control Panel'!AS11)))</f>
        <v/>
      </c>
      <c r="AT12" s="48" t="str">
        <f>IF(AT$4="","",IF($I12="","",IF('Control Panel'!AT11="",VLOOKUP($E12,'Table Output'!$A$2:$BR$99998,MATCH(AT$4,'Table Output'!$A$1:$BQ$1,0),FALSE),'Control Panel'!AT11)))</f>
        <v/>
      </c>
      <c r="AU12" s="48" t="str">
        <f>IF(AU$4="","",IF($I12="","",IF('Control Panel'!AU11="",VLOOKUP($E12,'Table Output'!$A$2:$BR$99998,MATCH(AU$4,'Table Output'!$A$1:$BQ$1,0),FALSE),'Control Panel'!AU11)))</f>
        <v/>
      </c>
      <c r="BH12" s="2" t="s">
        <v>142</v>
      </c>
      <c r="BI12" s="2" t="s">
        <v>95</v>
      </c>
    </row>
    <row r="13" spans="1:61" ht="12" thickBot="1" x14ac:dyDescent="0.2">
      <c r="B13" s="2" t="str">
        <f>'Control Panel'!B13</f>
        <v>Direct_Soil_Springs</v>
      </c>
      <c r="C13" s="2">
        <f>IF('Control Panel'!C13=Switch_options_hidden!C3,1,0)</f>
        <v>0</v>
      </c>
      <c r="E13" s="2" t="str">
        <f>IF(T13=1,IF('Control Panel'!E12="","",'Control Panel'!E12),"")</f>
        <v/>
      </c>
      <c r="F13" s="2" t="str">
        <f>IF(T13=1,IF('Control Panel'!F12="","",'Control Panel'!F12),"")</f>
        <v/>
      </c>
      <c r="G13" s="2" t="str">
        <f>IF(T13=1,IF('Control Panel'!G12="","",'Control Panel'!G12),"")</f>
        <v/>
      </c>
      <c r="H13" s="2" t="str">
        <f>IF(T13=1,IF('Control Panel'!H12="","",'Control Panel'!H12),"")</f>
        <v/>
      </c>
      <c r="I13" s="42" t="str">
        <f>IF(T13=1,IF('Control Panel'!I12="","",'Control Panel'!I12),"")</f>
        <v/>
      </c>
      <c r="J13" s="36" t="str">
        <f>IF($I13="","",IF(J$4="","",IF('Control Panel'!J12="",VLOOKUP($E13,'Table Output'!$A$2:$BR$1048576,MATCH(J$4,'Table Output'!$A$1:$BQ$1,0),),'Control Panel'!J12)))</f>
        <v/>
      </c>
      <c r="K13" s="36" t="str">
        <f>IF($I13="","",IF(K$4="","",IF('Control Panel'!K12="",VLOOKUP($E13,'Table Output'!$A$2:$BR$1048576,MATCH(K$4,'Table Output'!$A$1:$BQ$1,0),),'Control Panel'!K12)))</f>
        <v/>
      </c>
      <c r="L13" s="36" t="str">
        <f>IF($I13="","",IF(L$4="","",IF('Control Panel'!L12="",VLOOKUP($E13,'Table Output'!$A$2:$BR$1048576,MATCH(L$4,'Table Output'!$A$1:$BQ$1,0),),'Control Panel'!L12)))</f>
        <v/>
      </c>
      <c r="M13" s="36" t="str">
        <f>IF($I13="","",IF(M$4="","",IF('Control Panel'!M12="",VLOOKUP($E13,'Table Output'!$A$2:$BR$1048576,MATCH(M$4,'Table Output'!$A$1:$BQ$1,0),),'Control Panel'!M12)))</f>
        <v/>
      </c>
      <c r="N13" s="36" t="str">
        <f>IF($I13="","",IF(N$4="","",IF('Control Panel'!N12="",VLOOKUP($E13,'Table Output'!$A$2:$BR$1048576,MATCH(N$4,'Table Output'!$A$1:$BQ$1,0),),'Control Panel'!N12)))</f>
        <v/>
      </c>
      <c r="O13" s="36" t="str">
        <f>IF($I13="","",IF(O$4="","",IF('Control Panel'!O12="",VLOOKUP($E13,'Table Output'!$A$2:$BR$1048576,MATCH(O$4,'Table Output'!$A$1:$BQ$1,0),),'Control Panel'!O12)))</f>
        <v/>
      </c>
      <c r="P13" s="36" t="str">
        <f>IF($I13="","",IF(P$4="","",IF('Control Panel'!P12="",VLOOKUP($E13,'Table Output'!$A$2:$BR$1048576,MATCH(P$4,'Table Output'!$A$1:$BQ$1,0),),'Control Panel'!P12)))</f>
        <v/>
      </c>
      <c r="Q13" s="36" t="str">
        <f>IF($I13="","",IF(Q$4="","",IF('Control Panel'!Q12="",VLOOKUP($E13,'Table Output'!$A$2:$BR$1048576,MATCH(Q$4,'Table Output'!$A$1:$BQ$1,0),),'Control Panel'!Q12)))</f>
        <v/>
      </c>
      <c r="R13" s="36" t="str">
        <f>IF($I13="","",IF(R$4="","",IF('Control Panel'!R12="",VLOOKUP($E13,'Table Output'!$A$2:$BR$1048576,MATCH(R$4,'Table Output'!$A$1:$BQ$1,0),),'Control Panel'!R12)))</f>
        <v/>
      </c>
      <c r="S13" s="36" t="str">
        <f>IF($I13="","",IF(S$4="","",IF('Control Panel'!S12="",VLOOKUP($E13,'Table Output'!$A$2:$BR$1048576,MATCH(S$4,'Table Output'!$A$1:$BQ$1,0),),'Control Panel'!S12)))</f>
        <v/>
      </c>
      <c r="T13" s="2">
        <f>IF('Control Panel'!T12="","",'Control Panel'!T12)</f>
        <v>0</v>
      </c>
      <c r="U13" s="36" t="str">
        <f>IF($I13="","",IF('Control Panel'!U12="",VLOOKUP($E13,'Table Output'!$A$2:$BR$99998,MATCH(U$4,'Table Output'!$A$1:$BQ$1,0),),'Control Panel'!U12))</f>
        <v/>
      </c>
      <c r="V13" s="36" t="str">
        <f>IF($I13="","",IF('Control Panel'!V12="",VLOOKUP($E13,'Table Output'!$A$2:$BR$99998,MATCH(V$4,'Table Output'!$A$1:$BQ$1,0),),'Control Panel'!V12))</f>
        <v/>
      </c>
      <c r="W13" s="36" t="str">
        <f>IF($I13="","",IF('Control Panel'!W12="",VLOOKUP($E13,'Table Output'!$A$2:$BR$99998,MATCH(W$4,'Table Output'!$A$1:$BQ$1,0),),'Control Panel'!W12))</f>
        <v/>
      </c>
      <c r="X13" s="36" t="str">
        <f>IF($I13="","",IF('Control Panel'!X12="",VLOOKUP($E13,'Table Output'!$A$2:$BR$99998,MATCH(X$4,'Table Output'!$A$1:$BQ$1,0),),'Control Panel'!X12))</f>
        <v/>
      </c>
      <c r="Y13" s="36" t="str">
        <f>IF($I13="","",IF('Control Panel'!Y12="",VLOOKUP($E13,'Table Output'!$A$2:$BR$99998,MATCH(Y$4,'Table Output'!$A$1:$BQ$1,0),),'Control Panel'!Y12))</f>
        <v/>
      </c>
      <c r="Z13" s="36" t="str">
        <f>IF($I13="","",IF('Control Panel'!Z12="",VLOOKUP($E13,'Table Output'!$A$2:$BR$99998,MATCH(Z$4,'Table Output'!$A$1:$BQ$1,0),),'Control Panel'!Z12))</f>
        <v/>
      </c>
      <c r="AA13" s="36" t="str">
        <f>IF($I13="","",IF('Control Panel'!AA12="",VLOOKUP($E13,'Table Output'!$A$2:$BR$99998,MATCH(AA$4,'Table Output'!$A$1:$BQ$1,0),),'Control Panel'!AA12))</f>
        <v/>
      </c>
      <c r="AB13" s="36" t="str">
        <f>IF($I13="","",IF('Control Panel'!AB12="",VLOOKUP($E13,'Table Output'!$A$2:$BR$99998,MATCH(AB$4,'Table Output'!$A$1:$BQ$1,0),),'Control Panel'!AB12))</f>
        <v/>
      </c>
      <c r="AC13" s="36" t="str">
        <f>IF($I13="","",IF('Control Panel'!AC12="",VLOOKUP($E13,'Table Output'!$A$2:$BR$99998,MATCH(AC$4,'Table Output'!$A$1:$BQ$1,0),),'Control Panel'!AC12))</f>
        <v/>
      </c>
      <c r="AD13" s="36" t="str">
        <f>IF($I13="","",IF('Control Panel'!AD12="",VLOOKUP($E13,'Table Output'!$A$2:$BR$99998,MATCH(AD$4,'Table Output'!$A$1:$BQ$1,0),),'Control Panel'!AD12))</f>
        <v/>
      </c>
      <c r="AE13" s="36" t="str">
        <f>IF($I13="","",IF('Control Panel'!AE12="",VLOOKUP($E13,'Table Output'!$A$2:$BR$99998,MATCH(AE$4,'Table Output'!$A$1:$BQ$1,0),),'Control Panel'!AE12))</f>
        <v/>
      </c>
      <c r="AF13" s="36" t="str">
        <f>IF($I13="","",IF('Control Panel'!AF12="",VLOOKUP($E13,'Table Output'!$A$2:$BR$99998,MATCH(AF$4,'Table Output'!$A$1:$BQ$1,0),),'Control Panel'!AF12))</f>
        <v/>
      </c>
      <c r="AG13" s="36" t="str">
        <f>IF($I13="","",IF('Control Panel'!AG12="",VLOOKUP($E13,'Table Output'!$A$2:$BR$99998,MATCH(AG$4,'Table Output'!$A$1:$BQ$1,0),),'Control Panel'!AG12))</f>
        <v/>
      </c>
      <c r="AH13" s="36" t="str">
        <f>IF($I13="","",IF('Control Panel'!AH12="",VLOOKUP($E13,'Table Output'!$A$2:$BR$99998,MATCH(AH$4,'Table Output'!$A$1:$BQ$1,0),),'Control Panel'!AH12))</f>
        <v/>
      </c>
      <c r="AI13" s="36" t="str">
        <f>IF($I13="","",IF('Control Panel'!AI12="",VLOOKUP($E13,'Table Output'!$A$2:$BR$99998,MATCH(AI$4,'Table Output'!$A$1:$BQ$1,0),),'Control Panel'!AI12))</f>
        <v/>
      </c>
      <c r="AJ13" s="36" t="str">
        <f>IF($I13="","",IF('Control Panel'!AJ12="",VLOOKUP($E13,'Table Output'!$A$2:$BR$99998,MATCH(AJ$4,'Table Output'!$A$1:$BQ$1,0),),'Control Panel'!AJ12))</f>
        <v/>
      </c>
      <c r="AL13" s="51" t="str">
        <f t="shared" si="0"/>
        <v/>
      </c>
      <c r="AM13" s="48" t="str">
        <f>IF(AM$4="","",IF($I13="","",IF('Control Panel'!AM12="",VLOOKUP($E13,'Table Output'!$A$2:$BR$99998,MATCH(AM$4,'Table Output'!$A$1:$BQ$1,0),FALSE),'Control Panel'!AM12)))</f>
        <v/>
      </c>
      <c r="AN13" s="48" t="str">
        <f>IF(AN$4="","",IF($I13="","",IF('Control Panel'!AN12="",VLOOKUP($E13,'Table Output'!$A$2:$BR$99998,MATCH(AN$4,'Table Output'!$A$1:$BQ$1,0),FALSE),'Control Panel'!AN12)))</f>
        <v/>
      </c>
      <c r="AO13" s="48" t="str">
        <f>IF(AO$4="","",IF($I13="","",IF('Control Panel'!AO12="",VLOOKUP($E13,'Table Output'!$A$2:$BR$99998,MATCH(AO$4,'Table Output'!$A$1:$BQ$1,0),FALSE),'Control Panel'!AO12)))</f>
        <v/>
      </c>
      <c r="AP13" s="48" t="str">
        <f>IF(AP$4="","",IF($I13="","",IF('Control Panel'!AP12="",VLOOKUP($E13,'Table Output'!$A$2:$BR$99998,MATCH(AP$4,'Table Output'!$A$1:$BQ$1,0),FALSE),'Control Panel'!AP12)))</f>
        <v/>
      </c>
      <c r="AQ13" s="48" t="str">
        <f>IF(AQ$4="","",IF($I13="","",IF('Control Panel'!AQ12="",VLOOKUP($E13,'Table Output'!$A$2:$BR$99998,MATCH(AQ$4,'Table Output'!$A$1:$BQ$1,0),FALSE),'Control Panel'!AQ12)))</f>
        <v/>
      </c>
      <c r="AR13" s="48" t="str">
        <f>IF(AR$4="","",IF($I13="","",IF('Control Panel'!AR12="",VLOOKUP($E13,'Table Output'!$A$2:$BR$99998,MATCH(AR$4,'Table Output'!$A$1:$BQ$1,0),FALSE),'Control Panel'!AR12)))</f>
        <v/>
      </c>
      <c r="AS13" s="48" t="str">
        <f>IF(AS$4="","",IF($I13="","",IF('Control Panel'!AS12="",VLOOKUP($E13,'Table Output'!$A$2:$BR$99998,MATCH(AS$4,'Table Output'!$A$1:$BQ$1,0),FALSE),'Control Panel'!AS12)))</f>
        <v/>
      </c>
      <c r="AT13" s="48" t="str">
        <f>IF(AT$4="","",IF($I13="","",IF('Control Panel'!AT12="",VLOOKUP($E13,'Table Output'!$A$2:$BR$99998,MATCH(AT$4,'Table Output'!$A$1:$BQ$1,0),FALSE),'Control Panel'!AT12)))</f>
        <v/>
      </c>
      <c r="AU13" s="48" t="str">
        <f>IF(AU$4="","",IF($I13="","",IF('Control Panel'!AU12="",VLOOKUP($E13,'Table Output'!$A$2:$BR$99998,MATCH(AU$4,'Table Output'!$A$1:$BQ$1,0),FALSE),'Control Panel'!AU12)))</f>
        <v/>
      </c>
      <c r="BH13" s="2" t="s">
        <v>143</v>
      </c>
      <c r="BI13" s="2" t="s">
        <v>95</v>
      </c>
    </row>
    <row r="14" spans="1:61" ht="12" thickBot="1" x14ac:dyDescent="0.2">
      <c r="B14" s="2" t="str">
        <f>'Control Panel'!B14</f>
        <v>Ommit_Bad_curves</v>
      </c>
      <c r="C14" s="2">
        <f>IF('Control Panel'!C14=Switch_options_hidden!C3,1,0)</f>
        <v>0</v>
      </c>
      <c r="E14" s="2" t="str">
        <f>IF(T14=1,IF('Control Panel'!E13="","",'Control Panel'!E13),"")</f>
        <v/>
      </c>
      <c r="F14" s="2" t="str">
        <f>IF(T14=1,IF('Control Panel'!F13="","",'Control Panel'!F13),"")</f>
        <v/>
      </c>
      <c r="G14" s="2" t="str">
        <f>IF(T14=1,IF('Control Panel'!G13="","",'Control Panel'!G13),"")</f>
        <v/>
      </c>
      <c r="H14" s="2" t="str">
        <f>IF(T14=1,IF('Control Panel'!H13="","",'Control Panel'!H13),"")</f>
        <v/>
      </c>
      <c r="I14" s="42" t="str">
        <f>IF(T14=1,IF('Control Panel'!I13="","",'Control Panel'!I13),"")</f>
        <v/>
      </c>
      <c r="J14" s="36" t="str">
        <f>IF($I14="","",IF(J$4="","",IF('Control Panel'!J13="",VLOOKUP($E14,'Table Output'!$A$2:$BR$1048576,MATCH(J$4,'Table Output'!$A$1:$BQ$1,0),),'Control Panel'!J13)))</f>
        <v/>
      </c>
      <c r="K14" s="36" t="str">
        <f>IF($I14="","",IF(K$4="","",IF('Control Panel'!K13="",VLOOKUP($E14,'Table Output'!$A$2:$BR$1048576,MATCH(K$4,'Table Output'!$A$1:$BQ$1,0),),'Control Panel'!K13)))</f>
        <v/>
      </c>
      <c r="L14" s="36" t="str">
        <f>IF($I14="","",IF(L$4="","",IF('Control Panel'!L13="",VLOOKUP($E14,'Table Output'!$A$2:$BR$1048576,MATCH(L$4,'Table Output'!$A$1:$BQ$1,0),),'Control Panel'!L13)))</f>
        <v/>
      </c>
      <c r="M14" s="36" t="str">
        <f>IF($I14="","",IF(M$4="","",IF('Control Panel'!M13="",VLOOKUP($E14,'Table Output'!$A$2:$BR$1048576,MATCH(M$4,'Table Output'!$A$1:$BQ$1,0),),'Control Panel'!M13)))</f>
        <v/>
      </c>
      <c r="N14" s="36" t="str">
        <f>IF($I14="","",IF(N$4="","",IF('Control Panel'!N13="",VLOOKUP($E14,'Table Output'!$A$2:$BR$1048576,MATCH(N$4,'Table Output'!$A$1:$BQ$1,0),),'Control Panel'!N13)))</f>
        <v/>
      </c>
      <c r="O14" s="36" t="str">
        <f>IF($I14="","",IF(O$4="","",IF('Control Panel'!O13="",VLOOKUP($E14,'Table Output'!$A$2:$BR$1048576,MATCH(O$4,'Table Output'!$A$1:$BQ$1,0),),'Control Panel'!O13)))</f>
        <v/>
      </c>
      <c r="P14" s="36" t="str">
        <f>IF($I14="","",IF(P$4="","",IF('Control Panel'!P13="",VLOOKUP($E14,'Table Output'!$A$2:$BR$1048576,MATCH(P$4,'Table Output'!$A$1:$BQ$1,0),),'Control Panel'!P13)))</f>
        <v/>
      </c>
      <c r="Q14" s="36" t="str">
        <f>IF($I14="","",IF(Q$4="","",IF('Control Panel'!Q13="",VLOOKUP($E14,'Table Output'!$A$2:$BR$1048576,MATCH(Q$4,'Table Output'!$A$1:$BQ$1,0),),'Control Panel'!Q13)))</f>
        <v/>
      </c>
      <c r="R14" s="36" t="str">
        <f>IF($I14="","",IF(R$4="","",IF('Control Panel'!R13="",VLOOKUP($E14,'Table Output'!$A$2:$BR$1048576,MATCH(R$4,'Table Output'!$A$1:$BQ$1,0),),'Control Panel'!R13)))</f>
        <v/>
      </c>
      <c r="S14" s="36" t="str">
        <f>IF($I14="","",IF(S$4="","",IF('Control Panel'!S13="",VLOOKUP($E14,'Table Output'!$A$2:$BR$1048576,MATCH(S$4,'Table Output'!$A$1:$BQ$1,0),),'Control Panel'!S13)))</f>
        <v/>
      </c>
      <c r="T14" s="2">
        <f>IF('Control Panel'!T13="","",'Control Panel'!T13)</f>
        <v>0</v>
      </c>
      <c r="U14" s="36" t="str">
        <f>IF($I14="","",IF('Control Panel'!U13="",VLOOKUP($E14,'Table Output'!$A$2:$BR$99998,MATCH(U$4,'Table Output'!$A$1:$BQ$1,0),),'Control Panel'!U13))</f>
        <v/>
      </c>
      <c r="V14" s="36" t="str">
        <f>IF($I14="","",IF('Control Panel'!V13="",VLOOKUP($E14,'Table Output'!$A$2:$BR$99998,MATCH(V$4,'Table Output'!$A$1:$BQ$1,0),),'Control Panel'!V13))</f>
        <v/>
      </c>
      <c r="W14" s="36" t="str">
        <f>IF($I14="","",IF('Control Panel'!W13="",VLOOKUP($E14,'Table Output'!$A$2:$BR$99998,MATCH(W$4,'Table Output'!$A$1:$BQ$1,0),),'Control Panel'!W13))</f>
        <v/>
      </c>
      <c r="X14" s="36" t="str">
        <f>IF($I14="","",IF('Control Panel'!X13="",VLOOKUP($E14,'Table Output'!$A$2:$BR$99998,MATCH(X$4,'Table Output'!$A$1:$BQ$1,0),),'Control Panel'!X13))</f>
        <v/>
      </c>
      <c r="Y14" s="36" t="str">
        <f>IF($I14="","",IF('Control Panel'!Y13="",VLOOKUP($E14,'Table Output'!$A$2:$BR$99998,MATCH(Y$4,'Table Output'!$A$1:$BQ$1,0),),'Control Panel'!Y13))</f>
        <v/>
      </c>
      <c r="Z14" s="36" t="str">
        <f>IF($I14="","",IF('Control Panel'!Z13="",VLOOKUP($E14,'Table Output'!$A$2:$BR$99998,MATCH(Z$4,'Table Output'!$A$1:$BQ$1,0),),'Control Panel'!Z13))</f>
        <v/>
      </c>
      <c r="AA14" s="36" t="str">
        <f>IF($I14="","",IF('Control Panel'!AA13="",VLOOKUP($E14,'Table Output'!$A$2:$BR$99998,MATCH(AA$4,'Table Output'!$A$1:$BQ$1,0),),'Control Panel'!AA13))</f>
        <v/>
      </c>
      <c r="AB14" s="36" t="str">
        <f>IF($I14="","",IF('Control Panel'!AB13="",VLOOKUP($E14,'Table Output'!$A$2:$BR$99998,MATCH(AB$4,'Table Output'!$A$1:$BQ$1,0),),'Control Panel'!AB13))</f>
        <v/>
      </c>
      <c r="AC14" s="36" t="str">
        <f>IF($I14="","",IF('Control Panel'!AC13="",VLOOKUP($E14,'Table Output'!$A$2:$BR$99998,MATCH(AC$4,'Table Output'!$A$1:$BQ$1,0),),'Control Panel'!AC13))</f>
        <v/>
      </c>
      <c r="AD14" s="36" t="str">
        <f>IF($I14="","",IF('Control Panel'!AD13="",VLOOKUP($E14,'Table Output'!$A$2:$BR$99998,MATCH(AD$4,'Table Output'!$A$1:$BQ$1,0),),'Control Panel'!AD13))</f>
        <v/>
      </c>
      <c r="AE14" s="36" t="str">
        <f>IF($I14="","",IF('Control Panel'!AE13="",VLOOKUP($E14,'Table Output'!$A$2:$BR$99998,MATCH(AE$4,'Table Output'!$A$1:$BQ$1,0),),'Control Panel'!AE13))</f>
        <v/>
      </c>
      <c r="AF14" s="36" t="str">
        <f>IF($I14="","",IF('Control Panel'!AF13="",VLOOKUP($E14,'Table Output'!$A$2:$BR$99998,MATCH(AF$4,'Table Output'!$A$1:$BQ$1,0),),'Control Panel'!AF13))</f>
        <v/>
      </c>
      <c r="AG14" s="36" t="str">
        <f>IF($I14="","",IF('Control Panel'!AG13="",VLOOKUP($E14,'Table Output'!$A$2:$BR$99998,MATCH(AG$4,'Table Output'!$A$1:$BQ$1,0),),'Control Panel'!AG13))</f>
        <v/>
      </c>
      <c r="AH14" s="36" t="str">
        <f>IF($I14="","",IF('Control Panel'!AH13="",VLOOKUP($E14,'Table Output'!$A$2:$BR$99998,MATCH(AH$4,'Table Output'!$A$1:$BQ$1,0),),'Control Panel'!AH13))</f>
        <v/>
      </c>
      <c r="AI14" s="36" t="str">
        <f>IF($I14="","",IF('Control Panel'!AI13="",VLOOKUP($E14,'Table Output'!$A$2:$BR$99998,MATCH(AI$4,'Table Output'!$A$1:$BQ$1,0),),'Control Panel'!AI13))</f>
        <v/>
      </c>
      <c r="AJ14" s="36" t="str">
        <f>IF($I14="","",IF('Control Panel'!AJ13="",VLOOKUP($E14,'Table Output'!$A$2:$BR$99998,MATCH(AJ$4,'Table Output'!$A$1:$BQ$1,0),),'Control Panel'!AJ13))</f>
        <v/>
      </c>
      <c r="AL14" s="51" t="str">
        <f t="shared" si="0"/>
        <v/>
      </c>
      <c r="AM14" s="48" t="str">
        <f>IF(AM$4="","",IF($I14="","",IF('Control Panel'!AM13="",VLOOKUP($E14,'Table Output'!$A$2:$BR$99998,MATCH(AM$4,'Table Output'!$A$1:$BQ$1,0),FALSE),'Control Panel'!AM13)))</f>
        <v/>
      </c>
      <c r="AN14" s="48" t="str">
        <f>IF(AN$4="","",IF($I14="","",IF('Control Panel'!AN13="",VLOOKUP($E14,'Table Output'!$A$2:$BR$99998,MATCH(AN$4,'Table Output'!$A$1:$BQ$1,0),FALSE),'Control Panel'!AN13)))</f>
        <v/>
      </c>
      <c r="AO14" s="48" t="str">
        <f>IF(AO$4="","",IF($I14="","",IF('Control Panel'!AO13="",VLOOKUP($E14,'Table Output'!$A$2:$BR$99998,MATCH(AO$4,'Table Output'!$A$1:$BQ$1,0),FALSE),'Control Panel'!AO13)))</f>
        <v/>
      </c>
      <c r="AP14" s="48" t="str">
        <f>IF(AP$4="","",IF($I14="","",IF('Control Panel'!AP13="",VLOOKUP($E14,'Table Output'!$A$2:$BR$99998,MATCH(AP$4,'Table Output'!$A$1:$BQ$1,0),FALSE),'Control Panel'!AP13)))</f>
        <v/>
      </c>
      <c r="AQ14" s="48" t="str">
        <f>IF(AQ$4="","",IF($I14="","",IF('Control Panel'!AQ13="",VLOOKUP($E14,'Table Output'!$A$2:$BR$99998,MATCH(AQ$4,'Table Output'!$A$1:$BQ$1,0),FALSE),'Control Panel'!AQ13)))</f>
        <v/>
      </c>
      <c r="AR14" s="48" t="str">
        <f>IF(AR$4="","",IF($I14="","",IF('Control Panel'!AR13="",VLOOKUP($E14,'Table Output'!$A$2:$BR$99998,MATCH(AR$4,'Table Output'!$A$1:$BQ$1,0),FALSE),'Control Panel'!AR13)))</f>
        <v/>
      </c>
      <c r="AS14" s="48" t="str">
        <f>IF(AS$4="","",IF($I14="","",IF('Control Panel'!AS13="",VLOOKUP($E14,'Table Output'!$A$2:$BR$99998,MATCH(AS$4,'Table Output'!$A$1:$BQ$1,0),FALSE),'Control Panel'!AS13)))</f>
        <v/>
      </c>
      <c r="AT14" s="48" t="str">
        <f>IF(AT$4="","",IF($I14="","",IF('Control Panel'!AT13="",VLOOKUP($E14,'Table Output'!$A$2:$BR$99998,MATCH(AT$4,'Table Output'!$A$1:$BQ$1,0),FALSE),'Control Panel'!AT13)))</f>
        <v/>
      </c>
      <c r="AU14" s="48" t="str">
        <f>IF(AU$4="","",IF($I14="","",IF('Control Panel'!AU13="",VLOOKUP($E14,'Table Output'!$A$2:$BR$99998,MATCH(AU$4,'Table Output'!$A$1:$BQ$1,0),FALSE),'Control Panel'!AU13)))</f>
        <v/>
      </c>
      <c r="BH14" s="2" t="s">
        <v>144</v>
      </c>
      <c r="BI14" s="2" t="s">
        <v>95</v>
      </c>
    </row>
    <row r="15" spans="1:61" ht="12" thickBot="1" x14ac:dyDescent="0.2">
      <c r="B15" s="2">
        <f>'Control Panel'!B15</f>
        <v>0</v>
      </c>
      <c r="C15" s="2">
        <f>'Control Panel'!C15</f>
        <v>0</v>
      </c>
      <c r="E15" s="2" t="str">
        <f>IF(T15=1,IF('Control Panel'!E14="","",'Control Panel'!E14),"")</f>
        <v/>
      </c>
      <c r="F15" s="2" t="str">
        <f>IF(T15=1,IF('Control Panel'!F14="","",'Control Panel'!F14),"")</f>
        <v/>
      </c>
      <c r="G15" s="2" t="str">
        <f>IF(T15=1,IF('Control Panel'!G14="","",'Control Panel'!G14),"")</f>
        <v/>
      </c>
      <c r="H15" s="2" t="str">
        <f>IF(T15=1,IF('Control Panel'!H14="","",'Control Panel'!H14),"")</f>
        <v/>
      </c>
      <c r="I15" s="42" t="str">
        <f>IF(T15=1,IF('Control Panel'!I14="","",'Control Panel'!I14),"")</f>
        <v/>
      </c>
      <c r="J15" s="36" t="str">
        <f>IF($I15="","",IF(J$4="","",IF('Control Panel'!J14="",VLOOKUP($E15,'Table Output'!$A$2:$BR$1048576,MATCH(J$4,'Table Output'!$A$1:$BQ$1,0),),'Control Panel'!J14)))</f>
        <v/>
      </c>
      <c r="K15" s="36" t="str">
        <f>IF($I15="","",IF(K$4="","",IF('Control Panel'!K14="",VLOOKUP($E15,'Table Output'!$A$2:$BR$1048576,MATCH(K$4,'Table Output'!$A$1:$BQ$1,0),),'Control Panel'!K14)))</f>
        <v/>
      </c>
      <c r="L15" s="36" t="str">
        <f>IF($I15="","",IF(L$4="","",IF('Control Panel'!L14="",VLOOKUP($E15,'Table Output'!$A$2:$BR$1048576,MATCH(L$4,'Table Output'!$A$1:$BQ$1,0),),'Control Panel'!L14)))</f>
        <v/>
      </c>
      <c r="M15" s="36" t="str">
        <f>IF($I15="","",IF(M$4="","",IF('Control Panel'!M14="",VLOOKUP($E15,'Table Output'!$A$2:$BR$1048576,MATCH(M$4,'Table Output'!$A$1:$BQ$1,0),),'Control Panel'!M14)))</f>
        <v/>
      </c>
      <c r="N15" s="36" t="str">
        <f>IF($I15="","",IF(N$4="","",IF('Control Panel'!N14="",VLOOKUP($E15,'Table Output'!$A$2:$BR$1048576,MATCH(N$4,'Table Output'!$A$1:$BQ$1,0),),'Control Panel'!N14)))</f>
        <v/>
      </c>
      <c r="O15" s="36" t="str">
        <f>IF($I15="","",IF(O$4="","",IF('Control Panel'!O14="",VLOOKUP($E15,'Table Output'!$A$2:$BR$1048576,MATCH(O$4,'Table Output'!$A$1:$BQ$1,0),),'Control Panel'!O14)))</f>
        <v/>
      </c>
      <c r="P15" s="36" t="str">
        <f>IF($I15="","",IF(P$4="","",IF('Control Panel'!P14="",VLOOKUP($E15,'Table Output'!$A$2:$BR$1048576,MATCH(P$4,'Table Output'!$A$1:$BQ$1,0),),'Control Panel'!P14)))</f>
        <v/>
      </c>
      <c r="Q15" s="36" t="str">
        <f>IF($I15="","",IF(Q$4="","",IF('Control Panel'!Q14="",VLOOKUP($E15,'Table Output'!$A$2:$BR$1048576,MATCH(Q$4,'Table Output'!$A$1:$BQ$1,0),),'Control Panel'!Q14)))</f>
        <v/>
      </c>
      <c r="R15" s="36" t="str">
        <f>IF($I15="","",IF(R$4="","",IF('Control Panel'!R14="",VLOOKUP($E15,'Table Output'!$A$2:$BR$1048576,MATCH(R$4,'Table Output'!$A$1:$BQ$1,0),),'Control Panel'!R14)))</f>
        <v/>
      </c>
      <c r="S15" s="36" t="str">
        <f>IF($I15="","",IF(S$4="","",IF('Control Panel'!S14="",VLOOKUP($E15,'Table Output'!$A$2:$BR$1048576,MATCH(S$4,'Table Output'!$A$1:$BQ$1,0),),'Control Panel'!S14)))</f>
        <v/>
      </c>
      <c r="T15" s="2">
        <f>IF('Control Panel'!T14="","",'Control Panel'!T14)</f>
        <v>0</v>
      </c>
      <c r="U15" s="36" t="str">
        <f>IF($I15="","",IF('Control Panel'!U14="",VLOOKUP($E15,'Table Output'!$A$2:$BR$99998,MATCH(U$4,'Table Output'!$A$1:$BQ$1,0),),'Control Panel'!U14))</f>
        <v/>
      </c>
      <c r="V15" s="36" t="str">
        <f>IF($I15="","",IF('Control Panel'!V14="",VLOOKUP($E15,'Table Output'!$A$2:$BR$99998,MATCH(V$4,'Table Output'!$A$1:$BQ$1,0),),'Control Panel'!V14))</f>
        <v/>
      </c>
      <c r="W15" s="36" t="str">
        <f>IF($I15="","",IF('Control Panel'!W14="",VLOOKUP($E15,'Table Output'!$A$2:$BR$99998,MATCH(W$4,'Table Output'!$A$1:$BQ$1,0),),'Control Panel'!W14))</f>
        <v/>
      </c>
      <c r="X15" s="36" t="str">
        <f>IF($I15="","",IF('Control Panel'!X14="",VLOOKUP($E15,'Table Output'!$A$2:$BR$99998,MATCH(X$4,'Table Output'!$A$1:$BQ$1,0),),'Control Panel'!X14))</f>
        <v/>
      </c>
      <c r="Y15" s="36" t="str">
        <f>IF($I15="","",IF('Control Panel'!Y14="",VLOOKUP($E15,'Table Output'!$A$2:$BR$99998,MATCH(Y$4,'Table Output'!$A$1:$BQ$1,0),),'Control Panel'!Y14))</f>
        <v/>
      </c>
      <c r="Z15" s="36" t="str">
        <f>IF($I15="","",IF('Control Panel'!Z14="",VLOOKUP($E15,'Table Output'!$A$2:$BR$99998,MATCH(Z$4,'Table Output'!$A$1:$BQ$1,0),),'Control Panel'!Z14))</f>
        <v/>
      </c>
      <c r="AA15" s="36" t="str">
        <f>IF($I15="","",IF('Control Panel'!AA14="",VLOOKUP($E15,'Table Output'!$A$2:$BR$99998,MATCH(AA$4,'Table Output'!$A$1:$BQ$1,0),),'Control Panel'!AA14))</f>
        <v/>
      </c>
      <c r="AB15" s="36" t="str">
        <f>IF($I15="","",IF('Control Panel'!AB14="",VLOOKUP($E15,'Table Output'!$A$2:$BR$99998,MATCH(AB$4,'Table Output'!$A$1:$BQ$1,0),),'Control Panel'!AB14))</f>
        <v/>
      </c>
      <c r="AC15" s="36" t="str">
        <f>IF($I15="","",IF('Control Panel'!AC14="",VLOOKUP($E15,'Table Output'!$A$2:$BR$99998,MATCH(AC$4,'Table Output'!$A$1:$BQ$1,0),),'Control Panel'!AC14))</f>
        <v/>
      </c>
      <c r="AD15" s="36" t="str">
        <f>IF($I15="","",IF('Control Panel'!AD14="",VLOOKUP($E15,'Table Output'!$A$2:$BR$99998,MATCH(AD$4,'Table Output'!$A$1:$BQ$1,0),),'Control Panel'!AD14))</f>
        <v/>
      </c>
      <c r="AE15" s="36" t="str">
        <f>IF($I15="","",IF('Control Panel'!AE14="",VLOOKUP($E15,'Table Output'!$A$2:$BR$99998,MATCH(AE$4,'Table Output'!$A$1:$BQ$1,0),),'Control Panel'!AE14))</f>
        <v/>
      </c>
      <c r="AF15" s="36" t="str">
        <f>IF($I15="","",IF('Control Panel'!AF14="",VLOOKUP($E15,'Table Output'!$A$2:$BR$99998,MATCH(AF$4,'Table Output'!$A$1:$BQ$1,0),),'Control Panel'!AF14))</f>
        <v/>
      </c>
      <c r="AG15" s="36" t="str">
        <f>IF($I15="","",IF('Control Panel'!AG14="",VLOOKUP($E15,'Table Output'!$A$2:$BR$99998,MATCH(AG$4,'Table Output'!$A$1:$BQ$1,0),),'Control Panel'!AG14))</f>
        <v/>
      </c>
      <c r="AH15" s="36" t="str">
        <f>IF($I15="","",IF('Control Panel'!AH14="",VLOOKUP($E15,'Table Output'!$A$2:$BR$99998,MATCH(AH$4,'Table Output'!$A$1:$BQ$1,0),),'Control Panel'!AH14))</f>
        <v/>
      </c>
      <c r="AI15" s="36" t="str">
        <f>IF($I15="","",IF('Control Panel'!AI14="",VLOOKUP($E15,'Table Output'!$A$2:$BR$99998,MATCH(AI$4,'Table Output'!$A$1:$BQ$1,0),),'Control Panel'!AI14))</f>
        <v/>
      </c>
      <c r="AJ15" s="36" t="str">
        <f>IF($I15="","",IF('Control Panel'!AJ14="",VLOOKUP($E15,'Table Output'!$A$2:$BR$99998,MATCH(AJ$4,'Table Output'!$A$1:$BQ$1,0),),'Control Panel'!AJ14))</f>
        <v/>
      </c>
      <c r="AL15" s="51" t="str">
        <f t="shared" si="0"/>
        <v/>
      </c>
      <c r="AM15" s="48" t="str">
        <f>IF(AM$4="","",IF($I15="","",IF('Control Panel'!AM14="",VLOOKUP($E15,'Table Output'!$A$2:$BR$99998,MATCH(AM$4,'Table Output'!$A$1:$BQ$1,0),FALSE),'Control Panel'!AM14)))</f>
        <v/>
      </c>
      <c r="AN15" s="48" t="str">
        <f>IF(AN$4="","",IF($I15="","",IF('Control Panel'!AN14="",VLOOKUP($E15,'Table Output'!$A$2:$BR$99998,MATCH(AN$4,'Table Output'!$A$1:$BQ$1,0),FALSE),'Control Panel'!AN14)))</f>
        <v/>
      </c>
      <c r="AO15" s="48" t="str">
        <f>IF(AO$4="","",IF($I15="","",IF('Control Panel'!AO14="",VLOOKUP($E15,'Table Output'!$A$2:$BR$99998,MATCH(AO$4,'Table Output'!$A$1:$BQ$1,0),FALSE),'Control Panel'!AO14)))</f>
        <v/>
      </c>
      <c r="AP15" s="48" t="str">
        <f>IF(AP$4="","",IF($I15="","",IF('Control Panel'!AP14="",VLOOKUP($E15,'Table Output'!$A$2:$BR$99998,MATCH(AP$4,'Table Output'!$A$1:$BQ$1,0),FALSE),'Control Panel'!AP14)))</f>
        <v/>
      </c>
      <c r="AQ15" s="48" t="str">
        <f>IF(AQ$4="","",IF($I15="","",IF('Control Panel'!AQ14="",VLOOKUP($E15,'Table Output'!$A$2:$BR$99998,MATCH(AQ$4,'Table Output'!$A$1:$BQ$1,0),FALSE),'Control Panel'!AQ14)))</f>
        <v/>
      </c>
      <c r="AR15" s="48" t="str">
        <f>IF(AR$4="","",IF($I15="","",IF('Control Panel'!AR14="",VLOOKUP($E15,'Table Output'!$A$2:$BR$99998,MATCH(AR$4,'Table Output'!$A$1:$BQ$1,0),FALSE),'Control Panel'!AR14)))</f>
        <v/>
      </c>
      <c r="AS15" s="48" t="str">
        <f>IF(AS$4="","",IF($I15="","",IF('Control Panel'!AS14="",VLOOKUP($E15,'Table Output'!$A$2:$BR$99998,MATCH(AS$4,'Table Output'!$A$1:$BQ$1,0),FALSE),'Control Panel'!AS14)))</f>
        <v/>
      </c>
      <c r="AT15" s="48" t="str">
        <f>IF(AT$4="","",IF($I15="","",IF('Control Panel'!AT14="",VLOOKUP($E15,'Table Output'!$A$2:$BR$99998,MATCH(AT$4,'Table Output'!$A$1:$BQ$1,0),FALSE),'Control Panel'!AT14)))</f>
        <v/>
      </c>
      <c r="AU15" s="48" t="str">
        <f>IF(AU$4="","",IF($I15="","",IF('Control Panel'!AU14="",VLOOKUP($E15,'Table Output'!$A$2:$BR$99998,MATCH(AU$4,'Table Output'!$A$1:$BQ$1,0),FALSE),'Control Panel'!AU14)))</f>
        <v/>
      </c>
      <c r="BH15" s="2" t="s">
        <v>88</v>
      </c>
      <c r="BI15" s="2" t="s">
        <v>96</v>
      </c>
    </row>
    <row r="16" spans="1:61" ht="12" thickBot="1" x14ac:dyDescent="0.2">
      <c r="B16" s="2" t="str">
        <f>'Control Panel'!B16</f>
        <v>Model settings</v>
      </c>
      <c r="C16" s="2">
        <f>'Control Panel'!C16</f>
        <v>0</v>
      </c>
      <c r="E16" s="2" t="str">
        <f>IF(T16=1,IF('Control Panel'!E15="","",'Control Panel'!E15),"")</f>
        <v/>
      </c>
      <c r="F16" s="2" t="str">
        <f>IF(T16=1,IF('Control Panel'!F15="","",'Control Panel'!F15),"")</f>
        <v/>
      </c>
      <c r="G16" s="2" t="str">
        <f>IF(T16=1,IF('Control Panel'!G15="","",'Control Panel'!G15),"")</f>
        <v/>
      </c>
      <c r="H16" s="2" t="str">
        <f>IF(T16=1,IF('Control Panel'!H15="","",'Control Panel'!H15),"")</f>
        <v/>
      </c>
      <c r="I16" s="42" t="str">
        <f>IF(T16=1,IF('Control Panel'!I15="","",'Control Panel'!I15),"")</f>
        <v/>
      </c>
      <c r="J16" s="36" t="str">
        <f>IF($I16="","",IF(J$4="","",IF('Control Panel'!J15="",VLOOKUP($E16,'Table Output'!$A$2:$BR$1048576,MATCH(J$4,'Table Output'!$A$1:$BQ$1,0),),'Control Panel'!J15)))</f>
        <v/>
      </c>
      <c r="K16" s="36" t="str">
        <f>IF($I16="","",IF(K$4="","",IF('Control Panel'!K15="",VLOOKUP($E16,'Table Output'!$A$2:$BR$1048576,MATCH(K$4,'Table Output'!$A$1:$BQ$1,0),),'Control Panel'!K15)))</f>
        <v/>
      </c>
      <c r="L16" s="36" t="str">
        <f>IF($I16="","",IF(L$4="","",IF('Control Panel'!L15="",VLOOKUP($E16,'Table Output'!$A$2:$BR$1048576,MATCH(L$4,'Table Output'!$A$1:$BQ$1,0),),'Control Panel'!L15)))</f>
        <v/>
      </c>
      <c r="M16" s="36" t="str">
        <f>IF($I16="","",IF(M$4="","",IF('Control Panel'!M15="",VLOOKUP($E16,'Table Output'!$A$2:$BR$1048576,MATCH(M$4,'Table Output'!$A$1:$BQ$1,0),),'Control Panel'!M15)))</f>
        <v/>
      </c>
      <c r="N16" s="36" t="str">
        <f>IF($I16="","",IF(N$4="","",IF('Control Panel'!N15="",VLOOKUP($E16,'Table Output'!$A$2:$BR$1048576,MATCH(N$4,'Table Output'!$A$1:$BQ$1,0),),'Control Panel'!N15)))</f>
        <v/>
      </c>
      <c r="O16" s="36" t="str">
        <f>IF($I16="","",IF(O$4="","",IF('Control Panel'!O15="",VLOOKUP($E16,'Table Output'!$A$2:$BR$1048576,MATCH(O$4,'Table Output'!$A$1:$BQ$1,0),),'Control Panel'!O15)))</f>
        <v/>
      </c>
      <c r="P16" s="36" t="str">
        <f>IF($I16="","",IF(P$4="","",IF('Control Panel'!P15="",VLOOKUP($E16,'Table Output'!$A$2:$BR$1048576,MATCH(P$4,'Table Output'!$A$1:$BQ$1,0),),'Control Panel'!P15)))</f>
        <v/>
      </c>
      <c r="Q16" s="36" t="str">
        <f>IF($I16="","",IF(Q$4="","",IF('Control Panel'!Q15="",VLOOKUP($E16,'Table Output'!$A$2:$BR$1048576,MATCH(Q$4,'Table Output'!$A$1:$BQ$1,0),),'Control Panel'!Q15)))</f>
        <v/>
      </c>
      <c r="R16" s="36" t="str">
        <f>IF($I16="","",IF(R$4="","",IF('Control Panel'!R15="",VLOOKUP($E16,'Table Output'!$A$2:$BR$1048576,MATCH(R$4,'Table Output'!$A$1:$BQ$1,0),),'Control Panel'!R15)))</f>
        <v/>
      </c>
      <c r="S16" s="36" t="str">
        <f>IF($I16="","",IF(S$4="","",IF('Control Panel'!S15="",VLOOKUP($E16,'Table Output'!$A$2:$BR$1048576,MATCH(S$4,'Table Output'!$A$1:$BQ$1,0),),'Control Panel'!S15)))</f>
        <v/>
      </c>
      <c r="T16" s="2">
        <f>IF('Control Panel'!T15="","",'Control Panel'!T15)</f>
        <v>0</v>
      </c>
      <c r="U16" s="36" t="str">
        <f>IF($I16="","",IF('Control Panel'!U15="",VLOOKUP($E16,'Table Output'!$A$2:$BR$99998,MATCH(U$4,'Table Output'!$A$1:$BQ$1,0),),'Control Panel'!U15))</f>
        <v/>
      </c>
      <c r="V16" s="36" t="str">
        <f>IF($I16="","",IF('Control Panel'!V15="",VLOOKUP($E16,'Table Output'!$A$2:$BR$99998,MATCH(V$4,'Table Output'!$A$1:$BQ$1,0),),'Control Panel'!V15))</f>
        <v/>
      </c>
      <c r="W16" s="36" t="str">
        <f>IF($I16="","",IF('Control Panel'!W15="",VLOOKUP($E16,'Table Output'!$A$2:$BR$99998,MATCH(W$4,'Table Output'!$A$1:$BQ$1,0),),'Control Panel'!W15))</f>
        <v/>
      </c>
      <c r="X16" s="36" t="str">
        <f>IF($I16="","",IF('Control Panel'!X15="",VLOOKUP($E16,'Table Output'!$A$2:$BR$99998,MATCH(X$4,'Table Output'!$A$1:$BQ$1,0),),'Control Panel'!X15))</f>
        <v/>
      </c>
      <c r="Y16" s="36" t="str">
        <f>IF($I16="","",IF('Control Panel'!Y15="",VLOOKUP($E16,'Table Output'!$A$2:$BR$99998,MATCH(Y$4,'Table Output'!$A$1:$BQ$1,0),),'Control Panel'!Y15))</f>
        <v/>
      </c>
      <c r="Z16" s="36" t="str">
        <f>IF($I16="","",IF('Control Panel'!Z15="",VLOOKUP($E16,'Table Output'!$A$2:$BR$99998,MATCH(Z$4,'Table Output'!$A$1:$BQ$1,0),),'Control Panel'!Z15))</f>
        <v/>
      </c>
      <c r="AA16" s="36" t="str">
        <f>IF($I16="","",IF('Control Panel'!AA15="",VLOOKUP($E16,'Table Output'!$A$2:$BR$99998,MATCH(AA$4,'Table Output'!$A$1:$BQ$1,0),),'Control Panel'!AA15))</f>
        <v/>
      </c>
      <c r="AB16" s="36" t="str">
        <f>IF($I16="","",IF('Control Panel'!AB15="",VLOOKUP($E16,'Table Output'!$A$2:$BR$99998,MATCH(AB$4,'Table Output'!$A$1:$BQ$1,0),),'Control Panel'!AB15))</f>
        <v/>
      </c>
      <c r="AC16" s="36" t="str">
        <f>IF($I16="","",IF('Control Panel'!AC15="",VLOOKUP($E16,'Table Output'!$A$2:$BR$99998,MATCH(AC$4,'Table Output'!$A$1:$BQ$1,0),),'Control Panel'!AC15))</f>
        <v/>
      </c>
      <c r="AD16" s="36" t="str">
        <f>IF($I16="","",IF('Control Panel'!AD15="",VLOOKUP($E16,'Table Output'!$A$2:$BR$99998,MATCH(AD$4,'Table Output'!$A$1:$BQ$1,0),),'Control Panel'!AD15))</f>
        <v/>
      </c>
      <c r="AE16" s="36" t="str">
        <f>IF($I16="","",IF('Control Panel'!AE15="",VLOOKUP($E16,'Table Output'!$A$2:$BR$99998,MATCH(AE$4,'Table Output'!$A$1:$BQ$1,0),),'Control Panel'!AE15))</f>
        <v/>
      </c>
      <c r="AF16" s="36" t="str">
        <f>IF($I16="","",IF('Control Panel'!AF15="",VLOOKUP($E16,'Table Output'!$A$2:$BR$99998,MATCH(AF$4,'Table Output'!$A$1:$BQ$1,0),),'Control Panel'!AF15))</f>
        <v/>
      </c>
      <c r="AG16" s="36" t="str">
        <f>IF($I16="","",IF('Control Panel'!AG15="",VLOOKUP($E16,'Table Output'!$A$2:$BR$99998,MATCH(AG$4,'Table Output'!$A$1:$BQ$1,0),),'Control Panel'!AG15))</f>
        <v/>
      </c>
      <c r="AH16" s="36" t="str">
        <f>IF($I16="","",IF('Control Panel'!AH15="",VLOOKUP($E16,'Table Output'!$A$2:$BR$99998,MATCH(AH$4,'Table Output'!$A$1:$BQ$1,0),),'Control Panel'!AH15))</f>
        <v/>
      </c>
      <c r="AI16" s="36" t="str">
        <f>IF($I16="","",IF('Control Panel'!AI15="",VLOOKUP($E16,'Table Output'!$A$2:$BR$99998,MATCH(AI$4,'Table Output'!$A$1:$BQ$1,0),),'Control Panel'!AI15))</f>
        <v/>
      </c>
      <c r="AJ16" s="36" t="str">
        <f>IF($I16="","",IF('Control Panel'!AJ15="",VLOOKUP($E16,'Table Output'!$A$2:$BR$99998,MATCH(AJ$4,'Table Output'!$A$1:$BQ$1,0),),'Control Panel'!AJ15))</f>
        <v/>
      </c>
      <c r="AL16" s="51" t="str">
        <f t="shared" si="0"/>
        <v/>
      </c>
      <c r="AM16" s="48" t="str">
        <f>IF(AM$4="","",IF($I16="","",IF('Control Panel'!AM15="",VLOOKUP($E16,'Table Output'!$A$2:$BR$99998,MATCH(AM$4,'Table Output'!$A$1:$BQ$1,0),FALSE),'Control Panel'!AM15)))</f>
        <v/>
      </c>
      <c r="AN16" s="48" t="str">
        <f>IF(AN$4="","",IF($I16="","",IF('Control Panel'!AN15="",VLOOKUP($E16,'Table Output'!$A$2:$BR$99998,MATCH(AN$4,'Table Output'!$A$1:$BQ$1,0),FALSE),'Control Panel'!AN15)))</f>
        <v/>
      </c>
      <c r="AO16" s="48" t="str">
        <f>IF(AO$4="","",IF($I16="","",IF('Control Panel'!AO15="",VLOOKUP($E16,'Table Output'!$A$2:$BR$99998,MATCH(AO$4,'Table Output'!$A$1:$BQ$1,0),FALSE),'Control Panel'!AO15)))</f>
        <v/>
      </c>
      <c r="AP16" s="48" t="str">
        <f>IF(AP$4="","",IF($I16="","",IF('Control Panel'!AP15="",VLOOKUP($E16,'Table Output'!$A$2:$BR$99998,MATCH(AP$4,'Table Output'!$A$1:$BQ$1,0),FALSE),'Control Panel'!AP15)))</f>
        <v/>
      </c>
      <c r="AQ16" s="48" t="str">
        <f>IF(AQ$4="","",IF($I16="","",IF('Control Panel'!AQ15="",VLOOKUP($E16,'Table Output'!$A$2:$BR$99998,MATCH(AQ$4,'Table Output'!$A$1:$BQ$1,0),FALSE),'Control Panel'!AQ15)))</f>
        <v/>
      </c>
      <c r="AR16" s="48" t="str">
        <f>IF(AR$4="","",IF($I16="","",IF('Control Panel'!AR15="",VLOOKUP($E16,'Table Output'!$A$2:$BR$99998,MATCH(AR$4,'Table Output'!$A$1:$BQ$1,0),FALSE),'Control Panel'!AR15)))</f>
        <v/>
      </c>
      <c r="AS16" s="48" t="str">
        <f>IF(AS$4="","",IF($I16="","",IF('Control Panel'!AS15="",VLOOKUP($E16,'Table Output'!$A$2:$BR$99998,MATCH(AS$4,'Table Output'!$A$1:$BQ$1,0),FALSE),'Control Panel'!AS15)))</f>
        <v/>
      </c>
      <c r="AT16" s="48" t="str">
        <f>IF(AT$4="","",IF($I16="","",IF('Control Panel'!AT15="",VLOOKUP($E16,'Table Output'!$A$2:$BR$99998,MATCH(AT$4,'Table Output'!$A$1:$BQ$1,0),FALSE),'Control Panel'!AT15)))</f>
        <v/>
      </c>
      <c r="AU16" s="48" t="str">
        <f>IF(AU$4="","",IF($I16="","",IF('Control Panel'!AU15="",VLOOKUP($E16,'Table Output'!$A$2:$BR$99998,MATCH(AU$4,'Table Output'!$A$1:$BQ$1,0),FALSE),'Control Panel'!AU15)))</f>
        <v/>
      </c>
      <c r="BH16" s="2" t="s">
        <v>145</v>
      </c>
      <c r="BI16" s="2" t="s">
        <v>96</v>
      </c>
    </row>
    <row r="17" spans="2:61" ht="12" thickBot="1" x14ac:dyDescent="0.2">
      <c r="B17" s="2" t="str">
        <f>'Control Panel'!B17</f>
        <v>Models</v>
      </c>
      <c r="C17" s="2" t="str">
        <f>'Control Panel'!C17</f>
        <v>benchmark</v>
      </c>
      <c r="E17" s="2" t="str">
        <f>IF(T17=1,IF('Control Panel'!E16="","",'Control Panel'!E16),"")</f>
        <v/>
      </c>
      <c r="F17" s="2" t="str">
        <f>IF(T17=1,IF('Control Panel'!F16="","",'Control Panel'!F16),"")</f>
        <v/>
      </c>
      <c r="G17" s="2" t="str">
        <f>IF(T17=1,IF('Control Panel'!G16="","",'Control Panel'!G16),"")</f>
        <v/>
      </c>
      <c r="H17" s="2" t="str">
        <f>IF(T17=1,IF('Control Panel'!H16="","",'Control Panel'!H16),"")</f>
        <v/>
      </c>
      <c r="I17" s="42" t="str">
        <f>IF(T17=1,IF('Control Panel'!I16="","",'Control Panel'!I16),"")</f>
        <v/>
      </c>
      <c r="J17" s="36" t="str">
        <f>IF($I17="","",IF(J$4="","",IF('Control Panel'!J16="",VLOOKUP($E17,'Table Output'!$A$2:$BR$1048576,MATCH(J$4,'Table Output'!$A$1:$BQ$1,0),),'Control Panel'!J16)))</f>
        <v/>
      </c>
      <c r="K17" s="36" t="str">
        <f>IF($I17="","",IF(K$4="","",IF('Control Panel'!K16="",VLOOKUP($E17,'Table Output'!$A$2:$BR$1048576,MATCH(K$4,'Table Output'!$A$1:$BQ$1,0),),'Control Panel'!K16)))</f>
        <v/>
      </c>
      <c r="L17" s="36" t="str">
        <f>IF($I17="","",IF(L$4="","",IF('Control Panel'!L16="",VLOOKUP($E17,'Table Output'!$A$2:$BR$1048576,MATCH(L$4,'Table Output'!$A$1:$BQ$1,0),),'Control Panel'!L16)))</f>
        <v/>
      </c>
      <c r="M17" s="36" t="str">
        <f>IF($I17="","",IF(M$4="","",IF('Control Panel'!M16="",VLOOKUP($E17,'Table Output'!$A$2:$BR$1048576,MATCH(M$4,'Table Output'!$A$1:$BQ$1,0),),'Control Panel'!M16)))</f>
        <v/>
      </c>
      <c r="N17" s="36" t="str">
        <f>IF($I17="","",IF(N$4="","",IF('Control Panel'!N16="",VLOOKUP($E17,'Table Output'!$A$2:$BR$1048576,MATCH(N$4,'Table Output'!$A$1:$BQ$1,0),),'Control Panel'!N16)))</f>
        <v/>
      </c>
      <c r="O17" s="36" t="str">
        <f>IF($I17="","",IF(O$4="","",IF('Control Panel'!O16="",VLOOKUP($E17,'Table Output'!$A$2:$BR$1048576,MATCH(O$4,'Table Output'!$A$1:$BQ$1,0),),'Control Panel'!O16)))</f>
        <v/>
      </c>
      <c r="P17" s="36" t="str">
        <f>IF($I17="","",IF(P$4="","",IF('Control Panel'!P16="",VLOOKUP($E17,'Table Output'!$A$2:$BR$1048576,MATCH(P$4,'Table Output'!$A$1:$BQ$1,0),),'Control Panel'!P16)))</f>
        <v/>
      </c>
      <c r="Q17" s="36" t="str">
        <f>IF($I17="","",IF(Q$4="","",IF('Control Panel'!Q16="",VLOOKUP($E17,'Table Output'!$A$2:$BR$1048576,MATCH(Q$4,'Table Output'!$A$1:$BQ$1,0),),'Control Panel'!Q16)))</f>
        <v/>
      </c>
      <c r="R17" s="36" t="str">
        <f>IF($I17="","",IF(R$4="","",IF('Control Panel'!R16="",VLOOKUP($E17,'Table Output'!$A$2:$BR$1048576,MATCH(R$4,'Table Output'!$A$1:$BQ$1,0),),'Control Panel'!R16)))</f>
        <v/>
      </c>
      <c r="S17" s="36" t="str">
        <f>IF($I17="","",IF(S$4="","",IF('Control Panel'!S16="",VLOOKUP($E17,'Table Output'!$A$2:$BR$1048576,MATCH(S$4,'Table Output'!$A$1:$BQ$1,0),),'Control Panel'!S16)))</f>
        <v/>
      </c>
      <c r="T17" s="2" t="str">
        <f>IF('Control Panel'!T16="","",'Control Panel'!T16)</f>
        <v/>
      </c>
      <c r="U17" s="36" t="str">
        <f>IF($I17="","",IF('Control Panel'!U16="",VLOOKUP($E17,'Table Output'!$A$2:$BR$99998,MATCH(U$4,'Table Output'!$A$1:$BQ$1,0),),'Control Panel'!U16))</f>
        <v/>
      </c>
      <c r="V17" s="36" t="str">
        <f>IF($I17="","",IF('Control Panel'!V16="",VLOOKUP($E17,'Table Output'!$A$2:$BR$99998,MATCH(V$4,'Table Output'!$A$1:$BQ$1,0),),'Control Panel'!V16))</f>
        <v/>
      </c>
      <c r="W17" s="36" t="str">
        <f>IF($I17="","",IF('Control Panel'!W16="",VLOOKUP($E17,'Table Output'!$A$2:$BR$99998,MATCH(W$4,'Table Output'!$A$1:$BQ$1,0),),'Control Panel'!W16))</f>
        <v/>
      </c>
      <c r="X17" s="36" t="str">
        <f>IF($I17="","",IF('Control Panel'!X16="",VLOOKUP($E17,'Table Output'!$A$2:$BR$99998,MATCH(X$4,'Table Output'!$A$1:$BQ$1,0),),'Control Panel'!X16))</f>
        <v/>
      </c>
      <c r="Y17" s="36" t="str">
        <f>IF($I17="","",IF('Control Panel'!Y16="",VLOOKUP($E17,'Table Output'!$A$2:$BR$99998,MATCH(Y$4,'Table Output'!$A$1:$BQ$1,0),),'Control Panel'!Y16))</f>
        <v/>
      </c>
      <c r="Z17" s="36" t="str">
        <f>IF($I17="","",IF('Control Panel'!Z16="",VLOOKUP($E17,'Table Output'!$A$2:$BR$99998,MATCH(Z$4,'Table Output'!$A$1:$BQ$1,0),),'Control Panel'!Z16))</f>
        <v/>
      </c>
      <c r="AA17" s="36" t="str">
        <f>IF($I17="","",IF('Control Panel'!AA16="",VLOOKUP($E17,'Table Output'!$A$2:$BR$99998,MATCH(AA$4,'Table Output'!$A$1:$BQ$1,0),),'Control Panel'!AA16))</f>
        <v/>
      </c>
      <c r="AB17" s="36" t="str">
        <f>IF($I17="","",IF('Control Panel'!AB16="",VLOOKUP($E17,'Table Output'!$A$2:$BR$99998,MATCH(AB$4,'Table Output'!$A$1:$BQ$1,0),),'Control Panel'!AB16))</f>
        <v/>
      </c>
      <c r="AC17" s="36" t="str">
        <f>IF($I17="","",IF('Control Panel'!AC16="",VLOOKUP($E17,'Table Output'!$A$2:$BR$99998,MATCH(AC$4,'Table Output'!$A$1:$BQ$1,0),),'Control Panel'!AC16))</f>
        <v/>
      </c>
      <c r="AD17" s="36" t="str">
        <f>IF($I17="","",IF('Control Panel'!AD16="",VLOOKUP($E17,'Table Output'!$A$2:$BR$99998,MATCH(AD$4,'Table Output'!$A$1:$BQ$1,0),),'Control Panel'!AD16))</f>
        <v/>
      </c>
      <c r="AE17" s="36" t="str">
        <f>IF($I17="","",IF('Control Panel'!AE16="",VLOOKUP($E17,'Table Output'!$A$2:$BR$99998,MATCH(AE$4,'Table Output'!$A$1:$BQ$1,0),),'Control Panel'!AE16))</f>
        <v/>
      </c>
      <c r="AF17" s="36" t="str">
        <f>IF($I17="","",IF('Control Panel'!AF16="",VLOOKUP($E17,'Table Output'!$A$2:$BR$99998,MATCH(AF$4,'Table Output'!$A$1:$BQ$1,0),),'Control Panel'!AF16))</f>
        <v/>
      </c>
      <c r="AG17" s="36" t="str">
        <f>IF($I17="","",IF('Control Panel'!AG16="",VLOOKUP($E17,'Table Output'!$A$2:$BR$99998,MATCH(AG$4,'Table Output'!$A$1:$BQ$1,0),),'Control Panel'!AG16))</f>
        <v/>
      </c>
      <c r="AH17" s="36" t="str">
        <f>IF($I17="","",IF('Control Panel'!AH16="",VLOOKUP($E17,'Table Output'!$A$2:$BR$99998,MATCH(AH$4,'Table Output'!$A$1:$BQ$1,0),),'Control Panel'!AH16))</f>
        <v/>
      </c>
      <c r="AI17" s="36" t="str">
        <f>IF($I17="","",IF('Control Panel'!AI16="",VLOOKUP($E17,'Table Output'!$A$2:$BR$99998,MATCH(AI$4,'Table Output'!$A$1:$BQ$1,0),),'Control Panel'!AI16))</f>
        <v/>
      </c>
      <c r="AJ17" s="36" t="str">
        <f>IF($I17="","",IF('Control Panel'!AJ16="",VLOOKUP($E17,'Table Output'!$A$2:$BR$99998,MATCH(AJ$4,'Table Output'!$A$1:$BQ$1,0),),'Control Panel'!AJ16))</f>
        <v/>
      </c>
      <c r="AL17" s="51" t="str">
        <f t="shared" si="0"/>
        <v/>
      </c>
      <c r="AM17" s="48" t="str">
        <f>IF(AM$4="","",IF($I17="","",IF('Control Panel'!AM16="",VLOOKUP($E17,'Table Output'!$A$2:$BR$99998,MATCH(AM$4,'Table Output'!$A$1:$BQ$1,0),FALSE),'Control Panel'!AM16)))</f>
        <v/>
      </c>
      <c r="AN17" s="48" t="str">
        <f>IF(AN$4="","",IF($I17="","",IF('Control Panel'!AN16="",VLOOKUP($E17,'Table Output'!$A$2:$BR$99998,MATCH(AN$4,'Table Output'!$A$1:$BQ$1,0),FALSE),'Control Panel'!AN16)))</f>
        <v/>
      </c>
      <c r="AO17" s="48" t="str">
        <f>IF(AO$4="","",IF($I17="","",IF('Control Panel'!AO16="",VLOOKUP($E17,'Table Output'!$A$2:$BR$99998,MATCH(AO$4,'Table Output'!$A$1:$BQ$1,0),FALSE),'Control Panel'!AO16)))</f>
        <v/>
      </c>
      <c r="AP17" s="48" t="str">
        <f>IF(AP$4="","",IF($I17="","",IF('Control Panel'!AP16="",VLOOKUP($E17,'Table Output'!$A$2:$BR$99998,MATCH(AP$4,'Table Output'!$A$1:$BQ$1,0),FALSE),'Control Panel'!AP16)))</f>
        <v/>
      </c>
      <c r="AQ17" s="48" t="str">
        <f>IF(AQ$4="","",IF($I17="","",IF('Control Panel'!AQ16="",VLOOKUP($E17,'Table Output'!$A$2:$BR$99998,MATCH(AQ$4,'Table Output'!$A$1:$BQ$1,0),FALSE),'Control Panel'!AQ16)))</f>
        <v/>
      </c>
      <c r="AR17" s="48" t="str">
        <f>IF(AR$4="","",IF($I17="","",IF('Control Panel'!AR16="",VLOOKUP($E17,'Table Output'!$A$2:$BR$99998,MATCH(AR$4,'Table Output'!$A$1:$BQ$1,0),FALSE),'Control Panel'!AR16)))</f>
        <v/>
      </c>
      <c r="AS17" s="48" t="str">
        <f>IF(AS$4="","",IF($I17="","",IF('Control Panel'!AS16="",VLOOKUP($E17,'Table Output'!$A$2:$BR$99998,MATCH(AS$4,'Table Output'!$A$1:$BQ$1,0),FALSE),'Control Panel'!AS16)))</f>
        <v/>
      </c>
      <c r="AT17" s="48" t="str">
        <f>IF(AT$4="","",IF($I17="","",IF('Control Panel'!AT16="",VLOOKUP($E17,'Table Output'!$A$2:$BR$99998,MATCH(AT$4,'Table Output'!$A$1:$BQ$1,0),FALSE),'Control Panel'!AT16)))</f>
        <v/>
      </c>
      <c r="AU17" s="48" t="str">
        <f>IF(AU$4="","",IF($I17="","",IF('Control Panel'!AU16="",VLOOKUP($E17,'Table Output'!$A$2:$BR$99998,MATCH(AU$4,'Table Output'!$A$1:$BQ$1,0),FALSE),'Control Panel'!AU16)))</f>
        <v/>
      </c>
      <c r="BH17" s="2" t="s">
        <v>90</v>
      </c>
      <c r="BI17" s="2" t="s">
        <v>96</v>
      </c>
    </row>
    <row r="18" spans="2:61" ht="12" thickBot="1" x14ac:dyDescent="0.2">
      <c r="B18" s="2" t="str">
        <f>'Control Panel'!B18</f>
        <v>Load levels</v>
      </c>
      <c r="C18" s="2" t="str">
        <f>'Control Panel'!C18</f>
        <v>D_10,D_200</v>
      </c>
      <c r="E18" s="2" t="str">
        <f>IF(T18=1,IF('Control Panel'!E17="","",'Control Panel'!E17),"")</f>
        <v/>
      </c>
      <c r="F18" s="2" t="str">
        <f>IF(T18=1,IF('Control Panel'!F17="","",'Control Panel'!F17),"")</f>
        <v/>
      </c>
      <c r="G18" s="2" t="str">
        <f>IF(T18=1,IF('Control Panel'!G17="","",'Control Panel'!G17),"")</f>
        <v/>
      </c>
      <c r="H18" s="2" t="str">
        <f>IF(T18=1,IF('Control Panel'!H17="","",'Control Panel'!H17),"")</f>
        <v/>
      </c>
      <c r="I18" s="42" t="str">
        <f>IF(T18=1,IF('Control Panel'!I17="","",'Control Panel'!I17),"")</f>
        <v/>
      </c>
      <c r="J18" s="36" t="str">
        <f>IF($I18="","",IF(J$4="","",IF('Control Panel'!J17="",VLOOKUP($E18,'Table Output'!$A$2:$BR$1048576,MATCH(J$4,'Table Output'!$A$1:$BQ$1,0),),'Control Panel'!J17)))</f>
        <v/>
      </c>
      <c r="K18" s="36" t="str">
        <f>IF($I18="","",IF(K$4="","",IF('Control Panel'!K17="",VLOOKUP($E18,'Table Output'!$A$2:$BR$1048576,MATCH(K$4,'Table Output'!$A$1:$BQ$1,0),),'Control Panel'!K17)))</f>
        <v/>
      </c>
      <c r="L18" s="36" t="str">
        <f>IF($I18="","",IF(L$4="","",IF('Control Panel'!L17="",VLOOKUP($E18,'Table Output'!$A$2:$BR$1048576,MATCH(L$4,'Table Output'!$A$1:$BQ$1,0),),'Control Panel'!L17)))</f>
        <v/>
      </c>
      <c r="M18" s="36" t="str">
        <f>IF($I18="","",IF(M$4="","",IF('Control Panel'!M17="",VLOOKUP($E18,'Table Output'!$A$2:$BR$1048576,MATCH(M$4,'Table Output'!$A$1:$BQ$1,0),),'Control Panel'!M17)))</f>
        <v/>
      </c>
      <c r="N18" s="36" t="str">
        <f>IF($I18="","",IF(N$4="","",IF('Control Panel'!N17="",VLOOKUP($E18,'Table Output'!$A$2:$BR$1048576,MATCH(N$4,'Table Output'!$A$1:$BQ$1,0),),'Control Panel'!N17)))</f>
        <v/>
      </c>
      <c r="O18" s="36" t="str">
        <f>IF($I18="","",IF(O$4="","",IF('Control Panel'!O17="",VLOOKUP($E18,'Table Output'!$A$2:$BR$1048576,MATCH(O$4,'Table Output'!$A$1:$BQ$1,0),),'Control Panel'!O17)))</f>
        <v/>
      </c>
      <c r="P18" s="36" t="str">
        <f>IF($I18="","",IF(P$4="","",IF('Control Panel'!P17="",VLOOKUP($E18,'Table Output'!$A$2:$BR$1048576,MATCH(P$4,'Table Output'!$A$1:$BQ$1,0),),'Control Panel'!P17)))</f>
        <v/>
      </c>
      <c r="Q18" s="36" t="str">
        <f>IF($I18="","",IF(Q$4="","",IF('Control Panel'!Q17="",VLOOKUP($E18,'Table Output'!$A$2:$BR$1048576,MATCH(Q$4,'Table Output'!$A$1:$BQ$1,0),),'Control Panel'!Q17)))</f>
        <v/>
      </c>
      <c r="R18" s="36" t="str">
        <f>IF($I18="","",IF(R$4="","",IF('Control Panel'!R17="",VLOOKUP($E18,'Table Output'!$A$2:$BR$1048576,MATCH(R$4,'Table Output'!$A$1:$BQ$1,0),),'Control Panel'!R17)))</f>
        <v/>
      </c>
      <c r="S18" s="36" t="str">
        <f>IF($I18="","",IF(S$4="","",IF('Control Panel'!S17="",VLOOKUP($E18,'Table Output'!$A$2:$BR$1048576,MATCH(S$4,'Table Output'!$A$1:$BQ$1,0),),'Control Panel'!S17)))</f>
        <v/>
      </c>
      <c r="T18" s="2" t="str">
        <f>IF('Control Panel'!T17="","",'Control Panel'!T17)</f>
        <v/>
      </c>
      <c r="U18" s="36" t="str">
        <f>IF($I18="","",IF('Control Panel'!U17="",VLOOKUP($E18,'Table Output'!$A$2:$BR$99998,MATCH(U$4,'Table Output'!$A$1:$BQ$1,0),),'Control Panel'!U17))</f>
        <v/>
      </c>
      <c r="V18" s="36" t="str">
        <f>IF($I18="","",IF('Control Panel'!V17="",VLOOKUP($E18,'Table Output'!$A$2:$BR$99998,MATCH(V$4,'Table Output'!$A$1:$BQ$1,0),),'Control Panel'!V17))</f>
        <v/>
      </c>
      <c r="W18" s="36" t="str">
        <f>IF($I18="","",IF('Control Panel'!W17="",VLOOKUP($E18,'Table Output'!$A$2:$BR$99998,MATCH(W$4,'Table Output'!$A$1:$BQ$1,0),),'Control Panel'!W17))</f>
        <v/>
      </c>
      <c r="X18" s="36" t="str">
        <f>IF($I18="","",IF('Control Panel'!X17="",VLOOKUP($E18,'Table Output'!$A$2:$BR$99998,MATCH(X$4,'Table Output'!$A$1:$BQ$1,0),),'Control Panel'!X17))</f>
        <v/>
      </c>
      <c r="Y18" s="36" t="str">
        <f>IF($I18="","",IF('Control Panel'!Y17="",VLOOKUP($E18,'Table Output'!$A$2:$BR$99998,MATCH(Y$4,'Table Output'!$A$1:$BQ$1,0),),'Control Panel'!Y17))</f>
        <v/>
      </c>
      <c r="Z18" s="36" t="str">
        <f>IF($I18="","",IF('Control Panel'!Z17="",VLOOKUP($E18,'Table Output'!$A$2:$BR$99998,MATCH(Z$4,'Table Output'!$A$1:$BQ$1,0),),'Control Panel'!Z17))</f>
        <v/>
      </c>
      <c r="AA18" s="36" t="str">
        <f>IF($I18="","",IF('Control Panel'!AA17="",VLOOKUP($E18,'Table Output'!$A$2:$BR$99998,MATCH(AA$4,'Table Output'!$A$1:$BQ$1,0),),'Control Panel'!AA17))</f>
        <v/>
      </c>
      <c r="AB18" s="36" t="str">
        <f>IF($I18="","",IF('Control Panel'!AB17="",VLOOKUP($E18,'Table Output'!$A$2:$BR$99998,MATCH(AB$4,'Table Output'!$A$1:$BQ$1,0),),'Control Panel'!AB17))</f>
        <v/>
      </c>
      <c r="AC18" s="36" t="str">
        <f>IF($I18="","",IF('Control Panel'!AC17="",VLOOKUP($E18,'Table Output'!$A$2:$BR$99998,MATCH(AC$4,'Table Output'!$A$1:$BQ$1,0),),'Control Panel'!AC17))</f>
        <v/>
      </c>
      <c r="AD18" s="36" t="str">
        <f>IF($I18="","",IF('Control Panel'!AD17="",VLOOKUP($E18,'Table Output'!$A$2:$BR$99998,MATCH(AD$4,'Table Output'!$A$1:$BQ$1,0),),'Control Panel'!AD17))</f>
        <v/>
      </c>
      <c r="AE18" s="36" t="str">
        <f>IF($I18="","",IF('Control Panel'!AE17="",VLOOKUP($E18,'Table Output'!$A$2:$BR$99998,MATCH(AE$4,'Table Output'!$A$1:$BQ$1,0),),'Control Panel'!AE17))</f>
        <v/>
      </c>
      <c r="AF18" s="36" t="str">
        <f>IF($I18="","",IF('Control Panel'!AF17="",VLOOKUP($E18,'Table Output'!$A$2:$BR$99998,MATCH(AF$4,'Table Output'!$A$1:$BQ$1,0),),'Control Panel'!AF17))</f>
        <v/>
      </c>
      <c r="AG18" s="36" t="str">
        <f>IF($I18="","",IF('Control Panel'!AG17="",VLOOKUP($E18,'Table Output'!$A$2:$BR$99998,MATCH(AG$4,'Table Output'!$A$1:$BQ$1,0),),'Control Panel'!AG17))</f>
        <v/>
      </c>
      <c r="AH18" s="36" t="str">
        <f>IF($I18="","",IF('Control Panel'!AH17="",VLOOKUP($E18,'Table Output'!$A$2:$BR$99998,MATCH(AH$4,'Table Output'!$A$1:$BQ$1,0),),'Control Panel'!AH17))</f>
        <v/>
      </c>
      <c r="AI18" s="36" t="str">
        <f>IF($I18="","",IF('Control Panel'!AI17="",VLOOKUP($E18,'Table Output'!$A$2:$BR$99998,MATCH(AI$4,'Table Output'!$A$1:$BQ$1,0),),'Control Panel'!AI17))</f>
        <v/>
      </c>
      <c r="AJ18" s="36" t="str">
        <f>IF($I18="","",IF('Control Panel'!AJ17="",VLOOKUP($E18,'Table Output'!$A$2:$BR$99998,MATCH(AJ$4,'Table Output'!$A$1:$BQ$1,0),),'Control Panel'!AJ17))</f>
        <v/>
      </c>
      <c r="AL18" s="51" t="str">
        <f t="shared" si="0"/>
        <v/>
      </c>
      <c r="AM18" s="48" t="str">
        <f>IF(AM$4="","",IF($I18="","",IF('Control Panel'!AM17="",VLOOKUP($E18,'Table Output'!$A$2:$BR$99998,MATCH(AM$4,'Table Output'!$A$1:$BQ$1,0),FALSE),'Control Panel'!AM17)))</f>
        <v/>
      </c>
      <c r="AN18" s="48" t="str">
        <f>IF(AN$4="","",IF($I18="","",IF('Control Panel'!AN17="",VLOOKUP($E18,'Table Output'!$A$2:$BR$99998,MATCH(AN$4,'Table Output'!$A$1:$BQ$1,0),FALSE),'Control Panel'!AN17)))</f>
        <v/>
      </c>
      <c r="AO18" s="48" t="str">
        <f>IF(AO$4="","",IF($I18="","",IF('Control Panel'!AO17="",VLOOKUP($E18,'Table Output'!$A$2:$BR$99998,MATCH(AO$4,'Table Output'!$A$1:$BQ$1,0),FALSE),'Control Panel'!AO17)))</f>
        <v/>
      </c>
      <c r="AP18" s="48" t="str">
        <f>IF(AP$4="","",IF($I18="","",IF('Control Panel'!AP17="",VLOOKUP($E18,'Table Output'!$A$2:$BR$99998,MATCH(AP$4,'Table Output'!$A$1:$BQ$1,0),FALSE),'Control Panel'!AP17)))</f>
        <v/>
      </c>
      <c r="AQ18" s="48" t="str">
        <f>IF(AQ$4="","",IF($I18="","",IF('Control Panel'!AQ17="",VLOOKUP($E18,'Table Output'!$A$2:$BR$99998,MATCH(AQ$4,'Table Output'!$A$1:$BQ$1,0),FALSE),'Control Panel'!AQ17)))</f>
        <v/>
      </c>
      <c r="AR18" s="48" t="str">
        <f>IF(AR$4="","",IF($I18="","",IF('Control Panel'!AR17="",VLOOKUP($E18,'Table Output'!$A$2:$BR$99998,MATCH(AR$4,'Table Output'!$A$1:$BQ$1,0),FALSE),'Control Panel'!AR17)))</f>
        <v/>
      </c>
      <c r="AS18" s="48" t="str">
        <f>IF(AS$4="","",IF($I18="","",IF('Control Panel'!AS17="",VLOOKUP($E18,'Table Output'!$A$2:$BR$99998,MATCH(AS$4,'Table Output'!$A$1:$BQ$1,0),FALSE),'Control Panel'!AS17)))</f>
        <v/>
      </c>
      <c r="AT18" s="48" t="str">
        <f>IF(AT$4="","",IF($I18="","",IF('Control Panel'!AT17="",VLOOKUP($E18,'Table Output'!$A$2:$BR$99998,MATCH(AT$4,'Table Output'!$A$1:$BQ$1,0),FALSE),'Control Panel'!AT17)))</f>
        <v/>
      </c>
      <c r="AU18" s="48" t="str">
        <f>IF(AU$4="","",IF($I18="","",IF('Control Panel'!AU17="",VLOOKUP($E18,'Table Output'!$A$2:$BR$99998,MATCH(AU$4,'Table Output'!$A$1:$BQ$1,0),FALSE),'Control Panel'!AU17)))</f>
        <v/>
      </c>
      <c r="BH18" s="2" t="s">
        <v>146</v>
      </c>
      <c r="BI18" s="2" t="s">
        <v>97</v>
      </c>
    </row>
    <row r="19" spans="2:61" ht="12" thickBot="1" x14ac:dyDescent="0.2">
      <c r="B19" s="2" t="str">
        <f>'Control Panel'!B19</f>
        <v>Springs type</v>
      </c>
      <c r="C19" s="2">
        <f>IF('Control Panel'!C19=Switch_options_hidden!D3,0,IF('Control Panel'!C19=Switch_options_hidden!D4,1,IF('Control Panel'!C19=Switch_options_hidden!D5,2,IF('Control Panel'!C19=Switch_options_hidden!D6,3,NA()))))</f>
        <v>0</v>
      </c>
      <c r="E19" s="2" t="str">
        <f>IF(T19=1,IF('Control Panel'!E18="","",'Control Panel'!E18),"")</f>
        <v/>
      </c>
      <c r="F19" s="2" t="str">
        <f>IF(T19=1,IF('Control Panel'!F18="","",'Control Panel'!F18),"")</f>
        <v/>
      </c>
      <c r="G19" s="2" t="str">
        <f>IF(T19=1,IF('Control Panel'!G18="","",'Control Panel'!G18),"")</f>
        <v/>
      </c>
      <c r="H19" s="2" t="str">
        <f>IF(T19=1,IF('Control Panel'!H18="","",'Control Panel'!H18),"")</f>
        <v/>
      </c>
      <c r="I19" s="42" t="str">
        <f>IF(T19=1,IF('Control Panel'!I18="","",'Control Panel'!I18),"")</f>
        <v/>
      </c>
      <c r="J19" s="36" t="str">
        <f>IF($I19="","",IF(J$4="","",IF('Control Panel'!J18="",VLOOKUP($E19,'Table Output'!$A$2:$BR$1048576,MATCH(J$4,'Table Output'!$A$1:$BQ$1,0),),'Control Panel'!J18)))</f>
        <v/>
      </c>
      <c r="K19" s="36" t="str">
        <f>IF($I19="","",IF(K$4="","",IF('Control Panel'!K18="",VLOOKUP($E19,'Table Output'!$A$2:$BR$1048576,MATCH(K$4,'Table Output'!$A$1:$BQ$1,0),),'Control Panel'!K18)))</f>
        <v/>
      </c>
      <c r="L19" s="36" t="str">
        <f>IF($I19="","",IF(L$4="","",IF('Control Panel'!L18="",VLOOKUP($E19,'Table Output'!$A$2:$BR$1048576,MATCH(L$4,'Table Output'!$A$1:$BQ$1,0),),'Control Panel'!L18)))</f>
        <v/>
      </c>
      <c r="M19" s="36" t="str">
        <f>IF($I19="","",IF(M$4="","",IF('Control Panel'!M18="",VLOOKUP($E19,'Table Output'!$A$2:$BR$1048576,MATCH(M$4,'Table Output'!$A$1:$BQ$1,0),),'Control Panel'!M18)))</f>
        <v/>
      </c>
      <c r="N19" s="36" t="str">
        <f>IF($I19="","",IF(N$4="","",IF('Control Panel'!N18="",VLOOKUP($E19,'Table Output'!$A$2:$BR$1048576,MATCH(N$4,'Table Output'!$A$1:$BQ$1,0),),'Control Panel'!N18)))</f>
        <v/>
      </c>
      <c r="O19" s="36" t="str">
        <f>IF($I19="","",IF(O$4="","",IF('Control Panel'!O18="",VLOOKUP($E19,'Table Output'!$A$2:$BR$1048576,MATCH(O$4,'Table Output'!$A$1:$BQ$1,0),),'Control Panel'!O18)))</f>
        <v/>
      </c>
      <c r="P19" s="36" t="str">
        <f>IF($I19="","",IF(P$4="","",IF('Control Panel'!P18="",VLOOKUP($E19,'Table Output'!$A$2:$BR$1048576,MATCH(P$4,'Table Output'!$A$1:$BQ$1,0),),'Control Panel'!P18)))</f>
        <v/>
      </c>
      <c r="Q19" s="36" t="str">
        <f>IF($I19="","",IF(Q$4="","",IF('Control Panel'!Q18="",VLOOKUP($E19,'Table Output'!$A$2:$BR$1048576,MATCH(Q$4,'Table Output'!$A$1:$BQ$1,0),),'Control Panel'!Q18)))</f>
        <v/>
      </c>
      <c r="R19" s="36" t="str">
        <f>IF($I19="","",IF(R$4="","",IF('Control Panel'!R18="",VLOOKUP($E19,'Table Output'!$A$2:$BR$1048576,MATCH(R$4,'Table Output'!$A$1:$BQ$1,0),),'Control Panel'!R18)))</f>
        <v/>
      </c>
      <c r="S19" s="36" t="str">
        <f>IF($I19="","",IF(S$4="","",IF('Control Panel'!S18="",VLOOKUP($E19,'Table Output'!$A$2:$BR$1048576,MATCH(S$4,'Table Output'!$A$1:$BQ$1,0),),'Control Panel'!S18)))</f>
        <v/>
      </c>
      <c r="T19" s="2" t="str">
        <f>IF('Control Panel'!T18="","",'Control Panel'!T18)</f>
        <v/>
      </c>
      <c r="U19" s="36" t="str">
        <f>IF($I19="","",IF('Control Panel'!U18="",VLOOKUP($E19,'Table Output'!$A$2:$BR$99998,MATCH(U$4,'Table Output'!$A$1:$BQ$1,0),),'Control Panel'!U18))</f>
        <v/>
      </c>
      <c r="V19" s="36" t="str">
        <f>IF($I19="","",IF('Control Panel'!V18="",VLOOKUP($E19,'Table Output'!$A$2:$BR$99998,MATCH(V$4,'Table Output'!$A$1:$BQ$1,0),),'Control Panel'!V18))</f>
        <v/>
      </c>
      <c r="W19" s="36" t="str">
        <f>IF($I19="","",IF('Control Panel'!W18="",VLOOKUP($E19,'Table Output'!$A$2:$BR$99998,MATCH(W$4,'Table Output'!$A$1:$BQ$1,0),),'Control Panel'!W18))</f>
        <v/>
      </c>
      <c r="X19" s="36" t="str">
        <f>IF($I19="","",IF('Control Panel'!X18="",VLOOKUP($E19,'Table Output'!$A$2:$BR$99998,MATCH(X$4,'Table Output'!$A$1:$BQ$1,0),),'Control Panel'!X18))</f>
        <v/>
      </c>
      <c r="Y19" s="36" t="str">
        <f>IF($I19="","",IF('Control Panel'!Y18="",VLOOKUP($E19,'Table Output'!$A$2:$BR$99998,MATCH(Y$4,'Table Output'!$A$1:$BQ$1,0),),'Control Panel'!Y18))</f>
        <v/>
      </c>
      <c r="Z19" s="36" t="str">
        <f>IF($I19="","",IF('Control Panel'!Z18="",VLOOKUP($E19,'Table Output'!$A$2:$BR$99998,MATCH(Z$4,'Table Output'!$A$1:$BQ$1,0),),'Control Panel'!Z18))</f>
        <v/>
      </c>
      <c r="AA19" s="36" t="str">
        <f>IF($I19="","",IF('Control Panel'!AA18="",VLOOKUP($E19,'Table Output'!$A$2:$BR$99998,MATCH(AA$4,'Table Output'!$A$1:$BQ$1,0),),'Control Panel'!AA18))</f>
        <v/>
      </c>
      <c r="AB19" s="36" t="str">
        <f>IF($I19="","",IF('Control Panel'!AB18="",VLOOKUP($E19,'Table Output'!$A$2:$BR$99998,MATCH(AB$4,'Table Output'!$A$1:$BQ$1,0),),'Control Panel'!AB18))</f>
        <v/>
      </c>
      <c r="AC19" s="36" t="str">
        <f>IF($I19="","",IF('Control Panel'!AC18="",VLOOKUP($E19,'Table Output'!$A$2:$BR$99998,MATCH(AC$4,'Table Output'!$A$1:$BQ$1,0),),'Control Panel'!AC18))</f>
        <v/>
      </c>
      <c r="AD19" s="36" t="str">
        <f>IF($I19="","",IF('Control Panel'!AD18="",VLOOKUP($E19,'Table Output'!$A$2:$BR$99998,MATCH(AD$4,'Table Output'!$A$1:$BQ$1,0),),'Control Panel'!AD18))</f>
        <v/>
      </c>
      <c r="AE19" s="36" t="str">
        <f>IF($I19="","",IF('Control Panel'!AE18="",VLOOKUP($E19,'Table Output'!$A$2:$BR$99998,MATCH(AE$4,'Table Output'!$A$1:$BQ$1,0),),'Control Panel'!AE18))</f>
        <v/>
      </c>
      <c r="AF19" s="36" t="str">
        <f>IF($I19="","",IF('Control Panel'!AF18="",VLOOKUP($E19,'Table Output'!$A$2:$BR$99998,MATCH(AF$4,'Table Output'!$A$1:$BQ$1,0),),'Control Panel'!AF18))</f>
        <v/>
      </c>
      <c r="AG19" s="36" t="str">
        <f>IF($I19="","",IF('Control Panel'!AG18="",VLOOKUP($E19,'Table Output'!$A$2:$BR$99998,MATCH(AG$4,'Table Output'!$A$1:$BQ$1,0),),'Control Panel'!AG18))</f>
        <v/>
      </c>
      <c r="AH19" s="36" t="str">
        <f>IF($I19="","",IF('Control Panel'!AH18="",VLOOKUP($E19,'Table Output'!$A$2:$BR$99998,MATCH(AH$4,'Table Output'!$A$1:$BQ$1,0),),'Control Panel'!AH18))</f>
        <v/>
      </c>
      <c r="AI19" s="36" t="str">
        <f>IF($I19="","",IF('Control Panel'!AI18="",VLOOKUP($E19,'Table Output'!$A$2:$BR$99998,MATCH(AI$4,'Table Output'!$A$1:$BQ$1,0),),'Control Panel'!AI18))</f>
        <v/>
      </c>
      <c r="AJ19" s="36" t="str">
        <f>IF($I19="","",IF('Control Panel'!AJ18="",VLOOKUP($E19,'Table Output'!$A$2:$BR$99998,MATCH(AJ$4,'Table Output'!$A$1:$BQ$1,0),),'Control Panel'!AJ18))</f>
        <v/>
      </c>
      <c r="AL19" s="51" t="str">
        <f t="shared" si="0"/>
        <v/>
      </c>
      <c r="AM19" s="48" t="str">
        <f>IF(AM$4="","",IF($I19="","",IF('Control Panel'!AM18="",VLOOKUP($E19,'Table Output'!$A$2:$BR$99998,MATCH(AM$4,'Table Output'!$A$1:$BQ$1,0),FALSE),'Control Panel'!AM18)))</f>
        <v/>
      </c>
      <c r="AN19" s="48" t="str">
        <f>IF(AN$4="","",IF($I19="","",IF('Control Panel'!AN18="",VLOOKUP($E19,'Table Output'!$A$2:$BR$99998,MATCH(AN$4,'Table Output'!$A$1:$BQ$1,0),FALSE),'Control Panel'!AN18)))</f>
        <v/>
      </c>
      <c r="AO19" s="48" t="str">
        <f>IF(AO$4="","",IF($I19="","",IF('Control Panel'!AO18="",VLOOKUP($E19,'Table Output'!$A$2:$BR$99998,MATCH(AO$4,'Table Output'!$A$1:$BQ$1,0),FALSE),'Control Panel'!AO18)))</f>
        <v/>
      </c>
      <c r="AP19" s="48" t="str">
        <f>IF(AP$4="","",IF($I19="","",IF('Control Panel'!AP18="",VLOOKUP($E19,'Table Output'!$A$2:$BR$99998,MATCH(AP$4,'Table Output'!$A$1:$BQ$1,0),FALSE),'Control Panel'!AP18)))</f>
        <v/>
      </c>
      <c r="AQ19" s="48" t="str">
        <f>IF(AQ$4="","",IF($I19="","",IF('Control Panel'!AQ18="",VLOOKUP($E19,'Table Output'!$A$2:$BR$99998,MATCH(AQ$4,'Table Output'!$A$1:$BQ$1,0),FALSE),'Control Panel'!AQ18)))</f>
        <v/>
      </c>
      <c r="AR19" s="48" t="str">
        <f>IF(AR$4="","",IF($I19="","",IF('Control Panel'!AR18="",VLOOKUP($E19,'Table Output'!$A$2:$BR$99998,MATCH(AR$4,'Table Output'!$A$1:$BQ$1,0),FALSE),'Control Panel'!AR18)))</f>
        <v/>
      </c>
      <c r="AS19" s="48" t="str">
        <f>IF(AS$4="","",IF($I19="","",IF('Control Panel'!AS18="",VLOOKUP($E19,'Table Output'!$A$2:$BR$99998,MATCH(AS$4,'Table Output'!$A$1:$BQ$1,0),FALSE),'Control Panel'!AS18)))</f>
        <v/>
      </c>
      <c r="AT19" s="48" t="str">
        <f>IF(AT$4="","",IF($I19="","",IF('Control Panel'!AT18="",VLOOKUP($E19,'Table Output'!$A$2:$BR$99998,MATCH(AT$4,'Table Output'!$A$1:$BQ$1,0),FALSE),'Control Panel'!AT18)))</f>
        <v/>
      </c>
      <c r="AU19" s="48" t="str">
        <f>IF(AU$4="","",IF($I19="","",IF('Control Panel'!AU18="",VLOOKUP($E19,'Table Output'!$A$2:$BR$99998,MATCH(AU$4,'Table Output'!$A$1:$BQ$1,0),FALSE),'Control Panel'!AU18)))</f>
        <v/>
      </c>
      <c r="BH19" s="2" t="s">
        <v>147</v>
      </c>
      <c r="BI19" s="2" t="s">
        <v>97</v>
      </c>
    </row>
    <row r="20" spans="2:61" ht="12" thickBot="1" x14ac:dyDescent="0.2">
      <c r="B20" s="2" t="str">
        <f>'Control Panel'!B20</f>
        <v>Stratigraphy</v>
      </c>
      <c r="C20" s="2" t="str">
        <f>'Control Panel'!C20</f>
        <v>layerd</v>
      </c>
      <c r="E20" s="2" t="str">
        <f>IF(T20=1,IF('Control Panel'!E19="","",'Control Panel'!E19),"")</f>
        <v/>
      </c>
      <c r="F20" s="2" t="str">
        <f>IF(T20=1,IF('Control Panel'!F19="","",'Control Panel'!F19),"")</f>
        <v/>
      </c>
      <c r="G20" s="2" t="str">
        <f>IF(T20=1,IF('Control Panel'!G19="","",'Control Panel'!G19),"")</f>
        <v/>
      </c>
      <c r="H20" s="2" t="str">
        <f>IF(T20=1,IF('Control Panel'!H19="","",'Control Panel'!H19),"")</f>
        <v/>
      </c>
      <c r="I20" s="42" t="str">
        <f>IF(T20=1,IF('Control Panel'!I19="","",'Control Panel'!I19),"")</f>
        <v/>
      </c>
      <c r="J20" s="36" t="str">
        <f>IF($I20="","",IF(J$4="","",IF('Control Panel'!J19="",VLOOKUP($E20,'Table Output'!$A$2:$BR$1048576,MATCH(J$4,'Table Output'!$A$1:$BQ$1,0),),'Control Panel'!J19)))</f>
        <v/>
      </c>
      <c r="K20" s="36" t="str">
        <f>IF($I20="","",IF(K$4="","",IF('Control Panel'!K19="",VLOOKUP($E20,'Table Output'!$A$2:$BR$1048576,MATCH(K$4,'Table Output'!$A$1:$BQ$1,0),),'Control Panel'!K19)))</f>
        <v/>
      </c>
      <c r="L20" s="36" t="str">
        <f>IF($I20="","",IF(L$4="","",IF('Control Panel'!L19="",VLOOKUP($E20,'Table Output'!$A$2:$BR$1048576,MATCH(L$4,'Table Output'!$A$1:$BQ$1,0),),'Control Panel'!L19)))</f>
        <v/>
      </c>
      <c r="M20" s="36" t="str">
        <f>IF($I20="","",IF(M$4="","",IF('Control Panel'!M19="",VLOOKUP($E20,'Table Output'!$A$2:$BR$1048576,MATCH(M$4,'Table Output'!$A$1:$BQ$1,0),),'Control Panel'!M19)))</f>
        <v/>
      </c>
      <c r="N20" s="36" t="str">
        <f>IF($I20="","",IF(N$4="","",IF('Control Panel'!N19="",VLOOKUP($E20,'Table Output'!$A$2:$BR$1048576,MATCH(N$4,'Table Output'!$A$1:$BQ$1,0),),'Control Panel'!N19)))</f>
        <v/>
      </c>
      <c r="O20" s="36" t="str">
        <f>IF($I20="","",IF(O$4="","",IF('Control Panel'!O19="",VLOOKUP($E20,'Table Output'!$A$2:$BR$1048576,MATCH(O$4,'Table Output'!$A$1:$BQ$1,0),),'Control Panel'!O19)))</f>
        <v/>
      </c>
      <c r="P20" s="36" t="str">
        <f>IF($I20="","",IF(P$4="","",IF('Control Panel'!P19="",VLOOKUP($E20,'Table Output'!$A$2:$BR$1048576,MATCH(P$4,'Table Output'!$A$1:$BQ$1,0),),'Control Panel'!P19)))</f>
        <v/>
      </c>
      <c r="Q20" s="36" t="str">
        <f>IF($I20="","",IF(Q$4="","",IF('Control Panel'!Q19="",VLOOKUP($E20,'Table Output'!$A$2:$BR$1048576,MATCH(Q$4,'Table Output'!$A$1:$BQ$1,0),),'Control Panel'!Q19)))</f>
        <v/>
      </c>
      <c r="R20" s="36" t="str">
        <f>IF($I20="","",IF(R$4="","",IF('Control Panel'!R19="",VLOOKUP($E20,'Table Output'!$A$2:$BR$1048576,MATCH(R$4,'Table Output'!$A$1:$BQ$1,0),),'Control Panel'!R19)))</f>
        <v/>
      </c>
      <c r="S20" s="36" t="str">
        <f>IF($I20="","",IF(S$4="","",IF('Control Panel'!S19="",VLOOKUP($E20,'Table Output'!$A$2:$BR$1048576,MATCH(S$4,'Table Output'!$A$1:$BQ$1,0),),'Control Panel'!S19)))</f>
        <v/>
      </c>
      <c r="T20" s="2" t="str">
        <f>IF('Control Panel'!T19="","",'Control Panel'!T19)</f>
        <v/>
      </c>
      <c r="U20" s="36" t="str">
        <f>IF($I20="","",IF('Control Panel'!U19="",VLOOKUP($E20,'Table Output'!$A$2:$BR$99998,MATCH(U$4,'Table Output'!$A$1:$BQ$1,0),),'Control Panel'!U19))</f>
        <v/>
      </c>
      <c r="V20" s="36" t="str">
        <f>IF($I20="","",IF('Control Panel'!V19="",VLOOKUP($E20,'Table Output'!$A$2:$BR$99998,MATCH(V$4,'Table Output'!$A$1:$BQ$1,0),),'Control Panel'!V19))</f>
        <v/>
      </c>
      <c r="W20" s="36" t="str">
        <f>IF($I20="","",IF('Control Panel'!W19="",VLOOKUP($E20,'Table Output'!$A$2:$BR$99998,MATCH(W$4,'Table Output'!$A$1:$BQ$1,0),),'Control Panel'!W19))</f>
        <v/>
      </c>
      <c r="X20" s="36" t="str">
        <f>IF($I20="","",IF('Control Panel'!X19="",VLOOKUP($E20,'Table Output'!$A$2:$BR$99998,MATCH(X$4,'Table Output'!$A$1:$BQ$1,0),),'Control Panel'!X19))</f>
        <v/>
      </c>
      <c r="Y20" s="36" t="str">
        <f>IF($I20="","",IF('Control Panel'!Y19="",VLOOKUP($E20,'Table Output'!$A$2:$BR$99998,MATCH(Y$4,'Table Output'!$A$1:$BQ$1,0),),'Control Panel'!Y19))</f>
        <v/>
      </c>
      <c r="Z20" s="36" t="str">
        <f>IF($I20="","",IF('Control Panel'!Z19="",VLOOKUP($E20,'Table Output'!$A$2:$BR$99998,MATCH(Z$4,'Table Output'!$A$1:$BQ$1,0),),'Control Panel'!Z19))</f>
        <v/>
      </c>
      <c r="AA20" s="36" t="str">
        <f>IF($I20="","",IF('Control Panel'!AA19="",VLOOKUP($E20,'Table Output'!$A$2:$BR$99998,MATCH(AA$4,'Table Output'!$A$1:$BQ$1,0),),'Control Panel'!AA19))</f>
        <v/>
      </c>
      <c r="AB20" s="36" t="str">
        <f>IF($I20="","",IF('Control Panel'!AB19="",VLOOKUP($E20,'Table Output'!$A$2:$BR$99998,MATCH(AB$4,'Table Output'!$A$1:$BQ$1,0),),'Control Panel'!AB19))</f>
        <v/>
      </c>
      <c r="AC20" s="36" t="str">
        <f>IF($I20="","",IF('Control Panel'!AC19="",VLOOKUP($E20,'Table Output'!$A$2:$BR$99998,MATCH(AC$4,'Table Output'!$A$1:$BQ$1,0),),'Control Panel'!AC19))</f>
        <v/>
      </c>
      <c r="AD20" s="36" t="str">
        <f>IF($I20="","",IF('Control Panel'!AD19="",VLOOKUP($E20,'Table Output'!$A$2:$BR$99998,MATCH(AD$4,'Table Output'!$A$1:$BQ$1,0),),'Control Panel'!AD19))</f>
        <v/>
      </c>
      <c r="AE20" s="36" t="str">
        <f>IF($I20="","",IF('Control Panel'!AE19="",VLOOKUP($E20,'Table Output'!$A$2:$BR$99998,MATCH(AE$4,'Table Output'!$A$1:$BQ$1,0),),'Control Panel'!AE19))</f>
        <v/>
      </c>
      <c r="AF20" s="36" t="str">
        <f>IF($I20="","",IF('Control Panel'!AF19="",VLOOKUP($E20,'Table Output'!$A$2:$BR$99998,MATCH(AF$4,'Table Output'!$A$1:$BQ$1,0),),'Control Panel'!AF19))</f>
        <v/>
      </c>
      <c r="AG20" s="36" t="str">
        <f>IF($I20="","",IF('Control Panel'!AG19="",VLOOKUP($E20,'Table Output'!$A$2:$BR$99998,MATCH(AG$4,'Table Output'!$A$1:$BQ$1,0),),'Control Panel'!AG19))</f>
        <v/>
      </c>
      <c r="AH20" s="36" t="str">
        <f>IF($I20="","",IF('Control Panel'!AH19="",VLOOKUP($E20,'Table Output'!$A$2:$BR$99998,MATCH(AH$4,'Table Output'!$A$1:$BQ$1,0),),'Control Panel'!AH19))</f>
        <v/>
      </c>
      <c r="AI20" s="36" t="str">
        <f>IF($I20="","",IF('Control Panel'!AI19="",VLOOKUP($E20,'Table Output'!$A$2:$BR$99998,MATCH(AI$4,'Table Output'!$A$1:$BQ$1,0),),'Control Panel'!AI19))</f>
        <v/>
      </c>
      <c r="AJ20" s="36" t="str">
        <f>IF($I20="","",IF('Control Panel'!AJ19="",VLOOKUP($E20,'Table Output'!$A$2:$BR$99998,MATCH(AJ$4,'Table Output'!$A$1:$BQ$1,0),),'Control Panel'!AJ19))</f>
        <v/>
      </c>
      <c r="AL20" s="51" t="str">
        <f t="shared" si="0"/>
        <v/>
      </c>
      <c r="AM20" s="48" t="str">
        <f>IF(AM$4="","",IF($I20="","",IF('Control Panel'!AM19="",VLOOKUP($E20,'Table Output'!$A$2:$BR$99998,MATCH(AM$4,'Table Output'!$A$1:$BQ$1,0),FALSE),'Control Panel'!AM19)))</f>
        <v/>
      </c>
      <c r="AN20" s="48" t="str">
        <f>IF(AN$4="","",IF($I20="","",IF('Control Panel'!AN19="",VLOOKUP($E20,'Table Output'!$A$2:$BR$99998,MATCH(AN$4,'Table Output'!$A$1:$BQ$1,0),FALSE),'Control Panel'!AN19)))</f>
        <v/>
      </c>
      <c r="AO20" s="48" t="str">
        <f>IF(AO$4="","",IF($I20="","",IF('Control Panel'!AO19="",VLOOKUP($E20,'Table Output'!$A$2:$BR$99998,MATCH(AO$4,'Table Output'!$A$1:$BQ$1,0),FALSE),'Control Panel'!AO19)))</f>
        <v/>
      </c>
      <c r="AP20" s="48" t="str">
        <f>IF(AP$4="","",IF($I20="","",IF('Control Panel'!AP19="",VLOOKUP($E20,'Table Output'!$A$2:$BR$99998,MATCH(AP$4,'Table Output'!$A$1:$BQ$1,0),FALSE),'Control Panel'!AP19)))</f>
        <v/>
      </c>
      <c r="AQ20" s="48" t="str">
        <f>IF(AQ$4="","",IF($I20="","",IF('Control Panel'!AQ19="",VLOOKUP($E20,'Table Output'!$A$2:$BR$99998,MATCH(AQ$4,'Table Output'!$A$1:$BQ$1,0),FALSE),'Control Panel'!AQ19)))</f>
        <v/>
      </c>
      <c r="AR20" s="48" t="str">
        <f>IF(AR$4="","",IF($I20="","",IF('Control Panel'!AR19="",VLOOKUP($E20,'Table Output'!$A$2:$BR$99998,MATCH(AR$4,'Table Output'!$A$1:$BQ$1,0),FALSE),'Control Panel'!AR19)))</f>
        <v/>
      </c>
      <c r="AS20" s="48" t="str">
        <f>IF(AS$4="","",IF($I20="","",IF('Control Panel'!AS19="",VLOOKUP($E20,'Table Output'!$A$2:$BR$99998,MATCH(AS$4,'Table Output'!$A$1:$BQ$1,0),FALSE),'Control Panel'!AS19)))</f>
        <v/>
      </c>
      <c r="AT20" s="48" t="str">
        <f>IF(AT$4="","",IF($I20="","",IF('Control Panel'!AT19="",VLOOKUP($E20,'Table Output'!$A$2:$BR$99998,MATCH(AT$4,'Table Output'!$A$1:$BQ$1,0),FALSE),'Control Panel'!AT19)))</f>
        <v/>
      </c>
      <c r="AU20" s="48" t="str">
        <f>IF(AU$4="","",IF($I20="","",IF('Control Panel'!AU19="",VLOOKUP($E20,'Table Output'!$A$2:$BR$99998,MATCH(AU$4,'Table Output'!$A$1:$BQ$1,0),FALSE),'Control Panel'!AU19)))</f>
        <v/>
      </c>
      <c r="BH20" s="2" t="s">
        <v>148</v>
      </c>
      <c r="BI20" s="2" t="s">
        <v>97</v>
      </c>
    </row>
    <row r="21" spans="2:61" ht="12" thickBot="1" x14ac:dyDescent="0.2">
      <c r="B21" s="2">
        <f>'Control Panel'!B21</f>
        <v>0</v>
      </c>
      <c r="C21" s="2">
        <f>'Control Panel'!C21</f>
        <v>0</v>
      </c>
      <c r="E21" s="2" t="str">
        <f>IF(T21=1,IF('Control Panel'!E20="","",'Control Panel'!E20),"")</f>
        <v/>
      </c>
      <c r="F21" s="2" t="str">
        <f>IF(T21=1,IF('Control Panel'!F20="","",'Control Panel'!F20),"")</f>
        <v/>
      </c>
      <c r="G21" s="2" t="str">
        <f>IF(T21=1,IF('Control Panel'!G20="","",'Control Panel'!G20),"")</f>
        <v/>
      </c>
      <c r="H21" s="2" t="str">
        <f>IF(T21=1,IF('Control Panel'!H20="","",'Control Panel'!H20),"")</f>
        <v/>
      </c>
      <c r="I21" s="42" t="str">
        <f>IF(T21=1,IF('Control Panel'!I20="","",'Control Panel'!I20),"")</f>
        <v/>
      </c>
      <c r="J21" s="36" t="str">
        <f>IF($I21="","",IF(J$4="","",IF('Control Panel'!J20="",VLOOKUP($E21,'Table Output'!$A$2:$BR$1048576,MATCH(J$4,'Table Output'!$A$1:$BQ$1,0),),'Control Panel'!J20)))</f>
        <v/>
      </c>
      <c r="K21" s="36" t="str">
        <f>IF($I21="","",IF(K$4="","",IF('Control Panel'!K20="",VLOOKUP($E21,'Table Output'!$A$2:$BR$1048576,MATCH(K$4,'Table Output'!$A$1:$BQ$1,0),),'Control Panel'!K20)))</f>
        <v/>
      </c>
      <c r="L21" s="36" t="str">
        <f>IF($I21="","",IF(L$4="","",IF('Control Panel'!L20="",VLOOKUP($E21,'Table Output'!$A$2:$BR$1048576,MATCH(L$4,'Table Output'!$A$1:$BQ$1,0),),'Control Panel'!L20)))</f>
        <v/>
      </c>
      <c r="M21" s="36" t="str">
        <f>IF($I21="","",IF(M$4="","",IF('Control Panel'!M20="",VLOOKUP($E21,'Table Output'!$A$2:$BR$1048576,MATCH(M$4,'Table Output'!$A$1:$BQ$1,0),),'Control Panel'!M20)))</f>
        <v/>
      </c>
      <c r="N21" s="36" t="str">
        <f>IF($I21="","",IF(N$4="","",IF('Control Panel'!N20="",VLOOKUP($E21,'Table Output'!$A$2:$BR$1048576,MATCH(N$4,'Table Output'!$A$1:$BQ$1,0),),'Control Panel'!N20)))</f>
        <v/>
      </c>
      <c r="O21" s="36" t="str">
        <f>IF($I21="","",IF(O$4="","",IF('Control Panel'!O20="",VLOOKUP($E21,'Table Output'!$A$2:$BR$1048576,MATCH(O$4,'Table Output'!$A$1:$BQ$1,0),),'Control Panel'!O20)))</f>
        <v/>
      </c>
      <c r="P21" s="36" t="str">
        <f>IF($I21="","",IF(P$4="","",IF('Control Panel'!P20="",VLOOKUP($E21,'Table Output'!$A$2:$BR$1048576,MATCH(P$4,'Table Output'!$A$1:$BQ$1,0),),'Control Panel'!P20)))</f>
        <v/>
      </c>
      <c r="Q21" s="36" t="str">
        <f>IF($I21="","",IF(Q$4="","",IF('Control Panel'!Q20="",VLOOKUP($E21,'Table Output'!$A$2:$BR$1048576,MATCH(Q$4,'Table Output'!$A$1:$BQ$1,0),),'Control Panel'!Q20)))</f>
        <v/>
      </c>
      <c r="R21" s="36" t="str">
        <f>IF($I21="","",IF(R$4="","",IF('Control Panel'!R20="",VLOOKUP($E21,'Table Output'!$A$2:$BR$1048576,MATCH(R$4,'Table Output'!$A$1:$BQ$1,0),),'Control Panel'!R20)))</f>
        <v/>
      </c>
      <c r="S21" s="36" t="str">
        <f>IF($I21="","",IF(S$4="","",IF('Control Panel'!S20="",VLOOKUP($E21,'Table Output'!$A$2:$BR$1048576,MATCH(S$4,'Table Output'!$A$1:$BQ$1,0),),'Control Panel'!S20)))</f>
        <v/>
      </c>
      <c r="T21" s="2" t="str">
        <f>IF('Control Panel'!T20="","",'Control Panel'!T20)</f>
        <v/>
      </c>
      <c r="U21" s="36" t="str">
        <f>IF($I21="","",IF('Control Panel'!U20="",VLOOKUP($E21,'Table Output'!$A$2:$BR$99998,MATCH(U$4,'Table Output'!$A$1:$BQ$1,0),),'Control Panel'!U20))</f>
        <v/>
      </c>
      <c r="V21" s="36" t="str">
        <f>IF($I21="","",IF('Control Panel'!V20="",VLOOKUP($E21,'Table Output'!$A$2:$BR$99998,MATCH(V$4,'Table Output'!$A$1:$BQ$1,0),),'Control Panel'!V20))</f>
        <v/>
      </c>
      <c r="W21" s="36" t="str">
        <f>IF($I21="","",IF('Control Panel'!W20="",VLOOKUP($E21,'Table Output'!$A$2:$BR$99998,MATCH(W$4,'Table Output'!$A$1:$BQ$1,0),),'Control Panel'!W20))</f>
        <v/>
      </c>
      <c r="X21" s="36" t="str">
        <f>IF($I21="","",IF('Control Panel'!X20="",VLOOKUP($E21,'Table Output'!$A$2:$BR$99998,MATCH(X$4,'Table Output'!$A$1:$BQ$1,0),),'Control Panel'!X20))</f>
        <v/>
      </c>
      <c r="Y21" s="36" t="str">
        <f>IF($I21="","",IF('Control Panel'!Y20="",VLOOKUP($E21,'Table Output'!$A$2:$BR$99998,MATCH(Y$4,'Table Output'!$A$1:$BQ$1,0),),'Control Panel'!Y20))</f>
        <v/>
      </c>
      <c r="Z21" s="36" t="str">
        <f>IF($I21="","",IF('Control Panel'!Z20="",VLOOKUP($E21,'Table Output'!$A$2:$BR$99998,MATCH(Z$4,'Table Output'!$A$1:$BQ$1,0),),'Control Panel'!Z20))</f>
        <v/>
      </c>
      <c r="AA21" s="36" t="str">
        <f>IF($I21="","",IF('Control Panel'!AA20="",VLOOKUP($E21,'Table Output'!$A$2:$BR$99998,MATCH(AA$4,'Table Output'!$A$1:$BQ$1,0),),'Control Panel'!AA20))</f>
        <v/>
      </c>
      <c r="AB21" s="36" t="str">
        <f>IF($I21="","",IF('Control Panel'!AB20="",VLOOKUP($E21,'Table Output'!$A$2:$BR$99998,MATCH(AB$4,'Table Output'!$A$1:$BQ$1,0),),'Control Panel'!AB20))</f>
        <v/>
      </c>
      <c r="AC21" s="36" t="str">
        <f>IF($I21="","",IF('Control Panel'!AC20="",VLOOKUP($E21,'Table Output'!$A$2:$BR$99998,MATCH(AC$4,'Table Output'!$A$1:$BQ$1,0),),'Control Panel'!AC20))</f>
        <v/>
      </c>
      <c r="AD21" s="36" t="str">
        <f>IF($I21="","",IF('Control Panel'!AD20="",VLOOKUP($E21,'Table Output'!$A$2:$BR$99998,MATCH(AD$4,'Table Output'!$A$1:$BQ$1,0),),'Control Panel'!AD20))</f>
        <v/>
      </c>
      <c r="AE21" s="36" t="str">
        <f>IF($I21="","",IF('Control Panel'!AE20="",VLOOKUP($E21,'Table Output'!$A$2:$BR$99998,MATCH(AE$4,'Table Output'!$A$1:$BQ$1,0),),'Control Panel'!AE20))</f>
        <v/>
      </c>
      <c r="AF21" s="36" t="str">
        <f>IF($I21="","",IF('Control Panel'!AF20="",VLOOKUP($E21,'Table Output'!$A$2:$BR$99998,MATCH(AF$4,'Table Output'!$A$1:$BQ$1,0),),'Control Panel'!AF20))</f>
        <v/>
      </c>
      <c r="AG21" s="36" t="str">
        <f>IF($I21="","",IF('Control Panel'!AG20="",VLOOKUP($E21,'Table Output'!$A$2:$BR$99998,MATCH(AG$4,'Table Output'!$A$1:$BQ$1,0),),'Control Panel'!AG20))</f>
        <v/>
      </c>
      <c r="AH21" s="36" t="str">
        <f>IF($I21="","",IF('Control Panel'!AH20="",VLOOKUP($E21,'Table Output'!$A$2:$BR$99998,MATCH(AH$4,'Table Output'!$A$1:$BQ$1,0),),'Control Panel'!AH20))</f>
        <v/>
      </c>
      <c r="AI21" s="36" t="str">
        <f>IF($I21="","",IF('Control Panel'!AI20="",VLOOKUP($E21,'Table Output'!$A$2:$BR$99998,MATCH(AI$4,'Table Output'!$A$1:$BQ$1,0),),'Control Panel'!AI20))</f>
        <v/>
      </c>
      <c r="AJ21" s="36" t="str">
        <f>IF($I21="","",IF('Control Panel'!AJ20="",VLOOKUP($E21,'Table Output'!$A$2:$BR$99998,MATCH(AJ$4,'Table Output'!$A$1:$BQ$1,0),),'Control Panel'!AJ20))</f>
        <v/>
      </c>
      <c r="AL21" s="51" t="str">
        <f t="shared" si="0"/>
        <v/>
      </c>
      <c r="AM21" s="48" t="str">
        <f>IF(AM$4="","",IF($I21="","",IF('Control Panel'!AM20="",VLOOKUP($E21,'Table Output'!$A$2:$BR$99998,MATCH(AM$4,'Table Output'!$A$1:$BQ$1,0),FALSE),'Control Panel'!AM20)))</f>
        <v/>
      </c>
      <c r="AN21" s="48" t="str">
        <f>IF(AN$4="","",IF($I21="","",IF('Control Panel'!AN20="",VLOOKUP($E21,'Table Output'!$A$2:$BR$99998,MATCH(AN$4,'Table Output'!$A$1:$BQ$1,0),FALSE),'Control Panel'!AN20)))</f>
        <v/>
      </c>
      <c r="AO21" s="48" t="str">
        <f>IF(AO$4="","",IF($I21="","",IF('Control Panel'!AO20="",VLOOKUP($E21,'Table Output'!$A$2:$BR$99998,MATCH(AO$4,'Table Output'!$A$1:$BQ$1,0),FALSE),'Control Panel'!AO20)))</f>
        <v/>
      </c>
      <c r="AP21" s="48" t="str">
        <f>IF(AP$4="","",IF($I21="","",IF('Control Panel'!AP20="",VLOOKUP($E21,'Table Output'!$A$2:$BR$99998,MATCH(AP$4,'Table Output'!$A$1:$BQ$1,0),FALSE),'Control Panel'!AP20)))</f>
        <v/>
      </c>
      <c r="AQ21" s="48" t="str">
        <f>IF(AQ$4="","",IF($I21="","",IF('Control Panel'!AQ20="",VLOOKUP($E21,'Table Output'!$A$2:$BR$99998,MATCH(AQ$4,'Table Output'!$A$1:$BQ$1,0),FALSE),'Control Panel'!AQ20)))</f>
        <v/>
      </c>
      <c r="AR21" s="48" t="str">
        <f>IF(AR$4="","",IF($I21="","",IF('Control Panel'!AR20="",VLOOKUP($E21,'Table Output'!$A$2:$BR$99998,MATCH(AR$4,'Table Output'!$A$1:$BQ$1,0),FALSE),'Control Panel'!AR20)))</f>
        <v/>
      </c>
      <c r="AS21" s="48" t="str">
        <f>IF(AS$4="","",IF($I21="","",IF('Control Panel'!AS20="",VLOOKUP($E21,'Table Output'!$A$2:$BR$99998,MATCH(AS$4,'Table Output'!$A$1:$BQ$1,0),FALSE),'Control Panel'!AS20)))</f>
        <v/>
      </c>
      <c r="AT21" s="48" t="str">
        <f>IF(AT$4="","",IF($I21="","",IF('Control Panel'!AT20="",VLOOKUP($E21,'Table Output'!$A$2:$BR$99998,MATCH(AT$4,'Table Output'!$A$1:$BQ$1,0),FALSE),'Control Panel'!AT20)))</f>
        <v/>
      </c>
      <c r="AU21" s="48" t="str">
        <f>IF(AU$4="","",IF($I21="","",IF('Control Panel'!AU20="",VLOOKUP($E21,'Table Output'!$A$2:$BR$99998,MATCH(AU$4,'Table Output'!$A$1:$BQ$1,0),FALSE),'Control Panel'!AU20)))</f>
        <v/>
      </c>
      <c r="BH21" s="2" t="s">
        <v>149</v>
      </c>
      <c r="BI21" s="2" t="s">
        <v>98</v>
      </c>
    </row>
    <row r="22" spans="2:61" ht="12" thickBot="1" x14ac:dyDescent="0.2">
      <c r="B22" s="2">
        <f>'Control Panel'!B22</f>
        <v>0</v>
      </c>
      <c r="C22" s="2">
        <f>'Control Panel'!C22</f>
        <v>0</v>
      </c>
      <c r="E22" s="2" t="str">
        <f>IF(T22=1,IF('Control Panel'!E21="","",'Control Panel'!E21),"")</f>
        <v/>
      </c>
      <c r="F22" s="2" t="str">
        <f>IF(T22=1,IF('Control Panel'!F21="","",'Control Panel'!F21),"")</f>
        <v/>
      </c>
      <c r="G22" s="2" t="str">
        <f>IF(T22=1,IF('Control Panel'!G21="","",'Control Panel'!G21),"")</f>
        <v/>
      </c>
      <c r="H22" s="2" t="str">
        <f>IF(T22=1,IF('Control Panel'!H21="","",'Control Panel'!H21),"")</f>
        <v/>
      </c>
      <c r="I22" s="42" t="str">
        <f>IF(T22=1,IF('Control Panel'!I21="","",'Control Panel'!I21),"")</f>
        <v/>
      </c>
      <c r="J22" s="36" t="str">
        <f>IF($I22="","",IF(J$4="","",IF('Control Panel'!J21="",VLOOKUP($E22,'Table Output'!$A$2:$BR$1048576,MATCH(J$4,'Table Output'!$A$1:$BQ$1,0),),'Control Panel'!J21)))</f>
        <v/>
      </c>
      <c r="K22" s="36" t="str">
        <f>IF($I22="","",IF(K$4="","",IF('Control Panel'!K21="",VLOOKUP($E22,'Table Output'!$A$2:$BR$1048576,MATCH(K$4,'Table Output'!$A$1:$BQ$1,0),),'Control Panel'!K21)))</f>
        <v/>
      </c>
      <c r="L22" s="36" t="str">
        <f>IF($I22="","",IF(L$4="","",IF('Control Panel'!L21="",VLOOKUP($E22,'Table Output'!$A$2:$BR$1048576,MATCH(L$4,'Table Output'!$A$1:$BQ$1,0),),'Control Panel'!L21)))</f>
        <v/>
      </c>
      <c r="M22" s="36" t="str">
        <f>IF($I22="","",IF(M$4="","",IF('Control Panel'!M21="",VLOOKUP($E22,'Table Output'!$A$2:$BR$1048576,MATCH(M$4,'Table Output'!$A$1:$BQ$1,0),),'Control Panel'!M21)))</f>
        <v/>
      </c>
      <c r="N22" s="36" t="str">
        <f>IF($I22="","",IF(N$4="","",IF('Control Panel'!N21="",VLOOKUP($E22,'Table Output'!$A$2:$BR$1048576,MATCH(N$4,'Table Output'!$A$1:$BQ$1,0),),'Control Panel'!N21)))</f>
        <v/>
      </c>
      <c r="O22" s="36" t="str">
        <f>IF($I22="","",IF(O$4="","",IF('Control Panel'!O21="",VLOOKUP($E22,'Table Output'!$A$2:$BR$1048576,MATCH(O$4,'Table Output'!$A$1:$BQ$1,0),),'Control Panel'!O21)))</f>
        <v/>
      </c>
      <c r="P22" s="36" t="str">
        <f>IF($I22="","",IF(P$4="","",IF('Control Panel'!P21="",VLOOKUP($E22,'Table Output'!$A$2:$BR$1048576,MATCH(P$4,'Table Output'!$A$1:$BQ$1,0),),'Control Panel'!P21)))</f>
        <v/>
      </c>
      <c r="Q22" s="36" t="str">
        <f>IF($I22="","",IF(Q$4="","",IF('Control Panel'!Q21="",VLOOKUP($E22,'Table Output'!$A$2:$BR$1048576,MATCH(Q$4,'Table Output'!$A$1:$BQ$1,0),),'Control Panel'!Q21)))</f>
        <v/>
      </c>
      <c r="R22" s="36" t="str">
        <f>IF($I22="","",IF(R$4="","",IF('Control Panel'!R21="",VLOOKUP($E22,'Table Output'!$A$2:$BR$1048576,MATCH(R$4,'Table Output'!$A$1:$BQ$1,0),),'Control Panel'!R21)))</f>
        <v/>
      </c>
      <c r="S22" s="36" t="str">
        <f>IF($I22="","",IF(S$4="","",IF('Control Panel'!S21="",VLOOKUP($E22,'Table Output'!$A$2:$BR$1048576,MATCH(S$4,'Table Output'!$A$1:$BQ$1,0),),'Control Panel'!S21)))</f>
        <v/>
      </c>
      <c r="T22" s="2" t="str">
        <f>IF('Control Panel'!T21="","",'Control Panel'!T21)</f>
        <v/>
      </c>
      <c r="U22" s="36" t="str">
        <f>IF($I22="","",IF('Control Panel'!U21="",VLOOKUP($E22,'Table Output'!$A$2:$BR$99998,MATCH(U$4,'Table Output'!$A$1:$BQ$1,0),),'Control Panel'!U21))</f>
        <v/>
      </c>
      <c r="V22" s="36" t="str">
        <f>IF($I22="","",IF('Control Panel'!V21="",VLOOKUP($E22,'Table Output'!$A$2:$BR$99998,MATCH(V$4,'Table Output'!$A$1:$BQ$1,0),),'Control Panel'!V21))</f>
        <v/>
      </c>
      <c r="W22" s="36" t="str">
        <f>IF($I22="","",IF('Control Panel'!W21="",VLOOKUP($E22,'Table Output'!$A$2:$BR$99998,MATCH(W$4,'Table Output'!$A$1:$BQ$1,0),),'Control Panel'!W21))</f>
        <v/>
      </c>
      <c r="X22" s="36" t="str">
        <f>IF($I22="","",IF('Control Panel'!X21="",VLOOKUP($E22,'Table Output'!$A$2:$BR$99998,MATCH(X$4,'Table Output'!$A$1:$BQ$1,0),),'Control Panel'!X21))</f>
        <v/>
      </c>
      <c r="Y22" s="36" t="str">
        <f>IF($I22="","",IF('Control Panel'!Y21="",VLOOKUP($E22,'Table Output'!$A$2:$BR$99998,MATCH(Y$4,'Table Output'!$A$1:$BQ$1,0),),'Control Panel'!Y21))</f>
        <v/>
      </c>
      <c r="Z22" s="36" t="str">
        <f>IF($I22="","",IF('Control Panel'!Z21="",VLOOKUP($E22,'Table Output'!$A$2:$BR$99998,MATCH(Z$4,'Table Output'!$A$1:$BQ$1,0),),'Control Panel'!Z21))</f>
        <v/>
      </c>
      <c r="AA22" s="36" t="str">
        <f>IF($I22="","",IF('Control Panel'!AA21="",VLOOKUP($E22,'Table Output'!$A$2:$BR$99998,MATCH(AA$4,'Table Output'!$A$1:$BQ$1,0),),'Control Panel'!AA21))</f>
        <v/>
      </c>
      <c r="AB22" s="36" t="str">
        <f>IF($I22="","",IF('Control Panel'!AB21="",VLOOKUP($E22,'Table Output'!$A$2:$BR$99998,MATCH(AB$4,'Table Output'!$A$1:$BQ$1,0),),'Control Panel'!AB21))</f>
        <v/>
      </c>
      <c r="AC22" s="36" t="str">
        <f>IF($I22="","",IF('Control Panel'!AC21="",VLOOKUP($E22,'Table Output'!$A$2:$BR$99998,MATCH(AC$4,'Table Output'!$A$1:$BQ$1,0),),'Control Panel'!AC21))</f>
        <v/>
      </c>
      <c r="AD22" s="36" t="str">
        <f>IF($I22="","",IF('Control Panel'!AD21="",VLOOKUP($E22,'Table Output'!$A$2:$BR$99998,MATCH(AD$4,'Table Output'!$A$1:$BQ$1,0),),'Control Panel'!AD21))</f>
        <v/>
      </c>
      <c r="AE22" s="36" t="str">
        <f>IF($I22="","",IF('Control Panel'!AE21="",VLOOKUP($E22,'Table Output'!$A$2:$BR$99998,MATCH(AE$4,'Table Output'!$A$1:$BQ$1,0),),'Control Panel'!AE21))</f>
        <v/>
      </c>
      <c r="AF22" s="36" t="str">
        <f>IF($I22="","",IF('Control Panel'!AF21="",VLOOKUP($E22,'Table Output'!$A$2:$BR$99998,MATCH(AF$4,'Table Output'!$A$1:$BQ$1,0),),'Control Panel'!AF21))</f>
        <v/>
      </c>
      <c r="AG22" s="36" t="str">
        <f>IF($I22="","",IF('Control Panel'!AG21="",VLOOKUP($E22,'Table Output'!$A$2:$BR$99998,MATCH(AG$4,'Table Output'!$A$1:$BQ$1,0),),'Control Panel'!AG21))</f>
        <v/>
      </c>
      <c r="AH22" s="36" t="str">
        <f>IF($I22="","",IF('Control Panel'!AH21="",VLOOKUP($E22,'Table Output'!$A$2:$BR$99998,MATCH(AH$4,'Table Output'!$A$1:$BQ$1,0),),'Control Panel'!AH21))</f>
        <v/>
      </c>
      <c r="AI22" s="36" t="str">
        <f>IF($I22="","",IF('Control Panel'!AI21="",VLOOKUP($E22,'Table Output'!$A$2:$BR$99998,MATCH(AI$4,'Table Output'!$A$1:$BQ$1,0),),'Control Panel'!AI21))</f>
        <v/>
      </c>
      <c r="AJ22" s="36" t="str">
        <f>IF($I22="","",IF('Control Panel'!AJ21="",VLOOKUP($E22,'Table Output'!$A$2:$BR$99998,MATCH(AJ$4,'Table Output'!$A$1:$BQ$1,0),),'Control Panel'!AJ21))</f>
        <v/>
      </c>
      <c r="AL22" s="51" t="str">
        <f t="shared" si="0"/>
        <v/>
      </c>
      <c r="AM22" s="48" t="str">
        <f>IF(AM$4="","",IF($I22="","",IF('Control Panel'!AM21="",VLOOKUP($E22,'Table Output'!$A$2:$BR$99998,MATCH(AM$4,'Table Output'!$A$1:$BQ$1,0),FALSE),'Control Panel'!AM21)))</f>
        <v/>
      </c>
      <c r="AN22" s="48" t="str">
        <f>IF(AN$4="","",IF($I22="","",IF('Control Panel'!AN21="",VLOOKUP($E22,'Table Output'!$A$2:$BR$99998,MATCH(AN$4,'Table Output'!$A$1:$BQ$1,0),FALSE),'Control Panel'!AN21)))</f>
        <v/>
      </c>
      <c r="AO22" s="48" t="str">
        <f>IF(AO$4="","",IF($I22="","",IF('Control Panel'!AO21="",VLOOKUP($E22,'Table Output'!$A$2:$BR$99998,MATCH(AO$4,'Table Output'!$A$1:$BQ$1,0),FALSE),'Control Panel'!AO21)))</f>
        <v/>
      </c>
      <c r="AP22" s="48" t="str">
        <f>IF(AP$4="","",IF($I22="","",IF('Control Panel'!AP21="",VLOOKUP($E22,'Table Output'!$A$2:$BR$99998,MATCH(AP$4,'Table Output'!$A$1:$BQ$1,0),FALSE),'Control Panel'!AP21)))</f>
        <v/>
      </c>
      <c r="AQ22" s="48" t="str">
        <f>IF(AQ$4="","",IF($I22="","",IF('Control Panel'!AQ21="",VLOOKUP($E22,'Table Output'!$A$2:$BR$99998,MATCH(AQ$4,'Table Output'!$A$1:$BQ$1,0),FALSE),'Control Panel'!AQ21)))</f>
        <v/>
      </c>
      <c r="AR22" s="48" t="str">
        <f>IF(AR$4="","",IF($I22="","",IF('Control Panel'!AR21="",VLOOKUP($E22,'Table Output'!$A$2:$BR$99998,MATCH(AR$4,'Table Output'!$A$1:$BQ$1,0),FALSE),'Control Panel'!AR21)))</f>
        <v/>
      </c>
      <c r="AS22" s="48" t="str">
        <f>IF(AS$4="","",IF($I22="","",IF('Control Panel'!AS21="",VLOOKUP($E22,'Table Output'!$A$2:$BR$99998,MATCH(AS$4,'Table Output'!$A$1:$BQ$1,0),FALSE),'Control Panel'!AS21)))</f>
        <v/>
      </c>
      <c r="AT22" s="48" t="str">
        <f>IF(AT$4="","",IF($I22="","",IF('Control Panel'!AT21="",VLOOKUP($E22,'Table Output'!$A$2:$BR$99998,MATCH(AT$4,'Table Output'!$A$1:$BQ$1,0),FALSE),'Control Panel'!AT21)))</f>
        <v/>
      </c>
      <c r="AU22" s="48" t="str">
        <f>IF(AU$4="","",IF($I22="","",IF('Control Panel'!AU21="",VLOOKUP($E22,'Table Output'!$A$2:$BR$99998,MATCH(AU$4,'Table Output'!$A$1:$BQ$1,0),FALSE),'Control Panel'!AU21)))</f>
        <v/>
      </c>
      <c r="BH22" s="2" t="s">
        <v>150</v>
      </c>
      <c r="BI22" s="2" t="s">
        <v>98</v>
      </c>
    </row>
    <row r="23" spans="2:61" ht="12" thickBot="1" x14ac:dyDescent="0.2">
      <c r="B23" s="2" t="str">
        <f>'Control Panel'!B23</f>
        <v xml:space="preserve">General_reduction_drained </v>
      </c>
      <c r="C23" s="2">
        <f>'Control Panel'!C23</f>
        <v>0</v>
      </c>
      <c r="E23" s="2" t="str">
        <f>IF(T23=1,IF('Control Panel'!E22="","",'Control Panel'!E22),"")</f>
        <v/>
      </c>
      <c r="F23" s="2" t="str">
        <f>IF(T23=1,IF('Control Panel'!F22="","",'Control Panel'!F22),"")</f>
        <v/>
      </c>
      <c r="G23" s="2" t="str">
        <f>IF(T23=1,IF('Control Panel'!G22="","",'Control Panel'!G22),"")</f>
        <v/>
      </c>
      <c r="H23" s="2" t="str">
        <f>IF(T23=1,IF('Control Panel'!H22="","",'Control Panel'!H22),"")</f>
        <v/>
      </c>
      <c r="I23" s="42" t="str">
        <f>IF(T23=1,IF('Control Panel'!I22="","",'Control Panel'!I22),"")</f>
        <v/>
      </c>
      <c r="J23" s="36" t="str">
        <f>IF($I23="","",IF(J$4="","",IF('Control Panel'!J22="",VLOOKUP($E23,'Table Output'!$A$2:$BR$1048576,MATCH(J$4,'Table Output'!$A$1:$BQ$1,0),),'Control Panel'!J22)))</f>
        <v/>
      </c>
      <c r="K23" s="36" t="str">
        <f>IF($I23="","",IF(K$4="","",IF('Control Panel'!K22="",VLOOKUP($E23,'Table Output'!$A$2:$BR$1048576,MATCH(K$4,'Table Output'!$A$1:$BQ$1,0),),'Control Panel'!K22)))</f>
        <v/>
      </c>
      <c r="L23" s="36" t="str">
        <f>IF($I23="","",IF(L$4="","",IF('Control Panel'!L22="",VLOOKUP($E23,'Table Output'!$A$2:$BR$1048576,MATCH(L$4,'Table Output'!$A$1:$BQ$1,0),),'Control Panel'!L22)))</f>
        <v/>
      </c>
      <c r="M23" s="36" t="str">
        <f>IF($I23="","",IF(M$4="","",IF('Control Panel'!M22="",VLOOKUP($E23,'Table Output'!$A$2:$BR$1048576,MATCH(M$4,'Table Output'!$A$1:$BQ$1,0),),'Control Panel'!M22)))</f>
        <v/>
      </c>
      <c r="N23" s="36" t="str">
        <f>IF($I23="","",IF(N$4="","",IF('Control Panel'!N22="",VLOOKUP($E23,'Table Output'!$A$2:$BR$1048576,MATCH(N$4,'Table Output'!$A$1:$BQ$1,0),),'Control Panel'!N22)))</f>
        <v/>
      </c>
      <c r="O23" s="36" t="str">
        <f>IF($I23="","",IF(O$4="","",IF('Control Panel'!O22="",VLOOKUP($E23,'Table Output'!$A$2:$BR$1048576,MATCH(O$4,'Table Output'!$A$1:$BQ$1,0),),'Control Panel'!O22)))</f>
        <v/>
      </c>
      <c r="P23" s="36" t="str">
        <f>IF($I23="","",IF(P$4="","",IF('Control Panel'!P22="",VLOOKUP($E23,'Table Output'!$A$2:$BR$1048576,MATCH(P$4,'Table Output'!$A$1:$BQ$1,0),),'Control Panel'!P22)))</f>
        <v/>
      </c>
      <c r="Q23" s="36" t="str">
        <f>IF($I23="","",IF(Q$4="","",IF('Control Panel'!Q22="",VLOOKUP($E23,'Table Output'!$A$2:$BR$1048576,MATCH(Q$4,'Table Output'!$A$1:$BQ$1,0),),'Control Panel'!Q22)))</f>
        <v/>
      </c>
      <c r="R23" s="36" t="str">
        <f>IF($I23="","",IF(R$4="","",IF('Control Panel'!R22="",VLOOKUP($E23,'Table Output'!$A$2:$BR$1048576,MATCH(R$4,'Table Output'!$A$1:$BQ$1,0),),'Control Panel'!R22)))</f>
        <v/>
      </c>
      <c r="S23" s="36" t="str">
        <f>IF($I23="","",IF(S$4="","",IF('Control Panel'!S22="",VLOOKUP($E23,'Table Output'!$A$2:$BR$1048576,MATCH(S$4,'Table Output'!$A$1:$BQ$1,0),),'Control Panel'!S22)))</f>
        <v/>
      </c>
      <c r="T23" s="2" t="str">
        <f>IF('Control Panel'!T22="","",'Control Panel'!T22)</f>
        <v/>
      </c>
      <c r="U23" s="36" t="str">
        <f>IF($I23="","",IF('Control Panel'!U22="",VLOOKUP($E23,'Table Output'!$A$2:$BR$99998,MATCH(U$4,'Table Output'!$A$1:$BQ$1,0),),'Control Panel'!U22))</f>
        <v/>
      </c>
      <c r="V23" s="36" t="str">
        <f>IF($I23="","",IF('Control Panel'!V22="",VLOOKUP($E23,'Table Output'!$A$2:$BR$99998,MATCH(V$4,'Table Output'!$A$1:$BQ$1,0),),'Control Panel'!V22))</f>
        <v/>
      </c>
      <c r="W23" s="36" t="str">
        <f>IF($I23="","",IF('Control Panel'!W22="",VLOOKUP($E23,'Table Output'!$A$2:$BR$99998,MATCH(W$4,'Table Output'!$A$1:$BQ$1,0),),'Control Panel'!W22))</f>
        <v/>
      </c>
      <c r="X23" s="36" t="str">
        <f>IF($I23="","",IF('Control Panel'!X22="",VLOOKUP($E23,'Table Output'!$A$2:$BR$99998,MATCH(X$4,'Table Output'!$A$1:$BQ$1,0),),'Control Panel'!X22))</f>
        <v/>
      </c>
      <c r="Y23" s="36" t="str">
        <f>IF($I23="","",IF('Control Panel'!Y22="",VLOOKUP($E23,'Table Output'!$A$2:$BR$99998,MATCH(Y$4,'Table Output'!$A$1:$BQ$1,0),),'Control Panel'!Y22))</f>
        <v/>
      </c>
      <c r="Z23" s="36" t="str">
        <f>IF($I23="","",IF('Control Panel'!Z22="",VLOOKUP($E23,'Table Output'!$A$2:$BR$99998,MATCH(Z$4,'Table Output'!$A$1:$BQ$1,0),),'Control Panel'!Z22))</f>
        <v/>
      </c>
      <c r="AA23" s="36" t="str">
        <f>IF($I23="","",IF('Control Panel'!AA22="",VLOOKUP($E23,'Table Output'!$A$2:$BR$99998,MATCH(AA$4,'Table Output'!$A$1:$BQ$1,0),),'Control Panel'!AA22))</f>
        <v/>
      </c>
      <c r="AB23" s="36" t="str">
        <f>IF($I23="","",IF('Control Panel'!AB22="",VLOOKUP($E23,'Table Output'!$A$2:$BR$99998,MATCH(AB$4,'Table Output'!$A$1:$BQ$1,0),),'Control Panel'!AB22))</f>
        <v/>
      </c>
      <c r="AC23" s="36" t="str">
        <f>IF($I23="","",IF('Control Panel'!AC22="",VLOOKUP($E23,'Table Output'!$A$2:$BR$99998,MATCH(AC$4,'Table Output'!$A$1:$BQ$1,0),),'Control Panel'!AC22))</f>
        <v/>
      </c>
      <c r="AD23" s="36" t="str">
        <f>IF($I23="","",IF('Control Panel'!AD22="",VLOOKUP($E23,'Table Output'!$A$2:$BR$99998,MATCH(AD$4,'Table Output'!$A$1:$BQ$1,0),),'Control Panel'!AD22))</f>
        <v/>
      </c>
      <c r="AE23" s="36" t="str">
        <f>IF($I23="","",IF('Control Panel'!AE22="",VLOOKUP($E23,'Table Output'!$A$2:$BR$99998,MATCH(AE$4,'Table Output'!$A$1:$BQ$1,0),),'Control Panel'!AE22))</f>
        <v/>
      </c>
      <c r="AF23" s="36" t="str">
        <f>IF($I23="","",IF('Control Panel'!AF22="",VLOOKUP($E23,'Table Output'!$A$2:$BR$99998,MATCH(AF$4,'Table Output'!$A$1:$BQ$1,0),),'Control Panel'!AF22))</f>
        <v/>
      </c>
      <c r="AG23" s="36" t="str">
        <f>IF($I23="","",IF('Control Panel'!AG22="",VLOOKUP($E23,'Table Output'!$A$2:$BR$99998,MATCH(AG$4,'Table Output'!$A$1:$BQ$1,0),),'Control Panel'!AG22))</f>
        <v/>
      </c>
      <c r="AH23" s="36" t="str">
        <f>IF($I23="","",IF('Control Panel'!AH22="",VLOOKUP($E23,'Table Output'!$A$2:$BR$99998,MATCH(AH$4,'Table Output'!$A$1:$BQ$1,0),),'Control Panel'!AH22))</f>
        <v/>
      </c>
      <c r="AI23" s="36" t="str">
        <f>IF($I23="","",IF('Control Panel'!AI22="",VLOOKUP($E23,'Table Output'!$A$2:$BR$99998,MATCH(AI$4,'Table Output'!$A$1:$BQ$1,0),),'Control Panel'!AI22))</f>
        <v/>
      </c>
      <c r="AJ23" s="36" t="str">
        <f>IF($I23="","",IF('Control Panel'!AJ22="",VLOOKUP($E23,'Table Output'!$A$2:$BR$99998,MATCH(AJ$4,'Table Output'!$A$1:$BQ$1,0),),'Control Panel'!AJ22))</f>
        <v/>
      </c>
      <c r="AL23" s="51" t="str">
        <f t="shared" si="0"/>
        <v/>
      </c>
      <c r="AM23" s="48" t="str">
        <f>IF(AM$4="","",IF($I23="","",IF('Control Panel'!AM22="",VLOOKUP($E23,'Table Output'!$A$2:$BR$99998,MATCH(AM$4,'Table Output'!$A$1:$BQ$1,0),FALSE),'Control Panel'!AM22)))</f>
        <v/>
      </c>
      <c r="AN23" s="48" t="str">
        <f>IF(AN$4="","",IF($I23="","",IF('Control Panel'!AN22="",VLOOKUP($E23,'Table Output'!$A$2:$BR$99998,MATCH(AN$4,'Table Output'!$A$1:$BQ$1,0),FALSE),'Control Panel'!AN22)))</f>
        <v/>
      </c>
      <c r="AO23" s="48" t="str">
        <f>IF(AO$4="","",IF($I23="","",IF('Control Panel'!AO22="",VLOOKUP($E23,'Table Output'!$A$2:$BR$99998,MATCH(AO$4,'Table Output'!$A$1:$BQ$1,0),FALSE),'Control Panel'!AO22)))</f>
        <v/>
      </c>
      <c r="AP23" s="48" t="str">
        <f>IF(AP$4="","",IF($I23="","",IF('Control Panel'!AP22="",VLOOKUP($E23,'Table Output'!$A$2:$BR$99998,MATCH(AP$4,'Table Output'!$A$1:$BQ$1,0),FALSE),'Control Panel'!AP22)))</f>
        <v/>
      </c>
      <c r="AQ23" s="48" t="str">
        <f>IF(AQ$4="","",IF($I23="","",IF('Control Panel'!AQ22="",VLOOKUP($E23,'Table Output'!$A$2:$BR$99998,MATCH(AQ$4,'Table Output'!$A$1:$BQ$1,0),FALSE),'Control Panel'!AQ22)))</f>
        <v/>
      </c>
      <c r="AR23" s="48" t="str">
        <f>IF(AR$4="","",IF($I23="","",IF('Control Panel'!AR22="",VLOOKUP($E23,'Table Output'!$A$2:$BR$99998,MATCH(AR$4,'Table Output'!$A$1:$BQ$1,0),FALSE),'Control Panel'!AR22)))</f>
        <v/>
      </c>
      <c r="AS23" s="48" t="str">
        <f>IF(AS$4="","",IF($I23="","",IF('Control Panel'!AS22="",VLOOKUP($E23,'Table Output'!$A$2:$BR$99998,MATCH(AS$4,'Table Output'!$A$1:$BQ$1,0),FALSE),'Control Panel'!AS22)))</f>
        <v/>
      </c>
      <c r="AT23" s="48" t="str">
        <f>IF(AT$4="","",IF($I23="","",IF('Control Panel'!AT22="",VLOOKUP($E23,'Table Output'!$A$2:$BR$99998,MATCH(AT$4,'Table Output'!$A$1:$BQ$1,0),FALSE),'Control Panel'!AT22)))</f>
        <v/>
      </c>
      <c r="AU23" s="48" t="str">
        <f>IF(AU$4="","",IF($I23="","",IF('Control Panel'!AU22="",VLOOKUP($E23,'Table Output'!$A$2:$BR$99998,MATCH(AU$4,'Table Output'!$A$1:$BQ$1,0),FALSE),'Control Panel'!AU22)))</f>
        <v/>
      </c>
      <c r="BH23" s="2" t="s">
        <v>151</v>
      </c>
      <c r="BI23" s="2" t="s">
        <v>98</v>
      </c>
    </row>
    <row r="24" spans="2:61" ht="12" thickBot="1" x14ac:dyDescent="0.2">
      <c r="B24" s="2" t="str">
        <f>'Control Panel'!B24</f>
        <v>Reduction_factor_ultimate_PU_drained</v>
      </c>
      <c r="C24" s="2">
        <f>'Control Panel'!C24</f>
        <v>1</v>
      </c>
      <c r="E24" s="2" t="str">
        <f>IF(T24=1,IF('Control Panel'!E23="","",'Control Panel'!E23),"")</f>
        <v/>
      </c>
      <c r="F24" s="2" t="str">
        <f>IF(T24=1,IF('Control Panel'!F23="","",'Control Panel'!F23),"")</f>
        <v/>
      </c>
      <c r="G24" s="2" t="str">
        <f>IF(T24=1,IF('Control Panel'!G23="","",'Control Panel'!G23),"")</f>
        <v/>
      </c>
      <c r="H24" s="2" t="str">
        <f>IF(T24=1,IF('Control Panel'!H23="","",'Control Panel'!H23),"")</f>
        <v/>
      </c>
      <c r="I24" s="42" t="str">
        <f>IF(T24=1,IF('Control Panel'!I23="","",'Control Panel'!I23),"")</f>
        <v/>
      </c>
      <c r="J24" s="36" t="str">
        <f>IF($I24="","",IF(J$4="","",IF('Control Panel'!J23="",VLOOKUP($E24,'Table Output'!$A$2:$BR$1048576,MATCH(J$4,'Table Output'!$A$1:$BQ$1,0),),'Control Panel'!J23)))</f>
        <v/>
      </c>
      <c r="K24" s="36" t="str">
        <f>IF($I24="","",IF(K$4="","",IF('Control Panel'!K23="",VLOOKUP($E24,'Table Output'!$A$2:$BR$1048576,MATCH(K$4,'Table Output'!$A$1:$BQ$1,0),),'Control Panel'!K23)))</f>
        <v/>
      </c>
      <c r="L24" s="36" t="str">
        <f>IF($I24="","",IF(L$4="","",IF('Control Panel'!L23="",VLOOKUP($E24,'Table Output'!$A$2:$BR$1048576,MATCH(L$4,'Table Output'!$A$1:$BQ$1,0),),'Control Panel'!L23)))</f>
        <v/>
      </c>
      <c r="M24" s="36" t="str">
        <f>IF($I24="","",IF(M$4="","",IF('Control Panel'!M23="",VLOOKUP($E24,'Table Output'!$A$2:$BR$1048576,MATCH(M$4,'Table Output'!$A$1:$BQ$1,0),),'Control Panel'!M23)))</f>
        <v/>
      </c>
      <c r="N24" s="36" t="str">
        <f>IF($I24="","",IF(N$4="","",IF('Control Panel'!N23="",VLOOKUP($E24,'Table Output'!$A$2:$BR$1048576,MATCH(N$4,'Table Output'!$A$1:$BQ$1,0),),'Control Panel'!N23)))</f>
        <v/>
      </c>
      <c r="O24" s="36" t="str">
        <f>IF($I24="","",IF(O$4="","",IF('Control Panel'!O23="",VLOOKUP($E24,'Table Output'!$A$2:$BR$1048576,MATCH(O$4,'Table Output'!$A$1:$BQ$1,0),),'Control Panel'!O23)))</f>
        <v/>
      </c>
      <c r="P24" s="36" t="str">
        <f>IF($I24="","",IF(P$4="","",IF('Control Panel'!P23="",VLOOKUP($E24,'Table Output'!$A$2:$BR$1048576,MATCH(P$4,'Table Output'!$A$1:$BQ$1,0),),'Control Panel'!P23)))</f>
        <v/>
      </c>
      <c r="Q24" s="36" t="str">
        <f>IF($I24="","",IF(Q$4="","",IF('Control Panel'!Q23="",VLOOKUP($E24,'Table Output'!$A$2:$BR$1048576,MATCH(Q$4,'Table Output'!$A$1:$BQ$1,0),),'Control Panel'!Q23)))</f>
        <v/>
      </c>
      <c r="R24" s="36" t="str">
        <f>IF($I24="","",IF(R$4="","",IF('Control Panel'!R23="",VLOOKUP($E24,'Table Output'!$A$2:$BR$1048576,MATCH(R$4,'Table Output'!$A$1:$BQ$1,0),),'Control Panel'!R23)))</f>
        <v/>
      </c>
      <c r="S24" s="36" t="str">
        <f>IF($I24="","",IF(S$4="","",IF('Control Panel'!S23="",VLOOKUP($E24,'Table Output'!$A$2:$BR$1048576,MATCH(S$4,'Table Output'!$A$1:$BQ$1,0),),'Control Panel'!S23)))</f>
        <v/>
      </c>
      <c r="T24" s="2" t="str">
        <f>IF('Control Panel'!T23="","",'Control Panel'!T23)</f>
        <v/>
      </c>
      <c r="U24" s="36" t="str">
        <f>IF($I24="","",IF('Control Panel'!U23="",VLOOKUP($E24,'Table Output'!$A$2:$BR$99998,MATCH(U$4,'Table Output'!$A$1:$BQ$1,0),),'Control Panel'!U23))</f>
        <v/>
      </c>
      <c r="V24" s="36" t="str">
        <f>IF($I24="","",IF('Control Panel'!V23="",VLOOKUP($E24,'Table Output'!$A$2:$BR$99998,MATCH(V$4,'Table Output'!$A$1:$BQ$1,0),),'Control Panel'!V23))</f>
        <v/>
      </c>
      <c r="W24" s="36" t="str">
        <f>IF($I24="","",IF('Control Panel'!W23="",VLOOKUP($E24,'Table Output'!$A$2:$BR$99998,MATCH(W$4,'Table Output'!$A$1:$BQ$1,0),),'Control Panel'!W23))</f>
        <v/>
      </c>
      <c r="X24" s="36" t="str">
        <f>IF($I24="","",IF('Control Panel'!X23="",VLOOKUP($E24,'Table Output'!$A$2:$BR$99998,MATCH(X$4,'Table Output'!$A$1:$BQ$1,0),),'Control Panel'!X23))</f>
        <v/>
      </c>
      <c r="Y24" s="36" t="str">
        <f>IF($I24="","",IF('Control Panel'!Y23="",VLOOKUP($E24,'Table Output'!$A$2:$BR$99998,MATCH(Y$4,'Table Output'!$A$1:$BQ$1,0),),'Control Panel'!Y23))</f>
        <v/>
      </c>
      <c r="Z24" s="36" t="str">
        <f>IF($I24="","",IF('Control Panel'!Z23="",VLOOKUP($E24,'Table Output'!$A$2:$BR$99998,MATCH(Z$4,'Table Output'!$A$1:$BQ$1,0),),'Control Panel'!Z23))</f>
        <v/>
      </c>
      <c r="AA24" s="36" t="str">
        <f>IF($I24="","",IF('Control Panel'!AA23="",VLOOKUP($E24,'Table Output'!$A$2:$BR$99998,MATCH(AA$4,'Table Output'!$A$1:$BQ$1,0),),'Control Panel'!AA23))</f>
        <v/>
      </c>
      <c r="AB24" s="36" t="str">
        <f>IF($I24="","",IF('Control Panel'!AB23="",VLOOKUP($E24,'Table Output'!$A$2:$BR$99998,MATCH(AB$4,'Table Output'!$A$1:$BQ$1,0),),'Control Panel'!AB23))</f>
        <v/>
      </c>
      <c r="AC24" s="36" t="str">
        <f>IF($I24="","",IF('Control Panel'!AC23="",VLOOKUP($E24,'Table Output'!$A$2:$BR$99998,MATCH(AC$4,'Table Output'!$A$1:$BQ$1,0),),'Control Panel'!AC23))</f>
        <v/>
      </c>
      <c r="AD24" s="36" t="str">
        <f>IF($I24="","",IF('Control Panel'!AD23="",VLOOKUP($E24,'Table Output'!$A$2:$BR$99998,MATCH(AD$4,'Table Output'!$A$1:$BQ$1,0),),'Control Panel'!AD23))</f>
        <v/>
      </c>
      <c r="AE24" s="36" t="str">
        <f>IF($I24="","",IF('Control Panel'!AE23="",VLOOKUP($E24,'Table Output'!$A$2:$BR$99998,MATCH(AE$4,'Table Output'!$A$1:$BQ$1,0),),'Control Panel'!AE23))</f>
        <v/>
      </c>
      <c r="AF24" s="36" t="str">
        <f>IF($I24="","",IF('Control Panel'!AF23="",VLOOKUP($E24,'Table Output'!$A$2:$BR$99998,MATCH(AF$4,'Table Output'!$A$1:$BQ$1,0),),'Control Panel'!AF23))</f>
        <v/>
      </c>
      <c r="AG24" s="36" t="str">
        <f>IF($I24="","",IF('Control Panel'!AG23="",VLOOKUP($E24,'Table Output'!$A$2:$BR$99998,MATCH(AG$4,'Table Output'!$A$1:$BQ$1,0),),'Control Panel'!AG23))</f>
        <v/>
      </c>
      <c r="AH24" s="36" t="str">
        <f>IF($I24="","",IF('Control Panel'!AH23="",VLOOKUP($E24,'Table Output'!$A$2:$BR$99998,MATCH(AH$4,'Table Output'!$A$1:$BQ$1,0),),'Control Panel'!AH23))</f>
        <v/>
      </c>
      <c r="AI24" s="36" t="str">
        <f>IF($I24="","",IF('Control Panel'!AI23="",VLOOKUP($E24,'Table Output'!$A$2:$BR$99998,MATCH(AI$4,'Table Output'!$A$1:$BQ$1,0),),'Control Panel'!AI23))</f>
        <v/>
      </c>
      <c r="AJ24" s="36" t="str">
        <f>IF($I24="","",IF('Control Panel'!AJ23="",VLOOKUP($E24,'Table Output'!$A$2:$BR$99998,MATCH(AJ$4,'Table Output'!$A$1:$BQ$1,0),),'Control Panel'!AJ23))</f>
        <v/>
      </c>
      <c r="AL24" s="51" t="str">
        <f t="shared" si="0"/>
        <v/>
      </c>
      <c r="AM24" s="48" t="str">
        <f>IF(AM$4="","",IF($I24="","",IF('Control Panel'!AM23="",VLOOKUP($E24,'Table Output'!$A$2:$BR$99998,MATCH(AM$4,'Table Output'!$A$1:$BQ$1,0),FALSE),'Control Panel'!AM23)))</f>
        <v/>
      </c>
      <c r="AN24" s="48" t="str">
        <f>IF(AN$4="","",IF($I24="","",IF('Control Panel'!AN23="",VLOOKUP($E24,'Table Output'!$A$2:$BR$99998,MATCH(AN$4,'Table Output'!$A$1:$BQ$1,0),FALSE),'Control Panel'!AN23)))</f>
        <v/>
      </c>
      <c r="AO24" s="48" t="str">
        <f>IF(AO$4="","",IF($I24="","",IF('Control Panel'!AO23="",VLOOKUP($E24,'Table Output'!$A$2:$BR$99998,MATCH(AO$4,'Table Output'!$A$1:$BQ$1,0),FALSE),'Control Panel'!AO23)))</f>
        <v/>
      </c>
      <c r="AP24" s="48" t="str">
        <f>IF(AP$4="","",IF($I24="","",IF('Control Panel'!AP23="",VLOOKUP($E24,'Table Output'!$A$2:$BR$99998,MATCH(AP$4,'Table Output'!$A$1:$BQ$1,0),FALSE),'Control Panel'!AP23)))</f>
        <v/>
      </c>
      <c r="AQ24" s="48" t="str">
        <f>IF(AQ$4="","",IF($I24="","",IF('Control Panel'!AQ23="",VLOOKUP($E24,'Table Output'!$A$2:$BR$99998,MATCH(AQ$4,'Table Output'!$A$1:$BQ$1,0),FALSE),'Control Panel'!AQ23)))</f>
        <v/>
      </c>
      <c r="AR24" s="48" t="str">
        <f>IF(AR$4="","",IF($I24="","",IF('Control Panel'!AR23="",VLOOKUP($E24,'Table Output'!$A$2:$BR$99998,MATCH(AR$4,'Table Output'!$A$1:$BQ$1,0),FALSE),'Control Panel'!AR23)))</f>
        <v/>
      </c>
      <c r="AS24" s="48" t="str">
        <f>IF(AS$4="","",IF($I24="","",IF('Control Panel'!AS23="",VLOOKUP($E24,'Table Output'!$A$2:$BR$99998,MATCH(AS$4,'Table Output'!$A$1:$BQ$1,0),FALSE),'Control Panel'!AS23)))</f>
        <v/>
      </c>
      <c r="AT24" s="48" t="str">
        <f>IF(AT$4="","",IF($I24="","",IF('Control Panel'!AT23="",VLOOKUP($E24,'Table Output'!$A$2:$BR$99998,MATCH(AT$4,'Table Output'!$A$1:$BQ$1,0),FALSE),'Control Panel'!AT23)))</f>
        <v/>
      </c>
      <c r="AU24" s="48" t="str">
        <f>IF(AU$4="","",IF($I24="","",IF('Control Panel'!AU23="",VLOOKUP($E24,'Table Output'!$A$2:$BR$99998,MATCH(AU$4,'Table Output'!$A$1:$BQ$1,0),FALSE),'Control Panel'!AU23)))</f>
        <v/>
      </c>
      <c r="BH24" s="2" t="s">
        <v>152</v>
      </c>
      <c r="BI24" s="2" t="s">
        <v>99</v>
      </c>
    </row>
    <row r="25" spans="2:61" ht="12" thickBot="1" x14ac:dyDescent="0.2">
      <c r="B25" s="2" t="str">
        <f>'Control Panel'!B25</f>
        <v>Reduction_factor_ultimate_MU_drained</v>
      </c>
      <c r="C25" s="2">
        <f>'Control Panel'!C25</f>
        <v>1</v>
      </c>
      <c r="E25" s="2" t="str">
        <f>IF(T25=1,IF('Control Panel'!E24="","",'Control Panel'!E24),"")</f>
        <v/>
      </c>
      <c r="F25" s="2" t="str">
        <f>IF(T25=1,IF('Control Panel'!F24="","",'Control Panel'!F24),"")</f>
        <v/>
      </c>
      <c r="G25" s="2" t="str">
        <f>IF(T25=1,IF('Control Panel'!G24="","",'Control Panel'!G24),"")</f>
        <v/>
      </c>
      <c r="H25" s="2" t="str">
        <f>IF(T25=1,IF('Control Panel'!H24="","",'Control Panel'!H24),"")</f>
        <v/>
      </c>
      <c r="I25" s="42" t="str">
        <f>IF(T25=1,IF('Control Panel'!I24="","",'Control Panel'!I24),"")</f>
        <v/>
      </c>
      <c r="J25" s="36" t="str">
        <f>IF($I25="","",IF(J$4="","",IF('Control Panel'!J24="",VLOOKUP($E25,'Table Output'!$A$2:$BR$1048576,MATCH(J$4,'Table Output'!$A$1:$BQ$1,0),),'Control Panel'!J24)))</f>
        <v/>
      </c>
      <c r="K25" s="36" t="str">
        <f>IF($I25="","",IF(K$4="","",IF('Control Panel'!K24="",VLOOKUP($E25,'Table Output'!$A$2:$BR$1048576,MATCH(K$4,'Table Output'!$A$1:$BQ$1,0),),'Control Panel'!K24)))</f>
        <v/>
      </c>
      <c r="L25" s="36" t="str">
        <f>IF($I25="","",IF(L$4="","",IF('Control Panel'!L24="",VLOOKUP($E25,'Table Output'!$A$2:$BR$1048576,MATCH(L$4,'Table Output'!$A$1:$BQ$1,0),),'Control Panel'!L24)))</f>
        <v/>
      </c>
      <c r="M25" s="36" t="str">
        <f>IF($I25="","",IF(M$4="","",IF('Control Panel'!M24="",VLOOKUP($E25,'Table Output'!$A$2:$BR$1048576,MATCH(M$4,'Table Output'!$A$1:$BQ$1,0),),'Control Panel'!M24)))</f>
        <v/>
      </c>
      <c r="N25" s="36" t="str">
        <f>IF($I25="","",IF(N$4="","",IF('Control Panel'!N24="",VLOOKUP($E25,'Table Output'!$A$2:$BR$1048576,MATCH(N$4,'Table Output'!$A$1:$BQ$1,0),),'Control Panel'!N24)))</f>
        <v/>
      </c>
      <c r="O25" s="36" t="str">
        <f>IF($I25="","",IF(O$4="","",IF('Control Panel'!O24="",VLOOKUP($E25,'Table Output'!$A$2:$BR$1048576,MATCH(O$4,'Table Output'!$A$1:$BQ$1,0),),'Control Panel'!O24)))</f>
        <v/>
      </c>
      <c r="P25" s="36" t="str">
        <f>IF($I25="","",IF(P$4="","",IF('Control Panel'!P24="",VLOOKUP($E25,'Table Output'!$A$2:$BR$1048576,MATCH(P$4,'Table Output'!$A$1:$BQ$1,0),),'Control Panel'!P24)))</f>
        <v/>
      </c>
      <c r="Q25" s="36" t="str">
        <f>IF($I25="","",IF(Q$4="","",IF('Control Panel'!Q24="",VLOOKUP($E25,'Table Output'!$A$2:$BR$1048576,MATCH(Q$4,'Table Output'!$A$1:$BQ$1,0),),'Control Panel'!Q24)))</f>
        <v/>
      </c>
      <c r="R25" s="36" t="str">
        <f>IF($I25="","",IF(R$4="","",IF('Control Panel'!R24="",VLOOKUP($E25,'Table Output'!$A$2:$BR$1048576,MATCH(R$4,'Table Output'!$A$1:$BQ$1,0),),'Control Panel'!R24)))</f>
        <v/>
      </c>
      <c r="S25" s="36" t="str">
        <f>IF($I25="","",IF(S$4="","",IF('Control Panel'!S24="",VLOOKUP($E25,'Table Output'!$A$2:$BR$1048576,MATCH(S$4,'Table Output'!$A$1:$BQ$1,0),),'Control Panel'!S24)))</f>
        <v/>
      </c>
      <c r="T25" s="2" t="str">
        <f>IF('Control Panel'!T24="","",'Control Panel'!T24)</f>
        <v/>
      </c>
      <c r="U25" s="36" t="str">
        <f>IF($I25="","",IF('Control Panel'!U24="",VLOOKUP($E25,'Table Output'!$A$2:$BR$99998,MATCH(U$4,'Table Output'!$A$1:$BQ$1,0),),'Control Panel'!U24))</f>
        <v/>
      </c>
      <c r="V25" s="36" t="str">
        <f>IF($I25="","",IF('Control Panel'!V24="",VLOOKUP($E25,'Table Output'!$A$2:$BR$99998,MATCH(V$4,'Table Output'!$A$1:$BQ$1,0),),'Control Panel'!V24))</f>
        <v/>
      </c>
      <c r="W25" s="36" t="str">
        <f>IF($I25="","",IF('Control Panel'!W24="",VLOOKUP($E25,'Table Output'!$A$2:$BR$99998,MATCH(W$4,'Table Output'!$A$1:$BQ$1,0),),'Control Panel'!W24))</f>
        <v/>
      </c>
      <c r="X25" s="36" t="str">
        <f>IF($I25="","",IF('Control Panel'!X24="",VLOOKUP($E25,'Table Output'!$A$2:$BR$99998,MATCH(X$4,'Table Output'!$A$1:$BQ$1,0),),'Control Panel'!X24))</f>
        <v/>
      </c>
      <c r="Y25" s="36" t="str">
        <f>IF($I25="","",IF('Control Panel'!Y24="",VLOOKUP($E25,'Table Output'!$A$2:$BR$99998,MATCH(Y$4,'Table Output'!$A$1:$BQ$1,0),),'Control Panel'!Y24))</f>
        <v/>
      </c>
      <c r="Z25" s="36" t="str">
        <f>IF($I25="","",IF('Control Panel'!Z24="",VLOOKUP($E25,'Table Output'!$A$2:$BR$99998,MATCH(Z$4,'Table Output'!$A$1:$BQ$1,0),),'Control Panel'!Z24))</f>
        <v/>
      </c>
      <c r="AA25" s="36" t="str">
        <f>IF($I25="","",IF('Control Panel'!AA24="",VLOOKUP($E25,'Table Output'!$A$2:$BR$99998,MATCH(AA$4,'Table Output'!$A$1:$BQ$1,0),),'Control Panel'!AA24))</f>
        <v/>
      </c>
      <c r="AB25" s="36" t="str">
        <f>IF($I25="","",IF('Control Panel'!AB24="",VLOOKUP($E25,'Table Output'!$A$2:$BR$99998,MATCH(AB$4,'Table Output'!$A$1:$BQ$1,0),),'Control Panel'!AB24))</f>
        <v/>
      </c>
      <c r="AC25" s="36" t="str">
        <f>IF($I25="","",IF('Control Panel'!AC24="",VLOOKUP($E25,'Table Output'!$A$2:$BR$99998,MATCH(AC$4,'Table Output'!$A$1:$BQ$1,0),),'Control Panel'!AC24))</f>
        <v/>
      </c>
      <c r="AD25" s="36" t="str">
        <f>IF($I25="","",IF('Control Panel'!AD24="",VLOOKUP($E25,'Table Output'!$A$2:$BR$99998,MATCH(AD$4,'Table Output'!$A$1:$BQ$1,0),),'Control Panel'!AD24))</f>
        <v/>
      </c>
      <c r="AE25" s="36" t="str">
        <f>IF($I25="","",IF('Control Panel'!AE24="",VLOOKUP($E25,'Table Output'!$A$2:$BR$99998,MATCH(AE$4,'Table Output'!$A$1:$BQ$1,0),),'Control Panel'!AE24))</f>
        <v/>
      </c>
      <c r="AF25" s="36" t="str">
        <f>IF($I25="","",IF('Control Panel'!AF24="",VLOOKUP($E25,'Table Output'!$A$2:$BR$99998,MATCH(AF$4,'Table Output'!$A$1:$BQ$1,0),),'Control Panel'!AF24))</f>
        <v/>
      </c>
      <c r="AG25" s="36" t="str">
        <f>IF($I25="","",IF('Control Panel'!AG24="",VLOOKUP($E25,'Table Output'!$A$2:$BR$99998,MATCH(AG$4,'Table Output'!$A$1:$BQ$1,0),),'Control Panel'!AG24))</f>
        <v/>
      </c>
      <c r="AH25" s="36" t="str">
        <f>IF($I25="","",IF('Control Panel'!AH24="",VLOOKUP($E25,'Table Output'!$A$2:$BR$99998,MATCH(AH$4,'Table Output'!$A$1:$BQ$1,0),),'Control Panel'!AH24))</f>
        <v/>
      </c>
      <c r="AI25" s="36" t="str">
        <f>IF($I25="","",IF('Control Panel'!AI24="",VLOOKUP($E25,'Table Output'!$A$2:$BR$99998,MATCH(AI$4,'Table Output'!$A$1:$BQ$1,0),),'Control Panel'!AI24))</f>
        <v/>
      </c>
      <c r="AJ25" s="36" t="str">
        <f>IF($I25="","",IF('Control Panel'!AJ24="",VLOOKUP($E25,'Table Output'!$A$2:$BR$99998,MATCH(AJ$4,'Table Output'!$A$1:$BQ$1,0),),'Control Panel'!AJ24))</f>
        <v/>
      </c>
      <c r="AL25" s="51" t="str">
        <f t="shared" ref="AL25:AL34" si="1">I25</f>
        <v/>
      </c>
      <c r="AM25" s="48" t="str">
        <f>IF(AM$4="","",IF($I25="","",IF('Control Panel'!AM24="",VLOOKUP($E25,'Table Output'!$A$2:$BR$99998,MATCH(AM$4,'Table Output'!$A$1:$BQ$1,0),FALSE),'Control Panel'!AM24)))</f>
        <v/>
      </c>
      <c r="AN25" s="48" t="str">
        <f>IF(AN$4="","",IF($I25="","",IF('Control Panel'!AN24="",VLOOKUP($E25,'Table Output'!$A$2:$BR$99998,MATCH(AN$4,'Table Output'!$A$1:$BQ$1,0),FALSE),'Control Panel'!AN24)))</f>
        <v/>
      </c>
      <c r="AO25" s="48" t="str">
        <f>IF(AO$4="","",IF($I25="","",IF('Control Panel'!AO24="",VLOOKUP($E25,'Table Output'!$A$2:$BR$99998,MATCH(AO$4,'Table Output'!$A$1:$BQ$1,0),FALSE),'Control Panel'!AO24)))</f>
        <v/>
      </c>
      <c r="AP25" s="48" t="str">
        <f>IF(AP$4="","",IF($I25="","",IF('Control Panel'!AP24="",VLOOKUP($E25,'Table Output'!$A$2:$BR$99998,MATCH(AP$4,'Table Output'!$A$1:$BQ$1,0),FALSE),'Control Panel'!AP24)))</f>
        <v/>
      </c>
      <c r="AQ25" s="48" t="str">
        <f>IF(AQ$4="","",IF($I25="","",IF('Control Panel'!AQ24="",VLOOKUP($E25,'Table Output'!$A$2:$BR$99998,MATCH(AQ$4,'Table Output'!$A$1:$BQ$1,0),FALSE),'Control Panel'!AQ24)))</f>
        <v/>
      </c>
      <c r="AR25" s="48" t="str">
        <f>IF(AR$4="","",IF($I25="","",IF('Control Panel'!AR24="",VLOOKUP($E25,'Table Output'!$A$2:$BR$99998,MATCH(AR$4,'Table Output'!$A$1:$BQ$1,0),FALSE),'Control Panel'!AR24)))</f>
        <v/>
      </c>
      <c r="AS25" s="48" t="str">
        <f>IF(AS$4="","",IF($I25="","",IF('Control Panel'!AS24="",VLOOKUP($E25,'Table Output'!$A$2:$BR$99998,MATCH(AS$4,'Table Output'!$A$1:$BQ$1,0),FALSE),'Control Panel'!AS24)))</f>
        <v/>
      </c>
      <c r="AT25" s="48" t="str">
        <f>IF(AT$4="","",IF($I25="","",IF('Control Panel'!AT24="",VLOOKUP($E25,'Table Output'!$A$2:$BR$99998,MATCH(AT$4,'Table Output'!$A$1:$BQ$1,0),FALSE),'Control Panel'!AT24)))</f>
        <v/>
      </c>
      <c r="AU25" s="48" t="str">
        <f>IF(AU$4="","",IF($I25="","",IF('Control Panel'!AU24="",VLOOKUP($E25,'Table Output'!$A$2:$BR$99998,MATCH(AU$4,'Table Output'!$A$1:$BQ$1,0),FALSE),'Control Panel'!AU24)))</f>
        <v/>
      </c>
      <c r="BH25" s="2" t="s">
        <v>153</v>
      </c>
      <c r="BI25" s="2" t="s">
        <v>99</v>
      </c>
    </row>
    <row r="26" spans="2:61" ht="12" thickBot="1" x14ac:dyDescent="0.2">
      <c r="B26" s="2">
        <f>'Control Panel'!B26</f>
        <v>0</v>
      </c>
      <c r="C26" s="2">
        <f>'Control Panel'!C33</f>
        <v>0</v>
      </c>
      <c r="E26" s="2" t="str">
        <f>IF(T26=1,IF('Control Panel'!E25="","",'Control Panel'!E25),"")</f>
        <v/>
      </c>
      <c r="F26" s="2" t="str">
        <f>IF(T26=1,IF('Control Panel'!F25="","",'Control Panel'!F25),"")</f>
        <v/>
      </c>
      <c r="G26" s="2" t="str">
        <f>IF(T26=1,IF('Control Panel'!G25="","",'Control Panel'!G25),"")</f>
        <v/>
      </c>
      <c r="H26" s="2" t="str">
        <f>IF(T26=1,IF('Control Panel'!H25="","",'Control Panel'!H25),"")</f>
        <v/>
      </c>
      <c r="I26" s="42" t="str">
        <f>IF(T26=1,IF('Control Panel'!I25="","",'Control Panel'!I25),"")</f>
        <v/>
      </c>
      <c r="J26" s="36" t="str">
        <f>IF($I26="","",IF(J$4="","",IF('Control Panel'!J25="",VLOOKUP($E26,'Table Output'!$A$2:$BR$1048576,MATCH(J$4,'Table Output'!$A$1:$BQ$1,0),),'Control Panel'!J25)))</f>
        <v/>
      </c>
      <c r="K26" s="36" t="str">
        <f>IF($I26="","",IF(K$4="","",IF('Control Panel'!K25="",VLOOKUP($E26,'Table Output'!$A$2:$BR$1048576,MATCH(K$4,'Table Output'!$A$1:$BQ$1,0),),'Control Panel'!K25)))</f>
        <v/>
      </c>
      <c r="L26" s="36" t="str">
        <f>IF($I26="","",IF(L$4="","",IF('Control Panel'!L25="",VLOOKUP($E26,'Table Output'!$A$2:$BR$1048576,MATCH(L$4,'Table Output'!$A$1:$BQ$1,0),),'Control Panel'!L25)))</f>
        <v/>
      </c>
      <c r="M26" s="36" t="str">
        <f>IF($I26="","",IF(M$4="","",IF('Control Panel'!M25="",VLOOKUP($E26,'Table Output'!$A$2:$BR$1048576,MATCH(M$4,'Table Output'!$A$1:$BQ$1,0),),'Control Panel'!M25)))</f>
        <v/>
      </c>
      <c r="N26" s="36" t="str">
        <f>IF($I26="","",IF(N$4="","",IF('Control Panel'!N25="",VLOOKUP($E26,'Table Output'!$A$2:$BR$1048576,MATCH(N$4,'Table Output'!$A$1:$BQ$1,0),),'Control Panel'!N25)))</f>
        <v/>
      </c>
      <c r="O26" s="36" t="str">
        <f>IF($I26="","",IF(O$4="","",IF('Control Panel'!O25="",VLOOKUP($E26,'Table Output'!$A$2:$BR$1048576,MATCH(O$4,'Table Output'!$A$1:$BQ$1,0),),'Control Panel'!O25)))</f>
        <v/>
      </c>
      <c r="P26" s="36" t="str">
        <f>IF($I26="","",IF(P$4="","",IF('Control Panel'!P25="",VLOOKUP($E26,'Table Output'!$A$2:$BR$1048576,MATCH(P$4,'Table Output'!$A$1:$BQ$1,0),),'Control Panel'!P25)))</f>
        <v/>
      </c>
      <c r="Q26" s="36" t="str">
        <f>IF($I26="","",IF(Q$4="","",IF('Control Panel'!Q25="",VLOOKUP($E26,'Table Output'!$A$2:$BR$1048576,MATCH(Q$4,'Table Output'!$A$1:$BQ$1,0),),'Control Panel'!Q25)))</f>
        <v/>
      </c>
      <c r="R26" s="36" t="str">
        <f>IF($I26="","",IF(R$4="","",IF('Control Panel'!R25="",VLOOKUP($E26,'Table Output'!$A$2:$BR$1048576,MATCH(R$4,'Table Output'!$A$1:$BQ$1,0),),'Control Panel'!R25)))</f>
        <v/>
      </c>
      <c r="S26" s="36" t="str">
        <f>IF($I26="","",IF(S$4="","",IF('Control Panel'!S25="",VLOOKUP($E26,'Table Output'!$A$2:$BR$1048576,MATCH(S$4,'Table Output'!$A$1:$BQ$1,0),),'Control Panel'!S25)))</f>
        <v/>
      </c>
      <c r="T26" s="2" t="str">
        <f>IF('Control Panel'!T25="","",'Control Panel'!T25)</f>
        <v/>
      </c>
      <c r="U26" s="36" t="str">
        <f>IF($I26="","",IF('Control Panel'!U25="",VLOOKUP($E26,'Table Output'!$A$2:$BR$99998,MATCH(U$4,'Table Output'!$A$1:$BQ$1,0),),'Control Panel'!U25))</f>
        <v/>
      </c>
      <c r="V26" s="36" t="str">
        <f>IF($I26="","",IF('Control Panel'!V25="",VLOOKUP($E26,'Table Output'!$A$2:$BR$99998,MATCH(V$4,'Table Output'!$A$1:$BQ$1,0),),'Control Panel'!V25))</f>
        <v/>
      </c>
      <c r="W26" s="36" t="str">
        <f>IF($I26="","",IF('Control Panel'!W25="",VLOOKUP($E26,'Table Output'!$A$2:$BR$99998,MATCH(W$4,'Table Output'!$A$1:$BQ$1,0),),'Control Panel'!W25))</f>
        <v/>
      </c>
      <c r="X26" s="36" t="str">
        <f>IF($I26="","",IF('Control Panel'!X25="",VLOOKUP($E26,'Table Output'!$A$2:$BR$99998,MATCH(X$4,'Table Output'!$A$1:$BQ$1,0),),'Control Panel'!X25))</f>
        <v/>
      </c>
      <c r="Y26" s="36" t="str">
        <f>IF($I26="","",IF('Control Panel'!Y25="",VLOOKUP($E26,'Table Output'!$A$2:$BR$99998,MATCH(Y$4,'Table Output'!$A$1:$BQ$1,0),),'Control Panel'!Y25))</f>
        <v/>
      </c>
      <c r="Z26" s="36" t="str">
        <f>IF($I26="","",IF('Control Panel'!Z25="",VLOOKUP($E26,'Table Output'!$A$2:$BR$99998,MATCH(Z$4,'Table Output'!$A$1:$BQ$1,0),),'Control Panel'!Z25))</f>
        <v/>
      </c>
      <c r="AA26" s="36" t="str">
        <f>IF($I26="","",IF('Control Panel'!AA25="",VLOOKUP($E26,'Table Output'!$A$2:$BR$99998,MATCH(AA$4,'Table Output'!$A$1:$BQ$1,0),),'Control Panel'!AA25))</f>
        <v/>
      </c>
      <c r="AB26" s="36" t="str">
        <f>IF($I26="","",IF('Control Panel'!AB25="",VLOOKUP($E26,'Table Output'!$A$2:$BR$99998,MATCH(AB$4,'Table Output'!$A$1:$BQ$1,0),),'Control Panel'!AB25))</f>
        <v/>
      </c>
      <c r="AC26" s="36" t="str">
        <f>IF($I26="","",IF('Control Panel'!AC25="",VLOOKUP($E26,'Table Output'!$A$2:$BR$99998,MATCH(AC$4,'Table Output'!$A$1:$BQ$1,0),),'Control Panel'!AC25))</f>
        <v/>
      </c>
      <c r="AD26" s="36" t="str">
        <f>IF($I26="","",IF('Control Panel'!AD25="",VLOOKUP($E26,'Table Output'!$A$2:$BR$99998,MATCH(AD$4,'Table Output'!$A$1:$BQ$1,0),),'Control Panel'!AD25))</f>
        <v/>
      </c>
      <c r="AE26" s="36" t="str">
        <f>IF($I26="","",IF('Control Panel'!AE25="",VLOOKUP($E26,'Table Output'!$A$2:$BR$99998,MATCH(AE$4,'Table Output'!$A$1:$BQ$1,0),),'Control Panel'!AE25))</f>
        <v/>
      </c>
      <c r="AF26" s="36" t="str">
        <f>IF($I26="","",IF('Control Panel'!AF25="",VLOOKUP($E26,'Table Output'!$A$2:$BR$99998,MATCH(AF$4,'Table Output'!$A$1:$BQ$1,0),),'Control Panel'!AF25))</f>
        <v/>
      </c>
      <c r="AG26" s="36" t="str">
        <f>IF($I26="","",IF('Control Panel'!AG25="",VLOOKUP($E26,'Table Output'!$A$2:$BR$99998,MATCH(AG$4,'Table Output'!$A$1:$BQ$1,0),),'Control Panel'!AG25))</f>
        <v/>
      </c>
      <c r="AH26" s="36" t="str">
        <f>IF($I26="","",IF('Control Panel'!AH25="",VLOOKUP($E26,'Table Output'!$A$2:$BR$99998,MATCH(AH$4,'Table Output'!$A$1:$BQ$1,0),),'Control Panel'!AH25))</f>
        <v/>
      </c>
      <c r="AI26" s="36" t="str">
        <f>IF($I26="","",IF('Control Panel'!AI25="",VLOOKUP($E26,'Table Output'!$A$2:$BR$99998,MATCH(AI$4,'Table Output'!$A$1:$BQ$1,0),),'Control Panel'!AI25))</f>
        <v/>
      </c>
      <c r="AJ26" s="36" t="str">
        <f>IF($I26="","",IF('Control Panel'!AJ25="",VLOOKUP($E26,'Table Output'!$A$2:$BR$99998,MATCH(AJ$4,'Table Output'!$A$1:$BQ$1,0),),'Control Panel'!AJ25))</f>
        <v/>
      </c>
      <c r="AL26" s="51" t="str">
        <f t="shared" si="1"/>
        <v/>
      </c>
      <c r="AM26" s="48" t="str">
        <f>IF(AM$4="","",IF($I26="","",IF('Control Panel'!AM25="",VLOOKUP($E26,'Table Output'!$A$2:$BR$99998,MATCH(AM$4,'Table Output'!$A$1:$BQ$1,0),FALSE),'Control Panel'!AM25)))</f>
        <v/>
      </c>
      <c r="AN26" s="48" t="str">
        <f>IF(AN$4="","",IF($I26="","",IF('Control Panel'!AN25="",VLOOKUP($E26,'Table Output'!$A$2:$BR$99998,MATCH(AN$4,'Table Output'!$A$1:$BQ$1,0),FALSE),'Control Panel'!AN25)))</f>
        <v/>
      </c>
      <c r="AO26" s="48" t="str">
        <f>IF(AO$4="","",IF($I26="","",IF('Control Panel'!AO25="",VLOOKUP($E26,'Table Output'!$A$2:$BR$99998,MATCH(AO$4,'Table Output'!$A$1:$BQ$1,0),FALSE),'Control Panel'!AO25)))</f>
        <v/>
      </c>
      <c r="AP26" s="48" t="str">
        <f>IF(AP$4="","",IF($I26="","",IF('Control Panel'!AP25="",VLOOKUP($E26,'Table Output'!$A$2:$BR$99998,MATCH(AP$4,'Table Output'!$A$1:$BQ$1,0),FALSE),'Control Panel'!AP25)))</f>
        <v/>
      </c>
      <c r="AQ26" s="48" t="str">
        <f>IF(AQ$4="","",IF($I26="","",IF('Control Panel'!AQ25="",VLOOKUP($E26,'Table Output'!$A$2:$BR$99998,MATCH(AQ$4,'Table Output'!$A$1:$BQ$1,0),FALSE),'Control Panel'!AQ25)))</f>
        <v/>
      </c>
      <c r="AR26" s="48" t="str">
        <f>IF(AR$4="","",IF($I26="","",IF('Control Panel'!AR25="",VLOOKUP($E26,'Table Output'!$A$2:$BR$99998,MATCH(AR$4,'Table Output'!$A$1:$BQ$1,0),FALSE),'Control Panel'!AR25)))</f>
        <v/>
      </c>
      <c r="AS26" s="48" t="str">
        <f>IF(AS$4="","",IF($I26="","",IF('Control Panel'!AS25="",VLOOKUP($E26,'Table Output'!$A$2:$BR$99998,MATCH(AS$4,'Table Output'!$A$1:$BQ$1,0),FALSE),'Control Panel'!AS25)))</f>
        <v/>
      </c>
      <c r="AT26" s="48" t="str">
        <f>IF(AT$4="","",IF($I26="","",IF('Control Panel'!AT25="",VLOOKUP($E26,'Table Output'!$A$2:$BR$99998,MATCH(AT$4,'Table Output'!$A$1:$BQ$1,0),FALSE),'Control Panel'!AT25)))</f>
        <v/>
      </c>
      <c r="AU26" s="48" t="str">
        <f>IF(AU$4="","",IF($I26="","",IF('Control Panel'!AU25="",VLOOKUP($E26,'Table Output'!$A$2:$BR$99998,MATCH(AU$4,'Table Output'!$A$1:$BQ$1,0),FALSE),'Control Panel'!AU25)))</f>
        <v/>
      </c>
      <c r="BH26" s="2" t="s">
        <v>155</v>
      </c>
      <c r="BI26" s="2" t="s">
        <v>99</v>
      </c>
    </row>
    <row r="27" spans="2:61" ht="12" thickBot="1" x14ac:dyDescent="0.2">
      <c r="B27" s="2" t="str">
        <f>'Control Panel'!B27</f>
        <v xml:space="preserve">General_reduction_Undrained </v>
      </c>
      <c r="C27" s="2">
        <f>'Control Panel'!C27</f>
        <v>0</v>
      </c>
      <c r="E27" s="2" t="str">
        <f>IF(T27=1,IF('Control Panel'!E26="","",'Control Panel'!E26),"")</f>
        <v/>
      </c>
      <c r="F27" s="2" t="str">
        <f>IF(T27=1,IF('Control Panel'!F26="","",'Control Panel'!F26),"")</f>
        <v/>
      </c>
      <c r="G27" s="2" t="str">
        <f>IF(T27=1,IF('Control Panel'!G26="","",'Control Panel'!G26),"")</f>
        <v/>
      </c>
      <c r="H27" s="2" t="str">
        <f>IF(T27=1,IF('Control Panel'!H26="","",'Control Panel'!H26),"")</f>
        <v/>
      </c>
      <c r="I27" s="42" t="str">
        <f>IF(T27=1,IF('Control Panel'!I26="","",'Control Panel'!I26),"")</f>
        <v/>
      </c>
      <c r="J27" s="36" t="str">
        <f>IF($I27="","",IF(J$4="","",IF('Control Panel'!J26="",VLOOKUP($E27,'Table Output'!$A$2:$BR$1048576,MATCH(J$4,'Table Output'!$A$1:$BQ$1,0),),'Control Panel'!J26)))</f>
        <v/>
      </c>
      <c r="K27" s="36" t="str">
        <f>IF($I27="","",IF(K$4="","",IF('Control Panel'!K26="",VLOOKUP($E27,'Table Output'!$A$2:$BR$1048576,MATCH(K$4,'Table Output'!$A$1:$BQ$1,0),),'Control Panel'!K26)))</f>
        <v/>
      </c>
      <c r="L27" s="36" t="str">
        <f>IF($I27="","",IF(L$4="","",IF('Control Panel'!L26="",VLOOKUP($E27,'Table Output'!$A$2:$BR$1048576,MATCH(L$4,'Table Output'!$A$1:$BQ$1,0),),'Control Panel'!L26)))</f>
        <v/>
      </c>
      <c r="M27" s="36" t="str">
        <f>IF($I27="","",IF(M$4="","",IF('Control Panel'!M26="",VLOOKUP($E27,'Table Output'!$A$2:$BR$1048576,MATCH(M$4,'Table Output'!$A$1:$BQ$1,0),),'Control Panel'!M26)))</f>
        <v/>
      </c>
      <c r="N27" s="36" t="str">
        <f>IF($I27="","",IF(N$4="","",IF('Control Panel'!N26="",VLOOKUP($E27,'Table Output'!$A$2:$BR$1048576,MATCH(N$4,'Table Output'!$A$1:$BQ$1,0),),'Control Panel'!N26)))</f>
        <v/>
      </c>
      <c r="O27" s="36" t="str">
        <f>IF($I27="","",IF(O$4="","",IF('Control Panel'!O26="",VLOOKUP($E27,'Table Output'!$A$2:$BR$1048576,MATCH(O$4,'Table Output'!$A$1:$BQ$1,0),),'Control Panel'!O26)))</f>
        <v/>
      </c>
      <c r="P27" s="36" t="str">
        <f>IF($I27="","",IF(P$4="","",IF('Control Panel'!P26="",VLOOKUP($E27,'Table Output'!$A$2:$BR$1048576,MATCH(P$4,'Table Output'!$A$1:$BQ$1,0),),'Control Panel'!P26)))</f>
        <v/>
      </c>
      <c r="Q27" s="36" t="str">
        <f>IF($I27="","",IF(Q$4="","",IF('Control Panel'!Q26="",VLOOKUP($E27,'Table Output'!$A$2:$BR$1048576,MATCH(Q$4,'Table Output'!$A$1:$BQ$1,0),),'Control Panel'!Q26)))</f>
        <v/>
      </c>
      <c r="R27" s="36" t="str">
        <f>IF($I27="","",IF(R$4="","",IF('Control Panel'!R26="",VLOOKUP($E27,'Table Output'!$A$2:$BR$1048576,MATCH(R$4,'Table Output'!$A$1:$BQ$1,0),),'Control Panel'!R26)))</f>
        <v/>
      </c>
      <c r="S27" s="36" t="str">
        <f>IF($I27="","",IF(S$4="","",IF('Control Panel'!S26="",VLOOKUP($E27,'Table Output'!$A$2:$BR$1048576,MATCH(S$4,'Table Output'!$A$1:$BQ$1,0),),'Control Panel'!S26)))</f>
        <v/>
      </c>
      <c r="T27" s="2" t="str">
        <f>IF('Control Panel'!T26="","",'Control Panel'!T26)</f>
        <v/>
      </c>
      <c r="U27" s="36" t="str">
        <f>IF($I27="","",IF('Control Panel'!U26="",VLOOKUP($E27,'Table Output'!$A$2:$BR$99998,MATCH(U$4,'Table Output'!$A$1:$BQ$1,0),),'Control Panel'!U26))</f>
        <v/>
      </c>
      <c r="V27" s="36" t="str">
        <f>IF($I27="","",IF('Control Panel'!V26="",VLOOKUP($E27,'Table Output'!$A$2:$BR$99998,MATCH(V$4,'Table Output'!$A$1:$BQ$1,0),),'Control Panel'!V26))</f>
        <v/>
      </c>
      <c r="W27" s="36" t="str">
        <f>IF($I27="","",IF('Control Panel'!W26="",VLOOKUP($E27,'Table Output'!$A$2:$BR$99998,MATCH(W$4,'Table Output'!$A$1:$BQ$1,0),),'Control Panel'!W26))</f>
        <v/>
      </c>
      <c r="X27" s="36" t="str">
        <f>IF($I27="","",IF('Control Panel'!X26="",VLOOKUP($E27,'Table Output'!$A$2:$BR$99998,MATCH(X$4,'Table Output'!$A$1:$BQ$1,0),),'Control Panel'!X26))</f>
        <v/>
      </c>
      <c r="Y27" s="36" t="str">
        <f>IF($I27="","",IF('Control Panel'!Y26="",VLOOKUP($E27,'Table Output'!$A$2:$BR$99998,MATCH(Y$4,'Table Output'!$A$1:$BQ$1,0),),'Control Panel'!Y26))</f>
        <v/>
      </c>
      <c r="Z27" s="36" t="str">
        <f>IF($I27="","",IF('Control Panel'!Z26="",VLOOKUP($E27,'Table Output'!$A$2:$BR$99998,MATCH(Z$4,'Table Output'!$A$1:$BQ$1,0),),'Control Panel'!Z26))</f>
        <v/>
      </c>
      <c r="AA27" s="36" t="str">
        <f>IF($I27="","",IF('Control Panel'!AA26="",VLOOKUP($E27,'Table Output'!$A$2:$BR$99998,MATCH(AA$4,'Table Output'!$A$1:$BQ$1,0),),'Control Panel'!AA26))</f>
        <v/>
      </c>
      <c r="AB27" s="36" t="str">
        <f>IF($I27="","",IF('Control Panel'!AB26="",VLOOKUP($E27,'Table Output'!$A$2:$BR$99998,MATCH(AB$4,'Table Output'!$A$1:$BQ$1,0),),'Control Panel'!AB26))</f>
        <v/>
      </c>
      <c r="AC27" s="36" t="str">
        <f>IF($I27="","",IF('Control Panel'!AC26="",VLOOKUP($E27,'Table Output'!$A$2:$BR$99998,MATCH(AC$4,'Table Output'!$A$1:$BQ$1,0),),'Control Panel'!AC26))</f>
        <v/>
      </c>
      <c r="AD27" s="36" t="str">
        <f>IF($I27="","",IF('Control Panel'!AD26="",VLOOKUP($E27,'Table Output'!$A$2:$BR$99998,MATCH(AD$4,'Table Output'!$A$1:$BQ$1,0),),'Control Panel'!AD26))</f>
        <v/>
      </c>
      <c r="AE27" s="36" t="str">
        <f>IF($I27="","",IF('Control Panel'!AE26="",VLOOKUP($E27,'Table Output'!$A$2:$BR$99998,MATCH(AE$4,'Table Output'!$A$1:$BQ$1,0),),'Control Panel'!AE26))</f>
        <v/>
      </c>
      <c r="AF27" s="36" t="str">
        <f>IF($I27="","",IF('Control Panel'!AF26="",VLOOKUP($E27,'Table Output'!$A$2:$BR$99998,MATCH(AF$4,'Table Output'!$A$1:$BQ$1,0),),'Control Panel'!AF26))</f>
        <v/>
      </c>
      <c r="AG27" s="36" t="str">
        <f>IF($I27="","",IF('Control Panel'!AG26="",VLOOKUP($E27,'Table Output'!$A$2:$BR$99998,MATCH(AG$4,'Table Output'!$A$1:$BQ$1,0),),'Control Panel'!AG26))</f>
        <v/>
      </c>
      <c r="AH27" s="36" t="str">
        <f>IF($I27="","",IF('Control Panel'!AH26="",VLOOKUP($E27,'Table Output'!$A$2:$BR$99998,MATCH(AH$4,'Table Output'!$A$1:$BQ$1,0),),'Control Panel'!AH26))</f>
        <v/>
      </c>
      <c r="AI27" s="36" t="str">
        <f>IF($I27="","",IF('Control Panel'!AI26="",VLOOKUP($E27,'Table Output'!$A$2:$BR$99998,MATCH(AI$4,'Table Output'!$A$1:$BQ$1,0),),'Control Panel'!AI26))</f>
        <v/>
      </c>
      <c r="AJ27" s="36" t="str">
        <f>IF($I27="","",IF('Control Panel'!AJ26="",VLOOKUP($E27,'Table Output'!$A$2:$BR$99998,MATCH(AJ$4,'Table Output'!$A$1:$BQ$1,0),),'Control Panel'!AJ26))</f>
        <v/>
      </c>
      <c r="AL27" s="51" t="str">
        <f t="shared" si="1"/>
        <v/>
      </c>
      <c r="AM27" s="48" t="str">
        <f>IF(AM$4="","",IF($I27="","",IF('Control Panel'!AM26="",VLOOKUP($E27,'Table Output'!$A$2:$BR$99998,MATCH(AM$4,'Table Output'!$A$1:$BQ$1,0),FALSE),'Control Panel'!AM26)))</f>
        <v/>
      </c>
      <c r="AN27" s="48" t="str">
        <f>IF(AN$4="","",IF($I27="","",IF('Control Panel'!AN26="",VLOOKUP($E27,'Table Output'!$A$2:$BR$99998,MATCH(AN$4,'Table Output'!$A$1:$BQ$1,0),FALSE),'Control Panel'!AN26)))</f>
        <v/>
      </c>
      <c r="AO27" s="48" t="str">
        <f>IF(AO$4="","",IF($I27="","",IF('Control Panel'!AO26="",VLOOKUP($E27,'Table Output'!$A$2:$BR$99998,MATCH(AO$4,'Table Output'!$A$1:$BQ$1,0),FALSE),'Control Panel'!AO26)))</f>
        <v/>
      </c>
      <c r="AP27" s="48" t="str">
        <f>IF(AP$4="","",IF($I27="","",IF('Control Panel'!AP26="",VLOOKUP($E27,'Table Output'!$A$2:$BR$99998,MATCH(AP$4,'Table Output'!$A$1:$BQ$1,0),FALSE),'Control Panel'!AP26)))</f>
        <v/>
      </c>
      <c r="AQ27" s="48" t="str">
        <f>IF(AQ$4="","",IF($I27="","",IF('Control Panel'!AQ26="",VLOOKUP($E27,'Table Output'!$A$2:$BR$99998,MATCH(AQ$4,'Table Output'!$A$1:$BQ$1,0),FALSE),'Control Panel'!AQ26)))</f>
        <v/>
      </c>
      <c r="AR27" s="48" t="str">
        <f>IF(AR$4="","",IF($I27="","",IF('Control Panel'!AR26="",VLOOKUP($E27,'Table Output'!$A$2:$BR$99998,MATCH(AR$4,'Table Output'!$A$1:$BQ$1,0),FALSE),'Control Panel'!AR26)))</f>
        <v/>
      </c>
      <c r="AS27" s="48" t="str">
        <f>IF(AS$4="","",IF($I27="","",IF('Control Panel'!AS26="",VLOOKUP($E27,'Table Output'!$A$2:$BR$99998,MATCH(AS$4,'Table Output'!$A$1:$BQ$1,0),FALSE),'Control Panel'!AS26)))</f>
        <v/>
      </c>
      <c r="AT27" s="48" t="str">
        <f>IF(AT$4="","",IF($I27="","",IF('Control Panel'!AT26="",VLOOKUP($E27,'Table Output'!$A$2:$BR$99998,MATCH(AT$4,'Table Output'!$A$1:$BQ$1,0),FALSE),'Control Panel'!AT26)))</f>
        <v/>
      </c>
      <c r="AU27" s="48" t="str">
        <f>IF(AU$4="","",IF($I27="","",IF('Control Panel'!AU26="",VLOOKUP($E27,'Table Output'!$A$2:$BR$99998,MATCH(AU$4,'Table Output'!$A$1:$BQ$1,0),FALSE),'Control Panel'!AU26)))</f>
        <v/>
      </c>
      <c r="BH27" s="2" t="s">
        <v>91</v>
      </c>
      <c r="BI27" s="2" t="s">
        <v>100</v>
      </c>
    </row>
    <row r="28" spans="2:61" ht="12" thickBot="1" x14ac:dyDescent="0.2">
      <c r="B28" s="2" t="str">
        <f>'Control Panel'!B28</f>
        <v>Reduction_factor_ultimate_PU_drained</v>
      </c>
      <c r="C28" s="2">
        <f>'Control Panel'!C28</f>
        <v>1</v>
      </c>
      <c r="E28" s="2" t="str">
        <f>IF(T28=1,IF('Control Panel'!E27="","",'Control Panel'!E27),"")</f>
        <v/>
      </c>
      <c r="F28" s="2" t="str">
        <f>IF(T28=1,IF('Control Panel'!F27="","",'Control Panel'!F27),"")</f>
        <v/>
      </c>
      <c r="G28" s="2" t="str">
        <f>IF(T28=1,IF('Control Panel'!G27="","",'Control Panel'!G27),"")</f>
        <v/>
      </c>
      <c r="H28" s="2" t="str">
        <f>IF(T28=1,IF('Control Panel'!H27="","",'Control Panel'!H27),"")</f>
        <v/>
      </c>
      <c r="I28" s="42" t="str">
        <f>IF(T28=1,IF('Control Panel'!I27="","",'Control Panel'!I27),"")</f>
        <v/>
      </c>
      <c r="J28" s="36" t="str">
        <f>IF($I28="","",IF(J$4="","",IF('Control Panel'!J27="",VLOOKUP($E28,'Table Output'!$A$2:$BR$1048576,MATCH(J$4,'Table Output'!$A$1:$BQ$1,0),),'Control Panel'!J27)))</f>
        <v/>
      </c>
      <c r="K28" s="36" t="str">
        <f>IF($I28="","",IF(K$4="","",IF('Control Panel'!K27="",VLOOKUP($E28,'Table Output'!$A$2:$BR$1048576,MATCH(K$4,'Table Output'!$A$1:$BQ$1,0),),'Control Panel'!K27)))</f>
        <v/>
      </c>
      <c r="L28" s="36" t="str">
        <f>IF($I28="","",IF(L$4="","",IF('Control Panel'!L27="",VLOOKUP($E28,'Table Output'!$A$2:$BR$1048576,MATCH(L$4,'Table Output'!$A$1:$BQ$1,0),),'Control Panel'!L27)))</f>
        <v/>
      </c>
      <c r="M28" s="36" t="str">
        <f>IF($I28="","",IF(M$4="","",IF('Control Panel'!M27="",VLOOKUP($E28,'Table Output'!$A$2:$BR$1048576,MATCH(M$4,'Table Output'!$A$1:$BQ$1,0),),'Control Panel'!M27)))</f>
        <v/>
      </c>
      <c r="N28" s="36" t="str">
        <f>IF($I28="","",IF(N$4="","",IF('Control Panel'!N27="",VLOOKUP($E28,'Table Output'!$A$2:$BR$1048576,MATCH(N$4,'Table Output'!$A$1:$BQ$1,0),),'Control Panel'!N27)))</f>
        <v/>
      </c>
      <c r="O28" s="36" t="str">
        <f>IF($I28="","",IF(O$4="","",IF('Control Panel'!O27="",VLOOKUP($E28,'Table Output'!$A$2:$BR$1048576,MATCH(O$4,'Table Output'!$A$1:$BQ$1,0),),'Control Panel'!O27)))</f>
        <v/>
      </c>
      <c r="P28" s="36" t="str">
        <f>IF($I28="","",IF(P$4="","",IF('Control Panel'!P27="",VLOOKUP($E28,'Table Output'!$A$2:$BR$1048576,MATCH(P$4,'Table Output'!$A$1:$BQ$1,0),),'Control Panel'!P27)))</f>
        <v/>
      </c>
      <c r="Q28" s="36" t="str">
        <f>IF($I28="","",IF(Q$4="","",IF('Control Panel'!Q27="",VLOOKUP($E28,'Table Output'!$A$2:$BR$1048576,MATCH(Q$4,'Table Output'!$A$1:$BQ$1,0),),'Control Panel'!Q27)))</f>
        <v/>
      </c>
      <c r="R28" s="36" t="str">
        <f>IF($I28="","",IF(R$4="","",IF('Control Panel'!R27="",VLOOKUP($E28,'Table Output'!$A$2:$BR$1048576,MATCH(R$4,'Table Output'!$A$1:$BQ$1,0),),'Control Panel'!R27)))</f>
        <v/>
      </c>
      <c r="S28" s="36" t="str">
        <f>IF($I28="","",IF(S$4="","",IF('Control Panel'!S27="",VLOOKUP($E28,'Table Output'!$A$2:$BR$1048576,MATCH(S$4,'Table Output'!$A$1:$BQ$1,0),),'Control Panel'!S27)))</f>
        <v/>
      </c>
      <c r="T28" s="2" t="str">
        <f>IF('Control Panel'!T27="","",'Control Panel'!T27)</f>
        <v/>
      </c>
      <c r="U28" s="36" t="str">
        <f>IF($I28="","",IF('Control Panel'!U27="",VLOOKUP($E28,'Table Output'!$A$2:$BR$99998,MATCH(U$4,'Table Output'!$A$1:$BQ$1,0),),'Control Panel'!U27))</f>
        <v/>
      </c>
      <c r="V28" s="36" t="str">
        <f>IF($I28="","",IF('Control Panel'!V27="",VLOOKUP($E28,'Table Output'!$A$2:$BR$99998,MATCH(V$4,'Table Output'!$A$1:$BQ$1,0),),'Control Panel'!V27))</f>
        <v/>
      </c>
      <c r="W28" s="36" t="str">
        <f>IF($I28="","",IF('Control Panel'!W27="",VLOOKUP($E28,'Table Output'!$A$2:$BR$99998,MATCH(W$4,'Table Output'!$A$1:$BQ$1,0),),'Control Panel'!W27))</f>
        <v/>
      </c>
      <c r="X28" s="36" t="str">
        <f>IF($I28="","",IF('Control Panel'!X27="",VLOOKUP($E28,'Table Output'!$A$2:$BR$99998,MATCH(X$4,'Table Output'!$A$1:$BQ$1,0),),'Control Panel'!X27))</f>
        <v/>
      </c>
      <c r="Y28" s="36" t="str">
        <f>IF($I28="","",IF('Control Panel'!Y27="",VLOOKUP($E28,'Table Output'!$A$2:$BR$99998,MATCH(Y$4,'Table Output'!$A$1:$BQ$1,0),),'Control Panel'!Y27))</f>
        <v/>
      </c>
      <c r="Z28" s="36" t="str">
        <f>IF($I28="","",IF('Control Panel'!Z27="",VLOOKUP($E28,'Table Output'!$A$2:$BR$99998,MATCH(Z$4,'Table Output'!$A$1:$BQ$1,0),),'Control Panel'!Z27))</f>
        <v/>
      </c>
      <c r="AA28" s="36" t="str">
        <f>IF($I28="","",IF('Control Panel'!AA27="",VLOOKUP($E28,'Table Output'!$A$2:$BR$99998,MATCH(AA$4,'Table Output'!$A$1:$BQ$1,0),),'Control Panel'!AA27))</f>
        <v/>
      </c>
      <c r="AB28" s="36" t="str">
        <f>IF($I28="","",IF('Control Panel'!AB27="",VLOOKUP($E28,'Table Output'!$A$2:$BR$99998,MATCH(AB$4,'Table Output'!$A$1:$BQ$1,0),),'Control Panel'!AB27))</f>
        <v/>
      </c>
      <c r="AC28" s="36" t="str">
        <f>IF($I28="","",IF('Control Panel'!AC27="",VLOOKUP($E28,'Table Output'!$A$2:$BR$99998,MATCH(AC$4,'Table Output'!$A$1:$BQ$1,0),),'Control Panel'!AC27))</f>
        <v/>
      </c>
      <c r="AD28" s="36" t="str">
        <f>IF($I28="","",IF('Control Panel'!AD27="",VLOOKUP($E28,'Table Output'!$A$2:$BR$99998,MATCH(AD$4,'Table Output'!$A$1:$BQ$1,0),),'Control Panel'!AD27))</f>
        <v/>
      </c>
      <c r="AE28" s="36" t="str">
        <f>IF($I28="","",IF('Control Panel'!AE27="",VLOOKUP($E28,'Table Output'!$A$2:$BR$99998,MATCH(AE$4,'Table Output'!$A$1:$BQ$1,0),),'Control Panel'!AE27))</f>
        <v/>
      </c>
      <c r="AF28" s="36" t="str">
        <f>IF($I28="","",IF('Control Panel'!AF27="",VLOOKUP($E28,'Table Output'!$A$2:$BR$99998,MATCH(AF$4,'Table Output'!$A$1:$BQ$1,0),),'Control Panel'!AF27))</f>
        <v/>
      </c>
      <c r="AG28" s="36" t="str">
        <f>IF($I28="","",IF('Control Panel'!AG27="",VLOOKUP($E28,'Table Output'!$A$2:$BR$99998,MATCH(AG$4,'Table Output'!$A$1:$BQ$1,0),),'Control Panel'!AG27))</f>
        <v/>
      </c>
      <c r="AH28" s="36" t="str">
        <f>IF($I28="","",IF('Control Panel'!AH27="",VLOOKUP($E28,'Table Output'!$A$2:$BR$99998,MATCH(AH$4,'Table Output'!$A$1:$BQ$1,0),),'Control Panel'!AH27))</f>
        <v/>
      </c>
      <c r="AI28" s="36" t="str">
        <f>IF($I28="","",IF('Control Panel'!AI27="",VLOOKUP($E28,'Table Output'!$A$2:$BR$99998,MATCH(AI$4,'Table Output'!$A$1:$BQ$1,0),),'Control Panel'!AI27))</f>
        <v/>
      </c>
      <c r="AJ28" s="36" t="str">
        <f>IF($I28="","",IF('Control Panel'!AJ27="",VLOOKUP($E28,'Table Output'!$A$2:$BR$99998,MATCH(AJ$4,'Table Output'!$A$1:$BQ$1,0),),'Control Panel'!AJ27))</f>
        <v/>
      </c>
      <c r="AL28" s="51" t="str">
        <f t="shared" si="1"/>
        <v/>
      </c>
      <c r="AM28" s="48" t="str">
        <f>IF(AM$4="","",IF($I28="","",IF('Control Panel'!AM27="",VLOOKUP($E28,'Table Output'!$A$2:$BR$99998,MATCH(AM$4,'Table Output'!$A$1:$BQ$1,0),FALSE),'Control Panel'!AM27)))</f>
        <v/>
      </c>
      <c r="AN28" s="48" t="str">
        <f>IF(AN$4="","",IF($I28="","",IF('Control Panel'!AN27="",VLOOKUP($E28,'Table Output'!$A$2:$BR$99998,MATCH(AN$4,'Table Output'!$A$1:$BQ$1,0),FALSE),'Control Panel'!AN27)))</f>
        <v/>
      </c>
      <c r="AO28" s="48" t="str">
        <f>IF(AO$4="","",IF($I28="","",IF('Control Panel'!AO27="",VLOOKUP($E28,'Table Output'!$A$2:$BR$99998,MATCH(AO$4,'Table Output'!$A$1:$BQ$1,0),FALSE),'Control Panel'!AO27)))</f>
        <v/>
      </c>
      <c r="AP28" s="48" t="str">
        <f>IF(AP$4="","",IF($I28="","",IF('Control Panel'!AP27="",VLOOKUP($E28,'Table Output'!$A$2:$BR$99998,MATCH(AP$4,'Table Output'!$A$1:$BQ$1,0),FALSE),'Control Panel'!AP27)))</f>
        <v/>
      </c>
      <c r="AQ28" s="48" t="str">
        <f>IF(AQ$4="","",IF($I28="","",IF('Control Panel'!AQ27="",VLOOKUP($E28,'Table Output'!$A$2:$BR$99998,MATCH(AQ$4,'Table Output'!$A$1:$BQ$1,0),FALSE),'Control Panel'!AQ27)))</f>
        <v/>
      </c>
      <c r="AR28" s="48" t="str">
        <f>IF(AR$4="","",IF($I28="","",IF('Control Panel'!AR27="",VLOOKUP($E28,'Table Output'!$A$2:$BR$99998,MATCH(AR$4,'Table Output'!$A$1:$BQ$1,0),FALSE),'Control Panel'!AR27)))</f>
        <v/>
      </c>
      <c r="AS28" s="48" t="str">
        <f>IF(AS$4="","",IF($I28="","",IF('Control Panel'!AS27="",VLOOKUP($E28,'Table Output'!$A$2:$BR$99998,MATCH(AS$4,'Table Output'!$A$1:$BQ$1,0),FALSE),'Control Panel'!AS27)))</f>
        <v/>
      </c>
      <c r="AT28" s="48" t="str">
        <f>IF(AT$4="","",IF($I28="","",IF('Control Panel'!AT27="",VLOOKUP($E28,'Table Output'!$A$2:$BR$99998,MATCH(AT$4,'Table Output'!$A$1:$BQ$1,0),FALSE),'Control Panel'!AT27)))</f>
        <v/>
      </c>
      <c r="AU28" s="48" t="str">
        <f>IF(AU$4="","",IF($I28="","",IF('Control Panel'!AU27="",VLOOKUP($E28,'Table Output'!$A$2:$BR$99998,MATCH(AU$4,'Table Output'!$A$1:$BQ$1,0),FALSE),'Control Panel'!AU27)))</f>
        <v/>
      </c>
      <c r="BH28" s="2" t="s">
        <v>156</v>
      </c>
      <c r="BI28" s="2" t="s">
        <v>100</v>
      </c>
    </row>
    <row r="29" spans="2:61" ht="12" thickBot="1" x14ac:dyDescent="0.2">
      <c r="B29" s="2" t="str">
        <f>'Control Panel'!B29</f>
        <v>Reduction_factor_ultimate_MU_drained</v>
      </c>
      <c r="C29" s="2">
        <f>'Control Panel'!C29</f>
        <v>1</v>
      </c>
      <c r="E29" s="2" t="str">
        <f>IF(T29=1,IF('Control Panel'!E28="","",'Control Panel'!E28),"")</f>
        <v/>
      </c>
      <c r="F29" s="2" t="str">
        <f>IF(T29=1,IF('Control Panel'!F28="","",'Control Panel'!F28),"")</f>
        <v/>
      </c>
      <c r="G29" s="2" t="str">
        <f>IF(T29=1,IF('Control Panel'!G28="","",'Control Panel'!G28),"")</f>
        <v/>
      </c>
      <c r="H29" s="2" t="str">
        <f>IF(T29=1,IF('Control Panel'!H28="","",'Control Panel'!H28),"")</f>
        <v/>
      </c>
      <c r="I29" s="42" t="str">
        <f>IF(T29=1,IF('Control Panel'!I28="","",'Control Panel'!I28),"")</f>
        <v/>
      </c>
      <c r="J29" s="36" t="str">
        <f>IF($I29="","",IF(J$4="","",IF('Control Panel'!J28="",VLOOKUP($E29,'Table Output'!$A$2:$BR$1048576,MATCH(J$4,'Table Output'!$A$1:$BQ$1,0),),'Control Panel'!J28)))</f>
        <v/>
      </c>
      <c r="K29" s="36" t="str">
        <f>IF($I29="","",IF(K$4="","",IF('Control Panel'!K28="",VLOOKUP($E29,'Table Output'!$A$2:$BR$1048576,MATCH(K$4,'Table Output'!$A$1:$BQ$1,0),),'Control Panel'!K28)))</f>
        <v/>
      </c>
      <c r="L29" s="36" t="str">
        <f>IF($I29="","",IF(L$4="","",IF('Control Panel'!L28="",VLOOKUP($E29,'Table Output'!$A$2:$BR$1048576,MATCH(L$4,'Table Output'!$A$1:$BQ$1,0),),'Control Panel'!L28)))</f>
        <v/>
      </c>
      <c r="M29" s="36" t="str">
        <f>IF($I29="","",IF(M$4="","",IF('Control Panel'!M28="",VLOOKUP($E29,'Table Output'!$A$2:$BR$1048576,MATCH(M$4,'Table Output'!$A$1:$BQ$1,0),),'Control Panel'!M28)))</f>
        <v/>
      </c>
      <c r="N29" s="36" t="str">
        <f>IF($I29="","",IF(N$4="","",IF('Control Panel'!N28="",VLOOKUP($E29,'Table Output'!$A$2:$BR$1048576,MATCH(N$4,'Table Output'!$A$1:$BQ$1,0),),'Control Panel'!N28)))</f>
        <v/>
      </c>
      <c r="O29" s="36" t="str">
        <f>IF($I29="","",IF(O$4="","",IF('Control Panel'!O28="",VLOOKUP($E29,'Table Output'!$A$2:$BR$1048576,MATCH(O$4,'Table Output'!$A$1:$BQ$1,0),),'Control Panel'!O28)))</f>
        <v/>
      </c>
      <c r="P29" s="36" t="str">
        <f>IF($I29="","",IF(P$4="","",IF('Control Panel'!P28="",VLOOKUP($E29,'Table Output'!$A$2:$BR$1048576,MATCH(P$4,'Table Output'!$A$1:$BQ$1,0),),'Control Panel'!P28)))</f>
        <v/>
      </c>
      <c r="Q29" s="36" t="str">
        <f>IF($I29="","",IF(Q$4="","",IF('Control Panel'!Q28="",VLOOKUP($E29,'Table Output'!$A$2:$BR$1048576,MATCH(Q$4,'Table Output'!$A$1:$BQ$1,0),),'Control Panel'!Q28)))</f>
        <v/>
      </c>
      <c r="R29" s="36" t="str">
        <f>IF($I29="","",IF(R$4="","",IF('Control Panel'!R28="",VLOOKUP($E29,'Table Output'!$A$2:$BR$1048576,MATCH(R$4,'Table Output'!$A$1:$BQ$1,0),),'Control Panel'!R28)))</f>
        <v/>
      </c>
      <c r="S29" s="36" t="str">
        <f>IF($I29="","",IF(S$4="","",IF('Control Panel'!S28="",VLOOKUP($E29,'Table Output'!$A$2:$BR$1048576,MATCH(S$4,'Table Output'!$A$1:$BQ$1,0),),'Control Panel'!S28)))</f>
        <v/>
      </c>
      <c r="T29" s="2" t="str">
        <f>IF('Control Panel'!T28="","",'Control Panel'!T28)</f>
        <v/>
      </c>
      <c r="U29" s="36" t="str">
        <f>IF($I29="","",IF('Control Panel'!U28="",VLOOKUP($E29,'Table Output'!$A$2:$BR$99998,MATCH(U$4,'Table Output'!$A$1:$BQ$1,0),),'Control Panel'!U28))</f>
        <v/>
      </c>
      <c r="V29" s="36" t="str">
        <f>IF($I29="","",IF('Control Panel'!V28="",VLOOKUP($E29,'Table Output'!$A$2:$BR$99998,MATCH(V$4,'Table Output'!$A$1:$BQ$1,0),),'Control Panel'!V28))</f>
        <v/>
      </c>
      <c r="W29" s="36" t="str">
        <f>IF($I29="","",IF('Control Panel'!W28="",VLOOKUP($E29,'Table Output'!$A$2:$BR$99998,MATCH(W$4,'Table Output'!$A$1:$BQ$1,0),),'Control Panel'!W28))</f>
        <v/>
      </c>
      <c r="X29" s="36" t="str">
        <f>IF($I29="","",IF('Control Panel'!X28="",VLOOKUP($E29,'Table Output'!$A$2:$BR$99998,MATCH(X$4,'Table Output'!$A$1:$BQ$1,0),),'Control Panel'!X28))</f>
        <v/>
      </c>
      <c r="Y29" s="36" t="str">
        <f>IF($I29="","",IF('Control Panel'!Y28="",VLOOKUP($E29,'Table Output'!$A$2:$BR$99998,MATCH(Y$4,'Table Output'!$A$1:$BQ$1,0),),'Control Panel'!Y28))</f>
        <v/>
      </c>
      <c r="Z29" s="36" t="str">
        <f>IF($I29="","",IF('Control Panel'!Z28="",VLOOKUP($E29,'Table Output'!$A$2:$BR$99998,MATCH(Z$4,'Table Output'!$A$1:$BQ$1,0),),'Control Panel'!Z28))</f>
        <v/>
      </c>
      <c r="AA29" s="36" t="str">
        <f>IF($I29="","",IF('Control Panel'!AA28="",VLOOKUP($E29,'Table Output'!$A$2:$BR$99998,MATCH(AA$4,'Table Output'!$A$1:$BQ$1,0),),'Control Panel'!AA28))</f>
        <v/>
      </c>
      <c r="AB29" s="36" t="str">
        <f>IF($I29="","",IF('Control Panel'!AB28="",VLOOKUP($E29,'Table Output'!$A$2:$BR$99998,MATCH(AB$4,'Table Output'!$A$1:$BQ$1,0),),'Control Panel'!AB28))</f>
        <v/>
      </c>
      <c r="AC29" s="36" t="str">
        <f>IF($I29="","",IF('Control Panel'!AC28="",VLOOKUP($E29,'Table Output'!$A$2:$BR$99998,MATCH(AC$4,'Table Output'!$A$1:$BQ$1,0),),'Control Panel'!AC28))</f>
        <v/>
      </c>
      <c r="AD29" s="36" t="str">
        <f>IF($I29="","",IF('Control Panel'!AD28="",VLOOKUP($E29,'Table Output'!$A$2:$BR$99998,MATCH(AD$4,'Table Output'!$A$1:$BQ$1,0),),'Control Panel'!AD28))</f>
        <v/>
      </c>
      <c r="AE29" s="36" t="str">
        <f>IF($I29="","",IF('Control Panel'!AE28="",VLOOKUP($E29,'Table Output'!$A$2:$BR$99998,MATCH(AE$4,'Table Output'!$A$1:$BQ$1,0),),'Control Panel'!AE28))</f>
        <v/>
      </c>
      <c r="AF29" s="36" t="str">
        <f>IF($I29="","",IF('Control Panel'!AF28="",VLOOKUP($E29,'Table Output'!$A$2:$BR$99998,MATCH(AF$4,'Table Output'!$A$1:$BQ$1,0),),'Control Panel'!AF28))</f>
        <v/>
      </c>
      <c r="AG29" s="36" t="str">
        <f>IF($I29="","",IF('Control Panel'!AG28="",VLOOKUP($E29,'Table Output'!$A$2:$BR$99998,MATCH(AG$4,'Table Output'!$A$1:$BQ$1,0),),'Control Panel'!AG28))</f>
        <v/>
      </c>
      <c r="AH29" s="36" t="str">
        <f>IF($I29="","",IF('Control Panel'!AH28="",VLOOKUP($E29,'Table Output'!$A$2:$BR$99998,MATCH(AH$4,'Table Output'!$A$1:$BQ$1,0),),'Control Panel'!AH28))</f>
        <v/>
      </c>
      <c r="AI29" s="36" t="str">
        <f>IF($I29="","",IF('Control Panel'!AI28="",VLOOKUP($E29,'Table Output'!$A$2:$BR$99998,MATCH(AI$4,'Table Output'!$A$1:$BQ$1,0),),'Control Panel'!AI28))</f>
        <v/>
      </c>
      <c r="AJ29" s="36" t="str">
        <f>IF($I29="","",IF('Control Panel'!AJ28="",VLOOKUP($E29,'Table Output'!$A$2:$BR$99998,MATCH(AJ$4,'Table Output'!$A$1:$BQ$1,0),),'Control Panel'!AJ28))</f>
        <v/>
      </c>
      <c r="AL29" s="51" t="str">
        <f t="shared" si="1"/>
        <v/>
      </c>
      <c r="AM29" s="48" t="str">
        <f>IF(AM$4="","",IF($I29="","",IF('Control Panel'!AM28="",VLOOKUP($E29,'Table Output'!$A$2:$BR$99998,MATCH(AM$4,'Table Output'!$A$1:$BQ$1,0),FALSE),'Control Panel'!AM28)))</f>
        <v/>
      </c>
      <c r="AN29" s="48" t="str">
        <f>IF(AN$4="","",IF($I29="","",IF('Control Panel'!AN28="",VLOOKUP($E29,'Table Output'!$A$2:$BR$99998,MATCH(AN$4,'Table Output'!$A$1:$BQ$1,0),FALSE),'Control Panel'!AN28)))</f>
        <v/>
      </c>
      <c r="AO29" s="48" t="str">
        <f>IF(AO$4="","",IF($I29="","",IF('Control Panel'!AO28="",VLOOKUP($E29,'Table Output'!$A$2:$BR$99998,MATCH(AO$4,'Table Output'!$A$1:$BQ$1,0),FALSE),'Control Panel'!AO28)))</f>
        <v/>
      </c>
      <c r="AP29" s="48" t="str">
        <f>IF(AP$4="","",IF($I29="","",IF('Control Panel'!AP28="",VLOOKUP($E29,'Table Output'!$A$2:$BR$99998,MATCH(AP$4,'Table Output'!$A$1:$BQ$1,0),FALSE),'Control Panel'!AP28)))</f>
        <v/>
      </c>
      <c r="AQ29" s="48" t="str">
        <f>IF(AQ$4="","",IF($I29="","",IF('Control Panel'!AQ28="",VLOOKUP($E29,'Table Output'!$A$2:$BR$99998,MATCH(AQ$4,'Table Output'!$A$1:$BQ$1,0),FALSE),'Control Panel'!AQ28)))</f>
        <v/>
      </c>
      <c r="AR29" s="48" t="str">
        <f>IF(AR$4="","",IF($I29="","",IF('Control Panel'!AR28="",VLOOKUP($E29,'Table Output'!$A$2:$BR$99998,MATCH(AR$4,'Table Output'!$A$1:$BQ$1,0),FALSE),'Control Panel'!AR28)))</f>
        <v/>
      </c>
      <c r="AS29" s="48" t="str">
        <f>IF(AS$4="","",IF($I29="","",IF('Control Panel'!AS28="",VLOOKUP($E29,'Table Output'!$A$2:$BR$99998,MATCH(AS$4,'Table Output'!$A$1:$BQ$1,0),FALSE),'Control Panel'!AS28)))</f>
        <v/>
      </c>
      <c r="AT29" s="48" t="str">
        <f>IF(AT$4="","",IF($I29="","",IF('Control Panel'!AT28="",VLOOKUP($E29,'Table Output'!$A$2:$BR$99998,MATCH(AT$4,'Table Output'!$A$1:$BQ$1,0),FALSE),'Control Panel'!AT28)))</f>
        <v/>
      </c>
      <c r="AU29" s="48" t="str">
        <f>IF(AU$4="","",IF($I29="","",IF('Control Panel'!AU28="",VLOOKUP($E29,'Table Output'!$A$2:$BR$99998,MATCH(AU$4,'Table Output'!$A$1:$BQ$1,0),FALSE),'Control Panel'!AU28)))</f>
        <v/>
      </c>
      <c r="BH29" s="2" t="s">
        <v>157</v>
      </c>
      <c r="BI29" s="2" t="s">
        <v>100</v>
      </c>
    </row>
    <row r="30" spans="2:61" ht="12" thickBot="1" x14ac:dyDescent="0.2">
      <c r="B30" s="2">
        <f>'Control Panel'!B30</f>
        <v>0</v>
      </c>
      <c r="C30" s="2">
        <f>'Control Panel'!C30</f>
        <v>0</v>
      </c>
      <c r="E30" s="2" t="str">
        <f>IF(T30=1,IF('Control Panel'!E29="","",'Control Panel'!E29),"")</f>
        <v/>
      </c>
      <c r="F30" s="2" t="str">
        <f>IF(T30=1,IF('Control Panel'!F29="","",'Control Panel'!F29),"")</f>
        <v/>
      </c>
      <c r="G30" s="2" t="str">
        <f>IF(T30=1,IF('Control Panel'!G29="","",'Control Panel'!G29),"")</f>
        <v/>
      </c>
      <c r="H30" s="2" t="str">
        <f>IF(T30=1,IF('Control Panel'!H29="","",'Control Panel'!H29),"")</f>
        <v/>
      </c>
      <c r="I30" s="42" t="str">
        <f>IF(T30=1,IF('Control Panel'!I29="","",'Control Panel'!I29),"")</f>
        <v/>
      </c>
      <c r="J30" s="36" t="str">
        <f>IF($I30="","",IF(J$4="","",IF('Control Panel'!J29="",VLOOKUP($E30,'Table Output'!$A$2:$BR$1048576,MATCH(J$4,'Table Output'!$A$1:$BQ$1,0),),'Control Panel'!J29)))</f>
        <v/>
      </c>
      <c r="K30" s="36" t="str">
        <f>IF($I30="","",IF(K$4="","",IF('Control Panel'!K29="",VLOOKUP($E30,'Table Output'!$A$2:$BR$1048576,MATCH(K$4,'Table Output'!$A$1:$BQ$1,0),),'Control Panel'!K29)))</f>
        <v/>
      </c>
      <c r="L30" s="36" t="str">
        <f>IF($I30="","",IF(L$4="","",IF('Control Panel'!L29="",VLOOKUP($E30,'Table Output'!$A$2:$BR$1048576,MATCH(L$4,'Table Output'!$A$1:$BQ$1,0),),'Control Panel'!L29)))</f>
        <v/>
      </c>
      <c r="M30" s="36" t="str">
        <f>IF($I30="","",IF(M$4="","",IF('Control Panel'!M29="",VLOOKUP($E30,'Table Output'!$A$2:$BR$1048576,MATCH(M$4,'Table Output'!$A$1:$BQ$1,0),),'Control Panel'!M29)))</f>
        <v/>
      </c>
      <c r="N30" s="36" t="str">
        <f>IF($I30="","",IF(N$4="","",IF('Control Panel'!N29="",VLOOKUP($E30,'Table Output'!$A$2:$BR$1048576,MATCH(N$4,'Table Output'!$A$1:$BQ$1,0),),'Control Panel'!N29)))</f>
        <v/>
      </c>
      <c r="O30" s="36" t="str">
        <f>IF($I30="","",IF(O$4="","",IF('Control Panel'!O29="",VLOOKUP($E30,'Table Output'!$A$2:$BR$1048576,MATCH(O$4,'Table Output'!$A$1:$BQ$1,0),),'Control Panel'!O29)))</f>
        <v/>
      </c>
      <c r="P30" s="36" t="str">
        <f>IF($I30="","",IF(P$4="","",IF('Control Panel'!P29="",VLOOKUP($E30,'Table Output'!$A$2:$BR$1048576,MATCH(P$4,'Table Output'!$A$1:$BQ$1,0),),'Control Panel'!P29)))</f>
        <v/>
      </c>
      <c r="Q30" s="36" t="str">
        <f>IF($I30="","",IF(Q$4="","",IF('Control Panel'!Q29="",VLOOKUP($E30,'Table Output'!$A$2:$BR$1048576,MATCH(Q$4,'Table Output'!$A$1:$BQ$1,0),),'Control Panel'!Q29)))</f>
        <v/>
      </c>
      <c r="R30" s="36" t="str">
        <f>IF($I30="","",IF(R$4="","",IF('Control Panel'!R29="",VLOOKUP($E30,'Table Output'!$A$2:$BR$1048576,MATCH(R$4,'Table Output'!$A$1:$BQ$1,0),),'Control Panel'!R29)))</f>
        <v/>
      </c>
      <c r="S30" s="36" t="str">
        <f>IF($I30="","",IF(S$4="","",IF('Control Panel'!S29="",VLOOKUP($E30,'Table Output'!$A$2:$BR$1048576,MATCH(S$4,'Table Output'!$A$1:$BQ$1,0),),'Control Panel'!S29)))</f>
        <v/>
      </c>
      <c r="U30" s="36" t="str">
        <f>IF($I30="","",IF('Control Panel'!U29="",VLOOKUP($E30,'Table Output'!$A$2:$BR$99998,MATCH(U$4,'Table Output'!$A$1:$BQ$1,0),),'Control Panel'!U29))</f>
        <v/>
      </c>
      <c r="V30" s="36" t="str">
        <f>IF($I30="","",IF('Control Panel'!V29="",VLOOKUP($E30,'Table Output'!$A$2:$BR$99998,MATCH(V$4,'Table Output'!$A$1:$BQ$1,0),),'Control Panel'!V29))</f>
        <v/>
      </c>
      <c r="W30" s="36" t="str">
        <f>IF($I30="","",IF('Control Panel'!W29="",VLOOKUP($E30,'Table Output'!$A$2:$BR$99998,MATCH(W$4,'Table Output'!$A$1:$BQ$1,0),),'Control Panel'!W29))</f>
        <v/>
      </c>
      <c r="X30" s="36" t="str">
        <f>IF($I30="","",IF('Control Panel'!X29="",VLOOKUP($E30,'Table Output'!$A$2:$BR$99998,MATCH(X$4,'Table Output'!$A$1:$BQ$1,0),),'Control Panel'!X29))</f>
        <v/>
      </c>
      <c r="Y30" s="36" t="str">
        <f>IF($I30="","",IF('Control Panel'!Y29="",VLOOKUP($E30,'Table Output'!$A$2:$BR$99998,MATCH(Y$4,'Table Output'!$A$1:$BQ$1,0),),'Control Panel'!Y29))</f>
        <v/>
      </c>
      <c r="Z30" s="36" t="str">
        <f>IF($I30="","",IF('Control Panel'!Z29="",VLOOKUP($E30,'Table Output'!$A$2:$BR$99998,MATCH(Z$4,'Table Output'!$A$1:$BQ$1,0),),'Control Panel'!Z29))</f>
        <v/>
      </c>
      <c r="AA30" s="36" t="str">
        <f>IF($I30="","",IF('Control Panel'!AA29="",VLOOKUP($E30,'Table Output'!$A$2:$BR$99998,MATCH(AA$4,'Table Output'!$A$1:$BQ$1,0),),'Control Panel'!AA29))</f>
        <v/>
      </c>
      <c r="AB30" s="36" t="str">
        <f>IF($I30="","",IF('Control Panel'!AB29="",VLOOKUP($E30,'Table Output'!$A$2:$BR$99998,MATCH(AB$4,'Table Output'!$A$1:$BQ$1,0),),'Control Panel'!AB29))</f>
        <v/>
      </c>
      <c r="AC30" s="36" t="str">
        <f>IF($I30="","",IF('Control Panel'!AC29="",VLOOKUP($E30,'Table Output'!$A$2:$BR$99998,MATCH(AC$4,'Table Output'!$A$1:$BQ$1,0),),'Control Panel'!AC29))</f>
        <v/>
      </c>
      <c r="AD30" s="36" t="str">
        <f>IF($I30="","",IF('Control Panel'!AD29="",VLOOKUP($E30,'Table Output'!$A$2:$BR$99998,MATCH(AD$4,'Table Output'!$A$1:$BQ$1,0),),'Control Panel'!AD29))</f>
        <v/>
      </c>
      <c r="AE30" s="36" t="str">
        <f>IF($I30="","",IF('Control Panel'!AE29="",VLOOKUP($E30,'Table Output'!$A$2:$BR$99998,MATCH(AE$4,'Table Output'!$A$1:$BQ$1,0),),'Control Panel'!AE29))</f>
        <v/>
      </c>
      <c r="AF30" s="36" t="str">
        <f>IF($I30="","",IF('Control Panel'!AF29="",VLOOKUP($E30,'Table Output'!$A$2:$BR$99998,MATCH(AF$4,'Table Output'!$A$1:$BQ$1,0),),'Control Panel'!AF29))</f>
        <v/>
      </c>
      <c r="AG30" s="36" t="str">
        <f>IF($I30="","",IF('Control Panel'!AG29="",VLOOKUP($E30,'Table Output'!$A$2:$BR$99998,MATCH(AG$4,'Table Output'!$A$1:$BQ$1,0),),'Control Panel'!AG29))</f>
        <v/>
      </c>
      <c r="AH30" s="36" t="str">
        <f>IF($I30="","",IF('Control Panel'!AH29="",VLOOKUP($E30,'Table Output'!$A$2:$BR$99998,MATCH(AH$4,'Table Output'!$A$1:$BQ$1,0),),'Control Panel'!AH29))</f>
        <v/>
      </c>
      <c r="AI30" s="36" t="str">
        <f>IF($I30="","",IF('Control Panel'!AI29="",VLOOKUP($E30,'Table Output'!$A$2:$BR$99998,MATCH(AI$4,'Table Output'!$A$1:$BQ$1,0),),'Control Panel'!AI29))</f>
        <v/>
      </c>
      <c r="AJ30" s="36" t="str">
        <f>IF($I30="","",IF('Control Panel'!AJ29="",VLOOKUP($E30,'Table Output'!$A$2:$BR$99998,MATCH(AJ$4,'Table Output'!$A$1:$BQ$1,0),),'Control Panel'!AJ29))</f>
        <v/>
      </c>
      <c r="AL30" s="51" t="str">
        <f t="shared" si="1"/>
        <v/>
      </c>
      <c r="AM30" s="48" t="str">
        <f>IF(AM$4="","",IF($I30="","",IF('Control Panel'!AM29="",VLOOKUP($E30,'Table Output'!$A$2:$BR$99998,MATCH(AM$4,'Table Output'!$A$1:$BQ$1,0),FALSE),'Control Panel'!AM29)))</f>
        <v/>
      </c>
      <c r="AN30" s="48" t="str">
        <f>IF(AN$4="","",IF($I30="","",IF('Control Panel'!AN29="",VLOOKUP($E30,'Table Output'!$A$2:$BR$99998,MATCH(AN$4,'Table Output'!$A$1:$BQ$1,0),FALSE),'Control Panel'!AN29)))</f>
        <v/>
      </c>
      <c r="AO30" s="48" t="str">
        <f>IF(AO$4="","",IF($I30="","",IF('Control Panel'!AO29="",VLOOKUP($E30,'Table Output'!$A$2:$BR$99998,MATCH(AO$4,'Table Output'!$A$1:$BQ$1,0),FALSE),'Control Panel'!AO29)))</f>
        <v/>
      </c>
      <c r="AP30" s="48" t="str">
        <f>IF(AP$4="","",IF($I30="","",IF('Control Panel'!AP29="",VLOOKUP($E30,'Table Output'!$A$2:$BR$99998,MATCH(AP$4,'Table Output'!$A$1:$BQ$1,0),FALSE),'Control Panel'!AP29)))</f>
        <v/>
      </c>
      <c r="AQ30" s="48" t="str">
        <f>IF(AQ$4="","",IF($I30="","",IF('Control Panel'!AQ29="",VLOOKUP($E30,'Table Output'!$A$2:$BR$99998,MATCH(AQ$4,'Table Output'!$A$1:$BQ$1,0),FALSE),'Control Panel'!AQ29)))</f>
        <v/>
      </c>
      <c r="AR30" s="48" t="str">
        <f>IF(AR$4="","",IF($I30="","",IF('Control Panel'!AR29="",VLOOKUP($E30,'Table Output'!$A$2:$BR$99998,MATCH(AR$4,'Table Output'!$A$1:$BQ$1,0),FALSE),'Control Panel'!AR29)))</f>
        <v/>
      </c>
      <c r="AS30" s="48" t="str">
        <f>IF(AS$4="","",IF($I30="","",IF('Control Panel'!AS29="",VLOOKUP($E30,'Table Output'!$A$2:$BR$99998,MATCH(AS$4,'Table Output'!$A$1:$BQ$1,0),FALSE),'Control Panel'!AS29)))</f>
        <v/>
      </c>
      <c r="AT30" s="48" t="str">
        <f>IF(AT$4="","",IF($I30="","",IF('Control Panel'!AT29="",VLOOKUP($E30,'Table Output'!$A$2:$BR$99998,MATCH(AT$4,'Table Output'!$A$1:$BQ$1,0),FALSE),'Control Panel'!AT29)))</f>
        <v/>
      </c>
      <c r="AU30" s="48" t="str">
        <f>IF(AU$4="","",IF($I30="","",IF('Control Panel'!AU29="",VLOOKUP($E30,'Table Output'!$A$2:$BR$99998,MATCH(AU$4,'Table Output'!$A$1:$BQ$1,0),FALSE),'Control Panel'!AU29)))</f>
        <v/>
      </c>
      <c r="BH30" s="2" t="s">
        <v>158</v>
      </c>
      <c r="BI30" s="2" t="s">
        <v>101</v>
      </c>
    </row>
    <row r="31" spans="2:61" ht="12" thickBot="1" x14ac:dyDescent="0.2">
      <c r="B31" s="2">
        <f>'Control Panel'!B31</f>
        <v>0</v>
      </c>
      <c r="C31" s="2">
        <f>'Control Panel'!C31</f>
        <v>0</v>
      </c>
      <c r="E31" s="2" t="str">
        <f>IF(T31=1,IF('Control Panel'!E30="","",'Control Panel'!E30),"")</f>
        <v/>
      </c>
      <c r="F31" s="2" t="str">
        <f>IF(T31=1,IF('Control Panel'!F30="","",'Control Panel'!F30),"")</f>
        <v/>
      </c>
      <c r="G31" s="2" t="str">
        <f>IF(T31=1,IF('Control Panel'!G30="","",'Control Panel'!G30),"")</f>
        <v/>
      </c>
      <c r="H31" s="2" t="str">
        <f>IF(T31=1,IF('Control Panel'!H30="","",'Control Panel'!H30),"")</f>
        <v/>
      </c>
      <c r="I31" s="42" t="str">
        <f>IF(T31=1,IF('Control Panel'!I30="","",'Control Panel'!I30),"")</f>
        <v/>
      </c>
      <c r="J31" s="36" t="str">
        <f>IF($I31="","",IF(J$4="","",IF('Control Panel'!J30="",VLOOKUP($E31,'Table Output'!$A$2:$BR$1048576,MATCH(J$4,'Table Output'!$A$1:$BQ$1,0),),'Control Panel'!J30)))</f>
        <v/>
      </c>
      <c r="K31" s="36" t="str">
        <f>IF($I31="","",IF(K$4="","",IF('Control Panel'!K30="",VLOOKUP($E31,'Table Output'!$A$2:$BR$1048576,MATCH(K$4,'Table Output'!$A$1:$BQ$1,0),),'Control Panel'!K30)))</f>
        <v/>
      </c>
      <c r="L31" s="36" t="str">
        <f>IF($I31="","",IF(L$4="","",IF('Control Panel'!L30="",VLOOKUP($E31,'Table Output'!$A$2:$BR$1048576,MATCH(L$4,'Table Output'!$A$1:$BQ$1,0),),'Control Panel'!L30)))</f>
        <v/>
      </c>
      <c r="M31" s="36" t="str">
        <f>IF($I31="","",IF(M$4="","",IF('Control Panel'!M30="",VLOOKUP($E31,'Table Output'!$A$2:$BR$1048576,MATCH(M$4,'Table Output'!$A$1:$BQ$1,0),),'Control Panel'!M30)))</f>
        <v/>
      </c>
      <c r="N31" s="36" t="str">
        <f>IF($I31="","",IF(N$4="","",IF('Control Panel'!N30="",VLOOKUP($E31,'Table Output'!$A$2:$BR$1048576,MATCH(N$4,'Table Output'!$A$1:$BQ$1,0),),'Control Panel'!N30)))</f>
        <v/>
      </c>
      <c r="O31" s="36" t="str">
        <f>IF($I31="","",IF(O$4="","",IF('Control Panel'!O30="",VLOOKUP($E31,'Table Output'!$A$2:$BR$1048576,MATCH(O$4,'Table Output'!$A$1:$BQ$1,0),),'Control Panel'!O30)))</f>
        <v/>
      </c>
      <c r="P31" s="36" t="str">
        <f>IF($I31="","",IF(P$4="","",IF('Control Panel'!P30="",VLOOKUP($E31,'Table Output'!$A$2:$BR$1048576,MATCH(P$4,'Table Output'!$A$1:$BQ$1,0),),'Control Panel'!P30)))</f>
        <v/>
      </c>
      <c r="Q31" s="36" t="str">
        <f>IF($I31="","",IF(Q$4="","",IF('Control Panel'!Q30="",VLOOKUP($E31,'Table Output'!$A$2:$BR$1048576,MATCH(Q$4,'Table Output'!$A$1:$BQ$1,0),),'Control Panel'!Q30)))</f>
        <v/>
      </c>
      <c r="R31" s="36" t="str">
        <f>IF($I31="","",IF(R$4="","",IF('Control Panel'!R30="",VLOOKUP($E31,'Table Output'!$A$2:$BR$1048576,MATCH(R$4,'Table Output'!$A$1:$BQ$1,0),),'Control Panel'!R30)))</f>
        <v/>
      </c>
      <c r="S31" s="36" t="str">
        <f>IF($I31="","",IF(S$4="","",IF('Control Panel'!S30="",VLOOKUP($E31,'Table Output'!$A$2:$BR$1048576,MATCH(S$4,'Table Output'!$A$1:$BQ$1,0),),'Control Panel'!S30)))</f>
        <v/>
      </c>
      <c r="U31" s="36" t="str">
        <f>IF($I31="","",IF('Control Panel'!U30="",VLOOKUP($E31,'Table Output'!$A$2:$BR$99998,MATCH(U$4,'Table Output'!$A$1:$BQ$1,0),),'Control Panel'!U30))</f>
        <v/>
      </c>
      <c r="V31" s="36" t="str">
        <f>IF($I31="","",IF('Control Panel'!V30="",VLOOKUP($E31,'Table Output'!$A$2:$BR$99998,MATCH(V$4,'Table Output'!$A$1:$BQ$1,0),),'Control Panel'!V30))</f>
        <v/>
      </c>
      <c r="W31" s="36" t="str">
        <f>IF($I31="","",IF('Control Panel'!W30="",VLOOKUP($E31,'Table Output'!$A$2:$BR$99998,MATCH(W$4,'Table Output'!$A$1:$BQ$1,0),),'Control Panel'!W30))</f>
        <v/>
      </c>
      <c r="X31" s="36" t="str">
        <f>IF($I31="","",IF('Control Panel'!X30="",VLOOKUP($E31,'Table Output'!$A$2:$BR$99998,MATCH(X$4,'Table Output'!$A$1:$BQ$1,0),),'Control Panel'!X30))</f>
        <v/>
      </c>
      <c r="Y31" s="36" t="str">
        <f>IF($I31="","",IF('Control Panel'!Y30="",VLOOKUP($E31,'Table Output'!$A$2:$BR$99998,MATCH(Y$4,'Table Output'!$A$1:$BQ$1,0),),'Control Panel'!Y30))</f>
        <v/>
      </c>
      <c r="Z31" s="36" t="str">
        <f>IF($I31="","",IF('Control Panel'!Z30="",VLOOKUP($E31,'Table Output'!$A$2:$BR$99998,MATCH(Z$4,'Table Output'!$A$1:$BQ$1,0),),'Control Panel'!Z30))</f>
        <v/>
      </c>
      <c r="AA31" s="36" t="str">
        <f>IF($I31="","",IF('Control Panel'!AA30="",VLOOKUP($E31,'Table Output'!$A$2:$BR$99998,MATCH(AA$4,'Table Output'!$A$1:$BQ$1,0),),'Control Panel'!AA30))</f>
        <v/>
      </c>
      <c r="AB31" s="36" t="str">
        <f>IF($I31="","",IF('Control Panel'!AB30="",VLOOKUP($E31,'Table Output'!$A$2:$BR$99998,MATCH(AB$4,'Table Output'!$A$1:$BQ$1,0),),'Control Panel'!AB30))</f>
        <v/>
      </c>
      <c r="AC31" s="36" t="str">
        <f>IF($I31="","",IF('Control Panel'!AC30="",VLOOKUP($E31,'Table Output'!$A$2:$BR$99998,MATCH(AC$4,'Table Output'!$A$1:$BQ$1,0),),'Control Panel'!AC30))</f>
        <v/>
      </c>
      <c r="AD31" s="36" t="str">
        <f>IF($I31="","",IF('Control Panel'!AD30="",VLOOKUP($E31,'Table Output'!$A$2:$BR$99998,MATCH(AD$4,'Table Output'!$A$1:$BQ$1,0),),'Control Panel'!AD30))</f>
        <v/>
      </c>
      <c r="AE31" s="36" t="str">
        <f>IF($I31="","",IF('Control Panel'!AE30="",VLOOKUP($E31,'Table Output'!$A$2:$BR$99998,MATCH(AE$4,'Table Output'!$A$1:$BQ$1,0),),'Control Panel'!AE30))</f>
        <v/>
      </c>
      <c r="AF31" s="36" t="str">
        <f>IF($I31="","",IF('Control Panel'!AF30="",VLOOKUP($E31,'Table Output'!$A$2:$BR$99998,MATCH(AF$4,'Table Output'!$A$1:$BQ$1,0),),'Control Panel'!AF30))</f>
        <v/>
      </c>
      <c r="AG31" s="36" t="str">
        <f>IF($I31="","",IF('Control Panel'!AG30="",VLOOKUP($E31,'Table Output'!$A$2:$BR$99998,MATCH(AG$4,'Table Output'!$A$1:$BQ$1,0),),'Control Panel'!AG30))</f>
        <v/>
      </c>
      <c r="AH31" s="36" t="str">
        <f>IF($I31="","",IF('Control Panel'!AH30="",VLOOKUP($E31,'Table Output'!$A$2:$BR$99998,MATCH(AH$4,'Table Output'!$A$1:$BQ$1,0),),'Control Panel'!AH30))</f>
        <v/>
      </c>
      <c r="AI31" s="36" t="str">
        <f>IF($I31="","",IF('Control Panel'!AI30="",VLOOKUP($E31,'Table Output'!$A$2:$BR$99998,MATCH(AI$4,'Table Output'!$A$1:$BQ$1,0),),'Control Panel'!AI30))</f>
        <v/>
      </c>
      <c r="AJ31" s="36" t="str">
        <f>IF($I31="","",IF('Control Panel'!AJ30="",VLOOKUP($E31,'Table Output'!$A$2:$BR$99998,MATCH(AJ$4,'Table Output'!$A$1:$BQ$1,0),),'Control Panel'!AJ30))</f>
        <v/>
      </c>
      <c r="AL31" s="51" t="str">
        <f t="shared" si="1"/>
        <v/>
      </c>
      <c r="AM31" s="48" t="str">
        <f>IF(AM$4="","",IF($I31="","",IF('Control Panel'!AM30="",VLOOKUP($E31,'Table Output'!$A$2:$BR$99998,MATCH(AM$4,'Table Output'!$A$1:$BQ$1,0),FALSE),'Control Panel'!AM30)))</f>
        <v/>
      </c>
      <c r="AN31" s="48" t="str">
        <f>IF(AN$4="","",IF($I31="","",IF('Control Panel'!AN30="",VLOOKUP($E31,'Table Output'!$A$2:$BR$99998,MATCH(AN$4,'Table Output'!$A$1:$BQ$1,0),FALSE),'Control Panel'!AN30)))</f>
        <v/>
      </c>
      <c r="AO31" s="48" t="str">
        <f>IF(AO$4="","",IF($I31="","",IF('Control Panel'!AO30="",VLOOKUP($E31,'Table Output'!$A$2:$BR$99998,MATCH(AO$4,'Table Output'!$A$1:$BQ$1,0),FALSE),'Control Panel'!AO30)))</f>
        <v/>
      </c>
      <c r="AP31" s="48" t="str">
        <f>IF(AP$4="","",IF($I31="","",IF('Control Panel'!AP30="",VLOOKUP($E31,'Table Output'!$A$2:$BR$99998,MATCH(AP$4,'Table Output'!$A$1:$BQ$1,0),FALSE),'Control Panel'!AP30)))</f>
        <v/>
      </c>
      <c r="AQ31" s="48" t="str">
        <f>IF(AQ$4="","",IF($I31="","",IF('Control Panel'!AQ30="",VLOOKUP($E31,'Table Output'!$A$2:$BR$99998,MATCH(AQ$4,'Table Output'!$A$1:$BQ$1,0),FALSE),'Control Panel'!AQ30)))</f>
        <v/>
      </c>
      <c r="AR31" s="48" t="str">
        <f>IF(AR$4="","",IF($I31="","",IF('Control Panel'!AR30="",VLOOKUP($E31,'Table Output'!$A$2:$BR$99998,MATCH(AR$4,'Table Output'!$A$1:$BQ$1,0),FALSE),'Control Panel'!AR30)))</f>
        <v/>
      </c>
      <c r="AS31" s="48" t="str">
        <f>IF(AS$4="","",IF($I31="","",IF('Control Panel'!AS30="",VLOOKUP($E31,'Table Output'!$A$2:$BR$99998,MATCH(AS$4,'Table Output'!$A$1:$BQ$1,0),FALSE),'Control Panel'!AS30)))</f>
        <v/>
      </c>
      <c r="AT31" s="48" t="str">
        <f>IF(AT$4="","",IF($I31="","",IF('Control Panel'!AT30="",VLOOKUP($E31,'Table Output'!$A$2:$BR$99998,MATCH(AT$4,'Table Output'!$A$1:$BQ$1,0),FALSE),'Control Panel'!AT30)))</f>
        <v/>
      </c>
      <c r="AU31" s="48" t="str">
        <f>IF(AU$4="","",IF($I31="","",IF('Control Panel'!AU30="",VLOOKUP($E31,'Table Output'!$A$2:$BR$99998,MATCH(AU$4,'Table Output'!$A$1:$BQ$1,0),FALSE),'Control Panel'!AU30)))</f>
        <v/>
      </c>
      <c r="BH31" s="2" t="s">
        <v>159</v>
      </c>
      <c r="BI31" s="2" t="s">
        <v>101</v>
      </c>
    </row>
    <row r="32" spans="2:61" ht="12" thickBot="1" x14ac:dyDescent="0.2">
      <c r="B32" s="2">
        <f>'Control Panel'!B39</f>
        <v>0</v>
      </c>
      <c r="C32" s="2">
        <f>'Control Panel'!C39</f>
        <v>0</v>
      </c>
      <c r="E32" s="2" t="str">
        <f>IF(T32=1,IF('Control Panel'!E31="","",'Control Panel'!E31),"")</f>
        <v/>
      </c>
      <c r="F32" s="2" t="str">
        <f>IF(T32=1,IF('Control Panel'!F31="","",'Control Panel'!F31),"")</f>
        <v/>
      </c>
      <c r="G32" s="2" t="str">
        <f>IF(T32=1,IF('Control Panel'!G31="","",'Control Panel'!G31),"")</f>
        <v/>
      </c>
      <c r="H32" s="2" t="str">
        <f>IF(T32=1,IF('Control Panel'!H31="","",'Control Panel'!H31),"")</f>
        <v/>
      </c>
      <c r="I32" s="42" t="str">
        <f>IF(T32=1,IF('Control Panel'!I31="","",'Control Panel'!I31),"")</f>
        <v/>
      </c>
      <c r="J32" s="36" t="str">
        <f>IF($I32="","",IF(J$4="","",IF('Control Panel'!J31="",VLOOKUP($E32,'Table Output'!$A$2:$BR$1048576,MATCH(J$4,'Table Output'!$A$1:$BQ$1,0),),'Control Panel'!J31)))</f>
        <v/>
      </c>
      <c r="K32" s="36" t="str">
        <f>IF($I32="","",IF(K$4="","",IF('Control Panel'!K31="",VLOOKUP($E32,'Table Output'!$A$2:$BR$1048576,MATCH(K$4,'Table Output'!$A$1:$BQ$1,0),),'Control Panel'!K31)))</f>
        <v/>
      </c>
      <c r="L32" s="36" t="str">
        <f>IF($I32="","",IF(L$4="","",IF('Control Panel'!L31="",VLOOKUP($E32,'Table Output'!$A$2:$BR$1048576,MATCH(L$4,'Table Output'!$A$1:$BQ$1,0),),'Control Panel'!L31)))</f>
        <v/>
      </c>
      <c r="M32" s="36" t="str">
        <f>IF($I32="","",IF(M$4="","",IF('Control Panel'!M31="",VLOOKUP($E32,'Table Output'!$A$2:$BR$1048576,MATCH(M$4,'Table Output'!$A$1:$BQ$1,0),),'Control Panel'!M31)))</f>
        <v/>
      </c>
      <c r="N32" s="36" t="str">
        <f>IF($I32="","",IF(N$4="","",IF('Control Panel'!N31="",VLOOKUP($E32,'Table Output'!$A$2:$BR$1048576,MATCH(N$4,'Table Output'!$A$1:$BQ$1,0),),'Control Panel'!N31)))</f>
        <v/>
      </c>
      <c r="O32" s="36" t="str">
        <f>IF($I32="","",IF(O$4="","",IF('Control Panel'!O31="",VLOOKUP($E32,'Table Output'!$A$2:$BR$1048576,MATCH(O$4,'Table Output'!$A$1:$BQ$1,0),),'Control Panel'!O31)))</f>
        <v/>
      </c>
      <c r="P32" s="36" t="str">
        <f>IF($I32="","",IF(P$4="","",IF('Control Panel'!P31="",VLOOKUP($E32,'Table Output'!$A$2:$BR$1048576,MATCH(P$4,'Table Output'!$A$1:$BQ$1,0),),'Control Panel'!P31)))</f>
        <v/>
      </c>
      <c r="Q32" s="36" t="str">
        <f>IF($I32="","",IF(Q$4="","",IF('Control Panel'!Q31="",VLOOKUP($E32,'Table Output'!$A$2:$BR$1048576,MATCH(Q$4,'Table Output'!$A$1:$BQ$1,0),),'Control Panel'!Q31)))</f>
        <v/>
      </c>
      <c r="R32" s="36" t="str">
        <f>IF($I32="","",IF(R$4="","",IF('Control Panel'!R31="",VLOOKUP($E32,'Table Output'!$A$2:$BR$1048576,MATCH(R$4,'Table Output'!$A$1:$BQ$1,0),),'Control Panel'!R31)))</f>
        <v/>
      </c>
      <c r="S32" s="36" t="str">
        <f>IF($I32="","",IF(S$4="","",IF('Control Panel'!S31="",VLOOKUP($E32,'Table Output'!$A$2:$BR$1048576,MATCH(S$4,'Table Output'!$A$1:$BQ$1,0),),'Control Panel'!S31)))</f>
        <v/>
      </c>
      <c r="U32" s="36" t="str">
        <f>IF($I32="","",IF('Control Panel'!U31="",VLOOKUP($E32,'Table Output'!$A$2:$BR$99998,MATCH(U$4,'Table Output'!$A$1:$BQ$1,0),),'Control Panel'!U31))</f>
        <v/>
      </c>
      <c r="V32" s="36" t="str">
        <f>IF($I32="","",IF('Control Panel'!V31="",VLOOKUP($E32,'Table Output'!$A$2:$BR$99998,MATCH(V$4,'Table Output'!$A$1:$BQ$1,0),),'Control Panel'!V31))</f>
        <v/>
      </c>
      <c r="W32" s="36" t="str">
        <f>IF($I32="","",IF('Control Panel'!W31="",VLOOKUP($E32,'Table Output'!$A$2:$BR$99998,MATCH(W$4,'Table Output'!$A$1:$BQ$1,0),),'Control Panel'!W31))</f>
        <v/>
      </c>
      <c r="X32" s="36" t="str">
        <f>IF($I32="","",IF('Control Panel'!X31="",VLOOKUP($E32,'Table Output'!$A$2:$BR$99998,MATCH(X$4,'Table Output'!$A$1:$BQ$1,0),),'Control Panel'!X31))</f>
        <v/>
      </c>
      <c r="Y32" s="36" t="str">
        <f>IF($I32="","",IF('Control Panel'!Y31="",VLOOKUP($E32,'Table Output'!$A$2:$BR$99998,MATCH(Y$4,'Table Output'!$A$1:$BQ$1,0),),'Control Panel'!Y31))</f>
        <v/>
      </c>
      <c r="Z32" s="36" t="str">
        <f>IF($I32="","",IF('Control Panel'!Z31="",VLOOKUP($E32,'Table Output'!$A$2:$BR$99998,MATCH(Z$4,'Table Output'!$A$1:$BQ$1,0),),'Control Panel'!Z31))</f>
        <v/>
      </c>
      <c r="AA32" s="36" t="str">
        <f>IF($I32="","",IF('Control Panel'!AA31="",VLOOKUP($E32,'Table Output'!$A$2:$BR$99998,MATCH(AA$4,'Table Output'!$A$1:$BQ$1,0),),'Control Panel'!AA31))</f>
        <v/>
      </c>
      <c r="AB32" s="36" t="str">
        <f>IF($I32="","",IF('Control Panel'!AB31="",VLOOKUP($E32,'Table Output'!$A$2:$BR$99998,MATCH(AB$4,'Table Output'!$A$1:$BQ$1,0),),'Control Panel'!AB31))</f>
        <v/>
      </c>
      <c r="AC32" s="36" t="str">
        <f>IF($I32="","",IF('Control Panel'!AC31="",VLOOKUP($E32,'Table Output'!$A$2:$BR$99998,MATCH(AC$4,'Table Output'!$A$1:$BQ$1,0),),'Control Panel'!AC31))</f>
        <v/>
      </c>
      <c r="AD32" s="36" t="str">
        <f>IF($I32="","",IF('Control Panel'!AD31="",VLOOKUP($E32,'Table Output'!$A$2:$BR$99998,MATCH(AD$4,'Table Output'!$A$1:$BQ$1,0),),'Control Panel'!AD31))</f>
        <v/>
      </c>
      <c r="AE32" s="36" t="str">
        <f>IF($I32="","",IF('Control Panel'!AE31="",VLOOKUP($E32,'Table Output'!$A$2:$BR$99998,MATCH(AE$4,'Table Output'!$A$1:$BQ$1,0),),'Control Panel'!AE31))</f>
        <v/>
      </c>
      <c r="AF32" s="36" t="str">
        <f>IF($I32="","",IF('Control Panel'!AF31="",VLOOKUP($E32,'Table Output'!$A$2:$BR$99998,MATCH(AF$4,'Table Output'!$A$1:$BQ$1,0),),'Control Panel'!AF31))</f>
        <v/>
      </c>
      <c r="AG32" s="36" t="str">
        <f>IF($I32="","",IF('Control Panel'!AG31="",VLOOKUP($E32,'Table Output'!$A$2:$BR$99998,MATCH(AG$4,'Table Output'!$A$1:$BQ$1,0),),'Control Panel'!AG31))</f>
        <v/>
      </c>
      <c r="AH32" s="36" t="str">
        <f>IF($I32="","",IF('Control Panel'!AH31="",VLOOKUP($E32,'Table Output'!$A$2:$BR$99998,MATCH(AH$4,'Table Output'!$A$1:$BQ$1,0),),'Control Panel'!AH31))</f>
        <v/>
      </c>
      <c r="AI32" s="36" t="str">
        <f>IF($I32="","",IF('Control Panel'!AI31="",VLOOKUP($E32,'Table Output'!$A$2:$BR$99998,MATCH(AI$4,'Table Output'!$A$1:$BQ$1,0),),'Control Panel'!AI31))</f>
        <v/>
      </c>
      <c r="AJ32" s="36" t="str">
        <f>IF($I32="","",IF('Control Panel'!AJ31="",VLOOKUP($E32,'Table Output'!$A$2:$BR$99998,MATCH(AJ$4,'Table Output'!$A$1:$BQ$1,0),),'Control Panel'!AJ31))</f>
        <v/>
      </c>
      <c r="AL32" s="51" t="str">
        <f t="shared" si="1"/>
        <v/>
      </c>
      <c r="AM32" s="48" t="str">
        <f>IF(AM$4="","",IF($I32="","",IF('Control Panel'!AM31="",VLOOKUP($E32,'Table Output'!$A$2:$BR$99998,MATCH(AM$4,'Table Output'!$A$1:$BQ$1,0),FALSE),'Control Panel'!AM31)))</f>
        <v/>
      </c>
      <c r="AN32" s="48" t="str">
        <f>IF(AN$4="","",IF($I32="","",IF('Control Panel'!AN31="",VLOOKUP($E32,'Table Output'!$A$2:$BR$99998,MATCH(AN$4,'Table Output'!$A$1:$BQ$1,0),FALSE),'Control Panel'!AN31)))</f>
        <v/>
      </c>
      <c r="AO32" s="48" t="str">
        <f>IF(AO$4="","",IF($I32="","",IF('Control Panel'!AO31="",VLOOKUP($E32,'Table Output'!$A$2:$BR$99998,MATCH(AO$4,'Table Output'!$A$1:$BQ$1,0),FALSE),'Control Panel'!AO31)))</f>
        <v/>
      </c>
      <c r="AP32" s="48" t="str">
        <f>IF(AP$4="","",IF($I32="","",IF('Control Panel'!AP31="",VLOOKUP($E32,'Table Output'!$A$2:$BR$99998,MATCH(AP$4,'Table Output'!$A$1:$BQ$1,0),FALSE),'Control Panel'!AP31)))</f>
        <v/>
      </c>
      <c r="AQ32" s="48" t="str">
        <f>IF(AQ$4="","",IF($I32="","",IF('Control Panel'!AQ31="",VLOOKUP($E32,'Table Output'!$A$2:$BR$99998,MATCH(AQ$4,'Table Output'!$A$1:$BQ$1,0),FALSE),'Control Panel'!AQ31)))</f>
        <v/>
      </c>
      <c r="AR32" s="48" t="str">
        <f>IF(AR$4="","",IF($I32="","",IF('Control Panel'!AR31="",VLOOKUP($E32,'Table Output'!$A$2:$BR$99998,MATCH(AR$4,'Table Output'!$A$1:$BQ$1,0),FALSE),'Control Panel'!AR31)))</f>
        <v/>
      </c>
      <c r="AS32" s="48" t="str">
        <f>IF(AS$4="","",IF($I32="","",IF('Control Panel'!AS31="",VLOOKUP($E32,'Table Output'!$A$2:$BR$99998,MATCH(AS$4,'Table Output'!$A$1:$BQ$1,0),FALSE),'Control Panel'!AS31)))</f>
        <v/>
      </c>
      <c r="AT32" s="48" t="str">
        <f>IF(AT$4="","",IF($I32="","",IF('Control Panel'!AT31="",VLOOKUP($E32,'Table Output'!$A$2:$BR$99998,MATCH(AT$4,'Table Output'!$A$1:$BQ$1,0),FALSE),'Control Panel'!AT31)))</f>
        <v/>
      </c>
      <c r="AU32" s="48" t="str">
        <f>IF(AU$4="","",IF($I32="","",IF('Control Panel'!AU31="",VLOOKUP($E32,'Table Output'!$A$2:$BR$99998,MATCH(AU$4,'Table Output'!$A$1:$BQ$1,0),FALSE),'Control Panel'!AU31)))</f>
        <v/>
      </c>
      <c r="BH32" s="2" t="s">
        <v>160</v>
      </c>
      <c r="BI32" s="2" t="s">
        <v>101</v>
      </c>
    </row>
    <row r="33" spans="2:61" ht="12" thickBot="1" x14ac:dyDescent="0.2">
      <c r="E33" s="2" t="str">
        <f>IF(T33=1,IF('Control Panel'!E32="","",'Control Panel'!E32),"")</f>
        <v/>
      </c>
      <c r="F33" s="2" t="str">
        <f>IF(T33=1,IF('Control Panel'!F32="","",'Control Panel'!F32),"")</f>
        <v/>
      </c>
      <c r="G33" s="2" t="str">
        <f>IF(T33=1,IF('Control Panel'!G32="","",'Control Panel'!G32),"")</f>
        <v/>
      </c>
      <c r="H33" s="2" t="str">
        <f>IF(T33=1,IF('Control Panel'!H32="","",'Control Panel'!H32),"")</f>
        <v/>
      </c>
      <c r="I33" s="42" t="str">
        <f>IF(T33=1,IF('Control Panel'!I32="","",'Control Panel'!I32),"")</f>
        <v/>
      </c>
      <c r="J33" s="36" t="str">
        <f>IF($I33="","",IF(J$4="","",IF('Control Panel'!J32="",VLOOKUP($E33,'Table Output'!$A$2:$BR$1048576,MATCH(J$4,'Table Output'!$A$1:$BQ$1,0),),'Control Panel'!J32)))</f>
        <v/>
      </c>
      <c r="K33" s="36" t="str">
        <f>IF($I33="","",IF(K$4="","",IF('Control Panel'!K32="",VLOOKUP($E33,'Table Output'!$A$2:$BR$1048576,MATCH(K$4,'Table Output'!$A$1:$BQ$1,0),),'Control Panel'!K32)))</f>
        <v/>
      </c>
      <c r="L33" s="36" t="str">
        <f>IF($I33="","",IF(L$4="","",IF('Control Panel'!L32="",VLOOKUP($E33,'Table Output'!$A$2:$BR$1048576,MATCH(L$4,'Table Output'!$A$1:$BQ$1,0),),'Control Panel'!L32)))</f>
        <v/>
      </c>
      <c r="M33" s="36" t="str">
        <f>IF($I33="","",IF(M$4="","",IF('Control Panel'!M32="",VLOOKUP($E33,'Table Output'!$A$2:$BR$1048576,MATCH(M$4,'Table Output'!$A$1:$BQ$1,0),),'Control Panel'!M32)))</f>
        <v/>
      </c>
      <c r="N33" s="36" t="str">
        <f>IF($I33="","",IF(N$4="","",IF('Control Panel'!N32="",VLOOKUP($E33,'Table Output'!$A$2:$BR$1048576,MATCH(N$4,'Table Output'!$A$1:$BQ$1,0),),'Control Panel'!N32)))</f>
        <v/>
      </c>
      <c r="O33" s="36" t="str">
        <f>IF($I33="","",IF(O$4="","",IF('Control Panel'!O32="",VLOOKUP($E33,'Table Output'!$A$2:$BR$1048576,MATCH(O$4,'Table Output'!$A$1:$BQ$1,0),),'Control Panel'!O32)))</f>
        <v/>
      </c>
      <c r="P33" s="36" t="str">
        <f>IF($I33="","",IF(P$4="","",IF('Control Panel'!P32="",VLOOKUP($E33,'Table Output'!$A$2:$BR$1048576,MATCH(P$4,'Table Output'!$A$1:$BQ$1,0),),'Control Panel'!P32)))</f>
        <v/>
      </c>
      <c r="Q33" s="36" t="str">
        <f>IF($I33="","",IF(Q$4="","",IF('Control Panel'!Q32="",VLOOKUP($E33,'Table Output'!$A$2:$BR$1048576,MATCH(Q$4,'Table Output'!$A$1:$BQ$1,0),),'Control Panel'!Q32)))</f>
        <v/>
      </c>
      <c r="R33" s="36" t="str">
        <f>IF($I33="","",IF(R$4="","",IF('Control Panel'!R32="",VLOOKUP($E33,'Table Output'!$A$2:$BR$1048576,MATCH(R$4,'Table Output'!$A$1:$BQ$1,0),),'Control Panel'!R32)))</f>
        <v/>
      </c>
      <c r="S33" s="36" t="str">
        <f>IF($I33="","",IF(S$4="","",IF('Control Panel'!S32="",VLOOKUP($E33,'Table Output'!$A$2:$BR$1048576,MATCH(S$4,'Table Output'!$A$1:$BQ$1,0),),'Control Panel'!S32)))</f>
        <v/>
      </c>
      <c r="T33" s="2" t="str">
        <f>IF('Control Panel'!T32="","",'Control Panel'!T32)</f>
        <v/>
      </c>
      <c r="U33" s="36" t="str">
        <f>IF($I33="","",IF('Control Panel'!U32="",VLOOKUP($E33,'Table Output'!$A$2:$BR$99998,MATCH(U$4,'Table Output'!$A$1:$BQ$1,0),),'Control Panel'!U32))</f>
        <v/>
      </c>
      <c r="V33" s="36" t="str">
        <f>IF($I33="","",IF('Control Panel'!V32="",VLOOKUP($E33,'Table Output'!$A$2:$BR$99998,MATCH(V$4,'Table Output'!$A$1:$BQ$1,0),),'Control Panel'!V32))</f>
        <v/>
      </c>
      <c r="W33" s="36" t="str">
        <f>IF($I33="","",IF('Control Panel'!W32="",VLOOKUP($E33,'Table Output'!$A$2:$BR$99998,MATCH(W$4,'Table Output'!$A$1:$BQ$1,0),),'Control Panel'!W32))</f>
        <v/>
      </c>
      <c r="X33" s="36" t="str">
        <f>IF($I33="","",IF('Control Panel'!X32="",VLOOKUP($E33,'Table Output'!$A$2:$BR$99998,MATCH(X$4,'Table Output'!$A$1:$BQ$1,0),),'Control Panel'!X32))</f>
        <v/>
      </c>
      <c r="Y33" s="36" t="str">
        <f>IF($I33="","",IF('Control Panel'!Y32="",VLOOKUP($E33,'Table Output'!$A$2:$BR$99998,MATCH(Y$4,'Table Output'!$A$1:$BQ$1,0),),'Control Panel'!Y32))</f>
        <v/>
      </c>
      <c r="Z33" s="36" t="str">
        <f>IF($I33="","",IF('Control Panel'!Z32="",VLOOKUP($E33,'Table Output'!$A$2:$BR$99998,MATCH(Z$4,'Table Output'!$A$1:$BQ$1,0),),'Control Panel'!Z32))</f>
        <v/>
      </c>
      <c r="AA33" s="36" t="str">
        <f>IF($I33="","",IF('Control Panel'!AA32="",VLOOKUP($E33,'Table Output'!$A$2:$BR$99998,MATCH(AA$4,'Table Output'!$A$1:$BQ$1,0),),'Control Panel'!AA32))</f>
        <v/>
      </c>
      <c r="AB33" s="36" t="str">
        <f>IF($I33="","",IF('Control Panel'!AB32="",VLOOKUP($E33,'Table Output'!$A$2:$BR$99998,MATCH(AB$4,'Table Output'!$A$1:$BQ$1,0),),'Control Panel'!AB32))</f>
        <v/>
      </c>
      <c r="AC33" s="36" t="str">
        <f>IF($I33="","",IF('Control Panel'!AC32="",VLOOKUP($E33,'Table Output'!$A$2:$BR$99998,MATCH(AC$4,'Table Output'!$A$1:$BQ$1,0),),'Control Panel'!AC32))</f>
        <v/>
      </c>
      <c r="AD33" s="36" t="str">
        <f>IF($I33="","",IF('Control Panel'!AD32="",VLOOKUP($E33,'Table Output'!$A$2:$BR$99998,MATCH(AD$4,'Table Output'!$A$1:$BQ$1,0),),'Control Panel'!AD32))</f>
        <v/>
      </c>
      <c r="AE33" s="36" t="str">
        <f>IF($I33="","",IF('Control Panel'!AE32="",VLOOKUP($E33,'Table Output'!$A$2:$BR$99998,MATCH(AE$4,'Table Output'!$A$1:$BQ$1,0),),'Control Panel'!AE32))</f>
        <v/>
      </c>
      <c r="AF33" s="36" t="str">
        <f>IF($I33="","",IF('Control Panel'!AF32="",VLOOKUP($E33,'Table Output'!$A$2:$BR$99998,MATCH(AF$4,'Table Output'!$A$1:$BQ$1,0),),'Control Panel'!AF32))</f>
        <v/>
      </c>
      <c r="AG33" s="36" t="str">
        <f>IF($I33="","",IF('Control Panel'!AG32="",VLOOKUP($E33,'Table Output'!$A$2:$BR$99998,MATCH(AG$4,'Table Output'!$A$1:$BQ$1,0),),'Control Panel'!AG32))</f>
        <v/>
      </c>
      <c r="AH33" s="36" t="str">
        <f>IF($I33="","",IF('Control Panel'!AH32="",VLOOKUP($E33,'Table Output'!$A$2:$BR$99998,MATCH(AH$4,'Table Output'!$A$1:$BQ$1,0),),'Control Panel'!AH32))</f>
        <v/>
      </c>
      <c r="AI33" s="36" t="str">
        <f>IF($I33="","",IF('Control Panel'!AI32="",VLOOKUP($E33,'Table Output'!$A$2:$BR$99998,MATCH(AI$4,'Table Output'!$A$1:$BQ$1,0),),'Control Panel'!AI32))</f>
        <v/>
      </c>
      <c r="AJ33" s="36" t="str">
        <f>IF($I33="","",IF('Control Panel'!AJ32="",VLOOKUP($E33,'Table Output'!$A$2:$BR$99998,MATCH(AJ$4,'Table Output'!$A$1:$BQ$1,0),),'Control Panel'!AJ32))</f>
        <v/>
      </c>
      <c r="AL33" s="51" t="str">
        <f t="shared" si="1"/>
        <v/>
      </c>
      <c r="AM33" s="48" t="str">
        <f>IF(AM$4="","",IF($I33="","",IF('Control Panel'!AM32="",VLOOKUP($E33,'Table Output'!$A$2:$BR$99998,MATCH(AM$4,'Table Output'!$A$1:$BQ$1,0),FALSE),'Control Panel'!AM32)))</f>
        <v/>
      </c>
      <c r="AN33" s="48" t="str">
        <f>IF(AN$4="","",IF($I33="","",IF('Control Panel'!AN32="",VLOOKUP($E33,'Table Output'!$A$2:$BR$99998,MATCH(AN$4,'Table Output'!$A$1:$BQ$1,0),FALSE),'Control Panel'!AN32)))</f>
        <v/>
      </c>
      <c r="AO33" s="48" t="str">
        <f>IF(AO$4="","",IF($I33="","",IF('Control Panel'!AO32="",VLOOKUP($E33,'Table Output'!$A$2:$BR$99998,MATCH(AO$4,'Table Output'!$A$1:$BQ$1,0),FALSE),'Control Panel'!AO32)))</f>
        <v/>
      </c>
      <c r="AP33" s="48" t="str">
        <f>IF(AP$4="","",IF($I33="","",IF('Control Panel'!AP32="",VLOOKUP($E33,'Table Output'!$A$2:$BR$99998,MATCH(AP$4,'Table Output'!$A$1:$BQ$1,0),FALSE),'Control Panel'!AP32)))</f>
        <v/>
      </c>
      <c r="AQ33" s="48" t="str">
        <f>IF(AQ$4="","",IF($I33="","",IF('Control Panel'!AQ32="",VLOOKUP($E33,'Table Output'!$A$2:$BR$99998,MATCH(AQ$4,'Table Output'!$A$1:$BQ$1,0),FALSE),'Control Panel'!AQ32)))</f>
        <v/>
      </c>
      <c r="AR33" s="48" t="str">
        <f>IF(AR$4="","",IF($I33="","",IF('Control Panel'!AR32="",VLOOKUP($E33,'Table Output'!$A$2:$BR$99998,MATCH(AR$4,'Table Output'!$A$1:$BQ$1,0),FALSE),'Control Panel'!AR32)))</f>
        <v/>
      </c>
      <c r="AS33" s="48" t="str">
        <f>IF(AS$4="","",IF($I33="","",IF('Control Panel'!AS32="",VLOOKUP($E33,'Table Output'!$A$2:$BR$99998,MATCH(AS$4,'Table Output'!$A$1:$BQ$1,0),FALSE),'Control Panel'!AS32)))</f>
        <v/>
      </c>
      <c r="AT33" s="48" t="str">
        <f>IF(AT$4="","",IF($I33="","",IF('Control Panel'!AT32="",VLOOKUP($E33,'Table Output'!$A$2:$BR$99998,MATCH(AT$4,'Table Output'!$A$1:$BQ$1,0),FALSE),'Control Panel'!AT32)))</f>
        <v/>
      </c>
      <c r="AU33" s="48" t="str">
        <f>IF(AU$4="","",IF($I33="","",IF('Control Panel'!AU32="",VLOOKUP($E33,'Table Output'!$A$2:$BR$99998,MATCH(AU$4,'Table Output'!$A$1:$BQ$1,0),FALSE),'Control Panel'!AU32)))</f>
        <v/>
      </c>
      <c r="BH33" s="2" t="s">
        <v>161</v>
      </c>
      <c r="BI33" s="2" t="s">
        <v>102</v>
      </c>
    </row>
    <row r="34" spans="2:61" x14ac:dyDescent="0.15">
      <c r="E34" s="2" t="str">
        <f>IF(T34=1,IF('Control Panel'!E33="","",'Control Panel'!E33),"")</f>
        <v/>
      </c>
      <c r="F34" s="2" t="str">
        <f>IF(T34=1,IF('Control Panel'!F33="","",'Control Panel'!F33),"")</f>
        <v/>
      </c>
      <c r="G34" s="2" t="str">
        <f>IF(T34=1,IF('Control Panel'!G33="","",'Control Panel'!G33),"")</f>
        <v/>
      </c>
      <c r="H34" s="2" t="str">
        <f>IF(T34=1,IF('Control Panel'!H33="","",'Control Panel'!H33),"")</f>
        <v/>
      </c>
      <c r="I34" s="42" t="str">
        <f>IF(T34=1,IF('Control Panel'!I33="","",'Control Panel'!I33),"")</f>
        <v/>
      </c>
      <c r="J34" s="36" t="str">
        <f>IF($I34="","",IF(J$4="","",IF('Control Panel'!J33="",VLOOKUP($E34,'Table Output'!$A$2:$BR$1048576,MATCH(J$4,'Table Output'!$A$1:$BQ$1,0),),'Control Panel'!J33)))</f>
        <v/>
      </c>
      <c r="K34" s="36" t="str">
        <f>IF($I34="","",IF(K$4="","",IF('Control Panel'!K33="",VLOOKUP($E34,'Table Output'!$A$2:$BR$1048576,MATCH(K$4,'Table Output'!$A$1:$BQ$1,0),),'Control Panel'!K33)))</f>
        <v/>
      </c>
      <c r="L34" s="36" t="str">
        <f>IF($I34="","",IF(L$4="","",IF('Control Panel'!L33="",VLOOKUP($E34,'Table Output'!$A$2:$BR$1048576,MATCH(L$4,'Table Output'!$A$1:$BQ$1,0),),'Control Panel'!L33)))</f>
        <v/>
      </c>
      <c r="M34" s="36" t="str">
        <f>IF($I34="","",IF(M$4="","",IF('Control Panel'!M33="",VLOOKUP($E34,'Table Output'!$A$2:$BR$1048576,MATCH(M$4,'Table Output'!$A$1:$BQ$1,0),),'Control Panel'!M33)))</f>
        <v/>
      </c>
      <c r="N34" s="36" t="str">
        <f>IF($I34="","",IF(N$4="","",IF('Control Panel'!N33="",VLOOKUP($E34,'Table Output'!$A$2:$BR$1048576,MATCH(N$4,'Table Output'!$A$1:$BQ$1,0),),'Control Panel'!N33)))</f>
        <v/>
      </c>
      <c r="O34" s="36" t="str">
        <f>IF($I34="","",IF(O$4="","",IF('Control Panel'!O33="",VLOOKUP($E34,'Table Output'!$A$2:$BR$1048576,MATCH(O$4,'Table Output'!$A$1:$BQ$1,0),),'Control Panel'!O33)))</f>
        <v/>
      </c>
      <c r="P34" s="36" t="str">
        <f>IF($I34="","",IF(P$4="","",IF('Control Panel'!P33="",VLOOKUP($E34,'Table Output'!$A$2:$BR$1048576,MATCH(P$4,'Table Output'!$A$1:$BQ$1,0),),'Control Panel'!P33)))</f>
        <v/>
      </c>
      <c r="Q34" s="36" t="str">
        <f>IF($I34="","",IF(Q$4="","",IF('Control Panel'!Q33="",VLOOKUP($E34,'Table Output'!$A$2:$BR$1048576,MATCH(Q$4,'Table Output'!$A$1:$BQ$1,0),),'Control Panel'!Q33)))</f>
        <v/>
      </c>
      <c r="R34" s="36" t="str">
        <f>IF($I34="","",IF(R$4="","",IF('Control Panel'!R33="",VLOOKUP($E34,'Table Output'!$A$2:$BR$1048576,MATCH(R$4,'Table Output'!$A$1:$BQ$1,0),),'Control Panel'!R33)))</f>
        <v/>
      </c>
      <c r="S34" s="36" t="str">
        <f>IF($I34="","",IF(S$4="","",IF('Control Panel'!S33="",VLOOKUP($E34,'Table Output'!$A$2:$BR$1048576,MATCH(S$4,'Table Output'!$A$1:$BQ$1,0),),'Control Panel'!S33)))</f>
        <v/>
      </c>
      <c r="T34" s="2" t="str">
        <f>IF('Control Panel'!T33="","",'Control Panel'!T33)</f>
        <v/>
      </c>
      <c r="U34" s="36" t="str">
        <f>IF($I34="","",IF('Control Panel'!U33="",VLOOKUP($E34,'Table Output'!$A$2:$BR$99998,MATCH(U$4,'Table Output'!$A$1:$BQ$1,0),),'Control Panel'!U33))</f>
        <v/>
      </c>
      <c r="V34" s="36" t="str">
        <f>IF($I34="","",IF('Control Panel'!V33="",VLOOKUP($E34,'Table Output'!$A$2:$BR$99998,MATCH(V$4,'Table Output'!$A$1:$BQ$1,0),),'Control Panel'!V33))</f>
        <v/>
      </c>
      <c r="W34" s="36" t="str">
        <f>IF($I34="","",IF('Control Panel'!W33="",VLOOKUP($E34,'Table Output'!$A$2:$BR$99998,MATCH(W$4,'Table Output'!$A$1:$BQ$1,0),),'Control Panel'!W33))</f>
        <v/>
      </c>
      <c r="X34" s="36" t="str">
        <f>IF($I34="","",IF('Control Panel'!X33="",VLOOKUP($E34,'Table Output'!$A$2:$BR$99998,MATCH(X$4,'Table Output'!$A$1:$BQ$1,0),),'Control Panel'!X33))</f>
        <v/>
      </c>
      <c r="Y34" s="36" t="str">
        <f>IF($I34="","",IF('Control Panel'!Y33="",VLOOKUP($E34,'Table Output'!$A$2:$BR$99998,MATCH(Y$4,'Table Output'!$A$1:$BQ$1,0),),'Control Panel'!Y33))</f>
        <v/>
      </c>
      <c r="Z34" s="36" t="str">
        <f>IF($I34="","",IF('Control Panel'!Z33="",VLOOKUP($E34,'Table Output'!$A$2:$BR$99998,MATCH(Z$4,'Table Output'!$A$1:$BQ$1,0),),'Control Panel'!Z33))</f>
        <v/>
      </c>
      <c r="AA34" s="36" t="str">
        <f>IF($I34="","",IF('Control Panel'!AA33="",VLOOKUP($E34,'Table Output'!$A$2:$BR$99998,MATCH(AA$4,'Table Output'!$A$1:$BQ$1,0),),'Control Panel'!AA33))</f>
        <v/>
      </c>
      <c r="AB34" s="36" t="str">
        <f>IF($I34="","",IF('Control Panel'!AB33="",VLOOKUP($E34,'Table Output'!$A$2:$BR$99998,MATCH(AB$4,'Table Output'!$A$1:$BQ$1,0),),'Control Panel'!AB33))</f>
        <v/>
      </c>
      <c r="AC34" s="36" t="str">
        <f>IF($I34="","",IF('Control Panel'!AC33="",VLOOKUP($E34,'Table Output'!$A$2:$BR$99998,MATCH(AC$4,'Table Output'!$A$1:$BQ$1,0),),'Control Panel'!AC33))</f>
        <v/>
      </c>
      <c r="AD34" s="36" t="str">
        <f>IF($I34="","",IF('Control Panel'!AD33="",VLOOKUP($E34,'Table Output'!$A$2:$BR$99998,MATCH(AD$4,'Table Output'!$A$1:$BQ$1,0),),'Control Panel'!AD33))</f>
        <v/>
      </c>
      <c r="AE34" s="36" t="str">
        <f>IF($I34="","",IF('Control Panel'!AE33="",VLOOKUP($E34,'Table Output'!$A$2:$BR$99998,MATCH(AE$4,'Table Output'!$A$1:$BQ$1,0),),'Control Panel'!AE33))</f>
        <v/>
      </c>
      <c r="AF34" s="36" t="str">
        <f>IF($I34="","",IF('Control Panel'!AF33="",VLOOKUP($E34,'Table Output'!$A$2:$BR$99998,MATCH(AF$4,'Table Output'!$A$1:$BQ$1,0),),'Control Panel'!AF33))</f>
        <v/>
      </c>
      <c r="AG34" s="36" t="str">
        <f>IF($I34="","",IF('Control Panel'!AG33="",VLOOKUP($E34,'Table Output'!$A$2:$BR$99998,MATCH(AG$4,'Table Output'!$A$1:$BQ$1,0),),'Control Panel'!AG33))</f>
        <v/>
      </c>
      <c r="AH34" s="36" t="str">
        <f>IF($I34="","",IF('Control Panel'!AH33="",VLOOKUP($E34,'Table Output'!$A$2:$BR$99998,MATCH(AH$4,'Table Output'!$A$1:$BQ$1,0),),'Control Panel'!AH33))</f>
        <v/>
      </c>
      <c r="AI34" s="36" t="str">
        <f>IF($I34="","",IF('Control Panel'!AI33="",VLOOKUP($E34,'Table Output'!$A$2:$BR$99998,MATCH(AI$4,'Table Output'!$A$1:$BQ$1,0),),'Control Panel'!AI33))</f>
        <v/>
      </c>
      <c r="AJ34" s="36" t="str">
        <f>IF($I34="","",IF('Control Panel'!AJ33="",VLOOKUP($E34,'Table Output'!$A$2:$BR$99998,MATCH(AJ$4,'Table Output'!$A$1:$BQ$1,0),),'Control Panel'!AJ33))</f>
        <v/>
      </c>
      <c r="AL34" s="51" t="str">
        <f t="shared" si="1"/>
        <v/>
      </c>
      <c r="AM34" s="48" t="str">
        <f>IF(AM$4="","",IF($I34="","",IF('Control Panel'!AM33="",VLOOKUP($E34,'Table Output'!$A$2:$BR$99998,MATCH(AM$4,'Table Output'!$A$1:$BQ$1,0),FALSE),'Control Panel'!AM33)))</f>
        <v/>
      </c>
      <c r="AN34" s="48" t="str">
        <f>IF(AN$4="","",IF($I34="","",IF('Control Panel'!AN33="",VLOOKUP($E34,'Table Output'!$A$2:$BR$99998,MATCH(AN$4,'Table Output'!$A$1:$BQ$1,0),FALSE),'Control Panel'!AN33)))</f>
        <v/>
      </c>
      <c r="AO34" s="48" t="str">
        <f>IF(AO$4="","",IF($I34="","",IF('Control Panel'!AO33="",VLOOKUP($E34,'Table Output'!$A$2:$BR$99998,MATCH(AO$4,'Table Output'!$A$1:$BQ$1,0),FALSE),'Control Panel'!AO33)))</f>
        <v/>
      </c>
      <c r="AP34" s="48" t="str">
        <f>IF(AP$4="","",IF($I34="","",IF('Control Panel'!AP33="",VLOOKUP($E34,'Table Output'!$A$2:$BR$99998,MATCH(AP$4,'Table Output'!$A$1:$BQ$1,0),FALSE),'Control Panel'!AP33)))</f>
        <v/>
      </c>
      <c r="AQ34" s="48" t="str">
        <f>IF(AQ$4="","",IF($I34="","",IF('Control Panel'!AQ33="",VLOOKUP($E34,'Table Output'!$A$2:$BR$99998,MATCH(AQ$4,'Table Output'!$A$1:$BQ$1,0),FALSE),'Control Panel'!AQ33)))</f>
        <v/>
      </c>
      <c r="AR34" s="48" t="str">
        <f>IF(AR$4="","",IF($I34="","",IF('Control Panel'!AR33="",VLOOKUP($E34,'Table Output'!$A$2:$BR$99998,MATCH(AR$4,'Table Output'!$A$1:$BQ$1,0),FALSE),'Control Panel'!AR33)))</f>
        <v/>
      </c>
      <c r="AS34" s="48" t="str">
        <f>IF(AS$4="","",IF($I34="","",IF('Control Panel'!AS33="",VLOOKUP($E34,'Table Output'!$A$2:$BR$99998,MATCH(AS$4,'Table Output'!$A$1:$BQ$1,0),FALSE),'Control Panel'!AS33)))</f>
        <v/>
      </c>
      <c r="AT34" s="48" t="str">
        <f>IF(AT$4="","",IF($I34="","",IF('Control Panel'!AT33="",VLOOKUP($E34,'Table Output'!$A$2:$BR$99998,MATCH(AT$4,'Table Output'!$A$1:$BQ$1,0),FALSE),'Control Panel'!AT33)))</f>
        <v/>
      </c>
      <c r="AU34" s="48" t="str">
        <f>IF(AU$4="","",IF($I34="","",IF('Control Panel'!AU33="",VLOOKUP($E34,'Table Output'!$A$2:$BR$99998,MATCH(AU$4,'Table Output'!$A$1:$BQ$1,0),FALSE),'Control Panel'!AU33)))</f>
        <v/>
      </c>
      <c r="BH34" s="2" t="s">
        <v>162</v>
      </c>
      <c r="BI34" s="2" t="s">
        <v>102</v>
      </c>
    </row>
    <row r="35" spans="2:61" ht="12" thickBot="1" x14ac:dyDescent="0.2">
      <c r="B35" s="2">
        <f>'Control Panel'!B35</f>
        <v>0</v>
      </c>
      <c r="C35" s="2">
        <f>'Control Panel'!C35</f>
        <v>0</v>
      </c>
      <c r="BH35" s="2" t="s">
        <v>163</v>
      </c>
      <c r="BI35" s="2" t="s">
        <v>102</v>
      </c>
    </row>
    <row r="36" spans="2:61" ht="12" thickBot="1" x14ac:dyDescent="0.2">
      <c r="B36" s="2">
        <f>'Control Panel'!B36</f>
        <v>0</v>
      </c>
      <c r="C36" s="2">
        <f>'Control Panel'!C36</f>
        <v>0</v>
      </c>
      <c r="I36" s="121" t="s">
        <v>154</v>
      </c>
      <c r="J36" s="122"/>
      <c r="K36" s="122"/>
      <c r="L36" s="122"/>
      <c r="M36" s="122"/>
      <c r="N36" s="122"/>
      <c r="O36" s="122"/>
      <c r="P36" s="122"/>
      <c r="Q36" s="122"/>
      <c r="R36" s="122"/>
      <c r="S36" s="123"/>
      <c r="BH36" s="2" t="s">
        <v>164</v>
      </c>
      <c r="BI36" s="2" t="s">
        <v>103</v>
      </c>
    </row>
    <row r="37" spans="2:61" ht="12" thickBot="1" x14ac:dyDescent="0.2">
      <c r="B37" s="2">
        <f>'Control Panel'!B37</f>
        <v>0</v>
      </c>
      <c r="C37" s="2">
        <f>'Control Panel'!C37</f>
        <v>0</v>
      </c>
      <c r="I37" s="31" t="s">
        <v>83</v>
      </c>
      <c r="J37" s="32" t="str">
        <f>J4</f>
        <v>y_u_1</v>
      </c>
      <c r="K37" s="32" t="str">
        <f t="shared" ref="K37:S37" si="2">K4</f>
        <v>p_u_1</v>
      </c>
      <c r="L37" s="32" t="str">
        <f t="shared" si="2"/>
        <v>k_p_1</v>
      </c>
      <c r="M37" s="32" t="str">
        <f t="shared" si="2"/>
        <v>n_p_1</v>
      </c>
      <c r="N37" s="32" t="str">
        <f t="shared" si="2"/>
        <v>k_p_2</v>
      </c>
      <c r="O37" s="32" t="str">
        <f t="shared" si="2"/>
        <v/>
      </c>
      <c r="P37" s="32" t="str">
        <f t="shared" si="2"/>
        <v/>
      </c>
      <c r="Q37" s="32" t="str">
        <f t="shared" si="2"/>
        <v/>
      </c>
      <c r="R37" s="32" t="str">
        <f t="shared" si="2"/>
        <v/>
      </c>
      <c r="S37" s="32" t="str">
        <f t="shared" si="2"/>
        <v/>
      </c>
      <c r="BH37" s="2" t="s">
        <v>165</v>
      </c>
      <c r="BI37" s="2" t="s">
        <v>103</v>
      </c>
    </row>
    <row r="38" spans="2:61" x14ac:dyDescent="0.15">
      <c r="B38" s="2">
        <f>'Control Panel'!B38</f>
        <v>0</v>
      </c>
      <c r="C38" s="2">
        <f>'Control Panel'!C38</f>
        <v>0</v>
      </c>
      <c r="E38" s="2" t="str">
        <f>E5</f>
        <v>Cowden_Clay</v>
      </c>
      <c r="I38" s="7">
        <f>I5</f>
        <v>1</v>
      </c>
      <c r="J38" s="44">
        <f>IF($I38="","",IF(J$37="","",IF('Control Panel'!J38="",IF(VLOOKUP($E38,'Table Output'!$A$2:$E$99998,5,FALSE)="Sand",VLOOKUP(J$37,BoundParameters_HiddenSheetSAND!$B$3:$E$50,MATCH(VLOOKUP($I38,$I$5:$AJ$29,MATCH(VLOOKUP(J$37,$BH$3:$BI$50,2,FALSE),$I$4:$AJ$4,0),FALSE),BoundParameters_HiddenSheetCLAY!$B$1:$E$1,0),FALSE),IF(VLOOKUP($E38,'Table Output'!$A$2:$E$99998,5,FALSE)="Clay",VLOOKUP(J$37,BoundParameters_HiddenSheetCLAY!$B$3:$E$50,MATCH(VLOOKUP($I38,$I$5:$AJ$35,MATCH(VLOOKUP(J$37,$BH$3:$BI$50,2,FALSE),$I$4:$AJ$4,0),FALSE),BoundParameters_HiddenSheetCLAY!$B$1:$E$1,0),FALSE))),'Control Panel'!J38)))</f>
        <v>30</v>
      </c>
      <c r="K38" s="44">
        <f>IF($I38="","",IF(K$37="","",IF('Control Panel'!K38="",IF(VLOOKUP($E38,'Table Output'!$A$2:$E$99998,5,FALSE)="Sand",VLOOKUP(K$37,BoundParameters_HiddenSheetSAND!$B$3:$E$50,MATCH(VLOOKUP($I38,$I$5:$AJ$29,MATCH(VLOOKUP(K$37,$BH$3:$BI$50,2,FALSE),$I$4:$AJ$4,0),FALSE),BoundParameters_HiddenSheetCLAY!$B$1:$E$1,0),FALSE),IF(VLOOKUP($E38,'Table Output'!$A$2:$E$99998,5,FALSE)="Clay",VLOOKUP(K$37,BoundParameters_HiddenSheetCLAY!$B$3:$E$50,MATCH(VLOOKUP($I38,$I$5:$AJ$35,MATCH(VLOOKUP(K$37,$BH$3:$BI$50,2,FALSE),$I$4:$AJ$4,0),FALSE),BoundParameters_HiddenSheetCLAY!$B$1:$E$1,0),FALSE))),'Control Panel'!K38)))</f>
        <v>7.2110000000000003</v>
      </c>
      <c r="L38" s="44">
        <f>IF($I38="","",IF(L$37="","",IF('Control Panel'!L38="",IF(VLOOKUP($E38,'Table Output'!$A$2:$E$99998,5,FALSE)="Sand",VLOOKUP(L$37,BoundParameters_HiddenSheetSAND!$B$3:$E$50,MATCH(VLOOKUP($I38,$I$5:$AJ$29,MATCH(VLOOKUP(L$37,$BH$3:$BI$50,2,FALSE),$I$4:$AJ$4,0),FALSE),BoundParameters_HiddenSheetCLAY!$B$1:$E$1,0),FALSE),IF(VLOOKUP($E38,'Table Output'!$A$2:$E$99998,5,FALSE)="Clay",VLOOKUP(L$37,BoundParameters_HiddenSheetCLAY!$B$3:$E$50,MATCH(VLOOKUP($I38,$I$5:$AJ$35,MATCH(VLOOKUP(L$37,$BH$3:$BI$50,2,FALSE),$I$4:$AJ$4,0),FALSE),BoundParameters_HiddenSheetCLAY!$B$1:$E$1,0),FALSE))),'Control Panel'!L38)))</f>
        <v>-2.4</v>
      </c>
      <c r="M38" s="44">
        <f>IF($I38="","",IF(M$37="","",IF('Control Panel'!M38="",IF(VLOOKUP($E38,'Table Output'!$A$2:$E$99998,5,FALSE)="Sand",VLOOKUP(M$37,BoundParameters_HiddenSheetSAND!$B$3:$E$50,MATCH(VLOOKUP($I38,$I$5:$AJ$29,MATCH(VLOOKUP(M$37,$BH$3:$BI$50,2,FALSE),$I$4:$AJ$4,0),FALSE),BoundParameters_HiddenSheetCLAY!$B$1:$E$1,0),FALSE),IF(VLOOKUP($E38,'Table Output'!$A$2:$E$99998,5,FALSE)="Clay",VLOOKUP(M$37,BoundParameters_HiddenSheetCLAY!$B$3:$E$50,MATCH(VLOOKUP($I38,$I$5:$AJ$35,MATCH(VLOOKUP(M$37,$BH$3:$BI$50,2,FALSE),$I$4:$AJ$4,0),FALSE),BoundParameters_HiddenSheetCLAY!$B$1:$E$1,0),FALSE))),'Control Panel'!M38)))</f>
        <v>-1.5</v>
      </c>
      <c r="N38" s="44">
        <f>IF($I38="","",IF(N$37="","",IF('Control Panel'!N38="",IF(VLOOKUP($E38,'Table Output'!$A$2:$E$99998,5,FALSE)="Sand",VLOOKUP(N$37,BoundParameters_HiddenSheetSAND!$B$3:$E$50,MATCH(VLOOKUP($I38,$I$5:$AJ$29,MATCH(VLOOKUP(N$37,$BH$3:$BI$50,2,FALSE),$I$4:$AJ$4,0),FALSE),BoundParameters_HiddenSheetCLAY!$B$1:$E$1,0),FALSE),IF(VLOOKUP($E38,'Table Output'!$A$2:$E$99998,5,FALSE)="Clay",VLOOKUP(N$37,BoundParameters_HiddenSheetCLAY!$B$3:$E$50,MATCH(VLOOKUP($I38,$I$5:$AJ$35,MATCH(VLOOKUP(N$37,$BH$3:$BI$50,2,FALSE),$I$4:$AJ$4,0),FALSE),BoundParameters_HiddenSheetCLAY!$B$1:$E$1,0),FALSE))),'Control Panel'!N38)))</f>
        <v>0.5</v>
      </c>
      <c r="O38" s="44" t="str">
        <f>IF($I38="","",IF(O$37="","",IF('Control Panel'!O38="",IF(VLOOKUP($E38,'Table Output'!$A$2:$E$99998,5,FALSE)="Sand",VLOOKUP(O$37,BoundParameters_HiddenSheetSAND!$B$3:$E$50,MATCH(VLOOKUP($I38,$I$5:$AJ$29,MATCH(VLOOKUP(O$37,$BH$3:$BI$50,2,FALSE),$I$4:$AJ$4,0),FALSE),BoundParameters_HiddenSheetCLAY!$B$1:$E$1,0),FALSE),IF(VLOOKUP($E38,'Table Output'!$A$2:$E$99998,5,FALSE)="Clay",VLOOKUP(O$37,BoundParameters_HiddenSheetCLAY!$B$3:$E$50,MATCH(VLOOKUP($I38,$I$5:$AJ$35,MATCH(VLOOKUP(O$37,$BH$3:$BI$50,2,FALSE),$I$4:$AJ$4,0),FALSE),BoundParameters_HiddenSheetCLAY!$B$1:$E$1,0),FALSE))),'Control Panel'!O38)))</f>
        <v/>
      </c>
      <c r="P38" s="44" t="str">
        <f>IF($I38="","",IF(P$37="","",IF('Control Panel'!P38="",IF(VLOOKUP($E38,'Table Output'!$A$2:$E$99998,5,FALSE)="Sand",VLOOKUP(P$37,BoundParameters_HiddenSheetSAND!$B$3:$E$50,MATCH(VLOOKUP($I38,$I$5:$AJ$29,MATCH(VLOOKUP(P$37,$BH$3:$BI$50,2,FALSE),$I$4:$AJ$4,0),FALSE),BoundParameters_HiddenSheetCLAY!$B$1:$E$1,0),FALSE),IF(VLOOKUP($E38,'Table Output'!$A$2:$E$99998,5,FALSE)="Clay",VLOOKUP(P$37,BoundParameters_HiddenSheetCLAY!$B$3:$E$50,MATCH(VLOOKUP($I38,$I$5:$AJ$35,MATCH(VLOOKUP(P$37,$BH$3:$BI$50,2,FALSE),$I$4:$AJ$4,0),FALSE),BoundParameters_HiddenSheetCLAY!$B$1:$E$1,0),FALSE))),'Control Panel'!P38)))</f>
        <v/>
      </c>
      <c r="Q38" s="44" t="str">
        <f>IF($I38="","",IF(Q$37="","",IF('Control Panel'!Q38="",IF(VLOOKUP($E38,'Table Output'!$A$2:$E$99998,5,FALSE)="Sand",VLOOKUP(Q$37,BoundParameters_HiddenSheetSAND!$B$3:$E$50,MATCH(VLOOKUP($I38,$I$5:$AJ$29,MATCH(VLOOKUP(Q$37,$BH$3:$BI$50,2,FALSE),$I$4:$AJ$4,0),FALSE),BoundParameters_HiddenSheetCLAY!$B$1:$E$1,0),FALSE),IF(VLOOKUP($E38,'Table Output'!$A$2:$E$99998,5,FALSE)="Clay",VLOOKUP(Q$37,BoundParameters_HiddenSheetCLAY!$B$3:$E$50,MATCH(VLOOKUP($I38,$I$5:$AJ$35,MATCH(VLOOKUP(Q$37,$BH$3:$BI$50,2,FALSE),$I$4:$AJ$4,0),FALSE),BoundParameters_HiddenSheetCLAY!$B$1:$E$1,0),FALSE))),'Control Panel'!Q38)))</f>
        <v/>
      </c>
      <c r="R38" s="44" t="str">
        <f>IF($I38="","",IF(R$37="","",IF('Control Panel'!R38="",IF(VLOOKUP($E38,'Table Output'!$A$2:$E$99998,5,FALSE)="Sand",VLOOKUP(R$37,BoundParameters_HiddenSheetSAND!$B$3:$E$50,MATCH(VLOOKUP($I38,$I$5:$AJ$29,MATCH(VLOOKUP(R$37,$BH$3:$BI$50,2,FALSE),$I$4:$AJ$4,0),FALSE),BoundParameters_HiddenSheetCLAY!$B$1:$E$1,0),FALSE),IF(VLOOKUP($E38,'Table Output'!$A$2:$E$99998,5,FALSE)="Clay",VLOOKUP(R$37,BoundParameters_HiddenSheetCLAY!$B$3:$E$50,MATCH(VLOOKUP($I38,$I$5:$AJ$35,MATCH(VLOOKUP(R$37,$BH$3:$BI$50,2,FALSE),$I$4:$AJ$4,0),FALSE),BoundParameters_HiddenSheetCLAY!$B$1:$E$1,0),FALSE))),'Control Panel'!R38)))</f>
        <v/>
      </c>
      <c r="S38" s="44" t="str">
        <f>IF($I38="","",IF(S$37="","",IF('Control Panel'!S38="",IF(VLOOKUP($E38,'Table Output'!$A$2:$E$99998,5,FALSE)="Sand",VLOOKUP(S$37,BoundParameters_HiddenSheetSAND!$B$3:$E$50,MATCH(VLOOKUP($I38,$I$5:$AJ$29,MATCH(VLOOKUP(S$37,$BH$3:$BI$50,2,FALSE),$I$4:$AJ$4,0),FALSE),BoundParameters_HiddenSheetCLAY!$B$1:$E$1,0),FALSE),IF(VLOOKUP($E38,'Table Output'!$A$2:$E$99998,5,FALSE)="Clay",VLOOKUP(S$37,BoundParameters_HiddenSheetCLAY!$B$3:$E$50,MATCH(VLOOKUP($I38,$I$5:$AJ$35,MATCH(VLOOKUP(S$37,$BH$3:$BI$50,2,FALSE),$I$4:$AJ$4,0),FALSE),BoundParameters_HiddenSheetCLAY!$B$1:$E$1,0),FALSE))),'Control Panel'!S38)))</f>
        <v/>
      </c>
      <c r="T38" s="44"/>
      <c r="U38" s="74">
        <v>639966268303430</v>
      </c>
      <c r="V38" s="74">
        <v>100962642597654</v>
      </c>
      <c r="W38" s="74">
        <v>-476818531357738</v>
      </c>
      <c r="X38" s="74">
        <v>-129987990211606</v>
      </c>
      <c r="Y38" s="74">
        <v>599383330517103</v>
      </c>
      <c r="Z38" s="2" t="s">
        <v>218</v>
      </c>
      <c r="AA38" s="2" t="s">
        <v>219</v>
      </c>
      <c r="AB38" s="2" t="s">
        <v>220</v>
      </c>
      <c r="BH38" s="2" t="s">
        <v>166</v>
      </c>
      <c r="BI38" s="2" t="s">
        <v>103</v>
      </c>
    </row>
    <row r="39" spans="2:61" x14ac:dyDescent="0.15">
      <c r="B39" s="2">
        <f>'Control Panel'!B39</f>
        <v>0</v>
      </c>
      <c r="C39" s="2">
        <f>'Control Panel'!C39</f>
        <v>0</v>
      </c>
      <c r="E39" s="2" t="str">
        <f t="shared" ref="E39:E57" si="3">E6</f>
        <v>Sand_75</v>
      </c>
      <c r="I39" s="7">
        <f t="shared" ref="I39:I62" si="4">I6</f>
        <v>2</v>
      </c>
      <c r="J39" s="44">
        <f>IF($I39="","",IF(J$37="","",IF('Control Panel'!J39="",IF(VLOOKUP($E39,'Table Output'!$A$2:$E$99998,5,FALSE)="Sand",VLOOKUP(J$37,BoundParameters_HiddenSheetSAND!$B$3:$E$50,MATCH(VLOOKUP($I39,$I$5:$AJ$29,MATCH(VLOOKUP(J$37,$BH$3:$BI$50,2,FALSE),$I$4:$AJ$4,0),FALSE),BoundParameters_HiddenSheetCLAY!$B$1:$E$1,0),FALSE),IF(VLOOKUP($E39,'Table Output'!$A$2:$E$99998,5,FALSE)="Clay",VLOOKUP(J$37,BoundParameters_HiddenSheetCLAY!$B$3:$E$50,MATCH(VLOOKUP($I39,$I$5:$AJ$35,MATCH(VLOOKUP(J$37,$BH$3:$BI$50,2,FALSE),$I$4:$AJ$4,0),FALSE),BoundParameters_HiddenSheetCLAY!$B$1:$E$1,0),FALSE))),'Control Panel'!J39)))</f>
        <v>30</v>
      </c>
      <c r="K39" s="44">
        <f>IF($I39="","",IF(K$37="","",IF('Control Panel'!K39="",IF(VLOOKUP($E39,'Table Output'!$A$2:$E$99998,5,FALSE)="Sand",VLOOKUP(K$37,BoundParameters_HiddenSheetSAND!$B$3:$E$50,MATCH(VLOOKUP($I39,$I$5:$AJ$29,MATCH(VLOOKUP(K$37,$BH$3:$BI$50,2,FALSE),$I$4:$AJ$4,0),FALSE),BoundParameters_HiddenSheetCLAY!$B$1:$E$1,0),FALSE),IF(VLOOKUP($E39,'Table Output'!$A$2:$E$99998,5,FALSE)="Clay",VLOOKUP(K$37,BoundParameters_HiddenSheetCLAY!$B$3:$E$50,MATCH(VLOOKUP($I39,$I$5:$AJ$35,MATCH(VLOOKUP(K$37,$BH$3:$BI$50,2,FALSE),$I$4:$AJ$4,0),FALSE),BoundParameters_HiddenSheetCLAY!$B$1:$E$1,0),FALSE))),'Control Panel'!K39)))</f>
        <v>-120</v>
      </c>
      <c r="L39" s="44">
        <f>IF($I39="","",IF(L$37="","",IF('Control Panel'!L39="",IF(VLOOKUP($E39,'Table Output'!$A$2:$E$99998,5,FALSE)="Sand",VLOOKUP(L$37,BoundParameters_HiddenSheetSAND!$B$3:$E$50,MATCH(VLOOKUP($I39,$I$5:$AJ$29,MATCH(VLOOKUP(L$37,$BH$3:$BI$50,2,FALSE),$I$4:$AJ$4,0),FALSE),BoundParameters_HiddenSheetCLAY!$B$1:$E$1,0),FALSE),IF(VLOOKUP($E39,'Table Output'!$A$2:$E$99998,5,FALSE)="Clay",VLOOKUP(L$37,BoundParameters_HiddenSheetCLAY!$B$3:$E$50,MATCH(VLOOKUP($I39,$I$5:$AJ$35,MATCH(VLOOKUP(L$37,$BH$3:$BI$50,2,FALSE),$I$4:$AJ$4,0),FALSE),BoundParameters_HiddenSheetCLAY!$B$1:$E$1,0),FALSE))),'Control Panel'!L39)))</f>
        <v>-35</v>
      </c>
      <c r="M39" s="44">
        <f>IF($I39="","",IF(M$37="","",IF('Control Panel'!M39="",IF(VLOOKUP($E39,'Table Output'!$A$2:$E$99998,5,FALSE)="Sand",VLOOKUP(M$37,BoundParameters_HiddenSheetSAND!$B$3:$E$50,MATCH(VLOOKUP($I39,$I$5:$AJ$29,MATCH(VLOOKUP(M$37,$BH$3:$BI$50,2,FALSE),$I$4:$AJ$4,0),FALSE),BoundParameters_HiddenSheetCLAY!$B$1:$E$1,0),FALSE),IF(VLOOKUP($E39,'Table Output'!$A$2:$E$99998,5,FALSE)="Clay",VLOOKUP(M$37,BoundParameters_HiddenSheetCLAY!$B$3:$E$50,MATCH(VLOOKUP($I39,$I$5:$AJ$35,MATCH(VLOOKUP(M$37,$BH$3:$BI$50,2,FALSE),$I$4:$AJ$4,0),FALSE),BoundParameters_HiddenSheetCLAY!$B$1:$E$1,0),FALSE))),'Control Panel'!M39)))</f>
        <v>0</v>
      </c>
      <c r="N39" s="44">
        <f>IF($I39="","",IF(N$37="","",IF('Control Panel'!N39="",IF(VLOOKUP($E39,'Table Output'!$A$2:$E$99998,5,FALSE)="Sand",VLOOKUP(N$37,BoundParameters_HiddenSheetSAND!$B$3:$E$50,MATCH(VLOOKUP($I39,$I$5:$AJ$29,MATCH(VLOOKUP(N$37,$BH$3:$BI$50,2,FALSE),$I$4:$AJ$4,0),FALSE),BoundParameters_HiddenSheetCLAY!$B$1:$E$1,0),FALSE),IF(VLOOKUP($E39,'Table Output'!$A$2:$E$99998,5,FALSE)="Clay",VLOOKUP(N$37,BoundParameters_HiddenSheetCLAY!$B$3:$E$50,MATCH(VLOOKUP($I39,$I$5:$AJ$35,MATCH(VLOOKUP(N$37,$BH$3:$BI$50,2,FALSE),$I$4:$AJ$4,0),FALSE),BoundParameters_HiddenSheetCLAY!$B$1:$E$1,0),FALSE))),'Control Panel'!N39)))</f>
        <v>0.2</v>
      </c>
      <c r="O39" s="44" t="str">
        <f>IF($I39="","",IF(O$37="","",IF('Control Panel'!O39="",IF(VLOOKUP($E39,'Table Output'!$A$2:$E$99998,5,FALSE)="Sand",VLOOKUP(O$37,BoundParameters_HiddenSheetSAND!$B$3:$E$50,MATCH(VLOOKUP($I39,$I$5:$AJ$29,MATCH(VLOOKUP(O$37,$BH$3:$BI$50,2,FALSE),$I$4:$AJ$4,0),FALSE),BoundParameters_HiddenSheetCLAY!$B$1:$E$1,0),FALSE),IF(VLOOKUP($E39,'Table Output'!$A$2:$E$99998,5,FALSE)="Clay",VLOOKUP(O$37,BoundParameters_HiddenSheetCLAY!$B$3:$E$50,MATCH(VLOOKUP($I39,$I$5:$AJ$35,MATCH(VLOOKUP(O$37,$BH$3:$BI$50,2,FALSE),$I$4:$AJ$4,0),FALSE),BoundParameters_HiddenSheetCLAY!$B$1:$E$1,0),FALSE))),'Control Panel'!O39)))</f>
        <v/>
      </c>
      <c r="P39" s="44" t="str">
        <f>IF($I39="","",IF(P$37="","",IF('Control Panel'!P39="",IF(VLOOKUP($E39,'Table Output'!$A$2:$E$99998,5,FALSE)="Sand",VLOOKUP(P$37,BoundParameters_HiddenSheetSAND!$B$3:$E$50,MATCH(VLOOKUP($I39,$I$5:$AJ$29,MATCH(VLOOKUP(P$37,$BH$3:$BI$50,2,FALSE),$I$4:$AJ$4,0),FALSE),BoundParameters_HiddenSheetCLAY!$B$1:$E$1,0),FALSE),IF(VLOOKUP($E39,'Table Output'!$A$2:$E$99998,5,FALSE)="Clay",VLOOKUP(P$37,BoundParameters_HiddenSheetCLAY!$B$3:$E$50,MATCH(VLOOKUP($I39,$I$5:$AJ$35,MATCH(VLOOKUP(P$37,$BH$3:$BI$50,2,FALSE),$I$4:$AJ$4,0),FALSE),BoundParameters_HiddenSheetCLAY!$B$1:$E$1,0),FALSE))),'Control Panel'!P39)))</f>
        <v/>
      </c>
      <c r="Q39" s="44" t="str">
        <f>IF($I39="","",IF(Q$37="","",IF('Control Panel'!Q39="",IF(VLOOKUP($E39,'Table Output'!$A$2:$E$99998,5,FALSE)="Sand",VLOOKUP(Q$37,BoundParameters_HiddenSheetSAND!$B$3:$E$50,MATCH(VLOOKUP($I39,$I$5:$AJ$29,MATCH(VLOOKUP(Q$37,$BH$3:$BI$50,2,FALSE),$I$4:$AJ$4,0),FALSE),BoundParameters_HiddenSheetCLAY!$B$1:$E$1,0),FALSE),IF(VLOOKUP($E39,'Table Output'!$A$2:$E$99998,5,FALSE)="Clay",VLOOKUP(Q$37,BoundParameters_HiddenSheetCLAY!$B$3:$E$50,MATCH(VLOOKUP($I39,$I$5:$AJ$35,MATCH(VLOOKUP(Q$37,$BH$3:$BI$50,2,FALSE),$I$4:$AJ$4,0),FALSE),BoundParameters_HiddenSheetCLAY!$B$1:$E$1,0),FALSE))),'Control Panel'!Q39)))</f>
        <v/>
      </c>
      <c r="R39" s="44" t="str">
        <f>IF($I39="","",IF(R$37="","",IF('Control Panel'!R39="",IF(VLOOKUP($E39,'Table Output'!$A$2:$E$99998,5,FALSE)="Sand",VLOOKUP(R$37,BoundParameters_HiddenSheetSAND!$B$3:$E$50,MATCH(VLOOKUP($I39,$I$5:$AJ$29,MATCH(VLOOKUP(R$37,$BH$3:$BI$50,2,FALSE),$I$4:$AJ$4,0),FALSE),BoundParameters_HiddenSheetCLAY!$B$1:$E$1,0),FALSE),IF(VLOOKUP($E39,'Table Output'!$A$2:$E$99998,5,FALSE)="Clay",VLOOKUP(R$37,BoundParameters_HiddenSheetCLAY!$B$3:$E$50,MATCH(VLOOKUP($I39,$I$5:$AJ$35,MATCH(VLOOKUP(R$37,$BH$3:$BI$50,2,FALSE),$I$4:$AJ$4,0),FALSE),BoundParameters_HiddenSheetCLAY!$B$1:$E$1,0),FALSE))),'Control Panel'!R39)))</f>
        <v/>
      </c>
      <c r="S39" s="44" t="str">
        <f>IF($I39="","",IF(S$37="","",IF('Control Panel'!S39="",IF(VLOOKUP($E39,'Table Output'!$A$2:$E$99998,5,FALSE)="Sand",VLOOKUP(S$37,BoundParameters_HiddenSheetSAND!$B$3:$E$50,MATCH(VLOOKUP($I39,$I$5:$AJ$29,MATCH(VLOOKUP(S$37,$BH$3:$BI$50,2,FALSE),$I$4:$AJ$4,0),FALSE),BoundParameters_HiddenSheetCLAY!$B$1:$E$1,0),FALSE),IF(VLOOKUP($E39,'Table Output'!$A$2:$E$99998,5,FALSE)="Clay",VLOOKUP(S$37,BoundParameters_HiddenSheetCLAY!$B$3:$E$50,MATCH(VLOOKUP($I39,$I$5:$AJ$35,MATCH(VLOOKUP(S$37,$BH$3:$BI$50,2,FALSE),$I$4:$AJ$4,0),FALSE),BoundParameters_HiddenSheetCLAY!$B$1:$E$1,0),FALSE))),'Control Panel'!S39)))</f>
        <v/>
      </c>
      <c r="T39" s="58"/>
      <c r="BH39" s="2" t="s">
        <v>167</v>
      </c>
      <c r="BI39" s="2" t="s">
        <v>104</v>
      </c>
    </row>
    <row r="40" spans="2:61" x14ac:dyDescent="0.15">
      <c r="B40" s="2">
        <f>'Control Panel'!B40</f>
        <v>0</v>
      </c>
      <c r="C40" s="2">
        <f>'Control Panel'!C40</f>
        <v>0</v>
      </c>
      <c r="E40" s="2" t="str">
        <f t="shared" si="3"/>
        <v/>
      </c>
      <c r="I40" s="7" t="str">
        <f t="shared" si="4"/>
        <v/>
      </c>
      <c r="J40" s="44" t="str">
        <f>IF($I40="","",IF(J$37="","",IF('Control Panel'!J40="",IF(VLOOKUP($E40,'Table Output'!$A$2:$E$99998,5,FALSE)="Sand",VLOOKUP(J$37,BoundParameters_HiddenSheetSAND!$B$3:$E$50,MATCH(VLOOKUP($I40,$I$5:$AJ$29,MATCH(VLOOKUP(J$37,$BH$3:$BI$50,2,FALSE),$I$4:$AJ$4,0),FALSE),BoundParameters_HiddenSheetCLAY!$B$1:$E$1,0),FALSE),IF(VLOOKUP($E40,'Table Output'!$A$2:$E$99998,5,FALSE)="Clay",VLOOKUP(J$37,BoundParameters_HiddenSheetCLAY!$B$3:$E$50,MATCH(VLOOKUP($I40,$I$5:$AJ$35,MATCH(VLOOKUP(J$37,$BH$3:$BI$50,2,FALSE),$I$4:$AJ$4,0),FALSE),BoundParameters_HiddenSheetCLAY!$B$1:$E$1,0),FALSE))),'Control Panel'!J40)))</f>
        <v/>
      </c>
      <c r="K40" s="44" t="str">
        <f>IF($I40="","",IF(K$37="","",IF('Control Panel'!K40="",IF(VLOOKUP($E40,'Table Output'!$A$2:$E$99998,5,FALSE)="Sand",VLOOKUP(K$37,BoundParameters_HiddenSheetSAND!$B$3:$E$50,MATCH(VLOOKUP($I40,$I$5:$AJ$29,MATCH(VLOOKUP(K$37,$BH$3:$BI$50,2,FALSE),$I$4:$AJ$4,0),FALSE),BoundParameters_HiddenSheetCLAY!$B$1:$E$1,0),FALSE),IF(VLOOKUP($E40,'Table Output'!$A$2:$E$99998,5,FALSE)="Clay",VLOOKUP(K$37,BoundParameters_HiddenSheetCLAY!$B$3:$E$50,MATCH(VLOOKUP($I40,$I$5:$AJ$35,MATCH(VLOOKUP(K$37,$BH$3:$BI$50,2,FALSE),$I$4:$AJ$4,0),FALSE),BoundParameters_HiddenSheetCLAY!$B$1:$E$1,0),FALSE))),'Control Panel'!K40)))</f>
        <v/>
      </c>
      <c r="L40" s="44" t="str">
        <f>IF($I40="","",IF(L$37="","",IF('Control Panel'!L40="",IF(VLOOKUP($E40,'Table Output'!$A$2:$E$99998,5,FALSE)="Sand",VLOOKUP(L$37,BoundParameters_HiddenSheetSAND!$B$3:$E$50,MATCH(VLOOKUP($I40,$I$5:$AJ$29,MATCH(VLOOKUP(L$37,$BH$3:$BI$50,2,FALSE),$I$4:$AJ$4,0),FALSE),BoundParameters_HiddenSheetCLAY!$B$1:$E$1,0),FALSE),IF(VLOOKUP($E40,'Table Output'!$A$2:$E$99998,5,FALSE)="Clay",VLOOKUP(L$37,BoundParameters_HiddenSheetCLAY!$B$3:$E$50,MATCH(VLOOKUP($I40,$I$5:$AJ$35,MATCH(VLOOKUP(L$37,$BH$3:$BI$50,2,FALSE),$I$4:$AJ$4,0),FALSE),BoundParameters_HiddenSheetCLAY!$B$1:$E$1,0),FALSE))),'Control Panel'!L40)))</f>
        <v/>
      </c>
      <c r="M40" s="44" t="str">
        <f>IF($I40="","",IF(M$37="","",IF('Control Panel'!M40="",IF(VLOOKUP($E40,'Table Output'!$A$2:$E$99998,5,FALSE)="Sand",VLOOKUP(M$37,BoundParameters_HiddenSheetSAND!$B$3:$E$50,MATCH(VLOOKUP($I40,$I$5:$AJ$29,MATCH(VLOOKUP(M$37,$BH$3:$BI$50,2,FALSE),$I$4:$AJ$4,0),FALSE),BoundParameters_HiddenSheetCLAY!$B$1:$E$1,0),FALSE),IF(VLOOKUP($E40,'Table Output'!$A$2:$E$99998,5,FALSE)="Clay",VLOOKUP(M$37,BoundParameters_HiddenSheetCLAY!$B$3:$E$50,MATCH(VLOOKUP($I40,$I$5:$AJ$35,MATCH(VLOOKUP(M$37,$BH$3:$BI$50,2,FALSE),$I$4:$AJ$4,0),FALSE),BoundParameters_HiddenSheetCLAY!$B$1:$E$1,0),FALSE))),'Control Panel'!M40)))</f>
        <v/>
      </c>
      <c r="N40" s="44" t="str">
        <f>IF($I40="","",IF(N$37="","",IF('Control Panel'!N40="",IF(VLOOKUP($E40,'Table Output'!$A$2:$E$99998,5,FALSE)="Sand",VLOOKUP(N$37,BoundParameters_HiddenSheetSAND!$B$3:$E$50,MATCH(VLOOKUP($I40,$I$5:$AJ$29,MATCH(VLOOKUP(N$37,$BH$3:$BI$50,2,FALSE),$I$4:$AJ$4,0),FALSE),BoundParameters_HiddenSheetCLAY!$B$1:$E$1,0),FALSE),IF(VLOOKUP($E40,'Table Output'!$A$2:$E$99998,5,FALSE)="Clay",VLOOKUP(N$37,BoundParameters_HiddenSheetCLAY!$B$3:$E$50,MATCH(VLOOKUP($I40,$I$5:$AJ$35,MATCH(VLOOKUP(N$37,$BH$3:$BI$50,2,FALSE),$I$4:$AJ$4,0),FALSE),BoundParameters_HiddenSheetCLAY!$B$1:$E$1,0),FALSE))),'Control Panel'!N40)))</f>
        <v/>
      </c>
      <c r="O40" s="44" t="str">
        <f>IF($I40="","",IF(O$37="","",IF('Control Panel'!O40="",IF(VLOOKUP($E40,'Table Output'!$A$2:$E$99998,5,FALSE)="Sand",VLOOKUP(O$37,BoundParameters_HiddenSheetSAND!$B$3:$E$50,MATCH(VLOOKUP($I40,$I$5:$AJ$29,MATCH(VLOOKUP(O$37,$BH$3:$BI$50,2,FALSE),$I$4:$AJ$4,0),FALSE),BoundParameters_HiddenSheetCLAY!$B$1:$E$1,0),FALSE),IF(VLOOKUP($E40,'Table Output'!$A$2:$E$99998,5,FALSE)="Clay",VLOOKUP(O$37,BoundParameters_HiddenSheetCLAY!$B$3:$E$50,MATCH(VLOOKUP($I40,$I$5:$AJ$35,MATCH(VLOOKUP(O$37,$BH$3:$BI$50,2,FALSE),$I$4:$AJ$4,0),FALSE),BoundParameters_HiddenSheetCLAY!$B$1:$E$1,0),FALSE))),'Control Panel'!O40)))</f>
        <v/>
      </c>
      <c r="P40" s="44" t="str">
        <f>IF($I40="","",IF(P$37="","",IF('Control Panel'!P40="",IF(VLOOKUP($E40,'Table Output'!$A$2:$E$99998,5,FALSE)="Sand",VLOOKUP(P$37,BoundParameters_HiddenSheetSAND!$B$3:$E$50,MATCH(VLOOKUP($I40,$I$5:$AJ$29,MATCH(VLOOKUP(P$37,$BH$3:$BI$50,2,FALSE),$I$4:$AJ$4,0),FALSE),BoundParameters_HiddenSheetCLAY!$B$1:$E$1,0),FALSE),IF(VLOOKUP($E40,'Table Output'!$A$2:$E$99998,5,FALSE)="Clay",VLOOKUP(P$37,BoundParameters_HiddenSheetCLAY!$B$3:$E$50,MATCH(VLOOKUP($I40,$I$5:$AJ$35,MATCH(VLOOKUP(P$37,$BH$3:$BI$50,2,FALSE),$I$4:$AJ$4,0),FALSE),BoundParameters_HiddenSheetCLAY!$B$1:$E$1,0),FALSE))),'Control Panel'!P40)))</f>
        <v/>
      </c>
      <c r="Q40" s="44" t="str">
        <f>IF($I40="","",IF(Q$37="","",IF('Control Panel'!Q40="",IF(VLOOKUP($E40,'Table Output'!$A$2:$E$99998,5,FALSE)="Sand",VLOOKUP(Q$37,BoundParameters_HiddenSheetSAND!$B$3:$E$50,MATCH(VLOOKUP($I40,$I$5:$AJ$29,MATCH(VLOOKUP(Q$37,$BH$3:$BI$50,2,FALSE),$I$4:$AJ$4,0),FALSE),BoundParameters_HiddenSheetCLAY!$B$1:$E$1,0),FALSE),IF(VLOOKUP($E40,'Table Output'!$A$2:$E$99998,5,FALSE)="Clay",VLOOKUP(Q$37,BoundParameters_HiddenSheetCLAY!$B$3:$E$50,MATCH(VLOOKUP($I40,$I$5:$AJ$35,MATCH(VLOOKUP(Q$37,$BH$3:$BI$50,2,FALSE),$I$4:$AJ$4,0),FALSE),BoundParameters_HiddenSheetCLAY!$B$1:$E$1,0),FALSE))),'Control Panel'!Q40)))</f>
        <v/>
      </c>
      <c r="R40" s="44" t="str">
        <f>IF($I40="","",IF(R$37="","",IF('Control Panel'!R40="",IF(VLOOKUP($E40,'Table Output'!$A$2:$E$99998,5,FALSE)="Sand",VLOOKUP(R$37,BoundParameters_HiddenSheetSAND!$B$3:$E$50,MATCH(VLOOKUP($I40,$I$5:$AJ$29,MATCH(VLOOKUP(R$37,$BH$3:$BI$50,2,FALSE),$I$4:$AJ$4,0),FALSE),BoundParameters_HiddenSheetCLAY!$B$1:$E$1,0),FALSE),IF(VLOOKUP($E40,'Table Output'!$A$2:$E$99998,5,FALSE)="Clay",VLOOKUP(R$37,BoundParameters_HiddenSheetCLAY!$B$3:$E$50,MATCH(VLOOKUP($I40,$I$5:$AJ$35,MATCH(VLOOKUP(R$37,$BH$3:$BI$50,2,FALSE),$I$4:$AJ$4,0),FALSE),BoundParameters_HiddenSheetCLAY!$B$1:$E$1,0),FALSE))),'Control Panel'!R40)))</f>
        <v/>
      </c>
      <c r="S40" s="44" t="str">
        <f>IF($I40="","",IF(S$37="","",IF('Control Panel'!S40="",IF(VLOOKUP($E40,'Table Output'!$A$2:$E$99998,5,FALSE)="Sand",VLOOKUP(S$37,BoundParameters_HiddenSheetSAND!$B$3:$E$50,MATCH(VLOOKUP($I40,$I$5:$AJ$29,MATCH(VLOOKUP(S$37,$BH$3:$BI$50,2,FALSE),$I$4:$AJ$4,0),FALSE),BoundParameters_HiddenSheetCLAY!$B$1:$E$1,0),FALSE),IF(VLOOKUP($E40,'Table Output'!$A$2:$E$99998,5,FALSE)="Clay",VLOOKUP(S$37,BoundParameters_HiddenSheetCLAY!$B$3:$E$50,MATCH(VLOOKUP($I40,$I$5:$AJ$35,MATCH(VLOOKUP(S$37,$BH$3:$BI$50,2,FALSE),$I$4:$AJ$4,0),FALSE),BoundParameters_HiddenSheetCLAY!$B$1:$E$1,0),FALSE))),'Control Panel'!S40)))</f>
        <v/>
      </c>
      <c r="T40" s="58"/>
      <c r="BH40" s="2" t="s">
        <v>168</v>
      </c>
      <c r="BI40" s="2" t="s">
        <v>104</v>
      </c>
    </row>
    <row r="41" spans="2:61" x14ac:dyDescent="0.15">
      <c r="B41" s="2" t="str">
        <f>'Control Panel'!B41</f>
        <v>Focus and weight settings</v>
      </c>
      <c r="C41" s="2">
        <f>'Control Panel'!C41</f>
        <v>0</v>
      </c>
      <c r="E41" s="2" t="str">
        <f t="shared" si="3"/>
        <v/>
      </c>
      <c r="I41" s="7" t="str">
        <f t="shared" si="4"/>
        <v/>
      </c>
      <c r="J41" s="44" t="str">
        <f>IF($I41="","",IF(J$37="","",IF('Control Panel'!J41="",IF(VLOOKUP($E41,'Table Output'!$A$2:$E$99998,5,FALSE)="Sand",VLOOKUP(J$37,BoundParameters_HiddenSheetSAND!$B$3:$E$50,MATCH(VLOOKUP($I41,$I$5:$AJ$29,MATCH(VLOOKUP(J$37,$BH$3:$BI$50,2,FALSE),$I$4:$AJ$4,0),FALSE),BoundParameters_HiddenSheetCLAY!$B$1:$E$1,0),FALSE),IF(VLOOKUP($E41,'Table Output'!$A$2:$E$99998,5,FALSE)="Clay",VLOOKUP(J$37,BoundParameters_HiddenSheetCLAY!$B$3:$E$50,MATCH(VLOOKUP($I41,$I$5:$AJ$35,MATCH(VLOOKUP(J$37,$BH$3:$BI$50,2,FALSE),$I$4:$AJ$4,0),FALSE),BoundParameters_HiddenSheetCLAY!$B$1:$E$1,0),FALSE))),'Control Panel'!J41)))</f>
        <v/>
      </c>
      <c r="K41" s="44" t="str">
        <f>IF($I41="","",IF(K$37="","",IF('Control Panel'!K41="",IF(VLOOKUP($E41,'Table Output'!$A$2:$E$99998,5,FALSE)="Sand",VLOOKUP(K$37,BoundParameters_HiddenSheetSAND!$B$3:$E$50,MATCH(VLOOKUP($I41,$I$5:$AJ$29,MATCH(VLOOKUP(K$37,$BH$3:$BI$50,2,FALSE),$I$4:$AJ$4,0),FALSE),BoundParameters_HiddenSheetCLAY!$B$1:$E$1,0),FALSE),IF(VLOOKUP($E41,'Table Output'!$A$2:$E$99998,5,FALSE)="Clay",VLOOKUP(K$37,BoundParameters_HiddenSheetCLAY!$B$3:$E$50,MATCH(VLOOKUP($I41,$I$5:$AJ$35,MATCH(VLOOKUP(K$37,$BH$3:$BI$50,2,FALSE),$I$4:$AJ$4,0),FALSE),BoundParameters_HiddenSheetCLAY!$B$1:$E$1,0),FALSE))),'Control Panel'!K41)))</f>
        <v/>
      </c>
      <c r="L41" s="44" t="str">
        <f>IF($I41="","",IF(L$37="","",IF('Control Panel'!L41="",IF(VLOOKUP($E41,'Table Output'!$A$2:$E$99998,5,FALSE)="Sand",VLOOKUP(L$37,BoundParameters_HiddenSheetSAND!$B$3:$E$50,MATCH(VLOOKUP($I41,$I$5:$AJ$29,MATCH(VLOOKUP(L$37,$BH$3:$BI$50,2,FALSE),$I$4:$AJ$4,0),FALSE),BoundParameters_HiddenSheetCLAY!$B$1:$E$1,0),FALSE),IF(VLOOKUP($E41,'Table Output'!$A$2:$E$99998,5,FALSE)="Clay",VLOOKUP(L$37,BoundParameters_HiddenSheetCLAY!$B$3:$E$50,MATCH(VLOOKUP($I41,$I$5:$AJ$35,MATCH(VLOOKUP(L$37,$BH$3:$BI$50,2,FALSE),$I$4:$AJ$4,0),FALSE),BoundParameters_HiddenSheetCLAY!$B$1:$E$1,0),FALSE))),'Control Panel'!L41)))</f>
        <v/>
      </c>
      <c r="M41" s="44" t="str">
        <f>IF($I41="","",IF(M$37="","",IF('Control Panel'!M41="",IF(VLOOKUP($E41,'Table Output'!$A$2:$E$99998,5,FALSE)="Sand",VLOOKUP(M$37,BoundParameters_HiddenSheetSAND!$B$3:$E$50,MATCH(VLOOKUP($I41,$I$5:$AJ$29,MATCH(VLOOKUP(M$37,$BH$3:$BI$50,2,FALSE),$I$4:$AJ$4,0),FALSE),BoundParameters_HiddenSheetCLAY!$B$1:$E$1,0),FALSE),IF(VLOOKUP($E41,'Table Output'!$A$2:$E$99998,5,FALSE)="Clay",VLOOKUP(M$37,BoundParameters_HiddenSheetCLAY!$B$3:$E$50,MATCH(VLOOKUP($I41,$I$5:$AJ$35,MATCH(VLOOKUP(M$37,$BH$3:$BI$50,2,FALSE),$I$4:$AJ$4,0),FALSE),BoundParameters_HiddenSheetCLAY!$B$1:$E$1,0),FALSE))),'Control Panel'!M41)))</f>
        <v/>
      </c>
      <c r="N41" s="44" t="str">
        <f>IF($I41="","",IF(N$37="","",IF('Control Panel'!N41="",IF(VLOOKUP($E41,'Table Output'!$A$2:$E$99998,5,FALSE)="Sand",VLOOKUP(N$37,BoundParameters_HiddenSheetSAND!$B$3:$E$50,MATCH(VLOOKUP($I41,$I$5:$AJ$29,MATCH(VLOOKUP(N$37,$BH$3:$BI$50,2,FALSE),$I$4:$AJ$4,0),FALSE),BoundParameters_HiddenSheetCLAY!$B$1:$E$1,0),FALSE),IF(VLOOKUP($E41,'Table Output'!$A$2:$E$99998,5,FALSE)="Clay",VLOOKUP(N$37,BoundParameters_HiddenSheetCLAY!$B$3:$E$50,MATCH(VLOOKUP($I41,$I$5:$AJ$35,MATCH(VLOOKUP(N$37,$BH$3:$BI$50,2,FALSE),$I$4:$AJ$4,0),FALSE),BoundParameters_HiddenSheetCLAY!$B$1:$E$1,0),FALSE))),'Control Panel'!N41)))</f>
        <v/>
      </c>
      <c r="O41" s="44" t="str">
        <f>IF($I41="","",IF(O$37="","",IF('Control Panel'!O41="",IF(VLOOKUP($E41,'Table Output'!$A$2:$E$99998,5,FALSE)="Sand",VLOOKUP(O$37,BoundParameters_HiddenSheetSAND!$B$3:$E$50,MATCH(VLOOKUP($I41,$I$5:$AJ$29,MATCH(VLOOKUP(O$37,$BH$3:$BI$50,2,FALSE),$I$4:$AJ$4,0),FALSE),BoundParameters_HiddenSheetCLAY!$B$1:$E$1,0),FALSE),IF(VLOOKUP($E41,'Table Output'!$A$2:$E$99998,5,FALSE)="Clay",VLOOKUP(O$37,BoundParameters_HiddenSheetCLAY!$B$3:$E$50,MATCH(VLOOKUP($I41,$I$5:$AJ$35,MATCH(VLOOKUP(O$37,$BH$3:$BI$50,2,FALSE),$I$4:$AJ$4,0),FALSE),BoundParameters_HiddenSheetCLAY!$B$1:$E$1,0),FALSE))),'Control Panel'!O41)))</f>
        <v/>
      </c>
      <c r="P41" s="44" t="str">
        <f>IF($I41="","",IF(P$37="","",IF('Control Panel'!P41="",IF(VLOOKUP($E41,'Table Output'!$A$2:$E$99998,5,FALSE)="Sand",VLOOKUP(P$37,BoundParameters_HiddenSheetSAND!$B$3:$E$50,MATCH(VLOOKUP($I41,$I$5:$AJ$29,MATCH(VLOOKUP(P$37,$BH$3:$BI$50,2,FALSE),$I$4:$AJ$4,0),FALSE),BoundParameters_HiddenSheetCLAY!$B$1:$E$1,0),FALSE),IF(VLOOKUP($E41,'Table Output'!$A$2:$E$99998,5,FALSE)="Clay",VLOOKUP(P$37,BoundParameters_HiddenSheetCLAY!$B$3:$E$50,MATCH(VLOOKUP($I41,$I$5:$AJ$35,MATCH(VLOOKUP(P$37,$BH$3:$BI$50,2,FALSE),$I$4:$AJ$4,0),FALSE),BoundParameters_HiddenSheetCLAY!$B$1:$E$1,0),FALSE))),'Control Panel'!P41)))</f>
        <v/>
      </c>
      <c r="Q41" s="44" t="str">
        <f>IF($I41="","",IF(Q$37="","",IF('Control Panel'!Q41="",IF(VLOOKUP($E41,'Table Output'!$A$2:$E$99998,5,FALSE)="Sand",VLOOKUP(Q$37,BoundParameters_HiddenSheetSAND!$B$3:$E$50,MATCH(VLOOKUP($I41,$I$5:$AJ$29,MATCH(VLOOKUP(Q$37,$BH$3:$BI$50,2,FALSE),$I$4:$AJ$4,0),FALSE),BoundParameters_HiddenSheetCLAY!$B$1:$E$1,0),FALSE),IF(VLOOKUP($E41,'Table Output'!$A$2:$E$99998,5,FALSE)="Clay",VLOOKUP(Q$37,BoundParameters_HiddenSheetCLAY!$B$3:$E$50,MATCH(VLOOKUP($I41,$I$5:$AJ$35,MATCH(VLOOKUP(Q$37,$BH$3:$BI$50,2,FALSE),$I$4:$AJ$4,0),FALSE),BoundParameters_HiddenSheetCLAY!$B$1:$E$1,0),FALSE))),'Control Panel'!Q41)))</f>
        <v/>
      </c>
      <c r="R41" s="44" t="str">
        <f>IF($I41="","",IF(R$37="","",IF('Control Panel'!R41="",IF(VLOOKUP($E41,'Table Output'!$A$2:$E$99998,5,FALSE)="Sand",VLOOKUP(R$37,BoundParameters_HiddenSheetSAND!$B$3:$E$50,MATCH(VLOOKUP($I41,$I$5:$AJ$29,MATCH(VLOOKUP(R$37,$BH$3:$BI$50,2,FALSE),$I$4:$AJ$4,0),FALSE),BoundParameters_HiddenSheetCLAY!$B$1:$E$1,0),FALSE),IF(VLOOKUP($E41,'Table Output'!$A$2:$E$99998,5,FALSE)="Clay",VLOOKUP(R$37,BoundParameters_HiddenSheetCLAY!$B$3:$E$50,MATCH(VLOOKUP($I41,$I$5:$AJ$35,MATCH(VLOOKUP(R$37,$BH$3:$BI$50,2,FALSE),$I$4:$AJ$4,0),FALSE),BoundParameters_HiddenSheetCLAY!$B$1:$E$1,0),FALSE))),'Control Panel'!R41)))</f>
        <v/>
      </c>
      <c r="S41" s="44" t="str">
        <f>IF($I41="","",IF(S$37="","",IF('Control Panel'!S41="",IF(VLOOKUP($E41,'Table Output'!$A$2:$E$99998,5,FALSE)="Sand",VLOOKUP(S$37,BoundParameters_HiddenSheetSAND!$B$3:$E$50,MATCH(VLOOKUP($I41,$I$5:$AJ$29,MATCH(VLOOKUP(S$37,$BH$3:$BI$50,2,FALSE),$I$4:$AJ$4,0),FALSE),BoundParameters_HiddenSheetCLAY!$B$1:$E$1,0),FALSE),IF(VLOOKUP($E41,'Table Output'!$A$2:$E$99998,5,FALSE)="Clay",VLOOKUP(S$37,BoundParameters_HiddenSheetCLAY!$B$3:$E$50,MATCH(VLOOKUP($I41,$I$5:$AJ$35,MATCH(VLOOKUP(S$37,$BH$3:$BI$50,2,FALSE),$I$4:$AJ$4,0),FALSE),BoundParameters_HiddenSheetCLAY!$B$1:$E$1,0),FALSE))),'Control Panel'!S41)))</f>
        <v/>
      </c>
      <c r="BH41" s="2" t="s">
        <v>169</v>
      </c>
      <c r="BI41" s="2" t="s">
        <v>104</v>
      </c>
    </row>
    <row r="42" spans="2:61" x14ac:dyDescent="0.15">
      <c r="B42" s="2" t="str">
        <f>'Control Panel'!B42</f>
        <v>Moment weight</v>
      </c>
      <c r="C42" s="2">
        <f>'Control Panel'!C42</f>
        <v>0.01</v>
      </c>
      <c r="E42" s="2" t="str">
        <f t="shared" si="3"/>
        <v/>
      </c>
      <c r="I42" s="7" t="str">
        <f t="shared" si="4"/>
        <v/>
      </c>
      <c r="J42" s="44" t="str">
        <f>IF($I42="","",IF(J$37="","",IF('Control Panel'!J42="",IF(VLOOKUP($E42,'Table Output'!$A$2:$E$99998,5,FALSE)="Sand",VLOOKUP(J$37,BoundParameters_HiddenSheetSAND!$B$3:$E$50,MATCH(VLOOKUP($I42,$I$5:$AJ$29,MATCH(VLOOKUP(J$37,$BH$3:$BI$50,2,FALSE),$I$4:$AJ$4,0),FALSE),BoundParameters_HiddenSheetCLAY!$B$1:$E$1,0),FALSE),IF(VLOOKUP($E42,'Table Output'!$A$2:$E$99998,5,FALSE)="Clay",VLOOKUP(J$37,BoundParameters_HiddenSheetCLAY!$B$3:$E$50,MATCH(VLOOKUP($I42,$I$5:$AJ$35,MATCH(VLOOKUP(J$37,$BH$3:$BI$50,2,FALSE),$I$4:$AJ$4,0),FALSE),BoundParameters_HiddenSheetCLAY!$B$1:$E$1,0),FALSE))),'Control Panel'!J42)))</f>
        <v/>
      </c>
      <c r="K42" s="44" t="str">
        <f>IF($I42="","",IF(K$37="","",IF('Control Panel'!K42="",IF(VLOOKUP($E42,'Table Output'!$A$2:$E$99998,5,FALSE)="Sand",VLOOKUP(K$37,BoundParameters_HiddenSheetSAND!$B$3:$E$50,MATCH(VLOOKUP($I42,$I$5:$AJ$29,MATCH(VLOOKUP(K$37,$BH$3:$BI$50,2,FALSE),$I$4:$AJ$4,0),FALSE),BoundParameters_HiddenSheetCLAY!$B$1:$E$1,0),FALSE),IF(VLOOKUP($E42,'Table Output'!$A$2:$E$99998,5,FALSE)="Clay",VLOOKUP(K$37,BoundParameters_HiddenSheetCLAY!$B$3:$E$50,MATCH(VLOOKUP($I42,$I$5:$AJ$35,MATCH(VLOOKUP(K$37,$BH$3:$BI$50,2,FALSE),$I$4:$AJ$4,0),FALSE),BoundParameters_HiddenSheetCLAY!$B$1:$E$1,0),FALSE))),'Control Panel'!K42)))</f>
        <v/>
      </c>
      <c r="L42" s="44" t="str">
        <f>IF($I42="","",IF(L$37="","",IF('Control Panel'!L42="",IF(VLOOKUP($E42,'Table Output'!$A$2:$E$99998,5,FALSE)="Sand",VLOOKUP(L$37,BoundParameters_HiddenSheetSAND!$B$3:$E$50,MATCH(VLOOKUP($I42,$I$5:$AJ$29,MATCH(VLOOKUP(L$37,$BH$3:$BI$50,2,FALSE),$I$4:$AJ$4,0),FALSE),BoundParameters_HiddenSheetCLAY!$B$1:$E$1,0),FALSE),IF(VLOOKUP($E42,'Table Output'!$A$2:$E$99998,5,FALSE)="Clay",VLOOKUP(L$37,BoundParameters_HiddenSheetCLAY!$B$3:$E$50,MATCH(VLOOKUP($I42,$I$5:$AJ$35,MATCH(VLOOKUP(L$37,$BH$3:$BI$50,2,FALSE),$I$4:$AJ$4,0),FALSE),BoundParameters_HiddenSheetCLAY!$B$1:$E$1,0),FALSE))),'Control Panel'!L42)))</f>
        <v/>
      </c>
      <c r="M42" s="44" t="str">
        <f>IF($I42="","",IF(M$37="","",IF('Control Panel'!M42="",IF(VLOOKUP($E42,'Table Output'!$A$2:$E$99998,5,FALSE)="Sand",VLOOKUP(M$37,BoundParameters_HiddenSheetSAND!$B$3:$E$50,MATCH(VLOOKUP($I42,$I$5:$AJ$29,MATCH(VLOOKUP(M$37,$BH$3:$BI$50,2,FALSE),$I$4:$AJ$4,0),FALSE),BoundParameters_HiddenSheetCLAY!$B$1:$E$1,0),FALSE),IF(VLOOKUP($E42,'Table Output'!$A$2:$E$99998,5,FALSE)="Clay",VLOOKUP(M$37,BoundParameters_HiddenSheetCLAY!$B$3:$E$50,MATCH(VLOOKUP($I42,$I$5:$AJ$35,MATCH(VLOOKUP(M$37,$BH$3:$BI$50,2,FALSE),$I$4:$AJ$4,0),FALSE),BoundParameters_HiddenSheetCLAY!$B$1:$E$1,0),FALSE))),'Control Panel'!M42)))</f>
        <v/>
      </c>
      <c r="N42" s="44" t="str">
        <f>IF($I42="","",IF(N$37="","",IF('Control Panel'!N42="",IF(VLOOKUP($E42,'Table Output'!$A$2:$E$99998,5,FALSE)="Sand",VLOOKUP(N$37,BoundParameters_HiddenSheetSAND!$B$3:$E$50,MATCH(VLOOKUP($I42,$I$5:$AJ$29,MATCH(VLOOKUP(N$37,$BH$3:$BI$50,2,FALSE),$I$4:$AJ$4,0),FALSE),BoundParameters_HiddenSheetCLAY!$B$1:$E$1,0),FALSE),IF(VLOOKUP($E42,'Table Output'!$A$2:$E$99998,5,FALSE)="Clay",VLOOKUP(N$37,BoundParameters_HiddenSheetCLAY!$B$3:$E$50,MATCH(VLOOKUP($I42,$I$5:$AJ$35,MATCH(VLOOKUP(N$37,$BH$3:$BI$50,2,FALSE),$I$4:$AJ$4,0),FALSE),BoundParameters_HiddenSheetCLAY!$B$1:$E$1,0),FALSE))),'Control Panel'!N42)))</f>
        <v/>
      </c>
      <c r="O42" s="44" t="str">
        <f>IF($I42="","",IF(O$37="","",IF('Control Panel'!O42="",IF(VLOOKUP($E42,'Table Output'!$A$2:$E$99998,5,FALSE)="Sand",VLOOKUP(O$37,BoundParameters_HiddenSheetSAND!$B$3:$E$50,MATCH(VLOOKUP($I42,$I$5:$AJ$29,MATCH(VLOOKUP(O$37,$BH$3:$BI$50,2,FALSE),$I$4:$AJ$4,0),FALSE),BoundParameters_HiddenSheetCLAY!$B$1:$E$1,0),FALSE),IF(VLOOKUP($E42,'Table Output'!$A$2:$E$99998,5,FALSE)="Clay",VLOOKUP(O$37,BoundParameters_HiddenSheetCLAY!$B$3:$E$50,MATCH(VLOOKUP($I42,$I$5:$AJ$35,MATCH(VLOOKUP(O$37,$BH$3:$BI$50,2,FALSE),$I$4:$AJ$4,0),FALSE),BoundParameters_HiddenSheetCLAY!$B$1:$E$1,0),FALSE))),'Control Panel'!O42)))</f>
        <v/>
      </c>
      <c r="P42" s="44" t="str">
        <f>IF($I42="","",IF(P$37="","",IF('Control Panel'!P42="",IF(VLOOKUP($E42,'Table Output'!$A$2:$E$99998,5,FALSE)="Sand",VLOOKUP(P$37,BoundParameters_HiddenSheetSAND!$B$3:$E$50,MATCH(VLOOKUP($I42,$I$5:$AJ$29,MATCH(VLOOKUP(P$37,$BH$3:$BI$50,2,FALSE),$I$4:$AJ$4,0),FALSE),BoundParameters_HiddenSheetCLAY!$B$1:$E$1,0),FALSE),IF(VLOOKUP($E42,'Table Output'!$A$2:$E$99998,5,FALSE)="Clay",VLOOKUP(P$37,BoundParameters_HiddenSheetCLAY!$B$3:$E$50,MATCH(VLOOKUP($I42,$I$5:$AJ$35,MATCH(VLOOKUP(P$37,$BH$3:$BI$50,2,FALSE),$I$4:$AJ$4,0),FALSE),BoundParameters_HiddenSheetCLAY!$B$1:$E$1,0),FALSE))),'Control Panel'!P42)))</f>
        <v/>
      </c>
      <c r="Q42" s="44" t="str">
        <f>IF($I42="","",IF(Q$37="","",IF('Control Panel'!Q42="",IF(VLOOKUP($E42,'Table Output'!$A$2:$E$99998,5,FALSE)="Sand",VLOOKUP(Q$37,BoundParameters_HiddenSheetSAND!$B$3:$E$50,MATCH(VLOOKUP($I42,$I$5:$AJ$29,MATCH(VLOOKUP(Q$37,$BH$3:$BI$50,2,FALSE),$I$4:$AJ$4,0),FALSE),BoundParameters_HiddenSheetCLAY!$B$1:$E$1,0),FALSE),IF(VLOOKUP($E42,'Table Output'!$A$2:$E$99998,5,FALSE)="Clay",VLOOKUP(Q$37,BoundParameters_HiddenSheetCLAY!$B$3:$E$50,MATCH(VLOOKUP($I42,$I$5:$AJ$35,MATCH(VLOOKUP(Q$37,$BH$3:$BI$50,2,FALSE),$I$4:$AJ$4,0),FALSE),BoundParameters_HiddenSheetCLAY!$B$1:$E$1,0),FALSE))),'Control Panel'!Q42)))</f>
        <v/>
      </c>
      <c r="R42" s="44" t="str">
        <f>IF($I42="","",IF(R$37="","",IF('Control Panel'!R42="",IF(VLOOKUP($E42,'Table Output'!$A$2:$E$99998,5,FALSE)="Sand",VLOOKUP(R$37,BoundParameters_HiddenSheetSAND!$B$3:$E$50,MATCH(VLOOKUP($I42,$I$5:$AJ$29,MATCH(VLOOKUP(R$37,$BH$3:$BI$50,2,FALSE),$I$4:$AJ$4,0),FALSE),BoundParameters_HiddenSheetCLAY!$B$1:$E$1,0),FALSE),IF(VLOOKUP($E42,'Table Output'!$A$2:$E$99998,5,FALSE)="Clay",VLOOKUP(R$37,BoundParameters_HiddenSheetCLAY!$B$3:$E$50,MATCH(VLOOKUP($I42,$I$5:$AJ$35,MATCH(VLOOKUP(R$37,$BH$3:$BI$50,2,FALSE),$I$4:$AJ$4,0),FALSE),BoundParameters_HiddenSheetCLAY!$B$1:$E$1,0),FALSE))),'Control Panel'!R42)))</f>
        <v/>
      </c>
      <c r="S42" s="44" t="str">
        <f>IF($I42="","",IF(S$37="","",IF('Control Panel'!S42="",IF(VLOOKUP($E42,'Table Output'!$A$2:$E$99998,5,FALSE)="Sand",VLOOKUP(S$37,BoundParameters_HiddenSheetSAND!$B$3:$E$50,MATCH(VLOOKUP($I42,$I$5:$AJ$29,MATCH(VLOOKUP(S$37,$BH$3:$BI$50,2,FALSE),$I$4:$AJ$4,0),FALSE),BoundParameters_HiddenSheetCLAY!$B$1:$E$1,0),FALSE),IF(VLOOKUP($E42,'Table Output'!$A$2:$E$99998,5,FALSE)="Clay",VLOOKUP(S$37,BoundParameters_HiddenSheetCLAY!$B$3:$E$50,MATCH(VLOOKUP($I42,$I$5:$AJ$35,MATCH(VLOOKUP(S$37,$BH$3:$BI$50,2,FALSE),$I$4:$AJ$4,0),FALSE),BoundParameters_HiddenSheetCLAY!$B$1:$E$1,0),FALSE))),'Control Panel'!S42)))</f>
        <v/>
      </c>
      <c r="BH42" s="2" t="s">
        <v>170</v>
      </c>
      <c r="BI42" s="2" t="s">
        <v>105</v>
      </c>
    </row>
    <row r="43" spans="2:61" x14ac:dyDescent="0.15">
      <c r="B43" s="2" t="str">
        <f>'Control Panel'!B43</f>
        <v>Displacement weight</v>
      </c>
      <c r="C43" s="2">
        <f>'Control Panel'!C43</f>
        <v>0.01</v>
      </c>
      <c r="E43" s="2" t="str">
        <f t="shared" si="3"/>
        <v/>
      </c>
      <c r="I43" s="7" t="str">
        <f t="shared" si="4"/>
        <v/>
      </c>
      <c r="J43" s="44" t="str">
        <f>IF($I43="","",IF(J$37="","",IF('Control Panel'!J43="",IF(VLOOKUP($E43,'Table Output'!$A$2:$E$99998,5,FALSE)="Sand",VLOOKUP(J$37,BoundParameters_HiddenSheetSAND!$B$3:$E$50,MATCH(VLOOKUP($I43,$I$5:$AJ$29,MATCH(VLOOKUP(J$37,$BH$3:$BI$50,2,FALSE),$I$4:$AJ$4,0),FALSE),BoundParameters_HiddenSheetCLAY!$B$1:$E$1,0),FALSE),IF(VLOOKUP($E43,'Table Output'!$A$2:$E$99998,5,FALSE)="Clay",VLOOKUP(J$37,BoundParameters_HiddenSheetCLAY!$B$3:$E$50,MATCH(VLOOKUP($I43,$I$5:$AJ$35,MATCH(VLOOKUP(J$37,$BH$3:$BI$50,2,FALSE),$I$4:$AJ$4,0),FALSE),BoundParameters_HiddenSheetCLAY!$B$1:$E$1,0),FALSE))),'Control Panel'!J43)))</f>
        <v/>
      </c>
      <c r="K43" s="44" t="str">
        <f>IF($I43="","",IF(K$37="","",IF('Control Panel'!K43="",IF(VLOOKUP($E43,'Table Output'!$A$2:$E$99998,5,FALSE)="Sand",VLOOKUP(K$37,BoundParameters_HiddenSheetSAND!$B$3:$E$50,MATCH(VLOOKUP($I43,$I$5:$AJ$29,MATCH(VLOOKUP(K$37,$BH$3:$BI$50,2,FALSE),$I$4:$AJ$4,0),FALSE),BoundParameters_HiddenSheetCLAY!$B$1:$E$1,0),FALSE),IF(VLOOKUP($E43,'Table Output'!$A$2:$E$99998,5,FALSE)="Clay",VLOOKUP(K$37,BoundParameters_HiddenSheetCLAY!$B$3:$E$50,MATCH(VLOOKUP($I43,$I$5:$AJ$35,MATCH(VLOOKUP(K$37,$BH$3:$BI$50,2,FALSE),$I$4:$AJ$4,0),FALSE),BoundParameters_HiddenSheetCLAY!$B$1:$E$1,0),FALSE))),'Control Panel'!K43)))</f>
        <v/>
      </c>
      <c r="L43" s="44" t="str">
        <f>IF($I43="","",IF(L$37="","",IF('Control Panel'!L43="",IF(VLOOKUP($E43,'Table Output'!$A$2:$E$99998,5,FALSE)="Sand",VLOOKUP(L$37,BoundParameters_HiddenSheetSAND!$B$3:$E$50,MATCH(VLOOKUP($I43,$I$5:$AJ$29,MATCH(VLOOKUP(L$37,$BH$3:$BI$50,2,FALSE),$I$4:$AJ$4,0),FALSE),BoundParameters_HiddenSheetCLAY!$B$1:$E$1,0),FALSE),IF(VLOOKUP($E43,'Table Output'!$A$2:$E$99998,5,FALSE)="Clay",VLOOKUP(L$37,BoundParameters_HiddenSheetCLAY!$B$3:$E$50,MATCH(VLOOKUP($I43,$I$5:$AJ$35,MATCH(VLOOKUP(L$37,$BH$3:$BI$50,2,FALSE),$I$4:$AJ$4,0),FALSE),BoundParameters_HiddenSheetCLAY!$B$1:$E$1,0),FALSE))),'Control Panel'!L43)))</f>
        <v/>
      </c>
      <c r="M43" s="44" t="str">
        <f>IF($I43="","",IF(M$37="","",IF('Control Panel'!M43="",IF(VLOOKUP($E43,'Table Output'!$A$2:$E$99998,5,FALSE)="Sand",VLOOKUP(M$37,BoundParameters_HiddenSheetSAND!$B$3:$E$50,MATCH(VLOOKUP($I43,$I$5:$AJ$29,MATCH(VLOOKUP(M$37,$BH$3:$BI$50,2,FALSE),$I$4:$AJ$4,0),FALSE),BoundParameters_HiddenSheetCLAY!$B$1:$E$1,0),FALSE),IF(VLOOKUP($E43,'Table Output'!$A$2:$E$99998,5,FALSE)="Clay",VLOOKUP(M$37,BoundParameters_HiddenSheetCLAY!$B$3:$E$50,MATCH(VLOOKUP($I43,$I$5:$AJ$35,MATCH(VLOOKUP(M$37,$BH$3:$BI$50,2,FALSE),$I$4:$AJ$4,0),FALSE),BoundParameters_HiddenSheetCLAY!$B$1:$E$1,0),FALSE))),'Control Panel'!M43)))</f>
        <v/>
      </c>
      <c r="N43" s="44" t="str">
        <f>IF($I43="","",IF(N$37="","",IF('Control Panel'!N43="",IF(VLOOKUP($E43,'Table Output'!$A$2:$E$99998,5,FALSE)="Sand",VLOOKUP(N$37,BoundParameters_HiddenSheetSAND!$B$3:$E$50,MATCH(VLOOKUP($I43,$I$5:$AJ$29,MATCH(VLOOKUP(N$37,$BH$3:$BI$50,2,FALSE),$I$4:$AJ$4,0),FALSE),BoundParameters_HiddenSheetCLAY!$B$1:$E$1,0),FALSE),IF(VLOOKUP($E43,'Table Output'!$A$2:$E$99998,5,FALSE)="Clay",VLOOKUP(N$37,BoundParameters_HiddenSheetCLAY!$B$3:$E$50,MATCH(VLOOKUP($I43,$I$5:$AJ$35,MATCH(VLOOKUP(N$37,$BH$3:$BI$50,2,FALSE),$I$4:$AJ$4,0),FALSE),BoundParameters_HiddenSheetCLAY!$B$1:$E$1,0),FALSE))),'Control Panel'!N43)))</f>
        <v/>
      </c>
      <c r="O43" s="44" t="str">
        <f>IF($I43="","",IF(O$37="","",IF('Control Panel'!O43="",IF(VLOOKUP($E43,'Table Output'!$A$2:$E$99998,5,FALSE)="Sand",VLOOKUP(O$37,BoundParameters_HiddenSheetSAND!$B$3:$E$50,MATCH(VLOOKUP($I43,$I$5:$AJ$29,MATCH(VLOOKUP(O$37,$BH$3:$BI$50,2,FALSE),$I$4:$AJ$4,0),FALSE),BoundParameters_HiddenSheetCLAY!$B$1:$E$1,0),FALSE),IF(VLOOKUP($E43,'Table Output'!$A$2:$E$99998,5,FALSE)="Clay",VLOOKUP(O$37,BoundParameters_HiddenSheetCLAY!$B$3:$E$50,MATCH(VLOOKUP($I43,$I$5:$AJ$35,MATCH(VLOOKUP(O$37,$BH$3:$BI$50,2,FALSE),$I$4:$AJ$4,0),FALSE),BoundParameters_HiddenSheetCLAY!$B$1:$E$1,0),FALSE))),'Control Panel'!O43)))</f>
        <v/>
      </c>
      <c r="P43" s="44" t="str">
        <f>IF($I43="","",IF(P$37="","",IF('Control Panel'!P43="",IF(VLOOKUP($E43,'Table Output'!$A$2:$E$99998,5,FALSE)="Sand",VLOOKUP(P$37,BoundParameters_HiddenSheetSAND!$B$3:$E$50,MATCH(VLOOKUP($I43,$I$5:$AJ$29,MATCH(VLOOKUP(P$37,$BH$3:$BI$50,2,FALSE),$I$4:$AJ$4,0),FALSE),BoundParameters_HiddenSheetCLAY!$B$1:$E$1,0),FALSE),IF(VLOOKUP($E43,'Table Output'!$A$2:$E$99998,5,FALSE)="Clay",VLOOKUP(P$37,BoundParameters_HiddenSheetCLAY!$B$3:$E$50,MATCH(VLOOKUP($I43,$I$5:$AJ$35,MATCH(VLOOKUP(P$37,$BH$3:$BI$50,2,FALSE),$I$4:$AJ$4,0),FALSE),BoundParameters_HiddenSheetCLAY!$B$1:$E$1,0),FALSE))),'Control Panel'!P43)))</f>
        <v/>
      </c>
      <c r="Q43" s="44" t="str">
        <f>IF($I43="","",IF(Q$37="","",IF('Control Panel'!Q43="",IF(VLOOKUP($E43,'Table Output'!$A$2:$E$99998,5,FALSE)="Sand",VLOOKUP(Q$37,BoundParameters_HiddenSheetSAND!$B$3:$E$50,MATCH(VLOOKUP($I43,$I$5:$AJ$29,MATCH(VLOOKUP(Q$37,$BH$3:$BI$50,2,FALSE),$I$4:$AJ$4,0),FALSE),BoundParameters_HiddenSheetCLAY!$B$1:$E$1,0),FALSE),IF(VLOOKUP($E43,'Table Output'!$A$2:$E$99998,5,FALSE)="Clay",VLOOKUP(Q$37,BoundParameters_HiddenSheetCLAY!$B$3:$E$50,MATCH(VLOOKUP($I43,$I$5:$AJ$35,MATCH(VLOOKUP(Q$37,$BH$3:$BI$50,2,FALSE),$I$4:$AJ$4,0),FALSE),BoundParameters_HiddenSheetCLAY!$B$1:$E$1,0),FALSE))),'Control Panel'!Q43)))</f>
        <v/>
      </c>
      <c r="R43" s="44" t="str">
        <f>IF($I43="","",IF(R$37="","",IF('Control Panel'!R43="",IF(VLOOKUP($E43,'Table Output'!$A$2:$E$99998,5,FALSE)="Sand",VLOOKUP(R$37,BoundParameters_HiddenSheetSAND!$B$3:$E$50,MATCH(VLOOKUP($I43,$I$5:$AJ$29,MATCH(VLOOKUP(R$37,$BH$3:$BI$50,2,FALSE),$I$4:$AJ$4,0),FALSE),BoundParameters_HiddenSheetCLAY!$B$1:$E$1,0),FALSE),IF(VLOOKUP($E43,'Table Output'!$A$2:$E$99998,5,FALSE)="Clay",VLOOKUP(R$37,BoundParameters_HiddenSheetCLAY!$B$3:$E$50,MATCH(VLOOKUP($I43,$I$5:$AJ$35,MATCH(VLOOKUP(R$37,$BH$3:$BI$50,2,FALSE),$I$4:$AJ$4,0),FALSE),BoundParameters_HiddenSheetCLAY!$B$1:$E$1,0),FALSE))),'Control Panel'!R43)))</f>
        <v/>
      </c>
      <c r="S43" s="44" t="str">
        <f>IF($I43="","",IF(S$37="","",IF('Control Panel'!S43="",IF(VLOOKUP($E43,'Table Output'!$A$2:$E$99998,5,FALSE)="Sand",VLOOKUP(S$37,BoundParameters_HiddenSheetSAND!$B$3:$E$50,MATCH(VLOOKUP($I43,$I$5:$AJ$29,MATCH(VLOOKUP(S$37,$BH$3:$BI$50,2,FALSE),$I$4:$AJ$4,0),FALSE),BoundParameters_HiddenSheetCLAY!$B$1:$E$1,0),FALSE),IF(VLOOKUP($E43,'Table Output'!$A$2:$E$99998,5,FALSE)="Clay",VLOOKUP(S$37,BoundParameters_HiddenSheetCLAY!$B$3:$E$50,MATCH(VLOOKUP($I43,$I$5:$AJ$35,MATCH(VLOOKUP(S$37,$BH$3:$BI$50,2,FALSE),$I$4:$AJ$4,0),FALSE),BoundParameters_HiddenSheetCLAY!$B$1:$E$1,0),FALSE))),'Control Panel'!S43)))</f>
        <v/>
      </c>
      <c r="X43" s="45"/>
      <c r="BH43" s="2" t="s">
        <v>171</v>
      </c>
      <c r="BI43" s="2" t="s">
        <v>105</v>
      </c>
    </row>
    <row r="44" spans="2:61" x14ac:dyDescent="0.15">
      <c r="B44" s="2" t="str">
        <f>'Control Panel'!B44</f>
        <v>Load-displacement weight</v>
      </c>
      <c r="C44" s="2">
        <f>'Control Panel'!C44</f>
        <v>0.01</v>
      </c>
      <c r="E44" s="2" t="str">
        <f t="shared" si="3"/>
        <v>Cowden_Clay</v>
      </c>
      <c r="I44" s="7">
        <f t="shared" si="4"/>
        <v>7</v>
      </c>
      <c r="J44" s="44">
        <f>IF($I44="","",IF(J$37="","",IF('Control Panel'!J44="",IF(VLOOKUP($E44,'Table Output'!$A$2:$E$99998,5,FALSE)="Sand",VLOOKUP(J$37,BoundParameters_HiddenSheetSAND!$B$3:$E$50,MATCH(VLOOKUP($I44,$I$5:$AJ$29,MATCH(VLOOKUP(J$37,$BH$3:$BI$50,2,FALSE),$I$4:$AJ$4,0),FALSE),BoundParameters_HiddenSheetCLAY!$B$1:$E$1,0),FALSE),IF(VLOOKUP($E44,'Table Output'!$A$2:$E$99998,5,FALSE)="Clay",VLOOKUP(J$37,BoundParameters_HiddenSheetCLAY!$B$3:$E$50,MATCH(VLOOKUP($I44,$I$5:$AJ$35,MATCH(VLOOKUP(J$37,$BH$3:$BI$50,2,FALSE),$I$4:$AJ$4,0),FALSE),BoundParameters_HiddenSheetCLAY!$B$1:$E$1,0),FALSE))),'Control Panel'!J44)))</f>
        <v>30</v>
      </c>
      <c r="K44" s="44">
        <f>IF($I44="","",IF(K$37="","",IF('Control Panel'!K44="",IF(VLOOKUP($E44,'Table Output'!$A$2:$E$99998,5,FALSE)="Sand",VLOOKUP(K$37,BoundParameters_HiddenSheetSAND!$B$3:$E$50,MATCH(VLOOKUP($I44,$I$5:$AJ$29,MATCH(VLOOKUP(K$37,$BH$3:$BI$50,2,FALSE),$I$4:$AJ$4,0),FALSE),BoundParameters_HiddenSheetCLAY!$B$1:$E$1,0),FALSE),IF(VLOOKUP($E44,'Table Output'!$A$2:$E$99998,5,FALSE)="Clay",VLOOKUP(K$37,BoundParameters_HiddenSheetCLAY!$B$3:$E$50,MATCH(VLOOKUP($I44,$I$5:$AJ$35,MATCH(VLOOKUP(K$37,$BH$3:$BI$50,2,FALSE),$I$4:$AJ$4,0),FALSE),BoundParameters_HiddenSheetCLAY!$B$1:$E$1,0),FALSE))),'Control Panel'!K44)))</f>
        <v>7.2110000000000003</v>
      </c>
      <c r="L44" s="44">
        <f>IF($I44="","",IF(L$37="","",IF('Control Panel'!L44="",IF(VLOOKUP($E44,'Table Output'!$A$2:$E$99998,5,FALSE)="Sand",VLOOKUP(L$37,BoundParameters_HiddenSheetSAND!$B$3:$E$50,MATCH(VLOOKUP($I44,$I$5:$AJ$29,MATCH(VLOOKUP(L$37,$BH$3:$BI$50,2,FALSE),$I$4:$AJ$4,0),FALSE),BoundParameters_HiddenSheetCLAY!$B$1:$E$1,0),FALSE),IF(VLOOKUP($E44,'Table Output'!$A$2:$E$99998,5,FALSE)="Clay",VLOOKUP(L$37,BoundParameters_HiddenSheetCLAY!$B$3:$E$50,MATCH(VLOOKUP($I44,$I$5:$AJ$35,MATCH(VLOOKUP(L$37,$BH$3:$BI$50,2,FALSE),$I$4:$AJ$4,0),FALSE),BoundParameters_HiddenSheetCLAY!$B$1:$E$1,0),FALSE))),'Control Panel'!L44)))</f>
        <v>-2.4</v>
      </c>
      <c r="M44" s="44">
        <f>IF($I44="","",IF(M$37="","",IF('Control Panel'!M44="",IF(VLOOKUP($E44,'Table Output'!$A$2:$E$99998,5,FALSE)="Sand",VLOOKUP(M$37,BoundParameters_HiddenSheetSAND!$B$3:$E$50,MATCH(VLOOKUP($I44,$I$5:$AJ$29,MATCH(VLOOKUP(M$37,$BH$3:$BI$50,2,FALSE),$I$4:$AJ$4,0),FALSE),BoundParameters_HiddenSheetCLAY!$B$1:$E$1,0),FALSE),IF(VLOOKUP($E44,'Table Output'!$A$2:$E$99998,5,FALSE)="Clay",VLOOKUP(M$37,BoundParameters_HiddenSheetCLAY!$B$3:$E$50,MATCH(VLOOKUP($I44,$I$5:$AJ$35,MATCH(VLOOKUP(M$37,$BH$3:$BI$50,2,FALSE),$I$4:$AJ$4,0),FALSE),BoundParameters_HiddenSheetCLAY!$B$1:$E$1,0),FALSE))),'Control Panel'!M44)))</f>
        <v>-1.5</v>
      </c>
      <c r="N44" s="44">
        <f>IF($I44="","",IF(N$37="","",IF('Control Panel'!N44="",IF(VLOOKUP($E44,'Table Output'!$A$2:$E$99998,5,FALSE)="Sand",VLOOKUP(N$37,BoundParameters_HiddenSheetSAND!$B$3:$E$50,MATCH(VLOOKUP($I44,$I$5:$AJ$29,MATCH(VLOOKUP(N$37,$BH$3:$BI$50,2,FALSE),$I$4:$AJ$4,0),FALSE),BoundParameters_HiddenSheetCLAY!$B$1:$E$1,0),FALSE),IF(VLOOKUP($E44,'Table Output'!$A$2:$E$99998,5,FALSE)="Clay",VLOOKUP(N$37,BoundParameters_HiddenSheetCLAY!$B$3:$E$50,MATCH(VLOOKUP($I44,$I$5:$AJ$35,MATCH(VLOOKUP(N$37,$BH$3:$BI$50,2,FALSE),$I$4:$AJ$4,0),FALSE),BoundParameters_HiddenSheetCLAY!$B$1:$E$1,0),FALSE))),'Control Panel'!N44)))</f>
        <v>0.5</v>
      </c>
      <c r="O44" s="44" t="str">
        <f>IF($I44="","",IF(O$37="","",IF('Control Panel'!O44="",IF(VLOOKUP($E44,'Table Output'!$A$2:$E$99998,5,FALSE)="Sand",VLOOKUP(O$37,BoundParameters_HiddenSheetSAND!$B$3:$E$50,MATCH(VLOOKUP($I44,$I$5:$AJ$29,MATCH(VLOOKUP(O$37,$BH$3:$BI$50,2,FALSE),$I$4:$AJ$4,0),FALSE),BoundParameters_HiddenSheetCLAY!$B$1:$E$1,0),FALSE),IF(VLOOKUP($E44,'Table Output'!$A$2:$E$99998,5,FALSE)="Clay",VLOOKUP(O$37,BoundParameters_HiddenSheetCLAY!$B$3:$E$50,MATCH(VLOOKUP($I44,$I$5:$AJ$35,MATCH(VLOOKUP(O$37,$BH$3:$BI$50,2,FALSE),$I$4:$AJ$4,0),FALSE),BoundParameters_HiddenSheetCLAY!$B$1:$E$1,0),FALSE))),'Control Panel'!O44)))</f>
        <v/>
      </c>
      <c r="P44" s="44" t="str">
        <f>IF($I44="","",IF(P$37="","",IF('Control Panel'!P44="",IF(VLOOKUP($E44,'Table Output'!$A$2:$E$99998,5,FALSE)="Sand",VLOOKUP(P$37,BoundParameters_HiddenSheetSAND!$B$3:$E$50,MATCH(VLOOKUP($I44,$I$5:$AJ$29,MATCH(VLOOKUP(P$37,$BH$3:$BI$50,2,FALSE),$I$4:$AJ$4,0),FALSE),BoundParameters_HiddenSheetCLAY!$B$1:$E$1,0),FALSE),IF(VLOOKUP($E44,'Table Output'!$A$2:$E$99998,5,FALSE)="Clay",VLOOKUP(P$37,BoundParameters_HiddenSheetCLAY!$B$3:$E$50,MATCH(VLOOKUP($I44,$I$5:$AJ$35,MATCH(VLOOKUP(P$37,$BH$3:$BI$50,2,FALSE),$I$4:$AJ$4,0),FALSE),BoundParameters_HiddenSheetCLAY!$B$1:$E$1,0),FALSE))),'Control Panel'!P44)))</f>
        <v/>
      </c>
      <c r="Q44" s="44" t="str">
        <f>IF($I44="","",IF(Q$37="","",IF('Control Panel'!Q44="",IF(VLOOKUP($E44,'Table Output'!$A$2:$E$99998,5,FALSE)="Sand",VLOOKUP(Q$37,BoundParameters_HiddenSheetSAND!$B$3:$E$50,MATCH(VLOOKUP($I44,$I$5:$AJ$29,MATCH(VLOOKUP(Q$37,$BH$3:$BI$50,2,FALSE),$I$4:$AJ$4,0),FALSE),BoundParameters_HiddenSheetCLAY!$B$1:$E$1,0),FALSE),IF(VLOOKUP($E44,'Table Output'!$A$2:$E$99998,5,FALSE)="Clay",VLOOKUP(Q$37,BoundParameters_HiddenSheetCLAY!$B$3:$E$50,MATCH(VLOOKUP($I44,$I$5:$AJ$35,MATCH(VLOOKUP(Q$37,$BH$3:$BI$50,2,FALSE),$I$4:$AJ$4,0),FALSE),BoundParameters_HiddenSheetCLAY!$B$1:$E$1,0),FALSE))),'Control Panel'!Q44)))</f>
        <v/>
      </c>
      <c r="R44" s="44" t="str">
        <f>IF($I44="","",IF(R$37="","",IF('Control Panel'!R44="",IF(VLOOKUP($E44,'Table Output'!$A$2:$E$99998,5,FALSE)="Sand",VLOOKUP(R$37,BoundParameters_HiddenSheetSAND!$B$3:$E$50,MATCH(VLOOKUP($I44,$I$5:$AJ$29,MATCH(VLOOKUP(R$37,$BH$3:$BI$50,2,FALSE),$I$4:$AJ$4,0),FALSE),BoundParameters_HiddenSheetCLAY!$B$1:$E$1,0),FALSE),IF(VLOOKUP($E44,'Table Output'!$A$2:$E$99998,5,FALSE)="Clay",VLOOKUP(R$37,BoundParameters_HiddenSheetCLAY!$B$3:$E$50,MATCH(VLOOKUP($I44,$I$5:$AJ$35,MATCH(VLOOKUP(R$37,$BH$3:$BI$50,2,FALSE),$I$4:$AJ$4,0),FALSE),BoundParameters_HiddenSheetCLAY!$B$1:$E$1,0),FALSE))),'Control Panel'!R44)))</f>
        <v/>
      </c>
      <c r="S44" s="44" t="str">
        <f>IF($I44="","",IF(S$37="","",IF('Control Panel'!S44="",IF(VLOOKUP($E44,'Table Output'!$A$2:$E$99998,5,FALSE)="Sand",VLOOKUP(S$37,BoundParameters_HiddenSheetSAND!$B$3:$E$50,MATCH(VLOOKUP($I44,$I$5:$AJ$29,MATCH(VLOOKUP(S$37,$BH$3:$BI$50,2,FALSE),$I$4:$AJ$4,0),FALSE),BoundParameters_HiddenSheetCLAY!$B$1:$E$1,0),FALSE),IF(VLOOKUP($E44,'Table Output'!$A$2:$E$99998,5,FALSE)="Clay",VLOOKUP(S$37,BoundParameters_HiddenSheetCLAY!$B$3:$E$50,MATCH(VLOOKUP($I44,$I$5:$AJ$35,MATCH(VLOOKUP(S$37,$BH$3:$BI$50,2,FALSE),$I$4:$AJ$4,0),FALSE),BoundParameters_HiddenSheetCLAY!$B$1:$E$1,0),FALSE))),'Control Panel'!S44)))</f>
        <v/>
      </c>
      <c r="BH44" s="2" t="s">
        <v>172</v>
      </c>
      <c r="BI44" s="2" t="s">
        <v>105</v>
      </c>
    </row>
    <row r="45" spans="2:61" x14ac:dyDescent="0.15">
      <c r="B45" s="2" t="str">
        <f>'Control Panel'!B45</f>
        <v>Moment focus</v>
      </c>
      <c r="C45" s="2" t="str">
        <f>'Control Panel'!C45</f>
        <v>2&amp;1</v>
      </c>
      <c r="E45" s="2" t="str">
        <f t="shared" si="3"/>
        <v/>
      </c>
      <c r="I45" s="7" t="str">
        <f t="shared" si="4"/>
        <v/>
      </c>
      <c r="J45" s="44" t="str">
        <f>IF($I45="","",IF(J$37="","",IF('Control Panel'!J45="",IF(VLOOKUP($E45,'Table Output'!$A$2:$E$99998,5,FALSE)="Sand",VLOOKUP(J$37,BoundParameters_HiddenSheetSAND!$B$3:$E$50,MATCH(VLOOKUP($I45,$I$5:$AJ$29,MATCH(VLOOKUP(J$37,$BH$3:$BI$50,2,FALSE),$I$4:$AJ$4,0),FALSE),BoundParameters_HiddenSheetCLAY!$B$1:$E$1,0),FALSE),IF(VLOOKUP($E45,'Table Output'!$A$2:$E$99998,5,FALSE)="Clay",VLOOKUP(J$37,BoundParameters_HiddenSheetCLAY!$B$3:$E$50,MATCH(VLOOKUP($I45,$I$5:$AJ$35,MATCH(VLOOKUP(J$37,$BH$3:$BI$50,2,FALSE),$I$4:$AJ$4,0),FALSE),BoundParameters_HiddenSheetCLAY!$B$1:$E$1,0),FALSE))),'Control Panel'!J45)))</f>
        <v/>
      </c>
      <c r="K45" s="44" t="str">
        <f>IF($I45="","",IF(K$37="","",IF('Control Panel'!K45="",IF(VLOOKUP($E45,'Table Output'!$A$2:$E$99998,5,FALSE)="Sand",VLOOKUP(K$37,BoundParameters_HiddenSheetSAND!$B$3:$E$50,MATCH(VLOOKUP($I45,$I$5:$AJ$29,MATCH(VLOOKUP(K$37,$BH$3:$BI$50,2,FALSE),$I$4:$AJ$4,0),FALSE),BoundParameters_HiddenSheetCLAY!$B$1:$E$1,0),FALSE),IF(VLOOKUP($E45,'Table Output'!$A$2:$E$99998,5,FALSE)="Clay",VLOOKUP(K$37,BoundParameters_HiddenSheetCLAY!$B$3:$E$50,MATCH(VLOOKUP($I45,$I$5:$AJ$35,MATCH(VLOOKUP(K$37,$BH$3:$BI$50,2,FALSE),$I$4:$AJ$4,0),FALSE),BoundParameters_HiddenSheetCLAY!$B$1:$E$1,0),FALSE))),'Control Panel'!K45)))</f>
        <v/>
      </c>
      <c r="L45" s="44" t="str">
        <f>IF($I45="","",IF(L$37="","",IF('Control Panel'!L45="",IF(VLOOKUP($E45,'Table Output'!$A$2:$E$99998,5,FALSE)="Sand",VLOOKUP(L$37,BoundParameters_HiddenSheetSAND!$B$3:$E$50,MATCH(VLOOKUP($I45,$I$5:$AJ$29,MATCH(VLOOKUP(L$37,$BH$3:$BI$50,2,FALSE),$I$4:$AJ$4,0),FALSE),BoundParameters_HiddenSheetCLAY!$B$1:$E$1,0),FALSE),IF(VLOOKUP($E45,'Table Output'!$A$2:$E$99998,5,FALSE)="Clay",VLOOKUP(L$37,BoundParameters_HiddenSheetCLAY!$B$3:$E$50,MATCH(VLOOKUP($I45,$I$5:$AJ$35,MATCH(VLOOKUP(L$37,$BH$3:$BI$50,2,FALSE),$I$4:$AJ$4,0),FALSE),BoundParameters_HiddenSheetCLAY!$B$1:$E$1,0),FALSE))),'Control Panel'!L45)))</f>
        <v/>
      </c>
      <c r="M45" s="44" t="str">
        <f>IF($I45="","",IF(M$37="","",IF('Control Panel'!M45="",IF(VLOOKUP($E45,'Table Output'!$A$2:$E$99998,5,FALSE)="Sand",VLOOKUP(M$37,BoundParameters_HiddenSheetSAND!$B$3:$E$50,MATCH(VLOOKUP($I45,$I$5:$AJ$29,MATCH(VLOOKUP(M$37,$BH$3:$BI$50,2,FALSE),$I$4:$AJ$4,0),FALSE),BoundParameters_HiddenSheetCLAY!$B$1:$E$1,0),FALSE),IF(VLOOKUP($E45,'Table Output'!$A$2:$E$99998,5,FALSE)="Clay",VLOOKUP(M$37,BoundParameters_HiddenSheetCLAY!$B$3:$E$50,MATCH(VLOOKUP($I45,$I$5:$AJ$35,MATCH(VLOOKUP(M$37,$BH$3:$BI$50,2,FALSE),$I$4:$AJ$4,0),FALSE),BoundParameters_HiddenSheetCLAY!$B$1:$E$1,0),FALSE))),'Control Panel'!M45)))</f>
        <v/>
      </c>
      <c r="N45" s="44" t="str">
        <f>IF($I45="","",IF(N$37="","",IF('Control Panel'!N45="",IF(VLOOKUP($E45,'Table Output'!$A$2:$E$99998,5,FALSE)="Sand",VLOOKUP(N$37,BoundParameters_HiddenSheetSAND!$B$3:$E$50,MATCH(VLOOKUP($I45,$I$5:$AJ$29,MATCH(VLOOKUP(N$37,$BH$3:$BI$50,2,FALSE),$I$4:$AJ$4,0),FALSE),BoundParameters_HiddenSheetCLAY!$B$1:$E$1,0),FALSE),IF(VLOOKUP($E45,'Table Output'!$A$2:$E$99998,5,FALSE)="Clay",VLOOKUP(N$37,BoundParameters_HiddenSheetCLAY!$B$3:$E$50,MATCH(VLOOKUP($I45,$I$5:$AJ$35,MATCH(VLOOKUP(N$37,$BH$3:$BI$50,2,FALSE),$I$4:$AJ$4,0),FALSE),BoundParameters_HiddenSheetCLAY!$B$1:$E$1,0),FALSE))),'Control Panel'!N45)))</f>
        <v/>
      </c>
      <c r="O45" s="44" t="str">
        <f>IF($I45="","",IF(O$37="","",IF('Control Panel'!O45="",IF(VLOOKUP($E45,'Table Output'!$A$2:$E$99998,5,FALSE)="Sand",VLOOKUP(O$37,BoundParameters_HiddenSheetSAND!$B$3:$E$50,MATCH(VLOOKUP($I45,$I$5:$AJ$29,MATCH(VLOOKUP(O$37,$BH$3:$BI$50,2,FALSE),$I$4:$AJ$4,0),FALSE),BoundParameters_HiddenSheetCLAY!$B$1:$E$1,0),FALSE),IF(VLOOKUP($E45,'Table Output'!$A$2:$E$99998,5,FALSE)="Clay",VLOOKUP(O$37,BoundParameters_HiddenSheetCLAY!$B$3:$E$50,MATCH(VLOOKUP($I45,$I$5:$AJ$35,MATCH(VLOOKUP(O$37,$BH$3:$BI$50,2,FALSE),$I$4:$AJ$4,0),FALSE),BoundParameters_HiddenSheetCLAY!$B$1:$E$1,0),FALSE))),'Control Panel'!O45)))</f>
        <v/>
      </c>
      <c r="P45" s="44" t="str">
        <f>IF($I45="","",IF(P$37="","",IF('Control Panel'!P45="",IF(VLOOKUP($E45,'Table Output'!$A$2:$E$99998,5,FALSE)="Sand",VLOOKUP(P$37,BoundParameters_HiddenSheetSAND!$B$3:$E$50,MATCH(VLOOKUP($I45,$I$5:$AJ$29,MATCH(VLOOKUP(P$37,$BH$3:$BI$50,2,FALSE),$I$4:$AJ$4,0),FALSE),BoundParameters_HiddenSheetCLAY!$B$1:$E$1,0),FALSE),IF(VLOOKUP($E45,'Table Output'!$A$2:$E$99998,5,FALSE)="Clay",VLOOKUP(P$37,BoundParameters_HiddenSheetCLAY!$B$3:$E$50,MATCH(VLOOKUP($I45,$I$5:$AJ$35,MATCH(VLOOKUP(P$37,$BH$3:$BI$50,2,FALSE),$I$4:$AJ$4,0),FALSE),BoundParameters_HiddenSheetCLAY!$B$1:$E$1,0),FALSE))),'Control Panel'!P45)))</f>
        <v/>
      </c>
      <c r="Q45" s="44" t="str">
        <f>IF($I45="","",IF(Q$37="","",IF('Control Panel'!Q45="",IF(VLOOKUP($E45,'Table Output'!$A$2:$E$99998,5,FALSE)="Sand",VLOOKUP(Q$37,BoundParameters_HiddenSheetSAND!$B$3:$E$50,MATCH(VLOOKUP($I45,$I$5:$AJ$29,MATCH(VLOOKUP(Q$37,$BH$3:$BI$50,2,FALSE),$I$4:$AJ$4,0),FALSE),BoundParameters_HiddenSheetCLAY!$B$1:$E$1,0),FALSE),IF(VLOOKUP($E45,'Table Output'!$A$2:$E$99998,5,FALSE)="Clay",VLOOKUP(Q$37,BoundParameters_HiddenSheetCLAY!$B$3:$E$50,MATCH(VLOOKUP($I45,$I$5:$AJ$35,MATCH(VLOOKUP(Q$37,$BH$3:$BI$50,2,FALSE),$I$4:$AJ$4,0),FALSE),BoundParameters_HiddenSheetCLAY!$B$1:$E$1,0),FALSE))),'Control Panel'!Q45)))</f>
        <v/>
      </c>
      <c r="R45" s="44" t="str">
        <f>IF($I45="","",IF(R$37="","",IF('Control Panel'!R45="",IF(VLOOKUP($E45,'Table Output'!$A$2:$E$99998,5,FALSE)="Sand",VLOOKUP(R$37,BoundParameters_HiddenSheetSAND!$B$3:$E$50,MATCH(VLOOKUP($I45,$I$5:$AJ$29,MATCH(VLOOKUP(R$37,$BH$3:$BI$50,2,FALSE),$I$4:$AJ$4,0),FALSE),BoundParameters_HiddenSheetCLAY!$B$1:$E$1,0),FALSE),IF(VLOOKUP($E45,'Table Output'!$A$2:$E$99998,5,FALSE)="Clay",VLOOKUP(R$37,BoundParameters_HiddenSheetCLAY!$B$3:$E$50,MATCH(VLOOKUP($I45,$I$5:$AJ$35,MATCH(VLOOKUP(R$37,$BH$3:$BI$50,2,FALSE),$I$4:$AJ$4,0),FALSE),BoundParameters_HiddenSheetCLAY!$B$1:$E$1,0),FALSE))),'Control Panel'!R45)))</f>
        <v/>
      </c>
      <c r="S45" s="44" t="str">
        <f>IF($I45="","",IF(S$37="","",IF('Control Panel'!S45="",IF(VLOOKUP($E45,'Table Output'!$A$2:$E$99998,5,FALSE)="Sand",VLOOKUP(S$37,BoundParameters_HiddenSheetSAND!$B$3:$E$50,MATCH(VLOOKUP($I45,$I$5:$AJ$29,MATCH(VLOOKUP(S$37,$BH$3:$BI$50,2,FALSE),$I$4:$AJ$4,0),FALSE),BoundParameters_HiddenSheetCLAY!$B$1:$E$1,0),FALSE),IF(VLOOKUP($E45,'Table Output'!$A$2:$E$99998,5,FALSE)="Clay",VLOOKUP(S$37,BoundParameters_HiddenSheetCLAY!$B$3:$E$50,MATCH(VLOOKUP($I45,$I$5:$AJ$35,MATCH(VLOOKUP(S$37,$BH$3:$BI$50,2,FALSE),$I$4:$AJ$4,0),FALSE),BoundParameters_HiddenSheetCLAY!$B$1:$E$1,0),FALSE))),'Control Panel'!S45)))</f>
        <v/>
      </c>
      <c r="BH45" s="2" t="s">
        <v>89</v>
      </c>
      <c r="BI45" s="2" t="s">
        <v>106</v>
      </c>
    </row>
    <row r="46" spans="2:61" x14ac:dyDescent="0.15">
      <c r="B46" s="2" t="str">
        <f>'Control Panel'!B46</f>
        <v>Displacement focus</v>
      </c>
      <c r="C46" s="2" t="str">
        <f>'Control Panel'!C46</f>
        <v>1&amp;1</v>
      </c>
      <c r="E46" s="2" t="str">
        <f t="shared" si="3"/>
        <v/>
      </c>
      <c r="I46" s="7" t="str">
        <f t="shared" si="4"/>
        <v/>
      </c>
      <c r="J46" s="44" t="str">
        <f>IF($I46="","",IF(J$37="","",IF('Control Panel'!J46="",IF(VLOOKUP($E46,'Table Output'!$A$2:$E$99998,5,FALSE)="Sand",VLOOKUP(J$37,BoundParameters_HiddenSheetSAND!$B$3:$E$50,MATCH(VLOOKUP($I46,$I$5:$AJ$29,MATCH(VLOOKUP(J$37,$BH$3:$BI$50,2,FALSE),$I$4:$AJ$4,0),FALSE),BoundParameters_HiddenSheetCLAY!$B$1:$E$1,0),FALSE),IF(VLOOKUP($E46,'Table Output'!$A$2:$E$99998,5,FALSE)="Clay",VLOOKUP(J$37,BoundParameters_HiddenSheetCLAY!$B$3:$E$50,MATCH(VLOOKUP($I46,$I$5:$AJ$35,MATCH(VLOOKUP(J$37,$BH$3:$BI$50,2,FALSE),$I$4:$AJ$4,0),FALSE),BoundParameters_HiddenSheetCLAY!$B$1:$E$1,0),FALSE))),'Control Panel'!J46)))</f>
        <v/>
      </c>
      <c r="K46" s="44" t="str">
        <f>IF($I46="","",IF(K$37="","",IF('Control Panel'!K46="",IF(VLOOKUP($E46,'Table Output'!$A$2:$E$99998,5,FALSE)="Sand",VLOOKUP(K$37,BoundParameters_HiddenSheetSAND!$B$3:$E$50,MATCH(VLOOKUP($I46,$I$5:$AJ$29,MATCH(VLOOKUP(K$37,$BH$3:$BI$50,2,FALSE),$I$4:$AJ$4,0),FALSE),BoundParameters_HiddenSheetCLAY!$B$1:$E$1,0),FALSE),IF(VLOOKUP($E46,'Table Output'!$A$2:$E$99998,5,FALSE)="Clay",VLOOKUP(K$37,BoundParameters_HiddenSheetCLAY!$B$3:$E$50,MATCH(VLOOKUP($I46,$I$5:$AJ$35,MATCH(VLOOKUP(K$37,$BH$3:$BI$50,2,FALSE),$I$4:$AJ$4,0),FALSE),BoundParameters_HiddenSheetCLAY!$B$1:$E$1,0),FALSE))),'Control Panel'!K46)))</f>
        <v/>
      </c>
      <c r="L46" s="44" t="str">
        <f>IF($I46="","",IF(L$37="","",IF('Control Panel'!L46="",IF(VLOOKUP($E46,'Table Output'!$A$2:$E$99998,5,FALSE)="Sand",VLOOKUP(L$37,BoundParameters_HiddenSheetSAND!$B$3:$E$50,MATCH(VLOOKUP($I46,$I$5:$AJ$29,MATCH(VLOOKUP(L$37,$BH$3:$BI$50,2,FALSE),$I$4:$AJ$4,0),FALSE),BoundParameters_HiddenSheetCLAY!$B$1:$E$1,0),FALSE),IF(VLOOKUP($E46,'Table Output'!$A$2:$E$99998,5,FALSE)="Clay",VLOOKUP(L$37,BoundParameters_HiddenSheetCLAY!$B$3:$E$50,MATCH(VLOOKUP($I46,$I$5:$AJ$35,MATCH(VLOOKUP(L$37,$BH$3:$BI$50,2,FALSE),$I$4:$AJ$4,0),FALSE),BoundParameters_HiddenSheetCLAY!$B$1:$E$1,0),FALSE))),'Control Panel'!L46)))</f>
        <v/>
      </c>
      <c r="M46" s="44" t="str">
        <f>IF($I46="","",IF(M$37="","",IF('Control Panel'!M46="",IF(VLOOKUP($E46,'Table Output'!$A$2:$E$99998,5,FALSE)="Sand",VLOOKUP(M$37,BoundParameters_HiddenSheetSAND!$B$3:$E$50,MATCH(VLOOKUP($I46,$I$5:$AJ$29,MATCH(VLOOKUP(M$37,$BH$3:$BI$50,2,FALSE),$I$4:$AJ$4,0),FALSE),BoundParameters_HiddenSheetCLAY!$B$1:$E$1,0),FALSE),IF(VLOOKUP($E46,'Table Output'!$A$2:$E$99998,5,FALSE)="Clay",VLOOKUP(M$37,BoundParameters_HiddenSheetCLAY!$B$3:$E$50,MATCH(VLOOKUP($I46,$I$5:$AJ$35,MATCH(VLOOKUP(M$37,$BH$3:$BI$50,2,FALSE),$I$4:$AJ$4,0),FALSE),BoundParameters_HiddenSheetCLAY!$B$1:$E$1,0),FALSE))),'Control Panel'!M46)))</f>
        <v/>
      </c>
      <c r="N46" s="44" t="str">
        <f>IF($I46="","",IF(N$37="","",IF('Control Panel'!N46="",IF(VLOOKUP($E46,'Table Output'!$A$2:$E$99998,5,FALSE)="Sand",VLOOKUP(N$37,BoundParameters_HiddenSheetSAND!$B$3:$E$50,MATCH(VLOOKUP($I46,$I$5:$AJ$29,MATCH(VLOOKUP(N$37,$BH$3:$BI$50,2,FALSE),$I$4:$AJ$4,0),FALSE),BoundParameters_HiddenSheetCLAY!$B$1:$E$1,0),FALSE),IF(VLOOKUP($E46,'Table Output'!$A$2:$E$99998,5,FALSE)="Clay",VLOOKUP(N$37,BoundParameters_HiddenSheetCLAY!$B$3:$E$50,MATCH(VLOOKUP($I46,$I$5:$AJ$35,MATCH(VLOOKUP(N$37,$BH$3:$BI$50,2,FALSE),$I$4:$AJ$4,0),FALSE),BoundParameters_HiddenSheetCLAY!$B$1:$E$1,0),FALSE))),'Control Panel'!N46)))</f>
        <v/>
      </c>
      <c r="O46" s="44" t="str">
        <f>IF($I46="","",IF(O$37="","",IF('Control Panel'!O46="",IF(VLOOKUP($E46,'Table Output'!$A$2:$E$99998,5,FALSE)="Sand",VLOOKUP(O$37,BoundParameters_HiddenSheetSAND!$B$3:$E$50,MATCH(VLOOKUP($I46,$I$5:$AJ$29,MATCH(VLOOKUP(O$37,$BH$3:$BI$50,2,FALSE),$I$4:$AJ$4,0),FALSE),BoundParameters_HiddenSheetCLAY!$B$1:$E$1,0),FALSE),IF(VLOOKUP($E46,'Table Output'!$A$2:$E$99998,5,FALSE)="Clay",VLOOKUP(O$37,BoundParameters_HiddenSheetCLAY!$B$3:$E$50,MATCH(VLOOKUP($I46,$I$5:$AJ$35,MATCH(VLOOKUP(O$37,$BH$3:$BI$50,2,FALSE),$I$4:$AJ$4,0),FALSE),BoundParameters_HiddenSheetCLAY!$B$1:$E$1,0),FALSE))),'Control Panel'!O46)))</f>
        <v/>
      </c>
      <c r="P46" s="44" t="str">
        <f>IF($I46="","",IF(P$37="","",IF('Control Panel'!P46="",IF(VLOOKUP($E46,'Table Output'!$A$2:$E$99998,5,FALSE)="Sand",VLOOKUP(P$37,BoundParameters_HiddenSheetSAND!$B$3:$E$50,MATCH(VLOOKUP($I46,$I$5:$AJ$29,MATCH(VLOOKUP(P$37,$BH$3:$BI$50,2,FALSE),$I$4:$AJ$4,0),FALSE),BoundParameters_HiddenSheetCLAY!$B$1:$E$1,0),FALSE),IF(VLOOKUP($E46,'Table Output'!$A$2:$E$99998,5,FALSE)="Clay",VLOOKUP(P$37,BoundParameters_HiddenSheetCLAY!$B$3:$E$50,MATCH(VLOOKUP($I46,$I$5:$AJ$35,MATCH(VLOOKUP(P$37,$BH$3:$BI$50,2,FALSE),$I$4:$AJ$4,0),FALSE),BoundParameters_HiddenSheetCLAY!$B$1:$E$1,0),FALSE))),'Control Panel'!P46)))</f>
        <v/>
      </c>
      <c r="Q46" s="44" t="str">
        <f>IF($I46="","",IF(Q$37="","",IF('Control Panel'!Q46="",IF(VLOOKUP($E46,'Table Output'!$A$2:$E$99998,5,FALSE)="Sand",VLOOKUP(Q$37,BoundParameters_HiddenSheetSAND!$B$3:$E$50,MATCH(VLOOKUP($I46,$I$5:$AJ$29,MATCH(VLOOKUP(Q$37,$BH$3:$BI$50,2,FALSE),$I$4:$AJ$4,0),FALSE),BoundParameters_HiddenSheetCLAY!$B$1:$E$1,0),FALSE),IF(VLOOKUP($E46,'Table Output'!$A$2:$E$99998,5,FALSE)="Clay",VLOOKUP(Q$37,BoundParameters_HiddenSheetCLAY!$B$3:$E$50,MATCH(VLOOKUP($I46,$I$5:$AJ$35,MATCH(VLOOKUP(Q$37,$BH$3:$BI$50,2,FALSE),$I$4:$AJ$4,0),FALSE),BoundParameters_HiddenSheetCLAY!$B$1:$E$1,0),FALSE))),'Control Panel'!Q46)))</f>
        <v/>
      </c>
      <c r="R46" s="44" t="str">
        <f>IF($I46="","",IF(R$37="","",IF('Control Panel'!R46="",IF(VLOOKUP($E46,'Table Output'!$A$2:$E$99998,5,FALSE)="Sand",VLOOKUP(R$37,BoundParameters_HiddenSheetSAND!$B$3:$E$50,MATCH(VLOOKUP($I46,$I$5:$AJ$29,MATCH(VLOOKUP(R$37,$BH$3:$BI$50,2,FALSE),$I$4:$AJ$4,0),FALSE),BoundParameters_HiddenSheetCLAY!$B$1:$E$1,0),FALSE),IF(VLOOKUP($E46,'Table Output'!$A$2:$E$99998,5,FALSE)="Clay",VLOOKUP(R$37,BoundParameters_HiddenSheetCLAY!$B$3:$E$50,MATCH(VLOOKUP($I46,$I$5:$AJ$35,MATCH(VLOOKUP(R$37,$BH$3:$BI$50,2,FALSE),$I$4:$AJ$4,0),FALSE),BoundParameters_HiddenSheetCLAY!$B$1:$E$1,0),FALSE))),'Control Panel'!R46)))</f>
        <v/>
      </c>
      <c r="S46" s="44" t="str">
        <f>IF($I46="","",IF(S$37="","",IF('Control Panel'!S46="",IF(VLOOKUP($E46,'Table Output'!$A$2:$E$99998,5,FALSE)="Sand",VLOOKUP(S$37,BoundParameters_HiddenSheetSAND!$B$3:$E$50,MATCH(VLOOKUP($I46,$I$5:$AJ$29,MATCH(VLOOKUP(S$37,$BH$3:$BI$50,2,FALSE),$I$4:$AJ$4,0),FALSE),BoundParameters_HiddenSheetCLAY!$B$1:$E$1,0),FALSE),IF(VLOOKUP($E46,'Table Output'!$A$2:$E$99998,5,FALSE)="Clay",VLOOKUP(S$37,BoundParameters_HiddenSheetCLAY!$B$3:$E$50,MATCH(VLOOKUP($I46,$I$5:$AJ$35,MATCH(VLOOKUP(S$37,$BH$3:$BI$50,2,FALSE),$I$4:$AJ$4,0),FALSE),BoundParameters_HiddenSheetCLAY!$B$1:$E$1,0),FALSE))),'Control Panel'!S46)))</f>
        <v/>
      </c>
      <c r="BH46" s="2" t="s">
        <v>173</v>
      </c>
      <c r="BI46" s="2" t="s">
        <v>106</v>
      </c>
    </row>
    <row r="47" spans="2:61" x14ac:dyDescent="0.15">
      <c r="B47" s="2" t="str">
        <f>'Control Panel'!B47</f>
        <v>load-displacement focus</v>
      </c>
      <c r="C47" s="2" t="str">
        <f>'Control Panel'!C47</f>
        <v>1&amp;1</v>
      </c>
      <c r="E47" s="2" t="str">
        <f t="shared" si="3"/>
        <v/>
      </c>
      <c r="I47" s="7" t="str">
        <f t="shared" si="4"/>
        <v/>
      </c>
      <c r="J47" s="44" t="str">
        <f>IF($I47="","",IF(J$37="","",IF('Control Panel'!J47="",IF(VLOOKUP($E47,'Table Output'!$A$2:$E$99998,5,FALSE)="Sand",VLOOKUP(J$37,BoundParameters_HiddenSheetSAND!$B$3:$E$50,MATCH(VLOOKUP($I47,$I$5:$AJ$29,MATCH(VLOOKUP(J$37,$BH$3:$BI$50,2,FALSE),$I$4:$AJ$4,0),FALSE),BoundParameters_HiddenSheetCLAY!$B$1:$E$1,0),FALSE),IF(VLOOKUP($E47,'Table Output'!$A$2:$E$99998,5,FALSE)="Clay",VLOOKUP(J$37,BoundParameters_HiddenSheetCLAY!$B$3:$E$50,MATCH(VLOOKUP($I47,$I$5:$AJ$35,MATCH(VLOOKUP(J$37,$BH$3:$BI$50,2,FALSE),$I$4:$AJ$4,0),FALSE),BoundParameters_HiddenSheetCLAY!$B$1:$E$1,0),FALSE))),'Control Panel'!J47)))</f>
        <v/>
      </c>
      <c r="K47" s="44" t="str">
        <f>IF($I47="","",IF(K$37="","",IF('Control Panel'!K47="",IF(VLOOKUP($E47,'Table Output'!$A$2:$E$99998,5,FALSE)="Sand",VLOOKUP(K$37,BoundParameters_HiddenSheetSAND!$B$3:$E$50,MATCH(VLOOKUP($I47,$I$5:$AJ$29,MATCH(VLOOKUP(K$37,$BH$3:$BI$50,2,FALSE),$I$4:$AJ$4,0),FALSE),BoundParameters_HiddenSheetCLAY!$B$1:$E$1,0),FALSE),IF(VLOOKUP($E47,'Table Output'!$A$2:$E$99998,5,FALSE)="Clay",VLOOKUP(K$37,BoundParameters_HiddenSheetCLAY!$B$3:$E$50,MATCH(VLOOKUP($I47,$I$5:$AJ$35,MATCH(VLOOKUP(K$37,$BH$3:$BI$50,2,FALSE),$I$4:$AJ$4,0),FALSE),BoundParameters_HiddenSheetCLAY!$B$1:$E$1,0),FALSE))),'Control Panel'!K47)))</f>
        <v/>
      </c>
      <c r="L47" s="44" t="str">
        <f>IF($I47="","",IF(L$37="","",IF('Control Panel'!L47="",IF(VLOOKUP($E47,'Table Output'!$A$2:$E$99998,5,FALSE)="Sand",VLOOKUP(L$37,BoundParameters_HiddenSheetSAND!$B$3:$E$50,MATCH(VLOOKUP($I47,$I$5:$AJ$29,MATCH(VLOOKUP(L$37,$BH$3:$BI$50,2,FALSE),$I$4:$AJ$4,0),FALSE),BoundParameters_HiddenSheetCLAY!$B$1:$E$1,0),FALSE),IF(VLOOKUP($E47,'Table Output'!$A$2:$E$99998,5,FALSE)="Clay",VLOOKUP(L$37,BoundParameters_HiddenSheetCLAY!$B$3:$E$50,MATCH(VLOOKUP($I47,$I$5:$AJ$35,MATCH(VLOOKUP(L$37,$BH$3:$BI$50,2,FALSE),$I$4:$AJ$4,0),FALSE),BoundParameters_HiddenSheetCLAY!$B$1:$E$1,0),FALSE))),'Control Panel'!L47)))</f>
        <v/>
      </c>
      <c r="M47" s="44" t="str">
        <f>IF($I47="","",IF(M$37="","",IF('Control Panel'!M47="",IF(VLOOKUP($E47,'Table Output'!$A$2:$E$99998,5,FALSE)="Sand",VLOOKUP(M$37,BoundParameters_HiddenSheetSAND!$B$3:$E$50,MATCH(VLOOKUP($I47,$I$5:$AJ$29,MATCH(VLOOKUP(M$37,$BH$3:$BI$50,2,FALSE),$I$4:$AJ$4,0),FALSE),BoundParameters_HiddenSheetCLAY!$B$1:$E$1,0),FALSE),IF(VLOOKUP($E47,'Table Output'!$A$2:$E$99998,5,FALSE)="Clay",VLOOKUP(M$37,BoundParameters_HiddenSheetCLAY!$B$3:$E$50,MATCH(VLOOKUP($I47,$I$5:$AJ$35,MATCH(VLOOKUP(M$37,$BH$3:$BI$50,2,FALSE),$I$4:$AJ$4,0),FALSE),BoundParameters_HiddenSheetCLAY!$B$1:$E$1,0),FALSE))),'Control Panel'!M47)))</f>
        <v/>
      </c>
      <c r="N47" s="44" t="str">
        <f>IF($I47="","",IF(N$37="","",IF('Control Panel'!N47="",IF(VLOOKUP($E47,'Table Output'!$A$2:$E$99998,5,FALSE)="Sand",VLOOKUP(N$37,BoundParameters_HiddenSheetSAND!$B$3:$E$50,MATCH(VLOOKUP($I47,$I$5:$AJ$29,MATCH(VLOOKUP(N$37,$BH$3:$BI$50,2,FALSE),$I$4:$AJ$4,0),FALSE),BoundParameters_HiddenSheetCLAY!$B$1:$E$1,0),FALSE),IF(VLOOKUP($E47,'Table Output'!$A$2:$E$99998,5,FALSE)="Clay",VLOOKUP(N$37,BoundParameters_HiddenSheetCLAY!$B$3:$E$50,MATCH(VLOOKUP($I47,$I$5:$AJ$35,MATCH(VLOOKUP(N$37,$BH$3:$BI$50,2,FALSE),$I$4:$AJ$4,0),FALSE),BoundParameters_HiddenSheetCLAY!$B$1:$E$1,0),FALSE))),'Control Panel'!N47)))</f>
        <v/>
      </c>
      <c r="O47" s="44" t="str">
        <f>IF($I47="","",IF(O$37="","",IF('Control Panel'!O47="",IF(VLOOKUP($E47,'Table Output'!$A$2:$E$99998,5,FALSE)="Sand",VLOOKUP(O$37,BoundParameters_HiddenSheetSAND!$B$3:$E$50,MATCH(VLOOKUP($I47,$I$5:$AJ$29,MATCH(VLOOKUP(O$37,$BH$3:$BI$50,2,FALSE),$I$4:$AJ$4,0),FALSE),BoundParameters_HiddenSheetCLAY!$B$1:$E$1,0),FALSE),IF(VLOOKUP($E47,'Table Output'!$A$2:$E$99998,5,FALSE)="Clay",VLOOKUP(O$37,BoundParameters_HiddenSheetCLAY!$B$3:$E$50,MATCH(VLOOKUP($I47,$I$5:$AJ$35,MATCH(VLOOKUP(O$37,$BH$3:$BI$50,2,FALSE),$I$4:$AJ$4,0),FALSE),BoundParameters_HiddenSheetCLAY!$B$1:$E$1,0),FALSE))),'Control Panel'!O47)))</f>
        <v/>
      </c>
      <c r="P47" s="44" t="str">
        <f>IF($I47="","",IF(P$37="","",IF('Control Panel'!P47="",IF(VLOOKUP($E47,'Table Output'!$A$2:$E$99998,5,FALSE)="Sand",VLOOKUP(P$37,BoundParameters_HiddenSheetSAND!$B$3:$E$50,MATCH(VLOOKUP($I47,$I$5:$AJ$29,MATCH(VLOOKUP(P$37,$BH$3:$BI$50,2,FALSE),$I$4:$AJ$4,0),FALSE),BoundParameters_HiddenSheetCLAY!$B$1:$E$1,0),FALSE),IF(VLOOKUP($E47,'Table Output'!$A$2:$E$99998,5,FALSE)="Clay",VLOOKUP(P$37,BoundParameters_HiddenSheetCLAY!$B$3:$E$50,MATCH(VLOOKUP($I47,$I$5:$AJ$35,MATCH(VLOOKUP(P$37,$BH$3:$BI$50,2,FALSE),$I$4:$AJ$4,0),FALSE),BoundParameters_HiddenSheetCLAY!$B$1:$E$1,0),FALSE))),'Control Panel'!P47)))</f>
        <v/>
      </c>
      <c r="Q47" s="44" t="str">
        <f>IF($I47="","",IF(Q$37="","",IF('Control Panel'!Q47="",IF(VLOOKUP($E47,'Table Output'!$A$2:$E$99998,5,FALSE)="Sand",VLOOKUP(Q$37,BoundParameters_HiddenSheetSAND!$B$3:$E$50,MATCH(VLOOKUP($I47,$I$5:$AJ$29,MATCH(VLOOKUP(Q$37,$BH$3:$BI$50,2,FALSE),$I$4:$AJ$4,0),FALSE),BoundParameters_HiddenSheetCLAY!$B$1:$E$1,0),FALSE),IF(VLOOKUP($E47,'Table Output'!$A$2:$E$99998,5,FALSE)="Clay",VLOOKUP(Q$37,BoundParameters_HiddenSheetCLAY!$B$3:$E$50,MATCH(VLOOKUP($I47,$I$5:$AJ$35,MATCH(VLOOKUP(Q$37,$BH$3:$BI$50,2,FALSE),$I$4:$AJ$4,0),FALSE),BoundParameters_HiddenSheetCLAY!$B$1:$E$1,0),FALSE))),'Control Panel'!Q47)))</f>
        <v/>
      </c>
      <c r="R47" s="44" t="str">
        <f>IF($I47="","",IF(R$37="","",IF('Control Panel'!R47="",IF(VLOOKUP($E47,'Table Output'!$A$2:$E$99998,5,FALSE)="Sand",VLOOKUP(R$37,BoundParameters_HiddenSheetSAND!$B$3:$E$50,MATCH(VLOOKUP($I47,$I$5:$AJ$29,MATCH(VLOOKUP(R$37,$BH$3:$BI$50,2,FALSE),$I$4:$AJ$4,0),FALSE),BoundParameters_HiddenSheetCLAY!$B$1:$E$1,0),FALSE),IF(VLOOKUP($E47,'Table Output'!$A$2:$E$99998,5,FALSE)="Clay",VLOOKUP(R$37,BoundParameters_HiddenSheetCLAY!$B$3:$E$50,MATCH(VLOOKUP($I47,$I$5:$AJ$35,MATCH(VLOOKUP(R$37,$BH$3:$BI$50,2,FALSE),$I$4:$AJ$4,0),FALSE),BoundParameters_HiddenSheetCLAY!$B$1:$E$1,0),FALSE))),'Control Panel'!R47)))</f>
        <v/>
      </c>
      <c r="S47" s="44" t="str">
        <f>IF($I47="","",IF(S$37="","",IF('Control Panel'!S47="",IF(VLOOKUP($E47,'Table Output'!$A$2:$E$99998,5,FALSE)="Sand",VLOOKUP(S$37,BoundParameters_HiddenSheetSAND!$B$3:$E$50,MATCH(VLOOKUP($I47,$I$5:$AJ$29,MATCH(VLOOKUP(S$37,$BH$3:$BI$50,2,FALSE),$I$4:$AJ$4,0),FALSE),BoundParameters_HiddenSheetCLAY!$B$1:$E$1,0),FALSE),IF(VLOOKUP($E47,'Table Output'!$A$2:$E$99998,5,FALSE)="Clay",VLOOKUP(S$37,BoundParameters_HiddenSheetCLAY!$B$3:$E$50,MATCH(VLOOKUP($I47,$I$5:$AJ$35,MATCH(VLOOKUP(S$37,$BH$3:$BI$50,2,FALSE),$I$4:$AJ$4,0),FALSE),BoundParameters_HiddenSheetCLAY!$B$1:$E$1,0),FALSE))),'Control Panel'!S47)))</f>
        <v/>
      </c>
      <c r="X47" s="43"/>
      <c r="BH47" s="2" t="s">
        <v>174</v>
      </c>
      <c r="BI47" s="2" t="s">
        <v>106</v>
      </c>
    </row>
    <row r="48" spans="2:61" x14ac:dyDescent="0.15">
      <c r="B48" s="2" t="str">
        <f>'Control Panel'!B48</f>
        <v>Load level focus</v>
      </c>
      <c r="C48" s="2" t="str">
        <f>'Control Panel'!C48</f>
        <v>1&amp;1</v>
      </c>
      <c r="E48" s="2" t="str">
        <f t="shared" si="3"/>
        <v/>
      </c>
      <c r="I48" s="7" t="str">
        <f t="shared" si="4"/>
        <v/>
      </c>
      <c r="J48" s="44" t="str">
        <f>IF($I48="","",IF(J$37="","",IF('Control Panel'!J48="",IF(VLOOKUP($E48,'Table Output'!$A$2:$E$99998,5,FALSE)="Sand",VLOOKUP(J$37,BoundParameters_HiddenSheetSAND!$B$3:$E$50,MATCH(VLOOKUP($I48,$I$5:$AJ$29,MATCH(VLOOKUP(J$37,$BH$3:$BI$50,2,FALSE),$I$4:$AJ$4,0),FALSE),BoundParameters_HiddenSheetCLAY!$B$1:$E$1,0),FALSE),IF(VLOOKUP($E48,'Table Output'!$A$2:$E$99998,5,FALSE)="Clay",VLOOKUP(J$37,BoundParameters_HiddenSheetCLAY!$B$3:$E$50,MATCH(VLOOKUP($I48,$I$5:$AJ$35,MATCH(VLOOKUP(J$37,$BH$3:$BI$50,2,FALSE),$I$4:$AJ$4,0),FALSE),BoundParameters_HiddenSheetCLAY!$B$1:$E$1,0),FALSE))),'Control Panel'!J48)))</f>
        <v/>
      </c>
      <c r="K48" s="44" t="str">
        <f>IF($I48="","",IF(K$37="","",IF('Control Panel'!K48="",IF(VLOOKUP($E48,'Table Output'!$A$2:$E$99998,5,FALSE)="Sand",VLOOKUP(K$37,BoundParameters_HiddenSheetSAND!$B$3:$E$50,MATCH(VLOOKUP($I48,$I$5:$AJ$29,MATCH(VLOOKUP(K$37,$BH$3:$BI$50,2,FALSE),$I$4:$AJ$4,0),FALSE),BoundParameters_HiddenSheetCLAY!$B$1:$E$1,0),FALSE),IF(VLOOKUP($E48,'Table Output'!$A$2:$E$99998,5,FALSE)="Clay",VLOOKUP(K$37,BoundParameters_HiddenSheetCLAY!$B$3:$E$50,MATCH(VLOOKUP($I48,$I$5:$AJ$35,MATCH(VLOOKUP(K$37,$BH$3:$BI$50,2,FALSE),$I$4:$AJ$4,0),FALSE),BoundParameters_HiddenSheetCLAY!$B$1:$E$1,0),FALSE))),'Control Panel'!K48)))</f>
        <v/>
      </c>
      <c r="L48" s="44" t="str">
        <f>IF($I48="","",IF(L$37="","",IF('Control Panel'!L48="",IF(VLOOKUP($E48,'Table Output'!$A$2:$E$99998,5,FALSE)="Sand",VLOOKUP(L$37,BoundParameters_HiddenSheetSAND!$B$3:$E$50,MATCH(VLOOKUP($I48,$I$5:$AJ$29,MATCH(VLOOKUP(L$37,$BH$3:$BI$50,2,FALSE),$I$4:$AJ$4,0),FALSE),BoundParameters_HiddenSheetCLAY!$B$1:$E$1,0),FALSE),IF(VLOOKUP($E48,'Table Output'!$A$2:$E$99998,5,FALSE)="Clay",VLOOKUP(L$37,BoundParameters_HiddenSheetCLAY!$B$3:$E$50,MATCH(VLOOKUP($I48,$I$5:$AJ$35,MATCH(VLOOKUP(L$37,$BH$3:$BI$50,2,FALSE),$I$4:$AJ$4,0),FALSE),BoundParameters_HiddenSheetCLAY!$B$1:$E$1,0),FALSE))),'Control Panel'!L48)))</f>
        <v/>
      </c>
      <c r="M48" s="44" t="str">
        <f>IF($I48="","",IF(M$37="","",IF('Control Panel'!M48="",IF(VLOOKUP($E48,'Table Output'!$A$2:$E$99998,5,FALSE)="Sand",VLOOKUP(M$37,BoundParameters_HiddenSheetSAND!$B$3:$E$50,MATCH(VLOOKUP($I48,$I$5:$AJ$29,MATCH(VLOOKUP(M$37,$BH$3:$BI$50,2,FALSE),$I$4:$AJ$4,0),FALSE),BoundParameters_HiddenSheetCLAY!$B$1:$E$1,0),FALSE),IF(VLOOKUP($E48,'Table Output'!$A$2:$E$99998,5,FALSE)="Clay",VLOOKUP(M$37,BoundParameters_HiddenSheetCLAY!$B$3:$E$50,MATCH(VLOOKUP($I48,$I$5:$AJ$35,MATCH(VLOOKUP(M$37,$BH$3:$BI$50,2,FALSE),$I$4:$AJ$4,0),FALSE),BoundParameters_HiddenSheetCLAY!$B$1:$E$1,0),FALSE))),'Control Panel'!M48)))</f>
        <v/>
      </c>
      <c r="N48" s="44" t="str">
        <f>IF($I48="","",IF(N$37="","",IF('Control Panel'!N48="",IF(VLOOKUP($E48,'Table Output'!$A$2:$E$99998,5,FALSE)="Sand",VLOOKUP(N$37,BoundParameters_HiddenSheetSAND!$B$3:$E$50,MATCH(VLOOKUP($I48,$I$5:$AJ$29,MATCH(VLOOKUP(N$37,$BH$3:$BI$50,2,FALSE),$I$4:$AJ$4,0),FALSE),BoundParameters_HiddenSheetCLAY!$B$1:$E$1,0),FALSE),IF(VLOOKUP($E48,'Table Output'!$A$2:$E$99998,5,FALSE)="Clay",VLOOKUP(N$37,BoundParameters_HiddenSheetCLAY!$B$3:$E$50,MATCH(VLOOKUP($I48,$I$5:$AJ$35,MATCH(VLOOKUP(N$37,$BH$3:$BI$50,2,FALSE),$I$4:$AJ$4,0),FALSE),BoundParameters_HiddenSheetCLAY!$B$1:$E$1,0),FALSE))),'Control Panel'!N48)))</f>
        <v/>
      </c>
      <c r="O48" s="44" t="str">
        <f>IF($I48="","",IF(O$37="","",IF('Control Panel'!O48="",IF(VLOOKUP($E48,'Table Output'!$A$2:$E$99998,5,FALSE)="Sand",VLOOKUP(O$37,BoundParameters_HiddenSheetSAND!$B$3:$E$50,MATCH(VLOOKUP($I48,$I$5:$AJ$29,MATCH(VLOOKUP(O$37,$BH$3:$BI$50,2,FALSE),$I$4:$AJ$4,0),FALSE),BoundParameters_HiddenSheetCLAY!$B$1:$E$1,0),FALSE),IF(VLOOKUP($E48,'Table Output'!$A$2:$E$99998,5,FALSE)="Clay",VLOOKUP(O$37,BoundParameters_HiddenSheetCLAY!$B$3:$E$50,MATCH(VLOOKUP($I48,$I$5:$AJ$35,MATCH(VLOOKUP(O$37,$BH$3:$BI$50,2,FALSE),$I$4:$AJ$4,0),FALSE),BoundParameters_HiddenSheetCLAY!$B$1:$E$1,0),FALSE))),'Control Panel'!O48)))</f>
        <v/>
      </c>
      <c r="P48" s="44" t="str">
        <f>IF($I48="","",IF(P$37="","",IF('Control Panel'!P48="",IF(VLOOKUP($E48,'Table Output'!$A$2:$E$99998,5,FALSE)="Sand",VLOOKUP(P$37,BoundParameters_HiddenSheetSAND!$B$3:$E$50,MATCH(VLOOKUP($I48,$I$5:$AJ$29,MATCH(VLOOKUP(P$37,$BH$3:$BI$50,2,FALSE),$I$4:$AJ$4,0),FALSE),BoundParameters_HiddenSheetCLAY!$B$1:$E$1,0),FALSE),IF(VLOOKUP($E48,'Table Output'!$A$2:$E$99998,5,FALSE)="Clay",VLOOKUP(P$37,BoundParameters_HiddenSheetCLAY!$B$3:$E$50,MATCH(VLOOKUP($I48,$I$5:$AJ$35,MATCH(VLOOKUP(P$37,$BH$3:$BI$50,2,FALSE),$I$4:$AJ$4,0),FALSE),BoundParameters_HiddenSheetCLAY!$B$1:$E$1,0),FALSE))),'Control Panel'!P48)))</f>
        <v/>
      </c>
      <c r="Q48" s="44" t="str">
        <f>IF($I48="","",IF(Q$37="","",IF('Control Panel'!Q48="",IF(VLOOKUP($E48,'Table Output'!$A$2:$E$99998,5,FALSE)="Sand",VLOOKUP(Q$37,BoundParameters_HiddenSheetSAND!$B$3:$E$50,MATCH(VLOOKUP($I48,$I$5:$AJ$29,MATCH(VLOOKUP(Q$37,$BH$3:$BI$50,2,FALSE),$I$4:$AJ$4,0),FALSE),BoundParameters_HiddenSheetCLAY!$B$1:$E$1,0),FALSE),IF(VLOOKUP($E48,'Table Output'!$A$2:$E$99998,5,FALSE)="Clay",VLOOKUP(Q$37,BoundParameters_HiddenSheetCLAY!$B$3:$E$50,MATCH(VLOOKUP($I48,$I$5:$AJ$35,MATCH(VLOOKUP(Q$37,$BH$3:$BI$50,2,FALSE),$I$4:$AJ$4,0),FALSE),BoundParameters_HiddenSheetCLAY!$B$1:$E$1,0),FALSE))),'Control Panel'!Q48)))</f>
        <v/>
      </c>
      <c r="R48" s="44" t="str">
        <f>IF($I48="","",IF(R$37="","",IF('Control Panel'!R48="",IF(VLOOKUP($E48,'Table Output'!$A$2:$E$99998,5,FALSE)="Sand",VLOOKUP(R$37,BoundParameters_HiddenSheetSAND!$B$3:$E$50,MATCH(VLOOKUP($I48,$I$5:$AJ$29,MATCH(VLOOKUP(R$37,$BH$3:$BI$50,2,FALSE),$I$4:$AJ$4,0),FALSE),BoundParameters_HiddenSheetCLAY!$B$1:$E$1,0),FALSE),IF(VLOOKUP($E48,'Table Output'!$A$2:$E$99998,5,FALSE)="Clay",VLOOKUP(R$37,BoundParameters_HiddenSheetCLAY!$B$3:$E$50,MATCH(VLOOKUP($I48,$I$5:$AJ$35,MATCH(VLOOKUP(R$37,$BH$3:$BI$50,2,FALSE),$I$4:$AJ$4,0),FALSE),BoundParameters_HiddenSheetCLAY!$B$1:$E$1,0),FALSE))),'Control Panel'!R48)))</f>
        <v/>
      </c>
      <c r="S48" s="44" t="str">
        <f>IF($I48="","",IF(S$37="","",IF('Control Panel'!S48="",IF(VLOOKUP($E48,'Table Output'!$A$2:$E$99998,5,FALSE)="Sand",VLOOKUP(S$37,BoundParameters_HiddenSheetSAND!$B$3:$E$50,MATCH(VLOOKUP($I48,$I$5:$AJ$29,MATCH(VLOOKUP(S$37,$BH$3:$BI$50,2,FALSE),$I$4:$AJ$4,0),FALSE),BoundParameters_HiddenSheetCLAY!$B$1:$E$1,0),FALSE),IF(VLOOKUP($E48,'Table Output'!$A$2:$E$99998,5,FALSE)="Clay",VLOOKUP(S$37,BoundParameters_HiddenSheetCLAY!$B$3:$E$50,MATCH(VLOOKUP($I48,$I$5:$AJ$35,MATCH(VLOOKUP(S$37,$BH$3:$BI$50,2,FALSE),$I$4:$AJ$4,0),FALSE),BoundParameters_HiddenSheetCLAY!$B$1:$E$1,0),FALSE))),'Control Panel'!S48)))</f>
        <v/>
      </c>
      <c r="X48" s="43"/>
      <c r="BH48" s="2" t="s">
        <v>175</v>
      </c>
      <c r="BI48" s="2" t="s">
        <v>107</v>
      </c>
    </row>
    <row r="49" spans="2:61" x14ac:dyDescent="0.15">
      <c r="B49" s="2" t="str">
        <f>'Control Panel'!B49</f>
        <v>Model focus</v>
      </c>
      <c r="C49" s="2" t="str">
        <f>'Control Panel'!C49</f>
        <v>1&amp;1</v>
      </c>
      <c r="E49" s="2" t="str">
        <f t="shared" si="3"/>
        <v/>
      </c>
      <c r="I49" s="7" t="str">
        <f t="shared" si="4"/>
        <v/>
      </c>
      <c r="J49" s="44" t="str">
        <f>IF($I49="","",IF(J$37="","",IF('Control Panel'!J49="",IF(VLOOKUP($E49,'Table Output'!$A$2:$E$99998,5,FALSE)="Sand",VLOOKUP(J$37,BoundParameters_HiddenSheetSAND!$B$3:$E$50,MATCH(VLOOKUP($I49,$I$5:$AJ$29,MATCH(VLOOKUP(J$37,$BH$3:$BI$50,2,FALSE),$I$4:$AJ$4,0),FALSE),BoundParameters_HiddenSheetCLAY!$B$1:$E$1,0),FALSE),IF(VLOOKUP($E49,'Table Output'!$A$2:$E$99998,5,FALSE)="Clay",VLOOKUP(J$37,BoundParameters_HiddenSheetCLAY!$B$3:$E$50,MATCH(VLOOKUP($I49,$I$5:$AJ$35,MATCH(VLOOKUP(J$37,$BH$3:$BI$50,2,FALSE),$I$4:$AJ$4,0),FALSE),BoundParameters_HiddenSheetCLAY!$B$1:$E$1,0),FALSE))),'Control Panel'!J49)))</f>
        <v/>
      </c>
      <c r="K49" s="44" t="str">
        <f>IF($I49="","",IF(K$37="","",IF('Control Panel'!K49="",IF(VLOOKUP($E49,'Table Output'!$A$2:$E$99998,5,FALSE)="Sand",VLOOKUP(K$37,BoundParameters_HiddenSheetSAND!$B$3:$E$50,MATCH(VLOOKUP($I49,$I$5:$AJ$29,MATCH(VLOOKUP(K$37,$BH$3:$BI$50,2,FALSE),$I$4:$AJ$4,0),FALSE),BoundParameters_HiddenSheetCLAY!$B$1:$E$1,0),FALSE),IF(VLOOKUP($E49,'Table Output'!$A$2:$E$99998,5,FALSE)="Clay",VLOOKUP(K$37,BoundParameters_HiddenSheetCLAY!$B$3:$E$50,MATCH(VLOOKUP($I49,$I$5:$AJ$35,MATCH(VLOOKUP(K$37,$BH$3:$BI$50,2,FALSE),$I$4:$AJ$4,0),FALSE),BoundParameters_HiddenSheetCLAY!$B$1:$E$1,0),FALSE))),'Control Panel'!K49)))</f>
        <v/>
      </c>
      <c r="L49" s="44" t="str">
        <f>IF($I49="","",IF(L$37="","",IF('Control Panel'!L49="",IF(VLOOKUP($E49,'Table Output'!$A$2:$E$99998,5,FALSE)="Sand",VLOOKUP(L$37,BoundParameters_HiddenSheetSAND!$B$3:$E$50,MATCH(VLOOKUP($I49,$I$5:$AJ$29,MATCH(VLOOKUP(L$37,$BH$3:$BI$50,2,FALSE),$I$4:$AJ$4,0),FALSE),BoundParameters_HiddenSheetCLAY!$B$1:$E$1,0),FALSE),IF(VLOOKUP($E49,'Table Output'!$A$2:$E$99998,5,FALSE)="Clay",VLOOKUP(L$37,BoundParameters_HiddenSheetCLAY!$B$3:$E$50,MATCH(VLOOKUP($I49,$I$5:$AJ$35,MATCH(VLOOKUP(L$37,$BH$3:$BI$50,2,FALSE),$I$4:$AJ$4,0),FALSE),BoundParameters_HiddenSheetCLAY!$B$1:$E$1,0),FALSE))),'Control Panel'!L49)))</f>
        <v/>
      </c>
      <c r="M49" s="44" t="str">
        <f>IF($I49="","",IF(M$37="","",IF('Control Panel'!M49="",IF(VLOOKUP($E49,'Table Output'!$A$2:$E$99998,5,FALSE)="Sand",VLOOKUP(M$37,BoundParameters_HiddenSheetSAND!$B$3:$E$50,MATCH(VLOOKUP($I49,$I$5:$AJ$29,MATCH(VLOOKUP(M$37,$BH$3:$BI$50,2,FALSE),$I$4:$AJ$4,0),FALSE),BoundParameters_HiddenSheetCLAY!$B$1:$E$1,0),FALSE),IF(VLOOKUP($E49,'Table Output'!$A$2:$E$99998,5,FALSE)="Clay",VLOOKUP(M$37,BoundParameters_HiddenSheetCLAY!$B$3:$E$50,MATCH(VLOOKUP($I49,$I$5:$AJ$35,MATCH(VLOOKUP(M$37,$BH$3:$BI$50,2,FALSE),$I$4:$AJ$4,0),FALSE),BoundParameters_HiddenSheetCLAY!$B$1:$E$1,0),FALSE))),'Control Panel'!M49)))</f>
        <v/>
      </c>
      <c r="N49" s="44" t="str">
        <f>IF($I49="","",IF(N$37="","",IF('Control Panel'!N49="",IF(VLOOKUP($E49,'Table Output'!$A$2:$E$99998,5,FALSE)="Sand",VLOOKUP(N$37,BoundParameters_HiddenSheetSAND!$B$3:$E$50,MATCH(VLOOKUP($I49,$I$5:$AJ$29,MATCH(VLOOKUP(N$37,$BH$3:$BI$50,2,FALSE),$I$4:$AJ$4,0),FALSE),BoundParameters_HiddenSheetCLAY!$B$1:$E$1,0),FALSE),IF(VLOOKUP($E49,'Table Output'!$A$2:$E$99998,5,FALSE)="Clay",VLOOKUP(N$37,BoundParameters_HiddenSheetCLAY!$B$3:$E$50,MATCH(VLOOKUP($I49,$I$5:$AJ$35,MATCH(VLOOKUP(N$37,$BH$3:$BI$50,2,FALSE),$I$4:$AJ$4,0),FALSE),BoundParameters_HiddenSheetCLAY!$B$1:$E$1,0),FALSE))),'Control Panel'!N49)))</f>
        <v/>
      </c>
      <c r="O49" s="44" t="str">
        <f>IF($I49="","",IF(O$37="","",IF('Control Panel'!O49="",IF(VLOOKUP($E49,'Table Output'!$A$2:$E$99998,5,FALSE)="Sand",VLOOKUP(O$37,BoundParameters_HiddenSheetSAND!$B$3:$E$50,MATCH(VLOOKUP($I49,$I$5:$AJ$29,MATCH(VLOOKUP(O$37,$BH$3:$BI$50,2,FALSE),$I$4:$AJ$4,0),FALSE),BoundParameters_HiddenSheetCLAY!$B$1:$E$1,0),FALSE),IF(VLOOKUP($E49,'Table Output'!$A$2:$E$99998,5,FALSE)="Clay",VLOOKUP(O$37,BoundParameters_HiddenSheetCLAY!$B$3:$E$50,MATCH(VLOOKUP($I49,$I$5:$AJ$35,MATCH(VLOOKUP(O$37,$BH$3:$BI$50,2,FALSE),$I$4:$AJ$4,0),FALSE),BoundParameters_HiddenSheetCLAY!$B$1:$E$1,0),FALSE))),'Control Panel'!O49)))</f>
        <v/>
      </c>
      <c r="P49" s="44" t="str">
        <f>IF($I49="","",IF(P$37="","",IF('Control Panel'!P49="",IF(VLOOKUP($E49,'Table Output'!$A$2:$E$99998,5,FALSE)="Sand",VLOOKUP(P$37,BoundParameters_HiddenSheetSAND!$B$3:$E$50,MATCH(VLOOKUP($I49,$I$5:$AJ$29,MATCH(VLOOKUP(P$37,$BH$3:$BI$50,2,FALSE),$I$4:$AJ$4,0),FALSE),BoundParameters_HiddenSheetCLAY!$B$1:$E$1,0),FALSE),IF(VLOOKUP($E49,'Table Output'!$A$2:$E$99998,5,FALSE)="Clay",VLOOKUP(P$37,BoundParameters_HiddenSheetCLAY!$B$3:$E$50,MATCH(VLOOKUP($I49,$I$5:$AJ$35,MATCH(VLOOKUP(P$37,$BH$3:$BI$50,2,FALSE),$I$4:$AJ$4,0),FALSE),BoundParameters_HiddenSheetCLAY!$B$1:$E$1,0),FALSE))),'Control Panel'!P49)))</f>
        <v/>
      </c>
      <c r="Q49" s="44" t="str">
        <f>IF($I49="","",IF(Q$37="","",IF('Control Panel'!Q49="",IF(VLOOKUP($E49,'Table Output'!$A$2:$E$99998,5,FALSE)="Sand",VLOOKUP(Q$37,BoundParameters_HiddenSheetSAND!$B$3:$E$50,MATCH(VLOOKUP($I49,$I$5:$AJ$29,MATCH(VLOOKUP(Q$37,$BH$3:$BI$50,2,FALSE),$I$4:$AJ$4,0),FALSE),BoundParameters_HiddenSheetCLAY!$B$1:$E$1,0),FALSE),IF(VLOOKUP($E49,'Table Output'!$A$2:$E$99998,5,FALSE)="Clay",VLOOKUP(Q$37,BoundParameters_HiddenSheetCLAY!$B$3:$E$50,MATCH(VLOOKUP($I49,$I$5:$AJ$35,MATCH(VLOOKUP(Q$37,$BH$3:$BI$50,2,FALSE),$I$4:$AJ$4,0),FALSE),BoundParameters_HiddenSheetCLAY!$B$1:$E$1,0),FALSE))),'Control Panel'!Q49)))</f>
        <v/>
      </c>
      <c r="R49" s="44" t="str">
        <f>IF($I49="","",IF(R$37="","",IF('Control Panel'!R49="",IF(VLOOKUP($E49,'Table Output'!$A$2:$E$99998,5,FALSE)="Sand",VLOOKUP(R$37,BoundParameters_HiddenSheetSAND!$B$3:$E$50,MATCH(VLOOKUP($I49,$I$5:$AJ$29,MATCH(VLOOKUP(R$37,$BH$3:$BI$50,2,FALSE),$I$4:$AJ$4,0),FALSE),BoundParameters_HiddenSheetCLAY!$B$1:$E$1,0),FALSE),IF(VLOOKUP($E49,'Table Output'!$A$2:$E$99998,5,FALSE)="Clay",VLOOKUP(R$37,BoundParameters_HiddenSheetCLAY!$B$3:$E$50,MATCH(VLOOKUP($I49,$I$5:$AJ$35,MATCH(VLOOKUP(R$37,$BH$3:$BI$50,2,FALSE),$I$4:$AJ$4,0),FALSE),BoundParameters_HiddenSheetCLAY!$B$1:$E$1,0),FALSE))),'Control Panel'!R49)))</f>
        <v/>
      </c>
      <c r="S49" s="44" t="str">
        <f>IF($I49="","",IF(S$37="","",IF('Control Panel'!S49="",IF(VLOOKUP($E49,'Table Output'!$A$2:$E$99998,5,FALSE)="Sand",VLOOKUP(S$37,BoundParameters_HiddenSheetSAND!$B$3:$E$50,MATCH(VLOOKUP($I49,$I$5:$AJ$29,MATCH(VLOOKUP(S$37,$BH$3:$BI$50,2,FALSE),$I$4:$AJ$4,0),FALSE),BoundParameters_HiddenSheetCLAY!$B$1:$E$1,0),FALSE),IF(VLOOKUP($E49,'Table Output'!$A$2:$E$99998,5,FALSE)="Clay",VLOOKUP(S$37,BoundParameters_HiddenSheetCLAY!$B$3:$E$50,MATCH(VLOOKUP($I49,$I$5:$AJ$35,MATCH(VLOOKUP(S$37,$BH$3:$BI$50,2,FALSE),$I$4:$AJ$4,0),FALSE),BoundParameters_HiddenSheetCLAY!$B$1:$E$1,0),FALSE))),'Control Panel'!S49)))</f>
        <v/>
      </c>
      <c r="BH49" s="2" t="s">
        <v>176</v>
      </c>
      <c r="BI49" s="2" t="s">
        <v>107</v>
      </c>
    </row>
    <row r="50" spans="2:61" x14ac:dyDescent="0.15">
      <c r="B50" s="2">
        <f>'Control Panel'!B50</f>
        <v>0</v>
      </c>
      <c r="C50" s="2">
        <f>'Control Panel'!C50</f>
        <v>0</v>
      </c>
      <c r="E50" s="2" t="str">
        <f t="shared" si="3"/>
        <v/>
      </c>
      <c r="I50" s="7" t="str">
        <f t="shared" si="4"/>
        <v/>
      </c>
      <c r="J50" s="44" t="str">
        <f>IF($I50="","",IF(J$37="","",IF('Control Panel'!J50="",IF(VLOOKUP($E50,'Table Output'!$A$2:$E$99998,5,FALSE)="Sand",VLOOKUP(J$37,BoundParameters_HiddenSheetSAND!$B$3:$E$50,MATCH(VLOOKUP($I50,$I$5:$AJ$29,MATCH(VLOOKUP(J$37,$BH$3:$BI$50,2,FALSE),$I$4:$AJ$4,0),FALSE),BoundParameters_HiddenSheetCLAY!$B$1:$E$1,0),FALSE),IF(VLOOKUP($E50,'Table Output'!$A$2:$E$99998,5,FALSE)="Clay",VLOOKUP(J$37,BoundParameters_HiddenSheetCLAY!$B$3:$E$50,MATCH(VLOOKUP($I50,$I$5:$AJ$35,MATCH(VLOOKUP(J$37,$BH$3:$BI$50,2,FALSE),$I$4:$AJ$4,0),FALSE),BoundParameters_HiddenSheetCLAY!$B$1:$E$1,0),FALSE))),'Control Panel'!J50)))</f>
        <v/>
      </c>
      <c r="K50" s="44" t="str">
        <f>IF($I50="","",IF(K$37="","",IF('Control Panel'!K50="",IF(VLOOKUP($E50,'Table Output'!$A$2:$E$99998,5,FALSE)="Sand",VLOOKUP(K$37,BoundParameters_HiddenSheetSAND!$B$3:$E$50,MATCH(VLOOKUP($I50,$I$5:$AJ$29,MATCH(VLOOKUP(K$37,$BH$3:$BI$50,2,FALSE),$I$4:$AJ$4,0),FALSE),BoundParameters_HiddenSheetCLAY!$B$1:$E$1,0),FALSE),IF(VLOOKUP($E50,'Table Output'!$A$2:$E$99998,5,FALSE)="Clay",VLOOKUP(K$37,BoundParameters_HiddenSheetCLAY!$B$3:$E$50,MATCH(VLOOKUP($I50,$I$5:$AJ$35,MATCH(VLOOKUP(K$37,$BH$3:$BI$50,2,FALSE),$I$4:$AJ$4,0),FALSE),BoundParameters_HiddenSheetCLAY!$B$1:$E$1,0),FALSE))),'Control Panel'!K50)))</f>
        <v/>
      </c>
      <c r="L50" s="44" t="str">
        <f>IF($I50="","",IF(L$37="","",IF('Control Panel'!L50="",IF(VLOOKUP($E50,'Table Output'!$A$2:$E$99998,5,FALSE)="Sand",VLOOKUP(L$37,BoundParameters_HiddenSheetSAND!$B$3:$E$50,MATCH(VLOOKUP($I50,$I$5:$AJ$29,MATCH(VLOOKUP(L$37,$BH$3:$BI$50,2,FALSE),$I$4:$AJ$4,0),FALSE),BoundParameters_HiddenSheetCLAY!$B$1:$E$1,0),FALSE),IF(VLOOKUP($E50,'Table Output'!$A$2:$E$99998,5,FALSE)="Clay",VLOOKUP(L$37,BoundParameters_HiddenSheetCLAY!$B$3:$E$50,MATCH(VLOOKUP($I50,$I$5:$AJ$35,MATCH(VLOOKUP(L$37,$BH$3:$BI$50,2,FALSE),$I$4:$AJ$4,0),FALSE),BoundParameters_HiddenSheetCLAY!$B$1:$E$1,0),FALSE))),'Control Panel'!L50)))</f>
        <v/>
      </c>
      <c r="M50" s="44" t="str">
        <f>IF($I50="","",IF(M$37="","",IF('Control Panel'!M50="",IF(VLOOKUP($E50,'Table Output'!$A$2:$E$99998,5,FALSE)="Sand",VLOOKUP(M$37,BoundParameters_HiddenSheetSAND!$B$3:$E$50,MATCH(VLOOKUP($I50,$I$5:$AJ$29,MATCH(VLOOKUP(M$37,$BH$3:$BI$50,2,FALSE),$I$4:$AJ$4,0),FALSE),BoundParameters_HiddenSheetCLAY!$B$1:$E$1,0),FALSE),IF(VLOOKUP($E50,'Table Output'!$A$2:$E$99998,5,FALSE)="Clay",VLOOKUP(M$37,BoundParameters_HiddenSheetCLAY!$B$3:$E$50,MATCH(VLOOKUP($I50,$I$5:$AJ$35,MATCH(VLOOKUP(M$37,$BH$3:$BI$50,2,FALSE),$I$4:$AJ$4,0),FALSE),BoundParameters_HiddenSheetCLAY!$B$1:$E$1,0),FALSE))),'Control Panel'!M50)))</f>
        <v/>
      </c>
      <c r="N50" s="44" t="str">
        <f>IF($I50="","",IF(N$37="","",IF('Control Panel'!N50="",IF(VLOOKUP($E50,'Table Output'!$A$2:$E$99998,5,FALSE)="Sand",VLOOKUP(N$37,BoundParameters_HiddenSheetSAND!$B$3:$E$50,MATCH(VLOOKUP($I50,$I$5:$AJ$29,MATCH(VLOOKUP(N$37,$BH$3:$BI$50,2,FALSE),$I$4:$AJ$4,0),FALSE),BoundParameters_HiddenSheetCLAY!$B$1:$E$1,0),FALSE),IF(VLOOKUP($E50,'Table Output'!$A$2:$E$99998,5,FALSE)="Clay",VLOOKUP(N$37,BoundParameters_HiddenSheetCLAY!$B$3:$E$50,MATCH(VLOOKUP($I50,$I$5:$AJ$35,MATCH(VLOOKUP(N$37,$BH$3:$BI$50,2,FALSE),$I$4:$AJ$4,0),FALSE),BoundParameters_HiddenSheetCLAY!$B$1:$E$1,0),FALSE))),'Control Panel'!N50)))</f>
        <v/>
      </c>
      <c r="O50" s="44" t="str">
        <f>IF($I50="","",IF(O$37="","",IF('Control Panel'!O50="",IF(VLOOKUP($E50,'Table Output'!$A$2:$E$99998,5,FALSE)="Sand",VLOOKUP(O$37,BoundParameters_HiddenSheetSAND!$B$3:$E$50,MATCH(VLOOKUP($I50,$I$5:$AJ$29,MATCH(VLOOKUP(O$37,$BH$3:$BI$50,2,FALSE),$I$4:$AJ$4,0),FALSE),BoundParameters_HiddenSheetCLAY!$B$1:$E$1,0),FALSE),IF(VLOOKUP($E50,'Table Output'!$A$2:$E$99998,5,FALSE)="Clay",VLOOKUP(O$37,BoundParameters_HiddenSheetCLAY!$B$3:$E$50,MATCH(VLOOKUP($I50,$I$5:$AJ$35,MATCH(VLOOKUP(O$37,$BH$3:$BI$50,2,FALSE),$I$4:$AJ$4,0),FALSE),BoundParameters_HiddenSheetCLAY!$B$1:$E$1,0),FALSE))),'Control Panel'!O50)))</f>
        <v/>
      </c>
      <c r="P50" s="44" t="str">
        <f>IF($I50="","",IF(P$37="","",IF('Control Panel'!P50="",IF(VLOOKUP($E50,'Table Output'!$A$2:$E$99998,5,FALSE)="Sand",VLOOKUP(P$37,BoundParameters_HiddenSheetSAND!$B$3:$E$50,MATCH(VLOOKUP($I50,$I$5:$AJ$29,MATCH(VLOOKUP(P$37,$BH$3:$BI$50,2,FALSE),$I$4:$AJ$4,0),FALSE),BoundParameters_HiddenSheetCLAY!$B$1:$E$1,0),FALSE),IF(VLOOKUP($E50,'Table Output'!$A$2:$E$99998,5,FALSE)="Clay",VLOOKUP(P$37,BoundParameters_HiddenSheetCLAY!$B$3:$E$50,MATCH(VLOOKUP($I50,$I$5:$AJ$35,MATCH(VLOOKUP(P$37,$BH$3:$BI$50,2,FALSE),$I$4:$AJ$4,0),FALSE),BoundParameters_HiddenSheetCLAY!$B$1:$E$1,0),FALSE))),'Control Panel'!P50)))</f>
        <v/>
      </c>
      <c r="Q50" s="44" t="str">
        <f>IF($I50="","",IF(Q$37="","",IF('Control Panel'!Q50="",IF(VLOOKUP($E50,'Table Output'!$A$2:$E$99998,5,FALSE)="Sand",VLOOKUP(Q$37,BoundParameters_HiddenSheetSAND!$B$3:$E$50,MATCH(VLOOKUP($I50,$I$5:$AJ$29,MATCH(VLOOKUP(Q$37,$BH$3:$BI$50,2,FALSE),$I$4:$AJ$4,0),FALSE),BoundParameters_HiddenSheetCLAY!$B$1:$E$1,0),FALSE),IF(VLOOKUP($E50,'Table Output'!$A$2:$E$99998,5,FALSE)="Clay",VLOOKUP(Q$37,BoundParameters_HiddenSheetCLAY!$B$3:$E$50,MATCH(VLOOKUP($I50,$I$5:$AJ$35,MATCH(VLOOKUP(Q$37,$BH$3:$BI$50,2,FALSE),$I$4:$AJ$4,0),FALSE),BoundParameters_HiddenSheetCLAY!$B$1:$E$1,0),FALSE))),'Control Panel'!Q50)))</f>
        <v/>
      </c>
      <c r="R50" s="44" t="str">
        <f>IF($I50="","",IF(R$37="","",IF('Control Panel'!R50="",IF(VLOOKUP($E50,'Table Output'!$A$2:$E$99998,5,FALSE)="Sand",VLOOKUP(R$37,BoundParameters_HiddenSheetSAND!$B$3:$E$50,MATCH(VLOOKUP($I50,$I$5:$AJ$29,MATCH(VLOOKUP(R$37,$BH$3:$BI$50,2,FALSE),$I$4:$AJ$4,0),FALSE),BoundParameters_HiddenSheetCLAY!$B$1:$E$1,0),FALSE),IF(VLOOKUP($E50,'Table Output'!$A$2:$E$99998,5,FALSE)="Clay",VLOOKUP(R$37,BoundParameters_HiddenSheetCLAY!$B$3:$E$50,MATCH(VLOOKUP($I50,$I$5:$AJ$35,MATCH(VLOOKUP(R$37,$BH$3:$BI$50,2,FALSE),$I$4:$AJ$4,0),FALSE),BoundParameters_HiddenSheetCLAY!$B$1:$E$1,0),FALSE))),'Control Panel'!R50)))</f>
        <v/>
      </c>
      <c r="S50" s="44" t="str">
        <f>IF($I50="","",IF(S$37="","",IF('Control Panel'!S50="",IF(VLOOKUP($E50,'Table Output'!$A$2:$E$99998,5,FALSE)="Sand",VLOOKUP(S$37,BoundParameters_HiddenSheetSAND!$B$3:$E$50,MATCH(VLOOKUP($I50,$I$5:$AJ$29,MATCH(VLOOKUP(S$37,$BH$3:$BI$50,2,FALSE),$I$4:$AJ$4,0),FALSE),BoundParameters_HiddenSheetCLAY!$B$1:$E$1,0),FALSE),IF(VLOOKUP($E50,'Table Output'!$A$2:$E$99998,5,FALSE)="Clay",VLOOKUP(S$37,BoundParameters_HiddenSheetCLAY!$B$3:$E$50,MATCH(VLOOKUP($I50,$I$5:$AJ$35,MATCH(VLOOKUP(S$37,$BH$3:$BI$50,2,FALSE),$I$4:$AJ$4,0),FALSE),BoundParameters_HiddenSheetCLAY!$B$1:$E$1,0),FALSE))),'Control Panel'!S50)))</f>
        <v/>
      </c>
      <c r="BH50" s="2" t="s">
        <v>177</v>
      </c>
      <c r="BI50" s="2" t="s">
        <v>107</v>
      </c>
    </row>
    <row r="51" spans="2:61" x14ac:dyDescent="0.15">
      <c r="B51" s="2">
        <f>'Control Panel'!B51</f>
        <v>0</v>
      </c>
      <c r="C51" s="2">
        <f>'Control Panel'!C51</f>
        <v>0</v>
      </c>
      <c r="E51" s="2" t="str">
        <f t="shared" si="3"/>
        <v/>
      </c>
      <c r="I51" s="7" t="str">
        <f t="shared" si="4"/>
        <v/>
      </c>
      <c r="J51" s="44" t="str">
        <f>IF($I51="","",IF(J$37="","",IF('Control Panel'!J51="",IF(VLOOKUP($E51,'Table Output'!$A$2:$E$99998,5,FALSE)="Sand",VLOOKUP(J$37,BoundParameters_HiddenSheetSAND!$B$3:$E$50,MATCH(VLOOKUP($I51,$I$5:$AJ$29,MATCH(VLOOKUP(J$37,$BH$3:$BI$50,2,FALSE),$I$4:$AJ$4,0),FALSE),BoundParameters_HiddenSheetCLAY!$B$1:$E$1,0),FALSE),IF(VLOOKUP($E51,'Table Output'!$A$2:$E$99998,5,FALSE)="Clay",VLOOKUP(J$37,BoundParameters_HiddenSheetCLAY!$B$3:$E$50,MATCH(VLOOKUP($I51,$I$5:$AJ$35,MATCH(VLOOKUP(J$37,$BH$3:$BI$50,2,FALSE),$I$4:$AJ$4,0),FALSE),BoundParameters_HiddenSheetCLAY!$B$1:$E$1,0),FALSE))),'Control Panel'!J51)))</f>
        <v/>
      </c>
      <c r="K51" s="44" t="str">
        <f>IF($I51="","",IF(K$37="","",IF('Control Panel'!K51="",IF(VLOOKUP($E51,'Table Output'!$A$2:$E$99998,5,FALSE)="Sand",VLOOKUP(K$37,BoundParameters_HiddenSheetSAND!$B$3:$E$50,MATCH(VLOOKUP($I51,$I$5:$AJ$29,MATCH(VLOOKUP(K$37,$BH$3:$BI$50,2,FALSE),$I$4:$AJ$4,0),FALSE),BoundParameters_HiddenSheetCLAY!$B$1:$E$1,0),FALSE),IF(VLOOKUP($E51,'Table Output'!$A$2:$E$99998,5,FALSE)="Clay",VLOOKUP(K$37,BoundParameters_HiddenSheetCLAY!$B$3:$E$50,MATCH(VLOOKUP($I51,$I$5:$AJ$35,MATCH(VLOOKUP(K$37,$BH$3:$BI$50,2,FALSE),$I$4:$AJ$4,0),FALSE),BoundParameters_HiddenSheetCLAY!$B$1:$E$1,0),FALSE))),'Control Panel'!K51)))</f>
        <v/>
      </c>
      <c r="L51" s="44" t="str">
        <f>IF($I51="","",IF(L$37="","",IF('Control Panel'!L51="",IF(VLOOKUP($E51,'Table Output'!$A$2:$E$99998,5,FALSE)="Sand",VLOOKUP(L$37,BoundParameters_HiddenSheetSAND!$B$3:$E$50,MATCH(VLOOKUP($I51,$I$5:$AJ$29,MATCH(VLOOKUP(L$37,$BH$3:$BI$50,2,FALSE),$I$4:$AJ$4,0),FALSE),BoundParameters_HiddenSheetCLAY!$B$1:$E$1,0),FALSE),IF(VLOOKUP($E51,'Table Output'!$A$2:$E$99998,5,FALSE)="Clay",VLOOKUP(L$37,BoundParameters_HiddenSheetCLAY!$B$3:$E$50,MATCH(VLOOKUP($I51,$I$5:$AJ$35,MATCH(VLOOKUP(L$37,$BH$3:$BI$50,2,FALSE),$I$4:$AJ$4,0),FALSE),BoundParameters_HiddenSheetCLAY!$B$1:$E$1,0),FALSE))),'Control Panel'!L51)))</f>
        <v/>
      </c>
      <c r="M51" s="44" t="str">
        <f>IF($I51="","",IF(M$37="","",IF('Control Panel'!M51="",IF(VLOOKUP($E51,'Table Output'!$A$2:$E$99998,5,FALSE)="Sand",VLOOKUP(M$37,BoundParameters_HiddenSheetSAND!$B$3:$E$50,MATCH(VLOOKUP($I51,$I$5:$AJ$29,MATCH(VLOOKUP(M$37,$BH$3:$BI$50,2,FALSE),$I$4:$AJ$4,0),FALSE),BoundParameters_HiddenSheetCLAY!$B$1:$E$1,0),FALSE),IF(VLOOKUP($E51,'Table Output'!$A$2:$E$99998,5,FALSE)="Clay",VLOOKUP(M$37,BoundParameters_HiddenSheetCLAY!$B$3:$E$50,MATCH(VLOOKUP($I51,$I$5:$AJ$35,MATCH(VLOOKUP(M$37,$BH$3:$BI$50,2,FALSE),$I$4:$AJ$4,0),FALSE),BoundParameters_HiddenSheetCLAY!$B$1:$E$1,0),FALSE))),'Control Panel'!M51)))</f>
        <v/>
      </c>
      <c r="N51" s="44" t="str">
        <f>IF($I51="","",IF(N$37="","",IF('Control Panel'!N51="",IF(VLOOKUP($E51,'Table Output'!$A$2:$E$99998,5,FALSE)="Sand",VLOOKUP(N$37,BoundParameters_HiddenSheetSAND!$B$3:$E$50,MATCH(VLOOKUP($I51,$I$5:$AJ$29,MATCH(VLOOKUP(N$37,$BH$3:$BI$50,2,FALSE),$I$4:$AJ$4,0),FALSE),BoundParameters_HiddenSheetCLAY!$B$1:$E$1,0),FALSE),IF(VLOOKUP($E51,'Table Output'!$A$2:$E$99998,5,FALSE)="Clay",VLOOKUP(N$37,BoundParameters_HiddenSheetCLAY!$B$3:$E$50,MATCH(VLOOKUP($I51,$I$5:$AJ$35,MATCH(VLOOKUP(N$37,$BH$3:$BI$50,2,FALSE),$I$4:$AJ$4,0),FALSE),BoundParameters_HiddenSheetCLAY!$B$1:$E$1,0),FALSE))),'Control Panel'!N51)))</f>
        <v/>
      </c>
      <c r="O51" s="44" t="str">
        <f>IF($I51="","",IF(O$37="","",IF('Control Panel'!O51="",IF(VLOOKUP($E51,'Table Output'!$A$2:$E$99998,5,FALSE)="Sand",VLOOKUP(O$37,BoundParameters_HiddenSheetSAND!$B$3:$E$50,MATCH(VLOOKUP($I51,$I$5:$AJ$29,MATCH(VLOOKUP(O$37,$BH$3:$BI$50,2,FALSE),$I$4:$AJ$4,0),FALSE),BoundParameters_HiddenSheetCLAY!$B$1:$E$1,0),FALSE),IF(VLOOKUP($E51,'Table Output'!$A$2:$E$99998,5,FALSE)="Clay",VLOOKUP(O$37,BoundParameters_HiddenSheetCLAY!$B$3:$E$50,MATCH(VLOOKUP($I51,$I$5:$AJ$35,MATCH(VLOOKUP(O$37,$BH$3:$BI$50,2,FALSE),$I$4:$AJ$4,0),FALSE),BoundParameters_HiddenSheetCLAY!$B$1:$E$1,0),FALSE))),'Control Panel'!O51)))</f>
        <v/>
      </c>
      <c r="P51" s="44" t="str">
        <f>IF($I51="","",IF(P$37="","",IF('Control Panel'!P51="",IF(VLOOKUP($E51,'Table Output'!$A$2:$E$99998,5,FALSE)="Sand",VLOOKUP(P$37,BoundParameters_HiddenSheetSAND!$B$3:$E$50,MATCH(VLOOKUP($I51,$I$5:$AJ$29,MATCH(VLOOKUP(P$37,$BH$3:$BI$50,2,FALSE),$I$4:$AJ$4,0),FALSE),BoundParameters_HiddenSheetCLAY!$B$1:$E$1,0),FALSE),IF(VLOOKUP($E51,'Table Output'!$A$2:$E$99998,5,FALSE)="Clay",VLOOKUP(P$37,BoundParameters_HiddenSheetCLAY!$B$3:$E$50,MATCH(VLOOKUP($I51,$I$5:$AJ$35,MATCH(VLOOKUP(P$37,$BH$3:$BI$50,2,FALSE),$I$4:$AJ$4,0),FALSE),BoundParameters_HiddenSheetCLAY!$B$1:$E$1,0),FALSE))),'Control Panel'!P51)))</f>
        <v/>
      </c>
      <c r="Q51" s="44" t="str">
        <f>IF($I51="","",IF(Q$37="","",IF('Control Panel'!Q51="",IF(VLOOKUP($E51,'Table Output'!$A$2:$E$99998,5,FALSE)="Sand",VLOOKUP(Q$37,BoundParameters_HiddenSheetSAND!$B$3:$E$50,MATCH(VLOOKUP($I51,$I$5:$AJ$29,MATCH(VLOOKUP(Q$37,$BH$3:$BI$50,2,FALSE),$I$4:$AJ$4,0),FALSE),BoundParameters_HiddenSheetCLAY!$B$1:$E$1,0),FALSE),IF(VLOOKUP($E51,'Table Output'!$A$2:$E$99998,5,FALSE)="Clay",VLOOKUP(Q$37,BoundParameters_HiddenSheetCLAY!$B$3:$E$50,MATCH(VLOOKUP($I51,$I$5:$AJ$35,MATCH(VLOOKUP(Q$37,$BH$3:$BI$50,2,FALSE),$I$4:$AJ$4,0),FALSE),BoundParameters_HiddenSheetCLAY!$B$1:$E$1,0),FALSE))),'Control Panel'!Q51)))</f>
        <v/>
      </c>
      <c r="R51" s="44" t="str">
        <f>IF($I51="","",IF(R$37="","",IF('Control Panel'!R51="",IF(VLOOKUP($E51,'Table Output'!$A$2:$E$99998,5,FALSE)="Sand",VLOOKUP(R$37,BoundParameters_HiddenSheetSAND!$B$3:$E$50,MATCH(VLOOKUP($I51,$I$5:$AJ$29,MATCH(VLOOKUP(R$37,$BH$3:$BI$50,2,FALSE),$I$4:$AJ$4,0),FALSE),BoundParameters_HiddenSheetCLAY!$B$1:$E$1,0),FALSE),IF(VLOOKUP($E51,'Table Output'!$A$2:$E$99998,5,FALSE)="Clay",VLOOKUP(R$37,BoundParameters_HiddenSheetCLAY!$B$3:$E$50,MATCH(VLOOKUP($I51,$I$5:$AJ$35,MATCH(VLOOKUP(R$37,$BH$3:$BI$50,2,FALSE),$I$4:$AJ$4,0),FALSE),BoundParameters_HiddenSheetCLAY!$B$1:$E$1,0),FALSE))),'Control Panel'!R51)))</f>
        <v/>
      </c>
      <c r="S51" s="44" t="str">
        <f>IF($I51="","",IF(S$37="","",IF('Control Panel'!S51="",IF(VLOOKUP($E51,'Table Output'!$A$2:$E$99998,5,FALSE)="Sand",VLOOKUP(S$37,BoundParameters_HiddenSheetSAND!$B$3:$E$50,MATCH(VLOOKUP($I51,$I$5:$AJ$29,MATCH(VLOOKUP(S$37,$BH$3:$BI$50,2,FALSE),$I$4:$AJ$4,0),FALSE),BoundParameters_HiddenSheetCLAY!$B$1:$E$1,0),FALSE),IF(VLOOKUP($E51,'Table Output'!$A$2:$E$99998,5,FALSE)="Clay",VLOOKUP(S$37,BoundParameters_HiddenSheetCLAY!$B$3:$E$50,MATCH(VLOOKUP($I51,$I$5:$AJ$35,MATCH(VLOOKUP(S$37,$BH$3:$BI$50,2,FALSE),$I$4:$AJ$4,0),FALSE),BoundParameters_HiddenSheetCLAY!$B$1:$E$1,0),FALSE))),'Control Panel'!S51)))</f>
        <v/>
      </c>
      <c r="X51" s="46"/>
    </row>
    <row r="52" spans="2:61" x14ac:dyDescent="0.15">
      <c r="B52" s="2" t="str">
        <f>'Control Panel'!B52</f>
        <v>Write text file output</v>
      </c>
      <c r="C52" s="2">
        <f>IF('Control Panel'!C52=Switch_options_hidden!C3,1,0)</f>
        <v>1</v>
      </c>
      <c r="I52" s="7" t="str">
        <f t="shared" si="4"/>
        <v/>
      </c>
      <c r="J52" s="44" t="str">
        <f>IF($I52="","",IF(J$37="","",IF('Control Panel'!J52="",IF(VLOOKUP($E52,'Table Output'!$A$2:$E$99998,5,FALSE)="Sand",VLOOKUP(J$37,BoundParameters_HiddenSheetSAND!$B$3:$E$50,MATCH(VLOOKUP($I52,$I$5:$AJ$29,MATCH(VLOOKUP(J$37,$BH$3:$BI$50,2,FALSE),$I$4:$AJ$4,0),FALSE),BoundParameters_HiddenSheetCLAY!$B$1:$E$1,0),FALSE),IF(VLOOKUP($E52,'Table Output'!$A$2:$E$99998,5,FALSE)="Clay",VLOOKUP(J$37,BoundParameters_HiddenSheetCLAY!$B$3:$E$50,MATCH(VLOOKUP($I52,$I$5:$AJ$35,MATCH(VLOOKUP(J$37,$BH$3:$BI$50,2,FALSE),$I$4:$AJ$4,0),FALSE),BoundParameters_HiddenSheetCLAY!$B$1:$E$1,0),FALSE))),'Control Panel'!J52)))</f>
        <v/>
      </c>
      <c r="K52" s="44" t="str">
        <f>IF($I52="","",IF(K$37="","",IF('Control Panel'!K52="",IF(VLOOKUP($E52,'Table Output'!$A$2:$E$99998,5,FALSE)="Sand",VLOOKUP(K$37,BoundParameters_HiddenSheetSAND!$B$3:$E$50,MATCH(VLOOKUP($I52,$I$5:$AJ$29,MATCH(VLOOKUP(K$37,$BH$3:$BI$50,2,FALSE),$I$4:$AJ$4,0),FALSE),BoundParameters_HiddenSheetCLAY!$B$1:$E$1,0),FALSE),IF(VLOOKUP($E52,'Table Output'!$A$2:$E$99998,5,FALSE)="Clay",VLOOKUP(K$37,BoundParameters_HiddenSheetCLAY!$B$3:$E$50,MATCH(VLOOKUP($I52,$I$5:$AJ$35,MATCH(VLOOKUP(K$37,$BH$3:$BI$50,2,FALSE),$I$4:$AJ$4,0),FALSE),BoundParameters_HiddenSheetCLAY!$B$1:$E$1,0),FALSE))),'Control Panel'!K52)))</f>
        <v/>
      </c>
      <c r="L52" s="44" t="str">
        <f>IF($I52="","",IF(L$37="","",IF('Control Panel'!L52="",IF(VLOOKUP($E52,'Table Output'!$A$2:$E$99998,5,FALSE)="Sand",VLOOKUP(L$37,BoundParameters_HiddenSheetSAND!$B$3:$E$50,MATCH(VLOOKUP($I52,$I$5:$AJ$29,MATCH(VLOOKUP(L$37,$BH$3:$BI$50,2,FALSE),$I$4:$AJ$4,0),FALSE),BoundParameters_HiddenSheetCLAY!$B$1:$E$1,0),FALSE),IF(VLOOKUP($E52,'Table Output'!$A$2:$E$99998,5,FALSE)="Clay",VLOOKUP(L$37,BoundParameters_HiddenSheetCLAY!$B$3:$E$50,MATCH(VLOOKUP($I52,$I$5:$AJ$35,MATCH(VLOOKUP(L$37,$BH$3:$BI$50,2,FALSE),$I$4:$AJ$4,0),FALSE),BoundParameters_HiddenSheetCLAY!$B$1:$E$1,0),FALSE))),'Control Panel'!L52)))</f>
        <v/>
      </c>
      <c r="M52" s="44" t="str">
        <f>IF($I52="","",IF(M$37="","",IF('Control Panel'!M52="",IF(VLOOKUP($E52,'Table Output'!$A$2:$E$99998,5,FALSE)="Sand",VLOOKUP(M$37,BoundParameters_HiddenSheetSAND!$B$3:$E$50,MATCH(VLOOKUP($I52,$I$5:$AJ$29,MATCH(VLOOKUP(M$37,$BH$3:$BI$50,2,FALSE),$I$4:$AJ$4,0),FALSE),BoundParameters_HiddenSheetCLAY!$B$1:$E$1,0),FALSE),IF(VLOOKUP($E52,'Table Output'!$A$2:$E$99998,5,FALSE)="Clay",VLOOKUP(M$37,BoundParameters_HiddenSheetCLAY!$B$3:$E$50,MATCH(VLOOKUP($I52,$I$5:$AJ$35,MATCH(VLOOKUP(M$37,$BH$3:$BI$50,2,FALSE),$I$4:$AJ$4,0),FALSE),BoundParameters_HiddenSheetCLAY!$B$1:$E$1,0),FALSE))),'Control Panel'!M52)))</f>
        <v/>
      </c>
      <c r="N52" s="44" t="str">
        <f>IF($I52="","",IF(N$37="","",IF('Control Panel'!N52="",IF(VLOOKUP($E52,'Table Output'!$A$2:$E$99998,5,FALSE)="Sand",VLOOKUP(N$37,BoundParameters_HiddenSheetSAND!$B$3:$E$50,MATCH(VLOOKUP($I52,$I$5:$AJ$29,MATCH(VLOOKUP(N$37,$BH$3:$BI$50,2,FALSE),$I$4:$AJ$4,0),FALSE),BoundParameters_HiddenSheetCLAY!$B$1:$E$1,0),FALSE),IF(VLOOKUP($E52,'Table Output'!$A$2:$E$99998,5,FALSE)="Clay",VLOOKUP(N$37,BoundParameters_HiddenSheetCLAY!$B$3:$E$50,MATCH(VLOOKUP($I52,$I$5:$AJ$35,MATCH(VLOOKUP(N$37,$BH$3:$BI$50,2,FALSE),$I$4:$AJ$4,0),FALSE),BoundParameters_HiddenSheetCLAY!$B$1:$E$1,0),FALSE))),'Control Panel'!N52)))</f>
        <v/>
      </c>
      <c r="O52" s="44" t="str">
        <f>IF($I52="","",IF(O$37="","",IF('Control Panel'!O52="",IF(VLOOKUP($E52,'Table Output'!$A$2:$E$99998,5,FALSE)="Sand",VLOOKUP(O$37,BoundParameters_HiddenSheetSAND!$B$3:$E$50,MATCH(VLOOKUP($I52,$I$5:$AJ$29,MATCH(VLOOKUP(O$37,$BH$3:$BI$50,2,FALSE),$I$4:$AJ$4,0),FALSE),BoundParameters_HiddenSheetCLAY!$B$1:$E$1,0),FALSE),IF(VLOOKUP($E52,'Table Output'!$A$2:$E$99998,5,FALSE)="Clay",VLOOKUP(O$37,BoundParameters_HiddenSheetCLAY!$B$3:$E$50,MATCH(VLOOKUP($I52,$I$5:$AJ$35,MATCH(VLOOKUP(O$37,$BH$3:$BI$50,2,FALSE),$I$4:$AJ$4,0),FALSE),BoundParameters_HiddenSheetCLAY!$B$1:$E$1,0),FALSE))),'Control Panel'!O52)))</f>
        <v/>
      </c>
      <c r="P52" s="44" t="str">
        <f>IF($I52="","",IF(P$37="","",IF('Control Panel'!P52="",IF(VLOOKUP($E52,'Table Output'!$A$2:$E$99998,5,FALSE)="Sand",VLOOKUP(P$37,BoundParameters_HiddenSheetSAND!$B$3:$E$50,MATCH(VLOOKUP($I52,$I$5:$AJ$29,MATCH(VLOOKUP(P$37,$BH$3:$BI$50,2,FALSE),$I$4:$AJ$4,0),FALSE),BoundParameters_HiddenSheetCLAY!$B$1:$E$1,0),FALSE),IF(VLOOKUP($E52,'Table Output'!$A$2:$E$99998,5,FALSE)="Clay",VLOOKUP(P$37,BoundParameters_HiddenSheetCLAY!$B$3:$E$50,MATCH(VLOOKUP($I52,$I$5:$AJ$35,MATCH(VLOOKUP(P$37,$BH$3:$BI$50,2,FALSE),$I$4:$AJ$4,0),FALSE),BoundParameters_HiddenSheetCLAY!$B$1:$E$1,0),FALSE))),'Control Panel'!P52)))</f>
        <v/>
      </c>
      <c r="Q52" s="44" t="str">
        <f>IF($I52="","",IF(Q$37="","",IF('Control Panel'!Q52="",IF(VLOOKUP($E52,'Table Output'!$A$2:$E$99998,5,FALSE)="Sand",VLOOKUP(Q$37,BoundParameters_HiddenSheetSAND!$B$3:$E$50,MATCH(VLOOKUP($I52,$I$5:$AJ$29,MATCH(VLOOKUP(Q$37,$BH$3:$BI$50,2,FALSE),$I$4:$AJ$4,0),FALSE),BoundParameters_HiddenSheetCLAY!$B$1:$E$1,0),FALSE),IF(VLOOKUP($E52,'Table Output'!$A$2:$E$99998,5,FALSE)="Clay",VLOOKUP(Q$37,BoundParameters_HiddenSheetCLAY!$B$3:$E$50,MATCH(VLOOKUP($I52,$I$5:$AJ$35,MATCH(VLOOKUP(Q$37,$BH$3:$BI$50,2,FALSE),$I$4:$AJ$4,0),FALSE),BoundParameters_HiddenSheetCLAY!$B$1:$E$1,0),FALSE))),'Control Panel'!Q52)))</f>
        <v/>
      </c>
      <c r="R52" s="44" t="str">
        <f>IF($I52="","",IF(R$37="","",IF('Control Panel'!R52="",IF(VLOOKUP($E52,'Table Output'!$A$2:$E$99998,5,FALSE)="Sand",VLOOKUP(R$37,BoundParameters_HiddenSheetSAND!$B$3:$E$50,MATCH(VLOOKUP($I52,$I$5:$AJ$29,MATCH(VLOOKUP(R$37,$BH$3:$BI$50,2,FALSE),$I$4:$AJ$4,0),FALSE),BoundParameters_HiddenSheetCLAY!$B$1:$E$1,0),FALSE),IF(VLOOKUP($E52,'Table Output'!$A$2:$E$99998,5,FALSE)="Clay",VLOOKUP(R$37,BoundParameters_HiddenSheetCLAY!$B$3:$E$50,MATCH(VLOOKUP($I52,$I$5:$AJ$35,MATCH(VLOOKUP(R$37,$BH$3:$BI$50,2,FALSE),$I$4:$AJ$4,0),FALSE),BoundParameters_HiddenSheetCLAY!$B$1:$E$1,0),FALSE))),'Control Panel'!R52)))</f>
        <v/>
      </c>
      <c r="S52" s="44" t="str">
        <f>IF($I52="","",IF(S$37="","",IF('Control Panel'!S52="",IF(VLOOKUP($E52,'Table Output'!$A$2:$E$99998,5,FALSE)="Sand",VLOOKUP(S$37,BoundParameters_HiddenSheetSAND!$B$3:$E$50,MATCH(VLOOKUP($I52,$I$5:$AJ$29,MATCH(VLOOKUP(S$37,$BH$3:$BI$50,2,FALSE),$I$4:$AJ$4,0),FALSE),BoundParameters_HiddenSheetCLAY!$B$1:$E$1,0),FALSE),IF(VLOOKUP($E52,'Table Output'!$A$2:$E$99998,5,FALSE)="Clay",VLOOKUP(S$37,BoundParameters_HiddenSheetCLAY!$B$3:$E$50,MATCH(VLOOKUP($I52,$I$5:$AJ$35,MATCH(VLOOKUP(S$37,$BH$3:$BI$50,2,FALSE),$I$4:$AJ$4,0),FALSE),BoundParameters_HiddenSheetCLAY!$B$1:$E$1,0),FALSE))),'Control Panel'!S52)))</f>
        <v/>
      </c>
      <c r="X52" s="46"/>
    </row>
    <row r="53" spans="2:61" x14ac:dyDescent="0.15">
      <c r="B53" s="2" t="str">
        <f>'Control Panel'!B53</f>
        <v>Database update</v>
      </c>
      <c r="C53" s="2">
        <f>IF('Control Panel'!C53=Switch_options_hidden!C3,1,0)</f>
        <v>0</v>
      </c>
      <c r="E53" s="2" t="str">
        <f t="shared" si="3"/>
        <v/>
      </c>
      <c r="I53" s="7" t="str">
        <f t="shared" si="4"/>
        <v/>
      </c>
      <c r="J53" s="44" t="str">
        <f>IF($I53="","",IF(J$37="","",IF('Control Panel'!J53="",IF(VLOOKUP($E53,'Table Output'!$A$2:$E$99998,5,FALSE)="Sand",VLOOKUP(J$37,BoundParameters_HiddenSheetSAND!$B$3:$E$50,MATCH(VLOOKUP($I53,$I$5:$AJ$29,MATCH(VLOOKUP(J$37,$BH$3:$BI$50,2,FALSE),$I$4:$AJ$4,0),FALSE),BoundParameters_HiddenSheetCLAY!$B$1:$E$1,0),FALSE),IF(VLOOKUP($E53,'Table Output'!$A$2:$E$99998,5,FALSE)="Clay",VLOOKUP(J$37,BoundParameters_HiddenSheetCLAY!$B$3:$E$50,MATCH(VLOOKUP($I53,$I$5:$AJ$35,MATCH(VLOOKUP(J$37,$BH$3:$BI$50,2,FALSE),$I$4:$AJ$4,0),FALSE),BoundParameters_HiddenSheetCLAY!$B$1:$E$1,0),FALSE))),'Control Panel'!J53)))</f>
        <v/>
      </c>
      <c r="K53" s="44" t="str">
        <f>IF($I53="","",IF(K$37="","",IF('Control Panel'!K53="",IF(VLOOKUP($E53,'Table Output'!$A$2:$E$99998,5,FALSE)="Sand",VLOOKUP(K$37,BoundParameters_HiddenSheetSAND!$B$3:$E$50,MATCH(VLOOKUP($I53,$I$5:$AJ$29,MATCH(VLOOKUP(K$37,$BH$3:$BI$50,2,FALSE),$I$4:$AJ$4,0),FALSE),BoundParameters_HiddenSheetCLAY!$B$1:$E$1,0),FALSE),IF(VLOOKUP($E53,'Table Output'!$A$2:$E$99998,5,FALSE)="Clay",VLOOKUP(K$37,BoundParameters_HiddenSheetCLAY!$B$3:$E$50,MATCH(VLOOKUP($I53,$I$5:$AJ$35,MATCH(VLOOKUP(K$37,$BH$3:$BI$50,2,FALSE),$I$4:$AJ$4,0),FALSE),BoundParameters_HiddenSheetCLAY!$B$1:$E$1,0),FALSE))),'Control Panel'!K53)))</f>
        <v/>
      </c>
      <c r="L53" s="44" t="str">
        <f>IF($I53="","",IF(L$37="","",IF('Control Panel'!L53="",IF(VLOOKUP($E53,'Table Output'!$A$2:$E$99998,5,FALSE)="Sand",VLOOKUP(L$37,BoundParameters_HiddenSheetSAND!$B$3:$E$50,MATCH(VLOOKUP($I53,$I$5:$AJ$29,MATCH(VLOOKUP(L$37,$BH$3:$BI$50,2,FALSE),$I$4:$AJ$4,0),FALSE),BoundParameters_HiddenSheetCLAY!$B$1:$E$1,0),FALSE),IF(VLOOKUP($E53,'Table Output'!$A$2:$E$99998,5,FALSE)="Clay",VLOOKUP(L$37,BoundParameters_HiddenSheetCLAY!$B$3:$E$50,MATCH(VLOOKUP($I53,$I$5:$AJ$35,MATCH(VLOOKUP(L$37,$BH$3:$BI$50,2,FALSE),$I$4:$AJ$4,0),FALSE),BoundParameters_HiddenSheetCLAY!$B$1:$E$1,0),FALSE))),'Control Panel'!L53)))</f>
        <v/>
      </c>
      <c r="M53" s="44" t="str">
        <f>IF($I53="","",IF(M$37="","",IF('Control Panel'!M53="",IF(VLOOKUP($E53,'Table Output'!$A$2:$E$99998,5,FALSE)="Sand",VLOOKUP(M$37,BoundParameters_HiddenSheetSAND!$B$3:$E$50,MATCH(VLOOKUP($I53,$I$5:$AJ$29,MATCH(VLOOKUP(M$37,$BH$3:$BI$50,2,FALSE),$I$4:$AJ$4,0),FALSE),BoundParameters_HiddenSheetCLAY!$B$1:$E$1,0),FALSE),IF(VLOOKUP($E53,'Table Output'!$A$2:$E$99998,5,FALSE)="Clay",VLOOKUP(M$37,BoundParameters_HiddenSheetCLAY!$B$3:$E$50,MATCH(VLOOKUP($I53,$I$5:$AJ$35,MATCH(VLOOKUP(M$37,$BH$3:$BI$50,2,FALSE),$I$4:$AJ$4,0),FALSE),BoundParameters_HiddenSheetCLAY!$B$1:$E$1,0),FALSE))),'Control Panel'!M53)))</f>
        <v/>
      </c>
      <c r="N53" s="44" t="str">
        <f>IF($I53="","",IF(N$37="","",IF('Control Panel'!N53="",IF(VLOOKUP($E53,'Table Output'!$A$2:$E$99998,5,FALSE)="Sand",VLOOKUP(N$37,BoundParameters_HiddenSheetSAND!$B$3:$E$50,MATCH(VLOOKUP($I53,$I$5:$AJ$29,MATCH(VLOOKUP(N$37,$BH$3:$BI$50,2,FALSE),$I$4:$AJ$4,0),FALSE),BoundParameters_HiddenSheetCLAY!$B$1:$E$1,0),FALSE),IF(VLOOKUP($E53,'Table Output'!$A$2:$E$99998,5,FALSE)="Clay",VLOOKUP(N$37,BoundParameters_HiddenSheetCLAY!$B$3:$E$50,MATCH(VLOOKUP($I53,$I$5:$AJ$35,MATCH(VLOOKUP(N$37,$BH$3:$BI$50,2,FALSE),$I$4:$AJ$4,0),FALSE),BoundParameters_HiddenSheetCLAY!$B$1:$E$1,0),FALSE))),'Control Panel'!N53)))</f>
        <v/>
      </c>
      <c r="O53" s="44" t="str">
        <f>IF($I53="","",IF(O$37="","",IF('Control Panel'!O53="",IF(VLOOKUP($E53,'Table Output'!$A$2:$E$99998,5,FALSE)="Sand",VLOOKUP(O$37,BoundParameters_HiddenSheetSAND!$B$3:$E$50,MATCH(VLOOKUP($I53,$I$5:$AJ$29,MATCH(VLOOKUP(O$37,$BH$3:$BI$50,2,FALSE),$I$4:$AJ$4,0),FALSE),BoundParameters_HiddenSheetCLAY!$B$1:$E$1,0),FALSE),IF(VLOOKUP($E53,'Table Output'!$A$2:$E$99998,5,FALSE)="Clay",VLOOKUP(O$37,BoundParameters_HiddenSheetCLAY!$B$3:$E$50,MATCH(VLOOKUP($I53,$I$5:$AJ$35,MATCH(VLOOKUP(O$37,$BH$3:$BI$50,2,FALSE),$I$4:$AJ$4,0),FALSE),BoundParameters_HiddenSheetCLAY!$B$1:$E$1,0),FALSE))),'Control Panel'!O53)))</f>
        <v/>
      </c>
      <c r="P53" s="44" t="str">
        <f>IF($I53="","",IF(P$37="","",IF('Control Panel'!P53="",IF(VLOOKUP($E53,'Table Output'!$A$2:$E$99998,5,FALSE)="Sand",VLOOKUP(P$37,BoundParameters_HiddenSheetSAND!$B$3:$E$50,MATCH(VLOOKUP($I53,$I$5:$AJ$29,MATCH(VLOOKUP(P$37,$BH$3:$BI$50,2,FALSE),$I$4:$AJ$4,0),FALSE),BoundParameters_HiddenSheetCLAY!$B$1:$E$1,0),FALSE),IF(VLOOKUP($E53,'Table Output'!$A$2:$E$99998,5,FALSE)="Clay",VLOOKUP(P$37,BoundParameters_HiddenSheetCLAY!$B$3:$E$50,MATCH(VLOOKUP($I53,$I$5:$AJ$35,MATCH(VLOOKUP(P$37,$BH$3:$BI$50,2,FALSE),$I$4:$AJ$4,0),FALSE),BoundParameters_HiddenSheetCLAY!$B$1:$E$1,0),FALSE))),'Control Panel'!P53)))</f>
        <v/>
      </c>
      <c r="Q53" s="44" t="str">
        <f>IF($I53="","",IF(Q$37="","",IF('Control Panel'!Q53="",IF(VLOOKUP($E53,'Table Output'!$A$2:$E$99998,5,FALSE)="Sand",VLOOKUP(Q$37,BoundParameters_HiddenSheetSAND!$B$3:$E$50,MATCH(VLOOKUP($I53,$I$5:$AJ$29,MATCH(VLOOKUP(Q$37,$BH$3:$BI$50,2,FALSE),$I$4:$AJ$4,0),FALSE),BoundParameters_HiddenSheetCLAY!$B$1:$E$1,0),FALSE),IF(VLOOKUP($E53,'Table Output'!$A$2:$E$99998,5,FALSE)="Clay",VLOOKUP(Q$37,BoundParameters_HiddenSheetCLAY!$B$3:$E$50,MATCH(VLOOKUP($I53,$I$5:$AJ$35,MATCH(VLOOKUP(Q$37,$BH$3:$BI$50,2,FALSE),$I$4:$AJ$4,0),FALSE),BoundParameters_HiddenSheetCLAY!$B$1:$E$1,0),FALSE))),'Control Panel'!Q53)))</f>
        <v/>
      </c>
      <c r="R53" s="44" t="str">
        <f>IF($I53="","",IF(R$37="","",IF('Control Panel'!R53="",IF(VLOOKUP($E53,'Table Output'!$A$2:$E$99998,5,FALSE)="Sand",VLOOKUP(R$37,BoundParameters_HiddenSheetSAND!$B$3:$E$50,MATCH(VLOOKUP($I53,$I$5:$AJ$29,MATCH(VLOOKUP(R$37,$BH$3:$BI$50,2,FALSE),$I$4:$AJ$4,0),FALSE),BoundParameters_HiddenSheetCLAY!$B$1:$E$1,0),FALSE),IF(VLOOKUP($E53,'Table Output'!$A$2:$E$99998,5,FALSE)="Clay",VLOOKUP(R$37,BoundParameters_HiddenSheetCLAY!$B$3:$E$50,MATCH(VLOOKUP($I53,$I$5:$AJ$35,MATCH(VLOOKUP(R$37,$BH$3:$BI$50,2,FALSE),$I$4:$AJ$4,0),FALSE),BoundParameters_HiddenSheetCLAY!$B$1:$E$1,0),FALSE))),'Control Panel'!R53)))</f>
        <v/>
      </c>
      <c r="S53" s="44" t="str">
        <f>IF($I53="","",IF(S$37="","",IF('Control Panel'!S53="",IF(VLOOKUP($E53,'Table Output'!$A$2:$E$99998,5,FALSE)="Sand",VLOOKUP(S$37,BoundParameters_HiddenSheetSAND!$B$3:$E$50,MATCH(VLOOKUP($I53,$I$5:$AJ$29,MATCH(VLOOKUP(S$37,$BH$3:$BI$50,2,FALSE),$I$4:$AJ$4,0),FALSE),BoundParameters_HiddenSheetCLAY!$B$1:$E$1,0),FALSE),IF(VLOOKUP($E53,'Table Output'!$A$2:$E$99998,5,FALSE)="Clay",VLOOKUP(S$37,BoundParameters_HiddenSheetCLAY!$B$3:$E$50,MATCH(VLOOKUP($I53,$I$5:$AJ$35,MATCH(VLOOKUP(S$37,$BH$3:$BI$50,2,FALSE),$I$4:$AJ$4,0),FALSE),BoundParameters_HiddenSheetCLAY!$B$1:$E$1,0),FALSE))),'Control Panel'!S53)))</f>
        <v/>
      </c>
      <c r="X53" s="46"/>
    </row>
    <row r="54" spans="2:61" x14ac:dyDescent="0.15">
      <c r="B54" s="2" t="str">
        <f>'Control Panel'!B54</f>
        <v>Project name</v>
      </c>
      <c r="C54" s="2" t="str">
        <f>'Control Panel'!C54</f>
        <v>Empire_Wind_1</v>
      </c>
      <c r="E54" s="2" t="str">
        <f t="shared" si="3"/>
        <v/>
      </c>
      <c r="I54" s="7" t="str">
        <f t="shared" si="4"/>
        <v/>
      </c>
      <c r="J54" s="44" t="str">
        <f>IF($I54="","",IF(J$37="","",IF('Control Panel'!J54="",IF(VLOOKUP($E54,'Table Output'!$A$2:$E$99998,5,FALSE)="Sand",VLOOKUP(J$37,BoundParameters_HiddenSheetSAND!$B$3:$E$50,MATCH(VLOOKUP($I54,$I$5:$AJ$29,MATCH(VLOOKUP(J$37,$BH$3:$BI$50,2,FALSE),$I$4:$AJ$4,0),FALSE),BoundParameters_HiddenSheetCLAY!$B$1:$E$1,0),FALSE),IF(VLOOKUP($E54,'Table Output'!$A$2:$E$99998,5,FALSE)="Clay",VLOOKUP(J$37,BoundParameters_HiddenSheetCLAY!$B$3:$E$50,MATCH(VLOOKUP($I54,$I$5:$AJ$35,MATCH(VLOOKUP(J$37,$BH$3:$BI$50,2,FALSE),$I$4:$AJ$4,0),FALSE),BoundParameters_HiddenSheetCLAY!$B$1:$E$1,0),FALSE))),'Control Panel'!J54)))</f>
        <v/>
      </c>
      <c r="K54" s="44" t="str">
        <f>IF($I54="","",IF(K$37="","",IF('Control Panel'!K54="",IF(VLOOKUP($E54,'Table Output'!$A$2:$E$99998,5,FALSE)="Sand",VLOOKUP(K$37,BoundParameters_HiddenSheetSAND!$B$3:$E$50,MATCH(VLOOKUP($I54,$I$5:$AJ$29,MATCH(VLOOKUP(K$37,$BH$3:$BI$50,2,FALSE),$I$4:$AJ$4,0),FALSE),BoundParameters_HiddenSheetCLAY!$B$1:$E$1,0),FALSE),IF(VLOOKUP($E54,'Table Output'!$A$2:$E$99998,5,FALSE)="Clay",VLOOKUP(K$37,BoundParameters_HiddenSheetCLAY!$B$3:$E$50,MATCH(VLOOKUP($I54,$I$5:$AJ$35,MATCH(VLOOKUP(K$37,$BH$3:$BI$50,2,FALSE),$I$4:$AJ$4,0),FALSE),BoundParameters_HiddenSheetCLAY!$B$1:$E$1,0),FALSE))),'Control Panel'!K54)))</f>
        <v/>
      </c>
      <c r="L54" s="44" t="str">
        <f>IF($I54="","",IF(L$37="","",IF('Control Panel'!L54="",IF(VLOOKUP($E54,'Table Output'!$A$2:$E$99998,5,FALSE)="Sand",VLOOKUP(L$37,BoundParameters_HiddenSheetSAND!$B$3:$E$50,MATCH(VLOOKUP($I54,$I$5:$AJ$29,MATCH(VLOOKUP(L$37,$BH$3:$BI$50,2,FALSE),$I$4:$AJ$4,0),FALSE),BoundParameters_HiddenSheetCLAY!$B$1:$E$1,0),FALSE),IF(VLOOKUP($E54,'Table Output'!$A$2:$E$99998,5,FALSE)="Clay",VLOOKUP(L$37,BoundParameters_HiddenSheetCLAY!$B$3:$E$50,MATCH(VLOOKUP($I54,$I$5:$AJ$35,MATCH(VLOOKUP(L$37,$BH$3:$BI$50,2,FALSE),$I$4:$AJ$4,0),FALSE),BoundParameters_HiddenSheetCLAY!$B$1:$E$1,0),FALSE))),'Control Panel'!L54)))</f>
        <v/>
      </c>
      <c r="M54" s="44" t="str">
        <f>IF($I54="","",IF(M$37="","",IF('Control Panel'!M54="",IF(VLOOKUP($E54,'Table Output'!$A$2:$E$99998,5,FALSE)="Sand",VLOOKUP(M$37,BoundParameters_HiddenSheetSAND!$B$3:$E$50,MATCH(VLOOKUP($I54,$I$5:$AJ$29,MATCH(VLOOKUP(M$37,$BH$3:$BI$50,2,FALSE),$I$4:$AJ$4,0),FALSE),BoundParameters_HiddenSheetCLAY!$B$1:$E$1,0),FALSE),IF(VLOOKUP($E54,'Table Output'!$A$2:$E$99998,5,FALSE)="Clay",VLOOKUP(M$37,BoundParameters_HiddenSheetCLAY!$B$3:$E$50,MATCH(VLOOKUP($I54,$I$5:$AJ$35,MATCH(VLOOKUP(M$37,$BH$3:$BI$50,2,FALSE),$I$4:$AJ$4,0),FALSE),BoundParameters_HiddenSheetCLAY!$B$1:$E$1,0),FALSE))),'Control Panel'!M54)))</f>
        <v/>
      </c>
      <c r="N54" s="44" t="str">
        <f>IF($I54="","",IF(N$37="","",IF('Control Panel'!N54="",IF(VLOOKUP($E54,'Table Output'!$A$2:$E$99998,5,FALSE)="Sand",VLOOKUP(N$37,BoundParameters_HiddenSheetSAND!$B$3:$E$50,MATCH(VLOOKUP($I54,$I$5:$AJ$29,MATCH(VLOOKUP(N$37,$BH$3:$BI$50,2,FALSE),$I$4:$AJ$4,0),FALSE),BoundParameters_HiddenSheetCLAY!$B$1:$E$1,0),FALSE),IF(VLOOKUP($E54,'Table Output'!$A$2:$E$99998,5,FALSE)="Clay",VLOOKUP(N$37,BoundParameters_HiddenSheetCLAY!$B$3:$E$50,MATCH(VLOOKUP($I54,$I$5:$AJ$35,MATCH(VLOOKUP(N$37,$BH$3:$BI$50,2,FALSE),$I$4:$AJ$4,0),FALSE),BoundParameters_HiddenSheetCLAY!$B$1:$E$1,0),FALSE))),'Control Panel'!N54)))</f>
        <v/>
      </c>
      <c r="O54" s="44" t="str">
        <f>IF($I54="","",IF(O$37="","",IF('Control Panel'!O54="",IF(VLOOKUP($E54,'Table Output'!$A$2:$E$99998,5,FALSE)="Sand",VLOOKUP(O$37,BoundParameters_HiddenSheetSAND!$B$3:$E$50,MATCH(VLOOKUP($I54,$I$5:$AJ$29,MATCH(VLOOKUP(O$37,$BH$3:$BI$50,2,FALSE),$I$4:$AJ$4,0),FALSE),BoundParameters_HiddenSheetCLAY!$B$1:$E$1,0),FALSE),IF(VLOOKUP($E54,'Table Output'!$A$2:$E$99998,5,FALSE)="Clay",VLOOKUP(O$37,BoundParameters_HiddenSheetCLAY!$B$3:$E$50,MATCH(VLOOKUP($I54,$I$5:$AJ$35,MATCH(VLOOKUP(O$37,$BH$3:$BI$50,2,FALSE),$I$4:$AJ$4,0),FALSE),BoundParameters_HiddenSheetCLAY!$B$1:$E$1,0),FALSE))),'Control Panel'!O54)))</f>
        <v/>
      </c>
      <c r="P54" s="44" t="str">
        <f>IF($I54="","",IF(P$37="","",IF('Control Panel'!P54="",IF(VLOOKUP($E54,'Table Output'!$A$2:$E$99998,5,FALSE)="Sand",VLOOKUP(P$37,BoundParameters_HiddenSheetSAND!$B$3:$E$50,MATCH(VLOOKUP($I54,$I$5:$AJ$29,MATCH(VLOOKUP(P$37,$BH$3:$BI$50,2,FALSE),$I$4:$AJ$4,0),FALSE),BoundParameters_HiddenSheetCLAY!$B$1:$E$1,0),FALSE),IF(VLOOKUP($E54,'Table Output'!$A$2:$E$99998,5,FALSE)="Clay",VLOOKUP(P$37,BoundParameters_HiddenSheetCLAY!$B$3:$E$50,MATCH(VLOOKUP($I54,$I$5:$AJ$35,MATCH(VLOOKUP(P$37,$BH$3:$BI$50,2,FALSE),$I$4:$AJ$4,0),FALSE),BoundParameters_HiddenSheetCLAY!$B$1:$E$1,0),FALSE))),'Control Panel'!P54)))</f>
        <v/>
      </c>
      <c r="Q54" s="44" t="str">
        <f>IF($I54="","",IF(Q$37="","",IF('Control Panel'!Q54="",IF(VLOOKUP($E54,'Table Output'!$A$2:$E$99998,5,FALSE)="Sand",VLOOKUP(Q$37,BoundParameters_HiddenSheetSAND!$B$3:$E$50,MATCH(VLOOKUP($I54,$I$5:$AJ$29,MATCH(VLOOKUP(Q$37,$BH$3:$BI$50,2,FALSE),$I$4:$AJ$4,0),FALSE),BoundParameters_HiddenSheetCLAY!$B$1:$E$1,0),FALSE),IF(VLOOKUP($E54,'Table Output'!$A$2:$E$99998,5,FALSE)="Clay",VLOOKUP(Q$37,BoundParameters_HiddenSheetCLAY!$B$3:$E$50,MATCH(VLOOKUP($I54,$I$5:$AJ$35,MATCH(VLOOKUP(Q$37,$BH$3:$BI$50,2,FALSE),$I$4:$AJ$4,0),FALSE),BoundParameters_HiddenSheetCLAY!$B$1:$E$1,0),FALSE))),'Control Panel'!Q54)))</f>
        <v/>
      </c>
      <c r="R54" s="44" t="str">
        <f>IF($I54="","",IF(R$37="","",IF('Control Panel'!R54="",IF(VLOOKUP($E54,'Table Output'!$A$2:$E$99998,5,FALSE)="Sand",VLOOKUP(R$37,BoundParameters_HiddenSheetSAND!$B$3:$E$50,MATCH(VLOOKUP($I54,$I$5:$AJ$29,MATCH(VLOOKUP(R$37,$BH$3:$BI$50,2,FALSE),$I$4:$AJ$4,0),FALSE),BoundParameters_HiddenSheetCLAY!$B$1:$E$1,0),FALSE),IF(VLOOKUP($E54,'Table Output'!$A$2:$E$99998,5,FALSE)="Clay",VLOOKUP(R$37,BoundParameters_HiddenSheetCLAY!$B$3:$E$50,MATCH(VLOOKUP($I54,$I$5:$AJ$35,MATCH(VLOOKUP(R$37,$BH$3:$BI$50,2,FALSE),$I$4:$AJ$4,0),FALSE),BoundParameters_HiddenSheetCLAY!$B$1:$E$1,0),FALSE))),'Control Panel'!R54)))</f>
        <v/>
      </c>
      <c r="S54" s="44" t="str">
        <f>IF($I54="","",IF(S$37="","",IF('Control Panel'!S54="",IF(VLOOKUP($E54,'Table Output'!$A$2:$E$99998,5,FALSE)="Sand",VLOOKUP(S$37,BoundParameters_HiddenSheetSAND!$B$3:$E$50,MATCH(VLOOKUP($I54,$I$5:$AJ$29,MATCH(VLOOKUP(S$37,$BH$3:$BI$50,2,FALSE),$I$4:$AJ$4,0),FALSE),BoundParameters_HiddenSheetCLAY!$B$1:$E$1,0),FALSE),IF(VLOOKUP($E54,'Table Output'!$A$2:$E$99998,5,FALSE)="Clay",VLOOKUP(S$37,BoundParameters_HiddenSheetCLAY!$B$3:$E$50,MATCH(VLOOKUP($I54,$I$5:$AJ$35,MATCH(VLOOKUP(S$37,$BH$3:$BI$50,2,FALSE),$I$4:$AJ$4,0),FALSE),BoundParameters_HiddenSheetCLAY!$B$1:$E$1,0),FALSE))),'Control Panel'!S54)))</f>
        <v/>
      </c>
      <c r="X54" s="46"/>
    </row>
    <row r="55" spans="2:61" x14ac:dyDescent="0.15">
      <c r="B55" s="2" t="str">
        <f>'Control Panel'!B55</f>
        <v>revision for saving</v>
      </c>
      <c r="C55" s="2">
        <f>'Control Panel'!C55</f>
        <v>11</v>
      </c>
      <c r="E55" s="2" t="str">
        <f t="shared" si="3"/>
        <v/>
      </c>
      <c r="I55" s="7" t="str">
        <f t="shared" si="4"/>
        <v/>
      </c>
      <c r="J55" s="44" t="str">
        <f>IF($I55="","",IF(J$37="","",IF('Control Panel'!J55="",IF(VLOOKUP($E55,'Table Output'!$A$2:$E$99998,5,FALSE)="Sand",VLOOKUP(J$37,BoundParameters_HiddenSheetSAND!$B$3:$E$50,MATCH(VLOOKUP($I55,$I$5:$AJ$29,MATCH(VLOOKUP(J$37,$BH$3:$BI$50,2,FALSE),$I$4:$AJ$4,0),FALSE),BoundParameters_HiddenSheetCLAY!$B$1:$E$1,0),FALSE),IF(VLOOKUP($E55,'Table Output'!$A$2:$E$99998,5,FALSE)="Clay",VLOOKUP(J$37,BoundParameters_HiddenSheetCLAY!$B$3:$E$50,MATCH(VLOOKUP($I55,$I$5:$AJ$35,MATCH(VLOOKUP(J$37,$BH$3:$BI$50,2,FALSE),$I$4:$AJ$4,0),FALSE),BoundParameters_HiddenSheetCLAY!$B$1:$E$1,0),FALSE))),'Control Panel'!J55)))</f>
        <v/>
      </c>
      <c r="K55" s="44" t="str">
        <f>IF($I55="","",IF(K$37="","",IF('Control Panel'!K55="",IF(VLOOKUP($E55,'Table Output'!$A$2:$E$99998,5,FALSE)="Sand",VLOOKUP(K$37,BoundParameters_HiddenSheetSAND!$B$3:$E$50,MATCH(VLOOKUP($I55,$I$5:$AJ$29,MATCH(VLOOKUP(K$37,$BH$3:$BI$50,2,FALSE),$I$4:$AJ$4,0),FALSE),BoundParameters_HiddenSheetCLAY!$B$1:$E$1,0),FALSE),IF(VLOOKUP($E55,'Table Output'!$A$2:$E$99998,5,FALSE)="Clay",VLOOKUP(K$37,BoundParameters_HiddenSheetCLAY!$B$3:$E$50,MATCH(VLOOKUP($I55,$I$5:$AJ$35,MATCH(VLOOKUP(K$37,$BH$3:$BI$50,2,FALSE),$I$4:$AJ$4,0),FALSE),BoundParameters_HiddenSheetCLAY!$B$1:$E$1,0),FALSE))),'Control Panel'!K55)))</f>
        <v/>
      </c>
      <c r="L55" s="44" t="str">
        <f>IF($I55="","",IF(L$37="","",IF('Control Panel'!L55="",IF(VLOOKUP($E55,'Table Output'!$A$2:$E$99998,5,FALSE)="Sand",VLOOKUP(L$37,BoundParameters_HiddenSheetSAND!$B$3:$E$50,MATCH(VLOOKUP($I55,$I$5:$AJ$29,MATCH(VLOOKUP(L$37,$BH$3:$BI$50,2,FALSE),$I$4:$AJ$4,0),FALSE),BoundParameters_HiddenSheetCLAY!$B$1:$E$1,0),FALSE),IF(VLOOKUP($E55,'Table Output'!$A$2:$E$99998,5,FALSE)="Clay",VLOOKUP(L$37,BoundParameters_HiddenSheetCLAY!$B$3:$E$50,MATCH(VLOOKUP($I55,$I$5:$AJ$35,MATCH(VLOOKUP(L$37,$BH$3:$BI$50,2,FALSE),$I$4:$AJ$4,0),FALSE),BoundParameters_HiddenSheetCLAY!$B$1:$E$1,0),FALSE))),'Control Panel'!L55)))</f>
        <v/>
      </c>
      <c r="M55" s="44" t="str">
        <f>IF($I55="","",IF(M$37="","",IF('Control Panel'!M55="",IF(VLOOKUP($E55,'Table Output'!$A$2:$E$99998,5,FALSE)="Sand",VLOOKUP(M$37,BoundParameters_HiddenSheetSAND!$B$3:$E$50,MATCH(VLOOKUP($I55,$I$5:$AJ$29,MATCH(VLOOKUP(M$37,$BH$3:$BI$50,2,FALSE),$I$4:$AJ$4,0),FALSE),BoundParameters_HiddenSheetCLAY!$B$1:$E$1,0),FALSE),IF(VLOOKUP($E55,'Table Output'!$A$2:$E$99998,5,FALSE)="Clay",VLOOKUP(M$37,BoundParameters_HiddenSheetCLAY!$B$3:$E$50,MATCH(VLOOKUP($I55,$I$5:$AJ$35,MATCH(VLOOKUP(M$37,$BH$3:$BI$50,2,FALSE),$I$4:$AJ$4,0),FALSE),BoundParameters_HiddenSheetCLAY!$B$1:$E$1,0),FALSE))),'Control Panel'!M55)))</f>
        <v/>
      </c>
      <c r="N55" s="44" t="str">
        <f>IF($I55="","",IF(N$37="","",IF('Control Panel'!N55="",IF(VLOOKUP($E55,'Table Output'!$A$2:$E$99998,5,FALSE)="Sand",VLOOKUP(N$37,BoundParameters_HiddenSheetSAND!$B$3:$E$50,MATCH(VLOOKUP($I55,$I$5:$AJ$29,MATCH(VLOOKUP(N$37,$BH$3:$BI$50,2,FALSE),$I$4:$AJ$4,0),FALSE),BoundParameters_HiddenSheetCLAY!$B$1:$E$1,0),FALSE),IF(VLOOKUP($E55,'Table Output'!$A$2:$E$99998,5,FALSE)="Clay",VLOOKUP(N$37,BoundParameters_HiddenSheetCLAY!$B$3:$E$50,MATCH(VLOOKUP($I55,$I$5:$AJ$35,MATCH(VLOOKUP(N$37,$BH$3:$BI$50,2,FALSE),$I$4:$AJ$4,0),FALSE),BoundParameters_HiddenSheetCLAY!$B$1:$E$1,0),FALSE))),'Control Panel'!N55)))</f>
        <v/>
      </c>
      <c r="O55" s="44" t="str">
        <f>IF($I55="","",IF(O$37="","",IF('Control Panel'!O55="",IF(VLOOKUP($E55,'Table Output'!$A$2:$E$99998,5,FALSE)="Sand",VLOOKUP(O$37,BoundParameters_HiddenSheetSAND!$B$3:$E$50,MATCH(VLOOKUP($I55,$I$5:$AJ$29,MATCH(VLOOKUP(O$37,$BH$3:$BI$50,2,FALSE),$I$4:$AJ$4,0),FALSE),BoundParameters_HiddenSheetCLAY!$B$1:$E$1,0),FALSE),IF(VLOOKUP($E55,'Table Output'!$A$2:$E$99998,5,FALSE)="Clay",VLOOKUP(O$37,BoundParameters_HiddenSheetCLAY!$B$3:$E$50,MATCH(VLOOKUP($I55,$I$5:$AJ$35,MATCH(VLOOKUP(O$37,$BH$3:$BI$50,2,FALSE),$I$4:$AJ$4,0),FALSE),BoundParameters_HiddenSheetCLAY!$B$1:$E$1,0),FALSE))),'Control Panel'!O55)))</f>
        <v/>
      </c>
      <c r="P55" s="44" t="str">
        <f>IF($I55="","",IF(P$37="","",IF('Control Panel'!P55="",IF(VLOOKUP($E55,'Table Output'!$A$2:$E$99998,5,FALSE)="Sand",VLOOKUP(P$37,BoundParameters_HiddenSheetSAND!$B$3:$E$50,MATCH(VLOOKUP($I55,$I$5:$AJ$29,MATCH(VLOOKUP(P$37,$BH$3:$BI$50,2,FALSE),$I$4:$AJ$4,0),FALSE),BoundParameters_HiddenSheetCLAY!$B$1:$E$1,0),FALSE),IF(VLOOKUP($E55,'Table Output'!$A$2:$E$99998,5,FALSE)="Clay",VLOOKUP(P$37,BoundParameters_HiddenSheetCLAY!$B$3:$E$50,MATCH(VLOOKUP($I55,$I$5:$AJ$35,MATCH(VLOOKUP(P$37,$BH$3:$BI$50,2,FALSE),$I$4:$AJ$4,0),FALSE),BoundParameters_HiddenSheetCLAY!$B$1:$E$1,0),FALSE))),'Control Panel'!P55)))</f>
        <v/>
      </c>
      <c r="Q55" s="44" t="str">
        <f>IF($I55="","",IF(Q$37="","",IF('Control Panel'!Q55="",IF(VLOOKUP($E55,'Table Output'!$A$2:$E$99998,5,FALSE)="Sand",VLOOKUP(Q$37,BoundParameters_HiddenSheetSAND!$B$3:$E$50,MATCH(VLOOKUP($I55,$I$5:$AJ$29,MATCH(VLOOKUP(Q$37,$BH$3:$BI$50,2,FALSE),$I$4:$AJ$4,0),FALSE),BoundParameters_HiddenSheetCLAY!$B$1:$E$1,0),FALSE),IF(VLOOKUP($E55,'Table Output'!$A$2:$E$99998,5,FALSE)="Clay",VLOOKUP(Q$37,BoundParameters_HiddenSheetCLAY!$B$3:$E$50,MATCH(VLOOKUP($I55,$I$5:$AJ$35,MATCH(VLOOKUP(Q$37,$BH$3:$BI$50,2,FALSE),$I$4:$AJ$4,0),FALSE),BoundParameters_HiddenSheetCLAY!$B$1:$E$1,0),FALSE))),'Control Panel'!Q55)))</f>
        <v/>
      </c>
      <c r="R55" s="44" t="str">
        <f>IF($I55="","",IF(R$37="","",IF('Control Panel'!R55="",IF(VLOOKUP($E55,'Table Output'!$A$2:$E$99998,5,FALSE)="Sand",VLOOKUP(R$37,BoundParameters_HiddenSheetSAND!$B$3:$E$50,MATCH(VLOOKUP($I55,$I$5:$AJ$29,MATCH(VLOOKUP(R$37,$BH$3:$BI$50,2,FALSE),$I$4:$AJ$4,0),FALSE),BoundParameters_HiddenSheetCLAY!$B$1:$E$1,0),FALSE),IF(VLOOKUP($E55,'Table Output'!$A$2:$E$99998,5,FALSE)="Clay",VLOOKUP(R$37,BoundParameters_HiddenSheetCLAY!$B$3:$E$50,MATCH(VLOOKUP($I55,$I$5:$AJ$35,MATCH(VLOOKUP(R$37,$BH$3:$BI$50,2,FALSE),$I$4:$AJ$4,0),FALSE),BoundParameters_HiddenSheetCLAY!$B$1:$E$1,0),FALSE))),'Control Panel'!R55)))</f>
        <v/>
      </c>
      <c r="S55" s="44" t="str">
        <f>IF($I55="","",IF(S$37="","",IF('Control Panel'!S55="",IF(VLOOKUP($E55,'Table Output'!$A$2:$E$99998,5,FALSE)="Sand",VLOOKUP(S$37,BoundParameters_HiddenSheetSAND!$B$3:$E$50,MATCH(VLOOKUP($I55,$I$5:$AJ$29,MATCH(VLOOKUP(S$37,$BH$3:$BI$50,2,FALSE),$I$4:$AJ$4,0),FALSE),BoundParameters_HiddenSheetCLAY!$B$1:$E$1,0),FALSE),IF(VLOOKUP($E55,'Table Output'!$A$2:$E$99998,5,FALSE)="Clay",VLOOKUP(S$37,BoundParameters_HiddenSheetCLAY!$B$3:$E$50,MATCH(VLOOKUP($I55,$I$5:$AJ$35,MATCH(VLOOKUP(S$37,$BH$3:$BI$50,2,FALSE),$I$4:$AJ$4,0),FALSE),BoundParameters_HiddenSheetCLAY!$B$1:$E$1,0),FALSE))),'Control Panel'!S55)))</f>
        <v/>
      </c>
    </row>
    <row r="56" spans="2:61" x14ac:dyDescent="0.15">
      <c r="B56" s="2">
        <f>'Control Panel'!B56</f>
        <v>0</v>
      </c>
      <c r="C56" s="2">
        <f>'Control Panel'!C56</f>
        <v>0</v>
      </c>
      <c r="E56" s="2" t="str">
        <f t="shared" si="3"/>
        <v/>
      </c>
      <c r="I56" s="7" t="str">
        <f t="shared" si="4"/>
        <v/>
      </c>
      <c r="J56" s="44" t="str">
        <f>IF($I56="","",IF(J$37="","",IF('Control Panel'!J56="",IF(VLOOKUP($E56,'Table Output'!$A$2:$E$99998,5,FALSE)="Sand",VLOOKUP(J$37,BoundParameters_HiddenSheetSAND!$B$3:$E$50,MATCH(VLOOKUP($I56,$I$5:$AJ$29,MATCH(VLOOKUP(J$37,$BH$3:$BI$50,2,FALSE),$I$4:$AJ$4,0),FALSE),BoundParameters_HiddenSheetCLAY!$B$1:$E$1,0),FALSE),IF(VLOOKUP($E56,'Table Output'!$A$2:$E$99998,5,FALSE)="Clay",VLOOKUP(J$37,BoundParameters_HiddenSheetCLAY!$B$3:$E$50,MATCH(VLOOKUP($I56,$I$5:$AJ$35,MATCH(VLOOKUP(J$37,$BH$3:$BI$50,2,FALSE),$I$4:$AJ$4,0),FALSE),BoundParameters_HiddenSheetCLAY!$B$1:$E$1,0),FALSE))),'Control Panel'!J56)))</f>
        <v/>
      </c>
      <c r="K56" s="44" t="str">
        <f>IF($I56="","",IF(K$37="","",IF('Control Panel'!K56="",IF(VLOOKUP($E56,'Table Output'!$A$2:$E$99998,5,FALSE)="Sand",VLOOKUP(K$37,BoundParameters_HiddenSheetSAND!$B$3:$E$50,MATCH(VLOOKUP($I56,$I$5:$AJ$29,MATCH(VLOOKUP(K$37,$BH$3:$BI$50,2,FALSE),$I$4:$AJ$4,0),FALSE),BoundParameters_HiddenSheetCLAY!$B$1:$E$1,0),FALSE),IF(VLOOKUP($E56,'Table Output'!$A$2:$E$99998,5,FALSE)="Clay",VLOOKUP(K$37,BoundParameters_HiddenSheetCLAY!$B$3:$E$50,MATCH(VLOOKUP($I56,$I$5:$AJ$35,MATCH(VLOOKUP(K$37,$BH$3:$BI$50,2,FALSE),$I$4:$AJ$4,0),FALSE),BoundParameters_HiddenSheetCLAY!$B$1:$E$1,0),FALSE))),'Control Panel'!K56)))</f>
        <v/>
      </c>
      <c r="L56" s="44" t="str">
        <f>IF($I56="","",IF(L$37="","",IF('Control Panel'!L56="",IF(VLOOKUP($E56,'Table Output'!$A$2:$E$99998,5,FALSE)="Sand",VLOOKUP(L$37,BoundParameters_HiddenSheetSAND!$B$3:$E$50,MATCH(VLOOKUP($I56,$I$5:$AJ$29,MATCH(VLOOKUP(L$37,$BH$3:$BI$50,2,FALSE),$I$4:$AJ$4,0),FALSE),BoundParameters_HiddenSheetCLAY!$B$1:$E$1,0),FALSE),IF(VLOOKUP($E56,'Table Output'!$A$2:$E$99998,5,FALSE)="Clay",VLOOKUP(L$37,BoundParameters_HiddenSheetCLAY!$B$3:$E$50,MATCH(VLOOKUP($I56,$I$5:$AJ$35,MATCH(VLOOKUP(L$37,$BH$3:$BI$50,2,FALSE),$I$4:$AJ$4,0),FALSE),BoundParameters_HiddenSheetCLAY!$B$1:$E$1,0),FALSE))),'Control Panel'!L56)))</f>
        <v/>
      </c>
      <c r="M56" s="44" t="str">
        <f>IF($I56="","",IF(M$37="","",IF('Control Panel'!M56="",IF(VLOOKUP($E56,'Table Output'!$A$2:$E$99998,5,FALSE)="Sand",VLOOKUP(M$37,BoundParameters_HiddenSheetSAND!$B$3:$E$50,MATCH(VLOOKUP($I56,$I$5:$AJ$29,MATCH(VLOOKUP(M$37,$BH$3:$BI$50,2,FALSE),$I$4:$AJ$4,0),FALSE),BoundParameters_HiddenSheetCLAY!$B$1:$E$1,0),FALSE),IF(VLOOKUP($E56,'Table Output'!$A$2:$E$99998,5,FALSE)="Clay",VLOOKUP(M$37,BoundParameters_HiddenSheetCLAY!$B$3:$E$50,MATCH(VLOOKUP($I56,$I$5:$AJ$35,MATCH(VLOOKUP(M$37,$BH$3:$BI$50,2,FALSE),$I$4:$AJ$4,0),FALSE),BoundParameters_HiddenSheetCLAY!$B$1:$E$1,0),FALSE))),'Control Panel'!M56)))</f>
        <v/>
      </c>
      <c r="N56" s="44" t="str">
        <f>IF($I56="","",IF(N$37="","",IF('Control Panel'!N56="",IF(VLOOKUP($E56,'Table Output'!$A$2:$E$99998,5,FALSE)="Sand",VLOOKUP(N$37,BoundParameters_HiddenSheetSAND!$B$3:$E$50,MATCH(VLOOKUP($I56,$I$5:$AJ$29,MATCH(VLOOKUP(N$37,$BH$3:$BI$50,2,FALSE),$I$4:$AJ$4,0),FALSE),BoundParameters_HiddenSheetCLAY!$B$1:$E$1,0),FALSE),IF(VLOOKUP($E56,'Table Output'!$A$2:$E$99998,5,FALSE)="Clay",VLOOKUP(N$37,BoundParameters_HiddenSheetCLAY!$B$3:$E$50,MATCH(VLOOKUP($I56,$I$5:$AJ$35,MATCH(VLOOKUP(N$37,$BH$3:$BI$50,2,FALSE),$I$4:$AJ$4,0),FALSE),BoundParameters_HiddenSheetCLAY!$B$1:$E$1,0),FALSE))),'Control Panel'!N56)))</f>
        <v/>
      </c>
      <c r="O56" s="44" t="str">
        <f>IF($I56="","",IF(O$37="","",IF('Control Panel'!O56="",IF(VLOOKUP($E56,'Table Output'!$A$2:$E$99998,5,FALSE)="Sand",VLOOKUP(O$37,BoundParameters_HiddenSheetSAND!$B$3:$E$50,MATCH(VLOOKUP($I56,$I$5:$AJ$29,MATCH(VLOOKUP(O$37,$BH$3:$BI$50,2,FALSE),$I$4:$AJ$4,0),FALSE),BoundParameters_HiddenSheetCLAY!$B$1:$E$1,0),FALSE),IF(VLOOKUP($E56,'Table Output'!$A$2:$E$99998,5,FALSE)="Clay",VLOOKUP(O$37,BoundParameters_HiddenSheetCLAY!$B$3:$E$50,MATCH(VLOOKUP($I56,$I$5:$AJ$35,MATCH(VLOOKUP(O$37,$BH$3:$BI$50,2,FALSE),$I$4:$AJ$4,0),FALSE),BoundParameters_HiddenSheetCLAY!$B$1:$E$1,0),FALSE))),'Control Panel'!O56)))</f>
        <v/>
      </c>
      <c r="P56" s="44" t="str">
        <f>IF($I56="","",IF(P$37="","",IF('Control Panel'!P56="",IF(VLOOKUP($E56,'Table Output'!$A$2:$E$99998,5,FALSE)="Sand",VLOOKUP(P$37,BoundParameters_HiddenSheetSAND!$B$3:$E$50,MATCH(VLOOKUP($I56,$I$5:$AJ$29,MATCH(VLOOKUP(P$37,$BH$3:$BI$50,2,FALSE),$I$4:$AJ$4,0),FALSE),BoundParameters_HiddenSheetCLAY!$B$1:$E$1,0),FALSE),IF(VLOOKUP($E56,'Table Output'!$A$2:$E$99998,5,FALSE)="Clay",VLOOKUP(P$37,BoundParameters_HiddenSheetCLAY!$B$3:$E$50,MATCH(VLOOKUP($I56,$I$5:$AJ$35,MATCH(VLOOKUP(P$37,$BH$3:$BI$50,2,FALSE),$I$4:$AJ$4,0),FALSE),BoundParameters_HiddenSheetCLAY!$B$1:$E$1,0),FALSE))),'Control Panel'!P56)))</f>
        <v/>
      </c>
      <c r="Q56" s="44" t="str">
        <f>IF($I56="","",IF(Q$37="","",IF('Control Panel'!Q56="",IF(VLOOKUP($E56,'Table Output'!$A$2:$E$99998,5,FALSE)="Sand",VLOOKUP(Q$37,BoundParameters_HiddenSheetSAND!$B$3:$E$50,MATCH(VLOOKUP($I56,$I$5:$AJ$29,MATCH(VLOOKUP(Q$37,$BH$3:$BI$50,2,FALSE),$I$4:$AJ$4,0),FALSE),BoundParameters_HiddenSheetCLAY!$B$1:$E$1,0),FALSE),IF(VLOOKUP($E56,'Table Output'!$A$2:$E$99998,5,FALSE)="Clay",VLOOKUP(Q$37,BoundParameters_HiddenSheetCLAY!$B$3:$E$50,MATCH(VLOOKUP($I56,$I$5:$AJ$35,MATCH(VLOOKUP(Q$37,$BH$3:$BI$50,2,FALSE),$I$4:$AJ$4,0),FALSE),BoundParameters_HiddenSheetCLAY!$B$1:$E$1,0),FALSE))),'Control Panel'!Q56)))</f>
        <v/>
      </c>
      <c r="R56" s="44" t="str">
        <f>IF($I56="","",IF(R$37="","",IF('Control Panel'!R56="",IF(VLOOKUP($E56,'Table Output'!$A$2:$E$99998,5,FALSE)="Sand",VLOOKUP(R$37,BoundParameters_HiddenSheetSAND!$B$3:$E$50,MATCH(VLOOKUP($I56,$I$5:$AJ$29,MATCH(VLOOKUP(R$37,$BH$3:$BI$50,2,FALSE),$I$4:$AJ$4,0),FALSE),BoundParameters_HiddenSheetCLAY!$B$1:$E$1,0),FALSE),IF(VLOOKUP($E56,'Table Output'!$A$2:$E$99998,5,FALSE)="Clay",VLOOKUP(R$37,BoundParameters_HiddenSheetCLAY!$B$3:$E$50,MATCH(VLOOKUP($I56,$I$5:$AJ$35,MATCH(VLOOKUP(R$37,$BH$3:$BI$50,2,FALSE),$I$4:$AJ$4,0),FALSE),BoundParameters_HiddenSheetCLAY!$B$1:$E$1,0),FALSE))),'Control Panel'!R56)))</f>
        <v/>
      </c>
      <c r="S56" s="44" t="str">
        <f>IF($I56="","",IF(S$37="","",IF('Control Panel'!S56="",IF(VLOOKUP($E56,'Table Output'!$A$2:$E$99998,5,FALSE)="Sand",VLOOKUP(S$37,BoundParameters_HiddenSheetSAND!$B$3:$E$50,MATCH(VLOOKUP($I56,$I$5:$AJ$29,MATCH(VLOOKUP(S$37,$BH$3:$BI$50,2,FALSE),$I$4:$AJ$4,0),FALSE),BoundParameters_HiddenSheetCLAY!$B$1:$E$1,0),FALSE),IF(VLOOKUP($E56,'Table Output'!$A$2:$E$99998,5,FALSE)="Clay",VLOOKUP(S$37,BoundParameters_HiddenSheetCLAY!$B$3:$E$50,MATCH(VLOOKUP($I56,$I$5:$AJ$35,MATCH(VLOOKUP(S$37,$BH$3:$BI$50,2,FALSE),$I$4:$AJ$4,0),FALSE),BoundParameters_HiddenSheetCLAY!$B$1:$E$1,0),FALSE))),'Control Panel'!S56)))</f>
        <v/>
      </c>
    </row>
    <row r="57" spans="2:61" x14ac:dyDescent="0.15">
      <c r="B57" s="2">
        <f>'Control Panel'!B57</f>
        <v>0</v>
      </c>
      <c r="C57" s="2">
        <f>'Control Panel'!C57</f>
        <v>0</v>
      </c>
      <c r="E57" s="2" t="str">
        <f t="shared" si="3"/>
        <v/>
      </c>
      <c r="I57" s="7" t="str">
        <f t="shared" si="4"/>
        <v/>
      </c>
      <c r="J57" s="44" t="str">
        <f>IF($I57="","",IF(J$37="","",IF('Control Panel'!J57="",IF(VLOOKUP($E57,'Table Output'!$A$2:$E$99998,5,FALSE)="Sand",VLOOKUP(J$37,BoundParameters_HiddenSheetSAND!$B$3:$E$50,MATCH(VLOOKUP($I57,$I$5:$AJ$29,MATCH(VLOOKUP(J$37,$BH$3:$BI$50,2,FALSE),$I$4:$AJ$4,0),FALSE),BoundParameters_HiddenSheetCLAY!$B$1:$E$1,0),FALSE),IF(VLOOKUP($E57,'Table Output'!$A$2:$E$99998,5,FALSE)="Clay",VLOOKUP(J$37,BoundParameters_HiddenSheetCLAY!$B$3:$E$50,MATCH(VLOOKUP($I57,$I$5:$AJ$35,MATCH(VLOOKUP(J$37,$BH$3:$BI$50,2,FALSE),$I$4:$AJ$4,0),FALSE),BoundParameters_HiddenSheetCLAY!$B$1:$E$1,0),FALSE))),'Control Panel'!J57)))</f>
        <v/>
      </c>
      <c r="K57" s="44" t="str">
        <f>IF($I57="","",IF(K$37="","",IF('Control Panel'!K57="",IF(VLOOKUP($E57,'Table Output'!$A$2:$E$99998,5,FALSE)="Sand",VLOOKUP(K$37,BoundParameters_HiddenSheetSAND!$B$3:$E$50,MATCH(VLOOKUP($I57,$I$5:$AJ$29,MATCH(VLOOKUP(K$37,$BH$3:$BI$50,2,FALSE),$I$4:$AJ$4,0),FALSE),BoundParameters_HiddenSheetCLAY!$B$1:$E$1,0),FALSE),IF(VLOOKUP($E57,'Table Output'!$A$2:$E$99998,5,FALSE)="Clay",VLOOKUP(K$37,BoundParameters_HiddenSheetCLAY!$B$3:$E$50,MATCH(VLOOKUP($I57,$I$5:$AJ$35,MATCH(VLOOKUP(K$37,$BH$3:$BI$50,2,FALSE),$I$4:$AJ$4,0),FALSE),BoundParameters_HiddenSheetCLAY!$B$1:$E$1,0),FALSE))),'Control Panel'!K57)))</f>
        <v/>
      </c>
      <c r="L57" s="44" t="str">
        <f>IF($I57="","",IF(L$37="","",IF('Control Panel'!L57="",IF(VLOOKUP($E57,'Table Output'!$A$2:$E$99998,5,FALSE)="Sand",VLOOKUP(L$37,BoundParameters_HiddenSheetSAND!$B$3:$E$50,MATCH(VLOOKUP($I57,$I$5:$AJ$29,MATCH(VLOOKUP(L$37,$BH$3:$BI$50,2,FALSE),$I$4:$AJ$4,0),FALSE),BoundParameters_HiddenSheetCLAY!$B$1:$E$1,0),FALSE),IF(VLOOKUP($E57,'Table Output'!$A$2:$E$99998,5,FALSE)="Clay",VLOOKUP(L$37,BoundParameters_HiddenSheetCLAY!$B$3:$E$50,MATCH(VLOOKUP($I57,$I$5:$AJ$35,MATCH(VLOOKUP(L$37,$BH$3:$BI$50,2,FALSE),$I$4:$AJ$4,0),FALSE),BoundParameters_HiddenSheetCLAY!$B$1:$E$1,0),FALSE))),'Control Panel'!L57)))</f>
        <v/>
      </c>
      <c r="M57" s="44" t="str">
        <f>IF($I57="","",IF(M$37="","",IF('Control Panel'!M57="",IF(VLOOKUP($E57,'Table Output'!$A$2:$E$99998,5,FALSE)="Sand",VLOOKUP(M$37,BoundParameters_HiddenSheetSAND!$B$3:$E$50,MATCH(VLOOKUP($I57,$I$5:$AJ$29,MATCH(VLOOKUP(M$37,$BH$3:$BI$50,2,FALSE),$I$4:$AJ$4,0),FALSE),BoundParameters_HiddenSheetCLAY!$B$1:$E$1,0),FALSE),IF(VLOOKUP($E57,'Table Output'!$A$2:$E$99998,5,FALSE)="Clay",VLOOKUP(M$37,BoundParameters_HiddenSheetCLAY!$B$3:$E$50,MATCH(VLOOKUP($I57,$I$5:$AJ$35,MATCH(VLOOKUP(M$37,$BH$3:$BI$50,2,FALSE),$I$4:$AJ$4,0),FALSE),BoundParameters_HiddenSheetCLAY!$B$1:$E$1,0),FALSE))),'Control Panel'!M57)))</f>
        <v/>
      </c>
      <c r="N57" s="44" t="str">
        <f>IF($I57="","",IF(N$37="","",IF('Control Panel'!N57="",IF(VLOOKUP($E57,'Table Output'!$A$2:$E$99998,5,FALSE)="Sand",VLOOKUP(N$37,BoundParameters_HiddenSheetSAND!$B$3:$E$50,MATCH(VLOOKUP($I57,$I$5:$AJ$29,MATCH(VLOOKUP(N$37,$BH$3:$BI$50,2,FALSE),$I$4:$AJ$4,0),FALSE),BoundParameters_HiddenSheetCLAY!$B$1:$E$1,0),FALSE),IF(VLOOKUP($E57,'Table Output'!$A$2:$E$99998,5,FALSE)="Clay",VLOOKUP(N$37,BoundParameters_HiddenSheetCLAY!$B$3:$E$50,MATCH(VLOOKUP($I57,$I$5:$AJ$35,MATCH(VLOOKUP(N$37,$BH$3:$BI$50,2,FALSE),$I$4:$AJ$4,0),FALSE),BoundParameters_HiddenSheetCLAY!$B$1:$E$1,0),FALSE))),'Control Panel'!N57)))</f>
        <v/>
      </c>
      <c r="O57" s="44" t="str">
        <f>IF($I57="","",IF(O$37="","",IF('Control Panel'!O57="",IF(VLOOKUP($E57,'Table Output'!$A$2:$E$99998,5,FALSE)="Sand",VLOOKUP(O$37,BoundParameters_HiddenSheetSAND!$B$3:$E$50,MATCH(VLOOKUP($I57,$I$5:$AJ$29,MATCH(VLOOKUP(O$37,$BH$3:$BI$50,2,FALSE),$I$4:$AJ$4,0),FALSE),BoundParameters_HiddenSheetCLAY!$B$1:$E$1,0),FALSE),IF(VLOOKUP($E57,'Table Output'!$A$2:$E$99998,5,FALSE)="Clay",VLOOKUP(O$37,BoundParameters_HiddenSheetCLAY!$B$3:$E$50,MATCH(VLOOKUP($I57,$I$5:$AJ$35,MATCH(VLOOKUP(O$37,$BH$3:$BI$50,2,FALSE),$I$4:$AJ$4,0),FALSE),BoundParameters_HiddenSheetCLAY!$B$1:$E$1,0),FALSE))),'Control Panel'!O57)))</f>
        <v/>
      </c>
      <c r="P57" s="44" t="str">
        <f>IF($I57="","",IF(P$37="","",IF('Control Panel'!P57="",IF(VLOOKUP($E57,'Table Output'!$A$2:$E$99998,5,FALSE)="Sand",VLOOKUP(P$37,BoundParameters_HiddenSheetSAND!$B$3:$E$50,MATCH(VLOOKUP($I57,$I$5:$AJ$29,MATCH(VLOOKUP(P$37,$BH$3:$BI$50,2,FALSE),$I$4:$AJ$4,0),FALSE),BoundParameters_HiddenSheetCLAY!$B$1:$E$1,0),FALSE),IF(VLOOKUP($E57,'Table Output'!$A$2:$E$99998,5,FALSE)="Clay",VLOOKUP(P$37,BoundParameters_HiddenSheetCLAY!$B$3:$E$50,MATCH(VLOOKUP($I57,$I$5:$AJ$35,MATCH(VLOOKUP(P$37,$BH$3:$BI$50,2,FALSE),$I$4:$AJ$4,0),FALSE),BoundParameters_HiddenSheetCLAY!$B$1:$E$1,0),FALSE))),'Control Panel'!P57)))</f>
        <v/>
      </c>
      <c r="Q57" s="44" t="str">
        <f>IF($I57="","",IF(Q$37="","",IF('Control Panel'!Q57="",IF(VLOOKUP($E57,'Table Output'!$A$2:$E$99998,5,FALSE)="Sand",VLOOKUP(Q$37,BoundParameters_HiddenSheetSAND!$B$3:$E$50,MATCH(VLOOKUP($I57,$I$5:$AJ$29,MATCH(VLOOKUP(Q$37,$BH$3:$BI$50,2,FALSE),$I$4:$AJ$4,0),FALSE),BoundParameters_HiddenSheetCLAY!$B$1:$E$1,0),FALSE),IF(VLOOKUP($E57,'Table Output'!$A$2:$E$99998,5,FALSE)="Clay",VLOOKUP(Q$37,BoundParameters_HiddenSheetCLAY!$B$3:$E$50,MATCH(VLOOKUP($I57,$I$5:$AJ$35,MATCH(VLOOKUP(Q$37,$BH$3:$BI$50,2,FALSE),$I$4:$AJ$4,0),FALSE),BoundParameters_HiddenSheetCLAY!$B$1:$E$1,0),FALSE))),'Control Panel'!Q57)))</f>
        <v/>
      </c>
      <c r="R57" s="44" t="str">
        <f>IF($I57="","",IF(R$37="","",IF('Control Panel'!R57="",IF(VLOOKUP($E57,'Table Output'!$A$2:$E$99998,5,FALSE)="Sand",VLOOKUP(R$37,BoundParameters_HiddenSheetSAND!$B$3:$E$50,MATCH(VLOOKUP($I57,$I$5:$AJ$29,MATCH(VLOOKUP(R$37,$BH$3:$BI$50,2,FALSE),$I$4:$AJ$4,0),FALSE),BoundParameters_HiddenSheetCLAY!$B$1:$E$1,0),FALSE),IF(VLOOKUP($E57,'Table Output'!$A$2:$E$99998,5,FALSE)="Clay",VLOOKUP(R$37,BoundParameters_HiddenSheetCLAY!$B$3:$E$50,MATCH(VLOOKUP($I57,$I$5:$AJ$35,MATCH(VLOOKUP(R$37,$BH$3:$BI$50,2,FALSE),$I$4:$AJ$4,0),FALSE),BoundParameters_HiddenSheetCLAY!$B$1:$E$1,0),FALSE))),'Control Panel'!R57)))</f>
        <v/>
      </c>
      <c r="S57" s="44" t="str">
        <f>IF($I57="","",IF(S$37="","",IF('Control Panel'!S57="",IF(VLOOKUP($E57,'Table Output'!$A$2:$E$99998,5,FALSE)="Sand",VLOOKUP(S$37,BoundParameters_HiddenSheetSAND!$B$3:$E$50,MATCH(VLOOKUP($I57,$I$5:$AJ$29,MATCH(VLOOKUP(S$37,$BH$3:$BI$50,2,FALSE),$I$4:$AJ$4,0),FALSE),BoundParameters_HiddenSheetCLAY!$B$1:$E$1,0),FALSE),IF(VLOOKUP($E57,'Table Output'!$A$2:$E$99998,5,FALSE)="Clay",VLOOKUP(S$37,BoundParameters_HiddenSheetCLAY!$B$3:$E$50,MATCH(VLOOKUP($I57,$I$5:$AJ$35,MATCH(VLOOKUP(S$37,$BH$3:$BI$50,2,FALSE),$I$4:$AJ$4,0),FALSE),BoundParameters_HiddenSheetCLAY!$B$1:$E$1,0),FALSE))),'Control Panel'!S57)))</f>
        <v/>
      </c>
    </row>
    <row r="58" spans="2:61" x14ac:dyDescent="0.15">
      <c r="B58" s="2">
        <f>'Control Panel'!B58</f>
        <v>0</v>
      </c>
      <c r="C58" s="2">
        <f>'Control Panel'!C58</f>
        <v>0</v>
      </c>
      <c r="E58" s="2" t="str">
        <f t="shared" ref="E58:E67" si="5">E25</f>
        <v/>
      </c>
      <c r="I58" s="7" t="str">
        <f t="shared" si="4"/>
        <v/>
      </c>
      <c r="J58" s="44" t="str">
        <f>IF($I58="","",IF(J$37="","",IF('Control Panel'!J58="",IF(VLOOKUP($E58,'Table Output'!$A$2:$E$99998,5,FALSE)="Sand",VLOOKUP(J$37,BoundParameters_HiddenSheetSAND!$B$3:$E$50,MATCH(VLOOKUP($I58,$I$5:$AJ$29,MATCH(VLOOKUP(J$37,$BH$3:$BI$50,2,FALSE),$I$4:$AJ$4,0),FALSE),BoundParameters_HiddenSheetCLAY!$B$1:$E$1,0),FALSE),IF(VLOOKUP($E58,'Table Output'!$A$2:$E$99998,5,FALSE)="Clay",VLOOKUP(J$37,BoundParameters_HiddenSheetCLAY!$B$3:$E$50,MATCH(VLOOKUP($I58,$I$5:$AJ$35,MATCH(VLOOKUP(J$37,$BH$3:$BI$50,2,FALSE),$I$4:$AJ$4,0),FALSE),BoundParameters_HiddenSheetCLAY!$B$1:$E$1,0),FALSE))),'Control Panel'!J58)))</f>
        <v/>
      </c>
      <c r="K58" s="44" t="str">
        <f>IF($I58="","",IF(K$37="","",IF('Control Panel'!K58="",IF(VLOOKUP($E58,'Table Output'!$A$2:$E$99998,5,FALSE)="Sand",VLOOKUP(K$37,BoundParameters_HiddenSheetSAND!$B$3:$E$50,MATCH(VLOOKUP($I58,$I$5:$AJ$29,MATCH(VLOOKUP(K$37,$BH$3:$BI$50,2,FALSE),$I$4:$AJ$4,0),FALSE),BoundParameters_HiddenSheetCLAY!$B$1:$E$1,0),FALSE),IF(VLOOKUP($E58,'Table Output'!$A$2:$E$99998,5,FALSE)="Clay",VLOOKUP(K$37,BoundParameters_HiddenSheetCLAY!$B$3:$E$50,MATCH(VLOOKUP($I58,$I$5:$AJ$35,MATCH(VLOOKUP(K$37,$BH$3:$BI$50,2,FALSE),$I$4:$AJ$4,0),FALSE),BoundParameters_HiddenSheetCLAY!$B$1:$E$1,0),FALSE))),'Control Panel'!K58)))</f>
        <v/>
      </c>
      <c r="L58" s="44" t="str">
        <f>IF($I58="","",IF(L$37="","",IF('Control Panel'!L58="",IF(VLOOKUP($E58,'Table Output'!$A$2:$E$99998,5,FALSE)="Sand",VLOOKUP(L$37,BoundParameters_HiddenSheetSAND!$B$3:$E$50,MATCH(VLOOKUP($I58,$I$5:$AJ$29,MATCH(VLOOKUP(L$37,$BH$3:$BI$50,2,FALSE),$I$4:$AJ$4,0),FALSE),BoundParameters_HiddenSheetCLAY!$B$1:$E$1,0),FALSE),IF(VLOOKUP($E58,'Table Output'!$A$2:$E$99998,5,FALSE)="Clay",VLOOKUP(L$37,BoundParameters_HiddenSheetCLAY!$B$3:$E$50,MATCH(VLOOKUP($I58,$I$5:$AJ$35,MATCH(VLOOKUP(L$37,$BH$3:$BI$50,2,FALSE),$I$4:$AJ$4,0),FALSE),BoundParameters_HiddenSheetCLAY!$B$1:$E$1,0),FALSE))),'Control Panel'!L58)))</f>
        <v/>
      </c>
      <c r="M58" s="44" t="str">
        <f>IF($I58="","",IF(M$37="","",IF('Control Panel'!M58="",IF(VLOOKUP($E58,'Table Output'!$A$2:$E$99998,5,FALSE)="Sand",VLOOKUP(M$37,BoundParameters_HiddenSheetSAND!$B$3:$E$50,MATCH(VLOOKUP($I58,$I$5:$AJ$29,MATCH(VLOOKUP(M$37,$BH$3:$BI$50,2,FALSE),$I$4:$AJ$4,0),FALSE),BoundParameters_HiddenSheetCLAY!$B$1:$E$1,0),FALSE),IF(VLOOKUP($E58,'Table Output'!$A$2:$E$99998,5,FALSE)="Clay",VLOOKUP(M$37,BoundParameters_HiddenSheetCLAY!$B$3:$E$50,MATCH(VLOOKUP($I58,$I$5:$AJ$35,MATCH(VLOOKUP(M$37,$BH$3:$BI$50,2,FALSE),$I$4:$AJ$4,0),FALSE),BoundParameters_HiddenSheetCLAY!$B$1:$E$1,0),FALSE))),'Control Panel'!M58)))</f>
        <v/>
      </c>
      <c r="N58" s="44" t="str">
        <f>IF($I58="","",IF(N$37="","",IF('Control Panel'!N58="",IF(VLOOKUP($E58,'Table Output'!$A$2:$E$99998,5,FALSE)="Sand",VLOOKUP(N$37,BoundParameters_HiddenSheetSAND!$B$3:$E$50,MATCH(VLOOKUP($I58,$I$5:$AJ$29,MATCH(VLOOKUP(N$37,$BH$3:$BI$50,2,FALSE),$I$4:$AJ$4,0),FALSE),BoundParameters_HiddenSheetCLAY!$B$1:$E$1,0),FALSE),IF(VLOOKUP($E58,'Table Output'!$A$2:$E$99998,5,FALSE)="Clay",VLOOKUP(N$37,BoundParameters_HiddenSheetCLAY!$B$3:$E$50,MATCH(VLOOKUP($I58,$I$5:$AJ$35,MATCH(VLOOKUP(N$37,$BH$3:$BI$50,2,FALSE),$I$4:$AJ$4,0),FALSE),BoundParameters_HiddenSheetCLAY!$B$1:$E$1,0),FALSE))),'Control Panel'!N58)))</f>
        <v/>
      </c>
      <c r="O58" s="44" t="str">
        <f>IF($I58="","",IF(O$37="","",IF('Control Panel'!O58="",IF(VLOOKUP($E58,'Table Output'!$A$2:$E$99998,5,FALSE)="Sand",VLOOKUP(O$37,BoundParameters_HiddenSheetSAND!$B$3:$E$50,MATCH(VLOOKUP($I58,$I$5:$AJ$29,MATCH(VLOOKUP(O$37,$BH$3:$BI$50,2,FALSE),$I$4:$AJ$4,0),FALSE),BoundParameters_HiddenSheetCLAY!$B$1:$E$1,0),FALSE),IF(VLOOKUP($E58,'Table Output'!$A$2:$E$99998,5,FALSE)="Clay",VLOOKUP(O$37,BoundParameters_HiddenSheetCLAY!$B$3:$E$50,MATCH(VLOOKUP($I58,$I$5:$AJ$35,MATCH(VLOOKUP(O$37,$BH$3:$BI$50,2,FALSE),$I$4:$AJ$4,0),FALSE),BoundParameters_HiddenSheetCLAY!$B$1:$E$1,0),FALSE))),'Control Panel'!O58)))</f>
        <v/>
      </c>
      <c r="P58" s="44" t="str">
        <f>IF($I58="","",IF(P$37="","",IF('Control Panel'!P58="",IF(VLOOKUP($E58,'Table Output'!$A$2:$E$99998,5,FALSE)="Sand",VLOOKUP(P$37,BoundParameters_HiddenSheetSAND!$B$3:$E$50,MATCH(VLOOKUP($I58,$I$5:$AJ$29,MATCH(VLOOKUP(P$37,$BH$3:$BI$50,2,FALSE),$I$4:$AJ$4,0),FALSE),BoundParameters_HiddenSheetCLAY!$B$1:$E$1,0),FALSE),IF(VLOOKUP($E58,'Table Output'!$A$2:$E$99998,5,FALSE)="Clay",VLOOKUP(P$37,BoundParameters_HiddenSheetCLAY!$B$3:$E$50,MATCH(VLOOKUP($I58,$I$5:$AJ$35,MATCH(VLOOKUP(P$37,$BH$3:$BI$50,2,FALSE),$I$4:$AJ$4,0),FALSE),BoundParameters_HiddenSheetCLAY!$B$1:$E$1,0),FALSE))),'Control Panel'!P58)))</f>
        <v/>
      </c>
      <c r="Q58" s="44" t="str">
        <f>IF($I58="","",IF(Q$37="","",IF('Control Panel'!Q58="",IF(VLOOKUP($E58,'Table Output'!$A$2:$E$99998,5,FALSE)="Sand",VLOOKUP(Q$37,BoundParameters_HiddenSheetSAND!$B$3:$E$50,MATCH(VLOOKUP($I58,$I$5:$AJ$29,MATCH(VLOOKUP(Q$37,$BH$3:$BI$50,2,FALSE),$I$4:$AJ$4,0),FALSE),BoundParameters_HiddenSheetCLAY!$B$1:$E$1,0),FALSE),IF(VLOOKUP($E58,'Table Output'!$A$2:$E$99998,5,FALSE)="Clay",VLOOKUP(Q$37,BoundParameters_HiddenSheetCLAY!$B$3:$E$50,MATCH(VLOOKUP($I58,$I$5:$AJ$35,MATCH(VLOOKUP(Q$37,$BH$3:$BI$50,2,FALSE),$I$4:$AJ$4,0),FALSE),BoundParameters_HiddenSheetCLAY!$B$1:$E$1,0),FALSE))),'Control Panel'!Q58)))</f>
        <v/>
      </c>
      <c r="R58" s="44" t="str">
        <f>IF($I58="","",IF(R$37="","",IF('Control Panel'!R58="",IF(VLOOKUP($E58,'Table Output'!$A$2:$E$99998,5,FALSE)="Sand",VLOOKUP(R$37,BoundParameters_HiddenSheetSAND!$B$3:$E$50,MATCH(VLOOKUP($I58,$I$5:$AJ$29,MATCH(VLOOKUP(R$37,$BH$3:$BI$50,2,FALSE),$I$4:$AJ$4,0),FALSE),BoundParameters_HiddenSheetCLAY!$B$1:$E$1,0),FALSE),IF(VLOOKUP($E58,'Table Output'!$A$2:$E$99998,5,FALSE)="Clay",VLOOKUP(R$37,BoundParameters_HiddenSheetCLAY!$B$3:$E$50,MATCH(VLOOKUP($I58,$I$5:$AJ$35,MATCH(VLOOKUP(R$37,$BH$3:$BI$50,2,FALSE),$I$4:$AJ$4,0),FALSE),BoundParameters_HiddenSheetCLAY!$B$1:$E$1,0),FALSE))),'Control Panel'!R58)))</f>
        <v/>
      </c>
      <c r="S58" s="44" t="str">
        <f>IF($I58="","",IF(S$37="","",IF('Control Panel'!S58="",IF(VLOOKUP($E58,'Table Output'!$A$2:$E$99998,5,FALSE)="Sand",VLOOKUP(S$37,BoundParameters_HiddenSheetSAND!$B$3:$E$50,MATCH(VLOOKUP($I58,$I$5:$AJ$29,MATCH(VLOOKUP(S$37,$BH$3:$BI$50,2,FALSE),$I$4:$AJ$4,0),FALSE),BoundParameters_HiddenSheetCLAY!$B$1:$E$1,0),FALSE),IF(VLOOKUP($E58,'Table Output'!$A$2:$E$99998,5,FALSE)="Clay",VLOOKUP(S$37,BoundParameters_HiddenSheetCLAY!$B$3:$E$50,MATCH(VLOOKUP($I58,$I$5:$AJ$35,MATCH(VLOOKUP(S$37,$BH$3:$BI$50,2,FALSE),$I$4:$AJ$4,0),FALSE),BoundParameters_HiddenSheetCLAY!$B$1:$E$1,0),FALSE))),'Control Panel'!S58)))</f>
        <v/>
      </c>
    </row>
    <row r="59" spans="2:61" x14ac:dyDescent="0.15">
      <c r="B59" s="2">
        <f>'Control Panel'!B59</f>
        <v>0</v>
      </c>
      <c r="C59" s="2">
        <f>'Control Panel'!C59</f>
        <v>0</v>
      </c>
      <c r="E59" s="2" t="str">
        <f t="shared" si="5"/>
        <v/>
      </c>
      <c r="I59" s="7" t="str">
        <f t="shared" si="4"/>
        <v/>
      </c>
      <c r="J59" s="44" t="str">
        <f>IF($I59="","",IF(J$37="","",IF('Control Panel'!J59="",IF(VLOOKUP($E59,'Table Output'!$A$2:$E$99998,5,FALSE)="Sand",VLOOKUP(J$37,BoundParameters_HiddenSheetSAND!$B$3:$E$50,MATCH(VLOOKUP($I59,$I$5:$AJ$29,MATCH(VLOOKUP(J$37,$BH$3:$BI$50,2,FALSE),$I$4:$AJ$4,0),FALSE),BoundParameters_HiddenSheetCLAY!$B$1:$E$1,0),FALSE),IF(VLOOKUP($E59,'Table Output'!$A$2:$E$99998,5,FALSE)="Clay",VLOOKUP(J$37,BoundParameters_HiddenSheetCLAY!$B$3:$E$50,MATCH(VLOOKUP($I59,$I$5:$AJ$35,MATCH(VLOOKUP(J$37,$BH$3:$BI$50,2,FALSE),$I$4:$AJ$4,0),FALSE),BoundParameters_HiddenSheetCLAY!$B$1:$E$1,0),FALSE))),'Control Panel'!J59)))</f>
        <v/>
      </c>
      <c r="K59" s="44" t="str">
        <f>IF($I59="","",IF(K$37="","",IF('Control Panel'!K59="",IF(VLOOKUP($E59,'Table Output'!$A$2:$E$99998,5,FALSE)="Sand",VLOOKUP(K$37,BoundParameters_HiddenSheetSAND!$B$3:$E$50,MATCH(VLOOKUP($I59,$I$5:$AJ$29,MATCH(VLOOKUP(K$37,$BH$3:$BI$50,2,FALSE),$I$4:$AJ$4,0),FALSE),BoundParameters_HiddenSheetCLAY!$B$1:$E$1,0),FALSE),IF(VLOOKUP($E59,'Table Output'!$A$2:$E$99998,5,FALSE)="Clay",VLOOKUP(K$37,BoundParameters_HiddenSheetCLAY!$B$3:$E$50,MATCH(VLOOKUP($I59,$I$5:$AJ$35,MATCH(VLOOKUP(K$37,$BH$3:$BI$50,2,FALSE),$I$4:$AJ$4,0),FALSE),BoundParameters_HiddenSheetCLAY!$B$1:$E$1,0),FALSE))),'Control Panel'!K59)))</f>
        <v/>
      </c>
      <c r="L59" s="44" t="str">
        <f>IF($I59="","",IF(L$37="","",IF('Control Panel'!L59="",IF(VLOOKUP($E59,'Table Output'!$A$2:$E$99998,5,FALSE)="Sand",VLOOKUP(L$37,BoundParameters_HiddenSheetSAND!$B$3:$E$50,MATCH(VLOOKUP($I59,$I$5:$AJ$29,MATCH(VLOOKUP(L$37,$BH$3:$BI$50,2,FALSE),$I$4:$AJ$4,0),FALSE),BoundParameters_HiddenSheetCLAY!$B$1:$E$1,0),FALSE),IF(VLOOKUP($E59,'Table Output'!$A$2:$E$99998,5,FALSE)="Clay",VLOOKUP(L$37,BoundParameters_HiddenSheetCLAY!$B$3:$E$50,MATCH(VLOOKUP($I59,$I$5:$AJ$35,MATCH(VLOOKUP(L$37,$BH$3:$BI$50,2,FALSE),$I$4:$AJ$4,0),FALSE),BoundParameters_HiddenSheetCLAY!$B$1:$E$1,0),FALSE))),'Control Panel'!L59)))</f>
        <v/>
      </c>
      <c r="M59" s="44" t="str">
        <f>IF($I59="","",IF(M$37="","",IF('Control Panel'!M59="",IF(VLOOKUP($E59,'Table Output'!$A$2:$E$99998,5,FALSE)="Sand",VLOOKUP(M$37,BoundParameters_HiddenSheetSAND!$B$3:$E$50,MATCH(VLOOKUP($I59,$I$5:$AJ$29,MATCH(VLOOKUP(M$37,$BH$3:$BI$50,2,FALSE),$I$4:$AJ$4,0),FALSE),BoundParameters_HiddenSheetCLAY!$B$1:$E$1,0),FALSE),IF(VLOOKUP($E59,'Table Output'!$A$2:$E$99998,5,FALSE)="Clay",VLOOKUP(M$37,BoundParameters_HiddenSheetCLAY!$B$3:$E$50,MATCH(VLOOKUP($I59,$I$5:$AJ$35,MATCH(VLOOKUP(M$37,$BH$3:$BI$50,2,FALSE),$I$4:$AJ$4,0),FALSE),BoundParameters_HiddenSheetCLAY!$B$1:$E$1,0),FALSE))),'Control Panel'!M59)))</f>
        <v/>
      </c>
      <c r="N59" s="44" t="str">
        <f>IF($I59="","",IF(N$37="","",IF('Control Panel'!N59="",IF(VLOOKUP($E59,'Table Output'!$A$2:$E$99998,5,FALSE)="Sand",VLOOKUP(N$37,BoundParameters_HiddenSheetSAND!$B$3:$E$50,MATCH(VLOOKUP($I59,$I$5:$AJ$29,MATCH(VLOOKUP(N$37,$BH$3:$BI$50,2,FALSE),$I$4:$AJ$4,0),FALSE),BoundParameters_HiddenSheetCLAY!$B$1:$E$1,0),FALSE),IF(VLOOKUP($E59,'Table Output'!$A$2:$E$99998,5,FALSE)="Clay",VLOOKUP(N$37,BoundParameters_HiddenSheetCLAY!$B$3:$E$50,MATCH(VLOOKUP($I59,$I$5:$AJ$35,MATCH(VLOOKUP(N$37,$BH$3:$BI$50,2,FALSE),$I$4:$AJ$4,0),FALSE),BoundParameters_HiddenSheetCLAY!$B$1:$E$1,0),FALSE))),'Control Panel'!N59)))</f>
        <v/>
      </c>
      <c r="O59" s="44" t="str">
        <f>IF($I59="","",IF(O$37="","",IF('Control Panel'!O59="",IF(VLOOKUP($E59,'Table Output'!$A$2:$E$99998,5,FALSE)="Sand",VLOOKUP(O$37,BoundParameters_HiddenSheetSAND!$B$3:$E$50,MATCH(VLOOKUP($I59,$I$5:$AJ$29,MATCH(VLOOKUP(O$37,$BH$3:$BI$50,2,FALSE),$I$4:$AJ$4,0),FALSE),BoundParameters_HiddenSheetCLAY!$B$1:$E$1,0),FALSE),IF(VLOOKUP($E59,'Table Output'!$A$2:$E$99998,5,FALSE)="Clay",VLOOKUP(O$37,BoundParameters_HiddenSheetCLAY!$B$3:$E$50,MATCH(VLOOKUP($I59,$I$5:$AJ$35,MATCH(VLOOKUP(O$37,$BH$3:$BI$50,2,FALSE),$I$4:$AJ$4,0),FALSE),BoundParameters_HiddenSheetCLAY!$B$1:$E$1,0),FALSE))),'Control Panel'!O59)))</f>
        <v/>
      </c>
      <c r="P59" s="44" t="str">
        <f>IF($I59="","",IF(P$37="","",IF('Control Panel'!P59="",IF(VLOOKUP($E59,'Table Output'!$A$2:$E$99998,5,FALSE)="Sand",VLOOKUP(P$37,BoundParameters_HiddenSheetSAND!$B$3:$E$50,MATCH(VLOOKUP($I59,$I$5:$AJ$29,MATCH(VLOOKUP(P$37,$BH$3:$BI$50,2,FALSE),$I$4:$AJ$4,0),FALSE),BoundParameters_HiddenSheetCLAY!$B$1:$E$1,0),FALSE),IF(VLOOKUP($E59,'Table Output'!$A$2:$E$99998,5,FALSE)="Clay",VLOOKUP(P$37,BoundParameters_HiddenSheetCLAY!$B$3:$E$50,MATCH(VLOOKUP($I59,$I$5:$AJ$35,MATCH(VLOOKUP(P$37,$BH$3:$BI$50,2,FALSE),$I$4:$AJ$4,0),FALSE),BoundParameters_HiddenSheetCLAY!$B$1:$E$1,0),FALSE))),'Control Panel'!P59)))</f>
        <v/>
      </c>
      <c r="Q59" s="44" t="str">
        <f>IF($I59="","",IF(Q$37="","",IF('Control Panel'!Q59="",IF(VLOOKUP($E59,'Table Output'!$A$2:$E$99998,5,FALSE)="Sand",VLOOKUP(Q$37,BoundParameters_HiddenSheetSAND!$B$3:$E$50,MATCH(VLOOKUP($I59,$I$5:$AJ$29,MATCH(VLOOKUP(Q$37,$BH$3:$BI$50,2,FALSE),$I$4:$AJ$4,0),FALSE),BoundParameters_HiddenSheetCLAY!$B$1:$E$1,0),FALSE),IF(VLOOKUP($E59,'Table Output'!$A$2:$E$99998,5,FALSE)="Clay",VLOOKUP(Q$37,BoundParameters_HiddenSheetCLAY!$B$3:$E$50,MATCH(VLOOKUP($I59,$I$5:$AJ$35,MATCH(VLOOKUP(Q$37,$BH$3:$BI$50,2,FALSE),$I$4:$AJ$4,0),FALSE),BoundParameters_HiddenSheetCLAY!$B$1:$E$1,0),FALSE))),'Control Panel'!Q59)))</f>
        <v/>
      </c>
      <c r="R59" s="44" t="str">
        <f>IF($I59="","",IF(R$37="","",IF('Control Panel'!R59="",IF(VLOOKUP($E59,'Table Output'!$A$2:$E$99998,5,FALSE)="Sand",VLOOKUP(R$37,BoundParameters_HiddenSheetSAND!$B$3:$E$50,MATCH(VLOOKUP($I59,$I$5:$AJ$29,MATCH(VLOOKUP(R$37,$BH$3:$BI$50,2,FALSE),$I$4:$AJ$4,0),FALSE),BoundParameters_HiddenSheetCLAY!$B$1:$E$1,0),FALSE),IF(VLOOKUP($E59,'Table Output'!$A$2:$E$99998,5,FALSE)="Clay",VLOOKUP(R$37,BoundParameters_HiddenSheetCLAY!$B$3:$E$50,MATCH(VLOOKUP($I59,$I$5:$AJ$35,MATCH(VLOOKUP(R$37,$BH$3:$BI$50,2,FALSE),$I$4:$AJ$4,0),FALSE),BoundParameters_HiddenSheetCLAY!$B$1:$E$1,0),FALSE))),'Control Panel'!R59)))</f>
        <v/>
      </c>
      <c r="S59" s="44" t="str">
        <f>IF($I59="","",IF(S$37="","",IF('Control Panel'!S59="",IF(VLOOKUP($E59,'Table Output'!$A$2:$E$99998,5,FALSE)="Sand",VLOOKUP(S$37,BoundParameters_HiddenSheetSAND!$B$3:$E$50,MATCH(VLOOKUP($I59,$I$5:$AJ$29,MATCH(VLOOKUP(S$37,$BH$3:$BI$50,2,FALSE),$I$4:$AJ$4,0),FALSE),BoundParameters_HiddenSheetCLAY!$B$1:$E$1,0),FALSE),IF(VLOOKUP($E59,'Table Output'!$A$2:$E$99998,5,FALSE)="Clay",VLOOKUP(S$37,BoundParameters_HiddenSheetCLAY!$B$3:$E$50,MATCH(VLOOKUP($I59,$I$5:$AJ$35,MATCH(VLOOKUP(S$37,$BH$3:$BI$50,2,FALSE),$I$4:$AJ$4,0),FALSE),BoundParameters_HiddenSheetCLAY!$B$1:$E$1,0),FALSE))),'Control Panel'!S59)))</f>
        <v/>
      </c>
    </row>
    <row r="60" spans="2:61" x14ac:dyDescent="0.15">
      <c r="B60" s="2">
        <f>'Control Panel'!B70</f>
        <v>0</v>
      </c>
      <c r="C60" s="2">
        <f>'Control Panel'!C70</f>
        <v>0</v>
      </c>
      <c r="E60" s="2" t="str">
        <f t="shared" si="5"/>
        <v/>
      </c>
      <c r="I60" s="7" t="str">
        <f t="shared" si="4"/>
        <v/>
      </c>
      <c r="J60" s="44" t="str">
        <f>IF($I60="","",IF(J$37="","",IF('Control Panel'!J60="",IF(VLOOKUP($E60,'Table Output'!$A$2:$E$99998,5,FALSE)="Sand",VLOOKUP(J$37,BoundParameters_HiddenSheetSAND!$B$3:$E$50,MATCH(VLOOKUP($I60,$I$5:$AJ$29,MATCH(VLOOKUP(J$37,$BH$3:$BI$50,2,FALSE),$I$4:$AJ$4,0),FALSE),BoundParameters_HiddenSheetCLAY!$B$1:$E$1,0),FALSE),IF(VLOOKUP($E60,'Table Output'!$A$2:$E$99998,5,FALSE)="Clay",VLOOKUP(J$37,BoundParameters_HiddenSheetCLAY!$B$3:$E$50,MATCH(VLOOKUP($I60,$I$5:$AJ$35,MATCH(VLOOKUP(J$37,$BH$3:$BI$50,2,FALSE),$I$4:$AJ$4,0),FALSE),BoundParameters_HiddenSheetCLAY!$B$1:$E$1,0),FALSE))),'Control Panel'!J60)))</f>
        <v/>
      </c>
      <c r="K60" s="44" t="str">
        <f>IF($I60="","",IF(K$37="","",IF('Control Panel'!K60="",IF(VLOOKUP($E60,'Table Output'!$A$2:$E$99998,5,FALSE)="Sand",VLOOKUP(K$37,BoundParameters_HiddenSheetSAND!$B$3:$E$50,MATCH(VLOOKUP($I60,$I$5:$AJ$29,MATCH(VLOOKUP(K$37,$BH$3:$BI$50,2,FALSE),$I$4:$AJ$4,0),FALSE),BoundParameters_HiddenSheetCLAY!$B$1:$E$1,0),FALSE),IF(VLOOKUP($E60,'Table Output'!$A$2:$E$99998,5,FALSE)="Clay",VLOOKUP(K$37,BoundParameters_HiddenSheetCLAY!$B$3:$E$50,MATCH(VLOOKUP($I60,$I$5:$AJ$35,MATCH(VLOOKUP(K$37,$BH$3:$BI$50,2,FALSE),$I$4:$AJ$4,0),FALSE),BoundParameters_HiddenSheetCLAY!$B$1:$E$1,0),FALSE))),'Control Panel'!K60)))</f>
        <v/>
      </c>
      <c r="L60" s="44" t="str">
        <f>IF($I60="","",IF(L$37="","",IF('Control Panel'!L60="",IF(VLOOKUP($E60,'Table Output'!$A$2:$E$99998,5,FALSE)="Sand",VLOOKUP(L$37,BoundParameters_HiddenSheetSAND!$B$3:$E$50,MATCH(VLOOKUP($I60,$I$5:$AJ$29,MATCH(VLOOKUP(L$37,$BH$3:$BI$50,2,FALSE),$I$4:$AJ$4,0),FALSE),BoundParameters_HiddenSheetCLAY!$B$1:$E$1,0),FALSE),IF(VLOOKUP($E60,'Table Output'!$A$2:$E$99998,5,FALSE)="Clay",VLOOKUP(L$37,BoundParameters_HiddenSheetCLAY!$B$3:$E$50,MATCH(VLOOKUP($I60,$I$5:$AJ$35,MATCH(VLOOKUP(L$37,$BH$3:$BI$50,2,FALSE),$I$4:$AJ$4,0),FALSE),BoundParameters_HiddenSheetCLAY!$B$1:$E$1,0),FALSE))),'Control Panel'!L60)))</f>
        <v/>
      </c>
      <c r="M60" s="44" t="str">
        <f>IF($I60="","",IF(M$37="","",IF('Control Panel'!M60="",IF(VLOOKUP($E60,'Table Output'!$A$2:$E$99998,5,FALSE)="Sand",VLOOKUP(M$37,BoundParameters_HiddenSheetSAND!$B$3:$E$50,MATCH(VLOOKUP($I60,$I$5:$AJ$29,MATCH(VLOOKUP(M$37,$BH$3:$BI$50,2,FALSE),$I$4:$AJ$4,0),FALSE),BoundParameters_HiddenSheetCLAY!$B$1:$E$1,0),FALSE),IF(VLOOKUP($E60,'Table Output'!$A$2:$E$99998,5,FALSE)="Clay",VLOOKUP(M$37,BoundParameters_HiddenSheetCLAY!$B$3:$E$50,MATCH(VLOOKUP($I60,$I$5:$AJ$35,MATCH(VLOOKUP(M$37,$BH$3:$BI$50,2,FALSE),$I$4:$AJ$4,0),FALSE),BoundParameters_HiddenSheetCLAY!$B$1:$E$1,0),FALSE))),'Control Panel'!M60)))</f>
        <v/>
      </c>
      <c r="N60" s="44" t="str">
        <f>IF($I60="","",IF(N$37="","",IF('Control Panel'!N60="",IF(VLOOKUP($E60,'Table Output'!$A$2:$E$99998,5,FALSE)="Sand",VLOOKUP(N$37,BoundParameters_HiddenSheetSAND!$B$3:$E$50,MATCH(VLOOKUP($I60,$I$5:$AJ$29,MATCH(VLOOKUP(N$37,$BH$3:$BI$50,2,FALSE),$I$4:$AJ$4,0),FALSE),BoundParameters_HiddenSheetCLAY!$B$1:$E$1,0),FALSE),IF(VLOOKUP($E60,'Table Output'!$A$2:$E$99998,5,FALSE)="Clay",VLOOKUP(N$37,BoundParameters_HiddenSheetCLAY!$B$3:$E$50,MATCH(VLOOKUP($I60,$I$5:$AJ$35,MATCH(VLOOKUP(N$37,$BH$3:$BI$50,2,FALSE),$I$4:$AJ$4,0),FALSE),BoundParameters_HiddenSheetCLAY!$B$1:$E$1,0),FALSE))),'Control Panel'!N60)))</f>
        <v/>
      </c>
      <c r="O60" s="44" t="str">
        <f>IF($I60="","",IF(O$37="","",IF('Control Panel'!O60="",IF(VLOOKUP($E60,'Table Output'!$A$2:$E$99998,5,FALSE)="Sand",VLOOKUP(O$37,BoundParameters_HiddenSheetSAND!$B$3:$E$50,MATCH(VLOOKUP($I60,$I$5:$AJ$29,MATCH(VLOOKUP(O$37,$BH$3:$BI$50,2,FALSE),$I$4:$AJ$4,0),FALSE),BoundParameters_HiddenSheetCLAY!$B$1:$E$1,0),FALSE),IF(VLOOKUP($E60,'Table Output'!$A$2:$E$99998,5,FALSE)="Clay",VLOOKUP(O$37,BoundParameters_HiddenSheetCLAY!$B$3:$E$50,MATCH(VLOOKUP($I60,$I$5:$AJ$35,MATCH(VLOOKUP(O$37,$BH$3:$BI$50,2,FALSE),$I$4:$AJ$4,0),FALSE),BoundParameters_HiddenSheetCLAY!$B$1:$E$1,0),FALSE))),'Control Panel'!O60)))</f>
        <v/>
      </c>
      <c r="P60" s="44" t="str">
        <f>IF($I60="","",IF(P$37="","",IF('Control Panel'!P60="",IF(VLOOKUP($E60,'Table Output'!$A$2:$E$99998,5,FALSE)="Sand",VLOOKUP(P$37,BoundParameters_HiddenSheetSAND!$B$3:$E$50,MATCH(VLOOKUP($I60,$I$5:$AJ$29,MATCH(VLOOKUP(P$37,$BH$3:$BI$50,2,FALSE),$I$4:$AJ$4,0),FALSE),BoundParameters_HiddenSheetCLAY!$B$1:$E$1,0),FALSE),IF(VLOOKUP($E60,'Table Output'!$A$2:$E$99998,5,FALSE)="Clay",VLOOKUP(P$37,BoundParameters_HiddenSheetCLAY!$B$3:$E$50,MATCH(VLOOKUP($I60,$I$5:$AJ$35,MATCH(VLOOKUP(P$37,$BH$3:$BI$50,2,FALSE),$I$4:$AJ$4,0),FALSE),BoundParameters_HiddenSheetCLAY!$B$1:$E$1,0),FALSE))),'Control Panel'!P60)))</f>
        <v/>
      </c>
      <c r="Q60" s="44" t="str">
        <f>IF($I60="","",IF(Q$37="","",IF('Control Panel'!Q60="",IF(VLOOKUP($E60,'Table Output'!$A$2:$E$99998,5,FALSE)="Sand",VLOOKUP(Q$37,BoundParameters_HiddenSheetSAND!$B$3:$E$50,MATCH(VLOOKUP($I60,$I$5:$AJ$29,MATCH(VLOOKUP(Q$37,$BH$3:$BI$50,2,FALSE),$I$4:$AJ$4,0),FALSE),BoundParameters_HiddenSheetCLAY!$B$1:$E$1,0),FALSE),IF(VLOOKUP($E60,'Table Output'!$A$2:$E$99998,5,FALSE)="Clay",VLOOKUP(Q$37,BoundParameters_HiddenSheetCLAY!$B$3:$E$50,MATCH(VLOOKUP($I60,$I$5:$AJ$35,MATCH(VLOOKUP(Q$37,$BH$3:$BI$50,2,FALSE),$I$4:$AJ$4,0),FALSE),BoundParameters_HiddenSheetCLAY!$B$1:$E$1,0),FALSE))),'Control Panel'!Q60)))</f>
        <v/>
      </c>
      <c r="R60" s="44" t="str">
        <f>IF($I60="","",IF(R$37="","",IF('Control Panel'!R60="",IF(VLOOKUP($E60,'Table Output'!$A$2:$E$99998,5,FALSE)="Sand",VLOOKUP(R$37,BoundParameters_HiddenSheetSAND!$B$3:$E$50,MATCH(VLOOKUP($I60,$I$5:$AJ$29,MATCH(VLOOKUP(R$37,$BH$3:$BI$50,2,FALSE),$I$4:$AJ$4,0),FALSE),BoundParameters_HiddenSheetCLAY!$B$1:$E$1,0),FALSE),IF(VLOOKUP($E60,'Table Output'!$A$2:$E$99998,5,FALSE)="Clay",VLOOKUP(R$37,BoundParameters_HiddenSheetCLAY!$B$3:$E$50,MATCH(VLOOKUP($I60,$I$5:$AJ$35,MATCH(VLOOKUP(R$37,$BH$3:$BI$50,2,FALSE),$I$4:$AJ$4,0),FALSE),BoundParameters_HiddenSheetCLAY!$B$1:$E$1,0),FALSE))),'Control Panel'!R60)))</f>
        <v/>
      </c>
      <c r="S60" s="44" t="str">
        <f>IF($I60="","",IF(S$37="","",IF('Control Panel'!S60="",IF(VLOOKUP($E60,'Table Output'!$A$2:$E$99998,5,FALSE)="Sand",VLOOKUP(S$37,BoundParameters_HiddenSheetSAND!$B$3:$E$50,MATCH(VLOOKUP($I60,$I$5:$AJ$29,MATCH(VLOOKUP(S$37,$BH$3:$BI$50,2,FALSE),$I$4:$AJ$4,0),FALSE),BoundParameters_HiddenSheetCLAY!$B$1:$E$1,0),FALSE),IF(VLOOKUP($E60,'Table Output'!$A$2:$E$99998,5,FALSE)="Clay",VLOOKUP(S$37,BoundParameters_HiddenSheetCLAY!$B$3:$E$50,MATCH(VLOOKUP($I60,$I$5:$AJ$35,MATCH(VLOOKUP(S$37,$BH$3:$BI$50,2,FALSE),$I$4:$AJ$4,0),FALSE),BoundParameters_HiddenSheetCLAY!$B$1:$E$1,0),FALSE))),'Control Panel'!S60)))</f>
        <v/>
      </c>
    </row>
    <row r="61" spans="2:61" x14ac:dyDescent="0.15">
      <c r="E61" s="2" t="str">
        <f t="shared" si="5"/>
        <v/>
      </c>
      <c r="I61" s="7" t="str">
        <f t="shared" si="4"/>
        <v/>
      </c>
      <c r="J61" s="44" t="str">
        <f>IF($I61="","",IF(J$37="","",IF('Control Panel'!J61="",IF(VLOOKUP($E61,'Table Output'!$A$2:$E$99998,5,FALSE)="Sand",VLOOKUP(J$37,BoundParameters_HiddenSheetSAND!$B$3:$E$50,MATCH(VLOOKUP($I61,$I$5:$AJ$29,MATCH(VLOOKUP(J$37,$BH$3:$BI$50,2,FALSE),$I$4:$AJ$4,0),FALSE),BoundParameters_HiddenSheetCLAY!$B$1:$E$1,0),FALSE),IF(VLOOKUP($E61,'Table Output'!$A$2:$E$99998,5,FALSE)="Clay",VLOOKUP(J$37,BoundParameters_HiddenSheetCLAY!$B$3:$E$50,MATCH(VLOOKUP($I61,$I$5:$AJ$35,MATCH(VLOOKUP(J$37,$BH$3:$BI$50,2,FALSE),$I$4:$AJ$4,0),FALSE),BoundParameters_HiddenSheetCLAY!$B$1:$E$1,0),FALSE))),'Control Panel'!J61)))</f>
        <v/>
      </c>
      <c r="K61" s="44" t="str">
        <f>IF($I61="","",IF(K$37="","",IF('Control Panel'!K61="",IF(VLOOKUP($E61,'Table Output'!$A$2:$E$99998,5,FALSE)="Sand",VLOOKUP(K$37,BoundParameters_HiddenSheetSAND!$B$3:$E$50,MATCH(VLOOKUP($I61,$I$5:$AJ$29,MATCH(VLOOKUP(K$37,$BH$3:$BI$50,2,FALSE),$I$4:$AJ$4,0),FALSE),BoundParameters_HiddenSheetCLAY!$B$1:$E$1,0),FALSE),IF(VLOOKUP($E61,'Table Output'!$A$2:$E$99998,5,FALSE)="Clay",VLOOKUP(K$37,BoundParameters_HiddenSheetCLAY!$B$3:$E$50,MATCH(VLOOKUP($I61,$I$5:$AJ$35,MATCH(VLOOKUP(K$37,$BH$3:$BI$50,2,FALSE),$I$4:$AJ$4,0),FALSE),BoundParameters_HiddenSheetCLAY!$B$1:$E$1,0),FALSE))),'Control Panel'!K61)))</f>
        <v/>
      </c>
      <c r="L61" s="44" t="str">
        <f>IF($I61="","",IF(L$37="","",IF('Control Panel'!L61="",IF(VLOOKUP($E61,'Table Output'!$A$2:$E$99998,5,FALSE)="Sand",VLOOKUP(L$37,BoundParameters_HiddenSheetSAND!$B$3:$E$50,MATCH(VLOOKUP($I61,$I$5:$AJ$29,MATCH(VLOOKUP(L$37,$BH$3:$BI$50,2,FALSE),$I$4:$AJ$4,0),FALSE),BoundParameters_HiddenSheetCLAY!$B$1:$E$1,0),FALSE),IF(VLOOKUP($E61,'Table Output'!$A$2:$E$99998,5,FALSE)="Clay",VLOOKUP(L$37,BoundParameters_HiddenSheetCLAY!$B$3:$E$50,MATCH(VLOOKUP($I61,$I$5:$AJ$35,MATCH(VLOOKUP(L$37,$BH$3:$BI$50,2,FALSE),$I$4:$AJ$4,0),FALSE),BoundParameters_HiddenSheetCLAY!$B$1:$E$1,0),FALSE))),'Control Panel'!L61)))</f>
        <v/>
      </c>
      <c r="M61" s="44" t="str">
        <f>IF($I61="","",IF(M$37="","",IF('Control Panel'!M61="",IF(VLOOKUP($E61,'Table Output'!$A$2:$E$99998,5,FALSE)="Sand",VLOOKUP(M$37,BoundParameters_HiddenSheetSAND!$B$3:$E$50,MATCH(VLOOKUP($I61,$I$5:$AJ$29,MATCH(VLOOKUP(M$37,$BH$3:$BI$50,2,FALSE),$I$4:$AJ$4,0),FALSE),BoundParameters_HiddenSheetCLAY!$B$1:$E$1,0),FALSE),IF(VLOOKUP($E61,'Table Output'!$A$2:$E$99998,5,FALSE)="Clay",VLOOKUP(M$37,BoundParameters_HiddenSheetCLAY!$B$3:$E$50,MATCH(VLOOKUP($I61,$I$5:$AJ$35,MATCH(VLOOKUP(M$37,$BH$3:$BI$50,2,FALSE),$I$4:$AJ$4,0),FALSE),BoundParameters_HiddenSheetCLAY!$B$1:$E$1,0),FALSE))),'Control Panel'!M61)))</f>
        <v/>
      </c>
      <c r="N61" s="44" t="str">
        <f>IF($I61="","",IF(N$37="","",IF('Control Panel'!N61="",IF(VLOOKUP($E61,'Table Output'!$A$2:$E$99998,5,FALSE)="Sand",VLOOKUP(N$37,BoundParameters_HiddenSheetSAND!$B$3:$E$50,MATCH(VLOOKUP($I61,$I$5:$AJ$29,MATCH(VLOOKUP(N$37,$BH$3:$BI$50,2,FALSE),$I$4:$AJ$4,0),FALSE),BoundParameters_HiddenSheetCLAY!$B$1:$E$1,0),FALSE),IF(VLOOKUP($E61,'Table Output'!$A$2:$E$99998,5,FALSE)="Clay",VLOOKUP(N$37,BoundParameters_HiddenSheetCLAY!$B$3:$E$50,MATCH(VLOOKUP($I61,$I$5:$AJ$35,MATCH(VLOOKUP(N$37,$BH$3:$BI$50,2,FALSE),$I$4:$AJ$4,0),FALSE),BoundParameters_HiddenSheetCLAY!$B$1:$E$1,0),FALSE))),'Control Panel'!N61)))</f>
        <v/>
      </c>
      <c r="O61" s="44" t="str">
        <f>IF($I61="","",IF(O$37="","",IF('Control Panel'!O61="",IF(VLOOKUP($E61,'Table Output'!$A$2:$E$99998,5,FALSE)="Sand",VLOOKUP(O$37,BoundParameters_HiddenSheetSAND!$B$3:$E$50,MATCH(VLOOKUP($I61,$I$5:$AJ$29,MATCH(VLOOKUP(O$37,$BH$3:$BI$50,2,FALSE),$I$4:$AJ$4,0),FALSE),BoundParameters_HiddenSheetCLAY!$B$1:$E$1,0),FALSE),IF(VLOOKUP($E61,'Table Output'!$A$2:$E$99998,5,FALSE)="Clay",VLOOKUP(O$37,BoundParameters_HiddenSheetCLAY!$B$3:$E$50,MATCH(VLOOKUP($I61,$I$5:$AJ$35,MATCH(VLOOKUP(O$37,$BH$3:$BI$50,2,FALSE),$I$4:$AJ$4,0),FALSE),BoundParameters_HiddenSheetCLAY!$B$1:$E$1,0),FALSE))),'Control Panel'!O61)))</f>
        <v/>
      </c>
      <c r="P61" s="44" t="str">
        <f>IF($I61="","",IF(P$37="","",IF('Control Panel'!P61="",IF(VLOOKUP($E61,'Table Output'!$A$2:$E$99998,5,FALSE)="Sand",VLOOKUP(P$37,BoundParameters_HiddenSheetSAND!$B$3:$E$50,MATCH(VLOOKUP($I61,$I$5:$AJ$29,MATCH(VLOOKUP(P$37,$BH$3:$BI$50,2,FALSE),$I$4:$AJ$4,0),FALSE),BoundParameters_HiddenSheetCLAY!$B$1:$E$1,0),FALSE),IF(VLOOKUP($E61,'Table Output'!$A$2:$E$99998,5,FALSE)="Clay",VLOOKUP(P$37,BoundParameters_HiddenSheetCLAY!$B$3:$E$50,MATCH(VLOOKUP($I61,$I$5:$AJ$35,MATCH(VLOOKUP(P$37,$BH$3:$BI$50,2,FALSE),$I$4:$AJ$4,0),FALSE),BoundParameters_HiddenSheetCLAY!$B$1:$E$1,0),FALSE))),'Control Panel'!P61)))</f>
        <v/>
      </c>
      <c r="Q61" s="44" t="str">
        <f>IF($I61="","",IF(Q$37="","",IF('Control Panel'!Q61="",IF(VLOOKUP($E61,'Table Output'!$A$2:$E$99998,5,FALSE)="Sand",VLOOKUP(Q$37,BoundParameters_HiddenSheetSAND!$B$3:$E$50,MATCH(VLOOKUP($I61,$I$5:$AJ$29,MATCH(VLOOKUP(Q$37,$BH$3:$BI$50,2,FALSE),$I$4:$AJ$4,0),FALSE),BoundParameters_HiddenSheetCLAY!$B$1:$E$1,0),FALSE),IF(VLOOKUP($E61,'Table Output'!$A$2:$E$99998,5,FALSE)="Clay",VLOOKUP(Q$37,BoundParameters_HiddenSheetCLAY!$B$3:$E$50,MATCH(VLOOKUP($I61,$I$5:$AJ$35,MATCH(VLOOKUP(Q$37,$BH$3:$BI$50,2,FALSE),$I$4:$AJ$4,0),FALSE),BoundParameters_HiddenSheetCLAY!$B$1:$E$1,0),FALSE))),'Control Panel'!Q61)))</f>
        <v/>
      </c>
      <c r="R61" s="44" t="str">
        <f>IF($I61="","",IF(R$37="","",IF('Control Panel'!R61="",IF(VLOOKUP($E61,'Table Output'!$A$2:$E$99998,5,FALSE)="Sand",VLOOKUP(R$37,BoundParameters_HiddenSheetSAND!$B$3:$E$50,MATCH(VLOOKUP($I61,$I$5:$AJ$29,MATCH(VLOOKUP(R$37,$BH$3:$BI$50,2,FALSE),$I$4:$AJ$4,0),FALSE),BoundParameters_HiddenSheetCLAY!$B$1:$E$1,0),FALSE),IF(VLOOKUP($E61,'Table Output'!$A$2:$E$99998,5,FALSE)="Clay",VLOOKUP(R$37,BoundParameters_HiddenSheetCLAY!$B$3:$E$50,MATCH(VLOOKUP($I61,$I$5:$AJ$35,MATCH(VLOOKUP(R$37,$BH$3:$BI$50,2,FALSE),$I$4:$AJ$4,0),FALSE),BoundParameters_HiddenSheetCLAY!$B$1:$E$1,0),FALSE))),'Control Panel'!R61)))</f>
        <v/>
      </c>
      <c r="S61" s="44" t="str">
        <f>IF($I61="","",IF(S$37="","",IF('Control Panel'!S61="",IF(VLOOKUP($E61,'Table Output'!$A$2:$E$99998,5,FALSE)="Sand",VLOOKUP(S$37,BoundParameters_HiddenSheetSAND!$B$3:$E$50,MATCH(VLOOKUP($I61,$I$5:$AJ$29,MATCH(VLOOKUP(S$37,$BH$3:$BI$50,2,FALSE),$I$4:$AJ$4,0),FALSE),BoundParameters_HiddenSheetCLAY!$B$1:$E$1,0),FALSE),IF(VLOOKUP($E61,'Table Output'!$A$2:$E$99998,5,FALSE)="Clay",VLOOKUP(S$37,BoundParameters_HiddenSheetCLAY!$B$3:$E$50,MATCH(VLOOKUP($I61,$I$5:$AJ$35,MATCH(VLOOKUP(S$37,$BH$3:$BI$50,2,FALSE),$I$4:$AJ$4,0),FALSE),BoundParameters_HiddenSheetCLAY!$B$1:$E$1,0),FALSE))),'Control Panel'!S61)))</f>
        <v/>
      </c>
    </row>
    <row r="62" spans="2:61" x14ac:dyDescent="0.15">
      <c r="E62" s="2" t="str">
        <f t="shared" si="5"/>
        <v/>
      </c>
      <c r="I62" s="7" t="str">
        <f t="shared" si="4"/>
        <v/>
      </c>
      <c r="J62" s="44" t="str">
        <f>IF($I62="","",IF(J$37="","",IF('Control Panel'!J62="",IF(VLOOKUP($E62,'Table Output'!$A$2:$E$99998,5,FALSE)="Sand",VLOOKUP(J$37,BoundParameters_HiddenSheetSAND!$B$3:$E$50,MATCH(VLOOKUP($I62,$I$5:$AJ$29,MATCH(VLOOKUP(J$37,$BH$3:$BI$50,2,FALSE),$I$4:$AJ$4,0),FALSE),BoundParameters_HiddenSheetCLAY!$B$1:$E$1,0),FALSE),IF(VLOOKUP($E62,'Table Output'!$A$2:$E$99998,5,FALSE)="Clay",VLOOKUP(J$37,BoundParameters_HiddenSheetCLAY!$B$3:$E$50,MATCH(VLOOKUP($I62,$I$5:$AJ$35,MATCH(VLOOKUP(J$37,$BH$3:$BI$50,2,FALSE),$I$4:$AJ$4,0),FALSE),BoundParameters_HiddenSheetCLAY!$B$1:$E$1,0),FALSE))),'Control Panel'!J62)))</f>
        <v/>
      </c>
      <c r="K62" s="44" t="str">
        <f>IF($I62="","",IF(K$37="","",IF('Control Panel'!K62="",IF(VLOOKUP($E62,'Table Output'!$A$2:$E$99998,5,FALSE)="Sand",VLOOKUP(K$37,BoundParameters_HiddenSheetSAND!$B$3:$E$50,MATCH(VLOOKUP($I62,$I$5:$AJ$29,MATCH(VLOOKUP(K$37,$BH$3:$BI$50,2,FALSE),$I$4:$AJ$4,0),FALSE),BoundParameters_HiddenSheetCLAY!$B$1:$E$1,0),FALSE),IF(VLOOKUP($E62,'Table Output'!$A$2:$E$99998,5,FALSE)="Clay",VLOOKUP(K$37,BoundParameters_HiddenSheetCLAY!$B$3:$E$50,MATCH(VLOOKUP($I62,$I$5:$AJ$35,MATCH(VLOOKUP(K$37,$BH$3:$BI$50,2,FALSE),$I$4:$AJ$4,0),FALSE),BoundParameters_HiddenSheetCLAY!$B$1:$E$1,0),FALSE))),'Control Panel'!K62)))</f>
        <v/>
      </c>
      <c r="L62" s="44" t="str">
        <f>IF($I62="","",IF(L$37="","",IF('Control Panel'!L62="",IF(VLOOKUP($E62,'Table Output'!$A$2:$E$99998,5,FALSE)="Sand",VLOOKUP(L$37,BoundParameters_HiddenSheetSAND!$B$3:$E$50,MATCH(VLOOKUP($I62,$I$5:$AJ$29,MATCH(VLOOKUP(L$37,$BH$3:$BI$50,2,FALSE),$I$4:$AJ$4,0),FALSE),BoundParameters_HiddenSheetCLAY!$B$1:$E$1,0),FALSE),IF(VLOOKUP($E62,'Table Output'!$A$2:$E$99998,5,FALSE)="Clay",VLOOKUP(L$37,BoundParameters_HiddenSheetCLAY!$B$3:$E$50,MATCH(VLOOKUP($I62,$I$5:$AJ$35,MATCH(VLOOKUP(L$37,$BH$3:$BI$50,2,FALSE),$I$4:$AJ$4,0),FALSE),BoundParameters_HiddenSheetCLAY!$B$1:$E$1,0),FALSE))),'Control Panel'!L62)))</f>
        <v/>
      </c>
      <c r="M62" s="44" t="str">
        <f>IF($I62="","",IF(M$37="","",IF('Control Panel'!M62="",IF(VLOOKUP($E62,'Table Output'!$A$2:$E$99998,5,FALSE)="Sand",VLOOKUP(M$37,BoundParameters_HiddenSheetSAND!$B$3:$E$50,MATCH(VLOOKUP($I62,$I$5:$AJ$29,MATCH(VLOOKUP(M$37,$BH$3:$BI$50,2,FALSE),$I$4:$AJ$4,0),FALSE),BoundParameters_HiddenSheetCLAY!$B$1:$E$1,0),FALSE),IF(VLOOKUP($E62,'Table Output'!$A$2:$E$99998,5,FALSE)="Clay",VLOOKUP(M$37,BoundParameters_HiddenSheetCLAY!$B$3:$E$50,MATCH(VLOOKUP($I62,$I$5:$AJ$35,MATCH(VLOOKUP(M$37,$BH$3:$BI$50,2,FALSE),$I$4:$AJ$4,0),FALSE),BoundParameters_HiddenSheetCLAY!$B$1:$E$1,0),FALSE))),'Control Panel'!M62)))</f>
        <v/>
      </c>
      <c r="N62" s="44" t="str">
        <f>IF($I62="","",IF(N$37="","",IF('Control Panel'!N62="",IF(VLOOKUP($E62,'Table Output'!$A$2:$E$99998,5,FALSE)="Sand",VLOOKUP(N$37,BoundParameters_HiddenSheetSAND!$B$3:$E$50,MATCH(VLOOKUP($I62,$I$5:$AJ$29,MATCH(VLOOKUP(N$37,$BH$3:$BI$50,2,FALSE),$I$4:$AJ$4,0),FALSE),BoundParameters_HiddenSheetCLAY!$B$1:$E$1,0),FALSE),IF(VLOOKUP($E62,'Table Output'!$A$2:$E$99998,5,FALSE)="Clay",VLOOKUP(N$37,BoundParameters_HiddenSheetCLAY!$B$3:$E$50,MATCH(VLOOKUP($I62,$I$5:$AJ$35,MATCH(VLOOKUP(N$37,$BH$3:$BI$50,2,FALSE),$I$4:$AJ$4,0),FALSE),BoundParameters_HiddenSheetCLAY!$B$1:$E$1,0),FALSE))),'Control Panel'!N62)))</f>
        <v/>
      </c>
      <c r="O62" s="44" t="str">
        <f>IF($I62="","",IF(O$37="","",IF('Control Panel'!O62="",IF(VLOOKUP($E62,'Table Output'!$A$2:$E$99998,5,FALSE)="Sand",VLOOKUP(O$37,BoundParameters_HiddenSheetSAND!$B$3:$E$50,MATCH(VLOOKUP($I62,$I$5:$AJ$29,MATCH(VLOOKUP(O$37,$BH$3:$BI$50,2,FALSE),$I$4:$AJ$4,0),FALSE),BoundParameters_HiddenSheetCLAY!$B$1:$E$1,0),FALSE),IF(VLOOKUP($E62,'Table Output'!$A$2:$E$99998,5,FALSE)="Clay",VLOOKUP(O$37,BoundParameters_HiddenSheetCLAY!$B$3:$E$50,MATCH(VLOOKUP($I62,$I$5:$AJ$35,MATCH(VLOOKUP(O$37,$BH$3:$BI$50,2,FALSE),$I$4:$AJ$4,0),FALSE),BoundParameters_HiddenSheetCLAY!$B$1:$E$1,0),FALSE))),'Control Panel'!O62)))</f>
        <v/>
      </c>
      <c r="P62" s="44" t="str">
        <f>IF($I62="","",IF(P$37="","",IF('Control Panel'!P62="",IF(VLOOKUP($E62,'Table Output'!$A$2:$E$99998,5,FALSE)="Sand",VLOOKUP(P$37,BoundParameters_HiddenSheetSAND!$B$3:$E$50,MATCH(VLOOKUP($I62,$I$5:$AJ$29,MATCH(VLOOKUP(P$37,$BH$3:$BI$50,2,FALSE),$I$4:$AJ$4,0),FALSE),BoundParameters_HiddenSheetCLAY!$B$1:$E$1,0),FALSE),IF(VLOOKUP($E62,'Table Output'!$A$2:$E$99998,5,FALSE)="Clay",VLOOKUP(P$37,BoundParameters_HiddenSheetCLAY!$B$3:$E$50,MATCH(VLOOKUP($I62,$I$5:$AJ$35,MATCH(VLOOKUP(P$37,$BH$3:$BI$50,2,FALSE),$I$4:$AJ$4,0),FALSE),BoundParameters_HiddenSheetCLAY!$B$1:$E$1,0),FALSE))),'Control Panel'!P62)))</f>
        <v/>
      </c>
      <c r="Q62" s="44" t="str">
        <f>IF($I62="","",IF(Q$37="","",IF('Control Panel'!Q62="",IF(VLOOKUP($E62,'Table Output'!$A$2:$E$99998,5,FALSE)="Sand",VLOOKUP(Q$37,BoundParameters_HiddenSheetSAND!$B$3:$E$50,MATCH(VLOOKUP($I62,$I$5:$AJ$29,MATCH(VLOOKUP(Q$37,$BH$3:$BI$50,2,FALSE),$I$4:$AJ$4,0),FALSE),BoundParameters_HiddenSheetCLAY!$B$1:$E$1,0),FALSE),IF(VLOOKUP($E62,'Table Output'!$A$2:$E$99998,5,FALSE)="Clay",VLOOKUP(Q$37,BoundParameters_HiddenSheetCLAY!$B$3:$E$50,MATCH(VLOOKUP($I62,$I$5:$AJ$35,MATCH(VLOOKUP(Q$37,$BH$3:$BI$50,2,FALSE),$I$4:$AJ$4,0),FALSE),BoundParameters_HiddenSheetCLAY!$B$1:$E$1,0),FALSE))),'Control Panel'!Q62)))</f>
        <v/>
      </c>
      <c r="R62" s="44" t="str">
        <f>IF($I62="","",IF(R$37="","",IF('Control Panel'!R62="",IF(VLOOKUP($E62,'Table Output'!$A$2:$E$99998,5,FALSE)="Sand",VLOOKUP(R$37,BoundParameters_HiddenSheetSAND!$B$3:$E$50,MATCH(VLOOKUP($I62,$I$5:$AJ$29,MATCH(VLOOKUP(R$37,$BH$3:$BI$50,2,FALSE),$I$4:$AJ$4,0),FALSE),BoundParameters_HiddenSheetCLAY!$B$1:$E$1,0),FALSE),IF(VLOOKUP($E62,'Table Output'!$A$2:$E$99998,5,FALSE)="Clay",VLOOKUP(R$37,BoundParameters_HiddenSheetCLAY!$B$3:$E$50,MATCH(VLOOKUP($I62,$I$5:$AJ$35,MATCH(VLOOKUP(R$37,$BH$3:$BI$50,2,FALSE),$I$4:$AJ$4,0),FALSE),BoundParameters_HiddenSheetCLAY!$B$1:$E$1,0),FALSE))),'Control Panel'!R62)))</f>
        <v/>
      </c>
      <c r="S62" s="44" t="str">
        <f>IF($I62="","",IF(S$37="","",IF('Control Panel'!S62="",IF(VLOOKUP($E62,'Table Output'!$A$2:$E$99998,5,FALSE)="Sand",VLOOKUP(S$37,BoundParameters_HiddenSheetSAND!$B$3:$E$50,MATCH(VLOOKUP($I62,$I$5:$AJ$29,MATCH(VLOOKUP(S$37,$BH$3:$BI$50,2,FALSE),$I$4:$AJ$4,0),FALSE),BoundParameters_HiddenSheetCLAY!$B$1:$E$1,0),FALSE),IF(VLOOKUP($E62,'Table Output'!$A$2:$E$99998,5,FALSE)="Clay",VLOOKUP(S$37,BoundParameters_HiddenSheetCLAY!$B$3:$E$50,MATCH(VLOOKUP($I62,$I$5:$AJ$35,MATCH(VLOOKUP(S$37,$BH$3:$BI$50,2,FALSE),$I$4:$AJ$4,0),FALSE),BoundParameters_HiddenSheetCLAY!$B$1:$E$1,0),FALSE))),'Control Panel'!S62)))</f>
        <v/>
      </c>
    </row>
    <row r="63" spans="2:61" x14ac:dyDescent="0.15">
      <c r="E63" s="2" t="str">
        <f t="shared" si="5"/>
        <v/>
      </c>
      <c r="I63" s="7" t="str">
        <f>I30</f>
        <v/>
      </c>
      <c r="J63" s="44" t="str">
        <f>IF($I63="","",IF(J$37="","",IF('Control Panel'!J63="",IF(VLOOKUP($E63,'Table Output'!$A$2:$E$99998,5,FALSE)="Sand",VLOOKUP(J$37,BoundParameters_HiddenSheetSAND!$B$3:$E$50,MATCH(VLOOKUP($I63,$I$5:$AJ$29,MATCH(VLOOKUP(J$37,$BH$3:$BI$50,2,FALSE),$I$4:$AJ$4,0),FALSE),BoundParameters_HiddenSheetCLAY!$B$1:$E$1,0),FALSE),IF(VLOOKUP($E63,'Table Output'!$A$2:$E$99998,5,FALSE)="Clay",VLOOKUP(J$37,BoundParameters_HiddenSheetCLAY!$B$3:$E$50,MATCH(VLOOKUP($I63,$I$5:$AJ$35,MATCH(VLOOKUP(J$37,$BH$3:$BI$50,2,FALSE),$I$4:$AJ$4,0),FALSE),BoundParameters_HiddenSheetCLAY!$B$1:$E$1,0),FALSE))),'Control Panel'!J63)))</f>
        <v/>
      </c>
      <c r="K63" s="44" t="str">
        <f>IF($I63="","",IF(K$37="","",IF('Control Panel'!K63="",IF(VLOOKUP($E63,'Table Output'!$A$2:$E$99998,5,FALSE)="Sand",VLOOKUP(K$37,BoundParameters_HiddenSheetSAND!$B$3:$E$50,MATCH(VLOOKUP($I63,$I$5:$AJ$29,MATCH(VLOOKUP(K$37,$BH$3:$BI$50,2,FALSE),$I$4:$AJ$4,0),FALSE),BoundParameters_HiddenSheetCLAY!$B$1:$E$1,0),FALSE),IF(VLOOKUP($E63,'Table Output'!$A$2:$E$99998,5,FALSE)="Clay",VLOOKUP(K$37,BoundParameters_HiddenSheetCLAY!$B$3:$E$50,MATCH(VLOOKUP($I63,$I$5:$AJ$35,MATCH(VLOOKUP(K$37,$BH$3:$BI$50,2,FALSE),$I$4:$AJ$4,0),FALSE),BoundParameters_HiddenSheetCLAY!$B$1:$E$1,0),FALSE))),'Control Panel'!K63)))</f>
        <v/>
      </c>
      <c r="L63" s="44" t="str">
        <f>IF($I63="","",IF(L$37="","",IF('Control Panel'!L63="",IF(VLOOKUP($E63,'Table Output'!$A$2:$E$99998,5,FALSE)="Sand",VLOOKUP(L$37,BoundParameters_HiddenSheetSAND!$B$3:$E$50,MATCH(VLOOKUP($I63,$I$5:$AJ$29,MATCH(VLOOKUP(L$37,$BH$3:$BI$50,2,FALSE),$I$4:$AJ$4,0),FALSE),BoundParameters_HiddenSheetCLAY!$B$1:$E$1,0),FALSE),IF(VLOOKUP($E63,'Table Output'!$A$2:$E$99998,5,FALSE)="Clay",VLOOKUP(L$37,BoundParameters_HiddenSheetCLAY!$B$3:$E$50,MATCH(VLOOKUP($I63,$I$5:$AJ$35,MATCH(VLOOKUP(L$37,$BH$3:$BI$50,2,FALSE),$I$4:$AJ$4,0),FALSE),BoundParameters_HiddenSheetCLAY!$B$1:$E$1,0),FALSE))),'Control Panel'!L63)))</f>
        <v/>
      </c>
      <c r="M63" s="44" t="str">
        <f>IF($I63="","",IF(M$37="","",IF('Control Panel'!M63="",IF(VLOOKUP($E63,'Table Output'!$A$2:$E$99998,5,FALSE)="Sand",VLOOKUP(M$37,BoundParameters_HiddenSheetSAND!$B$3:$E$50,MATCH(VLOOKUP($I63,$I$5:$AJ$29,MATCH(VLOOKUP(M$37,$BH$3:$BI$50,2,FALSE),$I$4:$AJ$4,0),FALSE),BoundParameters_HiddenSheetCLAY!$B$1:$E$1,0),FALSE),IF(VLOOKUP($E63,'Table Output'!$A$2:$E$99998,5,FALSE)="Clay",VLOOKUP(M$37,BoundParameters_HiddenSheetCLAY!$B$3:$E$50,MATCH(VLOOKUP($I63,$I$5:$AJ$35,MATCH(VLOOKUP(M$37,$BH$3:$BI$50,2,FALSE),$I$4:$AJ$4,0),FALSE),BoundParameters_HiddenSheetCLAY!$B$1:$E$1,0),FALSE))),'Control Panel'!M63)))</f>
        <v/>
      </c>
      <c r="N63" s="44" t="str">
        <f>IF($I63="","",IF(N$37="","",IF('Control Panel'!N63="",IF(VLOOKUP($E63,'Table Output'!$A$2:$E$99998,5,FALSE)="Sand",VLOOKUP(N$37,BoundParameters_HiddenSheetSAND!$B$3:$E$50,MATCH(VLOOKUP($I63,$I$5:$AJ$29,MATCH(VLOOKUP(N$37,$BH$3:$BI$50,2,FALSE),$I$4:$AJ$4,0),FALSE),BoundParameters_HiddenSheetCLAY!$B$1:$E$1,0),FALSE),IF(VLOOKUP($E63,'Table Output'!$A$2:$E$99998,5,FALSE)="Clay",VLOOKUP(N$37,BoundParameters_HiddenSheetCLAY!$B$3:$E$50,MATCH(VLOOKUP($I63,$I$5:$AJ$35,MATCH(VLOOKUP(N$37,$BH$3:$BI$50,2,FALSE),$I$4:$AJ$4,0),FALSE),BoundParameters_HiddenSheetCLAY!$B$1:$E$1,0),FALSE))),'Control Panel'!N63)))</f>
        <v/>
      </c>
      <c r="O63" s="44" t="str">
        <f>IF($I63="","",IF(O$37="","",IF('Control Panel'!O63="",IF(VLOOKUP($E63,'Table Output'!$A$2:$E$99998,5,FALSE)="Sand",VLOOKUP(O$37,BoundParameters_HiddenSheetSAND!$B$3:$E$50,MATCH(VLOOKUP($I63,$I$5:$AJ$29,MATCH(VLOOKUP(O$37,$BH$3:$BI$50,2,FALSE),$I$4:$AJ$4,0),FALSE),BoundParameters_HiddenSheetCLAY!$B$1:$E$1,0),FALSE),IF(VLOOKUP($E63,'Table Output'!$A$2:$E$99998,5,FALSE)="Clay",VLOOKUP(O$37,BoundParameters_HiddenSheetCLAY!$B$3:$E$50,MATCH(VLOOKUP($I63,$I$5:$AJ$35,MATCH(VLOOKUP(O$37,$BH$3:$BI$50,2,FALSE),$I$4:$AJ$4,0),FALSE),BoundParameters_HiddenSheetCLAY!$B$1:$E$1,0),FALSE))),'Control Panel'!O63)))</f>
        <v/>
      </c>
      <c r="P63" s="44" t="str">
        <f>IF($I63="","",IF(P$37="","",IF('Control Panel'!P63="",IF(VLOOKUP($E63,'Table Output'!$A$2:$E$99998,5,FALSE)="Sand",VLOOKUP(P$37,BoundParameters_HiddenSheetSAND!$B$3:$E$50,MATCH(VLOOKUP($I63,$I$5:$AJ$29,MATCH(VLOOKUP(P$37,$BH$3:$BI$50,2,FALSE),$I$4:$AJ$4,0),FALSE),BoundParameters_HiddenSheetCLAY!$B$1:$E$1,0),FALSE),IF(VLOOKUP($E63,'Table Output'!$A$2:$E$99998,5,FALSE)="Clay",VLOOKUP(P$37,BoundParameters_HiddenSheetCLAY!$B$3:$E$50,MATCH(VLOOKUP($I63,$I$5:$AJ$35,MATCH(VLOOKUP(P$37,$BH$3:$BI$50,2,FALSE),$I$4:$AJ$4,0),FALSE),BoundParameters_HiddenSheetCLAY!$B$1:$E$1,0),FALSE))),'Control Panel'!P63)))</f>
        <v/>
      </c>
      <c r="Q63" s="44" t="str">
        <f>IF($I63="","",IF(Q$37="","",IF('Control Panel'!Q63="",IF(VLOOKUP($E63,'Table Output'!$A$2:$E$99998,5,FALSE)="Sand",VLOOKUP(Q$37,BoundParameters_HiddenSheetSAND!$B$3:$E$50,MATCH(VLOOKUP($I63,$I$5:$AJ$29,MATCH(VLOOKUP(Q$37,$BH$3:$BI$50,2,FALSE),$I$4:$AJ$4,0),FALSE),BoundParameters_HiddenSheetCLAY!$B$1:$E$1,0),FALSE),IF(VLOOKUP($E63,'Table Output'!$A$2:$E$99998,5,FALSE)="Clay",VLOOKUP(Q$37,BoundParameters_HiddenSheetCLAY!$B$3:$E$50,MATCH(VLOOKUP($I63,$I$5:$AJ$35,MATCH(VLOOKUP(Q$37,$BH$3:$BI$50,2,FALSE),$I$4:$AJ$4,0),FALSE),BoundParameters_HiddenSheetCLAY!$B$1:$E$1,0),FALSE))),'Control Panel'!Q63)))</f>
        <v/>
      </c>
      <c r="R63" s="44" t="str">
        <f>IF($I63="","",IF(R$37="","",IF('Control Panel'!R63="",IF(VLOOKUP($E63,'Table Output'!$A$2:$E$99998,5,FALSE)="Sand",VLOOKUP(R$37,BoundParameters_HiddenSheetSAND!$B$3:$E$50,MATCH(VLOOKUP($I63,$I$5:$AJ$29,MATCH(VLOOKUP(R$37,$BH$3:$BI$50,2,FALSE),$I$4:$AJ$4,0),FALSE),BoundParameters_HiddenSheetCLAY!$B$1:$E$1,0),FALSE),IF(VLOOKUP($E63,'Table Output'!$A$2:$E$99998,5,FALSE)="Clay",VLOOKUP(R$37,BoundParameters_HiddenSheetCLAY!$B$3:$E$50,MATCH(VLOOKUP($I63,$I$5:$AJ$35,MATCH(VLOOKUP(R$37,$BH$3:$BI$50,2,FALSE),$I$4:$AJ$4,0),FALSE),BoundParameters_HiddenSheetCLAY!$B$1:$E$1,0),FALSE))),'Control Panel'!R63)))</f>
        <v/>
      </c>
      <c r="S63" s="44" t="str">
        <f>IF($I63="","",IF(S$37="","",IF('Control Panel'!S63="",IF(VLOOKUP($E63,'Table Output'!$A$2:$E$99998,5,FALSE)="Sand",VLOOKUP(S$37,BoundParameters_HiddenSheetSAND!$B$3:$E$50,MATCH(VLOOKUP($I63,$I$5:$AJ$29,MATCH(VLOOKUP(S$37,$BH$3:$BI$50,2,FALSE),$I$4:$AJ$4,0),FALSE),BoundParameters_HiddenSheetCLAY!$B$1:$E$1,0),FALSE),IF(VLOOKUP($E63,'Table Output'!$A$2:$E$99998,5,FALSE)="Clay",VLOOKUP(S$37,BoundParameters_HiddenSheetCLAY!$B$3:$E$50,MATCH(VLOOKUP($I63,$I$5:$AJ$35,MATCH(VLOOKUP(S$37,$BH$3:$BI$50,2,FALSE),$I$4:$AJ$4,0),FALSE),BoundParameters_HiddenSheetCLAY!$B$1:$E$1,0),FALSE))),'Control Panel'!S63)))</f>
        <v/>
      </c>
    </row>
    <row r="64" spans="2:61" x14ac:dyDescent="0.15">
      <c r="E64" s="2" t="str">
        <f t="shared" si="5"/>
        <v/>
      </c>
      <c r="I64" s="7" t="str">
        <f>I31</f>
        <v/>
      </c>
      <c r="J64" s="44" t="str">
        <f>IF($I64="","",IF(J$37="","",IF('Control Panel'!J64="",IF(VLOOKUP($E64,'Table Output'!$A$2:$E$99998,5,FALSE)="Sand",VLOOKUP(J$37,BoundParameters_HiddenSheetSAND!$B$3:$E$50,MATCH(VLOOKUP($I64,$I$5:$AJ$29,MATCH(VLOOKUP(J$37,$BH$3:$BI$50,2,FALSE),$I$4:$AJ$4,0),FALSE),BoundParameters_HiddenSheetCLAY!$B$1:$E$1,0),FALSE),IF(VLOOKUP($E64,'Table Output'!$A$2:$E$99998,5,FALSE)="Clay",VLOOKUP(J$37,BoundParameters_HiddenSheetCLAY!$B$3:$E$50,MATCH(VLOOKUP($I64,$I$5:$AJ$35,MATCH(VLOOKUP(J$37,$BH$3:$BI$50,2,FALSE),$I$4:$AJ$4,0),FALSE),BoundParameters_HiddenSheetCLAY!$B$1:$E$1,0),FALSE))),'Control Panel'!J64)))</f>
        <v/>
      </c>
      <c r="K64" s="44" t="str">
        <f>IF($I64="","",IF(K$37="","",IF('Control Panel'!K64="",IF(VLOOKUP($E64,'Table Output'!$A$2:$E$99998,5,FALSE)="Sand",VLOOKUP(K$37,BoundParameters_HiddenSheetSAND!$B$3:$E$50,MATCH(VLOOKUP($I64,$I$5:$AJ$29,MATCH(VLOOKUP(K$37,$BH$3:$BI$50,2,FALSE),$I$4:$AJ$4,0),FALSE),BoundParameters_HiddenSheetCLAY!$B$1:$E$1,0),FALSE),IF(VLOOKUP($E64,'Table Output'!$A$2:$E$99998,5,FALSE)="Clay",VLOOKUP(K$37,BoundParameters_HiddenSheetCLAY!$B$3:$E$50,MATCH(VLOOKUP($I64,$I$5:$AJ$35,MATCH(VLOOKUP(K$37,$BH$3:$BI$50,2,FALSE),$I$4:$AJ$4,0),FALSE),BoundParameters_HiddenSheetCLAY!$B$1:$E$1,0),FALSE))),'Control Panel'!K64)))</f>
        <v/>
      </c>
      <c r="L64" s="44" t="str">
        <f>IF($I64="","",IF(L$37="","",IF('Control Panel'!L64="",IF(VLOOKUP($E64,'Table Output'!$A$2:$E$99998,5,FALSE)="Sand",VLOOKUP(L$37,BoundParameters_HiddenSheetSAND!$B$3:$E$50,MATCH(VLOOKUP($I64,$I$5:$AJ$29,MATCH(VLOOKUP(L$37,$BH$3:$BI$50,2,FALSE),$I$4:$AJ$4,0),FALSE),BoundParameters_HiddenSheetCLAY!$B$1:$E$1,0),FALSE),IF(VLOOKUP($E64,'Table Output'!$A$2:$E$99998,5,FALSE)="Clay",VLOOKUP(L$37,BoundParameters_HiddenSheetCLAY!$B$3:$E$50,MATCH(VLOOKUP($I64,$I$5:$AJ$35,MATCH(VLOOKUP(L$37,$BH$3:$BI$50,2,FALSE),$I$4:$AJ$4,0),FALSE),BoundParameters_HiddenSheetCLAY!$B$1:$E$1,0),FALSE))),'Control Panel'!L64)))</f>
        <v/>
      </c>
      <c r="M64" s="44" t="str">
        <f>IF($I64="","",IF(M$37="","",IF('Control Panel'!M64="",IF(VLOOKUP($E64,'Table Output'!$A$2:$E$99998,5,FALSE)="Sand",VLOOKUP(M$37,BoundParameters_HiddenSheetSAND!$B$3:$E$50,MATCH(VLOOKUP($I64,$I$5:$AJ$29,MATCH(VLOOKUP(M$37,$BH$3:$BI$50,2,FALSE),$I$4:$AJ$4,0),FALSE),BoundParameters_HiddenSheetCLAY!$B$1:$E$1,0),FALSE),IF(VLOOKUP($E64,'Table Output'!$A$2:$E$99998,5,FALSE)="Clay",VLOOKUP(M$37,BoundParameters_HiddenSheetCLAY!$B$3:$E$50,MATCH(VLOOKUP($I64,$I$5:$AJ$35,MATCH(VLOOKUP(M$37,$BH$3:$BI$50,2,FALSE),$I$4:$AJ$4,0),FALSE),BoundParameters_HiddenSheetCLAY!$B$1:$E$1,0),FALSE))),'Control Panel'!M64)))</f>
        <v/>
      </c>
      <c r="N64" s="44" t="str">
        <f>IF($I64="","",IF(N$37="","",IF('Control Panel'!N64="",IF(VLOOKUP($E64,'Table Output'!$A$2:$E$99998,5,FALSE)="Sand",VLOOKUP(N$37,BoundParameters_HiddenSheetSAND!$B$3:$E$50,MATCH(VLOOKUP($I64,$I$5:$AJ$29,MATCH(VLOOKUP(N$37,$BH$3:$BI$50,2,FALSE),$I$4:$AJ$4,0),FALSE),BoundParameters_HiddenSheetCLAY!$B$1:$E$1,0),FALSE),IF(VLOOKUP($E64,'Table Output'!$A$2:$E$99998,5,FALSE)="Clay",VLOOKUP(N$37,BoundParameters_HiddenSheetCLAY!$B$3:$E$50,MATCH(VLOOKUP($I64,$I$5:$AJ$35,MATCH(VLOOKUP(N$37,$BH$3:$BI$50,2,FALSE),$I$4:$AJ$4,0),FALSE),BoundParameters_HiddenSheetCLAY!$B$1:$E$1,0),FALSE))),'Control Panel'!N64)))</f>
        <v/>
      </c>
      <c r="O64" s="44" t="str">
        <f>IF($I64="","",IF(O$37="","",IF('Control Panel'!O64="",IF(VLOOKUP($E64,'Table Output'!$A$2:$E$99998,5,FALSE)="Sand",VLOOKUP(O$37,BoundParameters_HiddenSheetSAND!$B$3:$E$50,MATCH(VLOOKUP($I64,$I$5:$AJ$29,MATCH(VLOOKUP(O$37,$BH$3:$BI$50,2,FALSE),$I$4:$AJ$4,0),FALSE),BoundParameters_HiddenSheetCLAY!$B$1:$E$1,0),FALSE),IF(VLOOKUP($E64,'Table Output'!$A$2:$E$99998,5,FALSE)="Clay",VLOOKUP(O$37,BoundParameters_HiddenSheetCLAY!$B$3:$E$50,MATCH(VLOOKUP($I64,$I$5:$AJ$35,MATCH(VLOOKUP(O$37,$BH$3:$BI$50,2,FALSE),$I$4:$AJ$4,0),FALSE),BoundParameters_HiddenSheetCLAY!$B$1:$E$1,0),FALSE))),'Control Panel'!O64)))</f>
        <v/>
      </c>
      <c r="P64" s="44" t="str">
        <f>IF($I64="","",IF(P$37="","",IF('Control Panel'!P64="",IF(VLOOKUP($E64,'Table Output'!$A$2:$E$99998,5,FALSE)="Sand",VLOOKUP(P$37,BoundParameters_HiddenSheetSAND!$B$3:$E$50,MATCH(VLOOKUP($I64,$I$5:$AJ$29,MATCH(VLOOKUP(P$37,$BH$3:$BI$50,2,FALSE),$I$4:$AJ$4,0),FALSE),BoundParameters_HiddenSheetCLAY!$B$1:$E$1,0),FALSE),IF(VLOOKUP($E64,'Table Output'!$A$2:$E$99998,5,FALSE)="Clay",VLOOKUP(P$37,BoundParameters_HiddenSheetCLAY!$B$3:$E$50,MATCH(VLOOKUP($I64,$I$5:$AJ$35,MATCH(VLOOKUP(P$37,$BH$3:$BI$50,2,FALSE),$I$4:$AJ$4,0),FALSE),BoundParameters_HiddenSheetCLAY!$B$1:$E$1,0),FALSE))),'Control Panel'!P64)))</f>
        <v/>
      </c>
      <c r="Q64" s="44" t="str">
        <f>IF($I64="","",IF(Q$37="","",IF('Control Panel'!Q64="",IF(VLOOKUP($E64,'Table Output'!$A$2:$E$99998,5,FALSE)="Sand",VLOOKUP(Q$37,BoundParameters_HiddenSheetSAND!$B$3:$E$50,MATCH(VLOOKUP($I64,$I$5:$AJ$29,MATCH(VLOOKUP(Q$37,$BH$3:$BI$50,2,FALSE),$I$4:$AJ$4,0),FALSE),BoundParameters_HiddenSheetCLAY!$B$1:$E$1,0),FALSE),IF(VLOOKUP($E64,'Table Output'!$A$2:$E$99998,5,FALSE)="Clay",VLOOKUP(Q$37,BoundParameters_HiddenSheetCLAY!$B$3:$E$50,MATCH(VLOOKUP($I64,$I$5:$AJ$35,MATCH(VLOOKUP(Q$37,$BH$3:$BI$50,2,FALSE),$I$4:$AJ$4,0),FALSE),BoundParameters_HiddenSheetCLAY!$B$1:$E$1,0),FALSE))),'Control Panel'!Q64)))</f>
        <v/>
      </c>
      <c r="R64" s="44" t="str">
        <f>IF($I64="","",IF(R$37="","",IF('Control Panel'!R64="",IF(VLOOKUP($E64,'Table Output'!$A$2:$E$99998,5,FALSE)="Sand",VLOOKUP(R$37,BoundParameters_HiddenSheetSAND!$B$3:$E$50,MATCH(VLOOKUP($I64,$I$5:$AJ$29,MATCH(VLOOKUP(R$37,$BH$3:$BI$50,2,FALSE),$I$4:$AJ$4,0),FALSE),BoundParameters_HiddenSheetCLAY!$B$1:$E$1,0),FALSE),IF(VLOOKUP($E64,'Table Output'!$A$2:$E$99998,5,FALSE)="Clay",VLOOKUP(R$37,BoundParameters_HiddenSheetCLAY!$B$3:$E$50,MATCH(VLOOKUP($I64,$I$5:$AJ$35,MATCH(VLOOKUP(R$37,$BH$3:$BI$50,2,FALSE),$I$4:$AJ$4,0),FALSE),BoundParameters_HiddenSheetCLAY!$B$1:$E$1,0),FALSE))),'Control Panel'!R64)))</f>
        <v/>
      </c>
      <c r="S64" s="44" t="str">
        <f>IF($I64="","",IF(S$37="","",IF('Control Panel'!S64="",IF(VLOOKUP($E64,'Table Output'!$A$2:$E$99998,5,FALSE)="Sand",VLOOKUP(S$37,BoundParameters_HiddenSheetSAND!$B$3:$E$50,MATCH(VLOOKUP($I64,$I$5:$AJ$29,MATCH(VLOOKUP(S$37,$BH$3:$BI$50,2,FALSE),$I$4:$AJ$4,0),FALSE),BoundParameters_HiddenSheetCLAY!$B$1:$E$1,0),FALSE),IF(VLOOKUP($E64,'Table Output'!$A$2:$E$99998,5,FALSE)="Clay",VLOOKUP(S$37,BoundParameters_HiddenSheetCLAY!$B$3:$E$50,MATCH(VLOOKUP($I64,$I$5:$AJ$35,MATCH(VLOOKUP(S$37,$BH$3:$BI$50,2,FALSE),$I$4:$AJ$4,0),FALSE),BoundParameters_HiddenSheetCLAY!$B$1:$E$1,0),FALSE))),'Control Panel'!S64)))</f>
        <v/>
      </c>
    </row>
    <row r="65" spans="5:60" x14ac:dyDescent="0.15">
      <c r="E65" s="2" t="str">
        <f t="shared" si="5"/>
        <v/>
      </c>
      <c r="I65" s="7" t="str">
        <f>I32</f>
        <v/>
      </c>
      <c r="J65" s="44" t="str">
        <f>IF($I65="","",IF(J$37="","",IF('Control Panel'!J65="",IF(VLOOKUP($E65,'Table Output'!$A$2:$E$99998,5,FALSE)="Sand",VLOOKUP(J$37,BoundParameters_HiddenSheetSAND!$B$3:$E$50,MATCH(VLOOKUP($I65,$I$5:$AJ$29,MATCH(VLOOKUP(J$37,$BH$3:$BI$50,2,FALSE),$I$4:$AJ$4,0),FALSE),BoundParameters_HiddenSheetCLAY!$B$1:$E$1,0),FALSE),IF(VLOOKUP($E65,'Table Output'!$A$2:$E$99998,5,FALSE)="Clay",VLOOKUP(J$37,BoundParameters_HiddenSheetCLAY!$B$3:$E$50,MATCH(VLOOKUP($I65,$I$5:$AJ$35,MATCH(VLOOKUP(J$37,$BH$3:$BI$50,2,FALSE),$I$4:$AJ$4,0),FALSE),BoundParameters_HiddenSheetCLAY!$B$1:$E$1,0),FALSE))),'Control Panel'!J65)))</f>
        <v/>
      </c>
      <c r="K65" s="44" t="str">
        <f>IF($I65="","",IF(K$37="","",IF('Control Panel'!K65="",IF(VLOOKUP($E65,'Table Output'!$A$2:$E$99998,5,FALSE)="Sand",VLOOKUP(K$37,BoundParameters_HiddenSheetSAND!$B$3:$E$50,MATCH(VLOOKUP($I65,$I$5:$AJ$29,MATCH(VLOOKUP(K$37,$BH$3:$BI$50,2,FALSE),$I$4:$AJ$4,0),FALSE),BoundParameters_HiddenSheetCLAY!$B$1:$E$1,0),FALSE),IF(VLOOKUP($E65,'Table Output'!$A$2:$E$99998,5,FALSE)="Clay",VLOOKUP(K$37,BoundParameters_HiddenSheetCLAY!$B$3:$E$50,MATCH(VLOOKUP($I65,$I$5:$AJ$35,MATCH(VLOOKUP(K$37,$BH$3:$BI$50,2,FALSE),$I$4:$AJ$4,0),FALSE),BoundParameters_HiddenSheetCLAY!$B$1:$E$1,0),FALSE))),'Control Panel'!K65)))</f>
        <v/>
      </c>
      <c r="L65" s="44" t="str">
        <f>IF($I65="","",IF(L$37="","",IF('Control Panel'!L65="",IF(VLOOKUP($E65,'Table Output'!$A$2:$E$99998,5,FALSE)="Sand",VLOOKUP(L$37,BoundParameters_HiddenSheetSAND!$B$3:$E$50,MATCH(VLOOKUP($I65,$I$5:$AJ$29,MATCH(VLOOKUP(L$37,$BH$3:$BI$50,2,FALSE),$I$4:$AJ$4,0),FALSE),BoundParameters_HiddenSheetCLAY!$B$1:$E$1,0),FALSE),IF(VLOOKUP($E65,'Table Output'!$A$2:$E$99998,5,FALSE)="Clay",VLOOKUP(L$37,BoundParameters_HiddenSheetCLAY!$B$3:$E$50,MATCH(VLOOKUP($I65,$I$5:$AJ$35,MATCH(VLOOKUP(L$37,$BH$3:$BI$50,2,FALSE),$I$4:$AJ$4,0),FALSE),BoundParameters_HiddenSheetCLAY!$B$1:$E$1,0),FALSE))),'Control Panel'!L65)))</f>
        <v/>
      </c>
      <c r="M65" s="44" t="str">
        <f>IF($I65="","",IF(M$37="","",IF('Control Panel'!M65="",IF(VLOOKUP($E65,'Table Output'!$A$2:$E$99998,5,FALSE)="Sand",VLOOKUP(M$37,BoundParameters_HiddenSheetSAND!$B$3:$E$50,MATCH(VLOOKUP($I65,$I$5:$AJ$29,MATCH(VLOOKUP(M$37,$BH$3:$BI$50,2,FALSE),$I$4:$AJ$4,0),FALSE),BoundParameters_HiddenSheetCLAY!$B$1:$E$1,0),FALSE),IF(VLOOKUP($E65,'Table Output'!$A$2:$E$99998,5,FALSE)="Clay",VLOOKUP(M$37,BoundParameters_HiddenSheetCLAY!$B$3:$E$50,MATCH(VLOOKUP($I65,$I$5:$AJ$35,MATCH(VLOOKUP(M$37,$BH$3:$BI$50,2,FALSE),$I$4:$AJ$4,0),FALSE),BoundParameters_HiddenSheetCLAY!$B$1:$E$1,0),FALSE))),'Control Panel'!M65)))</f>
        <v/>
      </c>
      <c r="N65" s="44" t="str">
        <f>IF($I65="","",IF(N$37="","",IF('Control Panel'!N65="",IF(VLOOKUP($E65,'Table Output'!$A$2:$E$99998,5,FALSE)="Sand",VLOOKUP(N$37,BoundParameters_HiddenSheetSAND!$B$3:$E$50,MATCH(VLOOKUP($I65,$I$5:$AJ$29,MATCH(VLOOKUP(N$37,$BH$3:$BI$50,2,FALSE),$I$4:$AJ$4,0),FALSE),BoundParameters_HiddenSheetCLAY!$B$1:$E$1,0),FALSE),IF(VLOOKUP($E65,'Table Output'!$A$2:$E$99998,5,FALSE)="Clay",VLOOKUP(N$37,BoundParameters_HiddenSheetCLAY!$B$3:$E$50,MATCH(VLOOKUP($I65,$I$5:$AJ$35,MATCH(VLOOKUP(N$37,$BH$3:$BI$50,2,FALSE),$I$4:$AJ$4,0),FALSE),BoundParameters_HiddenSheetCLAY!$B$1:$E$1,0),FALSE))),'Control Panel'!N65)))</f>
        <v/>
      </c>
      <c r="O65" s="44" t="str">
        <f>IF($I65="","",IF(O$37="","",IF('Control Panel'!O65="",IF(VLOOKUP($E65,'Table Output'!$A$2:$E$99998,5,FALSE)="Sand",VLOOKUP(O$37,BoundParameters_HiddenSheetSAND!$B$3:$E$50,MATCH(VLOOKUP($I65,$I$5:$AJ$29,MATCH(VLOOKUP(O$37,$BH$3:$BI$50,2,FALSE),$I$4:$AJ$4,0),FALSE),BoundParameters_HiddenSheetCLAY!$B$1:$E$1,0),FALSE),IF(VLOOKUP($E65,'Table Output'!$A$2:$E$99998,5,FALSE)="Clay",VLOOKUP(O$37,BoundParameters_HiddenSheetCLAY!$B$3:$E$50,MATCH(VLOOKUP($I65,$I$5:$AJ$35,MATCH(VLOOKUP(O$37,$BH$3:$BI$50,2,FALSE),$I$4:$AJ$4,0),FALSE),BoundParameters_HiddenSheetCLAY!$B$1:$E$1,0),FALSE))),'Control Panel'!O65)))</f>
        <v/>
      </c>
      <c r="P65" s="44" t="str">
        <f>IF($I65="","",IF(P$37="","",IF('Control Panel'!P65="",IF(VLOOKUP($E65,'Table Output'!$A$2:$E$99998,5,FALSE)="Sand",VLOOKUP(P$37,BoundParameters_HiddenSheetSAND!$B$3:$E$50,MATCH(VLOOKUP($I65,$I$5:$AJ$29,MATCH(VLOOKUP(P$37,$BH$3:$BI$50,2,FALSE),$I$4:$AJ$4,0),FALSE),BoundParameters_HiddenSheetCLAY!$B$1:$E$1,0),FALSE),IF(VLOOKUP($E65,'Table Output'!$A$2:$E$99998,5,FALSE)="Clay",VLOOKUP(P$37,BoundParameters_HiddenSheetCLAY!$B$3:$E$50,MATCH(VLOOKUP($I65,$I$5:$AJ$35,MATCH(VLOOKUP(P$37,$BH$3:$BI$50,2,FALSE),$I$4:$AJ$4,0),FALSE),BoundParameters_HiddenSheetCLAY!$B$1:$E$1,0),FALSE))),'Control Panel'!P65)))</f>
        <v/>
      </c>
      <c r="Q65" s="44" t="str">
        <f>IF($I65="","",IF(Q$37="","",IF('Control Panel'!Q65="",IF(VLOOKUP($E65,'Table Output'!$A$2:$E$99998,5,FALSE)="Sand",VLOOKUP(Q$37,BoundParameters_HiddenSheetSAND!$B$3:$E$50,MATCH(VLOOKUP($I65,$I$5:$AJ$29,MATCH(VLOOKUP(Q$37,$BH$3:$BI$50,2,FALSE),$I$4:$AJ$4,0),FALSE),BoundParameters_HiddenSheetCLAY!$B$1:$E$1,0),FALSE),IF(VLOOKUP($E65,'Table Output'!$A$2:$E$99998,5,FALSE)="Clay",VLOOKUP(Q$37,BoundParameters_HiddenSheetCLAY!$B$3:$E$50,MATCH(VLOOKUP($I65,$I$5:$AJ$35,MATCH(VLOOKUP(Q$37,$BH$3:$BI$50,2,FALSE),$I$4:$AJ$4,0),FALSE),BoundParameters_HiddenSheetCLAY!$B$1:$E$1,0),FALSE))),'Control Panel'!Q65)))</f>
        <v/>
      </c>
      <c r="R65" s="44" t="str">
        <f>IF($I65="","",IF(R$37="","",IF('Control Panel'!R65="",IF(VLOOKUP($E65,'Table Output'!$A$2:$E$99998,5,FALSE)="Sand",VLOOKUP(R$37,BoundParameters_HiddenSheetSAND!$B$3:$E$50,MATCH(VLOOKUP($I65,$I$5:$AJ$29,MATCH(VLOOKUP(R$37,$BH$3:$BI$50,2,FALSE),$I$4:$AJ$4,0),FALSE),BoundParameters_HiddenSheetCLAY!$B$1:$E$1,0),FALSE),IF(VLOOKUP($E65,'Table Output'!$A$2:$E$99998,5,FALSE)="Clay",VLOOKUP(R$37,BoundParameters_HiddenSheetCLAY!$B$3:$E$50,MATCH(VLOOKUP($I65,$I$5:$AJ$35,MATCH(VLOOKUP(R$37,$BH$3:$BI$50,2,FALSE),$I$4:$AJ$4,0),FALSE),BoundParameters_HiddenSheetCLAY!$B$1:$E$1,0),FALSE))),'Control Panel'!R65)))</f>
        <v/>
      </c>
      <c r="S65" s="44" t="str">
        <f>IF($I65="","",IF(S$37="","",IF('Control Panel'!S65="",IF(VLOOKUP($E65,'Table Output'!$A$2:$E$99998,5,FALSE)="Sand",VLOOKUP(S$37,BoundParameters_HiddenSheetSAND!$B$3:$E$50,MATCH(VLOOKUP($I65,$I$5:$AJ$29,MATCH(VLOOKUP(S$37,$BH$3:$BI$50,2,FALSE),$I$4:$AJ$4,0),FALSE),BoundParameters_HiddenSheetCLAY!$B$1:$E$1,0),FALSE),IF(VLOOKUP($E65,'Table Output'!$A$2:$E$99998,5,FALSE)="Clay",VLOOKUP(S$37,BoundParameters_HiddenSheetCLAY!$B$3:$E$50,MATCH(VLOOKUP($I65,$I$5:$AJ$35,MATCH(VLOOKUP(S$37,$BH$3:$BI$50,2,FALSE),$I$4:$AJ$4,0),FALSE),BoundParameters_HiddenSheetCLAY!$B$1:$E$1,0),FALSE))),'Control Panel'!S65)))</f>
        <v/>
      </c>
    </row>
    <row r="66" spans="5:60" x14ac:dyDescent="0.15">
      <c r="E66" s="2" t="str">
        <f t="shared" si="5"/>
        <v/>
      </c>
      <c r="I66" s="7" t="str">
        <f>I33</f>
        <v/>
      </c>
      <c r="J66" s="44" t="str">
        <f>IF($I66="","",IF(J$37="","",IF('Control Panel'!J66="",IF(VLOOKUP($E66,'Table Output'!$A$2:$E$99998,5,FALSE)="Sand",VLOOKUP(J$37,BoundParameters_HiddenSheetSAND!$B$3:$E$50,MATCH(VLOOKUP($I66,$I$5:$AJ$29,MATCH(VLOOKUP(J$37,$BH$3:$BI$50,2,FALSE),$I$4:$AJ$4,0),FALSE),BoundParameters_HiddenSheetCLAY!$B$1:$E$1,0),FALSE),IF(VLOOKUP($E66,'Table Output'!$A$2:$E$99998,5,FALSE)="Clay",VLOOKUP(J$37,BoundParameters_HiddenSheetCLAY!$B$3:$E$50,MATCH(VLOOKUP($I66,$I$5:$AJ$35,MATCH(VLOOKUP(J$37,$BH$3:$BI$50,2,FALSE),$I$4:$AJ$4,0),FALSE),BoundParameters_HiddenSheetCLAY!$B$1:$E$1,0),FALSE))),'Control Panel'!J66)))</f>
        <v/>
      </c>
      <c r="K66" s="44" t="str">
        <f>IF($I66="","",IF(K$37="","",IF('Control Panel'!K66="",IF(VLOOKUP($E66,'Table Output'!$A$2:$E$99998,5,FALSE)="Sand",VLOOKUP(K$37,BoundParameters_HiddenSheetSAND!$B$3:$E$50,MATCH(VLOOKUP($I66,$I$5:$AJ$29,MATCH(VLOOKUP(K$37,$BH$3:$BI$50,2,FALSE),$I$4:$AJ$4,0),FALSE),BoundParameters_HiddenSheetCLAY!$B$1:$E$1,0),FALSE),IF(VLOOKUP($E66,'Table Output'!$A$2:$E$99998,5,FALSE)="Clay",VLOOKUP(K$37,BoundParameters_HiddenSheetCLAY!$B$3:$E$50,MATCH(VLOOKUP($I66,$I$5:$AJ$35,MATCH(VLOOKUP(K$37,$BH$3:$BI$50,2,FALSE),$I$4:$AJ$4,0),FALSE),BoundParameters_HiddenSheetCLAY!$B$1:$E$1,0),FALSE))),'Control Panel'!K66)))</f>
        <v/>
      </c>
      <c r="L66" s="44" t="str">
        <f>IF($I66="","",IF(L$37="","",IF('Control Panel'!L66="",IF(VLOOKUP($E66,'Table Output'!$A$2:$E$99998,5,FALSE)="Sand",VLOOKUP(L$37,BoundParameters_HiddenSheetSAND!$B$3:$E$50,MATCH(VLOOKUP($I66,$I$5:$AJ$29,MATCH(VLOOKUP(L$37,$BH$3:$BI$50,2,FALSE),$I$4:$AJ$4,0),FALSE),BoundParameters_HiddenSheetCLAY!$B$1:$E$1,0),FALSE),IF(VLOOKUP($E66,'Table Output'!$A$2:$E$99998,5,FALSE)="Clay",VLOOKUP(L$37,BoundParameters_HiddenSheetCLAY!$B$3:$E$50,MATCH(VLOOKUP($I66,$I$5:$AJ$35,MATCH(VLOOKUP(L$37,$BH$3:$BI$50,2,FALSE),$I$4:$AJ$4,0),FALSE),BoundParameters_HiddenSheetCLAY!$B$1:$E$1,0),FALSE))),'Control Panel'!L66)))</f>
        <v/>
      </c>
      <c r="M66" s="44" t="str">
        <f>IF($I66="","",IF(M$37="","",IF('Control Panel'!M66="",IF(VLOOKUP($E66,'Table Output'!$A$2:$E$99998,5,FALSE)="Sand",VLOOKUP(M$37,BoundParameters_HiddenSheetSAND!$B$3:$E$50,MATCH(VLOOKUP($I66,$I$5:$AJ$29,MATCH(VLOOKUP(M$37,$BH$3:$BI$50,2,FALSE),$I$4:$AJ$4,0),FALSE),BoundParameters_HiddenSheetCLAY!$B$1:$E$1,0),FALSE),IF(VLOOKUP($E66,'Table Output'!$A$2:$E$99998,5,FALSE)="Clay",VLOOKUP(M$37,BoundParameters_HiddenSheetCLAY!$B$3:$E$50,MATCH(VLOOKUP($I66,$I$5:$AJ$35,MATCH(VLOOKUP(M$37,$BH$3:$BI$50,2,FALSE),$I$4:$AJ$4,0),FALSE),BoundParameters_HiddenSheetCLAY!$B$1:$E$1,0),FALSE))),'Control Panel'!M66)))</f>
        <v/>
      </c>
      <c r="N66" s="44" t="str">
        <f>IF($I66="","",IF(N$37="","",IF('Control Panel'!N66="",IF(VLOOKUP($E66,'Table Output'!$A$2:$E$99998,5,FALSE)="Sand",VLOOKUP(N$37,BoundParameters_HiddenSheetSAND!$B$3:$E$50,MATCH(VLOOKUP($I66,$I$5:$AJ$29,MATCH(VLOOKUP(N$37,$BH$3:$BI$50,2,FALSE),$I$4:$AJ$4,0),FALSE),BoundParameters_HiddenSheetCLAY!$B$1:$E$1,0),FALSE),IF(VLOOKUP($E66,'Table Output'!$A$2:$E$99998,5,FALSE)="Clay",VLOOKUP(N$37,BoundParameters_HiddenSheetCLAY!$B$3:$E$50,MATCH(VLOOKUP($I66,$I$5:$AJ$35,MATCH(VLOOKUP(N$37,$BH$3:$BI$50,2,FALSE),$I$4:$AJ$4,0),FALSE),BoundParameters_HiddenSheetCLAY!$B$1:$E$1,0),FALSE))),'Control Panel'!N66)))</f>
        <v/>
      </c>
      <c r="O66" s="44" t="str">
        <f>IF($I66="","",IF(O$37="","",IF('Control Panel'!O66="",IF(VLOOKUP($E66,'Table Output'!$A$2:$E$99998,5,FALSE)="Sand",VLOOKUP(O$37,BoundParameters_HiddenSheetSAND!$B$3:$E$50,MATCH(VLOOKUP($I66,$I$5:$AJ$29,MATCH(VLOOKUP(O$37,$BH$3:$BI$50,2,FALSE),$I$4:$AJ$4,0),FALSE),BoundParameters_HiddenSheetCLAY!$B$1:$E$1,0),FALSE),IF(VLOOKUP($E66,'Table Output'!$A$2:$E$99998,5,FALSE)="Clay",VLOOKUP(O$37,BoundParameters_HiddenSheetCLAY!$B$3:$E$50,MATCH(VLOOKUP($I66,$I$5:$AJ$35,MATCH(VLOOKUP(O$37,$BH$3:$BI$50,2,FALSE),$I$4:$AJ$4,0),FALSE),BoundParameters_HiddenSheetCLAY!$B$1:$E$1,0),FALSE))),'Control Panel'!O66)))</f>
        <v/>
      </c>
      <c r="P66" s="44" t="str">
        <f>IF($I66="","",IF(P$37="","",IF('Control Panel'!P66="",IF(VLOOKUP($E66,'Table Output'!$A$2:$E$99998,5,FALSE)="Sand",VLOOKUP(P$37,BoundParameters_HiddenSheetSAND!$B$3:$E$50,MATCH(VLOOKUP($I66,$I$5:$AJ$29,MATCH(VLOOKUP(P$37,$BH$3:$BI$50,2,FALSE),$I$4:$AJ$4,0),FALSE),BoundParameters_HiddenSheetCLAY!$B$1:$E$1,0),FALSE),IF(VLOOKUP($E66,'Table Output'!$A$2:$E$99998,5,FALSE)="Clay",VLOOKUP(P$37,BoundParameters_HiddenSheetCLAY!$B$3:$E$50,MATCH(VLOOKUP($I66,$I$5:$AJ$35,MATCH(VLOOKUP(P$37,$BH$3:$BI$50,2,FALSE),$I$4:$AJ$4,0),FALSE),BoundParameters_HiddenSheetCLAY!$B$1:$E$1,0),FALSE))),'Control Panel'!P66)))</f>
        <v/>
      </c>
      <c r="Q66" s="44" t="str">
        <f>IF($I66="","",IF(Q$37="","",IF('Control Panel'!Q66="",IF(VLOOKUP($E66,'Table Output'!$A$2:$E$99998,5,FALSE)="Sand",VLOOKUP(Q$37,BoundParameters_HiddenSheetSAND!$B$3:$E$50,MATCH(VLOOKUP($I66,$I$5:$AJ$29,MATCH(VLOOKUP(Q$37,$BH$3:$BI$50,2,FALSE),$I$4:$AJ$4,0),FALSE),BoundParameters_HiddenSheetCLAY!$B$1:$E$1,0),FALSE),IF(VLOOKUP($E66,'Table Output'!$A$2:$E$99998,5,FALSE)="Clay",VLOOKUP(Q$37,BoundParameters_HiddenSheetCLAY!$B$3:$E$50,MATCH(VLOOKUP($I66,$I$5:$AJ$35,MATCH(VLOOKUP(Q$37,$BH$3:$BI$50,2,FALSE),$I$4:$AJ$4,0),FALSE),BoundParameters_HiddenSheetCLAY!$B$1:$E$1,0),FALSE))),'Control Panel'!Q66)))</f>
        <v/>
      </c>
      <c r="R66" s="44" t="str">
        <f>IF($I66="","",IF(R$37="","",IF('Control Panel'!R66="",IF(VLOOKUP($E66,'Table Output'!$A$2:$E$99998,5,FALSE)="Sand",VLOOKUP(R$37,BoundParameters_HiddenSheetSAND!$B$3:$E$50,MATCH(VLOOKUP($I66,$I$5:$AJ$29,MATCH(VLOOKUP(R$37,$BH$3:$BI$50,2,FALSE),$I$4:$AJ$4,0),FALSE),BoundParameters_HiddenSheetCLAY!$B$1:$E$1,0),FALSE),IF(VLOOKUP($E66,'Table Output'!$A$2:$E$99998,5,FALSE)="Clay",VLOOKUP(R$37,BoundParameters_HiddenSheetCLAY!$B$3:$E$50,MATCH(VLOOKUP($I66,$I$5:$AJ$35,MATCH(VLOOKUP(R$37,$BH$3:$BI$50,2,FALSE),$I$4:$AJ$4,0),FALSE),BoundParameters_HiddenSheetCLAY!$B$1:$E$1,0),FALSE))),'Control Panel'!R66)))</f>
        <v/>
      </c>
      <c r="S66" s="44" t="str">
        <f>IF($I66="","",IF(S$37="","",IF('Control Panel'!S66="",IF(VLOOKUP($E66,'Table Output'!$A$2:$E$99998,5,FALSE)="Sand",VLOOKUP(S$37,BoundParameters_HiddenSheetSAND!$B$3:$E$50,MATCH(VLOOKUP($I66,$I$5:$AJ$29,MATCH(VLOOKUP(S$37,$BH$3:$BI$50,2,FALSE),$I$4:$AJ$4,0),FALSE),BoundParameters_HiddenSheetCLAY!$B$1:$E$1,0),FALSE),IF(VLOOKUP($E66,'Table Output'!$A$2:$E$99998,5,FALSE)="Clay",VLOOKUP(S$37,BoundParameters_HiddenSheetCLAY!$B$3:$E$50,MATCH(VLOOKUP($I66,$I$5:$AJ$35,MATCH(VLOOKUP(S$37,$BH$3:$BI$50,2,FALSE),$I$4:$AJ$4,0),FALSE),BoundParameters_HiddenSheetCLAY!$B$1:$E$1,0),FALSE))),'Control Panel'!S66)))</f>
        <v/>
      </c>
    </row>
    <row r="67" spans="5:60" x14ac:dyDescent="0.15">
      <c r="E67" s="2" t="str">
        <f t="shared" si="5"/>
        <v/>
      </c>
      <c r="I67" s="7" t="str">
        <f>I34</f>
        <v/>
      </c>
      <c r="J67" s="44" t="str">
        <f>IF($I67="","",IF(J$37="","",IF('Control Panel'!J67="",IF(VLOOKUP($E67,'Table Output'!$A$2:$E$99998,5,FALSE)="Sand",VLOOKUP(J$37,BoundParameters_HiddenSheetSAND!$B$3:$E$50,MATCH(VLOOKUP($I67,$I$5:$AJ$29,MATCH(VLOOKUP(J$37,$BH$3:$BI$50,2,FALSE),$I$4:$AJ$4,0),FALSE),BoundParameters_HiddenSheetCLAY!$B$1:$E$1,0),FALSE),IF(VLOOKUP($E67,'Table Output'!$A$2:$E$99998,5,FALSE)="Clay",VLOOKUP(J$37,BoundParameters_HiddenSheetCLAY!$B$3:$E$50,MATCH(VLOOKUP($I67,$I$5:$AJ$35,MATCH(VLOOKUP(J$37,$BH$3:$BI$50,2,FALSE),$I$4:$AJ$4,0),FALSE),BoundParameters_HiddenSheetCLAY!$B$1:$E$1,0),FALSE))),'Control Panel'!J67)))</f>
        <v/>
      </c>
      <c r="K67" s="44" t="str">
        <f>IF($I67="","",IF(K$37="","",IF('Control Panel'!K67="",IF(VLOOKUP($E67,'Table Output'!$A$2:$E$99998,5,FALSE)="Sand",VLOOKUP(K$37,BoundParameters_HiddenSheetSAND!$B$3:$E$50,MATCH(VLOOKUP($I67,$I$5:$AJ$29,MATCH(VLOOKUP(K$37,$BH$3:$BI$50,2,FALSE),$I$4:$AJ$4,0),FALSE),BoundParameters_HiddenSheetCLAY!$B$1:$E$1,0),FALSE),IF(VLOOKUP($E67,'Table Output'!$A$2:$E$99998,5,FALSE)="Clay",VLOOKUP(K$37,BoundParameters_HiddenSheetCLAY!$B$3:$E$50,MATCH(VLOOKUP($I67,$I$5:$AJ$35,MATCH(VLOOKUP(K$37,$BH$3:$BI$50,2,FALSE),$I$4:$AJ$4,0),FALSE),BoundParameters_HiddenSheetCLAY!$B$1:$E$1,0),FALSE))),'Control Panel'!K67)))</f>
        <v/>
      </c>
      <c r="L67" s="44" t="str">
        <f>IF($I67="","",IF(L$37="","",IF('Control Panel'!L67="",IF(VLOOKUP($E67,'Table Output'!$A$2:$E$99998,5,FALSE)="Sand",VLOOKUP(L$37,BoundParameters_HiddenSheetSAND!$B$3:$E$50,MATCH(VLOOKUP($I67,$I$5:$AJ$29,MATCH(VLOOKUP(L$37,$BH$3:$BI$50,2,FALSE),$I$4:$AJ$4,0),FALSE),BoundParameters_HiddenSheetCLAY!$B$1:$E$1,0),FALSE),IF(VLOOKUP($E67,'Table Output'!$A$2:$E$99998,5,FALSE)="Clay",VLOOKUP(L$37,BoundParameters_HiddenSheetCLAY!$B$3:$E$50,MATCH(VLOOKUP($I67,$I$5:$AJ$35,MATCH(VLOOKUP(L$37,$BH$3:$BI$50,2,FALSE),$I$4:$AJ$4,0),FALSE),BoundParameters_HiddenSheetCLAY!$B$1:$E$1,0),FALSE))),'Control Panel'!L67)))</f>
        <v/>
      </c>
      <c r="M67" s="44" t="str">
        <f>IF($I67="","",IF(M$37="","",IF('Control Panel'!M67="",IF(VLOOKUP($E67,'Table Output'!$A$2:$E$99998,5,FALSE)="Sand",VLOOKUP(M$37,BoundParameters_HiddenSheetSAND!$B$3:$E$50,MATCH(VLOOKUP($I67,$I$5:$AJ$29,MATCH(VLOOKUP(M$37,$BH$3:$BI$50,2,FALSE),$I$4:$AJ$4,0),FALSE),BoundParameters_HiddenSheetCLAY!$B$1:$E$1,0),FALSE),IF(VLOOKUP($E67,'Table Output'!$A$2:$E$99998,5,FALSE)="Clay",VLOOKUP(M$37,BoundParameters_HiddenSheetCLAY!$B$3:$E$50,MATCH(VLOOKUP($I67,$I$5:$AJ$35,MATCH(VLOOKUP(M$37,$BH$3:$BI$50,2,FALSE),$I$4:$AJ$4,0),FALSE),BoundParameters_HiddenSheetCLAY!$B$1:$E$1,0),FALSE))),'Control Panel'!M67)))</f>
        <v/>
      </c>
      <c r="N67" s="44" t="str">
        <f>IF($I67="","",IF(N$37="","",IF('Control Panel'!N67="",IF(VLOOKUP($E67,'Table Output'!$A$2:$E$99998,5,FALSE)="Sand",VLOOKUP(N$37,BoundParameters_HiddenSheetSAND!$B$3:$E$50,MATCH(VLOOKUP($I67,$I$5:$AJ$29,MATCH(VLOOKUP(N$37,$BH$3:$BI$50,2,FALSE),$I$4:$AJ$4,0),FALSE),BoundParameters_HiddenSheetCLAY!$B$1:$E$1,0),FALSE),IF(VLOOKUP($E67,'Table Output'!$A$2:$E$99998,5,FALSE)="Clay",VLOOKUP(N$37,BoundParameters_HiddenSheetCLAY!$B$3:$E$50,MATCH(VLOOKUP($I67,$I$5:$AJ$35,MATCH(VLOOKUP(N$37,$BH$3:$BI$50,2,FALSE),$I$4:$AJ$4,0),FALSE),BoundParameters_HiddenSheetCLAY!$B$1:$E$1,0),FALSE))),'Control Panel'!N67)))</f>
        <v/>
      </c>
      <c r="O67" s="44" t="str">
        <f>IF($I67="","",IF(O$37="","",IF('Control Panel'!O67="",IF(VLOOKUP($E67,'Table Output'!$A$2:$E$99998,5,FALSE)="Sand",VLOOKUP(O$37,BoundParameters_HiddenSheetSAND!$B$3:$E$50,MATCH(VLOOKUP($I67,$I$5:$AJ$29,MATCH(VLOOKUP(O$37,$BH$3:$BI$50,2,FALSE),$I$4:$AJ$4,0),FALSE),BoundParameters_HiddenSheetCLAY!$B$1:$E$1,0),FALSE),IF(VLOOKUP($E67,'Table Output'!$A$2:$E$99998,5,FALSE)="Clay",VLOOKUP(O$37,BoundParameters_HiddenSheetCLAY!$B$3:$E$50,MATCH(VLOOKUP($I67,$I$5:$AJ$35,MATCH(VLOOKUP(O$37,$BH$3:$BI$50,2,FALSE),$I$4:$AJ$4,0),FALSE),BoundParameters_HiddenSheetCLAY!$B$1:$E$1,0),FALSE))),'Control Panel'!O67)))</f>
        <v/>
      </c>
      <c r="P67" s="44" t="str">
        <f>IF($I67="","",IF(P$37="","",IF('Control Panel'!P67="",IF(VLOOKUP($E67,'Table Output'!$A$2:$E$99998,5,FALSE)="Sand",VLOOKUP(P$37,BoundParameters_HiddenSheetSAND!$B$3:$E$50,MATCH(VLOOKUP($I67,$I$5:$AJ$29,MATCH(VLOOKUP(P$37,$BH$3:$BI$50,2,FALSE),$I$4:$AJ$4,0),FALSE),BoundParameters_HiddenSheetCLAY!$B$1:$E$1,0),FALSE),IF(VLOOKUP($E67,'Table Output'!$A$2:$E$99998,5,FALSE)="Clay",VLOOKUP(P$37,BoundParameters_HiddenSheetCLAY!$B$3:$E$50,MATCH(VLOOKUP($I67,$I$5:$AJ$35,MATCH(VLOOKUP(P$37,$BH$3:$BI$50,2,FALSE),$I$4:$AJ$4,0),FALSE),BoundParameters_HiddenSheetCLAY!$B$1:$E$1,0),FALSE))),'Control Panel'!P67)))</f>
        <v/>
      </c>
      <c r="Q67" s="44" t="str">
        <f>IF($I67="","",IF(Q$37="","",IF('Control Panel'!Q67="",IF(VLOOKUP($E67,'Table Output'!$A$2:$E$99998,5,FALSE)="Sand",VLOOKUP(Q$37,BoundParameters_HiddenSheetSAND!$B$3:$E$50,MATCH(VLOOKUP($I67,$I$5:$AJ$29,MATCH(VLOOKUP(Q$37,$BH$3:$BI$50,2,FALSE),$I$4:$AJ$4,0),FALSE),BoundParameters_HiddenSheetCLAY!$B$1:$E$1,0),FALSE),IF(VLOOKUP($E67,'Table Output'!$A$2:$E$99998,5,FALSE)="Clay",VLOOKUP(Q$37,BoundParameters_HiddenSheetCLAY!$B$3:$E$50,MATCH(VLOOKUP($I67,$I$5:$AJ$35,MATCH(VLOOKUP(Q$37,$BH$3:$BI$50,2,FALSE),$I$4:$AJ$4,0),FALSE),BoundParameters_HiddenSheetCLAY!$B$1:$E$1,0),FALSE))),'Control Panel'!Q67)))</f>
        <v/>
      </c>
      <c r="R67" s="44" t="str">
        <f>IF($I67="","",IF(R$37="","",IF('Control Panel'!R67="",IF(VLOOKUP($E67,'Table Output'!$A$2:$E$99998,5,FALSE)="Sand",VLOOKUP(R$37,BoundParameters_HiddenSheetSAND!$B$3:$E$50,MATCH(VLOOKUP($I67,$I$5:$AJ$29,MATCH(VLOOKUP(R$37,$BH$3:$BI$50,2,FALSE),$I$4:$AJ$4,0),FALSE),BoundParameters_HiddenSheetCLAY!$B$1:$E$1,0),FALSE),IF(VLOOKUP($E67,'Table Output'!$A$2:$E$99998,5,FALSE)="Clay",VLOOKUP(R$37,BoundParameters_HiddenSheetCLAY!$B$3:$E$50,MATCH(VLOOKUP($I67,$I$5:$AJ$35,MATCH(VLOOKUP(R$37,$BH$3:$BI$50,2,FALSE),$I$4:$AJ$4,0),FALSE),BoundParameters_HiddenSheetCLAY!$B$1:$E$1,0),FALSE))),'Control Panel'!R67)))</f>
        <v/>
      </c>
      <c r="S67" s="44" t="str">
        <f>IF($I67="","",IF(S$37="","",IF('Control Panel'!S67="",IF(VLOOKUP($E67,'Table Output'!$A$2:$E$99998,5,FALSE)="Sand",VLOOKUP(S$37,BoundParameters_HiddenSheetSAND!$B$3:$E$50,MATCH(VLOOKUP($I67,$I$5:$AJ$29,MATCH(VLOOKUP(S$37,$BH$3:$BI$50,2,FALSE),$I$4:$AJ$4,0),FALSE),BoundParameters_HiddenSheetCLAY!$B$1:$E$1,0),FALSE),IF(VLOOKUP($E67,'Table Output'!$A$2:$E$99998,5,FALSE)="Clay",VLOOKUP(S$37,BoundParameters_HiddenSheetCLAY!$B$3:$E$50,MATCH(VLOOKUP($I67,$I$5:$AJ$35,MATCH(VLOOKUP(S$37,$BH$3:$BI$50,2,FALSE),$I$4:$AJ$4,0),FALSE),BoundParameters_HiddenSheetCLAY!$B$1:$E$1,0),FALSE))),'Control Panel'!S67)))</f>
        <v/>
      </c>
    </row>
    <row r="68" spans="5:60" x14ac:dyDescent="0.15">
      <c r="I68" s="7"/>
      <c r="J68" s="44" t="str">
        <f>IF($I68="","",IF(J$37="","",IF('Control Panel'!J68="",IF(VLOOKUP($E68,'Table Output'!$A$2:$E$99998,5,FALSE)="Sand",VLOOKUP(J$37,BoundParameters_HiddenSheetSAND!$B$3:$E$50,MATCH(VLOOKUP($I68,$I$5:$AJ$29,MATCH(VLOOKUP(J$37,$BH$3:$BI$50,2,FALSE),$I$4:$AJ$4,0),FALSE),BoundParameters_HiddenSheetCLAY!$B$1:$E$1,0),FALSE),IF(VLOOKUP($E68,'Table Output'!$A$2:$E$99998,5,FALSE)="Clay",VLOOKUP(J$37,BoundParameters_HiddenSheetCLAY!$B$3:$E$50,MATCH(VLOOKUP($I68,$I$5:$AJ$35,MATCH(VLOOKUP(J$37,$BH$3:$BI$50,2,FALSE),$I$4:$AJ$4,0),FALSE),BoundParameters_HiddenSheetCLAY!$B$1:$E$1,0),FALSE))),'Control Panel'!J68)))</f>
        <v/>
      </c>
      <c r="K68" s="44" t="str">
        <f>IF($I68="","",IF(K$37="","",IF('Control Panel'!K68="",IF(VLOOKUP($E68,'Table Output'!$A$2:$E$99998,5,FALSE)="Sand",VLOOKUP(K$37,BoundParameters_HiddenSheetSAND!$B$3:$E$50,MATCH(VLOOKUP($I68,$I$5:$AJ$29,MATCH(VLOOKUP(K$37,$BH$3:$BI$50,2,FALSE),$I$4:$AJ$4,0),FALSE),BoundParameters_HiddenSheetCLAY!$B$1:$E$1,0),FALSE),IF(VLOOKUP($E68,'Table Output'!$A$2:$E$99998,5,FALSE)="Clay",VLOOKUP(K$37,BoundParameters_HiddenSheetCLAY!$B$3:$E$50,MATCH(VLOOKUP($I68,$I$5:$AJ$35,MATCH(VLOOKUP(K$37,$BH$3:$BI$50,2,FALSE),$I$4:$AJ$4,0),FALSE),BoundParameters_HiddenSheetCLAY!$B$1:$E$1,0),FALSE))),'Control Panel'!K68)))</f>
        <v/>
      </c>
      <c r="L68" s="44" t="str">
        <f>IF($I68="","",IF(L$37="","",IF('Control Panel'!L68="",IF(VLOOKUP($E68,'Table Output'!$A$2:$E$99998,5,FALSE)="Sand",VLOOKUP(L$37,BoundParameters_HiddenSheetSAND!$B$3:$E$50,MATCH(VLOOKUP($I68,$I$5:$AJ$29,MATCH(VLOOKUP(L$37,$BH$3:$BI$50,2,FALSE),$I$4:$AJ$4,0),FALSE),BoundParameters_HiddenSheetCLAY!$B$1:$E$1,0),FALSE),IF(VLOOKUP($E68,'Table Output'!$A$2:$E$99998,5,FALSE)="Clay",VLOOKUP(L$37,BoundParameters_HiddenSheetCLAY!$B$3:$E$50,MATCH(VLOOKUP($I68,$I$5:$AJ$35,MATCH(VLOOKUP(L$37,$BH$3:$BI$50,2,FALSE),$I$4:$AJ$4,0),FALSE),BoundParameters_HiddenSheetCLAY!$B$1:$E$1,0),FALSE))),'Control Panel'!L68)))</f>
        <v/>
      </c>
      <c r="M68" s="44" t="str">
        <f>IF($I68="","",IF(M$37="","",IF('Control Panel'!M68="",IF(VLOOKUP($E68,'Table Output'!$A$2:$E$99998,5,FALSE)="Sand",VLOOKUP(M$37,BoundParameters_HiddenSheetSAND!$B$3:$E$50,MATCH(VLOOKUP($I68,$I$5:$AJ$29,MATCH(VLOOKUP(M$37,$BH$3:$BI$50,2,FALSE),$I$4:$AJ$4,0),FALSE),BoundParameters_HiddenSheetCLAY!$B$1:$E$1,0),FALSE),IF(VLOOKUP($E68,'Table Output'!$A$2:$E$99998,5,FALSE)="Clay",VLOOKUP(M$37,BoundParameters_HiddenSheetCLAY!$B$3:$E$50,MATCH(VLOOKUP($I68,$I$5:$AJ$35,MATCH(VLOOKUP(M$37,$BH$3:$BI$50,2,FALSE),$I$4:$AJ$4,0),FALSE),BoundParameters_HiddenSheetCLAY!$B$1:$E$1,0),FALSE))),'Control Panel'!M68)))</f>
        <v/>
      </c>
      <c r="N68" s="44" t="str">
        <f>IF($I68="","",IF(N$37="","",IF('Control Panel'!N68="",IF(VLOOKUP($E68,'Table Output'!$A$2:$E$99998,5,FALSE)="Sand",VLOOKUP(N$37,BoundParameters_HiddenSheetSAND!$B$3:$E$50,MATCH(VLOOKUP($I68,$I$5:$AJ$29,MATCH(VLOOKUP(N$37,$BH$3:$BI$50,2,FALSE),$I$4:$AJ$4,0),FALSE),BoundParameters_HiddenSheetCLAY!$B$1:$E$1,0),FALSE),IF(VLOOKUP($E68,'Table Output'!$A$2:$E$99998,5,FALSE)="Clay",VLOOKUP(N$37,BoundParameters_HiddenSheetCLAY!$B$3:$E$50,MATCH(VLOOKUP($I68,$I$5:$AJ$35,MATCH(VLOOKUP(N$37,$BH$3:$BI$50,2,FALSE),$I$4:$AJ$4,0),FALSE),BoundParameters_HiddenSheetCLAY!$B$1:$E$1,0),FALSE))),'Control Panel'!N68)))</f>
        <v/>
      </c>
      <c r="O68" s="44" t="str">
        <f>IF($I68="","",IF(O$37="","",IF('Control Panel'!O68="",IF(VLOOKUP($E68,'Table Output'!$A$2:$E$99998,5,FALSE)="Sand",VLOOKUP(O$37,BoundParameters_HiddenSheetSAND!$B$3:$E$50,MATCH(VLOOKUP($I68,$I$5:$AJ$29,MATCH(VLOOKUP(O$37,$BH$3:$BI$50,2,FALSE),$I$4:$AJ$4,0),FALSE),BoundParameters_HiddenSheetCLAY!$B$1:$E$1,0),FALSE),IF(VLOOKUP($E68,'Table Output'!$A$2:$E$99998,5,FALSE)="Clay",VLOOKUP(O$37,BoundParameters_HiddenSheetCLAY!$B$3:$E$50,MATCH(VLOOKUP($I68,$I$5:$AJ$35,MATCH(VLOOKUP(O$37,$BH$3:$BI$50,2,FALSE),$I$4:$AJ$4,0),FALSE),BoundParameters_HiddenSheetCLAY!$B$1:$E$1,0),FALSE))),'Control Panel'!O68)))</f>
        <v/>
      </c>
      <c r="P68" s="44" t="str">
        <f>IF($I68="","",IF(P$37="","",IF('Control Panel'!P68="",IF(VLOOKUP($E68,'Table Output'!$A$2:$E$99998,5,FALSE)="Sand",VLOOKUP(P$37,BoundParameters_HiddenSheetSAND!$B$3:$E$50,MATCH(VLOOKUP($I68,$I$5:$AJ$29,MATCH(VLOOKUP(P$37,$BH$3:$BI$50,2,FALSE),$I$4:$AJ$4,0),FALSE),BoundParameters_HiddenSheetCLAY!$B$1:$E$1,0),FALSE),IF(VLOOKUP($E68,'Table Output'!$A$2:$E$99998,5,FALSE)="Clay",VLOOKUP(P$37,BoundParameters_HiddenSheetCLAY!$B$3:$E$50,MATCH(VLOOKUP($I68,$I$5:$AJ$35,MATCH(VLOOKUP(P$37,$BH$3:$BI$50,2,FALSE),$I$4:$AJ$4,0),FALSE),BoundParameters_HiddenSheetCLAY!$B$1:$E$1,0),FALSE))),'Control Panel'!P68)))</f>
        <v/>
      </c>
      <c r="Q68" s="44" t="str">
        <f>IF($I68="","",IF(Q$37="","",IF('Control Panel'!Q68="",IF(VLOOKUP($E68,'Table Output'!$A$2:$E$99998,5,FALSE)="Sand",VLOOKUP(Q$37,BoundParameters_HiddenSheetSAND!$B$3:$E$50,MATCH(VLOOKUP($I68,$I$5:$AJ$29,MATCH(VLOOKUP(Q$37,$BH$3:$BI$50,2,FALSE),$I$4:$AJ$4,0),FALSE),BoundParameters_HiddenSheetCLAY!$B$1:$E$1,0),FALSE),IF(VLOOKUP($E68,'Table Output'!$A$2:$E$99998,5,FALSE)="Clay",VLOOKUP(Q$37,BoundParameters_HiddenSheetCLAY!$B$3:$E$50,MATCH(VLOOKUP($I68,$I$5:$AJ$35,MATCH(VLOOKUP(Q$37,$BH$3:$BI$50,2,FALSE),$I$4:$AJ$4,0),FALSE),BoundParameters_HiddenSheetCLAY!$B$1:$E$1,0),FALSE))),'Control Panel'!Q68)))</f>
        <v/>
      </c>
      <c r="R68" s="44" t="str">
        <f>IF($I68="","",IF(R$37="","",IF('Control Panel'!R68="",IF(VLOOKUP($E68,'Table Output'!$A$2:$E$99998,5,FALSE)="Sand",VLOOKUP(R$37,BoundParameters_HiddenSheetSAND!$B$3:$E$50,MATCH(VLOOKUP($I68,$I$5:$AJ$29,MATCH(VLOOKUP(R$37,$BH$3:$BI$50,2,FALSE),$I$4:$AJ$4,0),FALSE),BoundParameters_HiddenSheetCLAY!$B$1:$E$1,0),FALSE),IF(VLOOKUP($E68,'Table Output'!$A$2:$E$99998,5,FALSE)="Clay",VLOOKUP(R$37,BoundParameters_HiddenSheetCLAY!$B$3:$E$50,MATCH(VLOOKUP($I68,$I$5:$AJ$35,MATCH(VLOOKUP(R$37,$BH$3:$BI$50,2,FALSE),$I$4:$AJ$4,0),FALSE),BoundParameters_HiddenSheetCLAY!$B$1:$E$1,0),FALSE))),'Control Panel'!R68)))</f>
        <v/>
      </c>
      <c r="S68" s="44" t="str">
        <f>IF($I68="","",IF(S$37="","",IF('Control Panel'!S68="",IF(VLOOKUP($E68,'Table Output'!$A$2:$E$99998,5,FALSE)="Sand",VLOOKUP(S$37,BoundParameters_HiddenSheetSAND!$B$3:$E$50,MATCH(VLOOKUP($I68,$I$5:$AJ$29,MATCH(VLOOKUP(S$37,$BH$3:$BI$50,2,FALSE),$I$4:$AJ$4,0),FALSE),BoundParameters_HiddenSheetCLAY!$B$1:$E$1,0),FALSE),IF(VLOOKUP($E68,'Table Output'!$A$2:$E$99998,5,FALSE)="Clay",VLOOKUP(S$37,BoundParameters_HiddenSheetCLAY!$B$3:$E$50,MATCH(VLOOKUP($I68,$I$5:$AJ$35,MATCH(VLOOKUP(S$37,$BH$3:$BI$50,2,FALSE),$I$4:$AJ$4,0),FALSE),BoundParameters_HiddenSheetCLAY!$B$1:$E$1,0),FALSE))),'Control Panel'!S68)))</f>
        <v/>
      </c>
    </row>
    <row r="70" spans="5:60" ht="12" thickBot="1" x14ac:dyDescent="0.2"/>
    <row r="71" spans="5:60" ht="12" thickBot="1" x14ac:dyDescent="0.2">
      <c r="I71" s="121" t="s">
        <v>178</v>
      </c>
      <c r="J71" s="122"/>
      <c r="K71" s="122"/>
      <c r="L71" s="122"/>
      <c r="M71" s="122"/>
      <c r="N71" s="122"/>
      <c r="O71" s="122"/>
      <c r="P71" s="122"/>
      <c r="Q71" s="122"/>
      <c r="R71" s="122"/>
      <c r="S71" s="123"/>
      <c r="BH71" s="2" t="s">
        <v>183</v>
      </c>
    </row>
    <row r="72" spans="5:60" ht="12" thickBot="1" x14ac:dyDescent="0.2">
      <c r="I72" s="31" t="s">
        <v>83</v>
      </c>
      <c r="J72" s="32" t="str">
        <f>J37</f>
        <v>y_u_1</v>
      </c>
      <c r="K72" s="32" t="str">
        <f t="shared" ref="K72:S72" si="6">K37</f>
        <v>p_u_1</v>
      </c>
      <c r="L72" s="32" t="str">
        <f t="shared" si="6"/>
        <v>k_p_1</v>
      </c>
      <c r="M72" s="32" t="str">
        <f t="shared" si="6"/>
        <v>n_p_1</v>
      </c>
      <c r="N72" s="32" t="str">
        <f t="shared" si="6"/>
        <v>k_p_2</v>
      </c>
      <c r="O72" s="32" t="str">
        <f t="shared" si="6"/>
        <v/>
      </c>
      <c r="P72" s="32" t="str">
        <f t="shared" si="6"/>
        <v/>
      </c>
      <c r="Q72" s="32" t="str">
        <f t="shared" si="6"/>
        <v/>
      </c>
      <c r="R72" s="32" t="str">
        <f t="shared" si="6"/>
        <v/>
      </c>
      <c r="S72" s="32" t="str">
        <f t="shared" si="6"/>
        <v/>
      </c>
    </row>
    <row r="73" spans="5:60" x14ac:dyDescent="0.15">
      <c r="E73" s="2" t="str">
        <f>E38</f>
        <v>Cowden_Clay</v>
      </c>
      <c r="I73" s="7">
        <f>I38</f>
        <v>1</v>
      </c>
      <c r="J73" s="44">
        <f>IF($I73="","",IF(J$37="","",IF('Control Panel'!J73="",IF(VLOOKUP($E38,'Table Output'!$A$2:$E$99998,5,FALSE)="Sand",VLOOKUP(J$37,BoundParameters_HiddenSheetSAND!$I$3:$L$50,MATCH(VLOOKUP($I73,$I$5:$AJ$34,MATCH(VLOOKUP(J$37,$BH$3:$BI$50,2,FALSE),$I$4:$AJ$4,0),FALSE),BoundParameters_HiddenSheetCLAY!$I$1:$L$1,0),FALSE),IF(VLOOKUP($E38,'Table Output'!$A$2:$E$9998,5,FALSE)="Clay",VLOOKUP(J$37,BoundParameters_HiddenSheetCLAY!$I$3:$L$50,MATCH(VLOOKUP($I73,$I$5:$AJ$34,MATCH(VLOOKUP(J$37,$BH$3:$BI$50,2,FALSE),$I$4:$AJ$4,0),FALSE),BoundParameters_HiddenSheetCLAY!$I$1:$L$1,0),FALSE))),'Control Panel'!J73)))</f>
        <v>200</v>
      </c>
      <c r="K73" s="44">
        <f>IF($I73="","",IF(K$37="","",IF('Control Panel'!K73="",IF(VLOOKUP($E38,'Table Output'!$A$2:$E$99998,5,FALSE)="Sand",VLOOKUP(K$37,BoundParameters_HiddenSheetSAND!$I$3:$L$50,MATCH(VLOOKUP($I73,$I$5:$AJ$34,MATCH(VLOOKUP(K$37,$BH$3:$BI$50,2,FALSE),$I$4:$AJ$4,0),FALSE),BoundParameters_HiddenSheetCLAY!$I$1:$L$1,0),FALSE),IF(VLOOKUP($E38,'Table Output'!$A$2:$E$9998,5,FALSE)="Clay",VLOOKUP(K$37,BoundParameters_HiddenSheetCLAY!$I$3:$L$50,MATCH(VLOOKUP($I73,$I$5:$AJ$34,MATCH(VLOOKUP(K$37,$BH$3:$BI$50,2,FALSE),$I$4:$AJ$4,0),FALSE),BoundParameters_HiddenSheetCLAY!$I$1:$L$1,0),FALSE))),'Control Panel'!K73)))</f>
        <v>15.832000000000001</v>
      </c>
      <c r="L73" s="44">
        <f>IF($I73="","",IF(L$37="","",IF('Control Panel'!L73="",IF(VLOOKUP($E38,'Table Output'!$A$2:$E$99998,5,FALSE)="Sand",VLOOKUP(L$37,BoundParameters_HiddenSheetSAND!$I$3:$L$50,MATCH(VLOOKUP($I73,$I$5:$AJ$34,MATCH(VLOOKUP(L$37,$BH$3:$BI$50,2,FALSE),$I$4:$AJ$4,0),FALSE),BoundParameters_HiddenSheetCLAY!$I$1:$L$1,0),FALSE),IF(VLOOKUP($E38,'Table Output'!$A$2:$E$9998,5,FALSE)="Clay",VLOOKUP(L$37,BoundParameters_HiddenSheetCLAY!$I$3:$L$50,MATCH(VLOOKUP($I73,$I$5:$AJ$34,MATCH(VLOOKUP(L$37,$BH$3:$BI$50,2,FALSE),$I$4:$AJ$4,0),FALSE),BoundParameters_HiddenSheetCLAY!$I$1:$L$1,0),FALSE))),'Control Panel'!L73)))</f>
        <v>0.5</v>
      </c>
      <c r="M73" s="44">
        <f>IF($I73="","",IF(M$37="","",IF('Control Panel'!M73="",IF(VLOOKUP($E38,'Table Output'!$A$2:$E$99998,5,FALSE)="Sand",VLOOKUP(M$37,BoundParameters_HiddenSheetSAND!$I$3:$L$50,MATCH(VLOOKUP($I73,$I$5:$AJ$34,MATCH(VLOOKUP(M$37,$BH$3:$BI$50,2,FALSE),$I$4:$AJ$4,0),FALSE),BoundParameters_HiddenSheetCLAY!$I$1:$L$1,0),FALSE),IF(VLOOKUP($E38,'Table Output'!$A$2:$E$9998,5,FALSE)="Clay",VLOOKUP(M$37,BoundParameters_HiddenSheetCLAY!$I$3:$L$50,MATCH(VLOOKUP($I73,$I$5:$AJ$34,MATCH(VLOOKUP(M$37,$BH$3:$BI$50,2,FALSE),$I$4:$AJ$4,0),FALSE),BoundParameters_HiddenSheetCLAY!$I$1:$L$1,0),FALSE))),'Control Panel'!M73)))</f>
        <v>0</v>
      </c>
      <c r="N73" s="44">
        <f>IF($I73="","",IF(N$37="","",IF('Control Panel'!N73="",IF(VLOOKUP($E38,'Table Output'!$A$2:$E$99998,5,FALSE)="Sand",VLOOKUP(N$37,BoundParameters_HiddenSheetSAND!$I$3:$L$50,MATCH(VLOOKUP($I73,$I$5:$AJ$34,MATCH(VLOOKUP(N$37,$BH$3:$BI$50,2,FALSE),$I$4:$AJ$4,0),FALSE),BoundParameters_HiddenSheetCLAY!$I$1:$L$1,0),FALSE),IF(VLOOKUP($E38,'Table Output'!$A$2:$E$9998,5,FALSE)="Clay",VLOOKUP(N$37,BoundParameters_HiddenSheetCLAY!$I$3:$L$50,MATCH(VLOOKUP($I73,$I$5:$AJ$34,MATCH(VLOOKUP(N$37,$BH$3:$BI$50,2,FALSE),$I$4:$AJ$4,0),FALSE),BoundParameters_HiddenSheetCLAY!$I$1:$L$1,0),FALSE))),'Control Panel'!N73)))</f>
        <v>14.4</v>
      </c>
      <c r="O73" s="44" t="str">
        <f>IF($I73="","",IF(O$37="","",IF('Control Panel'!O73="",IF(VLOOKUP($E38,'Table Output'!$A$2:$E$99998,5,FALSE)="Sand",VLOOKUP(O$37,BoundParameters_HiddenSheetSAND!$I$3:$L$50,MATCH(VLOOKUP($I73,$I$5:$AJ$34,MATCH(VLOOKUP(O$37,$BH$3:$BI$50,2,FALSE),$I$4:$AJ$4,0),FALSE),BoundParameters_HiddenSheetCLAY!$I$1:$L$1,0),FALSE),IF(VLOOKUP($E38,'Table Output'!$A$2:$E$9998,5,FALSE)="Clay",VLOOKUP(O$37,BoundParameters_HiddenSheetCLAY!$I$3:$L$50,MATCH(VLOOKUP($I73,$I$5:$AJ$34,MATCH(VLOOKUP(O$37,$BH$3:$BI$50,2,FALSE),$I$4:$AJ$4,0),FALSE),BoundParameters_HiddenSheetCLAY!$I$1:$L$1,0),FALSE))),'Control Panel'!O73)))</f>
        <v/>
      </c>
      <c r="P73" s="44" t="str">
        <f>IF($I73="","",IF(P$37="","",IF('Control Panel'!P73="",IF(VLOOKUP($E38,'Table Output'!$A$2:$E$99998,5,FALSE)="Sand",VLOOKUP(P$37,BoundParameters_HiddenSheetSAND!$I$3:$L$50,MATCH(VLOOKUP($I73,$I$5:$AJ$34,MATCH(VLOOKUP(P$37,$BH$3:$BI$50,2,FALSE),$I$4:$AJ$4,0),FALSE),BoundParameters_HiddenSheetCLAY!$I$1:$L$1,0),FALSE),IF(VLOOKUP($E38,'Table Output'!$A$2:$E$9998,5,FALSE)="Clay",VLOOKUP(P$37,BoundParameters_HiddenSheetCLAY!$I$3:$L$50,MATCH(VLOOKUP($I73,$I$5:$AJ$34,MATCH(VLOOKUP(P$37,$BH$3:$BI$50,2,FALSE),$I$4:$AJ$4,0),FALSE),BoundParameters_HiddenSheetCLAY!$I$1:$L$1,0),FALSE))),'Control Panel'!P73)))</f>
        <v/>
      </c>
      <c r="Q73" s="44" t="str">
        <f>IF($I73="","",IF(Q$37="","",IF('Control Panel'!Q73="",IF(VLOOKUP($E38,'Table Output'!$A$2:$E$99998,5,FALSE)="Sand",VLOOKUP(Q$37,BoundParameters_HiddenSheetSAND!$I$3:$L$50,MATCH(VLOOKUP($I73,$I$5:$AJ$34,MATCH(VLOOKUP(Q$37,$BH$3:$BI$50,2,FALSE),$I$4:$AJ$4,0),FALSE),BoundParameters_HiddenSheetCLAY!$I$1:$L$1,0),FALSE),IF(VLOOKUP($E38,'Table Output'!$A$2:$E$9998,5,FALSE)="Clay",VLOOKUP(Q$37,BoundParameters_HiddenSheetCLAY!$I$3:$L$50,MATCH(VLOOKUP($I73,$I$5:$AJ$34,MATCH(VLOOKUP(Q$37,$BH$3:$BI$50,2,FALSE),$I$4:$AJ$4,0),FALSE),BoundParameters_HiddenSheetCLAY!$I$1:$L$1,0),FALSE))),'Control Panel'!Q73)))</f>
        <v/>
      </c>
      <c r="R73" s="44" t="str">
        <f>IF($I73="","",IF(R$37="","",IF('Control Panel'!R73="",IF(VLOOKUP($E38,'Table Output'!$A$2:$E$99998,5,FALSE)="Sand",VLOOKUP(R$37,BoundParameters_HiddenSheetSAND!$I$3:$L$50,MATCH(VLOOKUP($I73,$I$5:$AJ$34,MATCH(VLOOKUP(R$37,$BH$3:$BI$50,2,FALSE),$I$4:$AJ$4,0),FALSE),BoundParameters_HiddenSheetCLAY!$I$1:$L$1,0),FALSE),IF(VLOOKUP($E38,'Table Output'!$A$2:$E$9998,5,FALSE)="Clay",VLOOKUP(R$37,BoundParameters_HiddenSheetCLAY!$I$3:$L$50,MATCH(VLOOKUP($I73,$I$5:$AJ$34,MATCH(VLOOKUP(R$37,$BH$3:$BI$50,2,FALSE),$I$4:$AJ$4,0),FALSE),BoundParameters_HiddenSheetCLAY!$I$1:$L$1,0),FALSE))),'Control Panel'!R73)))</f>
        <v/>
      </c>
      <c r="S73" s="44" t="str">
        <f>IF($I73="","",IF(S$37="","",IF('Control Panel'!S73="",IF(VLOOKUP($E38,'Table Output'!$A$2:$E$99998,5,FALSE)="Sand",VLOOKUP(S$37,BoundParameters_HiddenSheetSAND!$I$3:$L$50,MATCH(VLOOKUP($I73,$I$5:$AJ$34,MATCH(VLOOKUP(S$37,$BH$3:$BI$50,2,FALSE),$I$4:$AJ$4,0),FALSE),BoundParameters_HiddenSheetCLAY!$I$1:$L$1,0),FALSE),IF(VLOOKUP($E38,'Table Output'!$A$2:$E$9998,5,FALSE)="Clay",VLOOKUP(S$37,BoundParameters_HiddenSheetCLAY!$I$3:$L$50,MATCH(VLOOKUP($I73,$I$5:$AJ$34,MATCH(VLOOKUP(S$37,$BH$3:$BI$50,2,FALSE),$I$4:$AJ$4,0),FALSE),BoundParameters_HiddenSheetCLAY!$I$1:$L$1,0),FALSE))),'Control Panel'!S73)))</f>
        <v/>
      </c>
    </row>
    <row r="74" spans="5:60" x14ac:dyDescent="0.15">
      <c r="E74" s="2" t="str">
        <f t="shared" ref="E74:I89" si="7">E39</f>
        <v>Sand_75</v>
      </c>
      <c r="I74" s="7">
        <f t="shared" si="7"/>
        <v>2</v>
      </c>
      <c r="J74" s="44">
        <f>IF($I74="","",IF(J$37="","",IF('Control Panel'!J74="",IF(VLOOKUP($E39,'Table Output'!$A$2:$E$99998,5,FALSE)="Sand",VLOOKUP(J$37,BoundParameters_HiddenSheetSAND!$I$3:$L$50,MATCH(VLOOKUP($I74,$I$5:$AJ$34,MATCH(VLOOKUP(J$37,$BH$3:$BI$50,2,FALSE),$I$4:$AJ$4,0),FALSE),BoundParameters_HiddenSheetCLAY!$I$1:$L$1,0),FALSE),IF(VLOOKUP($E39,'Table Output'!$A$2:$E$9998,5,FALSE)="Clay",VLOOKUP(J$37,BoundParameters_HiddenSheetCLAY!$I$3:$L$50,MATCH(VLOOKUP($I74,$I$5:$AJ$34,MATCH(VLOOKUP(J$37,$BH$3:$BI$50,2,FALSE),$I$4:$AJ$4,0),FALSE),BoundParameters_HiddenSheetCLAY!$I$1:$L$1,0),FALSE))),'Control Panel'!J74)))</f>
        <v>700</v>
      </c>
      <c r="K74" s="44">
        <f>IF($I74="","",IF(K$37="","",IF('Control Panel'!K74="",IF(VLOOKUP($E39,'Table Output'!$A$2:$E$99998,5,FALSE)="Sand",VLOOKUP(K$37,BoundParameters_HiddenSheetSAND!$I$3:$L$50,MATCH(VLOOKUP($I74,$I$5:$AJ$34,MATCH(VLOOKUP(K$37,$BH$3:$BI$50,2,FALSE),$I$4:$AJ$4,0),FALSE),BoundParameters_HiddenSheetCLAY!$I$1:$L$1,0),FALSE),IF(VLOOKUP($E39,'Table Output'!$A$2:$E$9998,5,FALSE)="Clay",VLOOKUP(K$37,BoundParameters_HiddenSheetCLAY!$I$3:$L$50,MATCH(VLOOKUP($I74,$I$5:$AJ$34,MATCH(VLOOKUP(K$37,$BH$3:$BI$50,2,FALSE),$I$4:$AJ$4,0),FALSE),BoundParameters_HiddenSheetCLAY!$I$1:$L$1,0),FALSE))),'Control Panel'!K74)))</f>
        <v>300</v>
      </c>
      <c r="L74" s="44">
        <f>IF($I74="","",IF(L$37="","",IF('Control Panel'!L74="",IF(VLOOKUP($E39,'Table Output'!$A$2:$E$99998,5,FALSE)="Sand",VLOOKUP(L$37,BoundParameters_HiddenSheetSAND!$I$3:$L$50,MATCH(VLOOKUP($I74,$I$5:$AJ$34,MATCH(VLOOKUP(L$37,$BH$3:$BI$50,2,FALSE),$I$4:$AJ$4,0),FALSE),BoundParameters_HiddenSheetCLAY!$I$1:$L$1,0),FALSE),IF(VLOOKUP($E39,'Table Output'!$A$2:$E$9998,5,FALSE)="Clay",VLOOKUP(L$37,BoundParameters_HiddenSheetCLAY!$I$3:$L$50,MATCH(VLOOKUP($I74,$I$5:$AJ$34,MATCH(VLOOKUP(L$37,$BH$3:$BI$50,2,FALSE),$I$4:$AJ$4,0),FALSE),BoundParameters_HiddenSheetCLAY!$I$1:$L$1,0),FALSE))),'Control Panel'!L74)))</f>
        <v>50</v>
      </c>
      <c r="M74" s="44">
        <f>IF($I74="","",IF(M$37="","",IF('Control Panel'!M74="",IF(VLOOKUP($E39,'Table Output'!$A$2:$E$99998,5,FALSE)="Sand",VLOOKUP(M$37,BoundParameters_HiddenSheetSAND!$I$3:$L$50,MATCH(VLOOKUP($I74,$I$5:$AJ$34,MATCH(VLOOKUP(M$37,$BH$3:$BI$50,2,FALSE),$I$4:$AJ$4,0),FALSE),BoundParameters_HiddenSheetCLAY!$I$1:$L$1,0),FALSE),IF(VLOOKUP($E39,'Table Output'!$A$2:$E$9998,5,FALSE)="Clay",VLOOKUP(M$37,BoundParameters_HiddenSheetCLAY!$I$3:$L$50,MATCH(VLOOKUP($I74,$I$5:$AJ$34,MATCH(VLOOKUP(M$37,$BH$3:$BI$50,2,FALSE),$I$4:$AJ$4,0),FALSE),BoundParameters_HiddenSheetCLAY!$I$1:$L$1,0),FALSE))),'Control Panel'!M74)))</f>
        <v>1</v>
      </c>
      <c r="N74" s="44">
        <f>IF($I74="","",IF(N$37="","",IF('Control Panel'!N74="",IF(VLOOKUP($E39,'Table Output'!$A$2:$E$99998,5,FALSE)="Sand",VLOOKUP(N$37,BoundParameters_HiddenSheetSAND!$I$3:$L$50,MATCH(VLOOKUP($I74,$I$5:$AJ$34,MATCH(VLOOKUP(N$37,$BH$3:$BI$50,2,FALSE),$I$4:$AJ$4,0),FALSE),BoundParameters_HiddenSheetCLAY!$I$1:$L$1,0),FALSE),IF(VLOOKUP($E39,'Table Output'!$A$2:$E$9998,5,FALSE)="Clay",VLOOKUP(N$37,BoundParameters_HiddenSheetCLAY!$I$3:$L$50,MATCH(VLOOKUP($I74,$I$5:$AJ$34,MATCH(VLOOKUP(N$37,$BH$3:$BI$50,2,FALSE),$I$4:$AJ$4,0),FALSE),BoundParameters_HiddenSheetCLAY!$I$1:$L$1,0),FALSE))),'Control Panel'!N74)))</f>
        <v>50</v>
      </c>
      <c r="O74" s="44" t="str">
        <f>IF($I74="","",IF(O$37="","",IF('Control Panel'!O74="",IF(VLOOKUP($E39,'Table Output'!$A$2:$E$99998,5,FALSE)="Sand",VLOOKUP(O$37,BoundParameters_HiddenSheetSAND!$I$3:$L$50,MATCH(VLOOKUP($I74,$I$5:$AJ$34,MATCH(VLOOKUP(O$37,$BH$3:$BI$50,2,FALSE),$I$4:$AJ$4,0),FALSE),BoundParameters_HiddenSheetCLAY!$I$1:$L$1,0),FALSE),IF(VLOOKUP($E39,'Table Output'!$A$2:$E$9998,5,FALSE)="Clay",VLOOKUP(O$37,BoundParameters_HiddenSheetCLAY!$I$3:$L$50,MATCH(VLOOKUP($I74,$I$5:$AJ$34,MATCH(VLOOKUP(O$37,$BH$3:$BI$50,2,FALSE),$I$4:$AJ$4,0),FALSE),BoundParameters_HiddenSheetCLAY!$I$1:$L$1,0),FALSE))),'Control Panel'!O74)))</f>
        <v/>
      </c>
      <c r="P74" s="44" t="str">
        <f>IF($I74="","",IF(P$37="","",IF('Control Panel'!P74="",IF(VLOOKUP($E39,'Table Output'!$A$2:$E$99998,5,FALSE)="Sand",VLOOKUP(P$37,BoundParameters_HiddenSheetSAND!$I$3:$L$50,MATCH(VLOOKUP($I74,$I$5:$AJ$34,MATCH(VLOOKUP(P$37,$BH$3:$BI$50,2,FALSE),$I$4:$AJ$4,0),FALSE),BoundParameters_HiddenSheetCLAY!$I$1:$L$1,0),FALSE),IF(VLOOKUP($E39,'Table Output'!$A$2:$E$9998,5,FALSE)="Clay",VLOOKUP(P$37,BoundParameters_HiddenSheetCLAY!$I$3:$L$50,MATCH(VLOOKUP($I74,$I$5:$AJ$34,MATCH(VLOOKUP(P$37,$BH$3:$BI$50,2,FALSE),$I$4:$AJ$4,0),FALSE),BoundParameters_HiddenSheetCLAY!$I$1:$L$1,0),FALSE))),'Control Panel'!P74)))</f>
        <v/>
      </c>
      <c r="Q74" s="44" t="str">
        <f>IF($I74="","",IF(Q$37="","",IF('Control Panel'!Q74="",IF(VLOOKUP($E39,'Table Output'!$A$2:$E$99998,5,FALSE)="Sand",VLOOKUP(Q$37,BoundParameters_HiddenSheetSAND!$I$3:$L$50,MATCH(VLOOKUP($I74,$I$5:$AJ$34,MATCH(VLOOKUP(Q$37,$BH$3:$BI$50,2,FALSE),$I$4:$AJ$4,0),FALSE),BoundParameters_HiddenSheetCLAY!$I$1:$L$1,0),FALSE),IF(VLOOKUP($E39,'Table Output'!$A$2:$E$9998,5,FALSE)="Clay",VLOOKUP(Q$37,BoundParameters_HiddenSheetCLAY!$I$3:$L$50,MATCH(VLOOKUP($I74,$I$5:$AJ$34,MATCH(VLOOKUP(Q$37,$BH$3:$BI$50,2,FALSE),$I$4:$AJ$4,0),FALSE),BoundParameters_HiddenSheetCLAY!$I$1:$L$1,0),FALSE))),'Control Panel'!Q74)))</f>
        <v/>
      </c>
      <c r="R74" s="44" t="str">
        <f>IF($I74="","",IF(R$37="","",IF('Control Panel'!R74="",IF(VLOOKUP($E39,'Table Output'!$A$2:$E$99998,5,FALSE)="Sand",VLOOKUP(R$37,BoundParameters_HiddenSheetSAND!$I$3:$L$50,MATCH(VLOOKUP($I74,$I$5:$AJ$34,MATCH(VLOOKUP(R$37,$BH$3:$BI$50,2,FALSE),$I$4:$AJ$4,0),FALSE),BoundParameters_HiddenSheetCLAY!$I$1:$L$1,0),FALSE),IF(VLOOKUP($E39,'Table Output'!$A$2:$E$9998,5,FALSE)="Clay",VLOOKUP(R$37,BoundParameters_HiddenSheetCLAY!$I$3:$L$50,MATCH(VLOOKUP($I74,$I$5:$AJ$34,MATCH(VLOOKUP(R$37,$BH$3:$BI$50,2,FALSE),$I$4:$AJ$4,0),FALSE),BoundParameters_HiddenSheetCLAY!$I$1:$L$1,0),FALSE))),'Control Panel'!R74)))</f>
        <v/>
      </c>
      <c r="S74" s="44" t="str">
        <f>IF($I74="","",IF(S$37="","",IF('Control Panel'!S74="",IF(VLOOKUP($E39,'Table Output'!$A$2:$E$99998,5,FALSE)="Sand",VLOOKUP(S$37,BoundParameters_HiddenSheetSAND!$I$3:$L$50,MATCH(VLOOKUP($I74,$I$5:$AJ$34,MATCH(VLOOKUP(S$37,$BH$3:$BI$50,2,FALSE),$I$4:$AJ$4,0),FALSE),BoundParameters_HiddenSheetCLAY!$I$1:$L$1,0),FALSE),IF(VLOOKUP($E39,'Table Output'!$A$2:$E$9998,5,FALSE)="Clay",VLOOKUP(S$37,BoundParameters_HiddenSheetCLAY!$I$3:$L$50,MATCH(VLOOKUP($I74,$I$5:$AJ$34,MATCH(VLOOKUP(S$37,$BH$3:$BI$50,2,FALSE),$I$4:$AJ$4,0),FALSE),BoundParameters_HiddenSheetCLAY!$I$1:$L$1,0),FALSE))),'Control Panel'!S74)))</f>
        <v/>
      </c>
      <c r="U74" s="58"/>
    </row>
    <row r="75" spans="5:60" x14ac:dyDescent="0.15">
      <c r="E75" s="2" t="str">
        <f t="shared" si="7"/>
        <v/>
      </c>
      <c r="I75" s="7" t="str">
        <f t="shared" si="7"/>
        <v/>
      </c>
      <c r="J75" s="44" t="str">
        <f>IF($I75="","",IF(J$37="","",IF('Control Panel'!J75="",IF(VLOOKUP($E40,'Table Output'!$A$2:$E$99998,5,FALSE)="Sand",VLOOKUP(J$37,BoundParameters_HiddenSheetSAND!$I$3:$L$50,MATCH(VLOOKUP($I75,$I$5:$AJ$34,MATCH(VLOOKUP(J$37,$BH$3:$BI$50,2,FALSE),$I$4:$AJ$4,0),FALSE),BoundParameters_HiddenSheetCLAY!$I$1:$L$1,0),FALSE),IF(VLOOKUP($E40,'Table Output'!$A$2:$E$9998,5,FALSE)="Clay",VLOOKUP(J$37,BoundParameters_HiddenSheetCLAY!$I$3:$L$50,MATCH(VLOOKUP($I75,$I$5:$AJ$34,MATCH(VLOOKUP(J$37,$BH$3:$BI$50,2,FALSE),$I$4:$AJ$4,0),FALSE),BoundParameters_HiddenSheetCLAY!$I$1:$L$1,0),FALSE))),'Control Panel'!J75)))</f>
        <v/>
      </c>
      <c r="K75" s="44" t="str">
        <f>IF($I75="","",IF(K$37="","",IF('Control Panel'!K75="",IF(VLOOKUP($E40,'Table Output'!$A$2:$E$99998,5,FALSE)="Sand",VLOOKUP(K$37,BoundParameters_HiddenSheetSAND!$I$3:$L$50,MATCH(VLOOKUP($I75,$I$5:$AJ$34,MATCH(VLOOKUP(K$37,$BH$3:$BI$50,2,FALSE),$I$4:$AJ$4,0),FALSE),BoundParameters_HiddenSheetCLAY!$I$1:$L$1,0),FALSE),IF(VLOOKUP($E40,'Table Output'!$A$2:$E$9998,5,FALSE)="Clay",VLOOKUP(K$37,BoundParameters_HiddenSheetCLAY!$I$3:$L$50,MATCH(VLOOKUP($I75,$I$5:$AJ$34,MATCH(VLOOKUP(K$37,$BH$3:$BI$50,2,FALSE),$I$4:$AJ$4,0),FALSE),BoundParameters_HiddenSheetCLAY!$I$1:$L$1,0),FALSE))),'Control Panel'!K75)))</f>
        <v/>
      </c>
      <c r="L75" s="44" t="str">
        <f>IF($I75="","",IF(L$37="","",IF('Control Panel'!L75="",IF(VLOOKUP($E40,'Table Output'!$A$2:$E$99998,5,FALSE)="Sand",VLOOKUP(L$37,BoundParameters_HiddenSheetSAND!$I$3:$L$50,MATCH(VLOOKUP($I75,$I$5:$AJ$34,MATCH(VLOOKUP(L$37,$BH$3:$BI$50,2,FALSE),$I$4:$AJ$4,0),FALSE),BoundParameters_HiddenSheetCLAY!$I$1:$L$1,0),FALSE),IF(VLOOKUP($E40,'Table Output'!$A$2:$E$9998,5,FALSE)="Clay",VLOOKUP(L$37,BoundParameters_HiddenSheetCLAY!$I$3:$L$50,MATCH(VLOOKUP($I75,$I$5:$AJ$34,MATCH(VLOOKUP(L$37,$BH$3:$BI$50,2,FALSE),$I$4:$AJ$4,0),FALSE),BoundParameters_HiddenSheetCLAY!$I$1:$L$1,0),FALSE))),'Control Panel'!L75)))</f>
        <v/>
      </c>
      <c r="M75" s="44" t="str">
        <f>IF($I75="","",IF(M$37="","",IF('Control Panel'!M75="",IF(VLOOKUP($E40,'Table Output'!$A$2:$E$99998,5,FALSE)="Sand",VLOOKUP(M$37,BoundParameters_HiddenSheetSAND!$I$3:$L$50,MATCH(VLOOKUP($I75,$I$5:$AJ$34,MATCH(VLOOKUP(M$37,$BH$3:$BI$50,2,FALSE),$I$4:$AJ$4,0),FALSE),BoundParameters_HiddenSheetCLAY!$I$1:$L$1,0),FALSE),IF(VLOOKUP($E40,'Table Output'!$A$2:$E$9998,5,FALSE)="Clay",VLOOKUP(M$37,BoundParameters_HiddenSheetCLAY!$I$3:$L$50,MATCH(VLOOKUP($I75,$I$5:$AJ$34,MATCH(VLOOKUP(M$37,$BH$3:$BI$50,2,FALSE),$I$4:$AJ$4,0),FALSE),BoundParameters_HiddenSheetCLAY!$I$1:$L$1,0),FALSE))),'Control Panel'!M75)))</f>
        <v/>
      </c>
      <c r="N75" s="44" t="str">
        <f>IF($I75="","",IF(N$37="","",IF('Control Panel'!N75="",IF(VLOOKUP($E40,'Table Output'!$A$2:$E$99998,5,FALSE)="Sand",VLOOKUP(N$37,BoundParameters_HiddenSheetSAND!$I$3:$L$50,MATCH(VLOOKUP($I75,$I$5:$AJ$34,MATCH(VLOOKUP(N$37,$BH$3:$BI$50,2,FALSE),$I$4:$AJ$4,0),FALSE),BoundParameters_HiddenSheetCLAY!$I$1:$L$1,0),FALSE),IF(VLOOKUP($E40,'Table Output'!$A$2:$E$9998,5,FALSE)="Clay",VLOOKUP(N$37,BoundParameters_HiddenSheetCLAY!$I$3:$L$50,MATCH(VLOOKUP($I75,$I$5:$AJ$34,MATCH(VLOOKUP(N$37,$BH$3:$BI$50,2,FALSE),$I$4:$AJ$4,0),FALSE),BoundParameters_HiddenSheetCLAY!$I$1:$L$1,0),FALSE))),'Control Panel'!N75)))</f>
        <v/>
      </c>
      <c r="O75" s="44" t="str">
        <f>IF($I75="","",IF(O$37="","",IF('Control Panel'!O75="",IF(VLOOKUP($E40,'Table Output'!$A$2:$E$99998,5,FALSE)="Sand",VLOOKUP(O$37,BoundParameters_HiddenSheetSAND!$I$3:$L$50,MATCH(VLOOKUP($I75,$I$5:$AJ$34,MATCH(VLOOKUP(O$37,$BH$3:$BI$50,2,FALSE),$I$4:$AJ$4,0),FALSE),BoundParameters_HiddenSheetCLAY!$I$1:$L$1,0),FALSE),IF(VLOOKUP($E40,'Table Output'!$A$2:$E$9998,5,FALSE)="Clay",VLOOKUP(O$37,BoundParameters_HiddenSheetCLAY!$I$3:$L$50,MATCH(VLOOKUP($I75,$I$5:$AJ$34,MATCH(VLOOKUP(O$37,$BH$3:$BI$50,2,FALSE),$I$4:$AJ$4,0),FALSE),BoundParameters_HiddenSheetCLAY!$I$1:$L$1,0),FALSE))),'Control Panel'!O75)))</f>
        <v/>
      </c>
      <c r="P75" s="44" t="str">
        <f>IF($I75="","",IF(P$37="","",IF('Control Panel'!P75="",IF(VLOOKUP($E40,'Table Output'!$A$2:$E$99998,5,FALSE)="Sand",VLOOKUP(P$37,BoundParameters_HiddenSheetSAND!$I$3:$L$50,MATCH(VLOOKUP($I75,$I$5:$AJ$34,MATCH(VLOOKUP(P$37,$BH$3:$BI$50,2,FALSE),$I$4:$AJ$4,0),FALSE),BoundParameters_HiddenSheetCLAY!$I$1:$L$1,0),FALSE),IF(VLOOKUP($E40,'Table Output'!$A$2:$E$9998,5,FALSE)="Clay",VLOOKUP(P$37,BoundParameters_HiddenSheetCLAY!$I$3:$L$50,MATCH(VLOOKUP($I75,$I$5:$AJ$34,MATCH(VLOOKUP(P$37,$BH$3:$BI$50,2,FALSE),$I$4:$AJ$4,0),FALSE),BoundParameters_HiddenSheetCLAY!$I$1:$L$1,0),FALSE))),'Control Panel'!P75)))</f>
        <v/>
      </c>
      <c r="Q75" s="44" t="str">
        <f>IF($I75="","",IF(Q$37="","",IF('Control Panel'!Q75="",IF(VLOOKUP($E40,'Table Output'!$A$2:$E$99998,5,FALSE)="Sand",VLOOKUP(Q$37,BoundParameters_HiddenSheetSAND!$I$3:$L$50,MATCH(VLOOKUP($I75,$I$5:$AJ$34,MATCH(VLOOKUP(Q$37,$BH$3:$BI$50,2,FALSE),$I$4:$AJ$4,0),FALSE),BoundParameters_HiddenSheetCLAY!$I$1:$L$1,0),FALSE),IF(VLOOKUP($E40,'Table Output'!$A$2:$E$9998,5,FALSE)="Clay",VLOOKUP(Q$37,BoundParameters_HiddenSheetCLAY!$I$3:$L$50,MATCH(VLOOKUP($I75,$I$5:$AJ$34,MATCH(VLOOKUP(Q$37,$BH$3:$BI$50,2,FALSE),$I$4:$AJ$4,0),FALSE),BoundParameters_HiddenSheetCLAY!$I$1:$L$1,0),FALSE))),'Control Panel'!Q75)))</f>
        <v/>
      </c>
      <c r="R75" s="44" t="str">
        <f>IF($I75="","",IF(R$37="","",IF('Control Panel'!R75="",IF(VLOOKUP($E40,'Table Output'!$A$2:$E$99998,5,FALSE)="Sand",VLOOKUP(R$37,BoundParameters_HiddenSheetSAND!$I$3:$L$50,MATCH(VLOOKUP($I75,$I$5:$AJ$34,MATCH(VLOOKUP(R$37,$BH$3:$BI$50,2,FALSE),$I$4:$AJ$4,0),FALSE),BoundParameters_HiddenSheetCLAY!$I$1:$L$1,0),FALSE),IF(VLOOKUP($E40,'Table Output'!$A$2:$E$9998,5,FALSE)="Clay",VLOOKUP(R$37,BoundParameters_HiddenSheetCLAY!$I$3:$L$50,MATCH(VLOOKUP($I75,$I$5:$AJ$34,MATCH(VLOOKUP(R$37,$BH$3:$BI$50,2,FALSE),$I$4:$AJ$4,0),FALSE),BoundParameters_HiddenSheetCLAY!$I$1:$L$1,0),FALSE))),'Control Panel'!R75)))</f>
        <v/>
      </c>
      <c r="S75" s="44" t="str">
        <f>IF($I75="","",IF(S$37="","",IF('Control Panel'!S75="",IF(VLOOKUP($E40,'Table Output'!$A$2:$E$99998,5,FALSE)="Sand",VLOOKUP(S$37,BoundParameters_HiddenSheetSAND!$I$3:$L$50,MATCH(VLOOKUP($I75,$I$5:$AJ$34,MATCH(VLOOKUP(S$37,$BH$3:$BI$50,2,FALSE),$I$4:$AJ$4,0),FALSE),BoundParameters_HiddenSheetCLAY!$I$1:$L$1,0),FALSE),IF(VLOOKUP($E40,'Table Output'!$A$2:$E$9998,5,FALSE)="Clay",VLOOKUP(S$37,BoundParameters_HiddenSheetCLAY!$I$3:$L$50,MATCH(VLOOKUP($I75,$I$5:$AJ$34,MATCH(VLOOKUP(S$37,$BH$3:$BI$50,2,FALSE),$I$4:$AJ$4,0),FALSE),BoundParameters_HiddenSheetCLAY!$I$1:$L$1,0),FALSE))),'Control Panel'!S75)))</f>
        <v/>
      </c>
    </row>
    <row r="76" spans="5:60" x14ac:dyDescent="0.15">
      <c r="E76" s="2" t="str">
        <f t="shared" si="7"/>
        <v/>
      </c>
      <c r="I76" s="7" t="str">
        <f t="shared" si="7"/>
        <v/>
      </c>
      <c r="J76" s="44" t="str">
        <f>IF($I76="","",IF(J$37="","",IF('Control Panel'!J76="",IF(VLOOKUP($E41,'Table Output'!$A$2:$E$99998,5,FALSE)="Sand",VLOOKUP(J$37,BoundParameters_HiddenSheetSAND!$I$3:$L$50,MATCH(VLOOKUP($I76,$I$5:$AJ$34,MATCH(VLOOKUP(J$37,$BH$3:$BI$50,2,FALSE),$I$4:$AJ$4,0),FALSE),BoundParameters_HiddenSheetCLAY!$I$1:$L$1,0),FALSE),IF(VLOOKUP($E41,'Table Output'!$A$2:$E$9998,5,FALSE)="Clay",VLOOKUP(J$37,BoundParameters_HiddenSheetCLAY!$I$3:$L$50,MATCH(VLOOKUP($I76,$I$5:$AJ$34,MATCH(VLOOKUP(J$37,$BH$3:$BI$50,2,FALSE),$I$4:$AJ$4,0),FALSE),BoundParameters_HiddenSheetCLAY!$I$1:$L$1,0),FALSE))),'Control Panel'!J76)))</f>
        <v/>
      </c>
      <c r="K76" s="44" t="str">
        <f>IF($I76="","",IF(K$37="","",IF('Control Panel'!K76="",IF(VLOOKUP($E41,'Table Output'!$A$2:$E$99998,5,FALSE)="Sand",VLOOKUP(K$37,BoundParameters_HiddenSheetSAND!$I$3:$L$50,MATCH(VLOOKUP($I76,$I$5:$AJ$34,MATCH(VLOOKUP(K$37,$BH$3:$BI$50,2,FALSE),$I$4:$AJ$4,0),FALSE),BoundParameters_HiddenSheetCLAY!$I$1:$L$1,0),FALSE),IF(VLOOKUP($E41,'Table Output'!$A$2:$E$9998,5,FALSE)="Clay",VLOOKUP(K$37,BoundParameters_HiddenSheetCLAY!$I$3:$L$50,MATCH(VLOOKUP($I76,$I$5:$AJ$34,MATCH(VLOOKUP(K$37,$BH$3:$BI$50,2,FALSE),$I$4:$AJ$4,0),FALSE),BoundParameters_HiddenSheetCLAY!$I$1:$L$1,0),FALSE))),'Control Panel'!K76)))</f>
        <v/>
      </c>
      <c r="L76" s="44" t="str">
        <f>IF($I76="","",IF(L$37="","",IF('Control Panel'!L76="",IF(VLOOKUP($E41,'Table Output'!$A$2:$E$99998,5,FALSE)="Sand",VLOOKUP(L$37,BoundParameters_HiddenSheetSAND!$I$3:$L$50,MATCH(VLOOKUP($I76,$I$5:$AJ$34,MATCH(VLOOKUP(L$37,$BH$3:$BI$50,2,FALSE),$I$4:$AJ$4,0),FALSE),BoundParameters_HiddenSheetCLAY!$I$1:$L$1,0),FALSE),IF(VLOOKUP($E41,'Table Output'!$A$2:$E$9998,5,FALSE)="Clay",VLOOKUP(L$37,BoundParameters_HiddenSheetCLAY!$I$3:$L$50,MATCH(VLOOKUP($I76,$I$5:$AJ$34,MATCH(VLOOKUP(L$37,$BH$3:$BI$50,2,FALSE),$I$4:$AJ$4,0),FALSE),BoundParameters_HiddenSheetCLAY!$I$1:$L$1,0),FALSE))),'Control Panel'!L76)))</f>
        <v/>
      </c>
      <c r="M76" s="44" t="str">
        <f>IF($I76="","",IF(M$37="","",IF('Control Panel'!M76="",IF(VLOOKUP($E41,'Table Output'!$A$2:$E$99998,5,FALSE)="Sand",VLOOKUP(M$37,BoundParameters_HiddenSheetSAND!$I$3:$L$50,MATCH(VLOOKUP($I76,$I$5:$AJ$34,MATCH(VLOOKUP(M$37,$BH$3:$BI$50,2,FALSE),$I$4:$AJ$4,0),FALSE),BoundParameters_HiddenSheetCLAY!$I$1:$L$1,0),FALSE),IF(VLOOKUP($E41,'Table Output'!$A$2:$E$9998,5,FALSE)="Clay",VLOOKUP(M$37,BoundParameters_HiddenSheetCLAY!$I$3:$L$50,MATCH(VLOOKUP($I76,$I$5:$AJ$34,MATCH(VLOOKUP(M$37,$BH$3:$BI$50,2,FALSE),$I$4:$AJ$4,0),FALSE),BoundParameters_HiddenSheetCLAY!$I$1:$L$1,0),FALSE))),'Control Panel'!M76)))</f>
        <v/>
      </c>
      <c r="N76" s="44" t="str">
        <f>IF($I76="","",IF(N$37="","",IF('Control Panel'!N76="",IF(VLOOKUP($E41,'Table Output'!$A$2:$E$99998,5,FALSE)="Sand",VLOOKUP(N$37,BoundParameters_HiddenSheetSAND!$I$3:$L$50,MATCH(VLOOKUP($I76,$I$5:$AJ$34,MATCH(VLOOKUP(N$37,$BH$3:$BI$50,2,FALSE),$I$4:$AJ$4,0),FALSE),BoundParameters_HiddenSheetCLAY!$I$1:$L$1,0),FALSE),IF(VLOOKUP($E41,'Table Output'!$A$2:$E$9998,5,FALSE)="Clay",VLOOKUP(N$37,BoundParameters_HiddenSheetCLAY!$I$3:$L$50,MATCH(VLOOKUP($I76,$I$5:$AJ$34,MATCH(VLOOKUP(N$37,$BH$3:$BI$50,2,FALSE),$I$4:$AJ$4,0),FALSE),BoundParameters_HiddenSheetCLAY!$I$1:$L$1,0),FALSE))),'Control Panel'!N76)))</f>
        <v/>
      </c>
      <c r="O76" s="44" t="str">
        <f>IF($I76="","",IF(O$37="","",IF('Control Panel'!O76="",IF(VLOOKUP($E41,'Table Output'!$A$2:$E$99998,5,FALSE)="Sand",VLOOKUP(O$37,BoundParameters_HiddenSheetSAND!$I$3:$L$50,MATCH(VLOOKUP($I76,$I$5:$AJ$34,MATCH(VLOOKUP(O$37,$BH$3:$BI$50,2,FALSE),$I$4:$AJ$4,0),FALSE),BoundParameters_HiddenSheetCLAY!$I$1:$L$1,0),FALSE),IF(VLOOKUP($E41,'Table Output'!$A$2:$E$9998,5,FALSE)="Clay",VLOOKUP(O$37,BoundParameters_HiddenSheetCLAY!$I$3:$L$50,MATCH(VLOOKUP($I76,$I$5:$AJ$34,MATCH(VLOOKUP(O$37,$BH$3:$BI$50,2,FALSE),$I$4:$AJ$4,0),FALSE),BoundParameters_HiddenSheetCLAY!$I$1:$L$1,0),FALSE))),'Control Panel'!O76)))</f>
        <v/>
      </c>
      <c r="P76" s="44" t="str">
        <f>IF($I76="","",IF(P$37="","",IF('Control Panel'!P76="",IF(VLOOKUP($E41,'Table Output'!$A$2:$E$99998,5,FALSE)="Sand",VLOOKUP(P$37,BoundParameters_HiddenSheetSAND!$I$3:$L$50,MATCH(VLOOKUP($I76,$I$5:$AJ$34,MATCH(VLOOKUP(P$37,$BH$3:$BI$50,2,FALSE),$I$4:$AJ$4,0),FALSE),BoundParameters_HiddenSheetCLAY!$I$1:$L$1,0),FALSE),IF(VLOOKUP($E41,'Table Output'!$A$2:$E$9998,5,FALSE)="Clay",VLOOKUP(P$37,BoundParameters_HiddenSheetCLAY!$I$3:$L$50,MATCH(VLOOKUP($I76,$I$5:$AJ$34,MATCH(VLOOKUP(P$37,$BH$3:$BI$50,2,FALSE),$I$4:$AJ$4,0),FALSE),BoundParameters_HiddenSheetCLAY!$I$1:$L$1,0),FALSE))),'Control Panel'!P76)))</f>
        <v/>
      </c>
      <c r="Q76" s="44" t="str">
        <f>IF($I76="","",IF(Q$37="","",IF('Control Panel'!Q76="",IF(VLOOKUP($E41,'Table Output'!$A$2:$E$99998,5,FALSE)="Sand",VLOOKUP(Q$37,BoundParameters_HiddenSheetSAND!$I$3:$L$50,MATCH(VLOOKUP($I76,$I$5:$AJ$34,MATCH(VLOOKUP(Q$37,$BH$3:$BI$50,2,FALSE),$I$4:$AJ$4,0),FALSE),BoundParameters_HiddenSheetCLAY!$I$1:$L$1,0),FALSE),IF(VLOOKUP($E41,'Table Output'!$A$2:$E$9998,5,FALSE)="Clay",VLOOKUP(Q$37,BoundParameters_HiddenSheetCLAY!$I$3:$L$50,MATCH(VLOOKUP($I76,$I$5:$AJ$34,MATCH(VLOOKUP(Q$37,$BH$3:$BI$50,2,FALSE),$I$4:$AJ$4,0),FALSE),BoundParameters_HiddenSheetCLAY!$I$1:$L$1,0),FALSE))),'Control Panel'!Q76)))</f>
        <v/>
      </c>
      <c r="R76" s="44" t="str">
        <f>IF($I76="","",IF(R$37="","",IF('Control Panel'!R76="",IF(VLOOKUP($E41,'Table Output'!$A$2:$E$99998,5,FALSE)="Sand",VLOOKUP(R$37,BoundParameters_HiddenSheetSAND!$I$3:$L$50,MATCH(VLOOKUP($I76,$I$5:$AJ$34,MATCH(VLOOKUP(R$37,$BH$3:$BI$50,2,FALSE),$I$4:$AJ$4,0),FALSE),BoundParameters_HiddenSheetCLAY!$I$1:$L$1,0),FALSE),IF(VLOOKUP($E41,'Table Output'!$A$2:$E$9998,5,FALSE)="Clay",VLOOKUP(R$37,BoundParameters_HiddenSheetCLAY!$I$3:$L$50,MATCH(VLOOKUP($I76,$I$5:$AJ$34,MATCH(VLOOKUP(R$37,$BH$3:$BI$50,2,FALSE),$I$4:$AJ$4,0),FALSE),BoundParameters_HiddenSheetCLAY!$I$1:$L$1,0),FALSE))),'Control Panel'!R76)))</f>
        <v/>
      </c>
      <c r="S76" s="44" t="str">
        <f>IF($I76="","",IF(S$37="","",IF('Control Panel'!S76="",IF(VLOOKUP($E41,'Table Output'!$A$2:$E$99998,5,FALSE)="Sand",VLOOKUP(S$37,BoundParameters_HiddenSheetSAND!$I$3:$L$50,MATCH(VLOOKUP($I76,$I$5:$AJ$34,MATCH(VLOOKUP(S$37,$BH$3:$BI$50,2,FALSE),$I$4:$AJ$4,0),FALSE),BoundParameters_HiddenSheetCLAY!$I$1:$L$1,0),FALSE),IF(VLOOKUP($E41,'Table Output'!$A$2:$E$9998,5,FALSE)="Clay",VLOOKUP(S$37,BoundParameters_HiddenSheetCLAY!$I$3:$L$50,MATCH(VLOOKUP($I76,$I$5:$AJ$34,MATCH(VLOOKUP(S$37,$BH$3:$BI$50,2,FALSE),$I$4:$AJ$4,0),FALSE),BoundParameters_HiddenSheetCLAY!$I$1:$L$1,0),FALSE))),'Control Panel'!S76)))</f>
        <v/>
      </c>
    </row>
    <row r="77" spans="5:60" x14ac:dyDescent="0.15">
      <c r="E77" s="2" t="str">
        <f t="shared" si="7"/>
        <v/>
      </c>
      <c r="I77" s="7" t="str">
        <f t="shared" si="7"/>
        <v/>
      </c>
      <c r="J77" s="44" t="str">
        <f>IF($I77="","",IF(J$37="","",IF('Control Panel'!J77="",IF(VLOOKUP($E42,'Table Output'!$A$2:$E$99998,5,FALSE)="Sand",VLOOKUP(J$37,BoundParameters_HiddenSheetSAND!$I$3:$L$50,MATCH(VLOOKUP($I77,$I$5:$AJ$34,MATCH(VLOOKUP(J$37,$BH$3:$BI$50,2,FALSE),$I$4:$AJ$4,0),FALSE),BoundParameters_HiddenSheetCLAY!$I$1:$L$1,0),FALSE),IF(VLOOKUP($E42,'Table Output'!$A$2:$E$9998,5,FALSE)="Clay",VLOOKUP(J$37,BoundParameters_HiddenSheetCLAY!$I$3:$L$50,MATCH(VLOOKUP($I77,$I$5:$AJ$34,MATCH(VLOOKUP(J$37,$BH$3:$BI$50,2,FALSE),$I$4:$AJ$4,0),FALSE),BoundParameters_HiddenSheetCLAY!$I$1:$L$1,0),FALSE))),'Control Panel'!J77)))</f>
        <v/>
      </c>
      <c r="K77" s="44" t="str">
        <f>IF($I77="","",IF(K$37="","",IF('Control Panel'!K77="",IF(VLOOKUP($E42,'Table Output'!$A$2:$E$99998,5,FALSE)="Sand",VLOOKUP(K$37,BoundParameters_HiddenSheetSAND!$I$3:$L$50,MATCH(VLOOKUP($I77,$I$5:$AJ$34,MATCH(VLOOKUP(K$37,$BH$3:$BI$50,2,FALSE),$I$4:$AJ$4,0),FALSE),BoundParameters_HiddenSheetCLAY!$I$1:$L$1,0),FALSE),IF(VLOOKUP($E42,'Table Output'!$A$2:$E$9998,5,FALSE)="Clay",VLOOKUP(K$37,BoundParameters_HiddenSheetCLAY!$I$3:$L$50,MATCH(VLOOKUP($I77,$I$5:$AJ$34,MATCH(VLOOKUP(K$37,$BH$3:$BI$50,2,FALSE),$I$4:$AJ$4,0),FALSE),BoundParameters_HiddenSheetCLAY!$I$1:$L$1,0),FALSE))),'Control Panel'!K77)))</f>
        <v/>
      </c>
      <c r="L77" s="44" t="str">
        <f>IF($I77="","",IF(L$37="","",IF('Control Panel'!L77="",IF(VLOOKUP($E42,'Table Output'!$A$2:$E$99998,5,FALSE)="Sand",VLOOKUP(L$37,BoundParameters_HiddenSheetSAND!$I$3:$L$50,MATCH(VLOOKUP($I77,$I$5:$AJ$34,MATCH(VLOOKUP(L$37,$BH$3:$BI$50,2,FALSE),$I$4:$AJ$4,0),FALSE),BoundParameters_HiddenSheetCLAY!$I$1:$L$1,0),FALSE),IF(VLOOKUP($E42,'Table Output'!$A$2:$E$9998,5,FALSE)="Clay",VLOOKUP(L$37,BoundParameters_HiddenSheetCLAY!$I$3:$L$50,MATCH(VLOOKUP($I77,$I$5:$AJ$34,MATCH(VLOOKUP(L$37,$BH$3:$BI$50,2,FALSE),$I$4:$AJ$4,0),FALSE),BoundParameters_HiddenSheetCLAY!$I$1:$L$1,0),FALSE))),'Control Panel'!L77)))</f>
        <v/>
      </c>
      <c r="M77" s="44" t="str">
        <f>IF($I77="","",IF(M$37="","",IF('Control Panel'!M77="",IF(VLOOKUP($E42,'Table Output'!$A$2:$E$99998,5,FALSE)="Sand",VLOOKUP(M$37,BoundParameters_HiddenSheetSAND!$I$3:$L$50,MATCH(VLOOKUP($I77,$I$5:$AJ$34,MATCH(VLOOKUP(M$37,$BH$3:$BI$50,2,FALSE),$I$4:$AJ$4,0),FALSE),BoundParameters_HiddenSheetCLAY!$I$1:$L$1,0),FALSE),IF(VLOOKUP($E42,'Table Output'!$A$2:$E$9998,5,FALSE)="Clay",VLOOKUP(M$37,BoundParameters_HiddenSheetCLAY!$I$3:$L$50,MATCH(VLOOKUP($I77,$I$5:$AJ$34,MATCH(VLOOKUP(M$37,$BH$3:$BI$50,2,FALSE),$I$4:$AJ$4,0),FALSE),BoundParameters_HiddenSheetCLAY!$I$1:$L$1,0),FALSE))),'Control Panel'!M77)))</f>
        <v/>
      </c>
      <c r="N77" s="44" t="str">
        <f>IF($I77="","",IF(N$37="","",IF('Control Panel'!N77="",IF(VLOOKUP($E42,'Table Output'!$A$2:$E$99998,5,FALSE)="Sand",VLOOKUP(N$37,BoundParameters_HiddenSheetSAND!$I$3:$L$50,MATCH(VLOOKUP($I77,$I$5:$AJ$34,MATCH(VLOOKUP(N$37,$BH$3:$BI$50,2,FALSE),$I$4:$AJ$4,0),FALSE),BoundParameters_HiddenSheetCLAY!$I$1:$L$1,0),FALSE),IF(VLOOKUP($E42,'Table Output'!$A$2:$E$9998,5,FALSE)="Clay",VLOOKUP(N$37,BoundParameters_HiddenSheetCLAY!$I$3:$L$50,MATCH(VLOOKUP($I77,$I$5:$AJ$34,MATCH(VLOOKUP(N$37,$BH$3:$BI$50,2,FALSE),$I$4:$AJ$4,0),FALSE),BoundParameters_HiddenSheetCLAY!$I$1:$L$1,0),FALSE))),'Control Panel'!N77)))</f>
        <v/>
      </c>
      <c r="O77" s="44" t="str">
        <f>IF($I77="","",IF(O$37="","",IF('Control Panel'!O77="",IF(VLOOKUP($E42,'Table Output'!$A$2:$E$99998,5,FALSE)="Sand",VLOOKUP(O$37,BoundParameters_HiddenSheetSAND!$I$3:$L$50,MATCH(VLOOKUP($I77,$I$5:$AJ$34,MATCH(VLOOKUP(O$37,$BH$3:$BI$50,2,FALSE),$I$4:$AJ$4,0),FALSE),BoundParameters_HiddenSheetCLAY!$I$1:$L$1,0),FALSE),IF(VLOOKUP($E42,'Table Output'!$A$2:$E$9998,5,FALSE)="Clay",VLOOKUP(O$37,BoundParameters_HiddenSheetCLAY!$I$3:$L$50,MATCH(VLOOKUP($I77,$I$5:$AJ$34,MATCH(VLOOKUP(O$37,$BH$3:$BI$50,2,FALSE),$I$4:$AJ$4,0),FALSE),BoundParameters_HiddenSheetCLAY!$I$1:$L$1,0),FALSE))),'Control Panel'!O77)))</f>
        <v/>
      </c>
      <c r="P77" s="44" t="str">
        <f>IF($I77="","",IF(P$37="","",IF('Control Panel'!P77="",IF(VLOOKUP($E42,'Table Output'!$A$2:$E$99998,5,FALSE)="Sand",VLOOKUP(P$37,BoundParameters_HiddenSheetSAND!$I$3:$L$50,MATCH(VLOOKUP($I77,$I$5:$AJ$34,MATCH(VLOOKUP(P$37,$BH$3:$BI$50,2,FALSE),$I$4:$AJ$4,0),FALSE),BoundParameters_HiddenSheetCLAY!$I$1:$L$1,0),FALSE),IF(VLOOKUP($E42,'Table Output'!$A$2:$E$9998,5,FALSE)="Clay",VLOOKUP(P$37,BoundParameters_HiddenSheetCLAY!$I$3:$L$50,MATCH(VLOOKUP($I77,$I$5:$AJ$34,MATCH(VLOOKUP(P$37,$BH$3:$BI$50,2,FALSE),$I$4:$AJ$4,0),FALSE),BoundParameters_HiddenSheetCLAY!$I$1:$L$1,0),FALSE))),'Control Panel'!P77)))</f>
        <v/>
      </c>
      <c r="Q77" s="44" t="str">
        <f>IF($I77="","",IF(Q$37="","",IF('Control Panel'!Q77="",IF(VLOOKUP($E42,'Table Output'!$A$2:$E$99998,5,FALSE)="Sand",VLOOKUP(Q$37,BoundParameters_HiddenSheetSAND!$I$3:$L$50,MATCH(VLOOKUP($I77,$I$5:$AJ$34,MATCH(VLOOKUP(Q$37,$BH$3:$BI$50,2,FALSE),$I$4:$AJ$4,0),FALSE),BoundParameters_HiddenSheetCLAY!$I$1:$L$1,0),FALSE),IF(VLOOKUP($E42,'Table Output'!$A$2:$E$9998,5,FALSE)="Clay",VLOOKUP(Q$37,BoundParameters_HiddenSheetCLAY!$I$3:$L$50,MATCH(VLOOKUP($I77,$I$5:$AJ$34,MATCH(VLOOKUP(Q$37,$BH$3:$BI$50,2,FALSE),$I$4:$AJ$4,0),FALSE),BoundParameters_HiddenSheetCLAY!$I$1:$L$1,0),FALSE))),'Control Panel'!Q77)))</f>
        <v/>
      </c>
      <c r="R77" s="44" t="str">
        <f>IF($I77="","",IF(R$37="","",IF('Control Panel'!R77="",IF(VLOOKUP($E42,'Table Output'!$A$2:$E$99998,5,FALSE)="Sand",VLOOKUP(R$37,BoundParameters_HiddenSheetSAND!$I$3:$L$50,MATCH(VLOOKUP($I77,$I$5:$AJ$34,MATCH(VLOOKUP(R$37,$BH$3:$BI$50,2,FALSE),$I$4:$AJ$4,0),FALSE),BoundParameters_HiddenSheetCLAY!$I$1:$L$1,0),FALSE),IF(VLOOKUP($E42,'Table Output'!$A$2:$E$9998,5,FALSE)="Clay",VLOOKUP(R$37,BoundParameters_HiddenSheetCLAY!$I$3:$L$50,MATCH(VLOOKUP($I77,$I$5:$AJ$34,MATCH(VLOOKUP(R$37,$BH$3:$BI$50,2,FALSE),$I$4:$AJ$4,0),FALSE),BoundParameters_HiddenSheetCLAY!$I$1:$L$1,0),FALSE))),'Control Panel'!R77)))</f>
        <v/>
      </c>
      <c r="S77" s="44" t="str">
        <f>IF($I77="","",IF(S$37="","",IF('Control Panel'!S77="",IF(VLOOKUP($E42,'Table Output'!$A$2:$E$99998,5,FALSE)="Sand",VLOOKUP(S$37,BoundParameters_HiddenSheetSAND!$I$3:$L$50,MATCH(VLOOKUP($I77,$I$5:$AJ$34,MATCH(VLOOKUP(S$37,$BH$3:$BI$50,2,FALSE),$I$4:$AJ$4,0),FALSE),BoundParameters_HiddenSheetCLAY!$I$1:$L$1,0),FALSE),IF(VLOOKUP($E42,'Table Output'!$A$2:$E$9998,5,FALSE)="Clay",VLOOKUP(S$37,BoundParameters_HiddenSheetCLAY!$I$3:$L$50,MATCH(VLOOKUP($I77,$I$5:$AJ$34,MATCH(VLOOKUP(S$37,$BH$3:$BI$50,2,FALSE),$I$4:$AJ$4,0),FALSE),BoundParameters_HiddenSheetCLAY!$I$1:$L$1,0),FALSE))),'Control Panel'!S77)))</f>
        <v/>
      </c>
      <c r="U77" s="58"/>
    </row>
    <row r="78" spans="5:60" x14ac:dyDescent="0.15">
      <c r="E78" s="2" t="str">
        <f t="shared" si="7"/>
        <v/>
      </c>
      <c r="I78" s="7" t="str">
        <f t="shared" si="7"/>
        <v/>
      </c>
      <c r="J78" s="44" t="str">
        <f>IF($I78="","",IF(J$37="","",IF('Control Panel'!J78="",IF(VLOOKUP($E43,'Table Output'!$A$2:$E$99998,5,FALSE)="Sand",VLOOKUP(J$37,BoundParameters_HiddenSheetSAND!$I$3:$L$50,MATCH(VLOOKUP($I78,$I$5:$AJ$34,MATCH(VLOOKUP(J$37,$BH$3:$BI$50,2,FALSE),$I$4:$AJ$4,0),FALSE),BoundParameters_HiddenSheetCLAY!$I$1:$L$1,0),FALSE),IF(VLOOKUP($E43,'Table Output'!$A$2:$E$9998,5,FALSE)="Clay",VLOOKUP(J$37,BoundParameters_HiddenSheetCLAY!$I$3:$L$50,MATCH(VLOOKUP($I78,$I$5:$AJ$34,MATCH(VLOOKUP(J$37,$BH$3:$BI$50,2,FALSE),$I$4:$AJ$4,0),FALSE),BoundParameters_HiddenSheetCLAY!$I$1:$L$1,0),FALSE))),'Control Panel'!J78)))</f>
        <v/>
      </c>
      <c r="K78" s="44" t="str">
        <f>IF($I78="","",IF(K$37="","",IF('Control Panel'!K78="",IF(VLOOKUP($E43,'Table Output'!$A$2:$E$99998,5,FALSE)="Sand",VLOOKUP(K$37,BoundParameters_HiddenSheetSAND!$I$3:$L$50,MATCH(VLOOKUP($I78,$I$5:$AJ$34,MATCH(VLOOKUP(K$37,$BH$3:$BI$50,2,FALSE),$I$4:$AJ$4,0),FALSE),BoundParameters_HiddenSheetCLAY!$I$1:$L$1,0),FALSE),IF(VLOOKUP($E43,'Table Output'!$A$2:$E$9998,5,FALSE)="Clay",VLOOKUP(K$37,BoundParameters_HiddenSheetCLAY!$I$3:$L$50,MATCH(VLOOKUP($I78,$I$5:$AJ$34,MATCH(VLOOKUP(K$37,$BH$3:$BI$50,2,FALSE),$I$4:$AJ$4,0),FALSE),BoundParameters_HiddenSheetCLAY!$I$1:$L$1,0),FALSE))),'Control Panel'!K78)))</f>
        <v/>
      </c>
      <c r="L78" s="44" t="str">
        <f>IF($I78="","",IF(L$37="","",IF('Control Panel'!L78="",IF(VLOOKUP($E43,'Table Output'!$A$2:$E$99998,5,FALSE)="Sand",VLOOKUP(L$37,BoundParameters_HiddenSheetSAND!$I$3:$L$50,MATCH(VLOOKUP($I78,$I$5:$AJ$34,MATCH(VLOOKUP(L$37,$BH$3:$BI$50,2,FALSE),$I$4:$AJ$4,0),FALSE),BoundParameters_HiddenSheetCLAY!$I$1:$L$1,0),FALSE),IF(VLOOKUP($E43,'Table Output'!$A$2:$E$9998,5,FALSE)="Clay",VLOOKUP(L$37,BoundParameters_HiddenSheetCLAY!$I$3:$L$50,MATCH(VLOOKUP($I78,$I$5:$AJ$34,MATCH(VLOOKUP(L$37,$BH$3:$BI$50,2,FALSE),$I$4:$AJ$4,0),FALSE),BoundParameters_HiddenSheetCLAY!$I$1:$L$1,0),FALSE))),'Control Panel'!L78)))</f>
        <v/>
      </c>
      <c r="M78" s="44" t="str">
        <f>IF($I78="","",IF(M$37="","",IF('Control Panel'!M78="",IF(VLOOKUP($E43,'Table Output'!$A$2:$E$99998,5,FALSE)="Sand",VLOOKUP(M$37,BoundParameters_HiddenSheetSAND!$I$3:$L$50,MATCH(VLOOKUP($I78,$I$5:$AJ$34,MATCH(VLOOKUP(M$37,$BH$3:$BI$50,2,FALSE),$I$4:$AJ$4,0),FALSE),BoundParameters_HiddenSheetCLAY!$I$1:$L$1,0),FALSE),IF(VLOOKUP($E43,'Table Output'!$A$2:$E$9998,5,FALSE)="Clay",VLOOKUP(M$37,BoundParameters_HiddenSheetCLAY!$I$3:$L$50,MATCH(VLOOKUP($I78,$I$5:$AJ$34,MATCH(VLOOKUP(M$37,$BH$3:$BI$50,2,FALSE),$I$4:$AJ$4,0),FALSE),BoundParameters_HiddenSheetCLAY!$I$1:$L$1,0),FALSE))),'Control Panel'!M78)))</f>
        <v/>
      </c>
      <c r="N78" s="44" t="str">
        <f>IF($I78="","",IF(N$37="","",IF('Control Panel'!N78="",IF(VLOOKUP($E43,'Table Output'!$A$2:$E$99998,5,FALSE)="Sand",VLOOKUP(N$37,BoundParameters_HiddenSheetSAND!$I$3:$L$50,MATCH(VLOOKUP($I78,$I$5:$AJ$34,MATCH(VLOOKUP(N$37,$BH$3:$BI$50,2,FALSE),$I$4:$AJ$4,0),FALSE),BoundParameters_HiddenSheetCLAY!$I$1:$L$1,0),FALSE),IF(VLOOKUP($E43,'Table Output'!$A$2:$E$9998,5,FALSE)="Clay",VLOOKUP(N$37,BoundParameters_HiddenSheetCLAY!$I$3:$L$50,MATCH(VLOOKUP($I78,$I$5:$AJ$34,MATCH(VLOOKUP(N$37,$BH$3:$BI$50,2,FALSE),$I$4:$AJ$4,0),FALSE),BoundParameters_HiddenSheetCLAY!$I$1:$L$1,0),FALSE))),'Control Panel'!N78)))</f>
        <v/>
      </c>
      <c r="O78" s="44" t="str">
        <f>IF($I78="","",IF(O$37="","",IF('Control Panel'!O78="",IF(VLOOKUP($E43,'Table Output'!$A$2:$E$99998,5,FALSE)="Sand",VLOOKUP(O$37,BoundParameters_HiddenSheetSAND!$I$3:$L$50,MATCH(VLOOKUP($I78,$I$5:$AJ$34,MATCH(VLOOKUP(O$37,$BH$3:$BI$50,2,FALSE),$I$4:$AJ$4,0),FALSE),BoundParameters_HiddenSheetCLAY!$I$1:$L$1,0),FALSE),IF(VLOOKUP($E43,'Table Output'!$A$2:$E$9998,5,FALSE)="Clay",VLOOKUP(O$37,BoundParameters_HiddenSheetCLAY!$I$3:$L$50,MATCH(VLOOKUP($I78,$I$5:$AJ$34,MATCH(VLOOKUP(O$37,$BH$3:$BI$50,2,FALSE),$I$4:$AJ$4,0),FALSE),BoundParameters_HiddenSheetCLAY!$I$1:$L$1,0),FALSE))),'Control Panel'!O78)))</f>
        <v/>
      </c>
      <c r="P78" s="44" t="str">
        <f>IF($I78="","",IF(P$37="","",IF('Control Panel'!P78="",IF(VLOOKUP($E43,'Table Output'!$A$2:$E$99998,5,FALSE)="Sand",VLOOKUP(P$37,BoundParameters_HiddenSheetSAND!$I$3:$L$50,MATCH(VLOOKUP($I78,$I$5:$AJ$34,MATCH(VLOOKUP(P$37,$BH$3:$BI$50,2,FALSE),$I$4:$AJ$4,0),FALSE),BoundParameters_HiddenSheetCLAY!$I$1:$L$1,0),FALSE),IF(VLOOKUP($E43,'Table Output'!$A$2:$E$9998,5,FALSE)="Clay",VLOOKUP(P$37,BoundParameters_HiddenSheetCLAY!$I$3:$L$50,MATCH(VLOOKUP($I78,$I$5:$AJ$34,MATCH(VLOOKUP(P$37,$BH$3:$BI$50,2,FALSE),$I$4:$AJ$4,0),FALSE),BoundParameters_HiddenSheetCLAY!$I$1:$L$1,0),FALSE))),'Control Panel'!P78)))</f>
        <v/>
      </c>
      <c r="Q78" s="44" t="str">
        <f>IF($I78="","",IF(Q$37="","",IF('Control Panel'!Q78="",IF(VLOOKUP($E43,'Table Output'!$A$2:$E$99998,5,FALSE)="Sand",VLOOKUP(Q$37,BoundParameters_HiddenSheetSAND!$I$3:$L$50,MATCH(VLOOKUP($I78,$I$5:$AJ$34,MATCH(VLOOKUP(Q$37,$BH$3:$BI$50,2,FALSE),$I$4:$AJ$4,0),FALSE),BoundParameters_HiddenSheetCLAY!$I$1:$L$1,0),FALSE),IF(VLOOKUP($E43,'Table Output'!$A$2:$E$9998,5,FALSE)="Clay",VLOOKUP(Q$37,BoundParameters_HiddenSheetCLAY!$I$3:$L$50,MATCH(VLOOKUP($I78,$I$5:$AJ$34,MATCH(VLOOKUP(Q$37,$BH$3:$BI$50,2,FALSE),$I$4:$AJ$4,0),FALSE),BoundParameters_HiddenSheetCLAY!$I$1:$L$1,0),FALSE))),'Control Panel'!Q78)))</f>
        <v/>
      </c>
      <c r="R78" s="44" t="str">
        <f>IF($I78="","",IF(R$37="","",IF('Control Panel'!R78="",IF(VLOOKUP($E43,'Table Output'!$A$2:$E$99998,5,FALSE)="Sand",VLOOKUP(R$37,BoundParameters_HiddenSheetSAND!$I$3:$L$50,MATCH(VLOOKUP($I78,$I$5:$AJ$34,MATCH(VLOOKUP(R$37,$BH$3:$BI$50,2,FALSE),$I$4:$AJ$4,0),FALSE),BoundParameters_HiddenSheetCLAY!$I$1:$L$1,0),FALSE),IF(VLOOKUP($E43,'Table Output'!$A$2:$E$9998,5,FALSE)="Clay",VLOOKUP(R$37,BoundParameters_HiddenSheetCLAY!$I$3:$L$50,MATCH(VLOOKUP($I78,$I$5:$AJ$34,MATCH(VLOOKUP(R$37,$BH$3:$BI$50,2,FALSE),$I$4:$AJ$4,0),FALSE),BoundParameters_HiddenSheetCLAY!$I$1:$L$1,0),FALSE))),'Control Panel'!R78)))</f>
        <v/>
      </c>
      <c r="S78" s="44" t="str">
        <f>IF($I78="","",IF(S$37="","",IF('Control Panel'!S78="",IF(VLOOKUP($E43,'Table Output'!$A$2:$E$99998,5,FALSE)="Sand",VLOOKUP(S$37,BoundParameters_HiddenSheetSAND!$I$3:$L$50,MATCH(VLOOKUP($I78,$I$5:$AJ$34,MATCH(VLOOKUP(S$37,$BH$3:$BI$50,2,FALSE),$I$4:$AJ$4,0),FALSE),BoundParameters_HiddenSheetCLAY!$I$1:$L$1,0),FALSE),IF(VLOOKUP($E43,'Table Output'!$A$2:$E$9998,5,FALSE)="Clay",VLOOKUP(S$37,BoundParameters_HiddenSheetCLAY!$I$3:$L$50,MATCH(VLOOKUP($I78,$I$5:$AJ$34,MATCH(VLOOKUP(S$37,$BH$3:$BI$50,2,FALSE),$I$4:$AJ$4,0),FALSE),BoundParameters_HiddenSheetCLAY!$I$1:$L$1,0),FALSE))),'Control Panel'!S78)))</f>
        <v/>
      </c>
    </row>
    <row r="79" spans="5:60" x14ac:dyDescent="0.15">
      <c r="E79" s="2" t="str">
        <f t="shared" si="7"/>
        <v>Cowden_Clay</v>
      </c>
      <c r="I79" s="7">
        <f t="shared" si="7"/>
        <v>7</v>
      </c>
      <c r="J79" s="44">
        <f>IF($I79="","",IF(J$37="","",IF('Control Panel'!J79="",IF(VLOOKUP($E44,'Table Output'!$A$2:$E$99998,5,FALSE)="Sand",VLOOKUP(J$37,BoundParameters_HiddenSheetSAND!$I$3:$L$50,MATCH(VLOOKUP($I79,$I$5:$AJ$34,MATCH(VLOOKUP(J$37,$BH$3:$BI$50,2,FALSE),$I$4:$AJ$4,0),FALSE),BoundParameters_HiddenSheetCLAY!$I$1:$L$1,0),FALSE),IF(VLOOKUP($E44,'Table Output'!$A$2:$E$9998,5,FALSE)="Clay",VLOOKUP(J$37,BoundParameters_HiddenSheetCLAY!$I$3:$L$50,MATCH(VLOOKUP($I79,$I$5:$AJ$34,MATCH(VLOOKUP(J$37,$BH$3:$BI$50,2,FALSE),$I$4:$AJ$4,0),FALSE),BoundParameters_HiddenSheetCLAY!$I$1:$L$1,0),FALSE))),'Control Panel'!J79)))</f>
        <v>200</v>
      </c>
      <c r="K79" s="44">
        <f>IF($I79="","",IF(K$37="","",IF('Control Panel'!K79="",IF(VLOOKUP($E44,'Table Output'!$A$2:$E$99998,5,FALSE)="Sand",VLOOKUP(K$37,BoundParameters_HiddenSheetSAND!$I$3:$L$50,MATCH(VLOOKUP($I79,$I$5:$AJ$34,MATCH(VLOOKUP(K$37,$BH$3:$BI$50,2,FALSE),$I$4:$AJ$4,0),FALSE),BoundParameters_HiddenSheetCLAY!$I$1:$L$1,0),FALSE),IF(VLOOKUP($E44,'Table Output'!$A$2:$E$9998,5,FALSE)="Clay",VLOOKUP(K$37,BoundParameters_HiddenSheetCLAY!$I$3:$L$50,MATCH(VLOOKUP($I79,$I$5:$AJ$34,MATCH(VLOOKUP(K$37,$BH$3:$BI$50,2,FALSE),$I$4:$AJ$4,0),FALSE),BoundParameters_HiddenSheetCLAY!$I$1:$L$1,0),FALSE))),'Control Panel'!K79)))</f>
        <v>15.832000000000001</v>
      </c>
      <c r="L79" s="44">
        <f>IF($I79="","",IF(L$37="","",IF('Control Panel'!L79="",IF(VLOOKUP($E44,'Table Output'!$A$2:$E$99998,5,FALSE)="Sand",VLOOKUP(L$37,BoundParameters_HiddenSheetSAND!$I$3:$L$50,MATCH(VLOOKUP($I79,$I$5:$AJ$34,MATCH(VLOOKUP(L$37,$BH$3:$BI$50,2,FALSE),$I$4:$AJ$4,0),FALSE),BoundParameters_HiddenSheetCLAY!$I$1:$L$1,0),FALSE),IF(VLOOKUP($E44,'Table Output'!$A$2:$E$9998,5,FALSE)="Clay",VLOOKUP(L$37,BoundParameters_HiddenSheetCLAY!$I$3:$L$50,MATCH(VLOOKUP($I79,$I$5:$AJ$34,MATCH(VLOOKUP(L$37,$BH$3:$BI$50,2,FALSE),$I$4:$AJ$4,0),FALSE),BoundParameters_HiddenSheetCLAY!$I$1:$L$1,0),FALSE))),'Control Panel'!L79)))</f>
        <v>0.5</v>
      </c>
      <c r="M79" s="44">
        <f>IF($I79="","",IF(M$37="","",IF('Control Panel'!M79="",IF(VLOOKUP($E44,'Table Output'!$A$2:$E$99998,5,FALSE)="Sand",VLOOKUP(M$37,BoundParameters_HiddenSheetSAND!$I$3:$L$50,MATCH(VLOOKUP($I79,$I$5:$AJ$34,MATCH(VLOOKUP(M$37,$BH$3:$BI$50,2,FALSE),$I$4:$AJ$4,0),FALSE),BoundParameters_HiddenSheetCLAY!$I$1:$L$1,0),FALSE),IF(VLOOKUP($E44,'Table Output'!$A$2:$E$9998,5,FALSE)="Clay",VLOOKUP(M$37,BoundParameters_HiddenSheetCLAY!$I$3:$L$50,MATCH(VLOOKUP($I79,$I$5:$AJ$34,MATCH(VLOOKUP(M$37,$BH$3:$BI$50,2,FALSE),$I$4:$AJ$4,0),FALSE),BoundParameters_HiddenSheetCLAY!$I$1:$L$1,0),FALSE))),'Control Panel'!M79)))</f>
        <v>0</v>
      </c>
      <c r="N79" s="44">
        <f>IF($I79="","",IF(N$37="","",IF('Control Panel'!N79="",IF(VLOOKUP($E44,'Table Output'!$A$2:$E$99998,5,FALSE)="Sand",VLOOKUP(N$37,BoundParameters_HiddenSheetSAND!$I$3:$L$50,MATCH(VLOOKUP($I79,$I$5:$AJ$34,MATCH(VLOOKUP(N$37,$BH$3:$BI$50,2,FALSE),$I$4:$AJ$4,0),FALSE),BoundParameters_HiddenSheetCLAY!$I$1:$L$1,0),FALSE),IF(VLOOKUP($E44,'Table Output'!$A$2:$E$9998,5,FALSE)="Clay",VLOOKUP(N$37,BoundParameters_HiddenSheetCLAY!$I$3:$L$50,MATCH(VLOOKUP($I79,$I$5:$AJ$34,MATCH(VLOOKUP(N$37,$BH$3:$BI$50,2,FALSE),$I$4:$AJ$4,0),FALSE),BoundParameters_HiddenSheetCLAY!$I$1:$L$1,0),FALSE))),'Control Panel'!N79)))</f>
        <v>14.4</v>
      </c>
      <c r="O79" s="44" t="str">
        <f>IF($I79="","",IF(O$37="","",IF('Control Panel'!O79="",IF(VLOOKUP($E44,'Table Output'!$A$2:$E$99998,5,FALSE)="Sand",VLOOKUP(O$37,BoundParameters_HiddenSheetSAND!$I$3:$L$50,MATCH(VLOOKUP($I79,$I$5:$AJ$34,MATCH(VLOOKUP(O$37,$BH$3:$BI$50,2,FALSE),$I$4:$AJ$4,0),FALSE),BoundParameters_HiddenSheetCLAY!$I$1:$L$1,0),FALSE),IF(VLOOKUP($E44,'Table Output'!$A$2:$E$9998,5,FALSE)="Clay",VLOOKUP(O$37,BoundParameters_HiddenSheetCLAY!$I$3:$L$50,MATCH(VLOOKUP($I79,$I$5:$AJ$34,MATCH(VLOOKUP(O$37,$BH$3:$BI$50,2,FALSE),$I$4:$AJ$4,0),FALSE),BoundParameters_HiddenSheetCLAY!$I$1:$L$1,0),FALSE))),'Control Panel'!O79)))</f>
        <v/>
      </c>
      <c r="P79" s="44" t="str">
        <f>IF($I79="","",IF(P$37="","",IF('Control Panel'!P79="",IF(VLOOKUP($E44,'Table Output'!$A$2:$E$99998,5,FALSE)="Sand",VLOOKUP(P$37,BoundParameters_HiddenSheetSAND!$I$3:$L$50,MATCH(VLOOKUP($I79,$I$5:$AJ$34,MATCH(VLOOKUP(P$37,$BH$3:$BI$50,2,FALSE),$I$4:$AJ$4,0),FALSE),BoundParameters_HiddenSheetCLAY!$I$1:$L$1,0),FALSE),IF(VLOOKUP($E44,'Table Output'!$A$2:$E$9998,5,FALSE)="Clay",VLOOKUP(P$37,BoundParameters_HiddenSheetCLAY!$I$3:$L$50,MATCH(VLOOKUP($I79,$I$5:$AJ$34,MATCH(VLOOKUP(P$37,$BH$3:$BI$50,2,FALSE),$I$4:$AJ$4,0),FALSE),BoundParameters_HiddenSheetCLAY!$I$1:$L$1,0),FALSE))),'Control Panel'!P79)))</f>
        <v/>
      </c>
      <c r="Q79" s="44" t="str">
        <f>IF($I79="","",IF(Q$37="","",IF('Control Panel'!Q79="",IF(VLOOKUP($E44,'Table Output'!$A$2:$E$99998,5,FALSE)="Sand",VLOOKUP(Q$37,BoundParameters_HiddenSheetSAND!$I$3:$L$50,MATCH(VLOOKUP($I79,$I$5:$AJ$34,MATCH(VLOOKUP(Q$37,$BH$3:$BI$50,2,FALSE),$I$4:$AJ$4,0),FALSE),BoundParameters_HiddenSheetCLAY!$I$1:$L$1,0),FALSE),IF(VLOOKUP($E44,'Table Output'!$A$2:$E$9998,5,FALSE)="Clay",VLOOKUP(Q$37,BoundParameters_HiddenSheetCLAY!$I$3:$L$50,MATCH(VLOOKUP($I79,$I$5:$AJ$34,MATCH(VLOOKUP(Q$37,$BH$3:$BI$50,2,FALSE),$I$4:$AJ$4,0),FALSE),BoundParameters_HiddenSheetCLAY!$I$1:$L$1,0),FALSE))),'Control Panel'!Q79)))</f>
        <v/>
      </c>
      <c r="R79" s="44" t="str">
        <f>IF($I79="","",IF(R$37="","",IF('Control Panel'!R79="",IF(VLOOKUP($E44,'Table Output'!$A$2:$E$99998,5,FALSE)="Sand",VLOOKUP(R$37,BoundParameters_HiddenSheetSAND!$I$3:$L$50,MATCH(VLOOKUP($I79,$I$5:$AJ$34,MATCH(VLOOKUP(R$37,$BH$3:$BI$50,2,FALSE),$I$4:$AJ$4,0),FALSE),BoundParameters_HiddenSheetCLAY!$I$1:$L$1,0),FALSE),IF(VLOOKUP($E44,'Table Output'!$A$2:$E$9998,5,FALSE)="Clay",VLOOKUP(R$37,BoundParameters_HiddenSheetCLAY!$I$3:$L$50,MATCH(VLOOKUP($I79,$I$5:$AJ$34,MATCH(VLOOKUP(R$37,$BH$3:$BI$50,2,FALSE),$I$4:$AJ$4,0),FALSE),BoundParameters_HiddenSheetCLAY!$I$1:$L$1,0),FALSE))),'Control Panel'!R79)))</f>
        <v/>
      </c>
      <c r="S79" s="44" t="str">
        <f>IF($I79="","",IF(S$37="","",IF('Control Panel'!S79="",IF(VLOOKUP($E44,'Table Output'!$A$2:$E$99998,5,FALSE)="Sand",VLOOKUP(S$37,BoundParameters_HiddenSheetSAND!$I$3:$L$50,MATCH(VLOOKUP($I79,$I$5:$AJ$34,MATCH(VLOOKUP(S$37,$BH$3:$BI$50,2,FALSE),$I$4:$AJ$4,0),FALSE),BoundParameters_HiddenSheetCLAY!$I$1:$L$1,0),FALSE),IF(VLOOKUP($E44,'Table Output'!$A$2:$E$9998,5,FALSE)="Clay",VLOOKUP(S$37,BoundParameters_HiddenSheetCLAY!$I$3:$L$50,MATCH(VLOOKUP($I79,$I$5:$AJ$34,MATCH(VLOOKUP(S$37,$BH$3:$BI$50,2,FALSE),$I$4:$AJ$4,0),FALSE),BoundParameters_HiddenSheetCLAY!$I$1:$L$1,0),FALSE))),'Control Panel'!S79)))</f>
        <v/>
      </c>
    </row>
    <row r="80" spans="5:60" x14ac:dyDescent="0.15">
      <c r="E80" s="2" t="str">
        <f t="shared" si="7"/>
        <v/>
      </c>
      <c r="I80" s="7" t="str">
        <f t="shared" si="7"/>
        <v/>
      </c>
      <c r="J80" s="44" t="str">
        <f>IF($I80="","",IF(J$37="","",IF('Control Panel'!J80="",IF(VLOOKUP($E45,'Table Output'!$A$2:$E$99998,5,FALSE)="Sand",VLOOKUP(J$37,BoundParameters_HiddenSheetSAND!$I$3:$L$50,MATCH(VLOOKUP($I80,$I$5:$AJ$34,MATCH(VLOOKUP(J$37,$BH$3:$BI$50,2,FALSE),$I$4:$AJ$4,0),FALSE),BoundParameters_HiddenSheetCLAY!$I$1:$L$1,0),FALSE),IF(VLOOKUP($E45,'Table Output'!$A$2:$E$9998,5,FALSE)="Clay",VLOOKUP(J$37,BoundParameters_HiddenSheetCLAY!$I$3:$L$50,MATCH(VLOOKUP($I80,$I$5:$AJ$34,MATCH(VLOOKUP(J$37,$BH$3:$BI$50,2,FALSE),$I$4:$AJ$4,0),FALSE),BoundParameters_HiddenSheetCLAY!$I$1:$L$1,0),FALSE))),'Control Panel'!J80)))</f>
        <v/>
      </c>
      <c r="K80" s="44" t="str">
        <f>IF($I80="","",IF(K$37="","",IF('Control Panel'!K80="",IF(VLOOKUP($E45,'Table Output'!$A$2:$E$99998,5,FALSE)="Sand",VLOOKUP(K$37,BoundParameters_HiddenSheetSAND!$I$3:$L$50,MATCH(VLOOKUP($I80,$I$5:$AJ$34,MATCH(VLOOKUP(K$37,$BH$3:$BI$50,2,FALSE),$I$4:$AJ$4,0),FALSE),BoundParameters_HiddenSheetCLAY!$I$1:$L$1,0),FALSE),IF(VLOOKUP($E45,'Table Output'!$A$2:$E$9998,5,FALSE)="Clay",VLOOKUP(K$37,BoundParameters_HiddenSheetCLAY!$I$3:$L$50,MATCH(VLOOKUP($I80,$I$5:$AJ$34,MATCH(VLOOKUP(K$37,$BH$3:$BI$50,2,FALSE),$I$4:$AJ$4,0),FALSE),BoundParameters_HiddenSheetCLAY!$I$1:$L$1,0),FALSE))),'Control Panel'!K80)))</f>
        <v/>
      </c>
      <c r="L80" s="44" t="str">
        <f>IF($I80="","",IF(L$37="","",IF('Control Panel'!L80="",IF(VLOOKUP($E45,'Table Output'!$A$2:$E$99998,5,FALSE)="Sand",VLOOKUP(L$37,BoundParameters_HiddenSheetSAND!$I$3:$L$50,MATCH(VLOOKUP($I80,$I$5:$AJ$34,MATCH(VLOOKUP(L$37,$BH$3:$BI$50,2,FALSE),$I$4:$AJ$4,0),FALSE),BoundParameters_HiddenSheetCLAY!$I$1:$L$1,0),FALSE),IF(VLOOKUP($E45,'Table Output'!$A$2:$E$9998,5,FALSE)="Clay",VLOOKUP(L$37,BoundParameters_HiddenSheetCLAY!$I$3:$L$50,MATCH(VLOOKUP($I80,$I$5:$AJ$34,MATCH(VLOOKUP(L$37,$BH$3:$BI$50,2,FALSE),$I$4:$AJ$4,0),FALSE),BoundParameters_HiddenSheetCLAY!$I$1:$L$1,0),FALSE))),'Control Panel'!L80)))</f>
        <v/>
      </c>
      <c r="M80" s="44" t="str">
        <f>IF($I80="","",IF(M$37="","",IF('Control Panel'!M80="",IF(VLOOKUP($E45,'Table Output'!$A$2:$E$99998,5,FALSE)="Sand",VLOOKUP(M$37,BoundParameters_HiddenSheetSAND!$I$3:$L$50,MATCH(VLOOKUP($I80,$I$5:$AJ$34,MATCH(VLOOKUP(M$37,$BH$3:$BI$50,2,FALSE),$I$4:$AJ$4,0),FALSE),BoundParameters_HiddenSheetCLAY!$I$1:$L$1,0),FALSE),IF(VLOOKUP($E45,'Table Output'!$A$2:$E$9998,5,FALSE)="Clay",VLOOKUP(M$37,BoundParameters_HiddenSheetCLAY!$I$3:$L$50,MATCH(VLOOKUP($I80,$I$5:$AJ$34,MATCH(VLOOKUP(M$37,$BH$3:$BI$50,2,FALSE),$I$4:$AJ$4,0),FALSE),BoundParameters_HiddenSheetCLAY!$I$1:$L$1,0),FALSE))),'Control Panel'!M80)))</f>
        <v/>
      </c>
      <c r="N80" s="44" t="str">
        <f>IF($I80="","",IF(N$37="","",IF('Control Panel'!N80="",IF(VLOOKUP($E45,'Table Output'!$A$2:$E$99998,5,FALSE)="Sand",VLOOKUP(N$37,BoundParameters_HiddenSheetSAND!$I$3:$L$50,MATCH(VLOOKUP($I80,$I$5:$AJ$34,MATCH(VLOOKUP(N$37,$BH$3:$BI$50,2,FALSE),$I$4:$AJ$4,0),FALSE),BoundParameters_HiddenSheetCLAY!$I$1:$L$1,0),FALSE),IF(VLOOKUP($E45,'Table Output'!$A$2:$E$9998,5,FALSE)="Clay",VLOOKUP(N$37,BoundParameters_HiddenSheetCLAY!$I$3:$L$50,MATCH(VLOOKUP($I80,$I$5:$AJ$34,MATCH(VLOOKUP(N$37,$BH$3:$BI$50,2,FALSE),$I$4:$AJ$4,0),FALSE),BoundParameters_HiddenSheetCLAY!$I$1:$L$1,0),FALSE))),'Control Panel'!N80)))</f>
        <v/>
      </c>
      <c r="O80" s="44" t="str">
        <f>IF($I80="","",IF(O$37="","",IF('Control Panel'!O80="",IF(VLOOKUP($E45,'Table Output'!$A$2:$E$99998,5,FALSE)="Sand",VLOOKUP(O$37,BoundParameters_HiddenSheetSAND!$I$3:$L$50,MATCH(VLOOKUP($I80,$I$5:$AJ$34,MATCH(VLOOKUP(O$37,$BH$3:$BI$50,2,FALSE),$I$4:$AJ$4,0),FALSE),BoundParameters_HiddenSheetCLAY!$I$1:$L$1,0),FALSE),IF(VLOOKUP($E45,'Table Output'!$A$2:$E$9998,5,FALSE)="Clay",VLOOKUP(O$37,BoundParameters_HiddenSheetCLAY!$I$3:$L$50,MATCH(VLOOKUP($I80,$I$5:$AJ$34,MATCH(VLOOKUP(O$37,$BH$3:$BI$50,2,FALSE),$I$4:$AJ$4,0),FALSE),BoundParameters_HiddenSheetCLAY!$I$1:$L$1,0),FALSE))),'Control Panel'!O80)))</f>
        <v/>
      </c>
      <c r="P80" s="44" t="str">
        <f>IF($I80="","",IF(P$37="","",IF('Control Panel'!P80="",IF(VLOOKUP($E45,'Table Output'!$A$2:$E$99998,5,FALSE)="Sand",VLOOKUP(P$37,BoundParameters_HiddenSheetSAND!$I$3:$L$50,MATCH(VLOOKUP($I80,$I$5:$AJ$34,MATCH(VLOOKUP(P$37,$BH$3:$BI$50,2,FALSE),$I$4:$AJ$4,0),FALSE),BoundParameters_HiddenSheetCLAY!$I$1:$L$1,0),FALSE),IF(VLOOKUP($E45,'Table Output'!$A$2:$E$9998,5,FALSE)="Clay",VLOOKUP(P$37,BoundParameters_HiddenSheetCLAY!$I$3:$L$50,MATCH(VLOOKUP($I80,$I$5:$AJ$34,MATCH(VLOOKUP(P$37,$BH$3:$BI$50,2,FALSE),$I$4:$AJ$4,0),FALSE),BoundParameters_HiddenSheetCLAY!$I$1:$L$1,0),FALSE))),'Control Panel'!P80)))</f>
        <v/>
      </c>
      <c r="Q80" s="44" t="str">
        <f>IF($I80="","",IF(Q$37="","",IF('Control Panel'!Q80="",IF(VLOOKUP($E45,'Table Output'!$A$2:$E$99998,5,FALSE)="Sand",VLOOKUP(Q$37,BoundParameters_HiddenSheetSAND!$I$3:$L$50,MATCH(VLOOKUP($I80,$I$5:$AJ$34,MATCH(VLOOKUP(Q$37,$BH$3:$BI$50,2,FALSE),$I$4:$AJ$4,0),FALSE),BoundParameters_HiddenSheetCLAY!$I$1:$L$1,0),FALSE),IF(VLOOKUP($E45,'Table Output'!$A$2:$E$9998,5,FALSE)="Clay",VLOOKUP(Q$37,BoundParameters_HiddenSheetCLAY!$I$3:$L$50,MATCH(VLOOKUP($I80,$I$5:$AJ$34,MATCH(VLOOKUP(Q$37,$BH$3:$BI$50,2,FALSE),$I$4:$AJ$4,0),FALSE),BoundParameters_HiddenSheetCLAY!$I$1:$L$1,0),FALSE))),'Control Panel'!Q80)))</f>
        <v/>
      </c>
      <c r="R80" s="44" t="str">
        <f>IF($I80="","",IF(R$37="","",IF('Control Panel'!R80="",IF(VLOOKUP($E45,'Table Output'!$A$2:$E$99998,5,FALSE)="Sand",VLOOKUP(R$37,BoundParameters_HiddenSheetSAND!$I$3:$L$50,MATCH(VLOOKUP($I80,$I$5:$AJ$34,MATCH(VLOOKUP(R$37,$BH$3:$BI$50,2,FALSE),$I$4:$AJ$4,0),FALSE),BoundParameters_HiddenSheetCLAY!$I$1:$L$1,0),FALSE),IF(VLOOKUP($E45,'Table Output'!$A$2:$E$9998,5,FALSE)="Clay",VLOOKUP(R$37,BoundParameters_HiddenSheetCLAY!$I$3:$L$50,MATCH(VLOOKUP($I80,$I$5:$AJ$34,MATCH(VLOOKUP(R$37,$BH$3:$BI$50,2,FALSE),$I$4:$AJ$4,0),FALSE),BoundParameters_HiddenSheetCLAY!$I$1:$L$1,0),FALSE))),'Control Panel'!R80)))</f>
        <v/>
      </c>
      <c r="S80" s="44" t="str">
        <f>IF($I80="","",IF(S$37="","",IF('Control Panel'!S80="",IF(VLOOKUP($E45,'Table Output'!$A$2:$E$99998,5,FALSE)="Sand",VLOOKUP(S$37,BoundParameters_HiddenSheetSAND!$I$3:$L$50,MATCH(VLOOKUP($I80,$I$5:$AJ$34,MATCH(VLOOKUP(S$37,$BH$3:$BI$50,2,FALSE),$I$4:$AJ$4,0),FALSE),BoundParameters_HiddenSheetCLAY!$I$1:$L$1,0),FALSE),IF(VLOOKUP($E45,'Table Output'!$A$2:$E$9998,5,FALSE)="Clay",VLOOKUP(S$37,BoundParameters_HiddenSheetCLAY!$I$3:$L$50,MATCH(VLOOKUP($I80,$I$5:$AJ$34,MATCH(VLOOKUP(S$37,$BH$3:$BI$50,2,FALSE),$I$4:$AJ$4,0),FALSE),BoundParameters_HiddenSheetCLAY!$I$1:$L$1,0),FALSE))),'Control Panel'!S80)))</f>
        <v/>
      </c>
    </row>
    <row r="81" spans="5:19" x14ac:dyDescent="0.15">
      <c r="E81" s="2" t="str">
        <f t="shared" si="7"/>
        <v/>
      </c>
      <c r="I81" s="7" t="str">
        <f t="shared" si="7"/>
        <v/>
      </c>
      <c r="J81" s="44" t="str">
        <f>IF($I81="","",IF(J$37="","",IF('Control Panel'!J81="",IF(VLOOKUP($E46,'Table Output'!$A$2:$E$99998,5,FALSE)="Sand",VLOOKUP(J$37,BoundParameters_HiddenSheetSAND!$I$3:$L$50,MATCH(VLOOKUP($I81,$I$5:$AJ$34,MATCH(VLOOKUP(J$37,$BH$3:$BI$50,2,FALSE),$I$4:$AJ$4,0),FALSE),BoundParameters_HiddenSheetCLAY!$I$1:$L$1,0),FALSE),IF(VLOOKUP($E46,'Table Output'!$A$2:$E$9998,5,FALSE)="Clay",VLOOKUP(J$37,BoundParameters_HiddenSheetCLAY!$I$3:$L$50,MATCH(VLOOKUP($I81,$I$5:$AJ$34,MATCH(VLOOKUP(J$37,$BH$3:$BI$50,2,FALSE),$I$4:$AJ$4,0),FALSE),BoundParameters_HiddenSheetCLAY!$I$1:$L$1,0),FALSE))),'Control Panel'!J81)))</f>
        <v/>
      </c>
      <c r="K81" s="44" t="str">
        <f>IF($I81="","",IF(K$37="","",IF('Control Panel'!K81="",IF(VLOOKUP($E46,'Table Output'!$A$2:$E$99998,5,FALSE)="Sand",VLOOKUP(K$37,BoundParameters_HiddenSheetSAND!$I$3:$L$50,MATCH(VLOOKUP($I81,$I$5:$AJ$34,MATCH(VLOOKUP(K$37,$BH$3:$BI$50,2,FALSE),$I$4:$AJ$4,0),FALSE),BoundParameters_HiddenSheetCLAY!$I$1:$L$1,0),FALSE),IF(VLOOKUP($E46,'Table Output'!$A$2:$E$9998,5,FALSE)="Clay",VLOOKUP(K$37,BoundParameters_HiddenSheetCLAY!$I$3:$L$50,MATCH(VLOOKUP($I81,$I$5:$AJ$34,MATCH(VLOOKUP(K$37,$BH$3:$BI$50,2,FALSE),$I$4:$AJ$4,0),FALSE),BoundParameters_HiddenSheetCLAY!$I$1:$L$1,0),FALSE))),'Control Panel'!K81)))</f>
        <v/>
      </c>
      <c r="L81" s="44" t="str">
        <f>IF($I81="","",IF(L$37="","",IF('Control Panel'!L81="",IF(VLOOKUP($E46,'Table Output'!$A$2:$E$99998,5,FALSE)="Sand",VLOOKUP(L$37,BoundParameters_HiddenSheetSAND!$I$3:$L$50,MATCH(VLOOKUP($I81,$I$5:$AJ$34,MATCH(VLOOKUP(L$37,$BH$3:$BI$50,2,FALSE),$I$4:$AJ$4,0),FALSE),BoundParameters_HiddenSheetCLAY!$I$1:$L$1,0),FALSE),IF(VLOOKUP($E46,'Table Output'!$A$2:$E$9998,5,FALSE)="Clay",VLOOKUP(L$37,BoundParameters_HiddenSheetCLAY!$I$3:$L$50,MATCH(VLOOKUP($I81,$I$5:$AJ$34,MATCH(VLOOKUP(L$37,$BH$3:$BI$50,2,FALSE),$I$4:$AJ$4,0),FALSE),BoundParameters_HiddenSheetCLAY!$I$1:$L$1,0),FALSE))),'Control Panel'!L81)))</f>
        <v/>
      </c>
      <c r="M81" s="44" t="str">
        <f>IF($I81="","",IF(M$37="","",IF('Control Panel'!M81="",IF(VLOOKUP($E46,'Table Output'!$A$2:$E$99998,5,FALSE)="Sand",VLOOKUP(M$37,BoundParameters_HiddenSheetSAND!$I$3:$L$50,MATCH(VLOOKUP($I81,$I$5:$AJ$34,MATCH(VLOOKUP(M$37,$BH$3:$BI$50,2,FALSE),$I$4:$AJ$4,0),FALSE),BoundParameters_HiddenSheetCLAY!$I$1:$L$1,0),FALSE),IF(VLOOKUP($E46,'Table Output'!$A$2:$E$9998,5,FALSE)="Clay",VLOOKUP(M$37,BoundParameters_HiddenSheetCLAY!$I$3:$L$50,MATCH(VLOOKUP($I81,$I$5:$AJ$34,MATCH(VLOOKUP(M$37,$BH$3:$BI$50,2,FALSE),$I$4:$AJ$4,0),FALSE),BoundParameters_HiddenSheetCLAY!$I$1:$L$1,0),FALSE))),'Control Panel'!M81)))</f>
        <v/>
      </c>
      <c r="N81" s="44" t="str">
        <f>IF($I81="","",IF(N$37="","",IF('Control Panel'!N81="",IF(VLOOKUP($E46,'Table Output'!$A$2:$E$99998,5,FALSE)="Sand",VLOOKUP(N$37,BoundParameters_HiddenSheetSAND!$I$3:$L$50,MATCH(VLOOKUP($I81,$I$5:$AJ$34,MATCH(VLOOKUP(N$37,$BH$3:$BI$50,2,FALSE),$I$4:$AJ$4,0),FALSE),BoundParameters_HiddenSheetCLAY!$I$1:$L$1,0),FALSE),IF(VLOOKUP($E46,'Table Output'!$A$2:$E$9998,5,FALSE)="Clay",VLOOKUP(N$37,BoundParameters_HiddenSheetCLAY!$I$3:$L$50,MATCH(VLOOKUP($I81,$I$5:$AJ$34,MATCH(VLOOKUP(N$37,$BH$3:$BI$50,2,FALSE),$I$4:$AJ$4,0),FALSE),BoundParameters_HiddenSheetCLAY!$I$1:$L$1,0),FALSE))),'Control Panel'!N81)))</f>
        <v/>
      </c>
      <c r="O81" s="44" t="str">
        <f>IF($I81="","",IF(O$37="","",IF('Control Panel'!O81="",IF(VLOOKUP($E46,'Table Output'!$A$2:$E$99998,5,FALSE)="Sand",VLOOKUP(O$37,BoundParameters_HiddenSheetSAND!$I$3:$L$50,MATCH(VLOOKUP($I81,$I$5:$AJ$34,MATCH(VLOOKUP(O$37,$BH$3:$BI$50,2,FALSE),$I$4:$AJ$4,0),FALSE),BoundParameters_HiddenSheetCLAY!$I$1:$L$1,0),FALSE),IF(VLOOKUP($E46,'Table Output'!$A$2:$E$9998,5,FALSE)="Clay",VLOOKUP(O$37,BoundParameters_HiddenSheetCLAY!$I$3:$L$50,MATCH(VLOOKUP($I81,$I$5:$AJ$34,MATCH(VLOOKUP(O$37,$BH$3:$BI$50,2,FALSE),$I$4:$AJ$4,0),FALSE),BoundParameters_HiddenSheetCLAY!$I$1:$L$1,0),FALSE))),'Control Panel'!O81)))</f>
        <v/>
      </c>
      <c r="P81" s="44" t="str">
        <f>IF($I81="","",IF(P$37="","",IF('Control Panel'!P81="",IF(VLOOKUP($E46,'Table Output'!$A$2:$E$99998,5,FALSE)="Sand",VLOOKUP(P$37,BoundParameters_HiddenSheetSAND!$I$3:$L$50,MATCH(VLOOKUP($I81,$I$5:$AJ$34,MATCH(VLOOKUP(P$37,$BH$3:$BI$50,2,FALSE),$I$4:$AJ$4,0),FALSE),BoundParameters_HiddenSheetCLAY!$I$1:$L$1,0),FALSE),IF(VLOOKUP($E46,'Table Output'!$A$2:$E$9998,5,FALSE)="Clay",VLOOKUP(P$37,BoundParameters_HiddenSheetCLAY!$I$3:$L$50,MATCH(VLOOKUP($I81,$I$5:$AJ$34,MATCH(VLOOKUP(P$37,$BH$3:$BI$50,2,FALSE),$I$4:$AJ$4,0),FALSE),BoundParameters_HiddenSheetCLAY!$I$1:$L$1,0),FALSE))),'Control Panel'!P81)))</f>
        <v/>
      </c>
      <c r="Q81" s="44" t="str">
        <f>IF($I81="","",IF(Q$37="","",IF('Control Panel'!Q81="",IF(VLOOKUP($E46,'Table Output'!$A$2:$E$99998,5,FALSE)="Sand",VLOOKUP(Q$37,BoundParameters_HiddenSheetSAND!$I$3:$L$50,MATCH(VLOOKUP($I81,$I$5:$AJ$34,MATCH(VLOOKUP(Q$37,$BH$3:$BI$50,2,FALSE),$I$4:$AJ$4,0),FALSE),BoundParameters_HiddenSheetCLAY!$I$1:$L$1,0),FALSE),IF(VLOOKUP($E46,'Table Output'!$A$2:$E$9998,5,FALSE)="Clay",VLOOKUP(Q$37,BoundParameters_HiddenSheetCLAY!$I$3:$L$50,MATCH(VLOOKUP($I81,$I$5:$AJ$34,MATCH(VLOOKUP(Q$37,$BH$3:$BI$50,2,FALSE),$I$4:$AJ$4,0),FALSE),BoundParameters_HiddenSheetCLAY!$I$1:$L$1,0),FALSE))),'Control Panel'!Q81)))</f>
        <v/>
      </c>
      <c r="R81" s="44" t="str">
        <f>IF($I81="","",IF(R$37="","",IF('Control Panel'!R81="",IF(VLOOKUP($E46,'Table Output'!$A$2:$E$99998,5,FALSE)="Sand",VLOOKUP(R$37,BoundParameters_HiddenSheetSAND!$I$3:$L$50,MATCH(VLOOKUP($I81,$I$5:$AJ$34,MATCH(VLOOKUP(R$37,$BH$3:$BI$50,2,FALSE),$I$4:$AJ$4,0),FALSE),BoundParameters_HiddenSheetCLAY!$I$1:$L$1,0),FALSE),IF(VLOOKUP($E46,'Table Output'!$A$2:$E$9998,5,FALSE)="Clay",VLOOKUP(R$37,BoundParameters_HiddenSheetCLAY!$I$3:$L$50,MATCH(VLOOKUP($I81,$I$5:$AJ$34,MATCH(VLOOKUP(R$37,$BH$3:$BI$50,2,FALSE),$I$4:$AJ$4,0),FALSE),BoundParameters_HiddenSheetCLAY!$I$1:$L$1,0),FALSE))),'Control Panel'!R81)))</f>
        <v/>
      </c>
      <c r="S81" s="44" t="str">
        <f>IF($I81="","",IF(S$37="","",IF('Control Panel'!S81="",IF(VLOOKUP($E46,'Table Output'!$A$2:$E$99998,5,FALSE)="Sand",VLOOKUP(S$37,BoundParameters_HiddenSheetSAND!$I$3:$L$50,MATCH(VLOOKUP($I81,$I$5:$AJ$34,MATCH(VLOOKUP(S$37,$BH$3:$BI$50,2,FALSE),$I$4:$AJ$4,0),FALSE),BoundParameters_HiddenSheetCLAY!$I$1:$L$1,0),FALSE),IF(VLOOKUP($E46,'Table Output'!$A$2:$E$9998,5,FALSE)="Clay",VLOOKUP(S$37,BoundParameters_HiddenSheetCLAY!$I$3:$L$50,MATCH(VLOOKUP($I81,$I$5:$AJ$34,MATCH(VLOOKUP(S$37,$BH$3:$BI$50,2,FALSE),$I$4:$AJ$4,0),FALSE),BoundParameters_HiddenSheetCLAY!$I$1:$L$1,0),FALSE))),'Control Panel'!S81)))</f>
        <v/>
      </c>
    </row>
    <row r="82" spans="5:19" x14ac:dyDescent="0.15">
      <c r="E82" s="2" t="str">
        <f t="shared" si="7"/>
        <v/>
      </c>
      <c r="I82" s="7" t="str">
        <f t="shared" si="7"/>
        <v/>
      </c>
      <c r="J82" s="44" t="str">
        <f>IF($I82="","",IF(J$37="","",IF('Control Panel'!J82="",IF(VLOOKUP($E47,'Table Output'!$A$2:$E$99998,5,FALSE)="Sand",VLOOKUP(J$37,BoundParameters_HiddenSheetSAND!$I$3:$L$50,MATCH(VLOOKUP($I82,$I$5:$AJ$34,MATCH(VLOOKUP(J$37,$BH$3:$BI$50,2,FALSE),$I$4:$AJ$4,0),FALSE),BoundParameters_HiddenSheetCLAY!$I$1:$L$1,0),FALSE),IF(VLOOKUP($E47,'Table Output'!$A$2:$E$9998,5,FALSE)="Clay",VLOOKUP(J$37,BoundParameters_HiddenSheetCLAY!$I$3:$L$50,MATCH(VLOOKUP($I82,$I$5:$AJ$34,MATCH(VLOOKUP(J$37,$BH$3:$BI$50,2,FALSE),$I$4:$AJ$4,0),FALSE),BoundParameters_HiddenSheetCLAY!$I$1:$L$1,0),FALSE))),'Control Panel'!J82)))</f>
        <v/>
      </c>
      <c r="K82" s="44" t="str">
        <f>IF($I82="","",IF(K$37="","",IF('Control Panel'!K82="",IF(VLOOKUP($E47,'Table Output'!$A$2:$E$99998,5,FALSE)="Sand",VLOOKUP(K$37,BoundParameters_HiddenSheetSAND!$I$3:$L$50,MATCH(VLOOKUP($I82,$I$5:$AJ$34,MATCH(VLOOKUP(K$37,$BH$3:$BI$50,2,FALSE),$I$4:$AJ$4,0),FALSE),BoundParameters_HiddenSheetCLAY!$I$1:$L$1,0),FALSE),IF(VLOOKUP($E47,'Table Output'!$A$2:$E$9998,5,FALSE)="Clay",VLOOKUP(K$37,BoundParameters_HiddenSheetCLAY!$I$3:$L$50,MATCH(VLOOKUP($I82,$I$5:$AJ$34,MATCH(VLOOKUP(K$37,$BH$3:$BI$50,2,FALSE),$I$4:$AJ$4,0),FALSE),BoundParameters_HiddenSheetCLAY!$I$1:$L$1,0),FALSE))),'Control Panel'!K82)))</f>
        <v/>
      </c>
      <c r="L82" s="44" t="str">
        <f>IF($I82="","",IF(L$37="","",IF('Control Panel'!L82="",IF(VLOOKUP($E47,'Table Output'!$A$2:$E$99998,5,FALSE)="Sand",VLOOKUP(L$37,BoundParameters_HiddenSheetSAND!$I$3:$L$50,MATCH(VLOOKUP($I82,$I$5:$AJ$34,MATCH(VLOOKUP(L$37,$BH$3:$BI$50,2,FALSE),$I$4:$AJ$4,0),FALSE),BoundParameters_HiddenSheetCLAY!$I$1:$L$1,0),FALSE),IF(VLOOKUP($E47,'Table Output'!$A$2:$E$9998,5,FALSE)="Clay",VLOOKUP(L$37,BoundParameters_HiddenSheetCLAY!$I$3:$L$50,MATCH(VLOOKUP($I82,$I$5:$AJ$34,MATCH(VLOOKUP(L$37,$BH$3:$BI$50,2,FALSE),$I$4:$AJ$4,0),FALSE),BoundParameters_HiddenSheetCLAY!$I$1:$L$1,0),FALSE))),'Control Panel'!L82)))</f>
        <v/>
      </c>
      <c r="M82" s="44" t="str">
        <f>IF($I82="","",IF(M$37="","",IF('Control Panel'!M82="",IF(VLOOKUP($E47,'Table Output'!$A$2:$E$99998,5,FALSE)="Sand",VLOOKUP(M$37,BoundParameters_HiddenSheetSAND!$I$3:$L$50,MATCH(VLOOKUP($I82,$I$5:$AJ$34,MATCH(VLOOKUP(M$37,$BH$3:$BI$50,2,FALSE),$I$4:$AJ$4,0),FALSE),BoundParameters_HiddenSheetCLAY!$I$1:$L$1,0),FALSE),IF(VLOOKUP($E47,'Table Output'!$A$2:$E$9998,5,FALSE)="Clay",VLOOKUP(M$37,BoundParameters_HiddenSheetCLAY!$I$3:$L$50,MATCH(VLOOKUP($I82,$I$5:$AJ$34,MATCH(VLOOKUP(M$37,$BH$3:$BI$50,2,FALSE),$I$4:$AJ$4,0),FALSE),BoundParameters_HiddenSheetCLAY!$I$1:$L$1,0),FALSE))),'Control Panel'!M82)))</f>
        <v/>
      </c>
      <c r="N82" s="44" t="str">
        <f>IF($I82="","",IF(N$37="","",IF('Control Panel'!N82="",IF(VLOOKUP($E47,'Table Output'!$A$2:$E$99998,5,FALSE)="Sand",VLOOKUP(N$37,BoundParameters_HiddenSheetSAND!$I$3:$L$50,MATCH(VLOOKUP($I82,$I$5:$AJ$34,MATCH(VLOOKUP(N$37,$BH$3:$BI$50,2,FALSE),$I$4:$AJ$4,0),FALSE),BoundParameters_HiddenSheetCLAY!$I$1:$L$1,0),FALSE),IF(VLOOKUP($E47,'Table Output'!$A$2:$E$9998,5,FALSE)="Clay",VLOOKUP(N$37,BoundParameters_HiddenSheetCLAY!$I$3:$L$50,MATCH(VLOOKUP($I82,$I$5:$AJ$34,MATCH(VLOOKUP(N$37,$BH$3:$BI$50,2,FALSE),$I$4:$AJ$4,0),FALSE),BoundParameters_HiddenSheetCLAY!$I$1:$L$1,0),FALSE))),'Control Panel'!N82)))</f>
        <v/>
      </c>
      <c r="O82" s="44" t="str">
        <f>IF($I82="","",IF(O$37="","",IF('Control Panel'!O82="",IF(VLOOKUP($E47,'Table Output'!$A$2:$E$99998,5,FALSE)="Sand",VLOOKUP(O$37,BoundParameters_HiddenSheetSAND!$I$3:$L$50,MATCH(VLOOKUP($I82,$I$5:$AJ$34,MATCH(VLOOKUP(O$37,$BH$3:$BI$50,2,FALSE),$I$4:$AJ$4,0),FALSE),BoundParameters_HiddenSheetCLAY!$I$1:$L$1,0),FALSE),IF(VLOOKUP($E47,'Table Output'!$A$2:$E$9998,5,FALSE)="Clay",VLOOKUP(O$37,BoundParameters_HiddenSheetCLAY!$I$3:$L$50,MATCH(VLOOKUP($I82,$I$5:$AJ$34,MATCH(VLOOKUP(O$37,$BH$3:$BI$50,2,FALSE),$I$4:$AJ$4,0),FALSE),BoundParameters_HiddenSheetCLAY!$I$1:$L$1,0),FALSE))),'Control Panel'!O82)))</f>
        <v/>
      </c>
      <c r="P82" s="44" t="str">
        <f>IF($I82="","",IF(P$37="","",IF('Control Panel'!P82="",IF(VLOOKUP($E47,'Table Output'!$A$2:$E$99998,5,FALSE)="Sand",VLOOKUP(P$37,BoundParameters_HiddenSheetSAND!$I$3:$L$50,MATCH(VLOOKUP($I82,$I$5:$AJ$34,MATCH(VLOOKUP(P$37,$BH$3:$BI$50,2,FALSE),$I$4:$AJ$4,0),FALSE),BoundParameters_HiddenSheetCLAY!$I$1:$L$1,0),FALSE),IF(VLOOKUP($E47,'Table Output'!$A$2:$E$9998,5,FALSE)="Clay",VLOOKUP(P$37,BoundParameters_HiddenSheetCLAY!$I$3:$L$50,MATCH(VLOOKUP($I82,$I$5:$AJ$34,MATCH(VLOOKUP(P$37,$BH$3:$BI$50,2,FALSE),$I$4:$AJ$4,0),FALSE),BoundParameters_HiddenSheetCLAY!$I$1:$L$1,0),FALSE))),'Control Panel'!P82)))</f>
        <v/>
      </c>
      <c r="Q82" s="44" t="str">
        <f>IF($I82="","",IF(Q$37="","",IF('Control Panel'!Q82="",IF(VLOOKUP($E47,'Table Output'!$A$2:$E$99998,5,FALSE)="Sand",VLOOKUP(Q$37,BoundParameters_HiddenSheetSAND!$I$3:$L$50,MATCH(VLOOKUP($I82,$I$5:$AJ$34,MATCH(VLOOKUP(Q$37,$BH$3:$BI$50,2,FALSE),$I$4:$AJ$4,0),FALSE),BoundParameters_HiddenSheetCLAY!$I$1:$L$1,0),FALSE),IF(VLOOKUP($E47,'Table Output'!$A$2:$E$9998,5,FALSE)="Clay",VLOOKUP(Q$37,BoundParameters_HiddenSheetCLAY!$I$3:$L$50,MATCH(VLOOKUP($I82,$I$5:$AJ$34,MATCH(VLOOKUP(Q$37,$BH$3:$BI$50,2,FALSE),$I$4:$AJ$4,0),FALSE),BoundParameters_HiddenSheetCLAY!$I$1:$L$1,0),FALSE))),'Control Panel'!Q82)))</f>
        <v/>
      </c>
      <c r="R82" s="44" t="str">
        <f>IF($I82="","",IF(R$37="","",IF('Control Panel'!R82="",IF(VLOOKUP($E47,'Table Output'!$A$2:$E$99998,5,FALSE)="Sand",VLOOKUP(R$37,BoundParameters_HiddenSheetSAND!$I$3:$L$50,MATCH(VLOOKUP($I82,$I$5:$AJ$34,MATCH(VLOOKUP(R$37,$BH$3:$BI$50,2,FALSE),$I$4:$AJ$4,0),FALSE),BoundParameters_HiddenSheetCLAY!$I$1:$L$1,0),FALSE),IF(VLOOKUP($E47,'Table Output'!$A$2:$E$9998,5,FALSE)="Clay",VLOOKUP(R$37,BoundParameters_HiddenSheetCLAY!$I$3:$L$50,MATCH(VLOOKUP($I82,$I$5:$AJ$34,MATCH(VLOOKUP(R$37,$BH$3:$BI$50,2,FALSE),$I$4:$AJ$4,0),FALSE),BoundParameters_HiddenSheetCLAY!$I$1:$L$1,0),FALSE))),'Control Panel'!R82)))</f>
        <v/>
      </c>
      <c r="S82" s="44" t="str">
        <f>IF($I82="","",IF(S$37="","",IF('Control Panel'!S82="",IF(VLOOKUP($E47,'Table Output'!$A$2:$E$99998,5,FALSE)="Sand",VLOOKUP(S$37,BoundParameters_HiddenSheetSAND!$I$3:$L$50,MATCH(VLOOKUP($I82,$I$5:$AJ$34,MATCH(VLOOKUP(S$37,$BH$3:$BI$50,2,FALSE),$I$4:$AJ$4,0),FALSE),BoundParameters_HiddenSheetCLAY!$I$1:$L$1,0),FALSE),IF(VLOOKUP($E47,'Table Output'!$A$2:$E$9998,5,FALSE)="Clay",VLOOKUP(S$37,BoundParameters_HiddenSheetCLAY!$I$3:$L$50,MATCH(VLOOKUP($I82,$I$5:$AJ$34,MATCH(VLOOKUP(S$37,$BH$3:$BI$50,2,FALSE),$I$4:$AJ$4,0),FALSE),BoundParameters_HiddenSheetCLAY!$I$1:$L$1,0),FALSE))),'Control Panel'!S82)))</f>
        <v/>
      </c>
    </row>
    <row r="83" spans="5:19" x14ac:dyDescent="0.15">
      <c r="E83" s="2" t="str">
        <f t="shared" si="7"/>
        <v/>
      </c>
      <c r="I83" s="7" t="str">
        <f t="shared" si="7"/>
        <v/>
      </c>
      <c r="J83" s="44" t="str">
        <f>IF($I83="","",IF(J$37="","",IF('Control Panel'!J83="",IF(VLOOKUP($E48,'Table Output'!$A$2:$E$99998,5,FALSE)="Sand",VLOOKUP(J$37,BoundParameters_HiddenSheetSAND!$I$3:$L$50,MATCH(VLOOKUP($I83,$I$5:$AJ$34,MATCH(VLOOKUP(J$37,$BH$3:$BI$50,2,FALSE),$I$4:$AJ$4,0),FALSE),BoundParameters_HiddenSheetCLAY!$I$1:$L$1,0),FALSE),IF(VLOOKUP($E48,'Table Output'!$A$2:$E$9998,5,FALSE)="Clay",VLOOKUP(J$37,BoundParameters_HiddenSheetCLAY!$I$3:$L$50,MATCH(VLOOKUP($I83,$I$5:$AJ$34,MATCH(VLOOKUP(J$37,$BH$3:$BI$50,2,FALSE),$I$4:$AJ$4,0),FALSE),BoundParameters_HiddenSheetCLAY!$I$1:$L$1,0),FALSE))),'Control Panel'!J83)))</f>
        <v/>
      </c>
      <c r="K83" s="44" t="str">
        <f>IF($I83="","",IF(K$37="","",IF('Control Panel'!K83="",IF(VLOOKUP($E48,'Table Output'!$A$2:$E$99998,5,FALSE)="Sand",VLOOKUP(K$37,BoundParameters_HiddenSheetSAND!$I$3:$L$50,MATCH(VLOOKUP($I83,$I$5:$AJ$34,MATCH(VLOOKUP(K$37,$BH$3:$BI$50,2,FALSE),$I$4:$AJ$4,0),FALSE),BoundParameters_HiddenSheetCLAY!$I$1:$L$1,0),FALSE),IF(VLOOKUP($E48,'Table Output'!$A$2:$E$9998,5,FALSE)="Clay",VLOOKUP(K$37,BoundParameters_HiddenSheetCLAY!$I$3:$L$50,MATCH(VLOOKUP($I83,$I$5:$AJ$34,MATCH(VLOOKUP(K$37,$BH$3:$BI$50,2,FALSE),$I$4:$AJ$4,0),FALSE),BoundParameters_HiddenSheetCLAY!$I$1:$L$1,0),FALSE))),'Control Panel'!K83)))</f>
        <v/>
      </c>
      <c r="L83" s="44" t="str">
        <f>IF($I83="","",IF(L$37="","",IF('Control Panel'!L83="",IF(VLOOKUP($E48,'Table Output'!$A$2:$E$99998,5,FALSE)="Sand",VLOOKUP(L$37,BoundParameters_HiddenSheetSAND!$I$3:$L$50,MATCH(VLOOKUP($I83,$I$5:$AJ$34,MATCH(VLOOKUP(L$37,$BH$3:$BI$50,2,FALSE),$I$4:$AJ$4,0),FALSE),BoundParameters_HiddenSheetCLAY!$I$1:$L$1,0),FALSE),IF(VLOOKUP($E48,'Table Output'!$A$2:$E$9998,5,FALSE)="Clay",VLOOKUP(L$37,BoundParameters_HiddenSheetCLAY!$I$3:$L$50,MATCH(VLOOKUP($I83,$I$5:$AJ$34,MATCH(VLOOKUP(L$37,$BH$3:$BI$50,2,FALSE),$I$4:$AJ$4,0),FALSE),BoundParameters_HiddenSheetCLAY!$I$1:$L$1,0),FALSE))),'Control Panel'!L83)))</f>
        <v/>
      </c>
      <c r="M83" s="44" t="str">
        <f>IF($I83="","",IF(M$37="","",IF('Control Panel'!M83="",IF(VLOOKUP($E48,'Table Output'!$A$2:$E$99998,5,FALSE)="Sand",VLOOKUP(M$37,BoundParameters_HiddenSheetSAND!$I$3:$L$50,MATCH(VLOOKUP($I83,$I$5:$AJ$34,MATCH(VLOOKUP(M$37,$BH$3:$BI$50,2,FALSE),$I$4:$AJ$4,0),FALSE),BoundParameters_HiddenSheetCLAY!$I$1:$L$1,0),FALSE),IF(VLOOKUP($E48,'Table Output'!$A$2:$E$9998,5,FALSE)="Clay",VLOOKUP(M$37,BoundParameters_HiddenSheetCLAY!$I$3:$L$50,MATCH(VLOOKUP($I83,$I$5:$AJ$34,MATCH(VLOOKUP(M$37,$BH$3:$BI$50,2,FALSE),$I$4:$AJ$4,0),FALSE),BoundParameters_HiddenSheetCLAY!$I$1:$L$1,0),FALSE))),'Control Panel'!M83)))</f>
        <v/>
      </c>
      <c r="N83" s="44" t="str">
        <f>IF($I83="","",IF(N$37="","",IF('Control Panel'!N83="",IF(VLOOKUP($E48,'Table Output'!$A$2:$E$99998,5,FALSE)="Sand",VLOOKUP(N$37,BoundParameters_HiddenSheetSAND!$I$3:$L$50,MATCH(VLOOKUP($I83,$I$5:$AJ$34,MATCH(VLOOKUP(N$37,$BH$3:$BI$50,2,FALSE),$I$4:$AJ$4,0),FALSE),BoundParameters_HiddenSheetCLAY!$I$1:$L$1,0),FALSE),IF(VLOOKUP($E48,'Table Output'!$A$2:$E$9998,5,FALSE)="Clay",VLOOKUP(N$37,BoundParameters_HiddenSheetCLAY!$I$3:$L$50,MATCH(VLOOKUP($I83,$I$5:$AJ$34,MATCH(VLOOKUP(N$37,$BH$3:$BI$50,2,FALSE),$I$4:$AJ$4,0),FALSE),BoundParameters_HiddenSheetCLAY!$I$1:$L$1,0),FALSE))),'Control Panel'!N83)))</f>
        <v/>
      </c>
      <c r="O83" s="44" t="str">
        <f>IF($I83="","",IF(O$37="","",IF('Control Panel'!O83="",IF(VLOOKUP($E48,'Table Output'!$A$2:$E$99998,5,FALSE)="Sand",VLOOKUP(O$37,BoundParameters_HiddenSheetSAND!$I$3:$L$50,MATCH(VLOOKUP($I83,$I$5:$AJ$34,MATCH(VLOOKUP(O$37,$BH$3:$BI$50,2,FALSE),$I$4:$AJ$4,0),FALSE),BoundParameters_HiddenSheetCLAY!$I$1:$L$1,0),FALSE),IF(VLOOKUP($E48,'Table Output'!$A$2:$E$9998,5,FALSE)="Clay",VLOOKUP(O$37,BoundParameters_HiddenSheetCLAY!$I$3:$L$50,MATCH(VLOOKUP($I83,$I$5:$AJ$34,MATCH(VLOOKUP(O$37,$BH$3:$BI$50,2,FALSE),$I$4:$AJ$4,0),FALSE),BoundParameters_HiddenSheetCLAY!$I$1:$L$1,0),FALSE))),'Control Panel'!O83)))</f>
        <v/>
      </c>
      <c r="P83" s="44" t="str">
        <f>IF($I83="","",IF(P$37="","",IF('Control Panel'!P83="",IF(VLOOKUP($E48,'Table Output'!$A$2:$E$99998,5,FALSE)="Sand",VLOOKUP(P$37,BoundParameters_HiddenSheetSAND!$I$3:$L$50,MATCH(VLOOKUP($I83,$I$5:$AJ$34,MATCH(VLOOKUP(P$37,$BH$3:$BI$50,2,FALSE),$I$4:$AJ$4,0),FALSE),BoundParameters_HiddenSheetCLAY!$I$1:$L$1,0),FALSE),IF(VLOOKUP($E48,'Table Output'!$A$2:$E$9998,5,FALSE)="Clay",VLOOKUP(P$37,BoundParameters_HiddenSheetCLAY!$I$3:$L$50,MATCH(VLOOKUP($I83,$I$5:$AJ$34,MATCH(VLOOKUP(P$37,$BH$3:$BI$50,2,FALSE),$I$4:$AJ$4,0),FALSE),BoundParameters_HiddenSheetCLAY!$I$1:$L$1,0),FALSE))),'Control Panel'!P83)))</f>
        <v/>
      </c>
      <c r="Q83" s="44" t="str">
        <f>IF($I83="","",IF(Q$37="","",IF('Control Panel'!Q83="",IF(VLOOKUP($E48,'Table Output'!$A$2:$E$99998,5,FALSE)="Sand",VLOOKUP(Q$37,BoundParameters_HiddenSheetSAND!$I$3:$L$50,MATCH(VLOOKUP($I83,$I$5:$AJ$34,MATCH(VLOOKUP(Q$37,$BH$3:$BI$50,2,FALSE),$I$4:$AJ$4,0),FALSE),BoundParameters_HiddenSheetCLAY!$I$1:$L$1,0),FALSE),IF(VLOOKUP($E48,'Table Output'!$A$2:$E$9998,5,FALSE)="Clay",VLOOKUP(Q$37,BoundParameters_HiddenSheetCLAY!$I$3:$L$50,MATCH(VLOOKUP($I83,$I$5:$AJ$34,MATCH(VLOOKUP(Q$37,$BH$3:$BI$50,2,FALSE),$I$4:$AJ$4,0),FALSE),BoundParameters_HiddenSheetCLAY!$I$1:$L$1,0),FALSE))),'Control Panel'!Q83)))</f>
        <v/>
      </c>
      <c r="R83" s="44" t="str">
        <f>IF($I83="","",IF(R$37="","",IF('Control Panel'!R83="",IF(VLOOKUP($E48,'Table Output'!$A$2:$E$99998,5,FALSE)="Sand",VLOOKUP(R$37,BoundParameters_HiddenSheetSAND!$I$3:$L$50,MATCH(VLOOKUP($I83,$I$5:$AJ$34,MATCH(VLOOKUP(R$37,$BH$3:$BI$50,2,FALSE),$I$4:$AJ$4,0),FALSE),BoundParameters_HiddenSheetCLAY!$I$1:$L$1,0),FALSE),IF(VLOOKUP($E48,'Table Output'!$A$2:$E$9998,5,FALSE)="Clay",VLOOKUP(R$37,BoundParameters_HiddenSheetCLAY!$I$3:$L$50,MATCH(VLOOKUP($I83,$I$5:$AJ$34,MATCH(VLOOKUP(R$37,$BH$3:$BI$50,2,FALSE),$I$4:$AJ$4,0),FALSE),BoundParameters_HiddenSheetCLAY!$I$1:$L$1,0),FALSE))),'Control Panel'!R83)))</f>
        <v/>
      </c>
      <c r="S83" s="44" t="str">
        <f>IF($I83="","",IF(S$37="","",IF('Control Panel'!S83="",IF(VLOOKUP($E48,'Table Output'!$A$2:$E$99998,5,FALSE)="Sand",VLOOKUP(S$37,BoundParameters_HiddenSheetSAND!$I$3:$L$50,MATCH(VLOOKUP($I83,$I$5:$AJ$34,MATCH(VLOOKUP(S$37,$BH$3:$BI$50,2,FALSE),$I$4:$AJ$4,0),FALSE),BoundParameters_HiddenSheetCLAY!$I$1:$L$1,0),FALSE),IF(VLOOKUP($E48,'Table Output'!$A$2:$E$9998,5,FALSE)="Clay",VLOOKUP(S$37,BoundParameters_HiddenSheetCLAY!$I$3:$L$50,MATCH(VLOOKUP($I83,$I$5:$AJ$34,MATCH(VLOOKUP(S$37,$BH$3:$BI$50,2,FALSE),$I$4:$AJ$4,0),FALSE),BoundParameters_HiddenSheetCLAY!$I$1:$L$1,0),FALSE))),'Control Panel'!S83)))</f>
        <v/>
      </c>
    </row>
    <row r="84" spans="5:19" x14ac:dyDescent="0.15">
      <c r="E84" s="2" t="str">
        <f t="shared" si="7"/>
        <v/>
      </c>
      <c r="I84" s="7" t="str">
        <f t="shared" si="7"/>
        <v/>
      </c>
      <c r="J84" s="44" t="str">
        <f>IF($I84="","",IF(J$37="","",IF('Control Panel'!J84="",IF(VLOOKUP($E49,'Table Output'!$A$2:$E$99998,5,FALSE)="Sand",VLOOKUP(J$37,BoundParameters_HiddenSheetSAND!$I$3:$L$50,MATCH(VLOOKUP($I84,$I$5:$AJ$34,MATCH(VLOOKUP(J$37,$BH$3:$BI$50,2,FALSE),$I$4:$AJ$4,0),FALSE),BoundParameters_HiddenSheetCLAY!$I$1:$L$1,0),FALSE),IF(VLOOKUP($E49,'Table Output'!$A$2:$E$9998,5,FALSE)="Clay",VLOOKUP(J$37,BoundParameters_HiddenSheetCLAY!$I$3:$L$50,MATCH(VLOOKUP($I84,$I$5:$AJ$34,MATCH(VLOOKUP(J$37,$BH$3:$BI$50,2,FALSE),$I$4:$AJ$4,0),FALSE),BoundParameters_HiddenSheetCLAY!$I$1:$L$1,0),FALSE))),'Control Panel'!J84)))</f>
        <v/>
      </c>
      <c r="K84" s="44" t="str">
        <f>IF($I84="","",IF(K$37="","",IF('Control Panel'!K84="",IF(VLOOKUP($E49,'Table Output'!$A$2:$E$99998,5,FALSE)="Sand",VLOOKUP(K$37,BoundParameters_HiddenSheetSAND!$I$3:$L$50,MATCH(VLOOKUP($I84,$I$5:$AJ$34,MATCH(VLOOKUP(K$37,$BH$3:$BI$50,2,FALSE),$I$4:$AJ$4,0),FALSE),BoundParameters_HiddenSheetCLAY!$I$1:$L$1,0),FALSE),IF(VLOOKUP($E49,'Table Output'!$A$2:$E$9998,5,FALSE)="Clay",VLOOKUP(K$37,BoundParameters_HiddenSheetCLAY!$I$3:$L$50,MATCH(VLOOKUP($I84,$I$5:$AJ$34,MATCH(VLOOKUP(K$37,$BH$3:$BI$50,2,FALSE),$I$4:$AJ$4,0),FALSE),BoundParameters_HiddenSheetCLAY!$I$1:$L$1,0),FALSE))),'Control Panel'!K84)))</f>
        <v/>
      </c>
      <c r="L84" s="44" t="str">
        <f>IF($I84="","",IF(L$37="","",IF('Control Panel'!L84="",IF(VLOOKUP($E49,'Table Output'!$A$2:$E$99998,5,FALSE)="Sand",VLOOKUP(L$37,BoundParameters_HiddenSheetSAND!$I$3:$L$50,MATCH(VLOOKUP($I84,$I$5:$AJ$34,MATCH(VLOOKUP(L$37,$BH$3:$BI$50,2,FALSE),$I$4:$AJ$4,0),FALSE),BoundParameters_HiddenSheetCLAY!$I$1:$L$1,0),FALSE),IF(VLOOKUP($E49,'Table Output'!$A$2:$E$9998,5,FALSE)="Clay",VLOOKUP(L$37,BoundParameters_HiddenSheetCLAY!$I$3:$L$50,MATCH(VLOOKUP($I84,$I$5:$AJ$34,MATCH(VLOOKUP(L$37,$BH$3:$BI$50,2,FALSE),$I$4:$AJ$4,0),FALSE),BoundParameters_HiddenSheetCLAY!$I$1:$L$1,0),FALSE))),'Control Panel'!L84)))</f>
        <v/>
      </c>
      <c r="M84" s="44" t="str">
        <f>IF($I84="","",IF(M$37="","",IF('Control Panel'!M84="",IF(VLOOKUP($E49,'Table Output'!$A$2:$E$99998,5,FALSE)="Sand",VLOOKUP(M$37,BoundParameters_HiddenSheetSAND!$I$3:$L$50,MATCH(VLOOKUP($I84,$I$5:$AJ$34,MATCH(VLOOKUP(M$37,$BH$3:$BI$50,2,FALSE),$I$4:$AJ$4,0),FALSE),BoundParameters_HiddenSheetCLAY!$I$1:$L$1,0),FALSE),IF(VLOOKUP($E49,'Table Output'!$A$2:$E$9998,5,FALSE)="Clay",VLOOKUP(M$37,BoundParameters_HiddenSheetCLAY!$I$3:$L$50,MATCH(VLOOKUP($I84,$I$5:$AJ$34,MATCH(VLOOKUP(M$37,$BH$3:$BI$50,2,FALSE),$I$4:$AJ$4,0),FALSE),BoundParameters_HiddenSheetCLAY!$I$1:$L$1,0),FALSE))),'Control Panel'!M84)))</f>
        <v/>
      </c>
      <c r="N84" s="44" t="str">
        <f>IF($I84="","",IF(N$37="","",IF('Control Panel'!N84="",IF(VLOOKUP($E49,'Table Output'!$A$2:$E$99998,5,FALSE)="Sand",VLOOKUP(N$37,BoundParameters_HiddenSheetSAND!$I$3:$L$50,MATCH(VLOOKUP($I84,$I$5:$AJ$34,MATCH(VLOOKUP(N$37,$BH$3:$BI$50,2,FALSE),$I$4:$AJ$4,0),FALSE),BoundParameters_HiddenSheetCLAY!$I$1:$L$1,0),FALSE),IF(VLOOKUP($E49,'Table Output'!$A$2:$E$9998,5,FALSE)="Clay",VLOOKUP(N$37,BoundParameters_HiddenSheetCLAY!$I$3:$L$50,MATCH(VLOOKUP($I84,$I$5:$AJ$34,MATCH(VLOOKUP(N$37,$BH$3:$BI$50,2,FALSE),$I$4:$AJ$4,0),FALSE),BoundParameters_HiddenSheetCLAY!$I$1:$L$1,0),FALSE))),'Control Panel'!N84)))</f>
        <v/>
      </c>
      <c r="O84" s="44" t="str">
        <f>IF($I84="","",IF(O$37="","",IF('Control Panel'!O84="",IF(VLOOKUP($E49,'Table Output'!$A$2:$E$99998,5,FALSE)="Sand",VLOOKUP(O$37,BoundParameters_HiddenSheetSAND!$I$3:$L$50,MATCH(VLOOKUP($I84,$I$5:$AJ$34,MATCH(VLOOKUP(O$37,$BH$3:$BI$50,2,FALSE),$I$4:$AJ$4,0),FALSE),BoundParameters_HiddenSheetCLAY!$I$1:$L$1,0),FALSE),IF(VLOOKUP($E49,'Table Output'!$A$2:$E$9998,5,FALSE)="Clay",VLOOKUP(O$37,BoundParameters_HiddenSheetCLAY!$I$3:$L$50,MATCH(VLOOKUP($I84,$I$5:$AJ$34,MATCH(VLOOKUP(O$37,$BH$3:$BI$50,2,FALSE),$I$4:$AJ$4,0),FALSE),BoundParameters_HiddenSheetCLAY!$I$1:$L$1,0),FALSE))),'Control Panel'!O84)))</f>
        <v/>
      </c>
      <c r="P84" s="44" t="str">
        <f>IF($I84="","",IF(P$37="","",IF('Control Panel'!P84="",IF(VLOOKUP($E49,'Table Output'!$A$2:$E$99998,5,FALSE)="Sand",VLOOKUP(P$37,BoundParameters_HiddenSheetSAND!$I$3:$L$50,MATCH(VLOOKUP($I84,$I$5:$AJ$34,MATCH(VLOOKUP(P$37,$BH$3:$BI$50,2,FALSE),$I$4:$AJ$4,0),FALSE),BoundParameters_HiddenSheetCLAY!$I$1:$L$1,0),FALSE),IF(VLOOKUP($E49,'Table Output'!$A$2:$E$9998,5,FALSE)="Clay",VLOOKUP(P$37,BoundParameters_HiddenSheetCLAY!$I$3:$L$50,MATCH(VLOOKUP($I84,$I$5:$AJ$34,MATCH(VLOOKUP(P$37,$BH$3:$BI$50,2,FALSE),$I$4:$AJ$4,0),FALSE),BoundParameters_HiddenSheetCLAY!$I$1:$L$1,0),FALSE))),'Control Panel'!P84)))</f>
        <v/>
      </c>
      <c r="Q84" s="44" t="str">
        <f>IF($I84="","",IF(Q$37="","",IF('Control Panel'!Q84="",IF(VLOOKUP($E49,'Table Output'!$A$2:$E$99998,5,FALSE)="Sand",VLOOKUP(Q$37,BoundParameters_HiddenSheetSAND!$I$3:$L$50,MATCH(VLOOKUP($I84,$I$5:$AJ$34,MATCH(VLOOKUP(Q$37,$BH$3:$BI$50,2,FALSE),$I$4:$AJ$4,0),FALSE),BoundParameters_HiddenSheetCLAY!$I$1:$L$1,0),FALSE),IF(VLOOKUP($E49,'Table Output'!$A$2:$E$9998,5,FALSE)="Clay",VLOOKUP(Q$37,BoundParameters_HiddenSheetCLAY!$I$3:$L$50,MATCH(VLOOKUP($I84,$I$5:$AJ$34,MATCH(VLOOKUP(Q$37,$BH$3:$BI$50,2,FALSE),$I$4:$AJ$4,0),FALSE),BoundParameters_HiddenSheetCLAY!$I$1:$L$1,0),FALSE))),'Control Panel'!Q84)))</f>
        <v/>
      </c>
      <c r="R84" s="44" t="str">
        <f>IF($I84="","",IF(R$37="","",IF('Control Panel'!R84="",IF(VLOOKUP($E49,'Table Output'!$A$2:$E$99998,5,FALSE)="Sand",VLOOKUP(R$37,BoundParameters_HiddenSheetSAND!$I$3:$L$50,MATCH(VLOOKUP($I84,$I$5:$AJ$34,MATCH(VLOOKUP(R$37,$BH$3:$BI$50,2,FALSE),$I$4:$AJ$4,0),FALSE),BoundParameters_HiddenSheetCLAY!$I$1:$L$1,0),FALSE),IF(VLOOKUP($E49,'Table Output'!$A$2:$E$9998,5,FALSE)="Clay",VLOOKUP(R$37,BoundParameters_HiddenSheetCLAY!$I$3:$L$50,MATCH(VLOOKUP($I84,$I$5:$AJ$34,MATCH(VLOOKUP(R$37,$BH$3:$BI$50,2,FALSE),$I$4:$AJ$4,0),FALSE),BoundParameters_HiddenSheetCLAY!$I$1:$L$1,0),FALSE))),'Control Panel'!R84)))</f>
        <v/>
      </c>
      <c r="S84" s="44" t="str">
        <f>IF($I84="","",IF(S$37="","",IF('Control Panel'!S84="",IF(VLOOKUP($E49,'Table Output'!$A$2:$E$99998,5,FALSE)="Sand",VLOOKUP(S$37,BoundParameters_HiddenSheetSAND!$I$3:$L$50,MATCH(VLOOKUP($I84,$I$5:$AJ$34,MATCH(VLOOKUP(S$37,$BH$3:$BI$50,2,FALSE),$I$4:$AJ$4,0),FALSE),BoundParameters_HiddenSheetCLAY!$I$1:$L$1,0),FALSE),IF(VLOOKUP($E49,'Table Output'!$A$2:$E$9998,5,FALSE)="Clay",VLOOKUP(S$37,BoundParameters_HiddenSheetCLAY!$I$3:$L$50,MATCH(VLOOKUP($I84,$I$5:$AJ$34,MATCH(VLOOKUP(S$37,$BH$3:$BI$50,2,FALSE),$I$4:$AJ$4,0),FALSE),BoundParameters_HiddenSheetCLAY!$I$1:$L$1,0),FALSE))),'Control Panel'!S84)))</f>
        <v/>
      </c>
    </row>
    <row r="85" spans="5:19" x14ac:dyDescent="0.15">
      <c r="E85" s="2" t="str">
        <f t="shared" si="7"/>
        <v/>
      </c>
      <c r="I85" s="7" t="str">
        <f t="shared" si="7"/>
        <v/>
      </c>
      <c r="J85" s="44" t="str">
        <f>IF($I85="","",IF(J$37="","",IF('Control Panel'!J85="",IF(VLOOKUP($E50,'Table Output'!$A$2:$E$99998,5,FALSE)="Sand",VLOOKUP(J$37,BoundParameters_HiddenSheetSAND!$I$3:$L$50,MATCH(VLOOKUP($I85,$I$5:$AJ$34,MATCH(VLOOKUP(J$37,$BH$3:$BI$50,2,FALSE),$I$4:$AJ$4,0),FALSE),BoundParameters_HiddenSheetCLAY!$I$1:$L$1,0),FALSE),IF(VLOOKUP($E50,'Table Output'!$A$2:$E$9998,5,FALSE)="Clay",VLOOKUP(J$37,BoundParameters_HiddenSheetCLAY!$I$3:$L$50,MATCH(VLOOKUP($I85,$I$5:$AJ$34,MATCH(VLOOKUP(J$37,$BH$3:$BI$50,2,FALSE),$I$4:$AJ$4,0),FALSE),BoundParameters_HiddenSheetCLAY!$I$1:$L$1,0),FALSE))),'Control Panel'!J85)))</f>
        <v/>
      </c>
      <c r="K85" s="44" t="str">
        <f>IF($I85="","",IF(K$37="","",IF('Control Panel'!K85="",IF(VLOOKUP($E50,'Table Output'!$A$2:$E$99998,5,FALSE)="Sand",VLOOKUP(K$37,BoundParameters_HiddenSheetSAND!$I$3:$L$50,MATCH(VLOOKUP($I85,$I$5:$AJ$34,MATCH(VLOOKUP(K$37,$BH$3:$BI$50,2,FALSE),$I$4:$AJ$4,0),FALSE),BoundParameters_HiddenSheetCLAY!$I$1:$L$1,0),FALSE),IF(VLOOKUP($E50,'Table Output'!$A$2:$E$9998,5,FALSE)="Clay",VLOOKUP(K$37,BoundParameters_HiddenSheetCLAY!$I$3:$L$50,MATCH(VLOOKUP($I85,$I$5:$AJ$34,MATCH(VLOOKUP(K$37,$BH$3:$BI$50,2,FALSE),$I$4:$AJ$4,0),FALSE),BoundParameters_HiddenSheetCLAY!$I$1:$L$1,0),FALSE))),'Control Panel'!K85)))</f>
        <v/>
      </c>
      <c r="L85" s="44" t="str">
        <f>IF($I85="","",IF(L$37="","",IF('Control Panel'!L85="",IF(VLOOKUP($E50,'Table Output'!$A$2:$E$99998,5,FALSE)="Sand",VLOOKUP(L$37,BoundParameters_HiddenSheetSAND!$I$3:$L$50,MATCH(VLOOKUP($I85,$I$5:$AJ$34,MATCH(VLOOKUP(L$37,$BH$3:$BI$50,2,FALSE),$I$4:$AJ$4,0),FALSE),BoundParameters_HiddenSheetCLAY!$I$1:$L$1,0),FALSE),IF(VLOOKUP($E50,'Table Output'!$A$2:$E$9998,5,FALSE)="Clay",VLOOKUP(L$37,BoundParameters_HiddenSheetCLAY!$I$3:$L$50,MATCH(VLOOKUP($I85,$I$5:$AJ$34,MATCH(VLOOKUP(L$37,$BH$3:$BI$50,2,FALSE),$I$4:$AJ$4,0),FALSE),BoundParameters_HiddenSheetCLAY!$I$1:$L$1,0),FALSE))),'Control Panel'!L85)))</f>
        <v/>
      </c>
      <c r="M85" s="44" t="str">
        <f>IF($I85="","",IF(M$37="","",IF('Control Panel'!M85="",IF(VLOOKUP($E50,'Table Output'!$A$2:$E$99998,5,FALSE)="Sand",VLOOKUP(M$37,BoundParameters_HiddenSheetSAND!$I$3:$L$50,MATCH(VLOOKUP($I85,$I$5:$AJ$34,MATCH(VLOOKUP(M$37,$BH$3:$BI$50,2,FALSE),$I$4:$AJ$4,0),FALSE),BoundParameters_HiddenSheetCLAY!$I$1:$L$1,0),FALSE),IF(VLOOKUP($E50,'Table Output'!$A$2:$E$9998,5,FALSE)="Clay",VLOOKUP(M$37,BoundParameters_HiddenSheetCLAY!$I$3:$L$50,MATCH(VLOOKUP($I85,$I$5:$AJ$34,MATCH(VLOOKUP(M$37,$BH$3:$BI$50,2,FALSE),$I$4:$AJ$4,0),FALSE),BoundParameters_HiddenSheetCLAY!$I$1:$L$1,0),FALSE))),'Control Panel'!M85)))</f>
        <v/>
      </c>
      <c r="N85" s="44" t="str">
        <f>IF($I85="","",IF(N$37="","",IF('Control Panel'!N85="",IF(VLOOKUP($E50,'Table Output'!$A$2:$E$99998,5,FALSE)="Sand",VLOOKUP(N$37,BoundParameters_HiddenSheetSAND!$I$3:$L$50,MATCH(VLOOKUP($I85,$I$5:$AJ$34,MATCH(VLOOKUP(N$37,$BH$3:$BI$50,2,FALSE),$I$4:$AJ$4,0),FALSE),BoundParameters_HiddenSheetCLAY!$I$1:$L$1,0),FALSE),IF(VLOOKUP($E50,'Table Output'!$A$2:$E$9998,5,FALSE)="Clay",VLOOKUP(N$37,BoundParameters_HiddenSheetCLAY!$I$3:$L$50,MATCH(VLOOKUP($I85,$I$5:$AJ$34,MATCH(VLOOKUP(N$37,$BH$3:$BI$50,2,FALSE),$I$4:$AJ$4,0),FALSE),BoundParameters_HiddenSheetCLAY!$I$1:$L$1,0),FALSE))),'Control Panel'!N85)))</f>
        <v/>
      </c>
      <c r="O85" s="44" t="str">
        <f>IF($I85="","",IF(O$37="","",IF('Control Panel'!O85="",IF(VLOOKUP($E50,'Table Output'!$A$2:$E$99998,5,FALSE)="Sand",VLOOKUP(O$37,BoundParameters_HiddenSheetSAND!$I$3:$L$50,MATCH(VLOOKUP($I85,$I$5:$AJ$34,MATCH(VLOOKUP(O$37,$BH$3:$BI$50,2,FALSE),$I$4:$AJ$4,0),FALSE),BoundParameters_HiddenSheetCLAY!$I$1:$L$1,0),FALSE),IF(VLOOKUP($E50,'Table Output'!$A$2:$E$9998,5,FALSE)="Clay",VLOOKUP(O$37,BoundParameters_HiddenSheetCLAY!$I$3:$L$50,MATCH(VLOOKUP($I85,$I$5:$AJ$34,MATCH(VLOOKUP(O$37,$BH$3:$BI$50,2,FALSE),$I$4:$AJ$4,0),FALSE),BoundParameters_HiddenSheetCLAY!$I$1:$L$1,0),FALSE))),'Control Panel'!O85)))</f>
        <v/>
      </c>
      <c r="P85" s="44" t="str">
        <f>IF($I85="","",IF(P$37="","",IF('Control Panel'!P85="",IF(VLOOKUP($E50,'Table Output'!$A$2:$E$99998,5,FALSE)="Sand",VLOOKUP(P$37,BoundParameters_HiddenSheetSAND!$I$3:$L$50,MATCH(VLOOKUP($I85,$I$5:$AJ$34,MATCH(VLOOKUP(P$37,$BH$3:$BI$50,2,FALSE),$I$4:$AJ$4,0),FALSE),BoundParameters_HiddenSheetCLAY!$I$1:$L$1,0),FALSE),IF(VLOOKUP($E50,'Table Output'!$A$2:$E$9998,5,FALSE)="Clay",VLOOKUP(P$37,BoundParameters_HiddenSheetCLAY!$I$3:$L$50,MATCH(VLOOKUP($I85,$I$5:$AJ$34,MATCH(VLOOKUP(P$37,$BH$3:$BI$50,2,FALSE),$I$4:$AJ$4,0),FALSE),BoundParameters_HiddenSheetCLAY!$I$1:$L$1,0),FALSE))),'Control Panel'!P85)))</f>
        <v/>
      </c>
      <c r="Q85" s="44" t="str">
        <f>IF($I85="","",IF(Q$37="","",IF('Control Panel'!Q85="",IF(VLOOKUP($E50,'Table Output'!$A$2:$E$99998,5,FALSE)="Sand",VLOOKUP(Q$37,BoundParameters_HiddenSheetSAND!$I$3:$L$50,MATCH(VLOOKUP($I85,$I$5:$AJ$34,MATCH(VLOOKUP(Q$37,$BH$3:$BI$50,2,FALSE),$I$4:$AJ$4,0),FALSE),BoundParameters_HiddenSheetCLAY!$I$1:$L$1,0),FALSE),IF(VLOOKUP($E50,'Table Output'!$A$2:$E$9998,5,FALSE)="Clay",VLOOKUP(Q$37,BoundParameters_HiddenSheetCLAY!$I$3:$L$50,MATCH(VLOOKUP($I85,$I$5:$AJ$34,MATCH(VLOOKUP(Q$37,$BH$3:$BI$50,2,FALSE),$I$4:$AJ$4,0),FALSE),BoundParameters_HiddenSheetCLAY!$I$1:$L$1,0),FALSE))),'Control Panel'!Q85)))</f>
        <v/>
      </c>
      <c r="R85" s="44" t="str">
        <f>IF($I85="","",IF(R$37="","",IF('Control Panel'!R85="",IF(VLOOKUP($E50,'Table Output'!$A$2:$E$99998,5,FALSE)="Sand",VLOOKUP(R$37,BoundParameters_HiddenSheetSAND!$I$3:$L$50,MATCH(VLOOKUP($I85,$I$5:$AJ$34,MATCH(VLOOKUP(R$37,$BH$3:$BI$50,2,FALSE),$I$4:$AJ$4,0),FALSE),BoundParameters_HiddenSheetCLAY!$I$1:$L$1,0),FALSE),IF(VLOOKUP($E50,'Table Output'!$A$2:$E$9998,5,FALSE)="Clay",VLOOKUP(R$37,BoundParameters_HiddenSheetCLAY!$I$3:$L$50,MATCH(VLOOKUP($I85,$I$5:$AJ$34,MATCH(VLOOKUP(R$37,$BH$3:$BI$50,2,FALSE),$I$4:$AJ$4,0),FALSE),BoundParameters_HiddenSheetCLAY!$I$1:$L$1,0),FALSE))),'Control Panel'!R85)))</f>
        <v/>
      </c>
      <c r="S85" s="44" t="str">
        <f>IF($I85="","",IF(S$37="","",IF('Control Panel'!S85="",IF(VLOOKUP($E50,'Table Output'!$A$2:$E$99998,5,FALSE)="Sand",VLOOKUP(S$37,BoundParameters_HiddenSheetSAND!$I$3:$L$50,MATCH(VLOOKUP($I85,$I$5:$AJ$34,MATCH(VLOOKUP(S$37,$BH$3:$BI$50,2,FALSE),$I$4:$AJ$4,0),FALSE),BoundParameters_HiddenSheetCLAY!$I$1:$L$1,0),FALSE),IF(VLOOKUP($E50,'Table Output'!$A$2:$E$9998,5,FALSE)="Clay",VLOOKUP(S$37,BoundParameters_HiddenSheetCLAY!$I$3:$L$50,MATCH(VLOOKUP($I85,$I$5:$AJ$34,MATCH(VLOOKUP(S$37,$BH$3:$BI$50,2,FALSE),$I$4:$AJ$4,0),FALSE),BoundParameters_HiddenSheetCLAY!$I$1:$L$1,0),FALSE))),'Control Panel'!S85)))</f>
        <v/>
      </c>
    </row>
    <row r="86" spans="5:19" x14ac:dyDescent="0.15">
      <c r="E86" s="2" t="str">
        <f t="shared" si="7"/>
        <v/>
      </c>
      <c r="I86" s="7" t="str">
        <f t="shared" si="7"/>
        <v/>
      </c>
      <c r="J86" s="44" t="str">
        <f>IF($I86="","",IF(J$37="","",IF('Control Panel'!J86="",IF(VLOOKUP($E51,'Table Output'!$A$2:$E$99998,5,FALSE)="Sand",VLOOKUP(J$37,BoundParameters_HiddenSheetSAND!$I$3:$L$50,MATCH(VLOOKUP($I86,$I$5:$AJ$34,MATCH(VLOOKUP(J$37,$BH$3:$BI$50,2,FALSE),$I$4:$AJ$4,0),FALSE),BoundParameters_HiddenSheetCLAY!$I$1:$L$1,0),FALSE),IF(VLOOKUP($E51,'Table Output'!$A$2:$E$9998,5,FALSE)="Clay",VLOOKUP(J$37,BoundParameters_HiddenSheetCLAY!$I$3:$L$50,MATCH(VLOOKUP($I86,$I$5:$AJ$34,MATCH(VLOOKUP(J$37,$BH$3:$BI$50,2,FALSE),$I$4:$AJ$4,0),FALSE),BoundParameters_HiddenSheetCLAY!$I$1:$L$1,0),FALSE))),'Control Panel'!J86)))</f>
        <v/>
      </c>
      <c r="K86" s="44" t="str">
        <f>IF($I86="","",IF(K$37="","",IF('Control Panel'!K86="",IF(VLOOKUP($E51,'Table Output'!$A$2:$E$99998,5,FALSE)="Sand",VLOOKUP(K$37,BoundParameters_HiddenSheetSAND!$I$3:$L$50,MATCH(VLOOKUP($I86,$I$5:$AJ$34,MATCH(VLOOKUP(K$37,$BH$3:$BI$50,2,FALSE),$I$4:$AJ$4,0),FALSE),BoundParameters_HiddenSheetCLAY!$I$1:$L$1,0),FALSE),IF(VLOOKUP($E51,'Table Output'!$A$2:$E$9998,5,FALSE)="Clay",VLOOKUP(K$37,BoundParameters_HiddenSheetCLAY!$I$3:$L$50,MATCH(VLOOKUP($I86,$I$5:$AJ$34,MATCH(VLOOKUP(K$37,$BH$3:$BI$50,2,FALSE),$I$4:$AJ$4,0),FALSE),BoundParameters_HiddenSheetCLAY!$I$1:$L$1,0),FALSE))),'Control Panel'!K86)))</f>
        <v/>
      </c>
      <c r="L86" s="44" t="str">
        <f>IF($I86="","",IF(L$37="","",IF('Control Panel'!L86="",IF(VLOOKUP($E51,'Table Output'!$A$2:$E$99998,5,FALSE)="Sand",VLOOKUP(L$37,BoundParameters_HiddenSheetSAND!$I$3:$L$50,MATCH(VLOOKUP($I86,$I$5:$AJ$34,MATCH(VLOOKUP(L$37,$BH$3:$BI$50,2,FALSE),$I$4:$AJ$4,0),FALSE),BoundParameters_HiddenSheetCLAY!$I$1:$L$1,0),FALSE),IF(VLOOKUP($E51,'Table Output'!$A$2:$E$9998,5,FALSE)="Clay",VLOOKUP(L$37,BoundParameters_HiddenSheetCLAY!$I$3:$L$50,MATCH(VLOOKUP($I86,$I$5:$AJ$34,MATCH(VLOOKUP(L$37,$BH$3:$BI$50,2,FALSE),$I$4:$AJ$4,0),FALSE),BoundParameters_HiddenSheetCLAY!$I$1:$L$1,0),FALSE))),'Control Panel'!L86)))</f>
        <v/>
      </c>
      <c r="M86" s="44" t="str">
        <f>IF($I86="","",IF(M$37="","",IF('Control Panel'!M86="",IF(VLOOKUP($E51,'Table Output'!$A$2:$E$99998,5,FALSE)="Sand",VLOOKUP(M$37,BoundParameters_HiddenSheetSAND!$I$3:$L$50,MATCH(VLOOKUP($I86,$I$5:$AJ$34,MATCH(VLOOKUP(M$37,$BH$3:$BI$50,2,FALSE),$I$4:$AJ$4,0),FALSE),BoundParameters_HiddenSheetCLAY!$I$1:$L$1,0),FALSE),IF(VLOOKUP($E51,'Table Output'!$A$2:$E$9998,5,FALSE)="Clay",VLOOKUP(M$37,BoundParameters_HiddenSheetCLAY!$I$3:$L$50,MATCH(VLOOKUP($I86,$I$5:$AJ$34,MATCH(VLOOKUP(M$37,$BH$3:$BI$50,2,FALSE),$I$4:$AJ$4,0),FALSE),BoundParameters_HiddenSheetCLAY!$I$1:$L$1,0),FALSE))),'Control Panel'!M86)))</f>
        <v/>
      </c>
      <c r="N86" s="44" t="str">
        <f>IF($I86="","",IF(N$37="","",IF('Control Panel'!N86="",IF(VLOOKUP($E51,'Table Output'!$A$2:$E$99998,5,FALSE)="Sand",VLOOKUP(N$37,BoundParameters_HiddenSheetSAND!$I$3:$L$50,MATCH(VLOOKUP($I86,$I$5:$AJ$34,MATCH(VLOOKUP(N$37,$BH$3:$BI$50,2,FALSE),$I$4:$AJ$4,0),FALSE),BoundParameters_HiddenSheetCLAY!$I$1:$L$1,0),FALSE),IF(VLOOKUP($E51,'Table Output'!$A$2:$E$9998,5,FALSE)="Clay",VLOOKUP(N$37,BoundParameters_HiddenSheetCLAY!$I$3:$L$50,MATCH(VLOOKUP($I86,$I$5:$AJ$34,MATCH(VLOOKUP(N$37,$BH$3:$BI$50,2,FALSE),$I$4:$AJ$4,0),FALSE),BoundParameters_HiddenSheetCLAY!$I$1:$L$1,0),FALSE))),'Control Panel'!N86)))</f>
        <v/>
      </c>
      <c r="O86" s="44" t="str">
        <f>IF($I86="","",IF(O$37="","",IF('Control Panel'!O86="",IF(VLOOKUP($E51,'Table Output'!$A$2:$E$99998,5,FALSE)="Sand",VLOOKUP(O$37,BoundParameters_HiddenSheetSAND!$I$3:$L$50,MATCH(VLOOKUP($I86,$I$5:$AJ$34,MATCH(VLOOKUP(O$37,$BH$3:$BI$50,2,FALSE),$I$4:$AJ$4,0),FALSE),BoundParameters_HiddenSheetCLAY!$I$1:$L$1,0),FALSE),IF(VLOOKUP($E51,'Table Output'!$A$2:$E$9998,5,FALSE)="Clay",VLOOKUP(O$37,BoundParameters_HiddenSheetCLAY!$I$3:$L$50,MATCH(VLOOKUP($I86,$I$5:$AJ$34,MATCH(VLOOKUP(O$37,$BH$3:$BI$50,2,FALSE),$I$4:$AJ$4,0),FALSE),BoundParameters_HiddenSheetCLAY!$I$1:$L$1,0),FALSE))),'Control Panel'!O86)))</f>
        <v/>
      </c>
      <c r="P86" s="44" t="str">
        <f>IF($I86="","",IF(P$37="","",IF('Control Panel'!P86="",IF(VLOOKUP($E51,'Table Output'!$A$2:$E$99998,5,FALSE)="Sand",VLOOKUP(P$37,BoundParameters_HiddenSheetSAND!$I$3:$L$50,MATCH(VLOOKUP($I86,$I$5:$AJ$34,MATCH(VLOOKUP(P$37,$BH$3:$BI$50,2,FALSE),$I$4:$AJ$4,0),FALSE),BoundParameters_HiddenSheetCLAY!$I$1:$L$1,0),FALSE),IF(VLOOKUP($E51,'Table Output'!$A$2:$E$9998,5,FALSE)="Clay",VLOOKUP(P$37,BoundParameters_HiddenSheetCLAY!$I$3:$L$50,MATCH(VLOOKUP($I86,$I$5:$AJ$34,MATCH(VLOOKUP(P$37,$BH$3:$BI$50,2,FALSE),$I$4:$AJ$4,0),FALSE),BoundParameters_HiddenSheetCLAY!$I$1:$L$1,0),FALSE))),'Control Panel'!P86)))</f>
        <v/>
      </c>
      <c r="Q86" s="44" t="str">
        <f>IF($I86="","",IF(Q$37="","",IF('Control Panel'!Q86="",IF(VLOOKUP($E51,'Table Output'!$A$2:$E$99998,5,FALSE)="Sand",VLOOKUP(Q$37,BoundParameters_HiddenSheetSAND!$I$3:$L$50,MATCH(VLOOKUP($I86,$I$5:$AJ$34,MATCH(VLOOKUP(Q$37,$BH$3:$BI$50,2,FALSE),$I$4:$AJ$4,0),FALSE),BoundParameters_HiddenSheetCLAY!$I$1:$L$1,0),FALSE),IF(VLOOKUP($E51,'Table Output'!$A$2:$E$9998,5,FALSE)="Clay",VLOOKUP(Q$37,BoundParameters_HiddenSheetCLAY!$I$3:$L$50,MATCH(VLOOKUP($I86,$I$5:$AJ$34,MATCH(VLOOKUP(Q$37,$BH$3:$BI$50,2,FALSE),$I$4:$AJ$4,0),FALSE),BoundParameters_HiddenSheetCLAY!$I$1:$L$1,0),FALSE))),'Control Panel'!Q86)))</f>
        <v/>
      </c>
      <c r="R86" s="44" t="str">
        <f>IF($I86="","",IF(R$37="","",IF('Control Panel'!R86="",IF(VLOOKUP($E51,'Table Output'!$A$2:$E$99998,5,FALSE)="Sand",VLOOKUP(R$37,BoundParameters_HiddenSheetSAND!$I$3:$L$50,MATCH(VLOOKUP($I86,$I$5:$AJ$34,MATCH(VLOOKUP(R$37,$BH$3:$BI$50,2,FALSE),$I$4:$AJ$4,0),FALSE),BoundParameters_HiddenSheetCLAY!$I$1:$L$1,0),FALSE),IF(VLOOKUP($E51,'Table Output'!$A$2:$E$9998,5,FALSE)="Clay",VLOOKUP(R$37,BoundParameters_HiddenSheetCLAY!$I$3:$L$50,MATCH(VLOOKUP($I86,$I$5:$AJ$34,MATCH(VLOOKUP(R$37,$BH$3:$BI$50,2,FALSE),$I$4:$AJ$4,0),FALSE),BoundParameters_HiddenSheetCLAY!$I$1:$L$1,0),FALSE))),'Control Panel'!R86)))</f>
        <v/>
      </c>
      <c r="S86" s="44" t="str">
        <f>IF($I86="","",IF(S$37="","",IF('Control Panel'!S86="",IF(VLOOKUP($E51,'Table Output'!$A$2:$E$99998,5,FALSE)="Sand",VLOOKUP(S$37,BoundParameters_HiddenSheetSAND!$I$3:$L$50,MATCH(VLOOKUP($I86,$I$5:$AJ$34,MATCH(VLOOKUP(S$37,$BH$3:$BI$50,2,FALSE),$I$4:$AJ$4,0),FALSE),BoundParameters_HiddenSheetCLAY!$I$1:$L$1,0),FALSE),IF(VLOOKUP($E51,'Table Output'!$A$2:$E$9998,5,FALSE)="Clay",VLOOKUP(S$37,BoundParameters_HiddenSheetCLAY!$I$3:$L$50,MATCH(VLOOKUP($I86,$I$5:$AJ$34,MATCH(VLOOKUP(S$37,$BH$3:$BI$50,2,FALSE),$I$4:$AJ$4,0),FALSE),BoundParameters_HiddenSheetCLAY!$I$1:$L$1,0),FALSE))),'Control Panel'!S86)))</f>
        <v/>
      </c>
    </row>
    <row r="87" spans="5:19" x14ac:dyDescent="0.15">
      <c r="E87" s="2">
        <f t="shared" si="7"/>
        <v>0</v>
      </c>
      <c r="I87" s="7" t="str">
        <f t="shared" si="7"/>
        <v/>
      </c>
      <c r="J87" s="44" t="str">
        <f>IF($I87="","",IF(J$37="","",IF('Control Panel'!J87="",IF(VLOOKUP($E52,'Table Output'!$A$2:$E$99998,5,FALSE)="Sand",VLOOKUP(J$37,BoundParameters_HiddenSheetSAND!$I$3:$L$50,MATCH(VLOOKUP($I87,$I$5:$AJ$34,MATCH(VLOOKUP(J$37,$BH$3:$BI$50,2,FALSE),$I$4:$AJ$4,0),FALSE),BoundParameters_HiddenSheetCLAY!$I$1:$L$1,0),FALSE),IF(VLOOKUP($E52,'Table Output'!$A$2:$E$9998,5,FALSE)="Clay",VLOOKUP(J$37,BoundParameters_HiddenSheetCLAY!$I$3:$L$50,MATCH(VLOOKUP($I87,$I$5:$AJ$34,MATCH(VLOOKUP(J$37,$BH$3:$BI$50,2,FALSE),$I$4:$AJ$4,0),FALSE),BoundParameters_HiddenSheetCLAY!$I$1:$L$1,0),FALSE))),'Control Panel'!J87)))</f>
        <v/>
      </c>
      <c r="K87" s="44" t="str">
        <f>IF($I87="","",IF(K$37="","",IF('Control Panel'!K87="",IF(VLOOKUP($E52,'Table Output'!$A$2:$E$99998,5,FALSE)="Sand",VLOOKUP(K$37,BoundParameters_HiddenSheetSAND!$I$3:$L$50,MATCH(VLOOKUP($I87,$I$5:$AJ$34,MATCH(VLOOKUP(K$37,$BH$3:$BI$50,2,FALSE),$I$4:$AJ$4,0),FALSE),BoundParameters_HiddenSheetCLAY!$I$1:$L$1,0),FALSE),IF(VLOOKUP($E52,'Table Output'!$A$2:$E$9998,5,FALSE)="Clay",VLOOKUP(K$37,BoundParameters_HiddenSheetCLAY!$I$3:$L$50,MATCH(VLOOKUP($I87,$I$5:$AJ$34,MATCH(VLOOKUP(K$37,$BH$3:$BI$50,2,FALSE),$I$4:$AJ$4,0),FALSE),BoundParameters_HiddenSheetCLAY!$I$1:$L$1,0),FALSE))),'Control Panel'!K87)))</f>
        <v/>
      </c>
      <c r="L87" s="44" t="str">
        <f>IF($I87="","",IF(L$37="","",IF('Control Panel'!L87="",IF(VLOOKUP($E52,'Table Output'!$A$2:$E$99998,5,FALSE)="Sand",VLOOKUP(L$37,BoundParameters_HiddenSheetSAND!$I$3:$L$50,MATCH(VLOOKUP($I87,$I$5:$AJ$34,MATCH(VLOOKUP(L$37,$BH$3:$BI$50,2,FALSE),$I$4:$AJ$4,0),FALSE),BoundParameters_HiddenSheetCLAY!$I$1:$L$1,0),FALSE),IF(VLOOKUP($E52,'Table Output'!$A$2:$E$9998,5,FALSE)="Clay",VLOOKUP(L$37,BoundParameters_HiddenSheetCLAY!$I$3:$L$50,MATCH(VLOOKUP($I87,$I$5:$AJ$34,MATCH(VLOOKUP(L$37,$BH$3:$BI$50,2,FALSE),$I$4:$AJ$4,0),FALSE),BoundParameters_HiddenSheetCLAY!$I$1:$L$1,0),FALSE))),'Control Panel'!L87)))</f>
        <v/>
      </c>
      <c r="M87" s="44" t="str">
        <f>IF($I87="","",IF(M$37="","",IF('Control Panel'!M87="",IF(VLOOKUP($E52,'Table Output'!$A$2:$E$99998,5,FALSE)="Sand",VLOOKUP(M$37,BoundParameters_HiddenSheetSAND!$I$3:$L$50,MATCH(VLOOKUP($I87,$I$5:$AJ$34,MATCH(VLOOKUP(M$37,$BH$3:$BI$50,2,FALSE),$I$4:$AJ$4,0),FALSE),BoundParameters_HiddenSheetCLAY!$I$1:$L$1,0),FALSE),IF(VLOOKUP($E52,'Table Output'!$A$2:$E$9998,5,FALSE)="Clay",VLOOKUP(M$37,BoundParameters_HiddenSheetCLAY!$I$3:$L$50,MATCH(VLOOKUP($I87,$I$5:$AJ$34,MATCH(VLOOKUP(M$37,$BH$3:$BI$50,2,FALSE),$I$4:$AJ$4,0),FALSE),BoundParameters_HiddenSheetCLAY!$I$1:$L$1,0),FALSE))),'Control Panel'!M87)))</f>
        <v/>
      </c>
      <c r="N87" s="44" t="str">
        <f>IF($I87="","",IF(N$37="","",IF('Control Panel'!N87="",IF(VLOOKUP($E52,'Table Output'!$A$2:$E$99998,5,FALSE)="Sand",VLOOKUP(N$37,BoundParameters_HiddenSheetSAND!$I$3:$L$50,MATCH(VLOOKUP($I87,$I$5:$AJ$34,MATCH(VLOOKUP(N$37,$BH$3:$BI$50,2,FALSE),$I$4:$AJ$4,0),FALSE),BoundParameters_HiddenSheetCLAY!$I$1:$L$1,0),FALSE),IF(VLOOKUP($E52,'Table Output'!$A$2:$E$9998,5,FALSE)="Clay",VLOOKUP(N$37,BoundParameters_HiddenSheetCLAY!$I$3:$L$50,MATCH(VLOOKUP($I87,$I$5:$AJ$34,MATCH(VLOOKUP(N$37,$BH$3:$BI$50,2,FALSE),$I$4:$AJ$4,0),FALSE),BoundParameters_HiddenSheetCLAY!$I$1:$L$1,0),FALSE))),'Control Panel'!N87)))</f>
        <v/>
      </c>
      <c r="O87" s="44" t="str">
        <f>IF($I87="","",IF(O$37="","",IF('Control Panel'!O87="",IF(VLOOKUP($E52,'Table Output'!$A$2:$E$99998,5,FALSE)="Sand",VLOOKUP(O$37,BoundParameters_HiddenSheetSAND!$I$3:$L$50,MATCH(VLOOKUP($I87,$I$5:$AJ$34,MATCH(VLOOKUP(O$37,$BH$3:$BI$50,2,FALSE),$I$4:$AJ$4,0),FALSE),BoundParameters_HiddenSheetCLAY!$I$1:$L$1,0),FALSE),IF(VLOOKUP($E52,'Table Output'!$A$2:$E$9998,5,FALSE)="Clay",VLOOKUP(O$37,BoundParameters_HiddenSheetCLAY!$I$3:$L$50,MATCH(VLOOKUP($I87,$I$5:$AJ$34,MATCH(VLOOKUP(O$37,$BH$3:$BI$50,2,FALSE),$I$4:$AJ$4,0),FALSE),BoundParameters_HiddenSheetCLAY!$I$1:$L$1,0),FALSE))),'Control Panel'!O87)))</f>
        <v/>
      </c>
      <c r="P87" s="44" t="str">
        <f>IF($I87="","",IF(P$37="","",IF('Control Panel'!P87="",IF(VLOOKUP($E52,'Table Output'!$A$2:$E$99998,5,FALSE)="Sand",VLOOKUP(P$37,BoundParameters_HiddenSheetSAND!$I$3:$L$50,MATCH(VLOOKUP($I87,$I$5:$AJ$34,MATCH(VLOOKUP(P$37,$BH$3:$BI$50,2,FALSE),$I$4:$AJ$4,0),FALSE),BoundParameters_HiddenSheetCLAY!$I$1:$L$1,0),FALSE),IF(VLOOKUP($E52,'Table Output'!$A$2:$E$9998,5,FALSE)="Clay",VLOOKUP(P$37,BoundParameters_HiddenSheetCLAY!$I$3:$L$50,MATCH(VLOOKUP($I87,$I$5:$AJ$34,MATCH(VLOOKUP(P$37,$BH$3:$BI$50,2,FALSE),$I$4:$AJ$4,0),FALSE),BoundParameters_HiddenSheetCLAY!$I$1:$L$1,0),FALSE))),'Control Panel'!P87)))</f>
        <v/>
      </c>
      <c r="Q87" s="44" t="str">
        <f>IF($I87="","",IF(Q$37="","",IF('Control Panel'!Q87="",IF(VLOOKUP($E52,'Table Output'!$A$2:$E$99998,5,FALSE)="Sand",VLOOKUP(Q$37,BoundParameters_HiddenSheetSAND!$I$3:$L$50,MATCH(VLOOKUP($I87,$I$5:$AJ$34,MATCH(VLOOKUP(Q$37,$BH$3:$BI$50,2,FALSE),$I$4:$AJ$4,0),FALSE),BoundParameters_HiddenSheetCLAY!$I$1:$L$1,0),FALSE),IF(VLOOKUP($E52,'Table Output'!$A$2:$E$9998,5,FALSE)="Clay",VLOOKUP(Q$37,BoundParameters_HiddenSheetCLAY!$I$3:$L$50,MATCH(VLOOKUP($I87,$I$5:$AJ$34,MATCH(VLOOKUP(Q$37,$BH$3:$BI$50,2,FALSE),$I$4:$AJ$4,0),FALSE),BoundParameters_HiddenSheetCLAY!$I$1:$L$1,0),FALSE))),'Control Panel'!Q87)))</f>
        <v/>
      </c>
      <c r="R87" s="44" t="str">
        <f>IF($I87="","",IF(R$37="","",IF('Control Panel'!R87="",IF(VLOOKUP($E52,'Table Output'!$A$2:$E$99998,5,FALSE)="Sand",VLOOKUP(R$37,BoundParameters_HiddenSheetSAND!$I$3:$L$50,MATCH(VLOOKUP($I87,$I$5:$AJ$34,MATCH(VLOOKUP(R$37,$BH$3:$BI$50,2,FALSE),$I$4:$AJ$4,0),FALSE),BoundParameters_HiddenSheetCLAY!$I$1:$L$1,0),FALSE),IF(VLOOKUP($E52,'Table Output'!$A$2:$E$9998,5,FALSE)="Clay",VLOOKUP(R$37,BoundParameters_HiddenSheetCLAY!$I$3:$L$50,MATCH(VLOOKUP($I87,$I$5:$AJ$34,MATCH(VLOOKUP(R$37,$BH$3:$BI$50,2,FALSE),$I$4:$AJ$4,0),FALSE),BoundParameters_HiddenSheetCLAY!$I$1:$L$1,0),FALSE))),'Control Panel'!R87)))</f>
        <v/>
      </c>
      <c r="S87" s="44" t="str">
        <f>IF($I87="","",IF(S$37="","",IF('Control Panel'!S87="",IF(VLOOKUP($E52,'Table Output'!$A$2:$E$99998,5,FALSE)="Sand",VLOOKUP(S$37,BoundParameters_HiddenSheetSAND!$I$3:$L$50,MATCH(VLOOKUP($I87,$I$5:$AJ$34,MATCH(VLOOKUP(S$37,$BH$3:$BI$50,2,FALSE),$I$4:$AJ$4,0),FALSE),BoundParameters_HiddenSheetCLAY!$I$1:$L$1,0),FALSE),IF(VLOOKUP($E52,'Table Output'!$A$2:$E$9998,5,FALSE)="Clay",VLOOKUP(S$37,BoundParameters_HiddenSheetCLAY!$I$3:$L$50,MATCH(VLOOKUP($I87,$I$5:$AJ$34,MATCH(VLOOKUP(S$37,$BH$3:$BI$50,2,FALSE),$I$4:$AJ$4,0),FALSE),BoundParameters_HiddenSheetCLAY!$I$1:$L$1,0),FALSE))),'Control Panel'!S87)))</f>
        <v/>
      </c>
    </row>
    <row r="88" spans="5:19" x14ac:dyDescent="0.15">
      <c r="E88" s="2" t="str">
        <f t="shared" si="7"/>
        <v/>
      </c>
      <c r="I88" s="7" t="str">
        <f t="shared" si="7"/>
        <v/>
      </c>
      <c r="J88" s="44" t="str">
        <f>IF($I88="","",IF(J$37="","",IF('Control Panel'!J88="",IF(VLOOKUP($E53,'Table Output'!$A$2:$E$99998,5,FALSE)="Sand",VLOOKUP(J$37,BoundParameters_HiddenSheetSAND!$I$3:$L$50,MATCH(VLOOKUP($I88,$I$5:$AJ$34,MATCH(VLOOKUP(J$37,$BH$3:$BI$50,2,FALSE),$I$4:$AJ$4,0),FALSE),BoundParameters_HiddenSheetCLAY!$I$1:$L$1,0),FALSE),IF(VLOOKUP($E53,'Table Output'!$A$2:$E$9998,5,FALSE)="Clay",VLOOKUP(J$37,BoundParameters_HiddenSheetCLAY!$I$3:$L$50,MATCH(VLOOKUP($I88,$I$5:$AJ$34,MATCH(VLOOKUP(J$37,$BH$3:$BI$50,2,FALSE),$I$4:$AJ$4,0),FALSE),BoundParameters_HiddenSheetCLAY!$I$1:$L$1,0),FALSE))),'Control Panel'!J88)))</f>
        <v/>
      </c>
      <c r="K88" s="44" t="str">
        <f>IF($I88="","",IF(K$37="","",IF('Control Panel'!K88="",IF(VLOOKUP($E53,'Table Output'!$A$2:$E$99998,5,FALSE)="Sand",VLOOKUP(K$37,BoundParameters_HiddenSheetSAND!$I$3:$L$50,MATCH(VLOOKUP($I88,$I$5:$AJ$34,MATCH(VLOOKUP(K$37,$BH$3:$BI$50,2,FALSE),$I$4:$AJ$4,0),FALSE),BoundParameters_HiddenSheetCLAY!$I$1:$L$1,0),FALSE),IF(VLOOKUP($E53,'Table Output'!$A$2:$E$9998,5,FALSE)="Clay",VLOOKUP(K$37,BoundParameters_HiddenSheetCLAY!$I$3:$L$50,MATCH(VLOOKUP($I88,$I$5:$AJ$34,MATCH(VLOOKUP(K$37,$BH$3:$BI$50,2,FALSE),$I$4:$AJ$4,0),FALSE),BoundParameters_HiddenSheetCLAY!$I$1:$L$1,0),FALSE))),'Control Panel'!K88)))</f>
        <v/>
      </c>
      <c r="L88" s="44" t="str">
        <f>IF($I88="","",IF(L$37="","",IF('Control Panel'!L88="",IF(VLOOKUP($E53,'Table Output'!$A$2:$E$99998,5,FALSE)="Sand",VLOOKUP(L$37,BoundParameters_HiddenSheetSAND!$I$3:$L$50,MATCH(VLOOKUP($I88,$I$5:$AJ$34,MATCH(VLOOKUP(L$37,$BH$3:$BI$50,2,FALSE),$I$4:$AJ$4,0),FALSE),BoundParameters_HiddenSheetCLAY!$I$1:$L$1,0),FALSE),IF(VLOOKUP($E53,'Table Output'!$A$2:$E$9998,5,FALSE)="Clay",VLOOKUP(L$37,BoundParameters_HiddenSheetCLAY!$I$3:$L$50,MATCH(VLOOKUP($I88,$I$5:$AJ$34,MATCH(VLOOKUP(L$37,$BH$3:$BI$50,2,FALSE),$I$4:$AJ$4,0),FALSE),BoundParameters_HiddenSheetCLAY!$I$1:$L$1,0),FALSE))),'Control Panel'!L88)))</f>
        <v/>
      </c>
      <c r="M88" s="44" t="str">
        <f>IF($I88="","",IF(M$37="","",IF('Control Panel'!M88="",IF(VLOOKUP($E53,'Table Output'!$A$2:$E$99998,5,FALSE)="Sand",VLOOKUP(M$37,BoundParameters_HiddenSheetSAND!$I$3:$L$50,MATCH(VLOOKUP($I88,$I$5:$AJ$34,MATCH(VLOOKUP(M$37,$BH$3:$BI$50,2,FALSE),$I$4:$AJ$4,0),FALSE),BoundParameters_HiddenSheetCLAY!$I$1:$L$1,0),FALSE),IF(VLOOKUP($E53,'Table Output'!$A$2:$E$9998,5,FALSE)="Clay",VLOOKUP(M$37,BoundParameters_HiddenSheetCLAY!$I$3:$L$50,MATCH(VLOOKUP($I88,$I$5:$AJ$34,MATCH(VLOOKUP(M$37,$BH$3:$BI$50,2,FALSE),$I$4:$AJ$4,0),FALSE),BoundParameters_HiddenSheetCLAY!$I$1:$L$1,0),FALSE))),'Control Panel'!M88)))</f>
        <v/>
      </c>
      <c r="N88" s="44" t="str">
        <f>IF($I88="","",IF(N$37="","",IF('Control Panel'!N88="",IF(VLOOKUP($E53,'Table Output'!$A$2:$E$99998,5,FALSE)="Sand",VLOOKUP(N$37,BoundParameters_HiddenSheetSAND!$I$3:$L$50,MATCH(VLOOKUP($I88,$I$5:$AJ$34,MATCH(VLOOKUP(N$37,$BH$3:$BI$50,2,FALSE),$I$4:$AJ$4,0),FALSE),BoundParameters_HiddenSheetCLAY!$I$1:$L$1,0),FALSE),IF(VLOOKUP($E53,'Table Output'!$A$2:$E$9998,5,FALSE)="Clay",VLOOKUP(N$37,BoundParameters_HiddenSheetCLAY!$I$3:$L$50,MATCH(VLOOKUP($I88,$I$5:$AJ$34,MATCH(VLOOKUP(N$37,$BH$3:$BI$50,2,FALSE),$I$4:$AJ$4,0),FALSE),BoundParameters_HiddenSheetCLAY!$I$1:$L$1,0),FALSE))),'Control Panel'!N88)))</f>
        <v/>
      </c>
      <c r="O88" s="44" t="str">
        <f>IF($I88="","",IF(O$37="","",IF('Control Panel'!O88="",IF(VLOOKUP($E53,'Table Output'!$A$2:$E$99998,5,FALSE)="Sand",VLOOKUP(O$37,BoundParameters_HiddenSheetSAND!$I$3:$L$50,MATCH(VLOOKUP($I88,$I$5:$AJ$34,MATCH(VLOOKUP(O$37,$BH$3:$BI$50,2,FALSE),$I$4:$AJ$4,0),FALSE),BoundParameters_HiddenSheetCLAY!$I$1:$L$1,0),FALSE),IF(VLOOKUP($E53,'Table Output'!$A$2:$E$9998,5,FALSE)="Clay",VLOOKUP(O$37,BoundParameters_HiddenSheetCLAY!$I$3:$L$50,MATCH(VLOOKUP($I88,$I$5:$AJ$34,MATCH(VLOOKUP(O$37,$BH$3:$BI$50,2,FALSE),$I$4:$AJ$4,0),FALSE),BoundParameters_HiddenSheetCLAY!$I$1:$L$1,0),FALSE))),'Control Panel'!O88)))</f>
        <v/>
      </c>
      <c r="P88" s="44" t="str">
        <f>IF($I88="","",IF(P$37="","",IF('Control Panel'!P88="",IF(VLOOKUP($E53,'Table Output'!$A$2:$E$99998,5,FALSE)="Sand",VLOOKUP(P$37,BoundParameters_HiddenSheetSAND!$I$3:$L$50,MATCH(VLOOKUP($I88,$I$5:$AJ$34,MATCH(VLOOKUP(P$37,$BH$3:$BI$50,2,FALSE),$I$4:$AJ$4,0),FALSE),BoundParameters_HiddenSheetCLAY!$I$1:$L$1,0),FALSE),IF(VLOOKUP($E53,'Table Output'!$A$2:$E$9998,5,FALSE)="Clay",VLOOKUP(P$37,BoundParameters_HiddenSheetCLAY!$I$3:$L$50,MATCH(VLOOKUP($I88,$I$5:$AJ$34,MATCH(VLOOKUP(P$37,$BH$3:$BI$50,2,FALSE),$I$4:$AJ$4,0),FALSE),BoundParameters_HiddenSheetCLAY!$I$1:$L$1,0),FALSE))),'Control Panel'!P88)))</f>
        <v/>
      </c>
      <c r="Q88" s="44" t="str">
        <f>IF($I88="","",IF(Q$37="","",IF('Control Panel'!Q88="",IF(VLOOKUP($E53,'Table Output'!$A$2:$E$99998,5,FALSE)="Sand",VLOOKUP(Q$37,BoundParameters_HiddenSheetSAND!$I$3:$L$50,MATCH(VLOOKUP($I88,$I$5:$AJ$34,MATCH(VLOOKUP(Q$37,$BH$3:$BI$50,2,FALSE),$I$4:$AJ$4,0),FALSE),BoundParameters_HiddenSheetCLAY!$I$1:$L$1,0),FALSE),IF(VLOOKUP($E53,'Table Output'!$A$2:$E$9998,5,FALSE)="Clay",VLOOKUP(Q$37,BoundParameters_HiddenSheetCLAY!$I$3:$L$50,MATCH(VLOOKUP($I88,$I$5:$AJ$34,MATCH(VLOOKUP(Q$37,$BH$3:$BI$50,2,FALSE),$I$4:$AJ$4,0),FALSE),BoundParameters_HiddenSheetCLAY!$I$1:$L$1,0),FALSE))),'Control Panel'!Q88)))</f>
        <v/>
      </c>
      <c r="R88" s="44" t="str">
        <f>IF($I88="","",IF(R$37="","",IF('Control Panel'!R88="",IF(VLOOKUP($E53,'Table Output'!$A$2:$E$99998,5,FALSE)="Sand",VLOOKUP(R$37,BoundParameters_HiddenSheetSAND!$I$3:$L$50,MATCH(VLOOKUP($I88,$I$5:$AJ$34,MATCH(VLOOKUP(R$37,$BH$3:$BI$50,2,FALSE),$I$4:$AJ$4,0),FALSE),BoundParameters_HiddenSheetCLAY!$I$1:$L$1,0),FALSE),IF(VLOOKUP($E53,'Table Output'!$A$2:$E$9998,5,FALSE)="Clay",VLOOKUP(R$37,BoundParameters_HiddenSheetCLAY!$I$3:$L$50,MATCH(VLOOKUP($I88,$I$5:$AJ$34,MATCH(VLOOKUP(R$37,$BH$3:$BI$50,2,FALSE),$I$4:$AJ$4,0),FALSE),BoundParameters_HiddenSheetCLAY!$I$1:$L$1,0),FALSE))),'Control Panel'!R88)))</f>
        <v/>
      </c>
      <c r="S88" s="44" t="str">
        <f>IF($I88="","",IF(S$37="","",IF('Control Panel'!S88="",IF(VLOOKUP($E53,'Table Output'!$A$2:$E$99998,5,FALSE)="Sand",VLOOKUP(S$37,BoundParameters_HiddenSheetSAND!$I$3:$L$50,MATCH(VLOOKUP($I88,$I$5:$AJ$34,MATCH(VLOOKUP(S$37,$BH$3:$BI$50,2,FALSE),$I$4:$AJ$4,0),FALSE),BoundParameters_HiddenSheetCLAY!$I$1:$L$1,0),FALSE),IF(VLOOKUP($E53,'Table Output'!$A$2:$E$9998,5,FALSE)="Clay",VLOOKUP(S$37,BoundParameters_HiddenSheetCLAY!$I$3:$L$50,MATCH(VLOOKUP($I88,$I$5:$AJ$34,MATCH(VLOOKUP(S$37,$BH$3:$BI$50,2,FALSE),$I$4:$AJ$4,0),FALSE),BoundParameters_HiddenSheetCLAY!$I$1:$L$1,0),FALSE))),'Control Panel'!S88)))</f>
        <v/>
      </c>
    </row>
    <row r="89" spans="5:19" x14ac:dyDescent="0.15">
      <c r="E89" s="2" t="str">
        <f t="shared" si="7"/>
        <v/>
      </c>
      <c r="I89" s="7" t="str">
        <f t="shared" si="7"/>
        <v/>
      </c>
      <c r="J89" s="44" t="str">
        <f>IF($I89="","",IF(J$37="","",IF('Control Panel'!J89="",IF(VLOOKUP($E54,'Table Output'!$A$2:$E$99998,5,FALSE)="Sand",VLOOKUP(J$37,BoundParameters_HiddenSheetSAND!$I$3:$L$50,MATCH(VLOOKUP($I89,$I$5:$AJ$34,MATCH(VLOOKUP(J$37,$BH$3:$BI$50,2,FALSE),$I$4:$AJ$4,0),FALSE),BoundParameters_HiddenSheetCLAY!$I$1:$L$1,0),FALSE),IF(VLOOKUP($E54,'Table Output'!$A$2:$E$9998,5,FALSE)="Clay",VLOOKUP(J$37,BoundParameters_HiddenSheetCLAY!$I$3:$L$50,MATCH(VLOOKUP($I89,$I$5:$AJ$34,MATCH(VLOOKUP(J$37,$BH$3:$BI$50,2,FALSE),$I$4:$AJ$4,0),FALSE),BoundParameters_HiddenSheetCLAY!$I$1:$L$1,0),FALSE))),'Control Panel'!J89)))</f>
        <v/>
      </c>
      <c r="K89" s="44" t="str">
        <f>IF($I89="","",IF(K$37="","",IF('Control Panel'!K89="",IF(VLOOKUP($E54,'Table Output'!$A$2:$E$99998,5,FALSE)="Sand",VLOOKUP(K$37,BoundParameters_HiddenSheetSAND!$I$3:$L$50,MATCH(VLOOKUP($I89,$I$5:$AJ$34,MATCH(VLOOKUP(K$37,$BH$3:$BI$50,2,FALSE),$I$4:$AJ$4,0),FALSE),BoundParameters_HiddenSheetCLAY!$I$1:$L$1,0),FALSE),IF(VLOOKUP($E54,'Table Output'!$A$2:$E$9998,5,FALSE)="Clay",VLOOKUP(K$37,BoundParameters_HiddenSheetCLAY!$I$3:$L$50,MATCH(VLOOKUP($I89,$I$5:$AJ$34,MATCH(VLOOKUP(K$37,$BH$3:$BI$50,2,FALSE),$I$4:$AJ$4,0),FALSE),BoundParameters_HiddenSheetCLAY!$I$1:$L$1,0),FALSE))),'Control Panel'!K89)))</f>
        <v/>
      </c>
      <c r="L89" s="44" t="str">
        <f>IF($I89="","",IF(L$37="","",IF('Control Panel'!L89="",IF(VLOOKUP($E54,'Table Output'!$A$2:$E$99998,5,FALSE)="Sand",VLOOKUP(L$37,BoundParameters_HiddenSheetSAND!$I$3:$L$50,MATCH(VLOOKUP($I89,$I$5:$AJ$34,MATCH(VLOOKUP(L$37,$BH$3:$BI$50,2,FALSE),$I$4:$AJ$4,0),FALSE),BoundParameters_HiddenSheetCLAY!$I$1:$L$1,0),FALSE),IF(VLOOKUP($E54,'Table Output'!$A$2:$E$9998,5,FALSE)="Clay",VLOOKUP(L$37,BoundParameters_HiddenSheetCLAY!$I$3:$L$50,MATCH(VLOOKUP($I89,$I$5:$AJ$34,MATCH(VLOOKUP(L$37,$BH$3:$BI$50,2,FALSE),$I$4:$AJ$4,0),FALSE),BoundParameters_HiddenSheetCLAY!$I$1:$L$1,0),FALSE))),'Control Panel'!L89)))</f>
        <v/>
      </c>
      <c r="M89" s="44" t="str">
        <f>IF($I89="","",IF(M$37="","",IF('Control Panel'!M89="",IF(VLOOKUP($E54,'Table Output'!$A$2:$E$99998,5,FALSE)="Sand",VLOOKUP(M$37,BoundParameters_HiddenSheetSAND!$I$3:$L$50,MATCH(VLOOKUP($I89,$I$5:$AJ$34,MATCH(VLOOKUP(M$37,$BH$3:$BI$50,2,FALSE),$I$4:$AJ$4,0),FALSE),BoundParameters_HiddenSheetCLAY!$I$1:$L$1,0),FALSE),IF(VLOOKUP($E54,'Table Output'!$A$2:$E$9998,5,FALSE)="Clay",VLOOKUP(M$37,BoundParameters_HiddenSheetCLAY!$I$3:$L$50,MATCH(VLOOKUP($I89,$I$5:$AJ$34,MATCH(VLOOKUP(M$37,$BH$3:$BI$50,2,FALSE),$I$4:$AJ$4,0),FALSE),BoundParameters_HiddenSheetCLAY!$I$1:$L$1,0),FALSE))),'Control Panel'!M89)))</f>
        <v/>
      </c>
      <c r="N89" s="44" t="str">
        <f>IF($I89="","",IF(N$37="","",IF('Control Panel'!N89="",IF(VLOOKUP($E54,'Table Output'!$A$2:$E$99998,5,FALSE)="Sand",VLOOKUP(N$37,BoundParameters_HiddenSheetSAND!$I$3:$L$50,MATCH(VLOOKUP($I89,$I$5:$AJ$34,MATCH(VLOOKUP(N$37,$BH$3:$BI$50,2,FALSE),$I$4:$AJ$4,0),FALSE),BoundParameters_HiddenSheetCLAY!$I$1:$L$1,0),FALSE),IF(VLOOKUP($E54,'Table Output'!$A$2:$E$9998,5,FALSE)="Clay",VLOOKUP(N$37,BoundParameters_HiddenSheetCLAY!$I$3:$L$50,MATCH(VLOOKUP($I89,$I$5:$AJ$34,MATCH(VLOOKUP(N$37,$BH$3:$BI$50,2,FALSE),$I$4:$AJ$4,0),FALSE),BoundParameters_HiddenSheetCLAY!$I$1:$L$1,0),FALSE))),'Control Panel'!N89)))</f>
        <v/>
      </c>
      <c r="O89" s="44" t="str">
        <f>IF($I89="","",IF(O$37="","",IF('Control Panel'!O89="",IF(VLOOKUP($E54,'Table Output'!$A$2:$E$99998,5,FALSE)="Sand",VLOOKUP(O$37,BoundParameters_HiddenSheetSAND!$I$3:$L$50,MATCH(VLOOKUP($I89,$I$5:$AJ$34,MATCH(VLOOKUP(O$37,$BH$3:$BI$50,2,FALSE),$I$4:$AJ$4,0),FALSE),BoundParameters_HiddenSheetCLAY!$I$1:$L$1,0),FALSE),IF(VLOOKUP($E54,'Table Output'!$A$2:$E$9998,5,FALSE)="Clay",VLOOKUP(O$37,BoundParameters_HiddenSheetCLAY!$I$3:$L$50,MATCH(VLOOKUP($I89,$I$5:$AJ$34,MATCH(VLOOKUP(O$37,$BH$3:$BI$50,2,FALSE),$I$4:$AJ$4,0),FALSE),BoundParameters_HiddenSheetCLAY!$I$1:$L$1,0),FALSE))),'Control Panel'!O89)))</f>
        <v/>
      </c>
      <c r="P89" s="44" t="str">
        <f>IF($I89="","",IF(P$37="","",IF('Control Panel'!P89="",IF(VLOOKUP($E54,'Table Output'!$A$2:$E$99998,5,FALSE)="Sand",VLOOKUP(P$37,BoundParameters_HiddenSheetSAND!$I$3:$L$50,MATCH(VLOOKUP($I89,$I$5:$AJ$34,MATCH(VLOOKUP(P$37,$BH$3:$BI$50,2,FALSE),$I$4:$AJ$4,0),FALSE),BoundParameters_HiddenSheetCLAY!$I$1:$L$1,0),FALSE),IF(VLOOKUP($E54,'Table Output'!$A$2:$E$9998,5,FALSE)="Clay",VLOOKUP(P$37,BoundParameters_HiddenSheetCLAY!$I$3:$L$50,MATCH(VLOOKUP($I89,$I$5:$AJ$34,MATCH(VLOOKUP(P$37,$BH$3:$BI$50,2,FALSE),$I$4:$AJ$4,0),FALSE),BoundParameters_HiddenSheetCLAY!$I$1:$L$1,0),FALSE))),'Control Panel'!P89)))</f>
        <v/>
      </c>
      <c r="Q89" s="44" t="str">
        <f>IF($I89="","",IF(Q$37="","",IF('Control Panel'!Q89="",IF(VLOOKUP($E54,'Table Output'!$A$2:$E$99998,5,FALSE)="Sand",VLOOKUP(Q$37,BoundParameters_HiddenSheetSAND!$I$3:$L$50,MATCH(VLOOKUP($I89,$I$5:$AJ$34,MATCH(VLOOKUP(Q$37,$BH$3:$BI$50,2,FALSE),$I$4:$AJ$4,0),FALSE),BoundParameters_HiddenSheetCLAY!$I$1:$L$1,0),FALSE),IF(VLOOKUP($E54,'Table Output'!$A$2:$E$9998,5,FALSE)="Clay",VLOOKUP(Q$37,BoundParameters_HiddenSheetCLAY!$I$3:$L$50,MATCH(VLOOKUP($I89,$I$5:$AJ$34,MATCH(VLOOKUP(Q$37,$BH$3:$BI$50,2,FALSE),$I$4:$AJ$4,0),FALSE),BoundParameters_HiddenSheetCLAY!$I$1:$L$1,0),FALSE))),'Control Panel'!Q89)))</f>
        <v/>
      </c>
      <c r="R89" s="44" t="str">
        <f>IF($I89="","",IF(R$37="","",IF('Control Panel'!R89="",IF(VLOOKUP($E54,'Table Output'!$A$2:$E$99998,5,FALSE)="Sand",VLOOKUP(R$37,BoundParameters_HiddenSheetSAND!$I$3:$L$50,MATCH(VLOOKUP($I89,$I$5:$AJ$34,MATCH(VLOOKUP(R$37,$BH$3:$BI$50,2,FALSE),$I$4:$AJ$4,0),FALSE),BoundParameters_HiddenSheetCLAY!$I$1:$L$1,0),FALSE),IF(VLOOKUP($E54,'Table Output'!$A$2:$E$9998,5,FALSE)="Clay",VLOOKUP(R$37,BoundParameters_HiddenSheetCLAY!$I$3:$L$50,MATCH(VLOOKUP($I89,$I$5:$AJ$34,MATCH(VLOOKUP(R$37,$BH$3:$BI$50,2,FALSE),$I$4:$AJ$4,0),FALSE),BoundParameters_HiddenSheetCLAY!$I$1:$L$1,0),FALSE))),'Control Panel'!R89)))</f>
        <v/>
      </c>
      <c r="S89" s="44" t="str">
        <f>IF($I89="","",IF(S$37="","",IF('Control Panel'!S89="",IF(VLOOKUP($E54,'Table Output'!$A$2:$E$99998,5,FALSE)="Sand",VLOOKUP(S$37,BoundParameters_HiddenSheetSAND!$I$3:$L$50,MATCH(VLOOKUP($I89,$I$5:$AJ$34,MATCH(VLOOKUP(S$37,$BH$3:$BI$50,2,FALSE),$I$4:$AJ$4,0),FALSE),BoundParameters_HiddenSheetCLAY!$I$1:$L$1,0),FALSE),IF(VLOOKUP($E54,'Table Output'!$A$2:$E$9998,5,FALSE)="Clay",VLOOKUP(S$37,BoundParameters_HiddenSheetCLAY!$I$3:$L$50,MATCH(VLOOKUP($I89,$I$5:$AJ$34,MATCH(VLOOKUP(S$37,$BH$3:$BI$50,2,FALSE),$I$4:$AJ$4,0),FALSE),BoundParameters_HiddenSheetCLAY!$I$1:$L$1,0),FALSE))),'Control Panel'!S89)))</f>
        <v/>
      </c>
    </row>
    <row r="90" spans="5:19" x14ac:dyDescent="0.15">
      <c r="E90" s="2" t="str">
        <f t="shared" ref="E90:I92" si="8">E55</f>
        <v/>
      </c>
      <c r="I90" s="7" t="str">
        <f t="shared" si="8"/>
        <v/>
      </c>
      <c r="J90" s="44" t="str">
        <f>IF($I90="","",IF(J$37="","",IF('Control Panel'!J90="",IF(VLOOKUP($E55,'Table Output'!$A$2:$E$99998,5,FALSE)="Sand",VLOOKUP(J$37,BoundParameters_HiddenSheetSAND!$I$3:$L$50,MATCH(VLOOKUP($I90,$I$5:$AJ$34,MATCH(VLOOKUP(J$37,$BH$3:$BI$50,2,FALSE),$I$4:$AJ$4,0),FALSE),BoundParameters_HiddenSheetCLAY!$I$1:$L$1,0),FALSE),IF(VLOOKUP($E55,'Table Output'!$A$2:$E$9998,5,FALSE)="Clay",VLOOKUP(J$37,BoundParameters_HiddenSheetCLAY!$I$3:$L$50,MATCH(VLOOKUP($I90,$I$5:$AJ$34,MATCH(VLOOKUP(J$37,$BH$3:$BI$50,2,FALSE),$I$4:$AJ$4,0),FALSE),BoundParameters_HiddenSheetCLAY!$I$1:$L$1,0),FALSE))),'Control Panel'!J90)))</f>
        <v/>
      </c>
      <c r="K90" s="44" t="str">
        <f>IF($I90="","",IF(K$37="","",IF('Control Panel'!K90="",IF(VLOOKUP($E55,'Table Output'!$A$2:$E$99998,5,FALSE)="Sand",VLOOKUP(K$37,BoundParameters_HiddenSheetSAND!$I$3:$L$50,MATCH(VLOOKUP($I90,$I$5:$AJ$34,MATCH(VLOOKUP(K$37,$BH$3:$BI$50,2,FALSE),$I$4:$AJ$4,0),FALSE),BoundParameters_HiddenSheetCLAY!$I$1:$L$1,0),FALSE),IF(VLOOKUP($E55,'Table Output'!$A$2:$E$9998,5,FALSE)="Clay",VLOOKUP(K$37,BoundParameters_HiddenSheetCLAY!$I$3:$L$50,MATCH(VLOOKUP($I90,$I$5:$AJ$34,MATCH(VLOOKUP(K$37,$BH$3:$BI$50,2,FALSE),$I$4:$AJ$4,0),FALSE),BoundParameters_HiddenSheetCLAY!$I$1:$L$1,0),FALSE))),'Control Panel'!K90)))</f>
        <v/>
      </c>
      <c r="L90" s="44" t="str">
        <f>IF($I90="","",IF(L$37="","",IF('Control Panel'!L90="",IF(VLOOKUP($E55,'Table Output'!$A$2:$E$99998,5,FALSE)="Sand",VLOOKUP(L$37,BoundParameters_HiddenSheetSAND!$I$3:$L$50,MATCH(VLOOKUP($I90,$I$5:$AJ$34,MATCH(VLOOKUP(L$37,$BH$3:$BI$50,2,FALSE),$I$4:$AJ$4,0),FALSE),BoundParameters_HiddenSheetCLAY!$I$1:$L$1,0),FALSE),IF(VLOOKUP($E55,'Table Output'!$A$2:$E$9998,5,FALSE)="Clay",VLOOKUP(L$37,BoundParameters_HiddenSheetCLAY!$I$3:$L$50,MATCH(VLOOKUP($I90,$I$5:$AJ$34,MATCH(VLOOKUP(L$37,$BH$3:$BI$50,2,FALSE),$I$4:$AJ$4,0),FALSE),BoundParameters_HiddenSheetCLAY!$I$1:$L$1,0),FALSE))),'Control Panel'!L90)))</f>
        <v/>
      </c>
      <c r="M90" s="44" t="str">
        <f>IF($I90="","",IF(M$37="","",IF('Control Panel'!M90="",IF(VLOOKUP($E55,'Table Output'!$A$2:$E$99998,5,FALSE)="Sand",VLOOKUP(M$37,BoundParameters_HiddenSheetSAND!$I$3:$L$50,MATCH(VLOOKUP($I90,$I$5:$AJ$34,MATCH(VLOOKUP(M$37,$BH$3:$BI$50,2,FALSE),$I$4:$AJ$4,0),FALSE),BoundParameters_HiddenSheetCLAY!$I$1:$L$1,0),FALSE),IF(VLOOKUP($E55,'Table Output'!$A$2:$E$9998,5,FALSE)="Clay",VLOOKUP(M$37,BoundParameters_HiddenSheetCLAY!$I$3:$L$50,MATCH(VLOOKUP($I90,$I$5:$AJ$34,MATCH(VLOOKUP(M$37,$BH$3:$BI$50,2,FALSE),$I$4:$AJ$4,0),FALSE),BoundParameters_HiddenSheetCLAY!$I$1:$L$1,0),FALSE))),'Control Panel'!M90)))</f>
        <v/>
      </c>
      <c r="N90" s="44" t="str">
        <f>IF($I90="","",IF(N$37="","",IF('Control Panel'!N90="",IF(VLOOKUP($E55,'Table Output'!$A$2:$E$99998,5,FALSE)="Sand",VLOOKUP(N$37,BoundParameters_HiddenSheetSAND!$I$3:$L$50,MATCH(VLOOKUP($I90,$I$5:$AJ$34,MATCH(VLOOKUP(N$37,$BH$3:$BI$50,2,FALSE),$I$4:$AJ$4,0),FALSE),BoundParameters_HiddenSheetCLAY!$I$1:$L$1,0),FALSE),IF(VLOOKUP($E55,'Table Output'!$A$2:$E$9998,5,FALSE)="Clay",VLOOKUP(N$37,BoundParameters_HiddenSheetCLAY!$I$3:$L$50,MATCH(VLOOKUP($I90,$I$5:$AJ$34,MATCH(VLOOKUP(N$37,$BH$3:$BI$50,2,FALSE),$I$4:$AJ$4,0),FALSE),BoundParameters_HiddenSheetCLAY!$I$1:$L$1,0),FALSE))),'Control Panel'!N90)))</f>
        <v/>
      </c>
      <c r="O90" s="44" t="str">
        <f>IF($I90="","",IF(O$37="","",IF('Control Panel'!O90="",IF(VLOOKUP($E55,'Table Output'!$A$2:$E$99998,5,FALSE)="Sand",VLOOKUP(O$37,BoundParameters_HiddenSheetSAND!$I$3:$L$50,MATCH(VLOOKUP($I90,$I$5:$AJ$34,MATCH(VLOOKUP(O$37,$BH$3:$BI$50,2,FALSE),$I$4:$AJ$4,0),FALSE),BoundParameters_HiddenSheetCLAY!$I$1:$L$1,0),FALSE),IF(VLOOKUP($E55,'Table Output'!$A$2:$E$9998,5,FALSE)="Clay",VLOOKUP(O$37,BoundParameters_HiddenSheetCLAY!$I$3:$L$50,MATCH(VLOOKUP($I90,$I$5:$AJ$34,MATCH(VLOOKUP(O$37,$BH$3:$BI$50,2,FALSE),$I$4:$AJ$4,0),FALSE),BoundParameters_HiddenSheetCLAY!$I$1:$L$1,0),FALSE))),'Control Panel'!O90)))</f>
        <v/>
      </c>
      <c r="P90" s="44" t="str">
        <f>IF($I90="","",IF(P$37="","",IF('Control Panel'!P90="",IF(VLOOKUP($E55,'Table Output'!$A$2:$E$99998,5,FALSE)="Sand",VLOOKUP(P$37,BoundParameters_HiddenSheetSAND!$I$3:$L$50,MATCH(VLOOKUP($I90,$I$5:$AJ$34,MATCH(VLOOKUP(P$37,$BH$3:$BI$50,2,FALSE),$I$4:$AJ$4,0),FALSE),BoundParameters_HiddenSheetCLAY!$I$1:$L$1,0),FALSE),IF(VLOOKUP($E55,'Table Output'!$A$2:$E$9998,5,FALSE)="Clay",VLOOKUP(P$37,BoundParameters_HiddenSheetCLAY!$I$3:$L$50,MATCH(VLOOKUP($I90,$I$5:$AJ$34,MATCH(VLOOKUP(P$37,$BH$3:$BI$50,2,FALSE),$I$4:$AJ$4,0),FALSE),BoundParameters_HiddenSheetCLAY!$I$1:$L$1,0),FALSE))),'Control Panel'!P90)))</f>
        <v/>
      </c>
      <c r="Q90" s="44" t="str">
        <f>IF($I90="","",IF(Q$37="","",IF('Control Panel'!Q90="",IF(VLOOKUP($E55,'Table Output'!$A$2:$E$99998,5,FALSE)="Sand",VLOOKUP(Q$37,BoundParameters_HiddenSheetSAND!$I$3:$L$50,MATCH(VLOOKUP($I90,$I$5:$AJ$34,MATCH(VLOOKUP(Q$37,$BH$3:$BI$50,2,FALSE),$I$4:$AJ$4,0),FALSE),BoundParameters_HiddenSheetCLAY!$I$1:$L$1,0),FALSE),IF(VLOOKUP($E55,'Table Output'!$A$2:$E$9998,5,FALSE)="Clay",VLOOKUP(Q$37,BoundParameters_HiddenSheetCLAY!$I$3:$L$50,MATCH(VLOOKUP($I90,$I$5:$AJ$34,MATCH(VLOOKUP(Q$37,$BH$3:$BI$50,2,FALSE),$I$4:$AJ$4,0),FALSE),BoundParameters_HiddenSheetCLAY!$I$1:$L$1,0),FALSE))),'Control Panel'!Q90)))</f>
        <v/>
      </c>
      <c r="R90" s="44" t="str">
        <f>IF($I90="","",IF(R$37="","",IF('Control Panel'!R90="",IF(VLOOKUP($E55,'Table Output'!$A$2:$E$99998,5,FALSE)="Sand",VLOOKUP(R$37,BoundParameters_HiddenSheetSAND!$I$3:$L$50,MATCH(VLOOKUP($I90,$I$5:$AJ$34,MATCH(VLOOKUP(R$37,$BH$3:$BI$50,2,FALSE),$I$4:$AJ$4,0),FALSE),BoundParameters_HiddenSheetCLAY!$I$1:$L$1,0),FALSE),IF(VLOOKUP($E55,'Table Output'!$A$2:$E$9998,5,FALSE)="Clay",VLOOKUP(R$37,BoundParameters_HiddenSheetCLAY!$I$3:$L$50,MATCH(VLOOKUP($I90,$I$5:$AJ$34,MATCH(VLOOKUP(R$37,$BH$3:$BI$50,2,FALSE),$I$4:$AJ$4,0),FALSE),BoundParameters_HiddenSheetCLAY!$I$1:$L$1,0),FALSE))),'Control Panel'!R90)))</f>
        <v/>
      </c>
      <c r="S90" s="44" t="str">
        <f>IF($I90="","",IF(S$37="","",IF('Control Panel'!S90="",IF(VLOOKUP($E55,'Table Output'!$A$2:$E$99998,5,FALSE)="Sand",VLOOKUP(S$37,BoundParameters_HiddenSheetSAND!$I$3:$L$50,MATCH(VLOOKUP($I90,$I$5:$AJ$34,MATCH(VLOOKUP(S$37,$BH$3:$BI$50,2,FALSE),$I$4:$AJ$4,0),FALSE),BoundParameters_HiddenSheetCLAY!$I$1:$L$1,0),FALSE),IF(VLOOKUP($E55,'Table Output'!$A$2:$E$9998,5,FALSE)="Clay",VLOOKUP(S$37,BoundParameters_HiddenSheetCLAY!$I$3:$L$50,MATCH(VLOOKUP($I90,$I$5:$AJ$34,MATCH(VLOOKUP(S$37,$BH$3:$BI$50,2,FALSE),$I$4:$AJ$4,0),FALSE),BoundParameters_HiddenSheetCLAY!$I$1:$L$1,0),FALSE))),'Control Panel'!S90)))</f>
        <v/>
      </c>
    </row>
    <row r="91" spans="5:19" x14ac:dyDescent="0.15">
      <c r="E91" s="2" t="str">
        <f>E56</f>
        <v/>
      </c>
      <c r="I91" s="7" t="str">
        <f t="shared" ref="I91:I97" si="9">I56</f>
        <v/>
      </c>
      <c r="J91" s="44" t="str">
        <f>IF($I91="","",IF(J$37="","",IF('Control Panel'!J91="",IF(VLOOKUP($E56,'Table Output'!$A$2:$E$99998,5,FALSE)="Sand",VLOOKUP(J$37,BoundParameters_HiddenSheetSAND!$I$3:$L$50,MATCH(VLOOKUP($I91,$I$5:$AJ$34,MATCH(VLOOKUP(J$37,$BH$3:$BI$50,2,FALSE),$I$4:$AJ$4,0),FALSE),BoundParameters_HiddenSheetCLAY!$I$1:$L$1,0),FALSE),IF(VLOOKUP($E56,'Table Output'!$A$2:$E$9998,5,FALSE)="Clay",VLOOKUP(J$37,BoundParameters_HiddenSheetCLAY!$I$3:$L$50,MATCH(VLOOKUP($I91,$I$5:$AJ$34,MATCH(VLOOKUP(J$37,$BH$3:$BI$50,2,FALSE),$I$4:$AJ$4,0),FALSE),BoundParameters_HiddenSheetCLAY!$I$1:$L$1,0),FALSE))),'Control Panel'!J91)))</f>
        <v/>
      </c>
      <c r="K91" s="44" t="str">
        <f>IF($I91="","",IF(K$37="","",IF('Control Panel'!K91="",IF(VLOOKUP($E56,'Table Output'!$A$2:$E$99998,5,FALSE)="Sand",VLOOKUP(K$37,BoundParameters_HiddenSheetSAND!$I$3:$L$50,MATCH(VLOOKUP($I91,$I$5:$AJ$34,MATCH(VLOOKUP(K$37,$BH$3:$BI$50,2,FALSE),$I$4:$AJ$4,0),FALSE),BoundParameters_HiddenSheetCLAY!$I$1:$L$1,0),FALSE),IF(VLOOKUP($E56,'Table Output'!$A$2:$E$9998,5,FALSE)="Clay",VLOOKUP(K$37,BoundParameters_HiddenSheetCLAY!$I$3:$L$50,MATCH(VLOOKUP($I91,$I$5:$AJ$34,MATCH(VLOOKUP(K$37,$BH$3:$BI$50,2,FALSE),$I$4:$AJ$4,0),FALSE),BoundParameters_HiddenSheetCLAY!$I$1:$L$1,0),FALSE))),'Control Panel'!K91)))</f>
        <v/>
      </c>
      <c r="L91" s="44" t="str">
        <f>IF($I91="","",IF(L$37="","",IF('Control Panel'!L91="",IF(VLOOKUP($E56,'Table Output'!$A$2:$E$99998,5,FALSE)="Sand",VLOOKUP(L$37,BoundParameters_HiddenSheetSAND!$I$3:$L$50,MATCH(VLOOKUP($I91,$I$5:$AJ$34,MATCH(VLOOKUP(L$37,$BH$3:$BI$50,2,FALSE),$I$4:$AJ$4,0),FALSE),BoundParameters_HiddenSheetCLAY!$I$1:$L$1,0),FALSE),IF(VLOOKUP($E56,'Table Output'!$A$2:$E$9998,5,FALSE)="Clay",VLOOKUP(L$37,BoundParameters_HiddenSheetCLAY!$I$3:$L$50,MATCH(VLOOKUP($I91,$I$5:$AJ$34,MATCH(VLOOKUP(L$37,$BH$3:$BI$50,2,FALSE),$I$4:$AJ$4,0),FALSE),BoundParameters_HiddenSheetCLAY!$I$1:$L$1,0),FALSE))),'Control Panel'!L91)))</f>
        <v/>
      </c>
      <c r="M91" s="44" t="str">
        <f>IF($I91="","",IF(M$37="","",IF('Control Panel'!M91="",IF(VLOOKUP($E56,'Table Output'!$A$2:$E$99998,5,FALSE)="Sand",VLOOKUP(M$37,BoundParameters_HiddenSheetSAND!$I$3:$L$50,MATCH(VLOOKUP($I91,$I$5:$AJ$34,MATCH(VLOOKUP(M$37,$BH$3:$BI$50,2,FALSE),$I$4:$AJ$4,0),FALSE),BoundParameters_HiddenSheetCLAY!$I$1:$L$1,0),FALSE),IF(VLOOKUP($E56,'Table Output'!$A$2:$E$9998,5,FALSE)="Clay",VLOOKUP(M$37,BoundParameters_HiddenSheetCLAY!$I$3:$L$50,MATCH(VLOOKUP($I91,$I$5:$AJ$34,MATCH(VLOOKUP(M$37,$BH$3:$BI$50,2,FALSE),$I$4:$AJ$4,0),FALSE),BoundParameters_HiddenSheetCLAY!$I$1:$L$1,0),FALSE))),'Control Panel'!M91)))</f>
        <v/>
      </c>
      <c r="N91" s="44" t="str">
        <f>IF($I91="","",IF(N$37="","",IF('Control Panel'!N91="",IF(VLOOKUP($E56,'Table Output'!$A$2:$E$99998,5,FALSE)="Sand",VLOOKUP(N$37,BoundParameters_HiddenSheetSAND!$I$3:$L$50,MATCH(VLOOKUP($I91,$I$5:$AJ$34,MATCH(VLOOKUP(N$37,$BH$3:$BI$50,2,FALSE),$I$4:$AJ$4,0),FALSE),BoundParameters_HiddenSheetCLAY!$I$1:$L$1,0),FALSE),IF(VLOOKUP($E56,'Table Output'!$A$2:$E$9998,5,FALSE)="Clay",VLOOKUP(N$37,BoundParameters_HiddenSheetCLAY!$I$3:$L$50,MATCH(VLOOKUP($I91,$I$5:$AJ$34,MATCH(VLOOKUP(N$37,$BH$3:$BI$50,2,FALSE),$I$4:$AJ$4,0),FALSE),BoundParameters_HiddenSheetCLAY!$I$1:$L$1,0),FALSE))),'Control Panel'!N91)))</f>
        <v/>
      </c>
      <c r="O91" s="44" t="str">
        <f>IF($I91="","",IF(O$37="","",IF('Control Panel'!O91="",IF(VLOOKUP($E56,'Table Output'!$A$2:$E$99998,5,FALSE)="Sand",VLOOKUP(O$37,BoundParameters_HiddenSheetSAND!$I$3:$L$50,MATCH(VLOOKUP($I91,$I$5:$AJ$34,MATCH(VLOOKUP(O$37,$BH$3:$BI$50,2,FALSE),$I$4:$AJ$4,0),FALSE),BoundParameters_HiddenSheetCLAY!$I$1:$L$1,0),FALSE),IF(VLOOKUP($E56,'Table Output'!$A$2:$E$9998,5,FALSE)="Clay",VLOOKUP(O$37,BoundParameters_HiddenSheetCLAY!$I$3:$L$50,MATCH(VLOOKUP($I91,$I$5:$AJ$34,MATCH(VLOOKUP(O$37,$BH$3:$BI$50,2,FALSE),$I$4:$AJ$4,0),FALSE),BoundParameters_HiddenSheetCLAY!$I$1:$L$1,0),FALSE))),'Control Panel'!O91)))</f>
        <v/>
      </c>
      <c r="P91" s="44" t="str">
        <f>IF($I91="","",IF(P$37="","",IF('Control Panel'!P91="",IF(VLOOKUP($E56,'Table Output'!$A$2:$E$99998,5,FALSE)="Sand",VLOOKUP(P$37,BoundParameters_HiddenSheetSAND!$I$3:$L$50,MATCH(VLOOKUP($I91,$I$5:$AJ$34,MATCH(VLOOKUP(P$37,$BH$3:$BI$50,2,FALSE),$I$4:$AJ$4,0),FALSE),BoundParameters_HiddenSheetCLAY!$I$1:$L$1,0),FALSE),IF(VLOOKUP($E56,'Table Output'!$A$2:$E$9998,5,FALSE)="Clay",VLOOKUP(P$37,BoundParameters_HiddenSheetCLAY!$I$3:$L$50,MATCH(VLOOKUP($I91,$I$5:$AJ$34,MATCH(VLOOKUP(P$37,$BH$3:$BI$50,2,FALSE),$I$4:$AJ$4,0),FALSE),BoundParameters_HiddenSheetCLAY!$I$1:$L$1,0),FALSE))),'Control Panel'!P91)))</f>
        <v/>
      </c>
      <c r="Q91" s="44" t="str">
        <f>IF($I91="","",IF(Q$37="","",IF('Control Panel'!Q91="",IF(VLOOKUP($E56,'Table Output'!$A$2:$E$99998,5,FALSE)="Sand",VLOOKUP(Q$37,BoundParameters_HiddenSheetSAND!$I$3:$L$50,MATCH(VLOOKUP($I91,$I$5:$AJ$34,MATCH(VLOOKUP(Q$37,$BH$3:$BI$50,2,FALSE),$I$4:$AJ$4,0),FALSE),BoundParameters_HiddenSheetCLAY!$I$1:$L$1,0),FALSE),IF(VLOOKUP($E56,'Table Output'!$A$2:$E$9998,5,FALSE)="Clay",VLOOKUP(Q$37,BoundParameters_HiddenSheetCLAY!$I$3:$L$50,MATCH(VLOOKUP($I91,$I$5:$AJ$34,MATCH(VLOOKUP(Q$37,$BH$3:$BI$50,2,FALSE),$I$4:$AJ$4,0),FALSE),BoundParameters_HiddenSheetCLAY!$I$1:$L$1,0),FALSE))),'Control Panel'!Q91)))</f>
        <v/>
      </c>
      <c r="R91" s="44" t="str">
        <f>IF($I91="","",IF(R$37="","",IF('Control Panel'!R91="",IF(VLOOKUP($E56,'Table Output'!$A$2:$E$99998,5,FALSE)="Sand",VLOOKUP(R$37,BoundParameters_HiddenSheetSAND!$I$3:$L$50,MATCH(VLOOKUP($I91,$I$5:$AJ$34,MATCH(VLOOKUP(R$37,$BH$3:$BI$50,2,FALSE),$I$4:$AJ$4,0),FALSE),BoundParameters_HiddenSheetCLAY!$I$1:$L$1,0),FALSE),IF(VLOOKUP($E56,'Table Output'!$A$2:$E$9998,5,FALSE)="Clay",VLOOKUP(R$37,BoundParameters_HiddenSheetCLAY!$I$3:$L$50,MATCH(VLOOKUP($I91,$I$5:$AJ$34,MATCH(VLOOKUP(R$37,$BH$3:$BI$50,2,FALSE),$I$4:$AJ$4,0),FALSE),BoundParameters_HiddenSheetCLAY!$I$1:$L$1,0),FALSE))),'Control Panel'!R91)))</f>
        <v/>
      </c>
      <c r="S91" s="44" t="str">
        <f>IF($I91="","",IF(S$37="","",IF('Control Panel'!S91="",IF(VLOOKUP($E56,'Table Output'!$A$2:$E$99998,5,FALSE)="Sand",VLOOKUP(S$37,BoundParameters_HiddenSheetSAND!$I$3:$L$50,MATCH(VLOOKUP($I91,$I$5:$AJ$34,MATCH(VLOOKUP(S$37,$BH$3:$BI$50,2,FALSE),$I$4:$AJ$4,0),FALSE),BoundParameters_HiddenSheetCLAY!$I$1:$L$1,0),FALSE),IF(VLOOKUP($E56,'Table Output'!$A$2:$E$9998,5,FALSE)="Clay",VLOOKUP(S$37,BoundParameters_HiddenSheetCLAY!$I$3:$L$50,MATCH(VLOOKUP($I91,$I$5:$AJ$34,MATCH(VLOOKUP(S$37,$BH$3:$BI$50,2,FALSE),$I$4:$AJ$4,0),FALSE),BoundParameters_HiddenSheetCLAY!$I$1:$L$1,0),FALSE))),'Control Panel'!S91)))</f>
        <v/>
      </c>
    </row>
    <row r="92" spans="5:19" x14ac:dyDescent="0.15">
      <c r="E92" s="2" t="str">
        <f t="shared" si="8"/>
        <v/>
      </c>
      <c r="I92" s="7" t="str">
        <f t="shared" si="9"/>
        <v/>
      </c>
      <c r="J92" s="44" t="str">
        <f>IF($I92="","",IF(J$37="","",IF('Control Panel'!J92="",IF(VLOOKUP($E57,'Table Output'!$A$2:$E$99998,5,FALSE)="Sand",VLOOKUP(J$37,BoundParameters_HiddenSheetSAND!$I$3:$L$50,MATCH(VLOOKUP($I92,$I$5:$AJ$34,MATCH(VLOOKUP(J$37,$BH$3:$BI$50,2,FALSE),$I$4:$AJ$4,0),FALSE),BoundParameters_HiddenSheetCLAY!$I$1:$L$1,0),FALSE),IF(VLOOKUP($E57,'Table Output'!$A$2:$E$9998,5,FALSE)="Clay",VLOOKUP(J$37,BoundParameters_HiddenSheetCLAY!$I$3:$L$50,MATCH(VLOOKUP($I92,$I$5:$AJ$34,MATCH(VLOOKUP(J$37,$BH$3:$BI$50,2,FALSE),$I$4:$AJ$4,0),FALSE),BoundParameters_HiddenSheetCLAY!$I$1:$L$1,0),FALSE))),'Control Panel'!J92)))</f>
        <v/>
      </c>
      <c r="K92" s="44" t="str">
        <f>IF($I92="","",IF(K$37="","",IF('Control Panel'!K92="",IF(VLOOKUP($E57,'Table Output'!$A$2:$E$99998,5,FALSE)="Sand",VLOOKUP(K$37,BoundParameters_HiddenSheetSAND!$I$3:$L$50,MATCH(VLOOKUP($I92,$I$5:$AJ$34,MATCH(VLOOKUP(K$37,$BH$3:$BI$50,2,FALSE),$I$4:$AJ$4,0),FALSE),BoundParameters_HiddenSheetCLAY!$I$1:$L$1,0),FALSE),IF(VLOOKUP($E57,'Table Output'!$A$2:$E$9998,5,FALSE)="Clay",VLOOKUP(K$37,BoundParameters_HiddenSheetCLAY!$I$3:$L$50,MATCH(VLOOKUP($I92,$I$5:$AJ$34,MATCH(VLOOKUP(K$37,$BH$3:$BI$50,2,FALSE),$I$4:$AJ$4,0),FALSE),BoundParameters_HiddenSheetCLAY!$I$1:$L$1,0),FALSE))),'Control Panel'!K92)))</f>
        <v/>
      </c>
      <c r="L92" s="44" t="str">
        <f>IF($I92="","",IF(L$37="","",IF('Control Panel'!L92="",IF(VLOOKUP($E57,'Table Output'!$A$2:$E$99998,5,FALSE)="Sand",VLOOKUP(L$37,BoundParameters_HiddenSheetSAND!$I$3:$L$50,MATCH(VLOOKUP($I92,$I$5:$AJ$34,MATCH(VLOOKUP(L$37,$BH$3:$BI$50,2,FALSE),$I$4:$AJ$4,0),FALSE),BoundParameters_HiddenSheetCLAY!$I$1:$L$1,0),FALSE),IF(VLOOKUP($E57,'Table Output'!$A$2:$E$9998,5,FALSE)="Clay",VLOOKUP(L$37,BoundParameters_HiddenSheetCLAY!$I$3:$L$50,MATCH(VLOOKUP($I92,$I$5:$AJ$34,MATCH(VLOOKUP(L$37,$BH$3:$BI$50,2,FALSE),$I$4:$AJ$4,0),FALSE),BoundParameters_HiddenSheetCLAY!$I$1:$L$1,0),FALSE))),'Control Panel'!L92)))</f>
        <v/>
      </c>
      <c r="M92" s="44" t="str">
        <f>IF($I92="","",IF(M$37="","",IF('Control Panel'!M92="",IF(VLOOKUP($E57,'Table Output'!$A$2:$E$99998,5,FALSE)="Sand",VLOOKUP(M$37,BoundParameters_HiddenSheetSAND!$I$3:$L$50,MATCH(VLOOKUP($I92,$I$5:$AJ$34,MATCH(VLOOKUP(M$37,$BH$3:$BI$50,2,FALSE),$I$4:$AJ$4,0),FALSE),BoundParameters_HiddenSheetCLAY!$I$1:$L$1,0),FALSE),IF(VLOOKUP($E57,'Table Output'!$A$2:$E$9998,5,FALSE)="Clay",VLOOKUP(M$37,BoundParameters_HiddenSheetCLAY!$I$3:$L$50,MATCH(VLOOKUP($I92,$I$5:$AJ$34,MATCH(VLOOKUP(M$37,$BH$3:$BI$50,2,FALSE),$I$4:$AJ$4,0),FALSE),BoundParameters_HiddenSheetCLAY!$I$1:$L$1,0),FALSE))),'Control Panel'!M92)))</f>
        <v/>
      </c>
      <c r="N92" s="44" t="str">
        <f>IF($I92="","",IF(N$37="","",IF('Control Panel'!N92="",IF(VLOOKUP($E57,'Table Output'!$A$2:$E$99998,5,FALSE)="Sand",VLOOKUP(N$37,BoundParameters_HiddenSheetSAND!$I$3:$L$50,MATCH(VLOOKUP($I92,$I$5:$AJ$34,MATCH(VLOOKUP(N$37,$BH$3:$BI$50,2,FALSE),$I$4:$AJ$4,0),FALSE),BoundParameters_HiddenSheetCLAY!$I$1:$L$1,0),FALSE),IF(VLOOKUP($E57,'Table Output'!$A$2:$E$9998,5,FALSE)="Clay",VLOOKUP(N$37,BoundParameters_HiddenSheetCLAY!$I$3:$L$50,MATCH(VLOOKUP($I92,$I$5:$AJ$34,MATCH(VLOOKUP(N$37,$BH$3:$BI$50,2,FALSE),$I$4:$AJ$4,0),FALSE),BoundParameters_HiddenSheetCLAY!$I$1:$L$1,0),FALSE))),'Control Panel'!N92)))</f>
        <v/>
      </c>
      <c r="O92" s="44" t="str">
        <f>IF($I92="","",IF(O$37="","",IF('Control Panel'!O92="",IF(VLOOKUP($E57,'Table Output'!$A$2:$E$99998,5,FALSE)="Sand",VLOOKUP(O$37,BoundParameters_HiddenSheetSAND!$I$3:$L$50,MATCH(VLOOKUP($I92,$I$5:$AJ$34,MATCH(VLOOKUP(O$37,$BH$3:$BI$50,2,FALSE),$I$4:$AJ$4,0),FALSE),BoundParameters_HiddenSheetCLAY!$I$1:$L$1,0),FALSE),IF(VLOOKUP($E57,'Table Output'!$A$2:$E$9998,5,FALSE)="Clay",VLOOKUP(O$37,BoundParameters_HiddenSheetCLAY!$I$3:$L$50,MATCH(VLOOKUP($I92,$I$5:$AJ$34,MATCH(VLOOKUP(O$37,$BH$3:$BI$50,2,FALSE),$I$4:$AJ$4,0),FALSE),BoundParameters_HiddenSheetCLAY!$I$1:$L$1,0),FALSE))),'Control Panel'!O92)))</f>
        <v/>
      </c>
      <c r="P92" s="44" t="str">
        <f>IF($I92="","",IF(P$37="","",IF('Control Panel'!P92="",IF(VLOOKUP($E57,'Table Output'!$A$2:$E$99998,5,FALSE)="Sand",VLOOKUP(P$37,BoundParameters_HiddenSheetSAND!$I$3:$L$50,MATCH(VLOOKUP($I92,$I$5:$AJ$34,MATCH(VLOOKUP(P$37,$BH$3:$BI$50,2,FALSE),$I$4:$AJ$4,0),FALSE),BoundParameters_HiddenSheetCLAY!$I$1:$L$1,0),FALSE),IF(VLOOKUP($E57,'Table Output'!$A$2:$E$9998,5,FALSE)="Clay",VLOOKUP(P$37,BoundParameters_HiddenSheetCLAY!$I$3:$L$50,MATCH(VLOOKUP($I92,$I$5:$AJ$34,MATCH(VLOOKUP(P$37,$BH$3:$BI$50,2,FALSE),$I$4:$AJ$4,0),FALSE),BoundParameters_HiddenSheetCLAY!$I$1:$L$1,0),FALSE))),'Control Panel'!P92)))</f>
        <v/>
      </c>
      <c r="Q92" s="44" t="str">
        <f>IF($I92="","",IF(Q$37="","",IF('Control Panel'!Q92="",IF(VLOOKUP($E57,'Table Output'!$A$2:$E$99998,5,FALSE)="Sand",VLOOKUP(Q$37,BoundParameters_HiddenSheetSAND!$I$3:$L$50,MATCH(VLOOKUP($I92,$I$5:$AJ$34,MATCH(VLOOKUP(Q$37,$BH$3:$BI$50,2,FALSE),$I$4:$AJ$4,0),FALSE),BoundParameters_HiddenSheetCLAY!$I$1:$L$1,0),FALSE),IF(VLOOKUP($E57,'Table Output'!$A$2:$E$9998,5,FALSE)="Clay",VLOOKUP(Q$37,BoundParameters_HiddenSheetCLAY!$I$3:$L$50,MATCH(VLOOKUP($I92,$I$5:$AJ$34,MATCH(VLOOKUP(Q$37,$BH$3:$BI$50,2,FALSE),$I$4:$AJ$4,0),FALSE),BoundParameters_HiddenSheetCLAY!$I$1:$L$1,0),FALSE))),'Control Panel'!Q92)))</f>
        <v/>
      </c>
      <c r="R92" s="44" t="str">
        <f>IF($I92="","",IF(R$37="","",IF('Control Panel'!R92="",IF(VLOOKUP($E57,'Table Output'!$A$2:$E$99998,5,FALSE)="Sand",VLOOKUP(R$37,BoundParameters_HiddenSheetSAND!$I$3:$L$50,MATCH(VLOOKUP($I92,$I$5:$AJ$34,MATCH(VLOOKUP(R$37,$BH$3:$BI$50,2,FALSE),$I$4:$AJ$4,0),FALSE),BoundParameters_HiddenSheetCLAY!$I$1:$L$1,0),FALSE),IF(VLOOKUP($E57,'Table Output'!$A$2:$E$9998,5,FALSE)="Clay",VLOOKUP(R$37,BoundParameters_HiddenSheetCLAY!$I$3:$L$50,MATCH(VLOOKUP($I92,$I$5:$AJ$34,MATCH(VLOOKUP(R$37,$BH$3:$BI$50,2,FALSE),$I$4:$AJ$4,0),FALSE),BoundParameters_HiddenSheetCLAY!$I$1:$L$1,0),FALSE))),'Control Panel'!R92)))</f>
        <v/>
      </c>
      <c r="S92" s="44" t="str">
        <f>IF($I92="","",IF(S$37="","",IF('Control Panel'!S92="",IF(VLOOKUP($E57,'Table Output'!$A$2:$E$99998,5,FALSE)="Sand",VLOOKUP(S$37,BoundParameters_HiddenSheetSAND!$I$3:$L$50,MATCH(VLOOKUP($I92,$I$5:$AJ$34,MATCH(VLOOKUP(S$37,$BH$3:$BI$50,2,FALSE),$I$4:$AJ$4,0),FALSE),BoundParameters_HiddenSheetCLAY!$I$1:$L$1,0),FALSE),IF(VLOOKUP($E57,'Table Output'!$A$2:$E$9998,5,FALSE)="Clay",VLOOKUP(S$37,BoundParameters_HiddenSheetCLAY!$I$3:$L$50,MATCH(VLOOKUP($I92,$I$5:$AJ$34,MATCH(VLOOKUP(S$37,$BH$3:$BI$50,2,FALSE),$I$4:$AJ$4,0),FALSE),BoundParameters_HiddenSheetCLAY!$I$1:$L$1,0),FALSE))),'Control Panel'!S92)))</f>
        <v/>
      </c>
    </row>
    <row r="93" spans="5:19" x14ac:dyDescent="0.15">
      <c r="E93" s="2" t="str">
        <f t="shared" ref="E93:E102" si="10">E58</f>
        <v/>
      </c>
      <c r="I93" s="7" t="str">
        <f t="shared" si="9"/>
        <v/>
      </c>
      <c r="J93" s="44" t="str">
        <f>IF($I93="","",IF(J$37="","",IF('Control Panel'!J93="",IF(VLOOKUP($E58,'Table Output'!$A$2:$E$99998,5,FALSE)="Sand",VLOOKUP(J$37,BoundParameters_HiddenSheetSAND!$I$3:$L$50,MATCH(VLOOKUP($I93,$I$5:$AJ$34,MATCH(VLOOKUP(J$37,$BH$3:$BI$50,2,FALSE),$I$4:$AJ$4,0),FALSE),BoundParameters_HiddenSheetCLAY!$I$1:$L$1,0),FALSE),IF(VLOOKUP($E58,'Table Output'!$A$2:$E$9998,5,FALSE)="Clay",VLOOKUP(J$37,BoundParameters_HiddenSheetCLAY!$I$3:$L$50,MATCH(VLOOKUP($I93,$I$5:$AJ$34,MATCH(VLOOKUP(J$37,$BH$3:$BI$50,2,FALSE),$I$4:$AJ$4,0),FALSE),BoundParameters_HiddenSheetCLAY!$I$1:$L$1,0),FALSE))),'Control Panel'!J93)))</f>
        <v/>
      </c>
      <c r="K93" s="44" t="str">
        <f>IF($I93="","",IF(K$37="","",IF('Control Panel'!K93="",IF(VLOOKUP($E58,'Table Output'!$A$2:$E$99998,5,FALSE)="Sand",VLOOKUP(K$37,BoundParameters_HiddenSheetSAND!$I$3:$L$50,MATCH(VLOOKUP($I93,$I$5:$AJ$34,MATCH(VLOOKUP(K$37,$BH$3:$BI$50,2,FALSE),$I$4:$AJ$4,0),FALSE),BoundParameters_HiddenSheetCLAY!$I$1:$L$1,0),FALSE),IF(VLOOKUP($E58,'Table Output'!$A$2:$E$9998,5,FALSE)="Clay",VLOOKUP(K$37,BoundParameters_HiddenSheetCLAY!$I$3:$L$50,MATCH(VLOOKUP($I93,$I$5:$AJ$34,MATCH(VLOOKUP(K$37,$BH$3:$BI$50,2,FALSE),$I$4:$AJ$4,0),FALSE),BoundParameters_HiddenSheetCLAY!$I$1:$L$1,0),FALSE))),'Control Panel'!K93)))</f>
        <v/>
      </c>
      <c r="L93" s="44" t="str">
        <f>IF($I93="","",IF(L$37="","",IF('Control Panel'!L93="",IF(VLOOKUP($E58,'Table Output'!$A$2:$E$99998,5,FALSE)="Sand",VLOOKUP(L$37,BoundParameters_HiddenSheetSAND!$I$3:$L$50,MATCH(VLOOKUP($I93,$I$5:$AJ$34,MATCH(VLOOKUP(L$37,$BH$3:$BI$50,2,FALSE),$I$4:$AJ$4,0),FALSE),BoundParameters_HiddenSheetCLAY!$I$1:$L$1,0),FALSE),IF(VLOOKUP($E58,'Table Output'!$A$2:$E$9998,5,FALSE)="Clay",VLOOKUP(L$37,BoundParameters_HiddenSheetCLAY!$I$3:$L$50,MATCH(VLOOKUP($I93,$I$5:$AJ$34,MATCH(VLOOKUP(L$37,$BH$3:$BI$50,2,FALSE),$I$4:$AJ$4,0),FALSE),BoundParameters_HiddenSheetCLAY!$I$1:$L$1,0),FALSE))),'Control Panel'!L93)))</f>
        <v/>
      </c>
      <c r="M93" s="44" t="str">
        <f>IF($I93="","",IF(M$37="","",IF('Control Panel'!M93="",IF(VLOOKUP($E58,'Table Output'!$A$2:$E$99998,5,FALSE)="Sand",VLOOKUP(M$37,BoundParameters_HiddenSheetSAND!$I$3:$L$50,MATCH(VLOOKUP($I93,$I$5:$AJ$34,MATCH(VLOOKUP(M$37,$BH$3:$BI$50,2,FALSE),$I$4:$AJ$4,0),FALSE),BoundParameters_HiddenSheetCLAY!$I$1:$L$1,0),FALSE),IF(VLOOKUP($E58,'Table Output'!$A$2:$E$9998,5,FALSE)="Clay",VLOOKUP(M$37,BoundParameters_HiddenSheetCLAY!$I$3:$L$50,MATCH(VLOOKUP($I93,$I$5:$AJ$34,MATCH(VLOOKUP(M$37,$BH$3:$BI$50,2,FALSE),$I$4:$AJ$4,0),FALSE),BoundParameters_HiddenSheetCLAY!$I$1:$L$1,0),FALSE))),'Control Panel'!M93)))</f>
        <v/>
      </c>
      <c r="N93" s="44" t="str">
        <f>IF($I93="","",IF(N$37="","",IF('Control Panel'!N93="",IF(VLOOKUP($E58,'Table Output'!$A$2:$E$99998,5,FALSE)="Sand",VLOOKUP(N$37,BoundParameters_HiddenSheetSAND!$I$3:$L$50,MATCH(VLOOKUP($I93,$I$5:$AJ$34,MATCH(VLOOKUP(N$37,$BH$3:$BI$50,2,FALSE),$I$4:$AJ$4,0),FALSE),BoundParameters_HiddenSheetCLAY!$I$1:$L$1,0),FALSE),IF(VLOOKUP($E58,'Table Output'!$A$2:$E$9998,5,FALSE)="Clay",VLOOKUP(N$37,BoundParameters_HiddenSheetCLAY!$I$3:$L$50,MATCH(VLOOKUP($I93,$I$5:$AJ$34,MATCH(VLOOKUP(N$37,$BH$3:$BI$50,2,FALSE),$I$4:$AJ$4,0),FALSE),BoundParameters_HiddenSheetCLAY!$I$1:$L$1,0),FALSE))),'Control Panel'!N93)))</f>
        <v/>
      </c>
      <c r="O93" s="44" t="str">
        <f>IF($I93="","",IF(O$37="","",IF('Control Panel'!O93="",IF(VLOOKUP($E58,'Table Output'!$A$2:$E$99998,5,FALSE)="Sand",VLOOKUP(O$37,BoundParameters_HiddenSheetSAND!$I$3:$L$50,MATCH(VLOOKUP($I93,$I$5:$AJ$34,MATCH(VLOOKUP(O$37,$BH$3:$BI$50,2,FALSE),$I$4:$AJ$4,0),FALSE),BoundParameters_HiddenSheetCLAY!$I$1:$L$1,0),FALSE),IF(VLOOKUP($E58,'Table Output'!$A$2:$E$9998,5,FALSE)="Clay",VLOOKUP(O$37,BoundParameters_HiddenSheetCLAY!$I$3:$L$50,MATCH(VLOOKUP($I93,$I$5:$AJ$34,MATCH(VLOOKUP(O$37,$BH$3:$BI$50,2,FALSE),$I$4:$AJ$4,0),FALSE),BoundParameters_HiddenSheetCLAY!$I$1:$L$1,0),FALSE))),'Control Panel'!O93)))</f>
        <v/>
      </c>
      <c r="P93" s="44" t="str">
        <f>IF($I93="","",IF(P$37="","",IF('Control Panel'!P93="",IF(VLOOKUP($E58,'Table Output'!$A$2:$E$99998,5,FALSE)="Sand",VLOOKUP(P$37,BoundParameters_HiddenSheetSAND!$I$3:$L$50,MATCH(VLOOKUP($I93,$I$5:$AJ$34,MATCH(VLOOKUP(P$37,$BH$3:$BI$50,2,FALSE),$I$4:$AJ$4,0),FALSE),BoundParameters_HiddenSheetCLAY!$I$1:$L$1,0),FALSE),IF(VLOOKUP($E58,'Table Output'!$A$2:$E$9998,5,FALSE)="Clay",VLOOKUP(P$37,BoundParameters_HiddenSheetCLAY!$I$3:$L$50,MATCH(VLOOKUP($I93,$I$5:$AJ$34,MATCH(VLOOKUP(P$37,$BH$3:$BI$50,2,FALSE),$I$4:$AJ$4,0),FALSE),BoundParameters_HiddenSheetCLAY!$I$1:$L$1,0),FALSE))),'Control Panel'!P93)))</f>
        <v/>
      </c>
      <c r="Q93" s="44" t="str">
        <f>IF($I93="","",IF(Q$37="","",IF('Control Panel'!Q93="",IF(VLOOKUP($E58,'Table Output'!$A$2:$E$99998,5,FALSE)="Sand",VLOOKUP(Q$37,BoundParameters_HiddenSheetSAND!$I$3:$L$50,MATCH(VLOOKUP($I93,$I$5:$AJ$34,MATCH(VLOOKUP(Q$37,$BH$3:$BI$50,2,FALSE),$I$4:$AJ$4,0),FALSE),BoundParameters_HiddenSheetCLAY!$I$1:$L$1,0),FALSE),IF(VLOOKUP($E58,'Table Output'!$A$2:$E$9998,5,FALSE)="Clay",VLOOKUP(Q$37,BoundParameters_HiddenSheetCLAY!$I$3:$L$50,MATCH(VLOOKUP($I93,$I$5:$AJ$34,MATCH(VLOOKUP(Q$37,$BH$3:$BI$50,2,FALSE),$I$4:$AJ$4,0),FALSE),BoundParameters_HiddenSheetCLAY!$I$1:$L$1,0),FALSE))),'Control Panel'!Q93)))</f>
        <v/>
      </c>
      <c r="R93" s="44" t="str">
        <f>IF($I93="","",IF(R$37="","",IF('Control Panel'!R93="",IF(VLOOKUP($E58,'Table Output'!$A$2:$E$99998,5,FALSE)="Sand",VLOOKUP(R$37,BoundParameters_HiddenSheetSAND!$I$3:$L$50,MATCH(VLOOKUP($I93,$I$5:$AJ$34,MATCH(VLOOKUP(R$37,$BH$3:$BI$50,2,FALSE),$I$4:$AJ$4,0),FALSE),BoundParameters_HiddenSheetCLAY!$I$1:$L$1,0),FALSE),IF(VLOOKUP($E58,'Table Output'!$A$2:$E$9998,5,FALSE)="Clay",VLOOKUP(R$37,BoundParameters_HiddenSheetCLAY!$I$3:$L$50,MATCH(VLOOKUP($I93,$I$5:$AJ$34,MATCH(VLOOKUP(R$37,$BH$3:$BI$50,2,FALSE),$I$4:$AJ$4,0),FALSE),BoundParameters_HiddenSheetCLAY!$I$1:$L$1,0),FALSE))),'Control Panel'!R93)))</f>
        <v/>
      </c>
      <c r="S93" s="44" t="str">
        <f>IF($I93="","",IF(S$37="","",IF('Control Panel'!S93="",IF(VLOOKUP($E58,'Table Output'!$A$2:$E$99998,5,FALSE)="Sand",VLOOKUP(S$37,BoundParameters_HiddenSheetSAND!$I$3:$L$50,MATCH(VLOOKUP($I93,$I$5:$AJ$34,MATCH(VLOOKUP(S$37,$BH$3:$BI$50,2,FALSE),$I$4:$AJ$4,0),FALSE),BoundParameters_HiddenSheetCLAY!$I$1:$L$1,0),FALSE),IF(VLOOKUP($E58,'Table Output'!$A$2:$E$9998,5,FALSE)="Clay",VLOOKUP(S$37,BoundParameters_HiddenSheetCLAY!$I$3:$L$50,MATCH(VLOOKUP($I93,$I$5:$AJ$34,MATCH(VLOOKUP(S$37,$BH$3:$BI$50,2,FALSE),$I$4:$AJ$4,0),FALSE),BoundParameters_HiddenSheetCLAY!$I$1:$L$1,0),FALSE))),'Control Panel'!S93)))</f>
        <v/>
      </c>
    </row>
    <row r="94" spans="5:19" x14ac:dyDescent="0.15">
      <c r="E94" s="2" t="str">
        <f t="shared" si="10"/>
        <v/>
      </c>
      <c r="I94" s="7" t="str">
        <f t="shared" si="9"/>
        <v/>
      </c>
      <c r="J94" s="44" t="str">
        <f>IF($I94="","",IF(J$37="","",IF('Control Panel'!J94="",IF(VLOOKUP($E59,'Table Output'!$A$2:$E$99998,5,FALSE)="Sand",VLOOKUP(J$37,BoundParameters_HiddenSheetSAND!$I$3:$L$50,MATCH(VLOOKUP($I94,$I$5:$AJ$34,MATCH(VLOOKUP(J$37,$BH$3:$BI$50,2,FALSE),$I$4:$AJ$4,0),FALSE),BoundParameters_HiddenSheetCLAY!$I$1:$L$1,0),FALSE),IF(VLOOKUP($E59,'Table Output'!$A$2:$E$9998,5,FALSE)="Clay",VLOOKUP(J$37,BoundParameters_HiddenSheetCLAY!$I$3:$L$50,MATCH(VLOOKUP($I94,$I$5:$AJ$34,MATCH(VLOOKUP(J$37,$BH$3:$BI$50,2,FALSE),$I$4:$AJ$4,0),FALSE),BoundParameters_HiddenSheetCLAY!$I$1:$L$1,0),FALSE))),'Control Panel'!J94)))</f>
        <v/>
      </c>
      <c r="K94" s="44" t="str">
        <f>IF($I94="","",IF(K$37="","",IF('Control Panel'!K94="",IF(VLOOKUP($E59,'Table Output'!$A$2:$E$99998,5,FALSE)="Sand",VLOOKUP(K$37,BoundParameters_HiddenSheetSAND!$I$3:$L$50,MATCH(VLOOKUP($I94,$I$5:$AJ$34,MATCH(VLOOKUP(K$37,$BH$3:$BI$50,2,FALSE),$I$4:$AJ$4,0),FALSE),BoundParameters_HiddenSheetCLAY!$I$1:$L$1,0),FALSE),IF(VLOOKUP($E59,'Table Output'!$A$2:$E$9998,5,FALSE)="Clay",VLOOKUP(K$37,BoundParameters_HiddenSheetCLAY!$I$3:$L$50,MATCH(VLOOKUP($I94,$I$5:$AJ$34,MATCH(VLOOKUP(K$37,$BH$3:$BI$50,2,FALSE),$I$4:$AJ$4,0),FALSE),BoundParameters_HiddenSheetCLAY!$I$1:$L$1,0),FALSE))),'Control Panel'!K94)))</f>
        <v/>
      </c>
      <c r="L94" s="44" t="str">
        <f>IF($I94="","",IF(L$37="","",IF('Control Panel'!L94="",IF(VLOOKUP($E59,'Table Output'!$A$2:$E$99998,5,FALSE)="Sand",VLOOKUP(L$37,BoundParameters_HiddenSheetSAND!$I$3:$L$50,MATCH(VLOOKUP($I94,$I$5:$AJ$34,MATCH(VLOOKUP(L$37,$BH$3:$BI$50,2,FALSE),$I$4:$AJ$4,0),FALSE),BoundParameters_HiddenSheetCLAY!$I$1:$L$1,0),FALSE),IF(VLOOKUP($E59,'Table Output'!$A$2:$E$9998,5,FALSE)="Clay",VLOOKUP(L$37,BoundParameters_HiddenSheetCLAY!$I$3:$L$50,MATCH(VLOOKUP($I94,$I$5:$AJ$34,MATCH(VLOOKUP(L$37,$BH$3:$BI$50,2,FALSE),$I$4:$AJ$4,0),FALSE),BoundParameters_HiddenSheetCLAY!$I$1:$L$1,0),FALSE))),'Control Panel'!L94)))</f>
        <v/>
      </c>
      <c r="M94" s="44" t="str">
        <f>IF($I94="","",IF(M$37="","",IF('Control Panel'!M94="",IF(VLOOKUP($E59,'Table Output'!$A$2:$E$99998,5,FALSE)="Sand",VLOOKUP(M$37,BoundParameters_HiddenSheetSAND!$I$3:$L$50,MATCH(VLOOKUP($I94,$I$5:$AJ$34,MATCH(VLOOKUP(M$37,$BH$3:$BI$50,2,FALSE),$I$4:$AJ$4,0),FALSE),BoundParameters_HiddenSheetCLAY!$I$1:$L$1,0),FALSE),IF(VLOOKUP($E59,'Table Output'!$A$2:$E$9998,5,FALSE)="Clay",VLOOKUP(M$37,BoundParameters_HiddenSheetCLAY!$I$3:$L$50,MATCH(VLOOKUP($I94,$I$5:$AJ$34,MATCH(VLOOKUP(M$37,$BH$3:$BI$50,2,FALSE),$I$4:$AJ$4,0),FALSE),BoundParameters_HiddenSheetCLAY!$I$1:$L$1,0),FALSE))),'Control Panel'!M94)))</f>
        <v/>
      </c>
      <c r="N94" s="44" t="str">
        <f>IF($I94="","",IF(N$37="","",IF('Control Panel'!N94="",IF(VLOOKUP($E59,'Table Output'!$A$2:$E$99998,5,FALSE)="Sand",VLOOKUP(N$37,BoundParameters_HiddenSheetSAND!$I$3:$L$50,MATCH(VLOOKUP($I94,$I$5:$AJ$34,MATCH(VLOOKUP(N$37,$BH$3:$BI$50,2,FALSE),$I$4:$AJ$4,0),FALSE),BoundParameters_HiddenSheetCLAY!$I$1:$L$1,0),FALSE),IF(VLOOKUP($E59,'Table Output'!$A$2:$E$9998,5,FALSE)="Clay",VLOOKUP(N$37,BoundParameters_HiddenSheetCLAY!$I$3:$L$50,MATCH(VLOOKUP($I94,$I$5:$AJ$34,MATCH(VLOOKUP(N$37,$BH$3:$BI$50,2,FALSE),$I$4:$AJ$4,0),FALSE),BoundParameters_HiddenSheetCLAY!$I$1:$L$1,0),FALSE))),'Control Panel'!N94)))</f>
        <v/>
      </c>
      <c r="O94" s="44" t="str">
        <f>IF($I94="","",IF(O$37="","",IF('Control Panel'!O94="",IF(VLOOKUP($E59,'Table Output'!$A$2:$E$99998,5,FALSE)="Sand",VLOOKUP(O$37,BoundParameters_HiddenSheetSAND!$I$3:$L$50,MATCH(VLOOKUP($I94,$I$5:$AJ$34,MATCH(VLOOKUP(O$37,$BH$3:$BI$50,2,FALSE),$I$4:$AJ$4,0),FALSE),BoundParameters_HiddenSheetCLAY!$I$1:$L$1,0),FALSE),IF(VLOOKUP($E59,'Table Output'!$A$2:$E$9998,5,FALSE)="Clay",VLOOKUP(O$37,BoundParameters_HiddenSheetCLAY!$I$3:$L$50,MATCH(VLOOKUP($I94,$I$5:$AJ$34,MATCH(VLOOKUP(O$37,$BH$3:$BI$50,2,FALSE),$I$4:$AJ$4,0),FALSE),BoundParameters_HiddenSheetCLAY!$I$1:$L$1,0),FALSE))),'Control Panel'!O94)))</f>
        <v/>
      </c>
      <c r="P94" s="44" t="str">
        <f>IF($I94="","",IF(P$37="","",IF('Control Panel'!P94="",IF(VLOOKUP($E59,'Table Output'!$A$2:$E$99998,5,FALSE)="Sand",VLOOKUP(P$37,BoundParameters_HiddenSheetSAND!$I$3:$L$50,MATCH(VLOOKUP($I94,$I$5:$AJ$34,MATCH(VLOOKUP(P$37,$BH$3:$BI$50,2,FALSE),$I$4:$AJ$4,0),FALSE),BoundParameters_HiddenSheetCLAY!$I$1:$L$1,0),FALSE),IF(VLOOKUP($E59,'Table Output'!$A$2:$E$9998,5,FALSE)="Clay",VLOOKUP(P$37,BoundParameters_HiddenSheetCLAY!$I$3:$L$50,MATCH(VLOOKUP($I94,$I$5:$AJ$34,MATCH(VLOOKUP(P$37,$BH$3:$BI$50,2,FALSE),$I$4:$AJ$4,0),FALSE),BoundParameters_HiddenSheetCLAY!$I$1:$L$1,0),FALSE))),'Control Panel'!P94)))</f>
        <v/>
      </c>
      <c r="Q94" s="44" t="str">
        <f>IF($I94="","",IF(Q$37="","",IF('Control Panel'!Q94="",IF(VLOOKUP($E59,'Table Output'!$A$2:$E$99998,5,FALSE)="Sand",VLOOKUP(Q$37,BoundParameters_HiddenSheetSAND!$I$3:$L$50,MATCH(VLOOKUP($I94,$I$5:$AJ$34,MATCH(VLOOKUP(Q$37,$BH$3:$BI$50,2,FALSE),$I$4:$AJ$4,0),FALSE),BoundParameters_HiddenSheetCLAY!$I$1:$L$1,0),FALSE),IF(VLOOKUP($E59,'Table Output'!$A$2:$E$9998,5,FALSE)="Clay",VLOOKUP(Q$37,BoundParameters_HiddenSheetCLAY!$I$3:$L$50,MATCH(VLOOKUP($I94,$I$5:$AJ$34,MATCH(VLOOKUP(Q$37,$BH$3:$BI$50,2,FALSE),$I$4:$AJ$4,0),FALSE),BoundParameters_HiddenSheetCLAY!$I$1:$L$1,0),FALSE))),'Control Panel'!Q94)))</f>
        <v/>
      </c>
      <c r="R94" s="44" t="str">
        <f>IF($I94="","",IF(R$37="","",IF('Control Panel'!R94="",IF(VLOOKUP($E59,'Table Output'!$A$2:$E$99998,5,FALSE)="Sand",VLOOKUP(R$37,BoundParameters_HiddenSheetSAND!$I$3:$L$50,MATCH(VLOOKUP($I94,$I$5:$AJ$34,MATCH(VLOOKUP(R$37,$BH$3:$BI$50,2,FALSE),$I$4:$AJ$4,0),FALSE),BoundParameters_HiddenSheetCLAY!$I$1:$L$1,0),FALSE),IF(VLOOKUP($E59,'Table Output'!$A$2:$E$9998,5,FALSE)="Clay",VLOOKUP(R$37,BoundParameters_HiddenSheetCLAY!$I$3:$L$50,MATCH(VLOOKUP($I94,$I$5:$AJ$34,MATCH(VLOOKUP(R$37,$BH$3:$BI$50,2,FALSE),$I$4:$AJ$4,0),FALSE),BoundParameters_HiddenSheetCLAY!$I$1:$L$1,0),FALSE))),'Control Panel'!R94)))</f>
        <v/>
      </c>
      <c r="S94" s="44" t="str">
        <f>IF($I94="","",IF(S$37="","",IF('Control Panel'!S94="",IF(VLOOKUP($E59,'Table Output'!$A$2:$E$99998,5,FALSE)="Sand",VLOOKUP(S$37,BoundParameters_HiddenSheetSAND!$I$3:$L$50,MATCH(VLOOKUP($I94,$I$5:$AJ$34,MATCH(VLOOKUP(S$37,$BH$3:$BI$50,2,FALSE),$I$4:$AJ$4,0),FALSE),BoundParameters_HiddenSheetCLAY!$I$1:$L$1,0),FALSE),IF(VLOOKUP($E59,'Table Output'!$A$2:$E$9998,5,FALSE)="Clay",VLOOKUP(S$37,BoundParameters_HiddenSheetCLAY!$I$3:$L$50,MATCH(VLOOKUP($I94,$I$5:$AJ$34,MATCH(VLOOKUP(S$37,$BH$3:$BI$50,2,FALSE),$I$4:$AJ$4,0),FALSE),BoundParameters_HiddenSheetCLAY!$I$1:$L$1,0),FALSE))),'Control Panel'!S94)))</f>
        <v/>
      </c>
    </row>
    <row r="95" spans="5:19" x14ac:dyDescent="0.15">
      <c r="E95" s="2" t="str">
        <f t="shared" si="10"/>
        <v/>
      </c>
      <c r="I95" s="7" t="str">
        <f t="shared" si="9"/>
        <v/>
      </c>
      <c r="J95" s="44" t="str">
        <f>IF($I95="","",IF(J$37="","",IF('Control Panel'!J95="",IF(VLOOKUP($E60,'Table Output'!$A$2:$E$99998,5,FALSE)="Sand",VLOOKUP(J$37,BoundParameters_HiddenSheetSAND!$I$3:$L$50,MATCH(VLOOKUP($I95,$I$5:$AJ$34,MATCH(VLOOKUP(J$37,$BH$3:$BI$50,2,FALSE),$I$4:$AJ$4,0),FALSE),BoundParameters_HiddenSheetCLAY!$I$1:$L$1,0),FALSE),IF(VLOOKUP($E60,'Table Output'!$A$2:$E$9998,5,FALSE)="Clay",VLOOKUP(J$37,BoundParameters_HiddenSheetCLAY!$I$3:$L$50,MATCH(VLOOKUP($I95,$I$5:$AJ$34,MATCH(VLOOKUP(J$37,$BH$3:$BI$50,2,FALSE),$I$4:$AJ$4,0),FALSE),BoundParameters_HiddenSheetCLAY!$I$1:$L$1,0),FALSE))),'Control Panel'!J95)))</f>
        <v/>
      </c>
      <c r="K95" s="44" t="str">
        <f>IF($I95="","",IF(K$37="","",IF('Control Panel'!K95="",IF(VLOOKUP($E60,'Table Output'!$A$2:$E$99998,5,FALSE)="Sand",VLOOKUP(K$37,BoundParameters_HiddenSheetSAND!$I$3:$L$50,MATCH(VLOOKUP($I95,$I$5:$AJ$34,MATCH(VLOOKUP(K$37,$BH$3:$BI$50,2,FALSE),$I$4:$AJ$4,0),FALSE),BoundParameters_HiddenSheetCLAY!$I$1:$L$1,0),FALSE),IF(VLOOKUP($E60,'Table Output'!$A$2:$E$9998,5,FALSE)="Clay",VLOOKUP(K$37,BoundParameters_HiddenSheetCLAY!$I$3:$L$50,MATCH(VLOOKUP($I95,$I$5:$AJ$34,MATCH(VLOOKUP(K$37,$BH$3:$BI$50,2,FALSE),$I$4:$AJ$4,0),FALSE),BoundParameters_HiddenSheetCLAY!$I$1:$L$1,0),FALSE))),'Control Panel'!K95)))</f>
        <v/>
      </c>
      <c r="L95" s="44" t="str">
        <f>IF($I95="","",IF(L$37="","",IF('Control Panel'!L95="",IF(VLOOKUP($E60,'Table Output'!$A$2:$E$99998,5,FALSE)="Sand",VLOOKUP(L$37,BoundParameters_HiddenSheetSAND!$I$3:$L$50,MATCH(VLOOKUP($I95,$I$5:$AJ$34,MATCH(VLOOKUP(L$37,$BH$3:$BI$50,2,FALSE),$I$4:$AJ$4,0),FALSE),BoundParameters_HiddenSheetCLAY!$I$1:$L$1,0),FALSE),IF(VLOOKUP($E60,'Table Output'!$A$2:$E$9998,5,FALSE)="Clay",VLOOKUP(L$37,BoundParameters_HiddenSheetCLAY!$I$3:$L$50,MATCH(VLOOKUP($I95,$I$5:$AJ$34,MATCH(VLOOKUP(L$37,$BH$3:$BI$50,2,FALSE),$I$4:$AJ$4,0),FALSE),BoundParameters_HiddenSheetCLAY!$I$1:$L$1,0),FALSE))),'Control Panel'!L95)))</f>
        <v/>
      </c>
      <c r="M95" s="44" t="str">
        <f>IF($I95="","",IF(M$37="","",IF('Control Panel'!M95="",IF(VLOOKUP($E60,'Table Output'!$A$2:$E$99998,5,FALSE)="Sand",VLOOKUP(M$37,BoundParameters_HiddenSheetSAND!$I$3:$L$50,MATCH(VLOOKUP($I95,$I$5:$AJ$34,MATCH(VLOOKUP(M$37,$BH$3:$BI$50,2,FALSE),$I$4:$AJ$4,0),FALSE),BoundParameters_HiddenSheetCLAY!$I$1:$L$1,0),FALSE),IF(VLOOKUP($E60,'Table Output'!$A$2:$E$9998,5,FALSE)="Clay",VLOOKUP(M$37,BoundParameters_HiddenSheetCLAY!$I$3:$L$50,MATCH(VLOOKUP($I95,$I$5:$AJ$34,MATCH(VLOOKUP(M$37,$BH$3:$BI$50,2,FALSE),$I$4:$AJ$4,0),FALSE),BoundParameters_HiddenSheetCLAY!$I$1:$L$1,0),FALSE))),'Control Panel'!M95)))</f>
        <v/>
      </c>
      <c r="N95" s="44" t="str">
        <f>IF($I95="","",IF(N$37="","",IF('Control Panel'!N95="",IF(VLOOKUP($E60,'Table Output'!$A$2:$E$99998,5,FALSE)="Sand",VLOOKUP(N$37,BoundParameters_HiddenSheetSAND!$I$3:$L$50,MATCH(VLOOKUP($I95,$I$5:$AJ$34,MATCH(VLOOKUP(N$37,$BH$3:$BI$50,2,FALSE),$I$4:$AJ$4,0),FALSE),BoundParameters_HiddenSheetCLAY!$I$1:$L$1,0),FALSE),IF(VLOOKUP($E60,'Table Output'!$A$2:$E$9998,5,FALSE)="Clay",VLOOKUP(N$37,BoundParameters_HiddenSheetCLAY!$I$3:$L$50,MATCH(VLOOKUP($I95,$I$5:$AJ$34,MATCH(VLOOKUP(N$37,$BH$3:$BI$50,2,FALSE),$I$4:$AJ$4,0),FALSE),BoundParameters_HiddenSheetCLAY!$I$1:$L$1,0),FALSE))),'Control Panel'!N95)))</f>
        <v/>
      </c>
      <c r="O95" s="44" t="str">
        <f>IF($I95="","",IF(O$37="","",IF('Control Panel'!O95="",IF(VLOOKUP($E60,'Table Output'!$A$2:$E$99998,5,FALSE)="Sand",VLOOKUP(O$37,BoundParameters_HiddenSheetSAND!$I$3:$L$50,MATCH(VLOOKUP($I95,$I$5:$AJ$34,MATCH(VLOOKUP(O$37,$BH$3:$BI$50,2,FALSE),$I$4:$AJ$4,0),FALSE),BoundParameters_HiddenSheetCLAY!$I$1:$L$1,0),FALSE),IF(VLOOKUP($E60,'Table Output'!$A$2:$E$9998,5,FALSE)="Clay",VLOOKUP(O$37,BoundParameters_HiddenSheetCLAY!$I$3:$L$50,MATCH(VLOOKUP($I95,$I$5:$AJ$34,MATCH(VLOOKUP(O$37,$BH$3:$BI$50,2,FALSE),$I$4:$AJ$4,0),FALSE),BoundParameters_HiddenSheetCLAY!$I$1:$L$1,0),FALSE))),'Control Panel'!O95)))</f>
        <v/>
      </c>
      <c r="P95" s="44" t="str">
        <f>IF($I95="","",IF(P$37="","",IF('Control Panel'!P95="",IF(VLOOKUP($E60,'Table Output'!$A$2:$E$99998,5,FALSE)="Sand",VLOOKUP(P$37,BoundParameters_HiddenSheetSAND!$I$3:$L$50,MATCH(VLOOKUP($I95,$I$5:$AJ$34,MATCH(VLOOKUP(P$37,$BH$3:$BI$50,2,FALSE),$I$4:$AJ$4,0),FALSE),BoundParameters_HiddenSheetCLAY!$I$1:$L$1,0),FALSE),IF(VLOOKUP($E60,'Table Output'!$A$2:$E$9998,5,FALSE)="Clay",VLOOKUP(P$37,BoundParameters_HiddenSheetCLAY!$I$3:$L$50,MATCH(VLOOKUP($I95,$I$5:$AJ$34,MATCH(VLOOKUP(P$37,$BH$3:$BI$50,2,FALSE),$I$4:$AJ$4,0),FALSE),BoundParameters_HiddenSheetCLAY!$I$1:$L$1,0),FALSE))),'Control Panel'!P95)))</f>
        <v/>
      </c>
      <c r="Q95" s="44" t="str">
        <f>IF($I95="","",IF(Q$37="","",IF('Control Panel'!Q95="",IF(VLOOKUP($E60,'Table Output'!$A$2:$E$99998,5,FALSE)="Sand",VLOOKUP(Q$37,BoundParameters_HiddenSheetSAND!$I$3:$L$50,MATCH(VLOOKUP($I95,$I$5:$AJ$34,MATCH(VLOOKUP(Q$37,$BH$3:$BI$50,2,FALSE),$I$4:$AJ$4,0),FALSE),BoundParameters_HiddenSheetCLAY!$I$1:$L$1,0),FALSE),IF(VLOOKUP($E60,'Table Output'!$A$2:$E$9998,5,FALSE)="Clay",VLOOKUP(Q$37,BoundParameters_HiddenSheetCLAY!$I$3:$L$50,MATCH(VLOOKUP($I95,$I$5:$AJ$34,MATCH(VLOOKUP(Q$37,$BH$3:$BI$50,2,FALSE),$I$4:$AJ$4,0),FALSE),BoundParameters_HiddenSheetCLAY!$I$1:$L$1,0),FALSE))),'Control Panel'!Q95)))</f>
        <v/>
      </c>
      <c r="R95" s="44" t="str">
        <f>IF($I95="","",IF(R$37="","",IF('Control Panel'!R95="",IF(VLOOKUP($E60,'Table Output'!$A$2:$E$99998,5,FALSE)="Sand",VLOOKUP(R$37,BoundParameters_HiddenSheetSAND!$I$3:$L$50,MATCH(VLOOKUP($I95,$I$5:$AJ$34,MATCH(VLOOKUP(R$37,$BH$3:$BI$50,2,FALSE),$I$4:$AJ$4,0),FALSE),BoundParameters_HiddenSheetCLAY!$I$1:$L$1,0),FALSE),IF(VLOOKUP($E60,'Table Output'!$A$2:$E$9998,5,FALSE)="Clay",VLOOKUP(R$37,BoundParameters_HiddenSheetCLAY!$I$3:$L$50,MATCH(VLOOKUP($I95,$I$5:$AJ$34,MATCH(VLOOKUP(R$37,$BH$3:$BI$50,2,FALSE),$I$4:$AJ$4,0),FALSE),BoundParameters_HiddenSheetCLAY!$I$1:$L$1,0),FALSE))),'Control Panel'!R95)))</f>
        <v/>
      </c>
      <c r="S95" s="44" t="str">
        <f>IF($I95="","",IF(S$37="","",IF('Control Panel'!S95="",IF(VLOOKUP($E60,'Table Output'!$A$2:$E$99998,5,FALSE)="Sand",VLOOKUP(S$37,BoundParameters_HiddenSheetSAND!$I$3:$L$50,MATCH(VLOOKUP($I95,$I$5:$AJ$34,MATCH(VLOOKUP(S$37,$BH$3:$BI$50,2,FALSE),$I$4:$AJ$4,0),FALSE),BoundParameters_HiddenSheetCLAY!$I$1:$L$1,0),FALSE),IF(VLOOKUP($E60,'Table Output'!$A$2:$E$9998,5,FALSE)="Clay",VLOOKUP(S$37,BoundParameters_HiddenSheetCLAY!$I$3:$L$50,MATCH(VLOOKUP($I95,$I$5:$AJ$34,MATCH(VLOOKUP(S$37,$BH$3:$BI$50,2,FALSE),$I$4:$AJ$4,0),FALSE),BoundParameters_HiddenSheetCLAY!$I$1:$L$1,0),FALSE))),'Control Panel'!S95)))</f>
        <v/>
      </c>
    </row>
    <row r="96" spans="5:19" x14ac:dyDescent="0.15">
      <c r="E96" s="2" t="str">
        <f t="shared" si="10"/>
        <v/>
      </c>
      <c r="I96" s="7" t="str">
        <f t="shared" si="9"/>
        <v/>
      </c>
      <c r="J96" s="44" t="str">
        <f>IF($I96="","",IF(J$37="","",IF('Control Panel'!J96="",IF(VLOOKUP($E61,'Table Output'!$A$2:$E$99998,5,FALSE)="Sand",VLOOKUP(J$37,BoundParameters_HiddenSheetSAND!$I$3:$L$50,MATCH(VLOOKUP($I96,$I$5:$AJ$34,MATCH(VLOOKUP(J$37,$BH$3:$BI$50,2,FALSE),$I$4:$AJ$4,0),FALSE),BoundParameters_HiddenSheetCLAY!$I$1:$L$1,0),FALSE),IF(VLOOKUP($E61,'Table Output'!$A$2:$E$9998,5,FALSE)="Clay",VLOOKUP(J$37,BoundParameters_HiddenSheetCLAY!$I$3:$L$50,MATCH(VLOOKUP($I96,$I$5:$AJ$34,MATCH(VLOOKUP(J$37,$BH$3:$BI$50,2,FALSE),$I$4:$AJ$4,0),FALSE),BoundParameters_HiddenSheetCLAY!$I$1:$L$1,0),FALSE))),'Control Panel'!J96)))</f>
        <v/>
      </c>
      <c r="K96" s="44" t="str">
        <f>IF($I96="","",IF(K$37="","",IF('Control Panel'!K96="",IF(VLOOKUP($E61,'Table Output'!$A$2:$E$99998,5,FALSE)="Sand",VLOOKUP(K$37,BoundParameters_HiddenSheetSAND!$I$3:$L$50,MATCH(VLOOKUP($I96,$I$5:$AJ$34,MATCH(VLOOKUP(K$37,$BH$3:$BI$50,2,FALSE),$I$4:$AJ$4,0),FALSE),BoundParameters_HiddenSheetCLAY!$I$1:$L$1,0),FALSE),IF(VLOOKUP($E61,'Table Output'!$A$2:$E$9998,5,FALSE)="Clay",VLOOKUP(K$37,BoundParameters_HiddenSheetCLAY!$I$3:$L$50,MATCH(VLOOKUP($I96,$I$5:$AJ$34,MATCH(VLOOKUP(K$37,$BH$3:$BI$50,2,FALSE),$I$4:$AJ$4,0),FALSE),BoundParameters_HiddenSheetCLAY!$I$1:$L$1,0),FALSE))),'Control Panel'!K96)))</f>
        <v/>
      </c>
      <c r="L96" s="44" t="str">
        <f>IF($I96="","",IF(L$37="","",IF('Control Panel'!L96="",IF(VLOOKUP($E61,'Table Output'!$A$2:$E$99998,5,FALSE)="Sand",VLOOKUP(L$37,BoundParameters_HiddenSheetSAND!$I$3:$L$50,MATCH(VLOOKUP($I96,$I$5:$AJ$34,MATCH(VLOOKUP(L$37,$BH$3:$BI$50,2,FALSE),$I$4:$AJ$4,0),FALSE),BoundParameters_HiddenSheetCLAY!$I$1:$L$1,0),FALSE),IF(VLOOKUP($E61,'Table Output'!$A$2:$E$9998,5,FALSE)="Clay",VLOOKUP(L$37,BoundParameters_HiddenSheetCLAY!$I$3:$L$50,MATCH(VLOOKUP($I96,$I$5:$AJ$34,MATCH(VLOOKUP(L$37,$BH$3:$BI$50,2,FALSE),$I$4:$AJ$4,0),FALSE),BoundParameters_HiddenSheetCLAY!$I$1:$L$1,0),FALSE))),'Control Panel'!L96)))</f>
        <v/>
      </c>
      <c r="M96" s="44" t="str">
        <f>IF($I96="","",IF(M$37="","",IF('Control Panel'!M96="",IF(VLOOKUP($E61,'Table Output'!$A$2:$E$99998,5,FALSE)="Sand",VLOOKUP(M$37,BoundParameters_HiddenSheetSAND!$I$3:$L$50,MATCH(VLOOKUP($I96,$I$5:$AJ$34,MATCH(VLOOKUP(M$37,$BH$3:$BI$50,2,FALSE),$I$4:$AJ$4,0),FALSE),BoundParameters_HiddenSheetCLAY!$I$1:$L$1,0),FALSE),IF(VLOOKUP($E61,'Table Output'!$A$2:$E$9998,5,FALSE)="Clay",VLOOKUP(M$37,BoundParameters_HiddenSheetCLAY!$I$3:$L$50,MATCH(VLOOKUP($I96,$I$5:$AJ$34,MATCH(VLOOKUP(M$37,$BH$3:$BI$50,2,FALSE),$I$4:$AJ$4,0),FALSE),BoundParameters_HiddenSheetCLAY!$I$1:$L$1,0),FALSE))),'Control Panel'!M96)))</f>
        <v/>
      </c>
      <c r="N96" s="44" t="str">
        <f>IF($I96="","",IF(N$37="","",IF('Control Panel'!N96="",IF(VLOOKUP($E61,'Table Output'!$A$2:$E$99998,5,FALSE)="Sand",VLOOKUP(N$37,BoundParameters_HiddenSheetSAND!$I$3:$L$50,MATCH(VLOOKUP($I96,$I$5:$AJ$34,MATCH(VLOOKUP(N$37,$BH$3:$BI$50,2,FALSE),$I$4:$AJ$4,0),FALSE),BoundParameters_HiddenSheetCLAY!$I$1:$L$1,0),FALSE),IF(VLOOKUP($E61,'Table Output'!$A$2:$E$9998,5,FALSE)="Clay",VLOOKUP(N$37,BoundParameters_HiddenSheetCLAY!$I$3:$L$50,MATCH(VLOOKUP($I96,$I$5:$AJ$34,MATCH(VLOOKUP(N$37,$BH$3:$BI$50,2,FALSE),$I$4:$AJ$4,0),FALSE),BoundParameters_HiddenSheetCLAY!$I$1:$L$1,0),FALSE))),'Control Panel'!N96)))</f>
        <v/>
      </c>
      <c r="O96" s="44" t="str">
        <f>IF($I96="","",IF(O$37="","",IF('Control Panel'!O96="",IF(VLOOKUP($E61,'Table Output'!$A$2:$E$99998,5,FALSE)="Sand",VLOOKUP(O$37,BoundParameters_HiddenSheetSAND!$I$3:$L$50,MATCH(VLOOKUP($I96,$I$5:$AJ$34,MATCH(VLOOKUP(O$37,$BH$3:$BI$50,2,FALSE),$I$4:$AJ$4,0),FALSE),BoundParameters_HiddenSheetCLAY!$I$1:$L$1,0),FALSE),IF(VLOOKUP($E61,'Table Output'!$A$2:$E$9998,5,FALSE)="Clay",VLOOKUP(O$37,BoundParameters_HiddenSheetCLAY!$I$3:$L$50,MATCH(VLOOKUP($I96,$I$5:$AJ$34,MATCH(VLOOKUP(O$37,$BH$3:$BI$50,2,FALSE),$I$4:$AJ$4,0),FALSE),BoundParameters_HiddenSheetCLAY!$I$1:$L$1,0),FALSE))),'Control Panel'!O96)))</f>
        <v/>
      </c>
      <c r="P96" s="44" t="str">
        <f>IF($I96="","",IF(P$37="","",IF('Control Panel'!P96="",IF(VLOOKUP($E61,'Table Output'!$A$2:$E$99998,5,FALSE)="Sand",VLOOKUP(P$37,BoundParameters_HiddenSheetSAND!$I$3:$L$50,MATCH(VLOOKUP($I96,$I$5:$AJ$34,MATCH(VLOOKUP(P$37,$BH$3:$BI$50,2,FALSE),$I$4:$AJ$4,0),FALSE),BoundParameters_HiddenSheetCLAY!$I$1:$L$1,0),FALSE),IF(VLOOKUP($E61,'Table Output'!$A$2:$E$9998,5,FALSE)="Clay",VLOOKUP(P$37,BoundParameters_HiddenSheetCLAY!$I$3:$L$50,MATCH(VLOOKUP($I96,$I$5:$AJ$34,MATCH(VLOOKUP(P$37,$BH$3:$BI$50,2,FALSE),$I$4:$AJ$4,0),FALSE),BoundParameters_HiddenSheetCLAY!$I$1:$L$1,0),FALSE))),'Control Panel'!P96)))</f>
        <v/>
      </c>
      <c r="Q96" s="44" t="str">
        <f>IF($I96="","",IF(Q$37="","",IF('Control Panel'!Q96="",IF(VLOOKUP($E61,'Table Output'!$A$2:$E$99998,5,FALSE)="Sand",VLOOKUP(Q$37,BoundParameters_HiddenSheetSAND!$I$3:$L$50,MATCH(VLOOKUP($I96,$I$5:$AJ$34,MATCH(VLOOKUP(Q$37,$BH$3:$BI$50,2,FALSE),$I$4:$AJ$4,0),FALSE),BoundParameters_HiddenSheetCLAY!$I$1:$L$1,0),FALSE),IF(VLOOKUP($E61,'Table Output'!$A$2:$E$9998,5,FALSE)="Clay",VLOOKUP(Q$37,BoundParameters_HiddenSheetCLAY!$I$3:$L$50,MATCH(VLOOKUP($I96,$I$5:$AJ$34,MATCH(VLOOKUP(Q$37,$BH$3:$BI$50,2,FALSE),$I$4:$AJ$4,0),FALSE),BoundParameters_HiddenSheetCLAY!$I$1:$L$1,0),FALSE))),'Control Panel'!Q96)))</f>
        <v/>
      </c>
      <c r="R96" s="44" t="str">
        <f>IF($I96="","",IF(R$37="","",IF('Control Panel'!R96="",IF(VLOOKUP($E61,'Table Output'!$A$2:$E$99998,5,FALSE)="Sand",VLOOKUP(R$37,BoundParameters_HiddenSheetSAND!$I$3:$L$50,MATCH(VLOOKUP($I96,$I$5:$AJ$34,MATCH(VLOOKUP(R$37,$BH$3:$BI$50,2,FALSE),$I$4:$AJ$4,0),FALSE),BoundParameters_HiddenSheetCLAY!$I$1:$L$1,0),FALSE),IF(VLOOKUP($E61,'Table Output'!$A$2:$E$9998,5,FALSE)="Clay",VLOOKUP(R$37,BoundParameters_HiddenSheetCLAY!$I$3:$L$50,MATCH(VLOOKUP($I96,$I$5:$AJ$34,MATCH(VLOOKUP(R$37,$BH$3:$BI$50,2,FALSE),$I$4:$AJ$4,0),FALSE),BoundParameters_HiddenSheetCLAY!$I$1:$L$1,0),FALSE))),'Control Panel'!R96)))</f>
        <v/>
      </c>
      <c r="S96" s="44" t="str">
        <f>IF($I96="","",IF(S$37="","",IF('Control Panel'!S96="",IF(VLOOKUP($E61,'Table Output'!$A$2:$E$99998,5,FALSE)="Sand",VLOOKUP(S$37,BoundParameters_HiddenSheetSAND!$I$3:$L$50,MATCH(VLOOKUP($I96,$I$5:$AJ$34,MATCH(VLOOKUP(S$37,$BH$3:$BI$50,2,FALSE),$I$4:$AJ$4,0),FALSE),BoundParameters_HiddenSheetCLAY!$I$1:$L$1,0),FALSE),IF(VLOOKUP($E61,'Table Output'!$A$2:$E$9998,5,FALSE)="Clay",VLOOKUP(S$37,BoundParameters_HiddenSheetCLAY!$I$3:$L$50,MATCH(VLOOKUP($I96,$I$5:$AJ$34,MATCH(VLOOKUP(S$37,$BH$3:$BI$50,2,FALSE),$I$4:$AJ$4,0),FALSE),BoundParameters_HiddenSheetCLAY!$I$1:$L$1,0),FALSE))),'Control Panel'!S96)))</f>
        <v/>
      </c>
    </row>
    <row r="97" spans="5:19" x14ac:dyDescent="0.15">
      <c r="E97" s="2" t="str">
        <f t="shared" si="10"/>
        <v/>
      </c>
      <c r="I97" s="7" t="str">
        <f t="shared" si="9"/>
        <v/>
      </c>
      <c r="J97" s="44" t="str">
        <f>IF($I97="","",IF(J$37="","",IF('Control Panel'!J97="",IF(VLOOKUP($E62,'Table Output'!$A$2:$E$99998,5,FALSE)="Sand",VLOOKUP(J$37,BoundParameters_HiddenSheetSAND!$I$3:$L$50,MATCH(VLOOKUP($I97,$I$5:$AJ$34,MATCH(VLOOKUP(J$37,$BH$3:$BI$50,2,FALSE),$I$4:$AJ$4,0),FALSE),BoundParameters_HiddenSheetCLAY!$I$1:$L$1,0),FALSE),IF(VLOOKUP($E62,'Table Output'!$A$2:$E$9998,5,FALSE)="Clay",VLOOKUP(J$37,BoundParameters_HiddenSheetCLAY!$I$3:$L$50,MATCH(VLOOKUP($I97,$I$5:$AJ$34,MATCH(VLOOKUP(J$37,$BH$3:$BI$50,2,FALSE),$I$4:$AJ$4,0),FALSE),BoundParameters_HiddenSheetCLAY!$I$1:$L$1,0),FALSE))),'Control Panel'!J97)))</f>
        <v/>
      </c>
      <c r="K97" s="44" t="str">
        <f>IF($I97="","",IF(K$37="","",IF('Control Panel'!K97="",IF(VLOOKUP($E62,'Table Output'!$A$2:$E$99998,5,FALSE)="Sand",VLOOKUP(K$37,BoundParameters_HiddenSheetSAND!$I$3:$L$50,MATCH(VLOOKUP($I97,$I$5:$AJ$34,MATCH(VLOOKUP(K$37,$BH$3:$BI$50,2,FALSE),$I$4:$AJ$4,0),FALSE),BoundParameters_HiddenSheetCLAY!$I$1:$L$1,0),FALSE),IF(VLOOKUP($E62,'Table Output'!$A$2:$E$9998,5,FALSE)="Clay",VLOOKUP(K$37,BoundParameters_HiddenSheetCLAY!$I$3:$L$50,MATCH(VLOOKUP($I97,$I$5:$AJ$34,MATCH(VLOOKUP(K$37,$BH$3:$BI$50,2,FALSE),$I$4:$AJ$4,0),FALSE),BoundParameters_HiddenSheetCLAY!$I$1:$L$1,0),FALSE))),'Control Panel'!K97)))</f>
        <v/>
      </c>
      <c r="L97" s="44" t="str">
        <f>IF($I97="","",IF(L$37="","",IF('Control Panel'!L97="",IF(VLOOKUP($E62,'Table Output'!$A$2:$E$99998,5,FALSE)="Sand",VLOOKUP(L$37,BoundParameters_HiddenSheetSAND!$I$3:$L$50,MATCH(VLOOKUP($I97,$I$5:$AJ$34,MATCH(VLOOKUP(L$37,$BH$3:$BI$50,2,FALSE),$I$4:$AJ$4,0),FALSE),BoundParameters_HiddenSheetCLAY!$I$1:$L$1,0),FALSE),IF(VLOOKUP($E62,'Table Output'!$A$2:$E$9998,5,FALSE)="Clay",VLOOKUP(L$37,BoundParameters_HiddenSheetCLAY!$I$3:$L$50,MATCH(VLOOKUP($I97,$I$5:$AJ$34,MATCH(VLOOKUP(L$37,$BH$3:$BI$50,2,FALSE),$I$4:$AJ$4,0),FALSE),BoundParameters_HiddenSheetCLAY!$I$1:$L$1,0),FALSE))),'Control Panel'!L97)))</f>
        <v/>
      </c>
      <c r="M97" s="44" t="str">
        <f>IF($I97="","",IF(M$37="","",IF('Control Panel'!M97="",IF(VLOOKUP($E62,'Table Output'!$A$2:$E$99998,5,FALSE)="Sand",VLOOKUP(M$37,BoundParameters_HiddenSheetSAND!$I$3:$L$50,MATCH(VLOOKUP($I97,$I$5:$AJ$34,MATCH(VLOOKUP(M$37,$BH$3:$BI$50,2,FALSE),$I$4:$AJ$4,0),FALSE),BoundParameters_HiddenSheetCLAY!$I$1:$L$1,0),FALSE),IF(VLOOKUP($E62,'Table Output'!$A$2:$E$9998,5,FALSE)="Clay",VLOOKUP(M$37,BoundParameters_HiddenSheetCLAY!$I$3:$L$50,MATCH(VLOOKUP($I97,$I$5:$AJ$34,MATCH(VLOOKUP(M$37,$BH$3:$BI$50,2,FALSE),$I$4:$AJ$4,0),FALSE),BoundParameters_HiddenSheetCLAY!$I$1:$L$1,0),FALSE))),'Control Panel'!M97)))</f>
        <v/>
      </c>
      <c r="N97" s="44" t="str">
        <f>IF($I97="","",IF(N$37="","",IF('Control Panel'!N97="",IF(VLOOKUP($E62,'Table Output'!$A$2:$E$99998,5,FALSE)="Sand",VLOOKUP(N$37,BoundParameters_HiddenSheetSAND!$I$3:$L$50,MATCH(VLOOKUP($I97,$I$5:$AJ$34,MATCH(VLOOKUP(N$37,$BH$3:$BI$50,2,FALSE),$I$4:$AJ$4,0),FALSE),BoundParameters_HiddenSheetCLAY!$I$1:$L$1,0),FALSE),IF(VLOOKUP($E62,'Table Output'!$A$2:$E$9998,5,FALSE)="Clay",VLOOKUP(N$37,BoundParameters_HiddenSheetCLAY!$I$3:$L$50,MATCH(VLOOKUP($I97,$I$5:$AJ$34,MATCH(VLOOKUP(N$37,$BH$3:$BI$50,2,FALSE),$I$4:$AJ$4,0),FALSE),BoundParameters_HiddenSheetCLAY!$I$1:$L$1,0),FALSE))),'Control Panel'!N97)))</f>
        <v/>
      </c>
      <c r="O97" s="44" t="str">
        <f>IF($I97="","",IF(O$37="","",IF('Control Panel'!O97="",IF(VLOOKUP($E62,'Table Output'!$A$2:$E$99998,5,FALSE)="Sand",VLOOKUP(O$37,BoundParameters_HiddenSheetSAND!$I$3:$L$50,MATCH(VLOOKUP($I97,$I$5:$AJ$34,MATCH(VLOOKUP(O$37,$BH$3:$BI$50,2,FALSE),$I$4:$AJ$4,0),FALSE),BoundParameters_HiddenSheetCLAY!$I$1:$L$1,0),FALSE),IF(VLOOKUP($E62,'Table Output'!$A$2:$E$9998,5,FALSE)="Clay",VLOOKUP(O$37,BoundParameters_HiddenSheetCLAY!$I$3:$L$50,MATCH(VLOOKUP($I97,$I$5:$AJ$34,MATCH(VLOOKUP(O$37,$BH$3:$BI$50,2,FALSE),$I$4:$AJ$4,0),FALSE),BoundParameters_HiddenSheetCLAY!$I$1:$L$1,0),FALSE))),'Control Panel'!O97)))</f>
        <v/>
      </c>
      <c r="P97" s="44" t="str">
        <f>IF($I97="","",IF(P$37="","",IF('Control Panel'!P97="",IF(VLOOKUP($E62,'Table Output'!$A$2:$E$99998,5,FALSE)="Sand",VLOOKUP(P$37,BoundParameters_HiddenSheetSAND!$I$3:$L$50,MATCH(VLOOKUP($I97,$I$5:$AJ$34,MATCH(VLOOKUP(P$37,$BH$3:$BI$50,2,FALSE),$I$4:$AJ$4,0),FALSE),BoundParameters_HiddenSheetCLAY!$I$1:$L$1,0),FALSE),IF(VLOOKUP($E62,'Table Output'!$A$2:$E$9998,5,FALSE)="Clay",VLOOKUP(P$37,BoundParameters_HiddenSheetCLAY!$I$3:$L$50,MATCH(VLOOKUP($I97,$I$5:$AJ$34,MATCH(VLOOKUP(P$37,$BH$3:$BI$50,2,FALSE),$I$4:$AJ$4,0),FALSE),BoundParameters_HiddenSheetCLAY!$I$1:$L$1,0),FALSE))),'Control Panel'!P97)))</f>
        <v/>
      </c>
      <c r="Q97" s="44" t="str">
        <f>IF($I97="","",IF(Q$37="","",IF('Control Panel'!Q97="",IF(VLOOKUP($E62,'Table Output'!$A$2:$E$99998,5,FALSE)="Sand",VLOOKUP(Q$37,BoundParameters_HiddenSheetSAND!$I$3:$L$50,MATCH(VLOOKUP($I97,$I$5:$AJ$34,MATCH(VLOOKUP(Q$37,$BH$3:$BI$50,2,FALSE),$I$4:$AJ$4,0),FALSE),BoundParameters_HiddenSheetCLAY!$I$1:$L$1,0),FALSE),IF(VLOOKUP($E62,'Table Output'!$A$2:$E$9998,5,FALSE)="Clay",VLOOKUP(Q$37,BoundParameters_HiddenSheetCLAY!$I$3:$L$50,MATCH(VLOOKUP($I97,$I$5:$AJ$34,MATCH(VLOOKUP(Q$37,$BH$3:$BI$50,2,FALSE),$I$4:$AJ$4,0),FALSE),BoundParameters_HiddenSheetCLAY!$I$1:$L$1,0),FALSE))),'Control Panel'!Q97)))</f>
        <v/>
      </c>
      <c r="R97" s="44" t="str">
        <f>IF($I97="","",IF(R$37="","",IF('Control Panel'!R97="",IF(VLOOKUP($E62,'Table Output'!$A$2:$E$99998,5,FALSE)="Sand",VLOOKUP(R$37,BoundParameters_HiddenSheetSAND!$I$3:$L$50,MATCH(VLOOKUP($I97,$I$5:$AJ$34,MATCH(VLOOKUP(R$37,$BH$3:$BI$50,2,FALSE),$I$4:$AJ$4,0),FALSE),BoundParameters_HiddenSheetCLAY!$I$1:$L$1,0),FALSE),IF(VLOOKUP($E62,'Table Output'!$A$2:$E$9998,5,FALSE)="Clay",VLOOKUP(R$37,BoundParameters_HiddenSheetCLAY!$I$3:$L$50,MATCH(VLOOKUP($I97,$I$5:$AJ$34,MATCH(VLOOKUP(R$37,$BH$3:$BI$50,2,FALSE),$I$4:$AJ$4,0),FALSE),BoundParameters_HiddenSheetCLAY!$I$1:$L$1,0),FALSE))),'Control Panel'!R97)))</f>
        <v/>
      </c>
      <c r="S97" s="44" t="str">
        <f>IF($I97="","",IF(S$37="","",IF('Control Panel'!S97="",IF(VLOOKUP($E62,'Table Output'!$A$2:$E$99998,5,FALSE)="Sand",VLOOKUP(S$37,BoundParameters_HiddenSheetSAND!$I$3:$L$50,MATCH(VLOOKUP($I97,$I$5:$AJ$34,MATCH(VLOOKUP(S$37,$BH$3:$BI$50,2,FALSE),$I$4:$AJ$4,0),FALSE),BoundParameters_HiddenSheetCLAY!$I$1:$L$1,0),FALSE),IF(VLOOKUP($E62,'Table Output'!$A$2:$E$9998,5,FALSE)="Clay",VLOOKUP(S$37,BoundParameters_HiddenSheetCLAY!$I$3:$L$50,MATCH(VLOOKUP($I97,$I$5:$AJ$34,MATCH(VLOOKUP(S$37,$BH$3:$BI$50,2,FALSE),$I$4:$AJ$4,0),FALSE),BoundParameters_HiddenSheetCLAY!$I$1:$L$1,0),FALSE))),'Control Panel'!S97)))</f>
        <v/>
      </c>
    </row>
    <row r="98" spans="5:19" x14ac:dyDescent="0.15">
      <c r="E98" s="2" t="str">
        <f t="shared" si="10"/>
        <v/>
      </c>
      <c r="I98" s="7" t="str">
        <f>I63</f>
        <v/>
      </c>
      <c r="J98" s="44" t="str">
        <f>IF($I98="","",IF(J$37="","",IF('Control Panel'!J98="",IF(VLOOKUP($E63,'Table Output'!$A$2:$E$99998,5,FALSE)="Sand",VLOOKUP(J$37,BoundParameters_HiddenSheetSAND!$I$3:$L$50,MATCH(VLOOKUP($I98,$I$5:$AJ$34,MATCH(VLOOKUP(J$37,$BH$3:$BI$50,2,FALSE),$I$4:$AJ$4,0),FALSE),BoundParameters_HiddenSheetCLAY!$I$1:$L$1,0),FALSE),IF(VLOOKUP($E63,'Table Output'!$A$2:$E$9998,5,FALSE)="Clay",VLOOKUP(J$37,BoundParameters_HiddenSheetCLAY!$I$3:$L$50,MATCH(VLOOKUP($I98,$I$5:$AJ$34,MATCH(VLOOKUP(J$37,$BH$3:$BI$50,2,FALSE),$I$4:$AJ$4,0),FALSE),BoundParameters_HiddenSheetCLAY!$I$1:$L$1,0),FALSE))),'Control Panel'!J98)))</f>
        <v/>
      </c>
      <c r="K98" s="44" t="str">
        <f>IF($I98="","",IF(K$37="","",IF('Control Panel'!K98="",IF(VLOOKUP($E63,'Table Output'!$A$2:$E$99998,5,FALSE)="Sand",VLOOKUP(K$37,BoundParameters_HiddenSheetSAND!$I$3:$L$50,MATCH(VLOOKUP($I98,$I$5:$AJ$34,MATCH(VLOOKUP(K$37,$BH$3:$BI$50,2,FALSE),$I$4:$AJ$4,0),FALSE),BoundParameters_HiddenSheetCLAY!$I$1:$L$1,0),FALSE),IF(VLOOKUP($E63,'Table Output'!$A$2:$E$9998,5,FALSE)="Clay",VLOOKUP(K$37,BoundParameters_HiddenSheetCLAY!$I$3:$L$50,MATCH(VLOOKUP($I98,$I$5:$AJ$34,MATCH(VLOOKUP(K$37,$BH$3:$BI$50,2,FALSE),$I$4:$AJ$4,0),FALSE),BoundParameters_HiddenSheetCLAY!$I$1:$L$1,0),FALSE))),'Control Panel'!K98)))</f>
        <v/>
      </c>
      <c r="L98" s="44" t="str">
        <f>IF($I98="","",IF(L$37="","",IF('Control Panel'!L98="",IF(VLOOKUP($E63,'Table Output'!$A$2:$E$99998,5,FALSE)="Sand",VLOOKUP(L$37,BoundParameters_HiddenSheetSAND!$I$3:$L$50,MATCH(VLOOKUP($I98,$I$5:$AJ$34,MATCH(VLOOKUP(L$37,$BH$3:$BI$50,2,FALSE),$I$4:$AJ$4,0),FALSE),BoundParameters_HiddenSheetCLAY!$I$1:$L$1,0),FALSE),IF(VLOOKUP($E63,'Table Output'!$A$2:$E$9998,5,FALSE)="Clay",VLOOKUP(L$37,BoundParameters_HiddenSheetCLAY!$I$3:$L$50,MATCH(VLOOKUP($I98,$I$5:$AJ$34,MATCH(VLOOKUP(L$37,$BH$3:$BI$50,2,FALSE),$I$4:$AJ$4,0),FALSE),BoundParameters_HiddenSheetCLAY!$I$1:$L$1,0),FALSE))),'Control Panel'!L98)))</f>
        <v/>
      </c>
      <c r="M98" s="44" t="str">
        <f>IF($I98="","",IF(M$37="","",IF('Control Panel'!M98="",IF(VLOOKUP($E63,'Table Output'!$A$2:$E$99998,5,FALSE)="Sand",VLOOKUP(M$37,BoundParameters_HiddenSheetSAND!$I$3:$L$50,MATCH(VLOOKUP($I98,$I$5:$AJ$34,MATCH(VLOOKUP(M$37,$BH$3:$BI$50,2,FALSE),$I$4:$AJ$4,0),FALSE),BoundParameters_HiddenSheetCLAY!$I$1:$L$1,0),FALSE),IF(VLOOKUP($E63,'Table Output'!$A$2:$E$9998,5,FALSE)="Clay",VLOOKUP(M$37,BoundParameters_HiddenSheetCLAY!$I$3:$L$50,MATCH(VLOOKUP($I98,$I$5:$AJ$34,MATCH(VLOOKUP(M$37,$BH$3:$BI$50,2,FALSE),$I$4:$AJ$4,0),FALSE),BoundParameters_HiddenSheetCLAY!$I$1:$L$1,0),FALSE))),'Control Panel'!M98)))</f>
        <v/>
      </c>
      <c r="N98" s="44" t="str">
        <f>IF($I98="","",IF(N$37="","",IF('Control Panel'!N98="",IF(VLOOKUP($E63,'Table Output'!$A$2:$E$99998,5,FALSE)="Sand",VLOOKUP(N$37,BoundParameters_HiddenSheetSAND!$I$3:$L$50,MATCH(VLOOKUP($I98,$I$5:$AJ$34,MATCH(VLOOKUP(N$37,$BH$3:$BI$50,2,FALSE),$I$4:$AJ$4,0),FALSE),BoundParameters_HiddenSheetCLAY!$I$1:$L$1,0),FALSE),IF(VLOOKUP($E63,'Table Output'!$A$2:$E$9998,5,FALSE)="Clay",VLOOKUP(N$37,BoundParameters_HiddenSheetCLAY!$I$3:$L$50,MATCH(VLOOKUP($I98,$I$5:$AJ$34,MATCH(VLOOKUP(N$37,$BH$3:$BI$50,2,FALSE),$I$4:$AJ$4,0),FALSE),BoundParameters_HiddenSheetCLAY!$I$1:$L$1,0),FALSE))),'Control Panel'!N98)))</f>
        <v/>
      </c>
      <c r="O98" s="44" t="str">
        <f>IF($I98="","",IF(O$37="","",IF('Control Panel'!O98="",IF(VLOOKUP($E63,'Table Output'!$A$2:$E$99998,5,FALSE)="Sand",VLOOKUP(O$37,BoundParameters_HiddenSheetSAND!$I$3:$L$50,MATCH(VLOOKUP($I98,$I$5:$AJ$34,MATCH(VLOOKUP(O$37,$BH$3:$BI$50,2,FALSE),$I$4:$AJ$4,0),FALSE),BoundParameters_HiddenSheetCLAY!$I$1:$L$1,0),FALSE),IF(VLOOKUP($E63,'Table Output'!$A$2:$E$9998,5,FALSE)="Clay",VLOOKUP(O$37,BoundParameters_HiddenSheetCLAY!$I$3:$L$50,MATCH(VLOOKUP($I98,$I$5:$AJ$34,MATCH(VLOOKUP(O$37,$BH$3:$BI$50,2,FALSE),$I$4:$AJ$4,0),FALSE),BoundParameters_HiddenSheetCLAY!$I$1:$L$1,0),FALSE))),'Control Panel'!O98)))</f>
        <v/>
      </c>
      <c r="P98" s="44" t="str">
        <f>IF($I98="","",IF(P$37="","",IF('Control Panel'!P98="",IF(VLOOKUP($E63,'Table Output'!$A$2:$E$99998,5,FALSE)="Sand",VLOOKUP(P$37,BoundParameters_HiddenSheetSAND!$I$3:$L$50,MATCH(VLOOKUP($I98,$I$5:$AJ$34,MATCH(VLOOKUP(P$37,$BH$3:$BI$50,2,FALSE),$I$4:$AJ$4,0),FALSE),BoundParameters_HiddenSheetCLAY!$I$1:$L$1,0),FALSE),IF(VLOOKUP($E63,'Table Output'!$A$2:$E$9998,5,FALSE)="Clay",VLOOKUP(P$37,BoundParameters_HiddenSheetCLAY!$I$3:$L$50,MATCH(VLOOKUP($I98,$I$5:$AJ$34,MATCH(VLOOKUP(P$37,$BH$3:$BI$50,2,FALSE),$I$4:$AJ$4,0),FALSE),BoundParameters_HiddenSheetCLAY!$I$1:$L$1,0),FALSE))),'Control Panel'!P98)))</f>
        <v/>
      </c>
      <c r="Q98" s="44" t="str">
        <f>IF($I98="","",IF(Q$37="","",IF('Control Panel'!Q98="",IF(VLOOKUP($E63,'Table Output'!$A$2:$E$99998,5,FALSE)="Sand",VLOOKUP(Q$37,BoundParameters_HiddenSheetSAND!$I$3:$L$50,MATCH(VLOOKUP($I98,$I$5:$AJ$34,MATCH(VLOOKUP(Q$37,$BH$3:$BI$50,2,FALSE),$I$4:$AJ$4,0),FALSE),BoundParameters_HiddenSheetCLAY!$I$1:$L$1,0),FALSE),IF(VLOOKUP($E63,'Table Output'!$A$2:$E$9998,5,FALSE)="Clay",VLOOKUP(Q$37,BoundParameters_HiddenSheetCLAY!$I$3:$L$50,MATCH(VLOOKUP($I98,$I$5:$AJ$34,MATCH(VLOOKUP(Q$37,$BH$3:$BI$50,2,FALSE),$I$4:$AJ$4,0),FALSE),BoundParameters_HiddenSheetCLAY!$I$1:$L$1,0),FALSE))),'Control Panel'!Q98)))</f>
        <v/>
      </c>
      <c r="R98" s="44" t="str">
        <f>IF($I98="","",IF(R$37="","",IF('Control Panel'!R98="",IF(VLOOKUP($E63,'Table Output'!$A$2:$E$99998,5,FALSE)="Sand",VLOOKUP(R$37,BoundParameters_HiddenSheetSAND!$I$3:$L$50,MATCH(VLOOKUP($I98,$I$5:$AJ$34,MATCH(VLOOKUP(R$37,$BH$3:$BI$50,2,FALSE),$I$4:$AJ$4,0),FALSE),BoundParameters_HiddenSheetCLAY!$I$1:$L$1,0),FALSE),IF(VLOOKUP($E63,'Table Output'!$A$2:$E$9998,5,FALSE)="Clay",VLOOKUP(R$37,BoundParameters_HiddenSheetCLAY!$I$3:$L$50,MATCH(VLOOKUP($I98,$I$5:$AJ$34,MATCH(VLOOKUP(R$37,$BH$3:$BI$50,2,FALSE),$I$4:$AJ$4,0),FALSE),BoundParameters_HiddenSheetCLAY!$I$1:$L$1,0),FALSE))),'Control Panel'!R98)))</f>
        <v/>
      </c>
      <c r="S98" s="44" t="str">
        <f>IF($I98="","",IF(S$37="","",IF('Control Panel'!S98="",IF(VLOOKUP($E63,'Table Output'!$A$2:$E$99998,5,FALSE)="Sand",VLOOKUP(S$37,BoundParameters_HiddenSheetSAND!$I$3:$L$50,MATCH(VLOOKUP($I98,$I$5:$AJ$34,MATCH(VLOOKUP(S$37,$BH$3:$BI$50,2,FALSE),$I$4:$AJ$4,0),FALSE),BoundParameters_HiddenSheetCLAY!$I$1:$L$1,0),FALSE),IF(VLOOKUP($E63,'Table Output'!$A$2:$E$9998,5,FALSE)="Clay",VLOOKUP(S$37,BoundParameters_HiddenSheetCLAY!$I$3:$L$50,MATCH(VLOOKUP($I98,$I$5:$AJ$34,MATCH(VLOOKUP(S$37,$BH$3:$BI$50,2,FALSE),$I$4:$AJ$4,0),FALSE),BoundParameters_HiddenSheetCLAY!$I$1:$L$1,0),FALSE))),'Control Panel'!S98)))</f>
        <v/>
      </c>
    </row>
    <row r="99" spans="5:19" x14ac:dyDescent="0.15">
      <c r="E99" s="2" t="str">
        <f t="shared" si="10"/>
        <v/>
      </c>
      <c r="I99" s="7" t="str">
        <f>I64</f>
        <v/>
      </c>
      <c r="J99" s="44" t="str">
        <f>IF($I99="","",IF(J$37="","",IF('Control Panel'!J99="",IF(VLOOKUP($E64,'Table Output'!$A$2:$E$99998,5,FALSE)="Sand",VLOOKUP(J$37,BoundParameters_HiddenSheetSAND!$I$3:$L$50,MATCH(VLOOKUP($I99,$I$5:$AJ$34,MATCH(VLOOKUP(J$37,$BH$3:$BI$50,2,FALSE),$I$4:$AJ$4,0),FALSE),BoundParameters_HiddenSheetCLAY!$I$1:$L$1,0),FALSE),IF(VLOOKUP($E64,'Table Output'!$A$2:$E$9998,5,FALSE)="Clay",VLOOKUP(J$37,BoundParameters_HiddenSheetCLAY!$I$3:$L$50,MATCH(VLOOKUP($I99,$I$5:$AJ$34,MATCH(VLOOKUP(J$37,$BH$3:$BI$50,2,FALSE),$I$4:$AJ$4,0),FALSE),BoundParameters_HiddenSheetCLAY!$I$1:$L$1,0),FALSE))),'Control Panel'!J99)))</f>
        <v/>
      </c>
      <c r="K99" s="44" t="str">
        <f>IF($I99="","",IF(K$37="","",IF('Control Panel'!K99="",IF(VLOOKUP($E64,'Table Output'!$A$2:$E$99998,5,FALSE)="Sand",VLOOKUP(K$37,BoundParameters_HiddenSheetSAND!$I$3:$L$50,MATCH(VLOOKUP($I99,$I$5:$AJ$34,MATCH(VLOOKUP(K$37,$BH$3:$BI$50,2,FALSE),$I$4:$AJ$4,0),FALSE),BoundParameters_HiddenSheetCLAY!$I$1:$L$1,0),FALSE),IF(VLOOKUP($E64,'Table Output'!$A$2:$E$9998,5,FALSE)="Clay",VLOOKUP(K$37,BoundParameters_HiddenSheetCLAY!$I$3:$L$50,MATCH(VLOOKUP($I99,$I$5:$AJ$34,MATCH(VLOOKUP(K$37,$BH$3:$BI$50,2,FALSE),$I$4:$AJ$4,0),FALSE),BoundParameters_HiddenSheetCLAY!$I$1:$L$1,0),FALSE))),'Control Panel'!K99)))</f>
        <v/>
      </c>
      <c r="L99" s="44" t="str">
        <f>IF($I99="","",IF(L$37="","",IF('Control Panel'!L99="",IF(VLOOKUP($E64,'Table Output'!$A$2:$E$99998,5,FALSE)="Sand",VLOOKUP(L$37,BoundParameters_HiddenSheetSAND!$I$3:$L$50,MATCH(VLOOKUP($I99,$I$5:$AJ$34,MATCH(VLOOKUP(L$37,$BH$3:$BI$50,2,FALSE),$I$4:$AJ$4,0),FALSE),BoundParameters_HiddenSheetCLAY!$I$1:$L$1,0),FALSE),IF(VLOOKUP($E64,'Table Output'!$A$2:$E$9998,5,FALSE)="Clay",VLOOKUP(L$37,BoundParameters_HiddenSheetCLAY!$I$3:$L$50,MATCH(VLOOKUP($I99,$I$5:$AJ$34,MATCH(VLOOKUP(L$37,$BH$3:$BI$50,2,FALSE),$I$4:$AJ$4,0),FALSE),BoundParameters_HiddenSheetCLAY!$I$1:$L$1,0),FALSE))),'Control Panel'!L99)))</f>
        <v/>
      </c>
      <c r="M99" s="44" t="str">
        <f>IF($I99="","",IF(M$37="","",IF('Control Panel'!M99="",IF(VLOOKUP($E64,'Table Output'!$A$2:$E$99998,5,FALSE)="Sand",VLOOKUP(M$37,BoundParameters_HiddenSheetSAND!$I$3:$L$50,MATCH(VLOOKUP($I99,$I$5:$AJ$34,MATCH(VLOOKUP(M$37,$BH$3:$BI$50,2,FALSE),$I$4:$AJ$4,0),FALSE),BoundParameters_HiddenSheetCLAY!$I$1:$L$1,0),FALSE),IF(VLOOKUP($E64,'Table Output'!$A$2:$E$9998,5,FALSE)="Clay",VLOOKUP(M$37,BoundParameters_HiddenSheetCLAY!$I$3:$L$50,MATCH(VLOOKUP($I99,$I$5:$AJ$34,MATCH(VLOOKUP(M$37,$BH$3:$BI$50,2,FALSE),$I$4:$AJ$4,0),FALSE),BoundParameters_HiddenSheetCLAY!$I$1:$L$1,0),FALSE))),'Control Panel'!M99)))</f>
        <v/>
      </c>
      <c r="N99" s="44" t="str">
        <f>IF($I99="","",IF(N$37="","",IF('Control Panel'!N99="",IF(VLOOKUP($E64,'Table Output'!$A$2:$E$99998,5,FALSE)="Sand",VLOOKUP(N$37,BoundParameters_HiddenSheetSAND!$I$3:$L$50,MATCH(VLOOKUP($I99,$I$5:$AJ$34,MATCH(VLOOKUP(N$37,$BH$3:$BI$50,2,FALSE),$I$4:$AJ$4,0),FALSE),BoundParameters_HiddenSheetCLAY!$I$1:$L$1,0),FALSE),IF(VLOOKUP($E64,'Table Output'!$A$2:$E$9998,5,FALSE)="Clay",VLOOKUP(N$37,BoundParameters_HiddenSheetCLAY!$I$3:$L$50,MATCH(VLOOKUP($I99,$I$5:$AJ$34,MATCH(VLOOKUP(N$37,$BH$3:$BI$50,2,FALSE),$I$4:$AJ$4,0),FALSE),BoundParameters_HiddenSheetCLAY!$I$1:$L$1,0),FALSE))),'Control Panel'!N99)))</f>
        <v/>
      </c>
      <c r="O99" s="44" t="str">
        <f>IF($I99="","",IF(O$37="","",IF('Control Panel'!O99="",IF(VLOOKUP($E64,'Table Output'!$A$2:$E$99998,5,FALSE)="Sand",VLOOKUP(O$37,BoundParameters_HiddenSheetSAND!$I$3:$L$50,MATCH(VLOOKUP($I99,$I$5:$AJ$34,MATCH(VLOOKUP(O$37,$BH$3:$BI$50,2,FALSE),$I$4:$AJ$4,0),FALSE),BoundParameters_HiddenSheetCLAY!$I$1:$L$1,0),FALSE),IF(VLOOKUP($E64,'Table Output'!$A$2:$E$9998,5,FALSE)="Clay",VLOOKUP(O$37,BoundParameters_HiddenSheetCLAY!$I$3:$L$50,MATCH(VLOOKUP($I99,$I$5:$AJ$34,MATCH(VLOOKUP(O$37,$BH$3:$BI$50,2,FALSE),$I$4:$AJ$4,0),FALSE),BoundParameters_HiddenSheetCLAY!$I$1:$L$1,0),FALSE))),'Control Panel'!O99)))</f>
        <v/>
      </c>
      <c r="P99" s="44" t="str">
        <f>IF($I99="","",IF(P$37="","",IF('Control Panel'!P99="",IF(VLOOKUP($E64,'Table Output'!$A$2:$E$99998,5,FALSE)="Sand",VLOOKUP(P$37,BoundParameters_HiddenSheetSAND!$I$3:$L$50,MATCH(VLOOKUP($I99,$I$5:$AJ$34,MATCH(VLOOKUP(P$37,$BH$3:$BI$50,2,FALSE),$I$4:$AJ$4,0),FALSE),BoundParameters_HiddenSheetCLAY!$I$1:$L$1,0),FALSE),IF(VLOOKUP($E64,'Table Output'!$A$2:$E$9998,5,FALSE)="Clay",VLOOKUP(P$37,BoundParameters_HiddenSheetCLAY!$I$3:$L$50,MATCH(VLOOKUP($I99,$I$5:$AJ$34,MATCH(VLOOKUP(P$37,$BH$3:$BI$50,2,FALSE),$I$4:$AJ$4,0),FALSE),BoundParameters_HiddenSheetCLAY!$I$1:$L$1,0),FALSE))),'Control Panel'!P99)))</f>
        <v/>
      </c>
      <c r="Q99" s="44" t="str">
        <f>IF($I99="","",IF(Q$37="","",IF('Control Panel'!Q99="",IF(VLOOKUP($E64,'Table Output'!$A$2:$E$99998,5,FALSE)="Sand",VLOOKUP(Q$37,BoundParameters_HiddenSheetSAND!$I$3:$L$50,MATCH(VLOOKUP($I99,$I$5:$AJ$34,MATCH(VLOOKUP(Q$37,$BH$3:$BI$50,2,FALSE),$I$4:$AJ$4,0),FALSE),BoundParameters_HiddenSheetCLAY!$I$1:$L$1,0),FALSE),IF(VLOOKUP($E64,'Table Output'!$A$2:$E$9998,5,FALSE)="Clay",VLOOKUP(Q$37,BoundParameters_HiddenSheetCLAY!$I$3:$L$50,MATCH(VLOOKUP($I99,$I$5:$AJ$34,MATCH(VLOOKUP(Q$37,$BH$3:$BI$50,2,FALSE),$I$4:$AJ$4,0),FALSE),BoundParameters_HiddenSheetCLAY!$I$1:$L$1,0),FALSE))),'Control Panel'!Q99)))</f>
        <v/>
      </c>
      <c r="R99" s="44" t="str">
        <f>IF($I99="","",IF(R$37="","",IF('Control Panel'!R99="",IF(VLOOKUP($E64,'Table Output'!$A$2:$E$99998,5,FALSE)="Sand",VLOOKUP(R$37,BoundParameters_HiddenSheetSAND!$I$3:$L$50,MATCH(VLOOKUP($I99,$I$5:$AJ$34,MATCH(VLOOKUP(R$37,$BH$3:$BI$50,2,FALSE),$I$4:$AJ$4,0),FALSE),BoundParameters_HiddenSheetCLAY!$I$1:$L$1,0),FALSE),IF(VLOOKUP($E64,'Table Output'!$A$2:$E$9998,5,FALSE)="Clay",VLOOKUP(R$37,BoundParameters_HiddenSheetCLAY!$I$3:$L$50,MATCH(VLOOKUP($I99,$I$5:$AJ$34,MATCH(VLOOKUP(R$37,$BH$3:$BI$50,2,FALSE),$I$4:$AJ$4,0),FALSE),BoundParameters_HiddenSheetCLAY!$I$1:$L$1,0),FALSE))),'Control Panel'!R99)))</f>
        <v/>
      </c>
      <c r="S99" s="44" t="str">
        <f>IF($I99="","",IF(S$37="","",IF('Control Panel'!S99="",IF(VLOOKUP($E64,'Table Output'!$A$2:$E$99998,5,FALSE)="Sand",VLOOKUP(S$37,BoundParameters_HiddenSheetSAND!$I$3:$L$50,MATCH(VLOOKUP($I99,$I$5:$AJ$34,MATCH(VLOOKUP(S$37,$BH$3:$BI$50,2,FALSE),$I$4:$AJ$4,0),FALSE),BoundParameters_HiddenSheetCLAY!$I$1:$L$1,0),FALSE),IF(VLOOKUP($E64,'Table Output'!$A$2:$E$9998,5,FALSE)="Clay",VLOOKUP(S$37,BoundParameters_HiddenSheetCLAY!$I$3:$L$50,MATCH(VLOOKUP($I99,$I$5:$AJ$34,MATCH(VLOOKUP(S$37,$BH$3:$BI$50,2,FALSE),$I$4:$AJ$4,0),FALSE),BoundParameters_HiddenSheetCLAY!$I$1:$L$1,0),FALSE))),'Control Panel'!S99)))</f>
        <v/>
      </c>
    </row>
    <row r="100" spans="5:19" x14ac:dyDescent="0.15">
      <c r="E100" s="2" t="str">
        <f t="shared" si="10"/>
        <v/>
      </c>
      <c r="I100" s="7" t="str">
        <f>I65</f>
        <v/>
      </c>
      <c r="J100" s="44" t="str">
        <f>IF($I100="","",IF(J$37="","",IF('Control Panel'!J100="",IF(VLOOKUP($E65,'Table Output'!$A$2:$E$99998,5,FALSE)="Sand",VLOOKUP(J$37,BoundParameters_HiddenSheetSAND!$I$3:$L$50,MATCH(VLOOKUP($I100,$I$5:$AJ$34,MATCH(VLOOKUP(J$37,$BH$3:$BI$50,2,FALSE),$I$4:$AJ$4,0),FALSE),BoundParameters_HiddenSheetCLAY!$I$1:$L$1,0),FALSE),IF(VLOOKUP($E65,'Table Output'!$A$2:$E$9998,5,FALSE)="Clay",VLOOKUP(J$37,BoundParameters_HiddenSheetCLAY!$I$3:$L$50,MATCH(VLOOKUP($I100,$I$5:$AJ$34,MATCH(VLOOKUP(J$37,$BH$3:$BI$50,2,FALSE),$I$4:$AJ$4,0),FALSE),BoundParameters_HiddenSheetCLAY!$I$1:$L$1,0),FALSE))),'Control Panel'!J100)))</f>
        <v/>
      </c>
      <c r="K100" s="44" t="str">
        <f>IF($I100="","",IF(K$37="","",IF('Control Panel'!K100="",IF(VLOOKUP($E65,'Table Output'!$A$2:$E$99998,5,FALSE)="Sand",VLOOKUP(K$37,BoundParameters_HiddenSheetSAND!$I$3:$L$50,MATCH(VLOOKUP($I100,$I$5:$AJ$34,MATCH(VLOOKUP(K$37,$BH$3:$BI$50,2,FALSE),$I$4:$AJ$4,0),FALSE),BoundParameters_HiddenSheetCLAY!$I$1:$L$1,0),FALSE),IF(VLOOKUP($E65,'Table Output'!$A$2:$E$9998,5,FALSE)="Clay",VLOOKUP(K$37,BoundParameters_HiddenSheetCLAY!$I$3:$L$50,MATCH(VLOOKUP($I100,$I$5:$AJ$34,MATCH(VLOOKUP(K$37,$BH$3:$BI$50,2,FALSE),$I$4:$AJ$4,0),FALSE),BoundParameters_HiddenSheetCLAY!$I$1:$L$1,0),FALSE))),'Control Panel'!K100)))</f>
        <v/>
      </c>
      <c r="L100" s="44" t="str">
        <f>IF($I100="","",IF(L$37="","",IF('Control Panel'!L100="",IF(VLOOKUP($E65,'Table Output'!$A$2:$E$99998,5,FALSE)="Sand",VLOOKUP(L$37,BoundParameters_HiddenSheetSAND!$I$3:$L$50,MATCH(VLOOKUP($I100,$I$5:$AJ$34,MATCH(VLOOKUP(L$37,$BH$3:$BI$50,2,FALSE),$I$4:$AJ$4,0),FALSE),BoundParameters_HiddenSheetCLAY!$I$1:$L$1,0),FALSE),IF(VLOOKUP($E65,'Table Output'!$A$2:$E$9998,5,FALSE)="Clay",VLOOKUP(L$37,BoundParameters_HiddenSheetCLAY!$I$3:$L$50,MATCH(VLOOKUP($I100,$I$5:$AJ$34,MATCH(VLOOKUP(L$37,$BH$3:$BI$50,2,FALSE),$I$4:$AJ$4,0),FALSE),BoundParameters_HiddenSheetCLAY!$I$1:$L$1,0),FALSE))),'Control Panel'!L100)))</f>
        <v/>
      </c>
      <c r="M100" s="44" t="str">
        <f>IF($I100="","",IF(M$37="","",IF('Control Panel'!M100="",IF(VLOOKUP($E65,'Table Output'!$A$2:$E$99998,5,FALSE)="Sand",VLOOKUP(M$37,BoundParameters_HiddenSheetSAND!$I$3:$L$50,MATCH(VLOOKUP($I100,$I$5:$AJ$34,MATCH(VLOOKUP(M$37,$BH$3:$BI$50,2,FALSE),$I$4:$AJ$4,0),FALSE),BoundParameters_HiddenSheetCLAY!$I$1:$L$1,0),FALSE),IF(VLOOKUP($E65,'Table Output'!$A$2:$E$9998,5,FALSE)="Clay",VLOOKUP(M$37,BoundParameters_HiddenSheetCLAY!$I$3:$L$50,MATCH(VLOOKUP($I100,$I$5:$AJ$34,MATCH(VLOOKUP(M$37,$BH$3:$BI$50,2,FALSE),$I$4:$AJ$4,0),FALSE),BoundParameters_HiddenSheetCLAY!$I$1:$L$1,0),FALSE))),'Control Panel'!M100)))</f>
        <v/>
      </c>
      <c r="N100" s="44" t="str">
        <f>IF($I100="","",IF(N$37="","",IF('Control Panel'!N100="",IF(VLOOKUP($E65,'Table Output'!$A$2:$E$99998,5,FALSE)="Sand",VLOOKUP(N$37,BoundParameters_HiddenSheetSAND!$I$3:$L$50,MATCH(VLOOKUP($I100,$I$5:$AJ$34,MATCH(VLOOKUP(N$37,$BH$3:$BI$50,2,FALSE),$I$4:$AJ$4,0),FALSE),BoundParameters_HiddenSheetCLAY!$I$1:$L$1,0),FALSE),IF(VLOOKUP($E65,'Table Output'!$A$2:$E$9998,5,FALSE)="Clay",VLOOKUP(N$37,BoundParameters_HiddenSheetCLAY!$I$3:$L$50,MATCH(VLOOKUP($I100,$I$5:$AJ$34,MATCH(VLOOKUP(N$37,$BH$3:$BI$50,2,FALSE),$I$4:$AJ$4,0),FALSE),BoundParameters_HiddenSheetCLAY!$I$1:$L$1,0),FALSE))),'Control Panel'!N100)))</f>
        <v/>
      </c>
      <c r="O100" s="44" t="str">
        <f>IF($I100="","",IF(O$37="","",IF('Control Panel'!O100="",IF(VLOOKUP($E65,'Table Output'!$A$2:$E$99998,5,FALSE)="Sand",VLOOKUP(O$37,BoundParameters_HiddenSheetSAND!$I$3:$L$50,MATCH(VLOOKUP($I100,$I$5:$AJ$34,MATCH(VLOOKUP(O$37,$BH$3:$BI$50,2,FALSE),$I$4:$AJ$4,0),FALSE),BoundParameters_HiddenSheetCLAY!$I$1:$L$1,0),FALSE),IF(VLOOKUP($E65,'Table Output'!$A$2:$E$9998,5,FALSE)="Clay",VLOOKUP(O$37,BoundParameters_HiddenSheetCLAY!$I$3:$L$50,MATCH(VLOOKUP($I100,$I$5:$AJ$34,MATCH(VLOOKUP(O$37,$BH$3:$BI$50,2,FALSE),$I$4:$AJ$4,0),FALSE),BoundParameters_HiddenSheetCLAY!$I$1:$L$1,0),FALSE))),'Control Panel'!O100)))</f>
        <v/>
      </c>
      <c r="P100" s="44" t="str">
        <f>IF($I100="","",IF(P$37="","",IF('Control Panel'!P100="",IF(VLOOKUP($E65,'Table Output'!$A$2:$E$99998,5,FALSE)="Sand",VLOOKUP(P$37,BoundParameters_HiddenSheetSAND!$I$3:$L$50,MATCH(VLOOKUP($I100,$I$5:$AJ$34,MATCH(VLOOKUP(P$37,$BH$3:$BI$50,2,FALSE),$I$4:$AJ$4,0),FALSE),BoundParameters_HiddenSheetCLAY!$I$1:$L$1,0),FALSE),IF(VLOOKUP($E65,'Table Output'!$A$2:$E$9998,5,FALSE)="Clay",VLOOKUP(P$37,BoundParameters_HiddenSheetCLAY!$I$3:$L$50,MATCH(VLOOKUP($I100,$I$5:$AJ$34,MATCH(VLOOKUP(P$37,$BH$3:$BI$50,2,FALSE),$I$4:$AJ$4,0),FALSE),BoundParameters_HiddenSheetCLAY!$I$1:$L$1,0),FALSE))),'Control Panel'!P100)))</f>
        <v/>
      </c>
      <c r="Q100" s="44" t="str">
        <f>IF($I100="","",IF(Q$37="","",IF('Control Panel'!Q100="",IF(VLOOKUP($E65,'Table Output'!$A$2:$E$99998,5,FALSE)="Sand",VLOOKUP(Q$37,BoundParameters_HiddenSheetSAND!$I$3:$L$50,MATCH(VLOOKUP($I100,$I$5:$AJ$34,MATCH(VLOOKUP(Q$37,$BH$3:$BI$50,2,FALSE),$I$4:$AJ$4,0),FALSE),BoundParameters_HiddenSheetCLAY!$I$1:$L$1,0),FALSE),IF(VLOOKUP($E65,'Table Output'!$A$2:$E$9998,5,FALSE)="Clay",VLOOKUP(Q$37,BoundParameters_HiddenSheetCLAY!$I$3:$L$50,MATCH(VLOOKUP($I100,$I$5:$AJ$34,MATCH(VLOOKUP(Q$37,$BH$3:$BI$50,2,FALSE),$I$4:$AJ$4,0),FALSE),BoundParameters_HiddenSheetCLAY!$I$1:$L$1,0),FALSE))),'Control Panel'!Q100)))</f>
        <v/>
      </c>
      <c r="R100" s="44" t="str">
        <f>IF($I100="","",IF(R$37="","",IF('Control Panel'!R100="",IF(VLOOKUP($E65,'Table Output'!$A$2:$E$99998,5,FALSE)="Sand",VLOOKUP(R$37,BoundParameters_HiddenSheetSAND!$I$3:$L$50,MATCH(VLOOKUP($I100,$I$5:$AJ$34,MATCH(VLOOKUP(R$37,$BH$3:$BI$50,2,FALSE),$I$4:$AJ$4,0),FALSE),BoundParameters_HiddenSheetCLAY!$I$1:$L$1,0),FALSE),IF(VLOOKUP($E65,'Table Output'!$A$2:$E$9998,5,FALSE)="Clay",VLOOKUP(R$37,BoundParameters_HiddenSheetCLAY!$I$3:$L$50,MATCH(VLOOKUP($I100,$I$5:$AJ$34,MATCH(VLOOKUP(R$37,$BH$3:$BI$50,2,FALSE),$I$4:$AJ$4,0),FALSE),BoundParameters_HiddenSheetCLAY!$I$1:$L$1,0),FALSE))),'Control Panel'!R100)))</f>
        <v/>
      </c>
      <c r="S100" s="44" t="str">
        <f>IF($I100="","",IF(S$37="","",IF('Control Panel'!S100="",IF(VLOOKUP($E65,'Table Output'!$A$2:$E$99998,5,FALSE)="Sand",VLOOKUP(S$37,BoundParameters_HiddenSheetSAND!$I$3:$L$50,MATCH(VLOOKUP($I100,$I$5:$AJ$34,MATCH(VLOOKUP(S$37,$BH$3:$BI$50,2,FALSE),$I$4:$AJ$4,0),FALSE),BoundParameters_HiddenSheetCLAY!$I$1:$L$1,0),FALSE),IF(VLOOKUP($E65,'Table Output'!$A$2:$E$9998,5,FALSE)="Clay",VLOOKUP(S$37,BoundParameters_HiddenSheetCLAY!$I$3:$L$50,MATCH(VLOOKUP($I100,$I$5:$AJ$34,MATCH(VLOOKUP(S$37,$BH$3:$BI$50,2,FALSE),$I$4:$AJ$4,0),FALSE),BoundParameters_HiddenSheetCLAY!$I$1:$L$1,0),FALSE))),'Control Panel'!S100)))</f>
        <v/>
      </c>
    </row>
    <row r="101" spans="5:19" x14ac:dyDescent="0.15">
      <c r="E101" s="2" t="str">
        <f t="shared" si="10"/>
        <v/>
      </c>
      <c r="I101" s="7" t="str">
        <f>I66</f>
        <v/>
      </c>
      <c r="J101" s="44" t="str">
        <f>IF($I101="","",IF(J$37="","",IF('Control Panel'!J101="",IF(VLOOKUP($E66,'Table Output'!$A$2:$E$99998,5,FALSE)="Sand",VLOOKUP(J$37,BoundParameters_HiddenSheetSAND!$I$3:$L$50,MATCH(VLOOKUP($I101,$I$5:$AJ$34,MATCH(VLOOKUP(J$37,$BH$3:$BI$50,2,FALSE),$I$4:$AJ$4,0),FALSE),BoundParameters_HiddenSheetCLAY!$I$1:$L$1,0),FALSE),IF(VLOOKUP($E66,'Table Output'!$A$2:$E$9998,5,FALSE)="Clay",VLOOKUP(J$37,BoundParameters_HiddenSheetCLAY!$I$3:$L$50,MATCH(VLOOKUP($I101,$I$5:$AJ$34,MATCH(VLOOKUP(J$37,$BH$3:$BI$50,2,FALSE),$I$4:$AJ$4,0),FALSE),BoundParameters_HiddenSheetCLAY!$I$1:$L$1,0),FALSE))),'Control Panel'!J101)))</f>
        <v/>
      </c>
      <c r="K101" s="44" t="str">
        <f>IF($I101="","",IF(K$37="","",IF('Control Panel'!K101="",IF(VLOOKUP($E66,'Table Output'!$A$2:$E$99998,5,FALSE)="Sand",VLOOKUP(K$37,BoundParameters_HiddenSheetSAND!$I$3:$L$50,MATCH(VLOOKUP($I101,$I$5:$AJ$34,MATCH(VLOOKUP(K$37,$BH$3:$BI$50,2,FALSE),$I$4:$AJ$4,0),FALSE),BoundParameters_HiddenSheetCLAY!$I$1:$L$1,0),FALSE),IF(VLOOKUP($E66,'Table Output'!$A$2:$E$9998,5,FALSE)="Clay",VLOOKUP(K$37,BoundParameters_HiddenSheetCLAY!$I$3:$L$50,MATCH(VLOOKUP($I101,$I$5:$AJ$34,MATCH(VLOOKUP(K$37,$BH$3:$BI$50,2,FALSE),$I$4:$AJ$4,0),FALSE),BoundParameters_HiddenSheetCLAY!$I$1:$L$1,0),FALSE))),'Control Panel'!K101)))</f>
        <v/>
      </c>
      <c r="L101" s="44" t="str">
        <f>IF($I101="","",IF(L$37="","",IF('Control Panel'!L101="",IF(VLOOKUP($E66,'Table Output'!$A$2:$E$99998,5,FALSE)="Sand",VLOOKUP(L$37,BoundParameters_HiddenSheetSAND!$I$3:$L$50,MATCH(VLOOKUP($I101,$I$5:$AJ$34,MATCH(VLOOKUP(L$37,$BH$3:$BI$50,2,FALSE),$I$4:$AJ$4,0),FALSE),BoundParameters_HiddenSheetCLAY!$I$1:$L$1,0),FALSE),IF(VLOOKUP($E66,'Table Output'!$A$2:$E$9998,5,FALSE)="Clay",VLOOKUP(L$37,BoundParameters_HiddenSheetCLAY!$I$3:$L$50,MATCH(VLOOKUP($I101,$I$5:$AJ$34,MATCH(VLOOKUP(L$37,$BH$3:$BI$50,2,FALSE),$I$4:$AJ$4,0),FALSE),BoundParameters_HiddenSheetCLAY!$I$1:$L$1,0),FALSE))),'Control Panel'!L101)))</f>
        <v/>
      </c>
      <c r="M101" s="44" t="str">
        <f>IF($I101="","",IF(M$37="","",IF('Control Panel'!M101="",IF(VLOOKUP($E66,'Table Output'!$A$2:$E$99998,5,FALSE)="Sand",VLOOKUP(M$37,BoundParameters_HiddenSheetSAND!$I$3:$L$50,MATCH(VLOOKUP($I101,$I$5:$AJ$34,MATCH(VLOOKUP(M$37,$BH$3:$BI$50,2,FALSE),$I$4:$AJ$4,0),FALSE),BoundParameters_HiddenSheetCLAY!$I$1:$L$1,0),FALSE),IF(VLOOKUP($E66,'Table Output'!$A$2:$E$9998,5,FALSE)="Clay",VLOOKUP(M$37,BoundParameters_HiddenSheetCLAY!$I$3:$L$50,MATCH(VLOOKUP($I101,$I$5:$AJ$34,MATCH(VLOOKUP(M$37,$BH$3:$BI$50,2,FALSE),$I$4:$AJ$4,0),FALSE),BoundParameters_HiddenSheetCLAY!$I$1:$L$1,0),FALSE))),'Control Panel'!M101)))</f>
        <v/>
      </c>
      <c r="N101" s="44" t="str">
        <f>IF($I101="","",IF(N$37="","",IF('Control Panel'!N101="",IF(VLOOKUP($E66,'Table Output'!$A$2:$E$99998,5,FALSE)="Sand",VLOOKUP(N$37,BoundParameters_HiddenSheetSAND!$I$3:$L$50,MATCH(VLOOKUP($I101,$I$5:$AJ$34,MATCH(VLOOKUP(N$37,$BH$3:$BI$50,2,FALSE),$I$4:$AJ$4,0),FALSE),BoundParameters_HiddenSheetCLAY!$I$1:$L$1,0),FALSE),IF(VLOOKUP($E66,'Table Output'!$A$2:$E$9998,5,FALSE)="Clay",VLOOKUP(N$37,BoundParameters_HiddenSheetCLAY!$I$3:$L$50,MATCH(VLOOKUP($I101,$I$5:$AJ$34,MATCH(VLOOKUP(N$37,$BH$3:$BI$50,2,FALSE),$I$4:$AJ$4,0),FALSE),BoundParameters_HiddenSheetCLAY!$I$1:$L$1,0),FALSE))),'Control Panel'!N101)))</f>
        <v/>
      </c>
      <c r="O101" s="44" t="str">
        <f>IF($I101="","",IF(O$37="","",IF('Control Panel'!O101="",IF(VLOOKUP($E66,'Table Output'!$A$2:$E$99998,5,FALSE)="Sand",VLOOKUP(O$37,BoundParameters_HiddenSheetSAND!$I$3:$L$50,MATCH(VLOOKUP($I101,$I$5:$AJ$34,MATCH(VLOOKUP(O$37,$BH$3:$BI$50,2,FALSE),$I$4:$AJ$4,0),FALSE),BoundParameters_HiddenSheetCLAY!$I$1:$L$1,0),FALSE),IF(VLOOKUP($E66,'Table Output'!$A$2:$E$9998,5,FALSE)="Clay",VLOOKUP(O$37,BoundParameters_HiddenSheetCLAY!$I$3:$L$50,MATCH(VLOOKUP($I101,$I$5:$AJ$34,MATCH(VLOOKUP(O$37,$BH$3:$BI$50,2,FALSE),$I$4:$AJ$4,0),FALSE),BoundParameters_HiddenSheetCLAY!$I$1:$L$1,0),FALSE))),'Control Panel'!O101)))</f>
        <v/>
      </c>
      <c r="P101" s="44" t="str">
        <f>IF($I101="","",IF(P$37="","",IF('Control Panel'!P101="",IF(VLOOKUP($E66,'Table Output'!$A$2:$E$99998,5,FALSE)="Sand",VLOOKUP(P$37,BoundParameters_HiddenSheetSAND!$I$3:$L$50,MATCH(VLOOKUP($I101,$I$5:$AJ$34,MATCH(VLOOKUP(P$37,$BH$3:$BI$50,2,FALSE),$I$4:$AJ$4,0),FALSE),BoundParameters_HiddenSheetCLAY!$I$1:$L$1,0),FALSE),IF(VLOOKUP($E66,'Table Output'!$A$2:$E$9998,5,FALSE)="Clay",VLOOKUP(P$37,BoundParameters_HiddenSheetCLAY!$I$3:$L$50,MATCH(VLOOKUP($I101,$I$5:$AJ$34,MATCH(VLOOKUP(P$37,$BH$3:$BI$50,2,FALSE),$I$4:$AJ$4,0),FALSE),BoundParameters_HiddenSheetCLAY!$I$1:$L$1,0),FALSE))),'Control Panel'!P101)))</f>
        <v/>
      </c>
      <c r="Q101" s="44" t="str">
        <f>IF($I101="","",IF(Q$37="","",IF('Control Panel'!Q101="",IF(VLOOKUP($E66,'Table Output'!$A$2:$E$99998,5,FALSE)="Sand",VLOOKUP(Q$37,BoundParameters_HiddenSheetSAND!$I$3:$L$50,MATCH(VLOOKUP($I101,$I$5:$AJ$34,MATCH(VLOOKUP(Q$37,$BH$3:$BI$50,2,FALSE),$I$4:$AJ$4,0),FALSE),BoundParameters_HiddenSheetCLAY!$I$1:$L$1,0),FALSE),IF(VLOOKUP($E66,'Table Output'!$A$2:$E$9998,5,FALSE)="Clay",VLOOKUP(Q$37,BoundParameters_HiddenSheetCLAY!$I$3:$L$50,MATCH(VLOOKUP($I101,$I$5:$AJ$34,MATCH(VLOOKUP(Q$37,$BH$3:$BI$50,2,FALSE),$I$4:$AJ$4,0),FALSE),BoundParameters_HiddenSheetCLAY!$I$1:$L$1,0),FALSE))),'Control Panel'!Q101)))</f>
        <v/>
      </c>
      <c r="R101" s="44" t="str">
        <f>IF($I101="","",IF(R$37="","",IF('Control Panel'!R101="",IF(VLOOKUP($E66,'Table Output'!$A$2:$E$99998,5,FALSE)="Sand",VLOOKUP(R$37,BoundParameters_HiddenSheetSAND!$I$3:$L$50,MATCH(VLOOKUP($I101,$I$5:$AJ$34,MATCH(VLOOKUP(R$37,$BH$3:$BI$50,2,FALSE),$I$4:$AJ$4,0),FALSE),BoundParameters_HiddenSheetCLAY!$I$1:$L$1,0),FALSE),IF(VLOOKUP($E66,'Table Output'!$A$2:$E$9998,5,FALSE)="Clay",VLOOKUP(R$37,BoundParameters_HiddenSheetCLAY!$I$3:$L$50,MATCH(VLOOKUP($I101,$I$5:$AJ$34,MATCH(VLOOKUP(R$37,$BH$3:$BI$50,2,FALSE),$I$4:$AJ$4,0),FALSE),BoundParameters_HiddenSheetCLAY!$I$1:$L$1,0),FALSE))),'Control Panel'!R101)))</f>
        <v/>
      </c>
      <c r="S101" s="44" t="str">
        <f>IF($I101="","",IF(S$37="","",IF('Control Panel'!S101="",IF(VLOOKUP($E66,'Table Output'!$A$2:$E$99998,5,FALSE)="Sand",VLOOKUP(S$37,BoundParameters_HiddenSheetSAND!$I$3:$L$50,MATCH(VLOOKUP($I101,$I$5:$AJ$34,MATCH(VLOOKUP(S$37,$BH$3:$BI$50,2,FALSE),$I$4:$AJ$4,0),FALSE),BoundParameters_HiddenSheetCLAY!$I$1:$L$1,0),FALSE),IF(VLOOKUP($E66,'Table Output'!$A$2:$E$9998,5,FALSE)="Clay",VLOOKUP(S$37,BoundParameters_HiddenSheetCLAY!$I$3:$L$50,MATCH(VLOOKUP($I101,$I$5:$AJ$34,MATCH(VLOOKUP(S$37,$BH$3:$BI$50,2,FALSE),$I$4:$AJ$4,0),FALSE),BoundParameters_HiddenSheetCLAY!$I$1:$L$1,0),FALSE))),'Control Panel'!S101)))</f>
        <v/>
      </c>
    </row>
    <row r="102" spans="5:19" x14ac:dyDescent="0.15">
      <c r="E102" s="2" t="str">
        <f t="shared" si="10"/>
        <v/>
      </c>
      <c r="I102" s="7" t="str">
        <f>I67</f>
        <v/>
      </c>
      <c r="J102" s="44" t="str">
        <f>IF($I102="","",IF(J$37="","",IF('Control Panel'!J102="",IF(VLOOKUP($E67,'Table Output'!$A$2:$E$99998,5,FALSE)="Sand",VLOOKUP(J$37,BoundParameters_HiddenSheetSAND!$I$3:$L$50,MATCH(VLOOKUP($I102,$I$5:$AJ$34,MATCH(VLOOKUP(J$37,$BH$3:$BI$50,2,FALSE),$I$4:$AJ$4,0),FALSE),BoundParameters_HiddenSheetCLAY!$I$1:$L$1,0),FALSE),IF(VLOOKUP($E67,'Table Output'!$A$2:$E$9998,5,FALSE)="Clay",VLOOKUP(J$37,BoundParameters_HiddenSheetCLAY!$I$3:$L$50,MATCH(VLOOKUP($I102,$I$5:$AJ$34,MATCH(VLOOKUP(J$37,$BH$3:$BI$50,2,FALSE),$I$4:$AJ$4,0),FALSE),BoundParameters_HiddenSheetCLAY!$I$1:$L$1,0),FALSE))),'Control Panel'!J102)))</f>
        <v/>
      </c>
      <c r="K102" s="44" t="str">
        <f>IF($I102="","",IF(K$37="","",IF('Control Panel'!K102="",IF(VLOOKUP($E67,'Table Output'!$A$2:$E$99998,5,FALSE)="Sand",VLOOKUP(K$37,BoundParameters_HiddenSheetSAND!$I$3:$L$50,MATCH(VLOOKUP($I102,$I$5:$AJ$34,MATCH(VLOOKUP(K$37,$BH$3:$BI$50,2,FALSE),$I$4:$AJ$4,0),FALSE),BoundParameters_HiddenSheetCLAY!$I$1:$L$1,0),FALSE),IF(VLOOKUP($E67,'Table Output'!$A$2:$E$9998,5,FALSE)="Clay",VLOOKUP(K$37,BoundParameters_HiddenSheetCLAY!$I$3:$L$50,MATCH(VLOOKUP($I102,$I$5:$AJ$34,MATCH(VLOOKUP(K$37,$BH$3:$BI$50,2,FALSE),$I$4:$AJ$4,0),FALSE),BoundParameters_HiddenSheetCLAY!$I$1:$L$1,0),FALSE))),'Control Panel'!K102)))</f>
        <v/>
      </c>
      <c r="L102" s="44" t="str">
        <f>IF($I102="","",IF(L$37="","",IF('Control Panel'!L102="",IF(VLOOKUP($E67,'Table Output'!$A$2:$E$99998,5,FALSE)="Sand",VLOOKUP(L$37,BoundParameters_HiddenSheetSAND!$I$3:$L$50,MATCH(VLOOKUP($I102,$I$5:$AJ$34,MATCH(VLOOKUP(L$37,$BH$3:$BI$50,2,FALSE),$I$4:$AJ$4,0),FALSE),BoundParameters_HiddenSheetCLAY!$I$1:$L$1,0),FALSE),IF(VLOOKUP($E67,'Table Output'!$A$2:$E$9998,5,FALSE)="Clay",VLOOKUP(L$37,BoundParameters_HiddenSheetCLAY!$I$3:$L$50,MATCH(VLOOKUP($I102,$I$5:$AJ$34,MATCH(VLOOKUP(L$37,$BH$3:$BI$50,2,FALSE),$I$4:$AJ$4,0),FALSE),BoundParameters_HiddenSheetCLAY!$I$1:$L$1,0),FALSE))),'Control Panel'!L102)))</f>
        <v/>
      </c>
      <c r="M102" s="44" t="str">
        <f>IF($I102="","",IF(M$37="","",IF('Control Panel'!M102="",IF(VLOOKUP($E67,'Table Output'!$A$2:$E$99998,5,FALSE)="Sand",VLOOKUP(M$37,BoundParameters_HiddenSheetSAND!$I$3:$L$50,MATCH(VLOOKUP($I102,$I$5:$AJ$34,MATCH(VLOOKUP(M$37,$BH$3:$BI$50,2,FALSE),$I$4:$AJ$4,0),FALSE),BoundParameters_HiddenSheetCLAY!$I$1:$L$1,0),FALSE),IF(VLOOKUP($E67,'Table Output'!$A$2:$E$9998,5,FALSE)="Clay",VLOOKUP(M$37,BoundParameters_HiddenSheetCLAY!$I$3:$L$50,MATCH(VLOOKUP($I102,$I$5:$AJ$34,MATCH(VLOOKUP(M$37,$BH$3:$BI$50,2,FALSE),$I$4:$AJ$4,0),FALSE),BoundParameters_HiddenSheetCLAY!$I$1:$L$1,0),FALSE))),'Control Panel'!M102)))</f>
        <v/>
      </c>
      <c r="N102" s="44" t="str">
        <f>IF($I102="","",IF(N$37="","",IF('Control Panel'!N102="",IF(VLOOKUP($E67,'Table Output'!$A$2:$E$99998,5,FALSE)="Sand",VLOOKUP(N$37,BoundParameters_HiddenSheetSAND!$I$3:$L$50,MATCH(VLOOKUP($I102,$I$5:$AJ$34,MATCH(VLOOKUP(N$37,$BH$3:$BI$50,2,FALSE),$I$4:$AJ$4,0),FALSE),BoundParameters_HiddenSheetCLAY!$I$1:$L$1,0),FALSE),IF(VLOOKUP($E67,'Table Output'!$A$2:$E$9998,5,FALSE)="Clay",VLOOKUP(N$37,BoundParameters_HiddenSheetCLAY!$I$3:$L$50,MATCH(VLOOKUP($I102,$I$5:$AJ$34,MATCH(VLOOKUP(N$37,$BH$3:$BI$50,2,FALSE),$I$4:$AJ$4,0),FALSE),BoundParameters_HiddenSheetCLAY!$I$1:$L$1,0),FALSE))),'Control Panel'!N102)))</f>
        <v/>
      </c>
      <c r="O102" s="44" t="str">
        <f>IF($I102="","",IF(O$37="","",IF('Control Panel'!O102="",IF(VLOOKUP($E67,'Table Output'!$A$2:$E$99998,5,FALSE)="Sand",VLOOKUP(O$37,BoundParameters_HiddenSheetSAND!$I$3:$L$50,MATCH(VLOOKUP($I102,$I$5:$AJ$34,MATCH(VLOOKUP(O$37,$BH$3:$BI$50,2,FALSE),$I$4:$AJ$4,0),FALSE),BoundParameters_HiddenSheetCLAY!$I$1:$L$1,0),FALSE),IF(VLOOKUP($E67,'Table Output'!$A$2:$E$9998,5,FALSE)="Clay",VLOOKUP(O$37,BoundParameters_HiddenSheetCLAY!$I$3:$L$50,MATCH(VLOOKUP($I102,$I$5:$AJ$34,MATCH(VLOOKUP(O$37,$BH$3:$BI$50,2,FALSE),$I$4:$AJ$4,0),FALSE),BoundParameters_HiddenSheetCLAY!$I$1:$L$1,0),FALSE))),'Control Panel'!O102)))</f>
        <v/>
      </c>
      <c r="P102" s="44" t="str">
        <f>IF($I102="","",IF(P$37="","",IF('Control Panel'!P102="",IF(VLOOKUP($E67,'Table Output'!$A$2:$E$99998,5,FALSE)="Sand",VLOOKUP(P$37,BoundParameters_HiddenSheetSAND!$I$3:$L$50,MATCH(VLOOKUP($I102,$I$5:$AJ$34,MATCH(VLOOKUP(P$37,$BH$3:$BI$50,2,FALSE),$I$4:$AJ$4,0),FALSE),BoundParameters_HiddenSheetCLAY!$I$1:$L$1,0),FALSE),IF(VLOOKUP($E67,'Table Output'!$A$2:$E$9998,5,FALSE)="Clay",VLOOKUP(P$37,BoundParameters_HiddenSheetCLAY!$I$3:$L$50,MATCH(VLOOKUP($I102,$I$5:$AJ$34,MATCH(VLOOKUP(P$37,$BH$3:$BI$50,2,FALSE),$I$4:$AJ$4,0),FALSE),BoundParameters_HiddenSheetCLAY!$I$1:$L$1,0),FALSE))),'Control Panel'!P102)))</f>
        <v/>
      </c>
      <c r="Q102" s="44" t="str">
        <f>IF($I102="","",IF(Q$37="","",IF('Control Panel'!Q102="",IF(VLOOKUP($E67,'Table Output'!$A$2:$E$99998,5,FALSE)="Sand",VLOOKUP(Q$37,BoundParameters_HiddenSheetSAND!$I$3:$L$50,MATCH(VLOOKUP($I102,$I$5:$AJ$34,MATCH(VLOOKUP(Q$37,$BH$3:$BI$50,2,FALSE),$I$4:$AJ$4,0),FALSE),BoundParameters_HiddenSheetCLAY!$I$1:$L$1,0),FALSE),IF(VLOOKUP($E67,'Table Output'!$A$2:$E$9998,5,FALSE)="Clay",VLOOKUP(Q$37,BoundParameters_HiddenSheetCLAY!$I$3:$L$50,MATCH(VLOOKUP($I102,$I$5:$AJ$34,MATCH(VLOOKUP(Q$37,$BH$3:$BI$50,2,FALSE),$I$4:$AJ$4,0),FALSE),BoundParameters_HiddenSheetCLAY!$I$1:$L$1,0),FALSE))),'Control Panel'!Q102)))</f>
        <v/>
      </c>
      <c r="R102" s="44" t="str">
        <f>IF($I102="","",IF(R$37="","",IF('Control Panel'!R102="",IF(VLOOKUP($E67,'Table Output'!$A$2:$E$99998,5,FALSE)="Sand",VLOOKUP(R$37,BoundParameters_HiddenSheetSAND!$I$3:$L$50,MATCH(VLOOKUP($I102,$I$5:$AJ$34,MATCH(VLOOKUP(R$37,$BH$3:$BI$50,2,FALSE),$I$4:$AJ$4,0),FALSE),BoundParameters_HiddenSheetCLAY!$I$1:$L$1,0),FALSE),IF(VLOOKUP($E67,'Table Output'!$A$2:$E$9998,5,FALSE)="Clay",VLOOKUP(R$37,BoundParameters_HiddenSheetCLAY!$I$3:$L$50,MATCH(VLOOKUP($I102,$I$5:$AJ$34,MATCH(VLOOKUP(R$37,$BH$3:$BI$50,2,FALSE),$I$4:$AJ$4,0),FALSE),BoundParameters_HiddenSheetCLAY!$I$1:$L$1,0),FALSE))),'Control Panel'!R102)))</f>
        <v/>
      </c>
      <c r="S102" s="44" t="str">
        <f>IF($I102="","",IF(S$37="","",IF('Control Panel'!S102="",IF(VLOOKUP($E67,'Table Output'!$A$2:$E$99998,5,FALSE)="Sand",VLOOKUP(S$37,BoundParameters_HiddenSheetSAND!$I$3:$L$50,MATCH(VLOOKUP($I102,$I$5:$AJ$34,MATCH(VLOOKUP(S$37,$BH$3:$BI$50,2,FALSE),$I$4:$AJ$4,0),FALSE),BoundParameters_HiddenSheetCLAY!$I$1:$L$1,0),FALSE),IF(VLOOKUP($E67,'Table Output'!$A$2:$E$9998,5,FALSE)="Clay",VLOOKUP(S$37,BoundParameters_HiddenSheetCLAY!$I$3:$L$50,MATCH(VLOOKUP($I102,$I$5:$AJ$34,MATCH(VLOOKUP(S$37,$BH$3:$BI$50,2,FALSE),$I$4:$AJ$4,0),FALSE),BoundParameters_HiddenSheetCLAY!$I$1:$L$1,0),FALSE))),'Control Panel'!S102)))</f>
        <v/>
      </c>
    </row>
  </sheetData>
  <mergeCells count="3">
    <mergeCell ref="I3:S3"/>
    <mergeCell ref="I36:S36"/>
    <mergeCell ref="I71:S71"/>
  </mergeCells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441CD-C35B-491C-B5C8-16E8D10CD067}">
  <sheetPr codeName="Sheet6">
    <tabColor theme="7" tint="0.59999389629810485"/>
  </sheetPr>
  <dimension ref="A1:AS255"/>
  <sheetViews>
    <sheetView zoomScaleNormal="100" workbookViewId="0">
      <selection activeCell="L6" sqref="L6:L16"/>
    </sheetView>
  </sheetViews>
  <sheetFormatPr defaultColWidth="9.140625" defaultRowHeight="15" x14ac:dyDescent="0.25"/>
  <cols>
    <col min="1" max="1" width="18" style="103" bestFit="1" customWidth="1"/>
    <col min="2" max="2" width="13.7109375" style="103" customWidth="1"/>
    <col min="3" max="3" width="13.5703125" style="103" customWidth="1"/>
    <col min="4" max="5" width="14" style="103" customWidth="1"/>
    <col min="6" max="6" width="13" style="103" bestFit="1" customWidth="1"/>
    <col min="7" max="7" width="13.5703125" style="103" customWidth="1"/>
    <col min="8" max="8" width="11" style="103" bestFit="1" customWidth="1"/>
    <col min="9" max="9" width="15.7109375" style="103" bestFit="1" customWidth="1"/>
    <col min="10" max="10" width="10.28515625" style="103" customWidth="1"/>
    <col min="11" max="11" width="11.5703125" style="103" bestFit="1" customWidth="1"/>
    <col min="12" max="12" width="27.7109375" style="103" customWidth="1"/>
    <col min="13" max="13" width="11.7109375" style="103" bestFit="1" customWidth="1"/>
    <col min="14" max="14" width="11" style="103" bestFit="1" customWidth="1"/>
    <col min="15" max="15" width="9.28515625" style="103" customWidth="1"/>
    <col min="16" max="16" width="10.5703125" style="103" customWidth="1"/>
    <col min="17" max="18" width="9.5703125" style="103" bestFit="1" customWidth="1"/>
    <col min="19" max="20" width="6.5703125" style="103" customWidth="1"/>
    <col min="21" max="21" width="13.28515625" style="103" customWidth="1"/>
    <col min="22" max="22" width="19.42578125" style="103" customWidth="1"/>
    <col min="23" max="23" width="6.5703125" style="103" customWidth="1"/>
    <col min="24" max="24" width="11.7109375" style="103" customWidth="1"/>
    <col min="25" max="25" width="8.42578125" style="103" bestFit="1" customWidth="1"/>
    <col min="26" max="26" width="11.7109375" style="103" customWidth="1"/>
    <col min="27" max="27" width="11" style="103" bestFit="1" customWidth="1"/>
    <col min="28" max="28" width="10.5703125" style="103" customWidth="1"/>
    <col min="29" max="29" width="14.7109375" style="103" customWidth="1"/>
    <col min="30" max="30" width="11.7109375" style="103" customWidth="1"/>
    <col min="31" max="31" width="10.28515625" style="103" customWidth="1"/>
    <col min="32" max="32" width="8.28515625" style="103" customWidth="1"/>
    <col min="33" max="33" width="13.7109375" style="103" customWidth="1"/>
    <col min="34" max="34" width="8.42578125" style="103" customWidth="1"/>
    <col min="35" max="35" width="7.7109375" style="103" customWidth="1"/>
    <col min="36" max="36" width="8.5703125" style="103" customWidth="1"/>
    <col min="37" max="37" width="11.28515625" style="103" bestFit="1" customWidth="1"/>
    <col min="38" max="38" width="11.42578125" style="103" bestFit="1" customWidth="1"/>
    <col min="39" max="39" width="11.7109375" style="103" bestFit="1" customWidth="1"/>
    <col min="40" max="40" width="11.5703125" style="103" bestFit="1" customWidth="1"/>
    <col min="41" max="42" width="11.5703125" style="103" customWidth="1"/>
    <col min="43" max="16384" width="9.140625" style="103"/>
  </cols>
  <sheetData>
    <row r="1" spans="1:45" x14ac:dyDescent="0.25">
      <c r="A1" s="55" t="str">
        <f ca="1">TRIM(MID(CELL("filename",A1),FIND("]",CELL("filename",A1),1)+1,255))</f>
        <v>benchmark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5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5" s="105" customFormat="1" ht="15" customHeight="1" x14ac:dyDescent="0.25">
      <c r="A3"/>
      <c r="B3"/>
      <c r="C3"/>
      <c r="D3"/>
      <c r="E3"/>
      <c r="F3" s="55" t="s">
        <v>37</v>
      </c>
      <c r="G3"/>
      <c r="H3"/>
      <c r="I3"/>
      <c r="J3" s="55" t="s">
        <v>22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</row>
    <row r="4" spans="1:45" x14ac:dyDescent="0.25">
      <c r="A4" t="s">
        <v>54</v>
      </c>
      <c r="B4">
        <f>COUNTIF(J:J,"&gt;0")</f>
        <v>11</v>
      </c>
      <c r="C4" t="s">
        <v>410</v>
      </c>
      <c r="D4"/>
      <c r="E4"/>
      <c r="F4" t="s">
        <v>38</v>
      </c>
      <c r="G4">
        <v>0</v>
      </c>
      <c r="H4" t="s">
        <v>28</v>
      </c>
      <c r="I4"/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416</v>
      </c>
      <c r="AH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  <c r="AO4" t="s">
        <v>415</v>
      </c>
      <c r="AP4" t="s">
        <v>414</v>
      </c>
      <c r="AQ4" t="s">
        <v>413</v>
      </c>
      <c r="AR4" t="s">
        <v>412</v>
      </c>
      <c r="AS4" s="103" t="s">
        <v>411</v>
      </c>
    </row>
    <row r="5" spans="1:45" ht="17.25" x14ac:dyDescent="0.25">
      <c r="A5" t="s">
        <v>55</v>
      </c>
      <c r="B5">
        <f ca="1">COUNTIF(A:A,"&gt;0")</f>
        <v>1</v>
      </c>
      <c r="C5" t="s">
        <v>410</v>
      </c>
      <c r="D5"/>
      <c r="E5"/>
      <c r="F5" t="s">
        <v>39</v>
      </c>
      <c r="G5">
        <v>0</v>
      </c>
      <c r="H5" t="s">
        <v>28</v>
      </c>
      <c r="I5"/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409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  <c r="AO5" t="s">
        <v>33</v>
      </c>
      <c r="AP5" t="s">
        <v>33</v>
      </c>
      <c r="AQ5" t="s">
        <v>408</v>
      </c>
      <c r="AR5" t="s">
        <v>407</v>
      </c>
    </row>
    <row r="6" spans="1:45" x14ac:dyDescent="0.25">
      <c r="A6"/>
      <c r="B6"/>
      <c r="C6"/>
      <c r="D6"/>
      <c r="E6"/>
      <c r="F6" t="s">
        <v>60</v>
      </c>
      <c r="G6">
        <v>23</v>
      </c>
      <c r="H6" t="s">
        <v>28</v>
      </c>
      <c r="I6"/>
      <c r="J6">
        <v>1</v>
      </c>
      <c r="K6">
        <v>0</v>
      </c>
      <c r="L6" t="s">
        <v>390</v>
      </c>
      <c r="M6" t="s">
        <v>58</v>
      </c>
      <c r="N6">
        <v>10.199999999999999</v>
      </c>
      <c r="O6">
        <v>0</v>
      </c>
      <c r="P6">
        <v>40</v>
      </c>
      <c r="Q6">
        <v>0</v>
      </c>
      <c r="R6" t="e">
        <f t="shared" ref="R6:R16" si="0">IF(Q6&lt;&gt;0,Q6-5,NA())</f>
        <v>#N/A</v>
      </c>
      <c r="S6">
        <v>3</v>
      </c>
      <c r="T6">
        <v>0</v>
      </c>
      <c r="U6">
        <v>1.7999999999999999E-2</v>
      </c>
      <c r="V6">
        <v>0</v>
      </c>
      <c r="W6">
        <v>0.25</v>
      </c>
      <c r="X6">
        <v>12800</v>
      </c>
      <c r="Y6">
        <v>0</v>
      </c>
      <c r="Z6">
        <v>0</v>
      </c>
      <c r="AA6">
        <v>1</v>
      </c>
      <c r="AB6">
        <v>0</v>
      </c>
      <c r="AC6">
        <v>4000</v>
      </c>
      <c r="AD6">
        <v>20000</v>
      </c>
      <c r="AE6">
        <v>0.3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 s="103">
        <v>0.4</v>
      </c>
    </row>
    <row r="7" spans="1:45" x14ac:dyDescent="0.25">
      <c r="A7" s="55" t="s">
        <v>23</v>
      </c>
      <c r="B7"/>
      <c r="C7"/>
      <c r="D7"/>
      <c r="E7"/>
      <c r="F7" s="55" t="s">
        <v>44</v>
      </c>
      <c r="G7"/>
      <c r="H7"/>
      <c r="I7"/>
      <c r="J7">
        <v>2</v>
      </c>
      <c r="K7">
        <v>-0.65</v>
      </c>
      <c r="L7" t="s">
        <v>359</v>
      </c>
      <c r="M7" t="s">
        <v>57</v>
      </c>
      <c r="N7">
        <v>9.4</v>
      </c>
      <c r="O7">
        <v>0</v>
      </c>
      <c r="P7">
        <v>0</v>
      </c>
      <c r="Q7">
        <v>40</v>
      </c>
      <c r="R7">
        <f t="shared" si="0"/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26200</v>
      </c>
      <c r="Y7">
        <v>0</v>
      </c>
      <c r="Z7">
        <f>VLOOKUP(R7,$AE$39:$AF$59,2)</f>
        <v>114.99999999999996</v>
      </c>
      <c r="AA7">
        <v>1</v>
      </c>
      <c r="AB7">
        <f>VLOOKUP(R7,$AE$39:$AG$59,3)</f>
        <v>12000</v>
      </c>
      <c r="AC7">
        <v>24000</v>
      </c>
      <c r="AD7">
        <v>12957.746478873238</v>
      </c>
      <c r="AE7">
        <v>0.3</v>
      </c>
      <c r="AF7">
        <v>0</v>
      </c>
      <c r="AG7">
        <v>0</v>
      </c>
      <c r="AH7">
        <v>0</v>
      </c>
      <c r="AI7">
        <v>0</v>
      </c>
      <c r="AJ7">
        <f>VLOOKUP(R7,$AE$39:$AH$59,4)</f>
        <v>50.000000000000007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0</v>
      </c>
      <c r="AR7">
        <v>75</v>
      </c>
      <c r="AS7" s="103">
        <v>0.4</v>
      </c>
    </row>
    <row r="8" spans="1:45" x14ac:dyDescent="0.25">
      <c r="A8" t="s">
        <v>24</v>
      </c>
      <c r="B8">
        <v>0</v>
      </c>
      <c r="C8" t="s">
        <v>406</v>
      </c>
      <c r="D8"/>
      <c r="E8"/>
      <c r="F8" t="s">
        <v>45</v>
      </c>
      <c r="G8">
        <v>32053.91</v>
      </c>
      <c r="H8" t="s">
        <v>48</v>
      </c>
      <c r="I8"/>
      <c r="J8">
        <v>3</v>
      </c>
      <c r="K8">
        <v>-4.2</v>
      </c>
      <c r="L8" t="s">
        <v>338</v>
      </c>
      <c r="M8" t="s">
        <v>57</v>
      </c>
      <c r="N8">
        <v>10</v>
      </c>
      <c r="O8">
        <v>0</v>
      </c>
      <c r="P8">
        <v>0</v>
      </c>
      <c r="Q8">
        <v>37</v>
      </c>
      <c r="R8">
        <f t="shared" si="0"/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15900</v>
      </c>
      <c r="Y8">
        <v>0</v>
      </c>
      <c r="Z8">
        <f>VLOOKUP(R8,$AE$39:$AF$59,2)</f>
        <v>103.59999999999997</v>
      </c>
      <c r="AA8">
        <v>1</v>
      </c>
      <c r="AB8">
        <f>VLOOKUP(R8,$AE$39:$AG$59,3)</f>
        <v>10560</v>
      </c>
      <c r="AC8">
        <v>61000</v>
      </c>
      <c r="AD8">
        <v>2222.2222222222222</v>
      </c>
      <c r="AE8">
        <v>0.3</v>
      </c>
      <c r="AF8">
        <v>0</v>
      </c>
      <c r="AG8">
        <v>0</v>
      </c>
      <c r="AH8">
        <v>0</v>
      </c>
      <c r="AI8">
        <v>0</v>
      </c>
      <c r="AJ8">
        <f>VLOOKUP(R8,$AE$39:$AH$59,4)</f>
        <v>44.000000000000007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56</v>
      </c>
      <c r="AS8" s="103">
        <v>0.4</v>
      </c>
    </row>
    <row r="9" spans="1:45" x14ac:dyDescent="0.25">
      <c r="A9" t="s">
        <v>61</v>
      </c>
      <c r="B9">
        <v>41.9</v>
      </c>
      <c r="C9" t="s">
        <v>28</v>
      </c>
      <c r="D9"/>
      <c r="E9"/>
      <c r="F9" t="s">
        <v>72</v>
      </c>
      <c r="G9">
        <v>-1309605</v>
      </c>
      <c r="H9" t="s">
        <v>49</v>
      </c>
      <c r="I9"/>
      <c r="J9">
        <v>4</v>
      </c>
      <c r="K9">
        <v>-6</v>
      </c>
      <c r="L9" t="s">
        <v>351</v>
      </c>
      <c r="M9" t="s">
        <v>57</v>
      </c>
      <c r="N9">
        <v>9.9</v>
      </c>
      <c r="O9">
        <v>0</v>
      </c>
      <c r="P9">
        <v>0</v>
      </c>
      <c r="Q9">
        <v>39</v>
      </c>
      <c r="R9">
        <f t="shared" si="0"/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2900</v>
      </c>
      <c r="Y9">
        <v>0</v>
      </c>
      <c r="Z9">
        <f>VLOOKUP(R9,$AE$39:$AF$59,2)</f>
        <v>111.19999999999996</v>
      </c>
      <c r="AA9">
        <v>1</v>
      </c>
      <c r="AB9">
        <f>VLOOKUP(R9,$AE$39:$AG$59,3)</f>
        <v>11520</v>
      </c>
      <c r="AC9">
        <v>74000</v>
      </c>
      <c r="AD9">
        <v>7000</v>
      </c>
      <c r="AE9">
        <v>0.3</v>
      </c>
      <c r="AF9">
        <v>0</v>
      </c>
      <c r="AG9">
        <v>0</v>
      </c>
      <c r="AH9">
        <v>0</v>
      </c>
      <c r="AI9">
        <v>0</v>
      </c>
      <c r="AJ9">
        <f>VLOOKUP(R9,$AE$39:$AH$59,4)</f>
        <v>48.000000000000007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0</v>
      </c>
      <c r="AR9">
        <v>68</v>
      </c>
      <c r="AS9" s="103">
        <v>0.4</v>
      </c>
    </row>
    <row r="10" spans="1:45" s="106" customFormat="1" x14ac:dyDescent="0.25">
      <c r="A10" t="s">
        <v>62</v>
      </c>
      <c r="B10">
        <v>41.9</v>
      </c>
      <c r="C10" t="s">
        <v>28</v>
      </c>
      <c r="D10"/>
      <c r="E10"/>
      <c r="F10" t="s">
        <v>46</v>
      </c>
      <c r="G10">
        <v>7357</v>
      </c>
      <c r="H10" t="s">
        <v>48</v>
      </c>
      <c r="I10"/>
      <c r="J10">
        <v>5</v>
      </c>
      <c r="K10">
        <v>-9</v>
      </c>
      <c r="L10" t="s">
        <v>363</v>
      </c>
      <c r="M10" t="s">
        <v>57</v>
      </c>
      <c r="N10">
        <v>9.9</v>
      </c>
      <c r="O10">
        <v>0</v>
      </c>
      <c r="P10">
        <v>0</v>
      </c>
      <c r="Q10">
        <v>40</v>
      </c>
      <c r="R10">
        <f t="shared" si="0"/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13700</v>
      </c>
      <c r="Y10">
        <v>0</v>
      </c>
      <c r="Z10">
        <f>VLOOKUP(R10,$AE$39:$AF$59,2)</f>
        <v>114.99999999999996</v>
      </c>
      <c r="AA10">
        <v>1</v>
      </c>
      <c r="AB10">
        <f>VLOOKUP(R10,$AE$39:$AG$59,3)</f>
        <v>12000</v>
      </c>
      <c r="AC10">
        <v>108000</v>
      </c>
      <c r="AD10">
        <v>2307.6923076923076</v>
      </c>
      <c r="AE10">
        <v>0.3</v>
      </c>
      <c r="AF10">
        <v>0</v>
      </c>
      <c r="AG10">
        <v>0</v>
      </c>
      <c r="AH10">
        <v>0</v>
      </c>
      <c r="AI10">
        <v>0</v>
      </c>
      <c r="AJ10">
        <f>VLOOKUP(R10,$AE$39:$AH$59,4)</f>
        <v>50.000000000000007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0</v>
      </c>
      <c r="AR10">
        <v>79</v>
      </c>
      <c r="AS10" s="103">
        <v>0.4</v>
      </c>
    </row>
    <row r="11" spans="1:45" x14ac:dyDescent="0.25">
      <c r="A11" t="s">
        <v>63</v>
      </c>
      <c r="B11">
        <v>0.5</v>
      </c>
      <c r="C11" t="s">
        <v>28</v>
      </c>
      <c r="D11"/>
      <c r="E11"/>
      <c r="F11" t="s">
        <v>47</v>
      </c>
      <c r="G11">
        <v>0</v>
      </c>
      <c r="H11" t="s">
        <v>48</v>
      </c>
      <c r="I11"/>
      <c r="J11">
        <v>6</v>
      </c>
      <c r="K11">
        <v>-12.9</v>
      </c>
      <c r="L11" t="s">
        <v>341</v>
      </c>
      <c r="M11" t="s">
        <v>57</v>
      </c>
      <c r="N11">
        <v>8.5</v>
      </c>
      <c r="O11">
        <v>0</v>
      </c>
      <c r="P11">
        <v>0</v>
      </c>
      <c r="Q11">
        <v>26</v>
      </c>
      <c r="R11">
        <f t="shared" si="0"/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25400</v>
      </c>
      <c r="Y11">
        <v>0</v>
      </c>
      <c r="Z11">
        <f>VLOOKUP(R11,$AE$39:$AF$59,2)</f>
        <v>69.799999999999983</v>
      </c>
      <c r="AA11">
        <v>1</v>
      </c>
      <c r="AB11">
        <f>VLOOKUP(R11,$AE$39:$AG$59,3)</f>
        <v>3280</v>
      </c>
      <c r="AC11">
        <v>97000</v>
      </c>
      <c r="AD11">
        <v>1322.3140495867769</v>
      </c>
      <c r="AE11">
        <v>0.3</v>
      </c>
      <c r="AF11">
        <v>0</v>
      </c>
      <c r="AG11">
        <v>0</v>
      </c>
      <c r="AH11">
        <v>0</v>
      </c>
      <c r="AI11">
        <v>0</v>
      </c>
      <c r="AJ11">
        <f>VLOOKUP(R11,$AE$39:$AH$59,4)</f>
        <v>13.600000000000003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0</v>
      </c>
      <c r="AR11">
        <v>59</v>
      </c>
      <c r="AS11" s="103">
        <v>0.2</v>
      </c>
    </row>
    <row r="12" spans="1:45" x14ac:dyDescent="0.25">
      <c r="A12" t="s">
        <v>66</v>
      </c>
      <c r="B12">
        <v>9.6999999999999993</v>
      </c>
      <c r="C12" t="s">
        <v>28</v>
      </c>
      <c r="D12"/>
      <c r="E12"/>
      <c r="F12" t="s">
        <v>73</v>
      </c>
      <c r="G12">
        <v>10850.2</v>
      </c>
      <c r="H12" t="s">
        <v>48</v>
      </c>
      <c r="I12"/>
      <c r="J12">
        <v>7</v>
      </c>
      <c r="K12">
        <v>-25</v>
      </c>
      <c r="L12" t="s">
        <v>390</v>
      </c>
      <c r="M12" t="s">
        <v>58</v>
      </c>
      <c r="N12">
        <v>8.5</v>
      </c>
      <c r="O12">
        <v>168</v>
      </c>
      <c r="P12">
        <v>10.992366412213739</v>
      </c>
      <c r="Q12">
        <v>0</v>
      </c>
      <c r="R12" t="e">
        <f t="shared" si="0"/>
        <v>#N/A</v>
      </c>
      <c r="S12">
        <v>1.9</v>
      </c>
      <c r="T12">
        <v>0</v>
      </c>
      <c r="U12">
        <v>1.7999999999999999E-2</v>
      </c>
      <c r="V12">
        <v>0</v>
      </c>
      <c r="W12">
        <v>0.25</v>
      </c>
      <c r="X12">
        <v>17300</v>
      </c>
      <c r="Y12">
        <v>0</v>
      </c>
      <c r="Z12">
        <v>0</v>
      </c>
      <c r="AA12">
        <v>1</v>
      </c>
      <c r="AB12">
        <v>0</v>
      </c>
      <c r="AC12">
        <v>218000</v>
      </c>
      <c r="AD12">
        <v>14274.809160305342</v>
      </c>
      <c r="AE12">
        <v>0.3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0</v>
      </c>
      <c r="AR12">
        <v>0</v>
      </c>
      <c r="AS12" s="103">
        <v>0.4</v>
      </c>
    </row>
    <row r="13" spans="1:45" x14ac:dyDescent="0.25">
      <c r="A13" t="s">
        <v>40</v>
      </c>
      <c r="B13">
        <v>78</v>
      </c>
      <c r="C13" t="s">
        <v>405</v>
      </c>
      <c r="D13"/>
      <c r="E13"/>
      <c r="F13" s="55" t="s">
        <v>50</v>
      </c>
      <c r="G13"/>
      <c r="H13"/>
      <c r="I13"/>
      <c r="J13">
        <v>8</v>
      </c>
      <c r="K13">
        <v>-38.1</v>
      </c>
      <c r="L13" t="s">
        <v>365</v>
      </c>
      <c r="M13" t="s">
        <v>57</v>
      </c>
      <c r="N13">
        <v>9</v>
      </c>
      <c r="O13">
        <v>0</v>
      </c>
      <c r="P13">
        <v>0</v>
      </c>
      <c r="Q13">
        <v>28</v>
      </c>
      <c r="R13">
        <f t="shared" si="0"/>
        <v>23</v>
      </c>
      <c r="S13">
        <v>1</v>
      </c>
      <c r="T13">
        <v>0</v>
      </c>
      <c r="U13">
        <v>0</v>
      </c>
      <c r="V13">
        <v>0</v>
      </c>
      <c r="W13">
        <v>0</v>
      </c>
      <c r="X13">
        <v>31000</v>
      </c>
      <c r="Y13">
        <v>0</v>
      </c>
      <c r="Z13">
        <f>VLOOKUP(R13,$AE$39:$AF$59,2)</f>
        <v>75.399999999999977</v>
      </c>
      <c r="AA13">
        <v>1</v>
      </c>
      <c r="AB13">
        <f>VLOOKUP(R13,$AE$39:$AG$59,3)</f>
        <v>4040</v>
      </c>
      <c r="AC13">
        <v>188000</v>
      </c>
      <c r="AD13">
        <v>2881.3559322033907</v>
      </c>
      <c r="AE13">
        <v>0.3</v>
      </c>
      <c r="AF13">
        <v>0</v>
      </c>
      <c r="AG13">
        <v>0</v>
      </c>
      <c r="AH13">
        <v>0</v>
      </c>
      <c r="AI13">
        <v>0</v>
      </c>
      <c r="AJ13">
        <f>VLOOKUP(R13,$AE$39:$AH$59,4)</f>
        <v>16.800000000000004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0</v>
      </c>
      <c r="AR13">
        <v>80</v>
      </c>
      <c r="AS13" s="103">
        <v>0.4</v>
      </c>
    </row>
    <row r="14" spans="1:45" x14ac:dyDescent="0.25">
      <c r="A14" t="s">
        <v>41</v>
      </c>
      <c r="B14">
        <v>355000</v>
      </c>
      <c r="C14" t="s">
        <v>404</v>
      </c>
      <c r="D14"/>
      <c r="E14"/>
      <c r="F14" t="s">
        <v>51</v>
      </c>
      <c r="G14" t="s">
        <v>52</v>
      </c>
      <c r="H14" t="s">
        <v>56</v>
      </c>
      <c r="I14"/>
      <c r="J14">
        <v>9</v>
      </c>
      <c r="K14">
        <v>-44</v>
      </c>
      <c r="L14" t="s">
        <v>365</v>
      </c>
      <c r="M14" t="s">
        <v>57</v>
      </c>
      <c r="N14">
        <v>9</v>
      </c>
      <c r="O14">
        <v>0</v>
      </c>
      <c r="P14">
        <v>0</v>
      </c>
      <c r="Q14">
        <v>28</v>
      </c>
      <c r="R14">
        <f t="shared" si="0"/>
        <v>23</v>
      </c>
      <c r="S14">
        <v>1</v>
      </c>
      <c r="T14">
        <v>0</v>
      </c>
      <c r="U14">
        <v>0</v>
      </c>
      <c r="V14">
        <v>0</v>
      </c>
      <c r="W14">
        <v>0</v>
      </c>
      <c r="X14">
        <v>69900</v>
      </c>
      <c r="Y14">
        <v>0</v>
      </c>
      <c r="Z14">
        <f>VLOOKUP(R14,$AE$39:$AF$59,2)</f>
        <v>75.399999999999977</v>
      </c>
      <c r="AA14">
        <v>1</v>
      </c>
      <c r="AB14">
        <f>VLOOKUP(R14,$AE$39:$AG$59,3)</f>
        <v>4040</v>
      </c>
      <c r="AC14">
        <v>182000</v>
      </c>
      <c r="AD14">
        <v>15625.000000000009</v>
      </c>
      <c r="AE14">
        <v>0.3</v>
      </c>
      <c r="AF14">
        <v>0</v>
      </c>
      <c r="AG14">
        <v>0</v>
      </c>
      <c r="AH14">
        <v>0</v>
      </c>
      <c r="AI14">
        <v>0</v>
      </c>
      <c r="AJ14">
        <f>VLOOKUP(R14,$AE$39:$AH$59,4)</f>
        <v>16.800000000000004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0</v>
      </c>
      <c r="AR14">
        <v>80</v>
      </c>
      <c r="AS14" s="103">
        <v>0.4</v>
      </c>
    </row>
    <row r="15" spans="1:45" x14ac:dyDescent="0.25">
      <c r="A15" t="s">
        <v>42</v>
      </c>
      <c r="B15">
        <v>207000000</v>
      </c>
      <c r="C15" t="s">
        <v>404</v>
      </c>
      <c r="D15"/>
      <c r="E15"/>
      <c r="F15"/>
      <c r="G15"/>
      <c r="H15"/>
      <c r="I15"/>
      <c r="J15">
        <v>10</v>
      </c>
      <c r="K15">
        <v>-48.8</v>
      </c>
      <c r="L15" t="s">
        <v>365</v>
      </c>
      <c r="M15" t="s">
        <v>57</v>
      </c>
      <c r="N15">
        <v>9.8000000000000007</v>
      </c>
      <c r="O15">
        <v>0</v>
      </c>
      <c r="P15">
        <v>0</v>
      </c>
      <c r="Q15">
        <v>28</v>
      </c>
      <c r="R15">
        <f t="shared" si="0"/>
        <v>23</v>
      </c>
      <c r="S15">
        <v>0.9</v>
      </c>
      <c r="T15">
        <v>0</v>
      </c>
      <c r="U15">
        <v>0</v>
      </c>
      <c r="V15">
        <v>0</v>
      </c>
      <c r="W15">
        <v>0</v>
      </c>
      <c r="X15">
        <v>40800</v>
      </c>
      <c r="Y15">
        <v>0</v>
      </c>
      <c r="Z15">
        <f>VLOOKUP(R15,$AE$39:$AF$59,2)</f>
        <v>75.399999999999977</v>
      </c>
      <c r="AA15">
        <v>1</v>
      </c>
      <c r="AB15">
        <f>VLOOKUP(R15,$AE$39:$AG$59,3)</f>
        <v>4040</v>
      </c>
      <c r="AC15">
        <v>196000</v>
      </c>
      <c r="AD15">
        <v>2574.8502994011974</v>
      </c>
      <c r="AE15">
        <v>0.3</v>
      </c>
      <c r="AF15">
        <v>0</v>
      </c>
      <c r="AG15">
        <v>0</v>
      </c>
      <c r="AH15">
        <v>0</v>
      </c>
      <c r="AI15">
        <v>0</v>
      </c>
      <c r="AJ15">
        <f>VLOOKUP(R15,$AE$39:$AH$59,4)</f>
        <v>16.800000000000004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0</v>
      </c>
      <c r="AR15">
        <v>68</v>
      </c>
      <c r="AS15" s="103">
        <v>0.4</v>
      </c>
    </row>
    <row r="16" spans="1:45" x14ac:dyDescent="0.25">
      <c r="A16" t="s">
        <v>43</v>
      </c>
      <c r="B16">
        <v>79000000</v>
      </c>
      <c r="C16" t="s">
        <v>404</v>
      </c>
      <c r="D16"/>
      <c r="E16"/>
      <c r="F16"/>
      <c r="G16"/>
      <c r="H16"/>
      <c r="I16"/>
      <c r="J16">
        <v>11</v>
      </c>
      <c r="K16">
        <v>-65.5</v>
      </c>
      <c r="L16" t="s">
        <v>390</v>
      </c>
      <c r="M16" t="s">
        <v>58</v>
      </c>
      <c r="N16">
        <v>9.8000000000000007</v>
      </c>
      <c r="O16">
        <v>488</v>
      </c>
      <c r="P16">
        <v>5.5172413793103452</v>
      </c>
      <c r="Q16">
        <v>0</v>
      </c>
      <c r="R16" t="e">
        <f t="shared" si="0"/>
        <v>#N/A</v>
      </c>
      <c r="S16">
        <v>1.8</v>
      </c>
      <c r="T16">
        <v>0</v>
      </c>
      <c r="U16">
        <v>1.7999999999999999E-2</v>
      </c>
      <c r="V16">
        <v>0</v>
      </c>
      <c r="W16">
        <v>0.25</v>
      </c>
      <c r="X16">
        <v>101700</v>
      </c>
      <c r="Y16">
        <v>0</v>
      </c>
      <c r="Z16">
        <v>0</v>
      </c>
      <c r="AA16">
        <v>1</v>
      </c>
      <c r="AB16">
        <v>0</v>
      </c>
      <c r="AC16">
        <v>761000</v>
      </c>
      <c r="AD16">
        <v>10482.758620689654</v>
      </c>
      <c r="AE16">
        <v>0.3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0</v>
      </c>
      <c r="AR16">
        <v>0</v>
      </c>
      <c r="AS16" s="103">
        <v>0.4</v>
      </c>
    </row>
    <row r="17" spans="1:45" s="106" customFormat="1" x14ac:dyDescent="0.25">
      <c r="A17" t="s">
        <v>74</v>
      </c>
      <c r="B17">
        <v>0.53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 s="103"/>
    </row>
    <row r="18" spans="1:45" ht="22.5" customHeight="1" x14ac:dyDescent="0.25">
      <c r="A18" t="s">
        <v>25</v>
      </c>
      <c r="B18" t="s">
        <v>26</v>
      </c>
      <c r="C18" t="s">
        <v>27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5" x14ac:dyDescent="0.25">
      <c r="A19" t="s">
        <v>36</v>
      </c>
      <c r="B19" t="s">
        <v>29</v>
      </c>
      <c r="C19" t="s">
        <v>53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5" x14ac:dyDescent="0.25">
      <c r="A20">
        <v>1</v>
      </c>
      <c r="B20">
        <v>0</v>
      </c>
      <c r="C20">
        <v>8.5999999999999993E-2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5" x14ac:dyDescent="0.25">
      <c r="A29"/>
      <c r="B29"/>
      <c r="C29"/>
      <c r="D29"/>
      <c r="E29"/>
      <c r="F29"/>
      <c r="G29"/>
      <c r="H29"/>
      <c r="I29"/>
      <c r="J29"/>
      <c r="K29"/>
      <c r="L29"/>
      <c r="M29" t="s">
        <v>403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5" x14ac:dyDescent="0.25">
      <c r="A30"/>
      <c r="B30"/>
      <c r="C30"/>
      <c r="D30"/>
      <c r="E30"/>
      <c r="F30"/>
      <c r="G30"/>
      <c r="H30"/>
      <c r="I30"/>
      <c r="J30"/>
      <c r="K30"/>
      <c r="L30"/>
      <c r="M30" t="s">
        <v>403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5" x14ac:dyDescent="0.25">
      <c r="A31"/>
      <c r="B31"/>
      <c r="C31"/>
      <c r="D31"/>
      <c r="E31"/>
      <c r="F31"/>
      <c r="G31"/>
      <c r="H31"/>
      <c r="I31"/>
      <c r="J31"/>
      <c r="K31"/>
      <c r="L31"/>
      <c r="M31" t="s">
        <v>403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5" x14ac:dyDescent="0.25">
      <c r="A32"/>
      <c r="B32"/>
      <c r="C32"/>
      <c r="D32"/>
      <c r="E32"/>
      <c r="F32"/>
      <c r="G32"/>
      <c r="H32"/>
      <c r="I32"/>
      <c r="J32"/>
      <c r="K32"/>
      <c r="L32"/>
      <c r="M32" t="s">
        <v>403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x14ac:dyDescent="0.25">
      <c r="A33"/>
      <c r="B33"/>
      <c r="C33"/>
      <c r="D33"/>
      <c r="E33"/>
      <c r="F33"/>
      <c r="G33"/>
      <c r="H33"/>
      <c r="I33"/>
      <c r="J33"/>
      <c r="K33"/>
      <c r="L33"/>
      <c r="M33" t="s">
        <v>403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x14ac:dyDescent="0.25">
      <c r="A34"/>
      <c r="B34"/>
      <c r="C34"/>
      <c r="D34"/>
      <c r="E34"/>
      <c r="F34"/>
      <c r="G34"/>
      <c r="H34"/>
      <c r="I34"/>
      <c r="J34"/>
      <c r="K34"/>
      <c r="L34"/>
      <c r="M34" t="s">
        <v>403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x14ac:dyDescent="0.25">
      <c r="A35"/>
      <c r="B35"/>
      <c r="C35"/>
      <c r="D35"/>
      <c r="E35"/>
      <c r="F35"/>
      <c r="G35"/>
      <c r="H35"/>
      <c r="I35"/>
      <c r="J35"/>
      <c r="K35"/>
      <c r="L35"/>
      <c r="M35" t="s">
        <v>403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x14ac:dyDescent="0.25">
      <c r="A36"/>
      <c r="B36"/>
      <c r="C36"/>
      <c r="D36"/>
      <c r="E36"/>
      <c r="F36"/>
      <c r="G36"/>
      <c r="H36"/>
      <c r="I36"/>
      <c r="J36"/>
      <c r="K36"/>
      <c r="L36"/>
      <c r="M36" t="s">
        <v>403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 t="s">
        <v>402</v>
      </c>
      <c r="AG37" t="s">
        <v>401</v>
      </c>
      <c r="AH37" t="s">
        <v>59</v>
      </c>
      <c r="AI37"/>
      <c r="AJ37"/>
      <c r="AK37"/>
      <c r="AL37"/>
      <c r="AM37"/>
      <c r="AN37"/>
      <c r="AO37"/>
      <c r="AP37"/>
      <c r="AQ37"/>
      <c r="AR37"/>
    </row>
    <row r="38" spans="1:44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 t="s">
        <v>400</v>
      </c>
      <c r="AF38" t="s">
        <v>399</v>
      </c>
      <c r="AG38" t="s">
        <v>398</v>
      </c>
      <c r="AH38"/>
      <c r="AI38"/>
      <c r="AJ38"/>
      <c r="AK38"/>
      <c r="AL38"/>
      <c r="AM38"/>
      <c r="AN38"/>
      <c r="AO38"/>
      <c r="AP38"/>
      <c r="AQ38"/>
      <c r="AR38"/>
    </row>
    <row r="39" spans="1:44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>
        <v>15</v>
      </c>
      <c r="AF39">
        <v>48</v>
      </c>
      <c r="AG39">
        <v>1900</v>
      </c>
      <c r="AH39">
        <v>8</v>
      </c>
      <c r="AI39"/>
      <c r="AJ39"/>
      <c r="AK39"/>
      <c r="AL39"/>
      <c r="AM39"/>
      <c r="AN39"/>
      <c r="AO39"/>
      <c r="AP39"/>
      <c r="AQ39"/>
      <c r="AR39"/>
    </row>
    <row r="40" spans="1:44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>
        <v>16</v>
      </c>
      <c r="AF40">
        <f>AF39+3.8</f>
        <v>51.8</v>
      </c>
      <c r="AG40">
        <f>AG39+200</f>
        <v>2100</v>
      </c>
      <c r="AH40">
        <f>AH39+0.8</f>
        <v>8.8000000000000007</v>
      </c>
      <c r="AI40"/>
      <c r="AJ40"/>
      <c r="AK40"/>
      <c r="AL40"/>
      <c r="AM40"/>
      <c r="AN40"/>
      <c r="AO40"/>
      <c r="AP40"/>
      <c r="AQ40"/>
      <c r="AR40"/>
    </row>
    <row r="41" spans="1:44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>
        <v>17</v>
      </c>
      <c r="AF41">
        <f>AF40+3.8</f>
        <v>55.599999999999994</v>
      </c>
      <c r="AG41">
        <f>AG40+200</f>
        <v>2300</v>
      </c>
      <c r="AH41">
        <f>AH40+0.8</f>
        <v>9.6000000000000014</v>
      </c>
      <c r="AI41"/>
      <c r="AJ41"/>
      <c r="AK41"/>
      <c r="AL41"/>
      <c r="AM41"/>
      <c r="AN41"/>
      <c r="AO41"/>
      <c r="AP41"/>
      <c r="AQ41"/>
      <c r="AR41"/>
    </row>
    <row r="42" spans="1:44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>
        <v>18</v>
      </c>
      <c r="AF42">
        <f>AF41+3.8</f>
        <v>59.399999999999991</v>
      </c>
      <c r="AG42">
        <f>AG41+200</f>
        <v>2500</v>
      </c>
      <c r="AH42">
        <f>AH41+0.8</f>
        <v>10.400000000000002</v>
      </c>
      <c r="AI42"/>
      <c r="AJ42"/>
      <c r="AK42"/>
      <c r="AL42"/>
      <c r="AM42"/>
      <c r="AN42"/>
      <c r="AO42"/>
      <c r="AP42"/>
      <c r="AQ42"/>
      <c r="AR42"/>
    </row>
    <row r="43" spans="1:44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>
        <v>19</v>
      </c>
      <c r="AF43">
        <f>AF42+3.8</f>
        <v>63.199999999999989</v>
      </c>
      <c r="AG43">
        <f>AG42+200</f>
        <v>2700</v>
      </c>
      <c r="AH43">
        <f>AH42+0.8</f>
        <v>11.200000000000003</v>
      </c>
      <c r="AI43"/>
      <c r="AJ43"/>
      <c r="AK43"/>
      <c r="AL43"/>
      <c r="AM43"/>
      <c r="AN43"/>
      <c r="AO43"/>
      <c r="AP43"/>
      <c r="AQ43"/>
      <c r="AR43"/>
    </row>
    <row r="44" spans="1:44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>
        <v>20</v>
      </c>
      <c r="AF44">
        <f>AF43+3.8</f>
        <v>66.999999999999986</v>
      </c>
      <c r="AG44">
        <f>AG43+200</f>
        <v>2900</v>
      </c>
      <c r="AH44">
        <f>AH43+0.8</f>
        <v>12.000000000000004</v>
      </c>
      <c r="AI44"/>
      <c r="AJ44"/>
      <c r="AK44"/>
      <c r="AL44"/>
      <c r="AM44"/>
      <c r="AN44"/>
      <c r="AO44"/>
      <c r="AP44"/>
      <c r="AQ44"/>
      <c r="AR44"/>
    </row>
    <row r="45" spans="1:44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>
        <v>21</v>
      </c>
      <c r="AF45">
        <f>AF44+2.8</f>
        <v>69.799999999999983</v>
      </c>
      <c r="AG45">
        <f>AG44+380</f>
        <v>3280</v>
      </c>
      <c r="AH45">
        <f>AH44+1.6</f>
        <v>13.600000000000003</v>
      </c>
      <c r="AI45"/>
      <c r="AJ45"/>
      <c r="AK45"/>
      <c r="AL45"/>
      <c r="AM45"/>
      <c r="AN45"/>
      <c r="AO45"/>
      <c r="AP45"/>
      <c r="AQ45"/>
      <c r="AR45"/>
    </row>
    <row r="46" spans="1:44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>
        <v>22</v>
      </c>
      <c r="AF46">
        <f>AF45+2.8</f>
        <v>72.59999999999998</v>
      </c>
      <c r="AG46">
        <f>AG45+380</f>
        <v>3660</v>
      </c>
      <c r="AH46">
        <f>AH45+1.6</f>
        <v>15.200000000000003</v>
      </c>
      <c r="AI46"/>
      <c r="AJ46"/>
      <c r="AK46"/>
      <c r="AL46"/>
      <c r="AM46"/>
      <c r="AN46"/>
      <c r="AO46"/>
      <c r="AP46"/>
      <c r="AQ46"/>
      <c r="AR46"/>
    </row>
    <row r="47" spans="1:44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>
        <v>23</v>
      </c>
      <c r="AF47">
        <f>AF46+2.8</f>
        <v>75.399999999999977</v>
      </c>
      <c r="AG47">
        <f>AG46+380</f>
        <v>4040</v>
      </c>
      <c r="AH47">
        <f>AH46+1.6</f>
        <v>16.800000000000004</v>
      </c>
      <c r="AI47"/>
      <c r="AJ47"/>
      <c r="AK47"/>
      <c r="AL47"/>
      <c r="AM47"/>
      <c r="AN47"/>
      <c r="AO47"/>
      <c r="AP47"/>
      <c r="AQ47"/>
      <c r="AR47"/>
    </row>
    <row r="48" spans="1:44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>
        <v>24</v>
      </c>
      <c r="AF48">
        <f>AF47+2.8</f>
        <v>78.199999999999974</v>
      </c>
      <c r="AG48">
        <f>AG47+380</f>
        <v>4420</v>
      </c>
      <c r="AH48">
        <f>AH47+1.6</f>
        <v>18.400000000000006</v>
      </c>
      <c r="AI48"/>
      <c r="AJ48"/>
      <c r="AK48"/>
      <c r="AL48"/>
      <c r="AM48"/>
      <c r="AN48"/>
      <c r="AO48"/>
      <c r="AP48"/>
      <c r="AQ48"/>
      <c r="AR48"/>
    </row>
    <row r="49" spans="1:44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>
        <v>25</v>
      </c>
      <c r="AF49">
        <f>AF48+2.8</f>
        <v>80.999999999999972</v>
      </c>
      <c r="AG49">
        <v>4800</v>
      </c>
      <c r="AH49">
        <f>AH48+1.6</f>
        <v>20.000000000000007</v>
      </c>
      <c r="AI49"/>
      <c r="AJ49"/>
      <c r="AK49"/>
      <c r="AL49"/>
      <c r="AM49"/>
      <c r="AN49"/>
      <c r="AO49"/>
      <c r="AP49"/>
      <c r="AQ49"/>
      <c r="AR49"/>
    </row>
    <row r="50" spans="1:44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>
        <v>26</v>
      </c>
      <c r="AF50">
        <f>AF49+3</f>
        <v>83.999999999999972</v>
      </c>
      <c r="AG50">
        <f>AG49+960</f>
        <v>5760</v>
      </c>
      <c r="AH50">
        <f>AH49+4</f>
        <v>24.000000000000007</v>
      </c>
      <c r="AI50"/>
      <c r="AJ50"/>
      <c r="AK50"/>
      <c r="AL50"/>
      <c r="AM50"/>
      <c r="AN50"/>
      <c r="AO50"/>
      <c r="AP50"/>
      <c r="AQ50"/>
      <c r="AR50"/>
    </row>
    <row r="51" spans="1:44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>
        <v>27</v>
      </c>
      <c r="AF51">
        <f>AF50+3</f>
        <v>86.999999999999972</v>
      </c>
      <c r="AG51">
        <f>AG50+960</f>
        <v>6720</v>
      </c>
      <c r="AH51">
        <f>AH50+4</f>
        <v>28.000000000000007</v>
      </c>
      <c r="AI51"/>
      <c r="AJ51"/>
      <c r="AK51"/>
      <c r="AL51"/>
      <c r="AM51"/>
      <c r="AN51"/>
      <c r="AO51"/>
      <c r="AP51"/>
      <c r="AQ51"/>
      <c r="AR51"/>
    </row>
    <row r="52" spans="1:44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>
        <v>28</v>
      </c>
      <c r="AF52">
        <f>AF51+3</f>
        <v>89.999999999999972</v>
      </c>
      <c r="AG52">
        <f>AG51+960</f>
        <v>7680</v>
      </c>
      <c r="AH52">
        <f>AH51+4</f>
        <v>32.000000000000007</v>
      </c>
      <c r="AI52"/>
      <c r="AJ52"/>
      <c r="AK52"/>
      <c r="AL52"/>
      <c r="AM52"/>
      <c r="AN52"/>
      <c r="AO52"/>
      <c r="AP52"/>
      <c r="AQ52"/>
      <c r="AR52"/>
    </row>
    <row r="53" spans="1:44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>
        <v>29</v>
      </c>
      <c r="AF53">
        <f>AF52+3</f>
        <v>92.999999999999972</v>
      </c>
      <c r="AG53">
        <f>AG52+960</f>
        <v>8640</v>
      </c>
      <c r="AH53">
        <f>AH52+4</f>
        <v>36.000000000000007</v>
      </c>
      <c r="AI53"/>
      <c r="AJ53"/>
      <c r="AK53"/>
      <c r="AL53"/>
      <c r="AM53"/>
      <c r="AN53"/>
      <c r="AO53"/>
      <c r="AP53"/>
      <c r="AQ53"/>
      <c r="AR53"/>
    </row>
    <row r="54" spans="1:44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>
        <v>30</v>
      </c>
      <c r="AF54">
        <f>AF53+3</f>
        <v>95.999999999999972</v>
      </c>
      <c r="AG54">
        <f>AG53+960</f>
        <v>9600</v>
      </c>
      <c r="AH54">
        <f>AH53+4</f>
        <v>40.000000000000007</v>
      </c>
      <c r="AI54"/>
      <c r="AJ54"/>
      <c r="AK54"/>
      <c r="AL54"/>
      <c r="AM54"/>
      <c r="AN54"/>
      <c r="AO54"/>
      <c r="AP54"/>
      <c r="AQ54"/>
      <c r="AR54"/>
    </row>
    <row r="55" spans="1:44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>
        <v>31</v>
      </c>
      <c r="AF55">
        <f>AF54+3.8</f>
        <v>99.799999999999969</v>
      </c>
      <c r="AG55">
        <f>AG54+480</f>
        <v>10080</v>
      </c>
      <c r="AH55">
        <f>AH54+2</f>
        <v>42.000000000000007</v>
      </c>
      <c r="AI55"/>
      <c r="AJ55"/>
      <c r="AK55"/>
      <c r="AL55"/>
      <c r="AM55"/>
      <c r="AN55"/>
      <c r="AO55"/>
      <c r="AP55"/>
      <c r="AQ55"/>
      <c r="AR55"/>
    </row>
    <row r="56" spans="1:44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>
        <v>32</v>
      </c>
      <c r="AF56">
        <f>AF55+3.8</f>
        <v>103.59999999999997</v>
      </c>
      <c r="AG56">
        <f>AG55+480</f>
        <v>10560</v>
      </c>
      <c r="AH56">
        <f>AH55+2</f>
        <v>44.000000000000007</v>
      </c>
      <c r="AI56"/>
      <c r="AJ56"/>
      <c r="AK56"/>
      <c r="AL56"/>
      <c r="AM56"/>
      <c r="AN56"/>
      <c r="AO56"/>
      <c r="AP56"/>
      <c r="AQ56"/>
      <c r="AR56"/>
    </row>
    <row r="57" spans="1:44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>
        <v>33</v>
      </c>
      <c r="AF57">
        <f>AF56+3.8</f>
        <v>107.39999999999996</v>
      </c>
      <c r="AG57">
        <f>AG56+480</f>
        <v>11040</v>
      </c>
      <c r="AH57">
        <f>AH56+2</f>
        <v>46.000000000000007</v>
      </c>
      <c r="AI57"/>
      <c r="AJ57"/>
      <c r="AK57"/>
      <c r="AL57"/>
      <c r="AM57"/>
      <c r="AN57"/>
      <c r="AO57"/>
      <c r="AP57"/>
      <c r="AQ57"/>
      <c r="AR57"/>
    </row>
    <row r="58" spans="1:44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>
        <v>34</v>
      </c>
      <c r="AF58">
        <f>AF57+3.8</f>
        <v>111.19999999999996</v>
      </c>
      <c r="AG58">
        <f>AG57+480</f>
        <v>11520</v>
      </c>
      <c r="AH58">
        <f>AH57+2</f>
        <v>48.000000000000007</v>
      </c>
      <c r="AI58"/>
      <c r="AJ58"/>
      <c r="AK58"/>
      <c r="AL58"/>
      <c r="AM58"/>
      <c r="AN58"/>
      <c r="AO58"/>
      <c r="AP58"/>
      <c r="AQ58"/>
      <c r="AR58"/>
    </row>
    <row r="59" spans="1:44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>
        <v>35</v>
      </c>
      <c r="AF59">
        <f>AF58+3.8</f>
        <v>114.99999999999996</v>
      </c>
      <c r="AG59">
        <f>AG58+480</f>
        <v>12000</v>
      </c>
      <c r="AH59">
        <f>AH58+2</f>
        <v>50.000000000000007</v>
      </c>
      <c r="AI59"/>
      <c r="AJ59"/>
      <c r="AK59"/>
      <c r="AL59"/>
      <c r="AM59"/>
      <c r="AN59"/>
      <c r="AO59"/>
      <c r="AP59"/>
      <c r="AQ59"/>
      <c r="AR59"/>
    </row>
    <row r="60" spans="1:44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 x14ac:dyDescent="0.25">
      <c r="L63" s="104"/>
    </row>
    <row r="64" spans="1:44" x14ac:dyDescent="0.25">
      <c r="L64" s="104"/>
    </row>
    <row r="65" spans="12:12" x14ac:dyDescent="0.25">
      <c r="L65" s="104"/>
    </row>
    <row r="66" spans="12:12" x14ac:dyDescent="0.25">
      <c r="L66" s="104"/>
    </row>
    <row r="67" spans="12:12" x14ac:dyDescent="0.25">
      <c r="L67" s="104"/>
    </row>
    <row r="68" spans="12:12" x14ac:dyDescent="0.25">
      <c r="L68" s="104"/>
    </row>
    <row r="69" spans="12:12" x14ac:dyDescent="0.25">
      <c r="L69" s="104"/>
    </row>
    <row r="70" spans="12:12" x14ac:dyDescent="0.25">
      <c r="L70" s="104"/>
    </row>
    <row r="71" spans="12:12" x14ac:dyDescent="0.25">
      <c r="L71" s="104"/>
    </row>
    <row r="72" spans="12:12" x14ac:dyDescent="0.25">
      <c r="L72" s="104"/>
    </row>
    <row r="73" spans="12:12" x14ac:dyDescent="0.25">
      <c r="L73" s="104"/>
    </row>
    <row r="74" spans="12:12" x14ac:dyDescent="0.25">
      <c r="L74" s="104"/>
    </row>
    <row r="75" spans="12:12" x14ac:dyDescent="0.25">
      <c r="L75" s="104"/>
    </row>
    <row r="76" spans="12:12" x14ac:dyDescent="0.25">
      <c r="L76" s="104"/>
    </row>
    <row r="77" spans="12:12" x14ac:dyDescent="0.25">
      <c r="L77" s="104"/>
    </row>
    <row r="78" spans="12:12" x14ac:dyDescent="0.25">
      <c r="L78" s="104"/>
    </row>
    <row r="79" spans="12:12" x14ac:dyDescent="0.25">
      <c r="L79" s="104"/>
    </row>
    <row r="80" spans="12:12" x14ac:dyDescent="0.25">
      <c r="L80" s="104"/>
    </row>
    <row r="81" spans="12:12" x14ac:dyDescent="0.25">
      <c r="L81" s="104"/>
    </row>
    <row r="82" spans="12:12" x14ac:dyDescent="0.25">
      <c r="L82" s="104"/>
    </row>
    <row r="83" spans="12:12" x14ac:dyDescent="0.25">
      <c r="L83" s="104"/>
    </row>
    <row r="84" spans="12:12" x14ac:dyDescent="0.25">
      <c r="L84" s="104"/>
    </row>
    <row r="85" spans="12:12" x14ac:dyDescent="0.25">
      <c r="L85" s="104"/>
    </row>
    <row r="86" spans="12:12" x14ac:dyDescent="0.25">
      <c r="L86" s="104"/>
    </row>
    <row r="87" spans="12:12" x14ac:dyDescent="0.25">
      <c r="L87" s="104"/>
    </row>
    <row r="88" spans="12:12" x14ac:dyDescent="0.25">
      <c r="L88" s="104"/>
    </row>
    <row r="89" spans="12:12" x14ac:dyDescent="0.25">
      <c r="L89" s="104"/>
    </row>
    <row r="90" spans="12:12" x14ac:dyDescent="0.25">
      <c r="L90" s="104"/>
    </row>
    <row r="91" spans="12:12" x14ac:dyDescent="0.25">
      <c r="L91" s="104"/>
    </row>
    <row r="92" spans="12:12" x14ac:dyDescent="0.25">
      <c r="L92" s="104"/>
    </row>
    <row r="93" spans="12:12" x14ac:dyDescent="0.25">
      <c r="L93" s="104"/>
    </row>
    <row r="94" spans="12:12" x14ac:dyDescent="0.25">
      <c r="L94" s="104"/>
    </row>
    <row r="95" spans="12:12" x14ac:dyDescent="0.25">
      <c r="L95" s="104"/>
    </row>
    <row r="96" spans="12:12" x14ac:dyDescent="0.25">
      <c r="L96" s="104"/>
    </row>
    <row r="97" spans="12:12" x14ac:dyDescent="0.25">
      <c r="L97" s="104"/>
    </row>
    <row r="98" spans="12:12" x14ac:dyDescent="0.25">
      <c r="L98" s="104"/>
    </row>
    <row r="99" spans="12:12" x14ac:dyDescent="0.25">
      <c r="L99" s="104"/>
    </row>
    <row r="100" spans="12:12" x14ac:dyDescent="0.25">
      <c r="L100" s="104"/>
    </row>
    <row r="101" spans="12:12" x14ac:dyDescent="0.25">
      <c r="L101" s="104"/>
    </row>
    <row r="102" spans="12:12" x14ac:dyDescent="0.25">
      <c r="L102" s="104"/>
    </row>
    <row r="103" spans="12:12" x14ac:dyDescent="0.25">
      <c r="L103" s="104"/>
    </row>
    <row r="104" spans="12:12" x14ac:dyDescent="0.25">
      <c r="L104" s="104"/>
    </row>
    <row r="105" spans="12:12" x14ac:dyDescent="0.25">
      <c r="L105" s="104"/>
    </row>
    <row r="106" spans="12:12" x14ac:dyDescent="0.25">
      <c r="L106" s="104"/>
    </row>
    <row r="107" spans="12:12" x14ac:dyDescent="0.25">
      <c r="L107" s="104"/>
    </row>
    <row r="108" spans="12:12" x14ac:dyDescent="0.25">
      <c r="L108" s="104"/>
    </row>
    <row r="109" spans="12:12" x14ac:dyDescent="0.25">
      <c r="L109" s="104"/>
    </row>
    <row r="110" spans="12:12" x14ac:dyDescent="0.25">
      <c r="L110" s="104"/>
    </row>
    <row r="111" spans="12:12" x14ac:dyDescent="0.25">
      <c r="L111" s="104"/>
    </row>
    <row r="112" spans="12:12" x14ac:dyDescent="0.25">
      <c r="L112" s="104"/>
    </row>
    <row r="113" spans="12:12" x14ac:dyDescent="0.25">
      <c r="L113" s="104"/>
    </row>
    <row r="114" spans="12:12" x14ac:dyDescent="0.25">
      <c r="L114" s="104"/>
    </row>
    <row r="115" spans="12:12" x14ac:dyDescent="0.25">
      <c r="L115" s="104"/>
    </row>
    <row r="116" spans="12:12" x14ac:dyDescent="0.25">
      <c r="L116" s="104"/>
    </row>
    <row r="117" spans="12:12" x14ac:dyDescent="0.25">
      <c r="L117" s="104"/>
    </row>
    <row r="118" spans="12:12" x14ac:dyDescent="0.25">
      <c r="L118" s="104"/>
    </row>
    <row r="119" spans="12:12" x14ac:dyDescent="0.25">
      <c r="L119" s="104"/>
    </row>
    <row r="120" spans="12:12" x14ac:dyDescent="0.25">
      <c r="L120" s="104"/>
    </row>
    <row r="121" spans="12:12" x14ac:dyDescent="0.25">
      <c r="L121" s="104"/>
    </row>
    <row r="122" spans="12:12" x14ac:dyDescent="0.25">
      <c r="L122" s="104"/>
    </row>
    <row r="123" spans="12:12" x14ac:dyDescent="0.25">
      <c r="L123" s="104"/>
    </row>
    <row r="124" spans="12:12" x14ac:dyDescent="0.25">
      <c r="L124" s="104"/>
    </row>
    <row r="125" spans="12:12" x14ac:dyDescent="0.25">
      <c r="L125" s="104"/>
    </row>
    <row r="126" spans="12:12" x14ac:dyDescent="0.25">
      <c r="L126" s="104"/>
    </row>
    <row r="127" spans="12:12" x14ac:dyDescent="0.25">
      <c r="L127" s="104"/>
    </row>
    <row r="128" spans="12:12" x14ac:dyDescent="0.25">
      <c r="L128" s="104"/>
    </row>
    <row r="129" spans="12:12" x14ac:dyDescent="0.25">
      <c r="L129" s="104"/>
    </row>
    <row r="130" spans="12:12" x14ac:dyDescent="0.25">
      <c r="L130" s="104"/>
    </row>
    <row r="131" spans="12:12" x14ac:dyDescent="0.25">
      <c r="L131" s="104"/>
    </row>
    <row r="132" spans="12:12" x14ac:dyDescent="0.25">
      <c r="L132" s="104"/>
    </row>
    <row r="133" spans="12:12" x14ac:dyDescent="0.25">
      <c r="L133" s="104"/>
    </row>
    <row r="134" spans="12:12" x14ac:dyDescent="0.25">
      <c r="L134" s="104"/>
    </row>
    <row r="135" spans="12:12" x14ac:dyDescent="0.25">
      <c r="L135" s="104"/>
    </row>
    <row r="136" spans="12:12" x14ac:dyDescent="0.25">
      <c r="L136" s="104"/>
    </row>
    <row r="137" spans="12:12" x14ac:dyDescent="0.25">
      <c r="L137" s="104"/>
    </row>
    <row r="138" spans="12:12" x14ac:dyDescent="0.25">
      <c r="L138" s="104"/>
    </row>
    <row r="139" spans="12:12" x14ac:dyDescent="0.25">
      <c r="L139" s="104"/>
    </row>
    <row r="140" spans="12:12" x14ac:dyDescent="0.25">
      <c r="L140" s="104"/>
    </row>
    <row r="141" spans="12:12" x14ac:dyDescent="0.25">
      <c r="L141" s="104"/>
    </row>
    <row r="142" spans="12:12" x14ac:dyDescent="0.25">
      <c r="L142" s="104"/>
    </row>
    <row r="143" spans="12:12" x14ac:dyDescent="0.25">
      <c r="L143" s="104"/>
    </row>
    <row r="144" spans="12:12" x14ac:dyDescent="0.25">
      <c r="L144" s="104"/>
    </row>
    <row r="145" spans="12:12" x14ac:dyDescent="0.25">
      <c r="L145" s="104"/>
    </row>
    <row r="146" spans="12:12" x14ac:dyDescent="0.25">
      <c r="L146" s="104"/>
    </row>
    <row r="147" spans="12:12" x14ac:dyDescent="0.25">
      <c r="L147" s="104"/>
    </row>
    <row r="148" spans="12:12" x14ac:dyDescent="0.25">
      <c r="L148" s="104"/>
    </row>
    <row r="149" spans="12:12" x14ac:dyDescent="0.25">
      <c r="L149" s="104"/>
    </row>
    <row r="150" spans="12:12" x14ac:dyDescent="0.25">
      <c r="L150" s="104"/>
    </row>
    <row r="151" spans="12:12" x14ac:dyDescent="0.25">
      <c r="L151" s="104"/>
    </row>
    <row r="152" spans="12:12" x14ac:dyDescent="0.25">
      <c r="L152" s="104"/>
    </row>
    <row r="153" spans="12:12" x14ac:dyDescent="0.25">
      <c r="L153" s="104"/>
    </row>
    <row r="154" spans="12:12" x14ac:dyDescent="0.25">
      <c r="L154" s="104"/>
    </row>
    <row r="155" spans="12:12" x14ac:dyDescent="0.25">
      <c r="L155" s="104"/>
    </row>
    <row r="156" spans="12:12" x14ac:dyDescent="0.25">
      <c r="L156" s="104"/>
    </row>
    <row r="157" spans="12:12" x14ac:dyDescent="0.25">
      <c r="L157" s="104"/>
    </row>
    <row r="158" spans="12:12" x14ac:dyDescent="0.25">
      <c r="L158" s="104"/>
    </row>
    <row r="159" spans="12:12" x14ac:dyDescent="0.25">
      <c r="L159" s="104"/>
    </row>
    <row r="160" spans="12:12" x14ac:dyDescent="0.25">
      <c r="L160" s="104"/>
    </row>
    <row r="161" spans="12:12" x14ac:dyDescent="0.25">
      <c r="L161" s="104"/>
    </row>
    <row r="162" spans="12:12" x14ac:dyDescent="0.25">
      <c r="L162" s="104"/>
    </row>
    <row r="163" spans="12:12" x14ac:dyDescent="0.25">
      <c r="L163" s="104"/>
    </row>
    <row r="164" spans="12:12" x14ac:dyDescent="0.25">
      <c r="L164" s="104"/>
    </row>
    <row r="165" spans="12:12" x14ac:dyDescent="0.25">
      <c r="L165" s="104"/>
    </row>
    <row r="166" spans="12:12" x14ac:dyDescent="0.25">
      <c r="L166" s="104"/>
    </row>
    <row r="167" spans="12:12" x14ac:dyDescent="0.25">
      <c r="L167" s="104"/>
    </row>
    <row r="168" spans="12:12" x14ac:dyDescent="0.25">
      <c r="L168" s="104"/>
    </row>
    <row r="169" spans="12:12" x14ac:dyDescent="0.25">
      <c r="L169" s="104"/>
    </row>
    <row r="170" spans="12:12" x14ac:dyDescent="0.25">
      <c r="L170" s="104"/>
    </row>
    <row r="171" spans="12:12" x14ac:dyDescent="0.25">
      <c r="L171" s="104"/>
    </row>
    <row r="172" spans="12:12" x14ac:dyDescent="0.25">
      <c r="L172" s="104"/>
    </row>
    <row r="173" spans="12:12" x14ac:dyDescent="0.25">
      <c r="L173" s="104"/>
    </row>
    <row r="174" spans="12:12" x14ac:dyDescent="0.25">
      <c r="L174" s="104"/>
    </row>
    <row r="175" spans="12:12" x14ac:dyDescent="0.25">
      <c r="L175" s="104"/>
    </row>
    <row r="176" spans="12:12" x14ac:dyDescent="0.25">
      <c r="L176" s="104"/>
    </row>
    <row r="177" spans="12:12" x14ac:dyDescent="0.25">
      <c r="L177" s="104"/>
    </row>
    <row r="178" spans="12:12" x14ac:dyDescent="0.25">
      <c r="L178" s="104"/>
    </row>
    <row r="179" spans="12:12" x14ac:dyDescent="0.25">
      <c r="L179" s="104"/>
    </row>
    <row r="180" spans="12:12" x14ac:dyDescent="0.25">
      <c r="L180" s="104"/>
    </row>
    <row r="181" spans="12:12" x14ac:dyDescent="0.25">
      <c r="L181" s="104"/>
    </row>
    <row r="182" spans="12:12" x14ac:dyDescent="0.25">
      <c r="L182" s="104"/>
    </row>
    <row r="183" spans="12:12" x14ac:dyDescent="0.25">
      <c r="L183" s="104"/>
    </row>
    <row r="184" spans="12:12" x14ac:dyDescent="0.25">
      <c r="L184" s="104"/>
    </row>
    <row r="185" spans="12:12" x14ac:dyDescent="0.25">
      <c r="L185" s="104"/>
    </row>
    <row r="186" spans="12:12" x14ac:dyDescent="0.25">
      <c r="L186" s="104"/>
    </row>
    <row r="187" spans="12:12" x14ac:dyDescent="0.25">
      <c r="L187" s="104"/>
    </row>
    <row r="188" spans="12:12" x14ac:dyDescent="0.25">
      <c r="L188" s="104"/>
    </row>
    <row r="189" spans="12:12" x14ac:dyDescent="0.25">
      <c r="L189" s="104"/>
    </row>
    <row r="190" spans="12:12" x14ac:dyDescent="0.25">
      <c r="L190" s="104"/>
    </row>
    <row r="191" spans="12:12" x14ac:dyDescent="0.25">
      <c r="L191" s="104"/>
    </row>
    <row r="192" spans="12:12" x14ac:dyDescent="0.25">
      <c r="L192" s="104"/>
    </row>
    <row r="193" spans="12:12" x14ac:dyDescent="0.25">
      <c r="L193" s="104"/>
    </row>
    <row r="194" spans="12:12" x14ac:dyDescent="0.25">
      <c r="L194" s="104"/>
    </row>
    <row r="195" spans="12:12" x14ac:dyDescent="0.25">
      <c r="L195" s="104"/>
    </row>
    <row r="196" spans="12:12" x14ac:dyDescent="0.25">
      <c r="L196" s="104"/>
    </row>
    <row r="197" spans="12:12" x14ac:dyDescent="0.25">
      <c r="L197" s="104"/>
    </row>
    <row r="198" spans="12:12" x14ac:dyDescent="0.25">
      <c r="L198" s="104"/>
    </row>
    <row r="199" spans="12:12" x14ac:dyDescent="0.25">
      <c r="L199" s="104"/>
    </row>
    <row r="200" spans="12:12" x14ac:dyDescent="0.25">
      <c r="L200" s="104"/>
    </row>
    <row r="201" spans="12:12" x14ac:dyDescent="0.25">
      <c r="L201" s="104"/>
    </row>
    <row r="202" spans="12:12" x14ac:dyDescent="0.25">
      <c r="L202" s="104"/>
    </row>
    <row r="203" spans="12:12" x14ac:dyDescent="0.25">
      <c r="L203" s="104"/>
    </row>
    <row r="204" spans="12:12" x14ac:dyDescent="0.25">
      <c r="L204" s="104"/>
    </row>
    <row r="205" spans="12:12" x14ac:dyDescent="0.25">
      <c r="L205" s="104"/>
    </row>
    <row r="206" spans="12:12" x14ac:dyDescent="0.25">
      <c r="L206" s="104"/>
    </row>
    <row r="207" spans="12:12" x14ac:dyDescent="0.25">
      <c r="L207" s="104"/>
    </row>
    <row r="208" spans="12:12" x14ac:dyDescent="0.25">
      <c r="L208" s="104"/>
    </row>
    <row r="209" spans="12:12" x14ac:dyDescent="0.25">
      <c r="L209" s="104"/>
    </row>
    <row r="210" spans="12:12" x14ac:dyDescent="0.25">
      <c r="L210" s="104"/>
    </row>
    <row r="211" spans="12:12" x14ac:dyDescent="0.25">
      <c r="L211" s="104"/>
    </row>
    <row r="212" spans="12:12" x14ac:dyDescent="0.25">
      <c r="L212" s="104"/>
    </row>
    <row r="213" spans="12:12" x14ac:dyDescent="0.25">
      <c r="L213" s="104"/>
    </row>
    <row r="214" spans="12:12" x14ac:dyDescent="0.25">
      <c r="L214" s="104"/>
    </row>
    <row r="215" spans="12:12" x14ac:dyDescent="0.25">
      <c r="L215" s="104"/>
    </row>
    <row r="216" spans="12:12" x14ac:dyDescent="0.25">
      <c r="L216" s="104"/>
    </row>
    <row r="217" spans="12:12" x14ac:dyDescent="0.25">
      <c r="L217" s="104"/>
    </row>
    <row r="218" spans="12:12" x14ac:dyDescent="0.25">
      <c r="L218" s="104"/>
    </row>
    <row r="219" spans="12:12" x14ac:dyDescent="0.25">
      <c r="L219" s="104"/>
    </row>
    <row r="220" spans="12:12" x14ac:dyDescent="0.25">
      <c r="L220" s="104"/>
    </row>
    <row r="221" spans="12:12" x14ac:dyDescent="0.25">
      <c r="L221" s="104"/>
    </row>
    <row r="222" spans="12:12" x14ac:dyDescent="0.25">
      <c r="L222" s="104"/>
    </row>
    <row r="223" spans="12:12" x14ac:dyDescent="0.25">
      <c r="L223" s="104"/>
    </row>
    <row r="224" spans="12:12" x14ac:dyDescent="0.25">
      <c r="L224" s="104"/>
    </row>
    <row r="225" spans="12:12" x14ac:dyDescent="0.25">
      <c r="L225" s="104"/>
    </row>
    <row r="226" spans="12:12" x14ac:dyDescent="0.25">
      <c r="L226" s="104"/>
    </row>
    <row r="227" spans="12:12" x14ac:dyDescent="0.25">
      <c r="L227" s="104"/>
    </row>
    <row r="228" spans="12:12" x14ac:dyDescent="0.25">
      <c r="L228" s="104"/>
    </row>
    <row r="229" spans="12:12" x14ac:dyDescent="0.25">
      <c r="L229" s="104"/>
    </row>
    <row r="230" spans="12:12" x14ac:dyDescent="0.25">
      <c r="L230" s="104"/>
    </row>
    <row r="231" spans="12:12" x14ac:dyDescent="0.25">
      <c r="L231" s="104"/>
    </row>
    <row r="232" spans="12:12" x14ac:dyDescent="0.25">
      <c r="L232" s="104"/>
    </row>
    <row r="233" spans="12:12" x14ac:dyDescent="0.25">
      <c r="L233" s="104"/>
    </row>
    <row r="234" spans="12:12" x14ac:dyDescent="0.25">
      <c r="L234" s="104"/>
    </row>
    <row r="235" spans="12:12" x14ac:dyDescent="0.25">
      <c r="L235" s="104"/>
    </row>
    <row r="236" spans="12:12" x14ac:dyDescent="0.25">
      <c r="L236" s="104"/>
    </row>
    <row r="237" spans="12:12" x14ac:dyDescent="0.25">
      <c r="L237" s="104"/>
    </row>
    <row r="238" spans="12:12" x14ac:dyDescent="0.25">
      <c r="L238" s="104"/>
    </row>
    <row r="239" spans="12:12" x14ac:dyDescent="0.25">
      <c r="L239" s="104"/>
    </row>
    <row r="240" spans="12:12" x14ac:dyDescent="0.25">
      <c r="L240" s="104"/>
    </row>
    <row r="241" spans="12:12" x14ac:dyDescent="0.25">
      <c r="L241" s="104"/>
    </row>
    <row r="242" spans="12:12" x14ac:dyDescent="0.25">
      <c r="L242" s="104"/>
    </row>
    <row r="243" spans="12:12" x14ac:dyDescent="0.25">
      <c r="L243" s="104"/>
    </row>
    <row r="244" spans="12:12" x14ac:dyDescent="0.25">
      <c r="L244" s="104"/>
    </row>
    <row r="245" spans="12:12" x14ac:dyDescent="0.25">
      <c r="L245" s="104"/>
    </row>
    <row r="246" spans="12:12" x14ac:dyDescent="0.25">
      <c r="L246" s="104"/>
    </row>
    <row r="247" spans="12:12" x14ac:dyDescent="0.25">
      <c r="L247" s="104"/>
    </row>
    <row r="248" spans="12:12" x14ac:dyDescent="0.25">
      <c r="L248" s="104"/>
    </row>
    <row r="249" spans="12:12" x14ac:dyDescent="0.25">
      <c r="L249" s="104"/>
    </row>
    <row r="250" spans="12:12" x14ac:dyDescent="0.25">
      <c r="L250" s="104"/>
    </row>
    <row r="251" spans="12:12" x14ac:dyDescent="0.25">
      <c r="L251" s="104"/>
    </row>
    <row r="252" spans="12:12" x14ac:dyDescent="0.25">
      <c r="L252" s="104"/>
    </row>
    <row r="253" spans="12:12" x14ac:dyDescent="0.25">
      <c r="L253" s="104"/>
    </row>
    <row r="254" spans="12:12" x14ac:dyDescent="0.25">
      <c r="L254" s="104"/>
    </row>
    <row r="255" spans="12:12" x14ac:dyDescent="0.25">
      <c r="L255" s="104"/>
    </row>
  </sheetData>
  <conditionalFormatting sqref="T17 AJ17 R17 AB17 Y17:Z17 AM17:AQ17 AM29:AP36">
    <cfRule type="expression" dxfId="52" priority="52">
      <formula>$L17="API sand"</formula>
    </cfRule>
  </conditionalFormatting>
  <conditionalFormatting sqref="R29:S36 AB29:AB35 AK17:AL17">
    <cfRule type="expression" dxfId="51" priority="51">
      <formula>$M17="API sand"</formula>
    </cfRule>
  </conditionalFormatting>
  <conditionalFormatting sqref="R29:T36 AB29:AB35 AK17:AL17">
    <cfRule type="expression" dxfId="50" priority="50">
      <formula>$M17="API clay"</formula>
    </cfRule>
  </conditionalFormatting>
  <conditionalFormatting sqref="U29:W36 AA17 AE17:AI17 V17 AM17:AP17 AM29:AP36">
    <cfRule type="expression" dxfId="49" priority="47">
      <formula>$L17="Stiff clay w/o free water"</formula>
    </cfRule>
    <cfRule type="expression" dxfId="48" priority="49">
      <formula>$L17="API clay"</formula>
    </cfRule>
  </conditionalFormatting>
  <conditionalFormatting sqref="U29:Y36 AA17 AE17:AI17 V17 AM17:AP17 AM29:AP36">
    <cfRule type="expression" dxfId="47" priority="48">
      <formula>$L17="Kirsch soft clay"</formula>
    </cfRule>
  </conditionalFormatting>
  <conditionalFormatting sqref="U29:Y36 AA17 AE17:AI17 V17 AM17:AP17 AM29:AP36">
    <cfRule type="expression" dxfId="46" priority="46">
      <formula>$L17="Kirsch stiff clay"</formula>
    </cfRule>
  </conditionalFormatting>
  <conditionalFormatting sqref="T17 AJ17 R17 AB17 Y17:Z17 AM17:AQ17 AM29:AP36">
    <cfRule type="expression" dxfId="45" priority="45">
      <formula>$L17="Kirsch sand"</formula>
    </cfRule>
  </conditionalFormatting>
  <conditionalFormatting sqref="AM17:AP17 AM29:AP36">
    <cfRule type="expression" dxfId="44" priority="44">
      <formula>$L17="Modified Weak rock"</formula>
    </cfRule>
  </conditionalFormatting>
  <conditionalFormatting sqref="U29:V36 AA17 AE17:AI17 V17 AM17:AP17 AM29:AP36">
    <cfRule type="expression" dxfId="43" priority="43">
      <formula>$L17="Reese stiff clay"</formula>
    </cfRule>
  </conditionalFormatting>
  <conditionalFormatting sqref="N30:N36 Q29:Q36">
    <cfRule type="expression" dxfId="42" priority="42">
      <formula>$L29="API sand"</formula>
    </cfRule>
  </conditionalFormatting>
  <conditionalFormatting sqref="N30:N36 AB36 AJ29:AL36 Z29:Z36">
    <cfRule type="expression" dxfId="41" priority="41">
      <formula>$M29="API sand"</formula>
    </cfRule>
  </conditionalFormatting>
  <conditionalFormatting sqref="Z36:AB36 AK29:AL36 N30:N36 Z29:AA35">
    <cfRule type="expression" dxfId="40" priority="40">
      <formula>$M29="API clay"</formula>
    </cfRule>
  </conditionalFormatting>
  <conditionalFormatting sqref="N30:P36 O29:P29">
    <cfRule type="expression" dxfId="39" priority="37">
      <formula>$L29="Stiff clay w/o free water"</formula>
    </cfRule>
    <cfRule type="expression" dxfId="38" priority="39">
      <formula>$L29="API clay"</formula>
    </cfRule>
  </conditionalFormatting>
  <conditionalFormatting sqref="N30:P36 O29:P29">
    <cfRule type="expression" dxfId="37" priority="38">
      <formula>$L29="Kirsch soft clay"</formula>
    </cfRule>
  </conditionalFormatting>
  <conditionalFormatting sqref="N30:P36 O29:P29">
    <cfRule type="expression" dxfId="36" priority="36">
      <formula>$L29="Kirsch stiff clay"</formula>
    </cfRule>
  </conditionalFormatting>
  <conditionalFormatting sqref="N30:N36 Q29:Q36 X29:Y36">
    <cfRule type="expression" dxfId="35" priority="35">
      <formula>$L29="Kirsch sand"</formula>
    </cfRule>
  </conditionalFormatting>
  <conditionalFormatting sqref="N30:N36 AC29:AD36 AI29:AI36">
    <cfRule type="expression" dxfId="34" priority="34">
      <formula>$L29="Modified Weak rock"</formula>
    </cfRule>
  </conditionalFormatting>
  <conditionalFormatting sqref="N30:P36 O29:P29">
    <cfRule type="expression" dxfId="33" priority="33">
      <formula>$L29="Reese stiff clay"</formula>
    </cfRule>
  </conditionalFormatting>
  <conditionalFormatting sqref="AA17 AE17:AI17 V17 AM17:AP17">
    <cfRule type="expression" dxfId="32" priority="32">
      <formula>$L17="PISA clay"</formula>
    </cfRule>
  </conditionalFormatting>
  <conditionalFormatting sqref="AM17:AP17">
    <cfRule type="expression" dxfId="31" priority="31">
      <formula>$L17="PISA sand"</formula>
    </cfRule>
  </conditionalFormatting>
  <conditionalFormatting sqref="AE37:AH37">
    <cfRule type="expression" dxfId="30" priority="53">
      <formula>$L19="Modified Weak rock"</formula>
    </cfRule>
  </conditionalFormatting>
  <conditionalFormatting sqref="Q17 S17 W17">
    <cfRule type="expression" dxfId="29" priority="30">
      <formula>$L17="API sand"</formula>
    </cfRule>
  </conditionalFormatting>
  <conditionalFormatting sqref="O17:P17">
    <cfRule type="expression" dxfId="28" priority="27">
      <formula>$L17="Stiff clay w/o free water"</formula>
    </cfRule>
    <cfRule type="expression" dxfId="27" priority="29">
      <formula>$L17="API clay"</formula>
    </cfRule>
  </conditionalFormatting>
  <conditionalFormatting sqref="O17:P17">
    <cfRule type="expression" dxfId="26" priority="28">
      <formula>$L17="Kirsch soft clay"</formula>
    </cfRule>
  </conditionalFormatting>
  <conditionalFormatting sqref="O17:P17">
    <cfRule type="expression" dxfId="25" priority="26">
      <formula>$L17="Kirsch stiff clay"</formula>
    </cfRule>
  </conditionalFormatting>
  <conditionalFormatting sqref="Q17 S17 W17">
    <cfRule type="expression" dxfId="24" priority="25">
      <formula>$L17="Kirsch sand"</formula>
    </cfRule>
  </conditionalFormatting>
  <conditionalFormatting sqref="O17:P17">
    <cfRule type="expression" dxfId="23" priority="24">
      <formula>$L17="Reese stiff clay"</formula>
    </cfRule>
  </conditionalFormatting>
  <conditionalFormatting sqref="O17:P17">
    <cfRule type="expression" dxfId="22" priority="23">
      <formula>$L17="PISA clay"</formula>
    </cfRule>
  </conditionalFormatting>
  <conditionalFormatting sqref="AD17">
    <cfRule type="expression" dxfId="21" priority="20">
      <formula>$L17="Stiff clay w/o free water"</formula>
    </cfRule>
    <cfRule type="expression" dxfId="20" priority="22">
      <formula>$L17="API clay"</formula>
    </cfRule>
  </conditionalFormatting>
  <conditionalFormatting sqref="AD17">
    <cfRule type="expression" dxfId="19" priority="21">
      <formula>$L17="Kirsch soft clay"</formula>
    </cfRule>
  </conditionalFormatting>
  <conditionalFormatting sqref="AD17">
    <cfRule type="expression" dxfId="18" priority="19">
      <formula>$L17="Kirsch stiff clay"</formula>
    </cfRule>
  </conditionalFormatting>
  <conditionalFormatting sqref="AD17">
    <cfRule type="expression" dxfId="17" priority="18">
      <formula>$L17="Reese stiff clay"</formula>
    </cfRule>
  </conditionalFormatting>
  <conditionalFormatting sqref="AD17">
    <cfRule type="expression" dxfId="16" priority="17">
      <formula>$L17="PISA clay"</formula>
    </cfRule>
  </conditionalFormatting>
  <conditionalFormatting sqref="AC17">
    <cfRule type="expression" dxfId="15" priority="14">
      <formula>$L17="Stiff clay w/o free water"</formula>
    </cfRule>
    <cfRule type="expression" dxfId="14" priority="16">
      <formula>$L17="API clay"</formula>
    </cfRule>
  </conditionalFormatting>
  <conditionalFormatting sqref="AC17">
    <cfRule type="expression" dxfId="13" priority="15">
      <formula>$L17="Kirsch soft clay"</formula>
    </cfRule>
  </conditionalFormatting>
  <conditionalFormatting sqref="AC17">
    <cfRule type="expression" dxfId="12" priority="13">
      <formula>$L17="Kirsch stiff clay"</formula>
    </cfRule>
  </conditionalFormatting>
  <conditionalFormatting sqref="AC17">
    <cfRule type="expression" dxfId="11" priority="12">
      <formula>$L17="Reese stiff clay"</formula>
    </cfRule>
  </conditionalFormatting>
  <conditionalFormatting sqref="AC17">
    <cfRule type="expression" dxfId="10" priority="11">
      <formula>$L17="PISA clay"</formula>
    </cfRule>
  </conditionalFormatting>
  <conditionalFormatting sqref="X17">
    <cfRule type="expression" dxfId="9" priority="10">
      <formula>$L17="API sand"</formula>
    </cfRule>
  </conditionalFormatting>
  <conditionalFormatting sqref="X17">
    <cfRule type="expression" dxfId="8" priority="9">
      <formula>$L17="Kirsch sand"</formula>
    </cfRule>
  </conditionalFormatting>
  <conditionalFormatting sqref="U17">
    <cfRule type="expression" dxfId="7" priority="6">
      <formula>$L17="Stiff clay w/o free water"</formula>
    </cfRule>
    <cfRule type="expression" dxfId="6" priority="8">
      <formula>$L17="API clay"</formula>
    </cfRule>
  </conditionalFormatting>
  <conditionalFormatting sqref="U17">
    <cfRule type="expression" dxfId="5" priority="7">
      <formula>$L17="Kirsch soft clay"</formula>
    </cfRule>
  </conditionalFormatting>
  <conditionalFormatting sqref="U17">
    <cfRule type="expression" dxfId="4" priority="5">
      <formula>$L17="Kirsch stiff clay"</formula>
    </cfRule>
  </conditionalFormatting>
  <conditionalFormatting sqref="U17">
    <cfRule type="expression" dxfId="3" priority="4">
      <formula>$L17="Reese stiff clay"</formula>
    </cfRule>
  </conditionalFormatting>
  <conditionalFormatting sqref="U17">
    <cfRule type="expression" dxfId="2" priority="3">
      <formula>$L17="PISA clay"</formula>
    </cfRule>
  </conditionalFormatting>
  <conditionalFormatting sqref="AR17">
    <cfRule type="expression" dxfId="1" priority="2">
      <formula>$L17="API sand"</formula>
    </cfRule>
  </conditionalFormatting>
  <conditionalFormatting sqref="AR17">
    <cfRule type="expression" dxfId="0" priority="1">
      <formula>$L17="Kirsch sand"</formula>
    </cfRule>
  </conditionalFormatting>
  <dataValidations count="3">
    <dataValidation type="list" showInputMessage="1" showErrorMessage="1" sqref="M18:M36" xr:uid="{0E050491-033A-459E-A264-6067247925EA}">
      <formula1>"',API sand,API clay"</formula1>
    </dataValidation>
    <dataValidation type="list" showInputMessage="1" showErrorMessage="1" sqref="L19:L255" xr:uid="{F8578E76-CA00-4159-B4E4-9CEA79A33BD9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6:M17" xr:uid="{E20D3C3C-A18D-43C1-A1F2-31DD14FC86D6}">
      <formula1>"Zero soil,API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34C3E-4205-4CEA-A98E-977F15C65C34}">
  <sheetPr codeName="Sheet4"/>
  <dimension ref="B2:D8"/>
  <sheetViews>
    <sheetView workbookViewId="0">
      <selection activeCell="L22" sqref="L22"/>
    </sheetView>
  </sheetViews>
  <sheetFormatPr defaultRowHeight="15" x14ac:dyDescent="0.25"/>
  <sheetData>
    <row r="2" spans="2:4" x14ac:dyDescent="0.25">
      <c r="B2" s="52" t="s">
        <v>120</v>
      </c>
      <c r="C2" s="52" t="s">
        <v>434</v>
      </c>
      <c r="D2" s="52" t="s">
        <v>121</v>
      </c>
    </row>
    <row r="3" spans="2:4" x14ac:dyDescent="0.25">
      <c r="B3" s="2" t="s">
        <v>185</v>
      </c>
      <c r="C3" s="43" t="s">
        <v>81</v>
      </c>
      <c r="D3" s="46" t="s">
        <v>122</v>
      </c>
    </row>
    <row r="4" spans="2:4" x14ac:dyDescent="0.25">
      <c r="B4" s="2" t="s">
        <v>186</v>
      </c>
      <c r="C4" s="43" t="s">
        <v>187</v>
      </c>
      <c r="D4" s="46" t="s">
        <v>189</v>
      </c>
    </row>
    <row r="5" spans="2:4" x14ac:dyDescent="0.25">
      <c r="B5" s="45" t="s">
        <v>188</v>
      </c>
      <c r="C5" s="2"/>
      <c r="D5" s="46" t="s">
        <v>190</v>
      </c>
    </row>
    <row r="6" spans="2:4" x14ac:dyDescent="0.25">
      <c r="B6" s="2"/>
      <c r="C6" s="2"/>
      <c r="D6" s="46" t="s">
        <v>191</v>
      </c>
    </row>
    <row r="7" spans="2:4" x14ac:dyDescent="0.25">
      <c r="B7" s="2"/>
    </row>
    <row r="8" spans="2:4" x14ac:dyDescent="0.25">
      <c r="B8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4F15E-3320-4E9D-893F-25E4AB4B300F}">
  <sheetPr codeName="Sheet54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3.42578125" style="2" customWidth="1"/>
    <col min="7" max="7" width="3.5703125" style="2" customWidth="1"/>
    <col min="8" max="8" width="20.42578125" style="2" customWidth="1"/>
    <col min="9" max="16384" width="9.140625" style="2"/>
  </cols>
  <sheetData>
    <row r="1" spans="1:13" ht="12" thickBot="1" x14ac:dyDescent="0.2">
      <c r="A1" s="136"/>
      <c r="B1" s="137"/>
      <c r="C1" s="99">
        <v>0</v>
      </c>
      <c r="D1" s="100">
        <v>1</v>
      </c>
      <c r="E1" s="101">
        <v>2</v>
      </c>
      <c r="F1" s="39"/>
      <c r="H1" s="136"/>
      <c r="I1" s="137"/>
      <c r="J1" s="99">
        <v>0</v>
      </c>
      <c r="K1" s="100">
        <v>1</v>
      </c>
      <c r="L1" s="101">
        <v>2</v>
      </c>
      <c r="M1" s="39"/>
    </row>
    <row r="2" spans="1:13" ht="12" thickBot="1" x14ac:dyDescent="0.2">
      <c r="A2" s="138"/>
      <c r="B2" s="139"/>
      <c r="C2" s="37" t="s">
        <v>75</v>
      </c>
      <c r="D2" s="98" t="s">
        <v>75</v>
      </c>
      <c r="E2" s="97" t="s">
        <v>75</v>
      </c>
      <c r="H2" s="138"/>
      <c r="I2" s="139"/>
      <c r="J2" s="37" t="s">
        <v>76</v>
      </c>
      <c r="K2" s="98" t="s">
        <v>76</v>
      </c>
      <c r="L2" s="97" t="s">
        <v>76</v>
      </c>
    </row>
    <row r="3" spans="1:13" x14ac:dyDescent="0.15">
      <c r="A3" s="132" t="s">
        <v>179</v>
      </c>
      <c r="B3" s="87" t="s">
        <v>84</v>
      </c>
      <c r="C3" s="88">
        <v>30</v>
      </c>
      <c r="D3" s="88">
        <f>-40/1</f>
        <v>-40</v>
      </c>
      <c r="E3" s="89">
        <v>-5555</v>
      </c>
      <c r="H3" s="132" t="s">
        <v>179</v>
      </c>
      <c r="I3" s="87" t="s">
        <v>84</v>
      </c>
      <c r="J3" s="88">
        <v>700</v>
      </c>
      <c r="K3" s="88">
        <v>0</v>
      </c>
      <c r="L3" s="89">
        <v>-5555</v>
      </c>
    </row>
    <row r="4" spans="1:13" x14ac:dyDescent="0.15">
      <c r="A4" s="133"/>
      <c r="B4" s="38" t="s">
        <v>137</v>
      </c>
      <c r="C4" s="90">
        <v>-5555</v>
      </c>
      <c r="D4" s="90">
        <v>30</v>
      </c>
      <c r="E4" s="91">
        <v>-5555</v>
      </c>
      <c r="H4" s="133"/>
      <c r="I4" s="38" t="s">
        <v>137</v>
      </c>
      <c r="J4" s="90">
        <v>-5555</v>
      </c>
      <c r="K4" s="90">
        <v>200</v>
      </c>
      <c r="L4" s="91">
        <v>-5555</v>
      </c>
    </row>
    <row r="5" spans="1:13" x14ac:dyDescent="0.15">
      <c r="A5" s="133"/>
      <c r="B5" s="38" t="s">
        <v>138</v>
      </c>
      <c r="C5" s="90">
        <v>-5555</v>
      </c>
      <c r="D5" s="92">
        <v>-5555</v>
      </c>
      <c r="E5" s="91">
        <v>-5555</v>
      </c>
      <c r="H5" s="133"/>
      <c r="I5" s="38" t="s">
        <v>138</v>
      </c>
      <c r="J5" s="90">
        <v>-5555</v>
      </c>
      <c r="K5" s="92">
        <v>-5555</v>
      </c>
      <c r="L5" s="91">
        <v>-5555</v>
      </c>
    </row>
    <row r="6" spans="1:13" x14ac:dyDescent="0.15">
      <c r="A6" s="133"/>
      <c r="B6" s="38" t="s">
        <v>139</v>
      </c>
      <c r="C6" s="90">
        <v>3</v>
      </c>
      <c r="D6" s="90">
        <v>-120</v>
      </c>
      <c r="E6" s="91">
        <v>7.2110000000000003</v>
      </c>
      <c r="H6" s="133"/>
      <c r="I6" s="38" t="s">
        <v>139</v>
      </c>
      <c r="J6" s="90">
        <v>15</v>
      </c>
      <c r="K6" s="90">
        <v>300</v>
      </c>
      <c r="L6" s="91">
        <v>15.832000000000001</v>
      </c>
    </row>
    <row r="7" spans="1:13" x14ac:dyDescent="0.15">
      <c r="A7" s="133"/>
      <c r="B7" s="38" t="s">
        <v>85</v>
      </c>
      <c r="C7" s="90">
        <v>-5555</v>
      </c>
      <c r="D7" s="90">
        <v>1</v>
      </c>
      <c r="E7" s="91">
        <v>-11.798</v>
      </c>
      <c r="H7" s="133"/>
      <c r="I7" s="38" t="s">
        <v>85</v>
      </c>
      <c r="J7" s="90">
        <v>-5555</v>
      </c>
      <c r="K7" s="90">
        <v>120</v>
      </c>
      <c r="L7" s="91">
        <v>-4.0789999999999997</v>
      </c>
    </row>
    <row r="8" spans="1:13" x14ac:dyDescent="0.15">
      <c r="A8" s="133"/>
      <c r="B8" s="38" t="s">
        <v>87</v>
      </c>
      <c r="C8" s="90">
        <v>-5555</v>
      </c>
      <c r="D8" s="92">
        <v>-5555</v>
      </c>
      <c r="E8" s="91">
        <v>-2.44</v>
      </c>
      <c r="H8" s="133"/>
      <c r="I8" s="38" t="s">
        <v>87</v>
      </c>
      <c r="J8" s="90">
        <v>-5555</v>
      </c>
      <c r="K8" s="92">
        <v>-5555</v>
      </c>
      <c r="L8" s="91">
        <v>-0.161</v>
      </c>
    </row>
    <row r="9" spans="1:13" x14ac:dyDescent="0.15">
      <c r="A9" s="133"/>
      <c r="B9" s="38" t="s">
        <v>86</v>
      </c>
      <c r="C9" s="90">
        <v>0.1</v>
      </c>
      <c r="D9" s="90">
        <v>-35</v>
      </c>
      <c r="E9" s="91">
        <v>-5555</v>
      </c>
      <c r="H9" s="133"/>
      <c r="I9" s="38" t="s">
        <v>86</v>
      </c>
      <c r="J9" s="90">
        <v>12</v>
      </c>
      <c r="K9" s="90">
        <v>50</v>
      </c>
      <c r="L9" s="91">
        <v>-5555</v>
      </c>
    </row>
    <row r="10" spans="1:13" x14ac:dyDescent="0.15">
      <c r="A10" s="133"/>
      <c r="B10" s="38" t="s">
        <v>140</v>
      </c>
      <c r="C10" s="90">
        <v>-5555</v>
      </c>
      <c r="D10" s="90">
        <v>0.2</v>
      </c>
      <c r="E10" s="91">
        <v>-5555</v>
      </c>
      <c r="H10" s="133"/>
      <c r="I10" s="38" t="s">
        <v>140</v>
      </c>
      <c r="J10" s="90">
        <v>-5555</v>
      </c>
      <c r="K10" s="90">
        <v>50</v>
      </c>
      <c r="L10" s="91">
        <v>-5555</v>
      </c>
    </row>
    <row r="11" spans="1:13" x14ac:dyDescent="0.15">
      <c r="A11" s="133"/>
      <c r="B11" s="38" t="s">
        <v>141</v>
      </c>
      <c r="C11" s="90">
        <v>-5555</v>
      </c>
      <c r="D11" s="92">
        <v>-5555</v>
      </c>
      <c r="E11" s="91">
        <v>-5555</v>
      </c>
      <c r="H11" s="133"/>
      <c r="I11" s="38" t="s">
        <v>141</v>
      </c>
      <c r="J11" s="90">
        <v>-5555</v>
      </c>
      <c r="K11" s="92">
        <v>-5555</v>
      </c>
      <c r="L11" s="91">
        <v>-5555</v>
      </c>
    </row>
    <row r="12" spans="1:13" x14ac:dyDescent="0.15">
      <c r="A12" s="133"/>
      <c r="B12" s="38" t="s">
        <v>142</v>
      </c>
      <c r="C12" s="90">
        <v>0</v>
      </c>
      <c r="D12" s="90">
        <v>-1.5</v>
      </c>
      <c r="E12" s="91">
        <v>-5555</v>
      </c>
      <c r="H12" s="133"/>
      <c r="I12" s="38" t="s">
        <v>142</v>
      </c>
      <c r="J12" s="90">
        <v>1</v>
      </c>
      <c r="K12" s="90">
        <v>0</v>
      </c>
      <c r="L12" s="91">
        <v>-5555</v>
      </c>
    </row>
    <row r="13" spans="1:13" x14ac:dyDescent="0.15">
      <c r="A13" s="133"/>
      <c r="B13" s="38" t="s">
        <v>143</v>
      </c>
      <c r="C13" s="90">
        <v>-5555</v>
      </c>
      <c r="D13" s="90">
        <v>0</v>
      </c>
      <c r="E13" s="91">
        <v>-5555</v>
      </c>
      <c r="H13" s="133"/>
      <c r="I13" s="38" t="s">
        <v>143</v>
      </c>
      <c r="J13" s="90">
        <v>-5555</v>
      </c>
      <c r="K13" s="90">
        <v>1</v>
      </c>
      <c r="L13" s="91">
        <v>-5555</v>
      </c>
    </row>
    <row r="14" spans="1:13" ht="12" thickBot="1" x14ac:dyDescent="0.2">
      <c r="A14" s="134"/>
      <c r="B14" s="93" t="s">
        <v>144</v>
      </c>
      <c r="C14" s="94">
        <v>-5555</v>
      </c>
      <c r="D14" s="95">
        <v>-5555</v>
      </c>
      <c r="E14" s="96">
        <v>-5555</v>
      </c>
      <c r="H14" s="134"/>
      <c r="I14" s="93" t="s">
        <v>144</v>
      </c>
      <c r="J14" s="94">
        <v>-5555</v>
      </c>
      <c r="K14" s="95">
        <v>-5555</v>
      </c>
      <c r="L14" s="96">
        <v>-5555</v>
      </c>
    </row>
    <row r="15" spans="1:13" x14ac:dyDescent="0.15">
      <c r="A15" s="135" t="s">
        <v>180</v>
      </c>
      <c r="B15" s="87" t="s">
        <v>88</v>
      </c>
      <c r="C15" s="88">
        <v>5</v>
      </c>
      <c r="D15" s="88">
        <v>-10</v>
      </c>
      <c r="E15" s="89">
        <v>-5555</v>
      </c>
      <c r="H15" s="135" t="s">
        <v>180</v>
      </c>
      <c r="I15" s="87" t="s">
        <v>88</v>
      </c>
      <c r="J15" s="88">
        <v>40</v>
      </c>
      <c r="K15" s="88">
        <v>0</v>
      </c>
      <c r="L15" s="89">
        <v>-5555</v>
      </c>
    </row>
    <row r="16" spans="1:13" x14ac:dyDescent="0.15">
      <c r="A16" s="130"/>
      <c r="B16" s="38" t="s">
        <v>145</v>
      </c>
      <c r="C16" s="90">
        <v>-5555</v>
      </c>
      <c r="D16" s="90">
        <v>5</v>
      </c>
      <c r="E16" s="91">
        <v>-5555</v>
      </c>
      <c r="H16" s="130"/>
      <c r="I16" s="38" t="s">
        <v>145</v>
      </c>
      <c r="J16" s="90">
        <v>-5555</v>
      </c>
      <c r="K16" s="90">
        <v>50</v>
      </c>
      <c r="L16" s="91">
        <v>-5555</v>
      </c>
    </row>
    <row r="17" spans="1:12" x14ac:dyDescent="0.15">
      <c r="A17" s="130"/>
      <c r="B17" s="38" t="s">
        <v>90</v>
      </c>
      <c r="C17" s="90">
        <v>-5555</v>
      </c>
      <c r="D17" s="92">
        <v>-5555</v>
      </c>
      <c r="E17" s="91">
        <v>-5555</v>
      </c>
      <c r="H17" s="130"/>
      <c r="I17" s="38" t="s">
        <v>90</v>
      </c>
      <c r="J17" s="90">
        <v>-5555</v>
      </c>
      <c r="K17" s="92">
        <v>-5555</v>
      </c>
      <c r="L17" s="91">
        <v>-5555</v>
      </c>
    </row>
    <row r="18" spans="1:12" x14ac:dyDescent="0.15">
      <c r="A18" s="130"/>
      <c r="B18" s="38" t="s">
        <v>146</v>
      </c>
      <c r="C18" s="90">
        <v>0.02</v>
      </c>
      <c r="D18" s="90">
        <v>-0.1</v>
      </c>
      <c r="E18" s="91">
        <v>-5555</v>
      </c>
      <c r="H18" s="130"/>
      <c r="I18" s="38" t="s">
        <v>146</v>
      </c>
      <c r="J18" s="90">
        <v>0.6</v>
      </c>
      <c r="K18" s="90">
        <v>0.1</v>
      </c>
      <c r="L18" s="91">
        <v>-5555</v>
      </c>
    </row>
    <row r="19" spans="1:12" x14ac:dyDescent="0.15">
      <c r="A19" s="130"/>
      <c r="B19" s="38" t="s">
        <v>147</v>
      </c>
      <c r="C19" s="90">
        <v>-5555</v>
      </c>
      <c r="D19" s="90">
        <v>0.1</v>
      </c>
      <c r="E19" s="91">
        <v>-5555</v>
      </c>
      <c r="H19" s="130"/>
      <c r="I19" s="38" t="s">
        <v>147</v>
      </c>
      <c r="J19" s="90">
        <v>-5555</v>
      </c>
      <c r="K19" s="90">
        <v>1</v>
      </c>
      <c r="L19" s="91">
        <v>-5555</v>
      </c>
    </row>
    <row r="20" spans="1:12" x14ac:dyDescent="0.15">
      <c r="A20" s="130"/>
      <c r="B20" s="38" t="s">
        <v>148</v>
      </c>
      <c r="C20" s="90">
        <v>-5555</v>
      </c>
      <c r="D20" s="92">
        <v>-5555</v>
      </c>
      <c r="E20" s="91">
        <v>-5555</v>
      </c>
      <c r="H20" s="130"/>
      <c r="I20" s="38" t="s">
        <v>148</v>
      </c>
      <c r="J20" s="90">
        <v>-5555</v>
      </c>
      <c r="K20" s="92">
        <v>-5555</v>
      </c>
      <c r="L20" s="91">
        <v>-5555</v>
      </c>
    </row>
    <row r="21" spans="1:12" x14ac:dyDescent="0.15">
      <c r="A21" s="130"/>
      <c r="B21" s="38" t="s">
        <v>149</v>
      </c>
      <c r="C21" s="90">
        <v>0.01</v>
      </c>
      <c r="D21" s="90">
        <v>-0.2</v>
      </c>
      <c r="E21" s="91">
        <v>-5555</v>
      </c>
      <c r="H21" s="130"/>
      <c r="I21" s="38" t="s">
        <v>149</v>
      </c>
      <c r="J21" s="90">
        <v>40</v>
      </c>
      <c r="K21" s="90">
        <v>0</v>
      </c>
      <c r="L21" s="91">
        <v>-5555</v>
      </c>
    </row>
    <row r="22" spans="1:12" x14ac:dyDescent="0.15">
      <c r="A22" s="130"/>
      <c r="B22" s="38" t="s">
        <v>150</v>
      </c>
      <c r="C22" s="90">
        <v>-5555</v>
      </c>
      <c r="D22" s="90">
        <v>0.01</v>
      </c>
      <c r="E22" s="91">
        <v>-5555</v>
      </c>
      <c r="H22" s="130"/>
      <c r="I22" s="38" t="s">
        <v>150</v>
      </c>
      <c r="J22" s="90">
        <v>-5555</v>
      </c>
      <c r="K22" s="90">
        <v>1</v>
      </c>
      <c r="L22" s="91">
        <v>-5555</v>
      </c>
    </row>
    <row r="23" spans="1:12" x14ac:dyDescent="0.15">
      <c r="A23" s="130"/>
      <c r="B23" s="38" t="s">
        <v>151</v>
      </c>
      <c r="C23" s="90">
        <v>-5555</v>
      </c>
      <c r="D23" s="92">
        <v>-5555</v>
      </c>
      <c r="E23" s="91">
        <v>-5555</v>
      </c>
      <c r="H23" s="130"/>
      <c r="I23" s="38" t="s">
        <v>151</v>
      </c>
      <c r="J23" s="90">
        <v>-5555</v>
      </c>
      <c r="K23" s="92">
        <v>-5555</v>
      </c>
      <c r="L23" s="91">
        <v>-5555</v>
      </c>
    </row>
    <row r="24" spans="1:12" x14ac:dyDescent="0.15">
      <c r="A24" s="130"/>
      <c r="B24" s="38" t="s">
        <v>152</v>
      </c>
      <c r="C24" s="90">
        <v>0</v>
      </c>
      <c r="D24" s="90">
        <v>0</v>
      </c>
      <c r="E24" s="91">
        <v>-5555</v>
      </c>
      <c r="H24" s="130"/>
      <c r="I24" s="38" t="s">
        <v>152</v>
      </c>
      <c r="J24" s="90">
        <v>1</v>
      </c>
      <c r="K24" s="90">
        <v>1</v>
      </c>
      <c r="L24" s="91">
        <v>-5555</v>
      </c>
    </row>
    <row r="25" spans="1:12" x14ac:dyDescent="0.15">
      <c r="A25" s="130"/>
      <c r="B25" s="38" t="s">
        <v>153</v>
      </c>
      <c r="C25" s="90">
        <v>-5555</v>
      </c>
      <c r="D25" s="90">
        <v>0</v>
      </c>
      <c r="E25" s="91">
        <v>-5555</v>
      </c>
      <c r="H25" s="130"/>
      <c r="I25" s="38" t="s">
        <v>153</v>
      </c>
      <c r="J25" s="90">
        <v>-5555</v>
      </c>
      <c r="K25" s="90">
        <v>1</v>
      </c>
      <c r="L25" s="91">
        <v>-5555</v>
      </c>
    </row>
    <row r="26" spans="1:12" ht="12" thickBot="1" x14ac:dyDescent="0.2">
      <c r="A26" s="131"/>
      <c r="B26" s="93" t="s">
        <v>155</v>
      </c>
      <c r="C26" s="94">
        <v>-5555</v>
      </c>
      <c r="D26" s="95">
        <v>-5555</v>
      </c>
      <c r="E26" s="96">
        <v>-5555</v>
      </c>
      <c r="H26" s="131"/>
      <c r="I26" s="93" t="s">
        <v>155</v>
      </c>
      <c r="J26" s="94">
        <v>-5555</v>
      </c>
      <c r="K26" s="95">
        <v>-5555</v>
      </c>
      <c r="L26" s="96">
        <v>-5555</v>
      </c>
    </row>
    <row r="27" spans="1:12" x14ac:dyDescent="0.15">
      <c r="A27" s="132" t="s">
        <v>181</v>
      </c>
      <c r="B27" s="87" t="s">
        <v>91</v>
      </c>
      <c r="C27" s="88">
        <v>1</v>
      </c>
      <c r="D27" s="88">
        <v>-7.5</v>
      </c>
      <c r="E27" s="89">
        <v>-5555</v>
      </c>
      <c r="H27" s="132" t="s">
        <v>181</v>
      </c>
      <c r="I27" s="87" t="s">
        <v>91</v>
      </c>
      <c r="J27" s="88">
        <v>40</v>
      </c>
      <c r="K27" s="88">
        <v>7</v>
      </c>
      <c r="L27" s="89">
        <v>-5555</v>
      </c>
    </row>
    <row r="28" spans="1:12" x14ac:dyDescent="0.15">
      <c r="A28" s="133"/>
      <c r="B28" s="38" t="s">
        <v>156</v>
      </c>
      <c r="C28" s="90">
        <v>-5555</v>
      </c>
      <c r="D28" s="90">
        <v>0</v>
      </c>
      <c r="E28" s="91">
        <v>-5555</v>
      </c>
      <c r="H28" s="133"/>
      <c r="I28" s="38" t="s">
        <v>156</v>
      </c>
      <c r="J28" s="90">
        <v>-5555</v>
      </c>
      <c r="K28" s="90">
        <v>150</v>
      </c>
      <c r="L28" s="91">
        <v>-5555</v>
      </c>
    </row>
    <row r="29" spans="1:12" x14ac:dyDescent="0.15">
      <c r="A29" s="133"/>
      <c r="B29" s="38" t="s">
        <v>157</v>
      </c>
      <c r="C29" s="90">
        <v>-5555</v>
      </c>
      <c r="D29" s="92">
        <v>-5555</v>
      </c>
      <c r="E29" s="91">
        <v>-5555</v>
      </c>
      <c r="H29" s="133"/>
      <c r="I29" s="38" t="s">
        <v>157</v>
      </c>
      <c r="J29" s="90">
        <v>-5555</v>
      </c>
      <c r="K29" s="92">
        <v>-5555</v>
      </c>
      <c r="L29" s="91">
        <v>-5555</v>
      </c>
    </row>
    <row r="30" spans="1:12" x14ac:dyDescent="0.15">
      <c r="A30" s="133"/>
      <c r="B30" s="38" t="s">
        <v>158</v>
      </c>
      <c r="C30" s="90">
        <v>0.02</v>
      </c>
      <c r="D30" s="90">
        <v>-0.5</v>
      </c>
      <c r="E30" s="91">
        <v>-5555</v>
      </c>
      <c r="H30" s="133"/>
      <c r="I30" s="38" t="s">
        <v>158</v>
      </c>
      <c r="J30" s="90">
        <v>0.5</v>
      </c>
      <c r="K30" s="90">
        <v>0.1</v>
      </c>
      <c r="L30" s="91">
        <v>-5555</v>
      </c>
    </row>
    <row r="31" spans="1:12" x14ac:dyDescent="0.15">
      <c r="A31" s="133"/>
      <c r="B31" s="38" t="s">
        <v>159</v>
      </c>
      <c r="C31" s="90">
        <v>-5555</v>
      </c>
      <c r="D31" s="90">
        <v>0.3</v>
      </c>
      <c r="E31" s="91">
        <v>-5555</v>
      </c>
      <c r="H31" s="133"/>
      <c r="I31" s="38" t="s">
        <v>159</v>
      </c>
      <c r="J31" s="90">
        <v>-5555</v>
      </c>
      <c r="K31" s="90">
        <v>5</v>
      </c>
      <c r="L31" s="91">
        <v>-5555</v>
      </c>
    </row>
    <row r="32" spans="1:12" x14ac:dyDescent="0.15">
      <c r="A32" s="133"/>
      <c r="B32" s="38" t="s">
        <v>160</v>
      </c>
      <c r="C32" s="90">
        <v>-5555</v>
      </c>
      <c r="D32" s="92">
        <v>-5555</v>
      </c>
      <c r="E32" s="91">
        <v>-5555</v>
      </c>
      <c r="H32" s="133"/>
      <c r="I32" s="38" t="s">
        <v>160</v>
      </c>
      <c r="J32" s="90">
        <v>-5555</v>
      </c>
      <c r="K32" s="92">
        <v>-5555</v>
      </c>
      <c r="L32" s="91">
        <v>-5555</v>
      </c>
    </row>
    <row r="33" spans="1:12" x14ac:dyDescent="0.15">
      <c r="A33" s="133"/>
      <c r="B33" s="38" t="s">
        <v>161</v>
      </c>
      <c r="C33" s="90">
        <v>1E-3</v>
      </c>
      <c r="D33" s="90">
        <v>-1.5</v>
      </c>
      <c r="E33" s="91">
        <v>-5555</v>
      </c>
      <c r="H33" s="133"/>
      <c r="I33" s="38" t="s">
        <v>161</v>
      </c>
      <c r="J33" s="90">
        <v>0.1</v>
      </c>
      <c r="K33" s="90">
        <v>0.01</v>
      </c>
      <c r="L33" s="91">
        <v>-5555</v>
      </c>
    </row>
    <row r="34" spans="1:12" x14ac:dyDescent="0.15">
      <c r="A34" s="133"/>
      <c r="B34" s="38" t="s">
        <v>162</v>
      </c>
      <c r="C34" s="90">
        <v>-5555</v>
      </c>
      <c r="D34" s="90">
        <v>-0.05</v>
      </c>
      <c r="E34" s="91">
        <v>-5555</v>
      </c>
      <c r="H34" s="133"/>
      <c r="I34" s="38" t="s">
        <v>162</v>
      </c>
      <c r="J34" s="90">
        <v>-5555</v>
      </c>
      <c r="K34" s="90">
        <v>10</v>
      </c>
      <c r="L34" s="91">
        <v>-5555</v>
      </c>
    </row>
    <row r="35" spans="1:12" x14ac:dyDescent="0.15">
      <c r="A35" s="133"/>
      <c r="B35" s="38" t="s">
        <v>163</v>
      </c>
      <c r="C35" s="90">
        <v>-5555</v>
      </c>
      <c r="D35" s="92">
        <v>-5555</v>
      </c>
      <c r="E35" s="91">
        <v>-5555</v>
      </c>
      <c r="H35" s="133"/>
      <c r="I35" s="38" t="s">
        <v>163</v>
      </c>
      <c r="J35" s="90">
        <v>-5555</v>
      </c>
      <c r="K35" s="92">
        <v>-5555</v>
      </c>
      <c r="L35" s="91">
        <v>-5555</v>
      </c>
    </row>
    <row r="36" spans="1:12" x14ac:dyDescent="0.15">
      <c r="A36" s="133"/>
      <c r="B36" s="38" t="s">
        <v>164</v>
      </c>
      <c r="C36" s="90">
        <v>0</v>
      </c>
      <c r="D36" s="90">
        <v>-0.3</v>
      </c>
      <c r="E36" s="91">
        <v>-5555</v>
      </c>
      <c r="H36" s="133"/>
      <c r="I36" s="38" t="s">
        <v>164</v>
      </c>
      <c r="J36" s="90">
        <v>1</v>
      </c>
      <c r="K36" s="90">
        <v>0.2</v>
      </c>
      <c r="L36" s="91">
        <v>-5555</v>
      </c>
    </row>
    <row r="37" spans="1:12" x14ac:dyDescent="0.15">
      <c r="A37" s="133"/>
      <c r="B37" s="38" t="s">
        <v>165</v>
      </c>
      <c r="C37" s="90">
        <v>-5555</v>
      </c>
      <c r="D37" s="90">
        <v>0</v>
      </c>
      <c r="E37" s="91">
        <v>-5555</v>
      </c>
      <c r="H37" s="133"/>
      <c r="I37" s="38" t="s">
        <v>165</v>
      </c>
      <c r="J37" s="90">
        <v>-5555</v>
      </c>
      <c r="K37" s="90">
        <v>1.5</v>
      </c>
      <c r="L37" s="91">
        <v>-5555</v>
      </c>
    </row>
    <row r="38" spans="1:12" ht="12" thickBot="1" x14ac:dyDescent="0.2">
      <c r="A38" s="134"/>
      <c r="B38" s="93" t="s">
        <v>166</v>
      </c>
      <c r="C38" s="94">
        <v>-5555</v>
      </c>
      <c r="D38" s="95">
        <v>-5555</v>
      </c>
      <c r="E38" s="96">
        <v>-5555</v>
      </c>
      <c r="H38" s="134"/>
      <c r="I38" s="93" t="s">
        <v>166</v>
      </c>
      <c r="J38" s="94">
        <v>-5555</v>
      </c>
      <c r="K38" s="95">
        <v>-5555</v>
      </c>
      <c r="L38" s="96">
        <v>-5555</v>
      </c>
    </row>
    <row r="39" spans="1:12" x14ac:dyDescent="0.15">
      <c r="A39" s="130" t="s">
        <v>182</v>
      </c>
      <c r="B39" s="38" t="s">
        <v>167</v>
      </c>
      <c r="C39" s="90">
        <v>35</v>
      </c>
      <c r="D39" s="90">
        <v>-350</v>
      </c>
      <c r="E39" s="91">
        <v>-5555</v>
      </c>
      <c r="H39" s="130" t="s">
        <v>182</v>
      </c>
      <c r="I39" s="38" t="s">
        <v>167</v>
      </c>
      <c r="J39" s="90">
        <v>2100</v>
      </c>
      <c r="K39" s="90">
        <v>500</v>
      </c>
      <c r="L39" s="91">
        <v>-5555</v>
      </c>
    </row>
    <row r="40" spans="1:12" x14ac:dyDescent="0.15">
      <c r="A40" s="130"/>
      <c r="B40" s="38" t="s">
        <v>168</v>
      </c>
      <c r="C40" s="90">
        <v>-5555</v>
      </c>
      <c r="D40" s="90">
        <v>-1000</v>
      </c>
      <c r="E40" s="91">
        <v>-5555</v>
      </c>
      <c r="H40" s="130"/>
      <c r="I40" s="38" t="s">
        <v>168</v>
      </c>
      <c r="J40" s="90">
        <v>-5555</v>
      </c>
      <c r="K40" s="90">
        <v>1500</v>
      </c>
      <c r="L40" s="91">
        <v>-5555</v>
      </c>
    </row>
    <row r="41" spans="1:12" x14ac:dyDescent="0.15">
      <c r="A41" s="130"/>
      <c r="B41" s="38" t="s">
        <v>169</v>
      </c>
      <c r="C41" s="90">
        <v>-5555</v>
      </c>
      <c r="D41" s="92">
        <v>-5555</v>
      </c>
      <c r="E41" s="91">
        <v>-5555</v>
      </c>
      <c r="H41" s="130"/>
      <c r="I41" s="38" t="s">
        <v>169</v>
      </c>
      <c r="J41" s="90">
        <v>-5555</v>
      </c>
      <c r="K41" s="92">
        <v>-5555</v>
      </c>
      <c r="L41" s="91">
        <v>-5555</v>
      </c>
    </row>
    <row r="42" spans="1:12" x14ac:dyDescent="0.15">
      <c r="A42" s="130"/>
      <c r="B42" s="38" t="s">
        <v>170</v>
      </c>
      <c r="C42" s="90">
        <v>1E-3</v>
      </c>
      <c r="D42" s="90">
        <v>-0.5</v>
      </c>
      <c r="E42" s="91">
        <v>-5555</v>
      </c>
      <c r="H42" s="130"/>
      <c r="I42" s="38" t="s">
        <v>170</v>
      </c>
      <c r="J42" s="90">
        <v>0.4</v>
      </c>
      <c r="K42" s="90">
        <v>0.5</v>
      </c>
      <c r="L42" s="91">
        <v>-5555</v>
      </c>
    </row>
    <row r="43" spans="1:12" x14ac:dyDescent="0.15">
      <c r="A43" s="130"/>
      <c r="B43" s="38" t="s">
        <v>171</v>
      </c>
      <c r="C43" s="90">
        <v>-5555</v>
      </c>
      <c r="D43" s="90">
        <v>1E-3</v>
      </c>
      <c r="E43" s="91">
        <v>-5555</v>
      </c>
      <c r="H43" s="130"/>
      <c r="I43" s="38" t="s">
        <v>171</v>
      </c>
      <c r="J43" s="90">
        <v>-5555</v>
      </c>
      <c r="K43" s="90">
        <v>5</v>
      </c>
      <c r="L43" s="91">
        <v>-5555</v>
      </c>
    </row>
    <row r="44" spans="1:12" x14ac:dyDescent="0.15">
      <c r="A44" s="130"/>
      <c r="B44" s="38" t="s">
        <v>172</v>
      </c>
      <c r="C44" s="90">
        <v>-5555</v>
      </c>
      <c r="D44" s="92">
        <v>-5555</v>
      </c>
      <c r="E44" s="91">
        <v>-5555</v>
      </c>
      <c r="H44" s="130"/>
      <c r="I44" s="38" t="s">
        <v>172</v>
      </c>
      <c r="J44" s="90">
        <v>-5555</v>
      </c>
      <c r="K44" s="92">
        <v>-5555</v>
      </c>
      <c r="L44" s="91">
        <v>-5555</v>
      </c>
    </row>
    <row r="45" spans="1:12" x14ac:dyDescent="0.15">
      <c r="A45" s="130"/>
      <c r="B45" s="38" t="s">
        <v>89</v>
      </c>
      <c r="C45" s="90">
        <v>1E-4</v>
      </c>
      <c r="D45" s="90">
        <v>0</v>
      </c>
      <c r="E45" s="91">
        <v>-5555</v>
      </c>
      <c r="H45" s="130"/>
      <c r="I45" s="38" t="s">
        <v>89</v>
      </c>
      <c r="J45" s="90">
        <v>1</v>
      </c>
      <c r="K45" s="90">
        <v>0.01</v>
      </c>
      <c r="L45" s="91">
        <v>-5555</v>
      </c>
    </row>
    <row r="46" spans="1:12" x14ac:dyDescent="0.15">
      <c r="A46" s="130"/>
      <c r="B46" s="38" t="s">
        <v>173</v>
      </c>
      <c r="C46" s="90">
        <v>-5555</v>
      </c>
      <c r="D46" s="90">
        <v>-0.03</v>
      </c>
      <c r="E46" s="91">
        <v>-5555</v>
      </c>
      <c r="H46" s="130"/>
      <c r="I46" s="38" t="s">
        <v>173</v>
      </c>
      <c r="J46" s="90">
        <v>-5555</v>
      </c>
      <c r="K46" s="90">
        <v>0.02</v>
      </c>
      <c r="L46" s="91">
        <v>-5555</v>
      </c>
    </row>
    <row r="47" spans="1:12" x14ac:dyDescent="0.15">
      <c r="A47" s="130"/>
      <c r="B47" s="38" t="s">
        <v>174</v>
      </c>
      <c r="C47" s="90">
        <v>-5555</v>
      </c>
      <c r="D47" s="92">
        <v>-5555</v>
      </c>
      <c r="E47" s="91">
        <v>-5555</v>
      </c>
      <c r="H47" s="130"/>
      <c r="I47" s="38" t="s">
        <v>174</v>
      </c>
      <c r="J47" s="90">
        <v>-5555</v>
      </c>
      <c r="K47" s="92">
        <v>-5555</v>
      </c>
      <c r="L47" s="91">
        <v>-5555</v>
      </c>
    </row>
    <row r="48" spans="1:12" x14ac:dyDescent="0.15">
      <c r="A48" s="130"/>
      <c r="B48" s="38" t="s">
        <v>175</v>
      </c>
      <c r="C48" s="90">
        <v>0</v>
      </c>
      <c r="D48" s="90">
        <v>-0.5</v>
      </c>
      <c r="E48" s="91">
        <v>-5555</v>
      </c>
      <c r="H48" s="130"/>
      <c r="I48" s="38" t="s">
        <v>175</v>
      </c>
      <c r="J48" s="90">
        <v>1</v>
      </c>
      <c r="K48" s="90">
        <v>0.5</v>
      </c>
      <c r="L48" s="91">
        <v>-5555</v>
      </c>
    </row>
    <row r="49" spans="1:12" x14ac:dyDescent="0.15">
      <c r="A49" s="130"/>
      <c r="B49" s="38" t="s">
        <v>176</v>
      </c>
      <c r="C49" s="90">
        <v>-5555</v>
      </c>
      <c r="D49" s="90">
        <v>-0.5</v>
      </c>
      <c r="E49" s="91">
        <v>-5555</v>
      </c>
      <c r="H49" s="130"/>
      <c r="I49" s="38" t="s">
        <v>176</v>
      </c>
      <c r="J49" s="90">
        <v>-5555</v>
      </c>
      <c r="K49" s="90">
        <v>4</v>
      </c>
      <c r="L49" s="91">
        <v>-5555</v>
      </c>
    </row>
    <row r="50" spans="1:12" ht="12" thickBot="1" x14ac:dyDescent="0.2">
      <c r="A50" s="131"/>
      <c r="B50" s="93" t="s">
        <v>177</v>
      </c>
      <c r="C50" s="94">
        <v>-5555</v>
      </c>
      <c r="D50" s="95">
        <v>-5555</v>
      </c>
      <c r="E50" s="96">
        <v>-5555</v>
      </c>
      <c r="H50" s="131"/>
      <c r="I50" s="93" t="s">
        <v>177</v>
      </c>
      <c r="J50" s="94">
        <v>-5555</v>
      </c>
      <c r="K50" s="95">
        <v>-5555</v>
      </c>
      <c r="L50" s="96">
        <v>-5555</v>
      </c>
    </row>
  </sheetData>
  <mergeCells count="10">
    <mergeCell ref="A1:B2"/>
    <mergeCell ref="H1:I2"/>
    <mergeCell ref="A3:A14"/>
    <mergeCell ref="A15:A26"/>
    <mergeCell ref="A27:A38"/>
    <mergeCell ref="A39:A50"/>
    <mergeCell ref="H3:H14"/>
    <mergeCell ref="H15:H26"/>
    <mergeCell ref="H27:H38"/>
    <mergeCell ref="H39:H50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77A65-9D66-4D96-B556-F1EBC0A1EC49}">
  <sheetPr codeName="Sheet55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4.5703125" style="2" customWidth="1"/>
    <col min="7" max="7" width="4.140625" style="2" customWidth="1"/>
    <col min="8" max="8" width="22.85546875" style="2" customWidth="1"/>
    <col min="9" max="16384" width="9.140625" style="2"/>
  </cols>
  <sheetData>
    <row r="1" spans="1:13" ht="12" thickBot="1" x14ac:dyDescent="0.2">
      <c r="A1" s="136"/>
      <c r="B1" s="137"/>
      <c r="C1" s="99">
        <v>0</v>
      </c>
      <c r="D1" s="100">
        <v>1</v>
      </c>
      <c r="E1" s="101">
        <v>2</v>
      </c>
      <c r="F1" s="39"/>
      <c r="H1" s="136"/>
      <c r="I1" s="137"/>
      <c r="J1" s="99">
        <v>0</v>
      </c>
      <c r="K1" s="100">
        <v>1</v>
      </c>
      <c r="L1" s="101">
        <v>2</v>
      </c>
      <c r="M1" s="39"/>
    </row>
    <row r="2" spans="1:13" ht="12" thickBot="1" x14ac:dyDescent="0.2">
      <c r="A2" s="138"/>
      <c r="B2" s="139"/>
      <c r="C2" s="37" t="s">
        <v>75</v>
      </c>
      <c r="D2" s="98" t="s">
        <v>75</v>
      </c>
      <c r="E2" s="97" t="s">
        <v>75</v>
      </c>
      <c r="H2" s="138"/>
      <c r="I2" s="139"/>
      <c r="J2" s="37" t="s">
        <v>76</v>
      </c>
      <c r="K2" s="98" t="s">
        <v>76</v>
      </c>
      <c r="L2" s="97" t="s">
        <v>76</v>
      </c>
    </row>
    <row r="3" spans="1:13" x14ac:dyDescent="0.15">
      <c r="A3" s="132" t="s">
        <v>179</v>
      </c>
      <c r="B3" s="87" t="s">
        <v>84</v>
      </c>
      <c r="C3" s="88">
        <v>30</v>
      </c>
      <c r="D3" s="88">
        <f>-40/1</f>
        <v>-40</v>
      </c>
      <c r="E3" s="89">
        <v>-5555</v>
      </c>
      <c r="H3" s="132" t="s">
        <v>179</v>
      </c>
      <c r="I3" s="87" t="s">
        <v>84</v>
      </c>
      <c r="J3" s="88">
        <v>200</v>
      </c>
      <c r="K3" s="88">
        <v>0</v>
      </c>
      <c r="L3" s="89">
        <v>-5555</v>
      </c>
    </row>
    <row r="4" spans="1:13" x14ac:dyDescent="0.15">
      <c r="A4" s="133"/>
      <c r="B4" s="38" t="s">
        <v>137</v>
      </c>
      <c r="C4" s="90">
        <v>-5555</v>
      </c>
      <c r="D4" s="90">
        <v>30</v>
      </c>
      <c r="E4" s="91">
        <v>-5555</v>
      </c>
      <c r="H4" s="133"/>
      <c r="I4" s="38" t="s">
        <v>137</v>
      </c>
      <c r="J4" s="90">
        <v>-5555</v>
      </c>
      <c r="K4" s="90">
        <v>200</v>
      </c>
      <c r="L4" s="91">
        <v>-5555</v>
      </c>
    </row>
    <row r="5" spans="1:13" x14ac:dyDescent="0.15">
      <c r="A5" s="133"/>
      <c r="B5" s="38" t="s">
        <v>138</v>
      </c>
      <c r="C5" s="90">
        <v>-5555</v>
      </c>
      <c r="D5" s="92">
        <v>-5555</v>
      </c>
      <c r="E5" s="91">
        <v>-5555</v>
      </c>
      <c r="H5" s="133"/>
      <c r="I5" s="38" t="s">
        <v>138</v>
      </c>
      <c r="J5" s="90">
        <v>-5555</v>
      </c>
      <c r="K5" s="92">
        <v>-5555</v>
      </c>
      <c r="L5" s="91">
        <v>-5555</v>
      </c>
    </row>
    <row r="6" spans="1:13" x14ac:dyDescent="0.15">
      <c r="A6" s="133"/>
      <c r="B6" s="38" t="s">
        <v>139</v>
      </c>
      <c r="C6" s="90">
        <v>3</v>
      </c>
      <c r="D6" s="90">
        <v>0</v>
      </c>
      <c r="E6" s="91">
        <v>7.2110000000000003</v>
      </c>
      <c r="H6" s="133"/>
      <c r="I6" s="38" t="s">
        <v>139</v>
      </c>
      <c r="J6" s="90">
        <v>15</v>
      </c>
      <c r="K6" s="90">
        <v>3</v>
      </c>
      <c r="L6" s="91">
        <v>15.832000000000001</v>
      </c>
    </row>
    <row r="7" spans="1:13" x14ac:dyDescent="0.15">
      <c r="A7" s="133"/>
      <c r="B7" s="38" t="s">
        <v>85</v>
      </c>
      <c r="C7" s="90">
        <v>-5555</v>
      </c>
      <c r="D7" s="90">
        <v>3</v>
      </c>
      <c r="E7" s="91">
        <v>-11.798</v>
      </c>
      <c r="H7" s="133"/>
      <c r="I7" s="38" t="s">
        <v>85</v>
      </c>
      <c r="J7" s="90">
        <v>-5555</v>
      </c>
      <c r="K7" s="90">
        <v>8</v>
      </c>
      <c r="L7" s="91">
        <v>-4.0789999999999997</v>
      </c>
    </row>
    <row r="8" spans="1:13" x14ac:dyDescent="0.15">
      <c r="A8" s="133"/>
      <c r="B8" s="38" t="s">
        <v>87</v>
      </c>
      <c r="C8" s="90">
        <v>-5555</v>
      </c>
      <c r="D8" s="92">
        <v>-5555</v>
      </c>
      <c r="E8" s="91">
        <v>-2.44</v>
      </c>
      <c r="H8" s="133"/>
      <c r="I8" s="38" t="s">
        <v>87</v>
      </c>
      <c r="J8" s="90">
        <v>-5555</v>
      </c>
      <c r="K8" s="92">
        <v>-5555</v>
      </c>
      <c r="L8" s="91">
        <v>-0.161</v>
      </c>
    </row>
    <row r="9" spans="1:13" x14ac:dyDescent="0.15">
      <c r="A9" s="133"/>
      <c r="B9" s="38" t="s">
        <v>86</v>
      </c>
      <c r="C9" s="90">
        <v>0.1</v>
      </c>
      <c r="D9" s="90">
        <v>-2.4</v>
      </c>
      <c r="E9" s="91">
        <v>-5555</v>
      </c>
      <c r="H9" s="133"/>
      <c r="I9" s="38" t="s">
        <v>86</v>
      </c>
      <c r="J9" s="90">
        <v>12</v>
      </c>
      <c r="K9" s="90">
        <v>0.5</v>
      </c>
      <c r="L9" s="91">
        <v>-5555</v>
      </c>
    </row>
    <row r="10" spans="1:13" x14ac:dyDescent="0.15">
      <c r="A10" s="133"/>
      <c r="B10" s="38" t="s">
        <v>140</v>
      </c>
      <c r="C10" s="90">
        <v>-5555</v>
      </c>
      <c r="D10" s="90">
        <v>0.5</v>
      </c>
      <c r="E10" s="91">
        <v>-5555</v>
      </c>
      <c r="H10" s="133"/>
      <c r="I10" s="38" t="s">
        <v>140</v>
      </c>
      <c r="J10" s="90">
        <v>-5555</v>
      </c>
      <c r="K10" s="90">
        <v>14.4</v>
      </c>
      <c r="L10" s="91">
        <v>-5555</v>
      </c>
    </row>
    <row r="11" spans="1:13" x14ac:dyDescent="0.15">
      <c r="A11" s="133"/>
      <c r="B11" s="38" t="s">
        <v>141</v>
      </c>
      <c r="C11" s="90">
        <v>-5555</v>
      </c>
      <c r="D11" s="92">
        <v>-5555</v>
      </c>
      <c r="E11" s="91">
        <v>-5555</v>
      </c>
      <c r="H11" s="133"/>
      <c r="I11" s="38" t="s">
        <v>141</v>
      </c>
      <c r="J11" s="90">
        <v>-5555</v>
      </c>
      <c r="K11" s="92">
        <v>-5555</v>
      </c>
      <c r="L11" s="91">
        <v>-5555</v>
      </c>
    </row>
    <row r="12" spans="1:13" x14ac:dyDescent="0.15">
      <c r="A12" s="133"/>
      <c r="B12" s="38" t="s">
        <v>142</v>
      </c>
      <c r="C12" s="90">
        <v>0</v>
      </c>
      <c r="D12" s="90">
        <v>-1.5</v>
      </c>
      <c r="E12" s="91">
        <v>-5555</v>
      </c>
      <c r="H12" s="133"/>
      <c r="I12" s="38" t="s">
        <v>142</v>
      </c>
      <c r="J12" s="90">
        <v>1</v>
      </c>
      <c r="K12" s="90">
        <v>0</v>
      </c>
      <c r="L12" s="91">
        <v>-5555</v>
      </c>
    </row>
    <row r="13" spans="1:13" x14ac:dyDescent="0.15">
      <c r="A13" s="133"/>
      <c r="B13" s="38" t="s">
        <v>143</v>
      </c>
      <c r="C13" s="90">
        <v>-5555</v>
      </c>
      <c r="D13" s="90">
        <v>0</v>
      </c>
      <c r="E13" s="91">
        <v>-5555</v>
      </c>
      <c r="H13" s="133"/>
      <c r="I13" s="38" t="s">
        <v>143</v>
      </c>
      <c r="J13" s="90">
        <v>-5555</v>
      </c>
      <c r="K13" s="90">
        <v>1</v>
      </c>
      <c r="L13" s="91">
        <v>-5555</v>
      </c>
    </row>
    <row r="14" spans="1:13" ht="12" thickBot="1" x14ac:dyDescent="0.2">
      <c r="A14" s="134"/>
      <c r="B14" s="93" t="s">
        <v>144</v>
      </c>
      <c r="C14" s="94">
        <v>-5555</v>
      </c>
      <c r="D14" s="95">
        <v>-5555</v>
      </c>
      <c r="E14" s="96">
        <v>-5555</v>
      </c>
      <c r="H14" s="134"/>
      <c r="I14" s="93" t="s">
        <v>144</v>
      </c>
      <c r="J14" s="94">
        <v>-5555</v>
      </c>
      <c r="K14" s="95">
        <v>-5555</v>
      </c>
      <c r="L14" s="96">
        <v>-5555</v>
      </c>
    </row>
    <row r="15" spans="1:13" x14ac:dyDescent="0.15">
      <c r="A15" s="135" t="s">
        <v>180</v>
      </c>
      <c r="B15" s="87" t="s">
        <v>88</v>
      </c>
      <c r="C15" s="88">
        <v>5</v>
      </c>
      <c r="D15" s="88">
        <v>-10</v>
      </c>
      <c r="E15" s="89">
        <v>-5555</v>
      </c>
      <c r="H15" s="135" t="s">
        <v>180</v>
      </c>
      <c r="I15" s="87" t="s">
        <v>88</v>
      </c>
      <c r="J15" s="88">
        <v>40</v>
      </c>
      <c r="K15" s="88">
        <v>0</v>
      </c>
      <c r="L15" s="89">
        <v>-5555</v>
      </c>
    </row>
    <row r="16" spans="1:13" x14ac:dyDescent="0.15">
      <c r="A16" s="130"/>
      <c r="B16" s="38" t="s">
        <v>145</v>
      </c>
      <c r="C16" s="90">
        <v>-5555</v>
      </c>
      <c r="D16" s="90">
        <v>5</v>
      </c>
      <c r="E16" s="91">
        <v>-5555</v>
      </c>
      <c r="H16" s="130"/>
      <c r="I16" s="38" t="s">
        <v>145</v>
      </c>
      <c r="J16" s="90">
        <v>-5555</v>
      </c>
      <c r="K16" s="90">
        <v>50</v>
      </c>
      <c r="L16" s="91">
        <v>-5555</v>
      </c>
    </row>
    <row r="17" spans="1:12" x14ac:dyDescent="0.15">
      <c r="A17" s="130"/>
      <c r="B17" s="38" t="s">
        <v>90</v>
      </c>
      <c r="C17" s="90">
        <v>-5555</v>
      </c>
      <c r="D17" s="92">
        <v>-5555</v>
      </c>
      <c r="E17" s="91">
        <v>-5555</v>
      </c>
      <c r="H17" s="130"/>
      <c r="I17" s="38" t="s">
        <v>90</v>
      </c>
      <c r="J17" s="90">
        <v>-5555</v>
      </c>
      <c r="K17" s="92">
        <v>-5555</v>
      </c>
      <c r="L17" s="91">
        <v>-5555</v>
      </c>
    </row>
    <row r="18" spans="1:12" x14ac:dyDescent="0.15">
      <c r="A18" s="130"/>
      <c r="B18" s="38" t="s">
        <v>146</v>
      </c>
      <c r="C18" s="90">
        <v>0.02</v>
      </c>
      <c r="D18" s="90">
        <v>-0.1</v>
      </c>
      <c r="E18" s="91">
        <v>-5555</v>
      </c>
      <c r="H18" s="130"/>
      <c r="I18" s="38" t="s">
        <v>146</v>
      </c>
      <c r="J18" s="90">
        <v>0.6</v>
      </c>
      <c r="K18" s="90">
        <v>0.1</v>
      </c>
      <c r="L18" s="91">
        <v>-5555</v>
      </c>
    </row>
    <row r="19" spans="1:12" x14ac:dyDescent="0.15">
      <c r="A19" s="130"/>
      <c r="B19" s="38" t="s">
        <v>147</v>
      </c>
      <c r="C19" s="90">
        <v>-5555</v>
      </c>
      <c r="D19" s="90">
        <v>0.1</v>
      </c>
      <c r="E19" s="91">
        <v>-5555</v>
      </c>
      <c r="H19" s="130"/>
      <c r="I19" s="38" t="s">
        <v>147</v>
      </c>
      <c r="J19" s="90">
        <v>-5555</v>
      </c>
      <c r="K19" s="90">
        <v>1</v>
      </c>
      <c r="L19" s="91">
        <v>-5555</v>
      </c>
    </row>
    <row r="20" spans="1:12" x14ac:dyDescent="0.15">
      <c r="A20" s="130"/>
      <c r="B20" s="38" t="s">
        <v>148</v>
      </c>
      <c r="C20" s="90">
        <v>-5555</v>
      </c>
      <c r="D20" s="92">
        <v>-5555</v>
      </c>
      <c r="E20" s="91">
        <v>-5555</v>
      </c>
      <c r="H20" s="130"/>
      <c r="I20" s="38" t="s">
        <v>148</v>
      </c>
      <c r="J20" s="90">
        <v>-5555</v>
      </c>
      <c r="K20" s="92">
        <v>-5555</v>
      </c>
      <c r="L20" s="91">
        <v>-5555</v>
      </c>
    </row>
    <row r="21" spans="1:12" x14ac:dyDescent="0.15">
      <c r="A21" s="130"/>
      <c r="B21" s="38" t="s">
        <v>149</v>
      </c>
      <c r="C21" s="90">
        <v>0.01</v>
      </c>
      <c r="D21" s="90">
        <v>-0.2</v>
      </c>
      <c r="E21" s="91">
        <v>-5555</v>
      </c>
      <c r="H21" s="130"/>
      <c r="I21" s="38" t="s">
        <v>149</v>
      </c>
      <c r="J21" s="90">
        <v>0.45</v>
      </c>
      <c r="K21" s="90">
        <v>0</v>
      </c>
      <c r="L21" s="91">
        <v>-5555</v>
      </c>
    </row>
    <row r="22" spans="1:12" x14ac:dyDescent="0.15">
      <c r="A22" s="130"/>
      <c r="B22" s="38" t="s">
        <v>150</v>
      </c>
      <c r="C22" s="90">
        <v>-5555</v>
      </c>
      <c r="D22" s="90">
        <v>0.01</v>
      </c>
      <c r="E22" s="91">
        <v>-5555</v>
      </c>
      <c r="H22" s="130"/>
      <c r="I22" s="38" t="s">
        <v>150</v>
      </c>
      <c r="J22" s="90">
        <v>-5555</v>
      </c>
      <c r="K22" s="90">
        <v>1</v>
      </c>
      <c r="L22" s="91">
        <v>-5555</v>
      </c>
    </row>
    <row r="23" spans="1:12" x14ac:dyDescent="0.15">
      <c r="A23" s="130"/>
      <c r="B23" s="38" t="s">
        <v>151</v>
      </c>
      <c r="C23" s="90">
        <v>-5555</v>
      </c>
      <c r="D23" s="92">
        <v>-5555</v>
      </c>
      <c r="E23" s="91">
        <v>-5555</v>
      </c>
      <c r="H23" s="130"/>
      <c r="I23" s="38" t="s">
        <v>151</v>
      </c>
      <c r="J23" s="90">
        <v>-5555</v>
      </c>
      <c r="K23" s="92">
        <v>-5555</v>
      </c>
      <c r="L23" s="91">
        <v>-5555</v>
      </c>
    </row>
    <row r="24" spans="1:12" x14ac:dyDescent="0.15">
      <c r="A24" s="130"/>
      <c r="B24" s="38" t="s">
        <v>152</v>
      </c>
      <c r="C24" s="90">
        <v>0</v>
      </c>
      <c r="D24" s="90">
        <v>0</v>
      </c>
      <c r="E24" s="91">
        <v>-5555</v>
      </c>
      <c r="H24" s="130"/>
      <c r="I24" s="38" t="s">
        <v>152</v>
      </c>
      <c r="J24" s="90">
        <v>1</v>
      </c>
      <c r="K24" s="90">
        <v>1</v>
      </c>
      <c r="L24" s="91">
        <v>-5555</v>
      </c>
    </row>
    <row r="25" spans="1:12" x14ac:dyDescent="0.15">
      <c r="A25" s="130"/>
      <c r="B25" s="38" t="s">
        <v>153</v>
      </c>
      <c r="C25" s="90">
        <v>-5555</v>
      </c>
      <c r="D25" s="90">
        <v>0</v>
      </c>
      <c r="E25" s="91">
        <v>-5555</v>
      </c>
      <c r="H25" s="130"/>
      <c r="I25" s="38" t="s">
        <v>153</v>
      </c>
      <c r="J25" s="90">
        <v>-5555</v>
      </c>
      <c r="K25" s="90">
        <v>1</v>
      </c>
      <c r="L25" s="91">
        <v>-5555</v>
      </c>
    </row>
    <row r="26" spans="1:12" ht="12" thickBot="1" x14ac:dyDescent="0.2">
      <c r="A26" s="131"/>
      <c r="B26" s="93" t="s">
        <v>155</v>
      </c>
      <c r="C26" s="94">
        <v>-5555</v>
      </c>
      <c r="D26" s="95">
        <v>-5555</v>
      </c>
      <c r="E26" s="96">
        <v>-5555</v>
      </c>
      <c r="H26" s="131"/>
      <c r="I26" s="93" t="s">
        <v>155</v>
      </c>
      <c r="J26" s="94">
        <v>-5555</v>
      </c>
      <c r="K26" s="95">
        <v>-5555</v>
      </c>
      <c r="L26" s="96">
        <v>-5555</v>
      </c>
    </row>
    <row r="27" spans="1:12" x14ac:dyDescent="0.15">
      <c r="A27" s="132" t="s">
        <v>181</v>
      </c>
      <c r="B27" s="87" t="s">
        <v>91</v>
      </c>
      <c r="C27" s="88">
        <v>1</v>
      </c>
      <c r="D27" s="88">
        <v>-7.5</v>
      </c>
      <c r="E27" s="89">
        <v>-5555</v>
      </c>
      <c r="H27" s="132" t="s">
        <v>181</v>
      </c>
      <c r="I27" s="87" t="s">
        <v>91</v>
      </c>
      <c r="J27" s="88">
        <v>40</v>
      </c>
      <c r="K27" s="88">
        <v>7</v>
      </c>
      <c r="L27" s="89">
        <v>-5555</v>
      </c>
    </row>
    <row r="28" spans="1:12" x14ac:dyDescent="0.15">
      <c r="A28" s="133"/>
      <c r="B28" s="38" t="s">
        <v>156</v>
      </c>
      <c r="C28" s="90">
        <v>-5555</v>
      </c>
      <c r="D28" s="90">
        <v>0</v>
      </c>
      <c r="E28" s="91">
        <v>-5555</v>
      </c>
      <c r="H28" s="133"/>
      <c r="I28" s="38" t="s">
        <v>156</v>
      </c>
      <c r="J28" s="90">
        <v>-5555</v>
      </c>
      <c r="K28" s="90">
        <v>50</v>
      </c>
      <c r="L28" s="91">
        <v>-5555</v>
      </c>
    </row>
    <row r="29" spans="1:12" x14ac:dyDescent="0.15">
      <c r="A29" s="133"/>
      <c r="B29" s="38" t="s">
        <v>157</v>
      </c>
      <c r="C29" s="90">
        <v>-5555</v>
      </c>
      <c r="D29" s="92">
        <v>-5555</v>
      </c>
      <c r="E29" s="91">
        <v>-5555</v>
      </c>
      <c r="H29" s="133"/>
      <c r="I29" s="38" t="s">
        <v>157</v>
      </c>
      <c r="J29" s="90">
        <v>-5555</v>
      </c>
      <c r="K29" s="92">
        <v>-5555</v>
      </c>
      <c r="L29" s="91">
        <v>-5555</v>
      </c>
    </row>
    <row r="30" spans="1:12" x14ac:dyDescent="0.15">
      <c r="A30" s="133"/>
      <c r="B30" s="38" t="s">
        <v>158</v>
      </c>
      <c r="C30" s="90">
        <v>0.02</v>
      </c>
      <c r="D30" s="90">
        <v>0</v>
      </c>
      <c r="E30" s="91">
        <v>-5555</v>
      </c>
      <c r="H30" s="133"/>
      <c r="I30" s="38" t="s">
        <v>158</v>
      </c>
      <c r="J30" s="90">
        <v>0.5</v>
      </c>
      <c r="K30" s="90">
        <v>0.1</v>
      </c>
      <c r="L30" s="91">
        <v>-5555</v>
      </c>
    </row>
    <row r="31" spans="1:12" x14ac:dyDescent="0.15">
      <c r="A31" s="133"/>
      <c r="B31" s="38" t="s">
        <v>159</v>
      </c>
      <c r="C31" s="90">
        <v>-5555</v>
      </c>
      <c r="D31" s="90">
        <v>0.3</v>
      </c>
      <c r="E31" s="91">
        <v>-5555</v>
      </c>
      <c r="H31" s="133"/>
      <c r="I31" s="38" t="s">
        <v>159</v>
      </c>
      <c r="J31" s="90">
        <v>-5555</v>
      </c>
      <c r="K31" s="90">
        <v>0</v>
      </c>
      <c r="L31" s="91">
        <v>-5555</v>
      </c>
    </row>
    <row r="32" spans="1:12" x14ac:dyDescent="0.15">
      <c r="A32" s="133"/>
      <c r="B32" s="38" t="s">
        <v>160</v>
      </c>
      <c r="C32" s="90">
        <v>-5555</v>
      </c>
      <c r="D32" s="92">
        <v>-5555</v>
      </c>
      <c r="E32" s="91">
        <v>-5555</v>
      </c>
      <c r="H32" s="133"/>
      <c r="I32" s="38" t="s">
        <v>160</v>
      </c>
      <c r="J32" s="90">
        <v>-5555</v>
      </c>
      <c r="K32" s="92">
        <v>-5555</v>
      </c>
      <c r="L32" s="91">
        <v>-5555</v>
      </c>
    </row>
    <row r="33" spans="1:12" x14ac:dyDescent="0.15">
      <c r="A33" s="133"/>
      <c r="B33" s="38" t="s">
        <v>161</v>
      </c>
      <c r="C33" s="90">
        <v>1E-3</v>
      </c>
      <c r="D33" s="90">
        <v>-1.5</v>
      </c>
      <c r="E33" s="91">
        <v>-5555</v>
      </c>
      <c r="H33" s="133"/>
      <c r="I33" s="38" t="s">
        <v>161</v>
      </c>
      <c r="J33" s="90">
        <v>0.1</v>
      </c>
      <c r="K33" s="90">
        <v>0.01</v>
      </c>
      <c r="L33" s="91">
        <v>-5555</v>
      </c>
    </row>
    <row r="34" spans="1:12" x14ac:dyDescent="0.15">
      <c r="A34" s="133"/>
      <c r="B34" s="38" t="s">
        <v>162</v>
      </c>
      <c r="C34" s="90">
        <v>-5555</v>
      </c>
      <c r="D34" s="90">
        <v>-0.05</v>
      </c>
      <c r="E34" s="91">
        <v>-5555</v>
      </c>
      <c r="H34" s="133"/>
      <c r="I34" s="38" t="s">
        <v>162</v>
      </c>
      <c r="J34" s="90">
        <v>-5555</v>
      </c>
      <c r="K34" s="90">
        <v>0.2</v>
      </c>
      <c r="L34" s="91">
        <v>-5555</v>
      </c>
    </row>
    <row r="35" spans="1:12" x14ac:dyDescent="0.15">
      <c r="A35" s="133"/>
      <c r="B35" s="38" t="s">
        <v>163</v>
      </c>
      <c r="C35" s="90">
        <v>-5555</v>
      </c>
      <c r="D35" s="92">
        <v>-5555</v>
      </c>
      <c r="E35" s="91">
        <v>-5555</v>
      </c>
      <c r="H35" s="133"/>
      <c r="I35" s="38" t="s">
        <v>163</v>
      </c>
      <c r="J35" s="90">
        <v>-5555</v>
      </c>
      <c r="K35" s="92">
        <v>-5555</v>
      </c>
      <c r="L35" s="91">
        <v>-5555</v>
      </c>
    </row>
    <row r="36" spans="1:12" x14ac:dyDescent="0.15">
      <c r="A36" s="133"/>
      <c r="B36" s="38" t="s">
        <v>164</v>
      </c>
      <c r="C36" s="90">
        <v>0</v>
      </c>
      <c r="D36" s="90">
        <v>-0.3</v>
      </c>
      <c r="E36" s="91">
        <v>-5555</v>
      </c>
      <c r="H36" s="133"/>
      <c r="I36" s="38" t="s">
        <v>164</v>
      </c>
      <c r="J36" s="90">
        <v>1</v>
      </c>
      <c r="K36" s="90">
        <v>0.2</v>
      </c>
      <c r="L36" s="91">
        <v>-5555</v>
      </c>
    </row>
    <row r="37" spans="1:12" x14ac:dyDescent="0.15">
      <c r="A37" s="133"/>
      <c r="B37" s="38" t="s">
        <v>165</v>
      </c>
      <c r="C37" s="90">
        <v>-5555</v>
      </c>
      <c r="D37" s="90">
        <v>0</v>
      </c>
      <c r="E37" s="91">
        <v>-5555</v>
      </c>
      <c r="H37" s="133"/>
      <c r="I37" s="38" t="s">
        <v>165</v>
      </c>
      <c r="J37" s="90">
        <v>-5555</v>
      </c>
      <c r="K37" s="90">
        <v>1.5</v>
      </c>
      <c r="L37" s="91">
        <v>-5555</v>
      </c>
    </row>
    <row r="38" spans="1:12" ht="12" thickBot="1" x14ac:dyDescent="0.2">
      <c r="A38" s="134"/>
      <c r="B38" s="93" t="s">
        <v>166</v>
      </c>
      <c r="C38" s="94">
        <v>-5555</v>
      </c>
      <c r="D38" s="95">
        <v>-5555</v>
      </c>
      <c r="E38" s="96">
        <v>-5555</v>
      </c>
      <c r="H38" s="134"/>
      <c r="I38" s="93" t="s">
        <v>166</v>
      </c>
      <c r="J38" s="94">
        <v>-5555</v>
      </c>
      <c r="K38" s="95">
        <v>-5555</v>
      </c>
      <c r="L38" s="96">
        <v>-5555</v>
      </c>
    </row>
    <row r="39" spans="1:12" x14ac:dyDescent="0.15">
      <c r="A39" s="130" t="s">
        <v>182</v>
      </c>
      <c r="B39" s="38" t="s">
        <v>167</v>
      </c>
      <c r="C39" s="90">
        <v>200</v>
      </c>
      <c r="D39" s="90">
        <v>-350</v>
      </c>
      <c r="E39" s="91">
        <v>-5555</v>
      </c>
      <c r="H39" s="130" t="s">
        <v>182</v>
      </c>
      <c r="I39" s="38" t="s">
        <v>167</v>
      </c>
      <c r="J39" s="90">
        <v>1200</v>
      </c>
      <c r="K39" s="90">
        <v>500</v>
      </c>
      <c r="L39" s="91">
        <v>-5555</v>
      </c>
    </row>
    <row r="40" spans="1:12" x14ac:dyDescent="0.15">
      <c r="A40" s="130"/>
      <c r="B40" s="38" t="s">
        <v>168</v>
      </c>
      <c r="C40" s="90">
        <v>-5555</v>
      </c>
      <c r="D40" s="90">
        <v>-1000</v>
      </c>
      <c r="E40" s="91">
        <v>-5555</v>
      </c>
      <c r="H40" s="130"/>
      <c r="I40" s="38" t="s">
        <v>168</v>
      </c>
      <c r="J40" s="90">
        <v>-5555</v>
      </c>
      <c r="K40" s="90">
        <v>1500</v>
      </c>
      <c r="L40" s="91">
        <v>-5555</v>
      </c>
    </row>
    <row r="41" spans="1:12" x14ac:dyDescent="0.15">
      <c r="A41" s="130"/>
      <c r="B41" s="38" t="s">
        <v>169</v>
      </c>
      <c r="C41" s="90">
        <v>-5555</v>
      </c>
      <c r="D41" s="92">
        <v>-5555</v>
      </c>
      <c r="E41" s="91">
        <v>-5555</v>
      </c>
      <c r="H41" s="130"/>
      <c r="I41" s="38" t="s">
        <v>169</v>
      </c>
      <c r="J41" s="90">
        <v>-5555</v>
      </c>
      <c r="K41" s="92">
        <v>-5555</v>
      </c>
      <c r="L41" s="91">
        <v>-5555</v>
      </c>
    </row>
    <row r="42" spans="1:12" x14ac:dyDescent="0.15">
      <c r="A42" s="130"/>
      <c r="B42" s="38" t="s">
        <v>170</v>
      </c>
      <c r="C42" s="90">
        <v>1E-3</v>
      </c>
      <c r="D42" s="90">
        <v>-0.05</v>
      </c>
      <c r="E42" s="91">
        <v>-5555</v>
      </c>
      <c r="H42" s="130"/>
      <c r="I42" s="38" t="s">
        <v>170</v>
      </c>
      <c r="J42" s="90">
        <v>0.4</v>
      </c>
      <c r="K42" s="90">
        <v>0.05</v>
      </c>
      <c r="L42" s="91">
        <v>-5555</v>
      </c>
    </row>
    <row r="43" spans="1:12" x14ac:dyDescent="0.15">
      <c r="A43" s="130"/>
      <c r="B43" s="38" t="s">
        <v>171</v>
      </c>
      <c r="C43" s="90">
        <v>-5555</v>
      </c>
      <c r="D43" s="90">
        <v>1E-3</v>
      </c>
      <c r="E43" s="91">
        <v>-5555</v>
      </c>
      <c r="H43" s="130"/>
      <c r="I43" s="38" t="s">
        <v>171</v>
      </c>
      <c r="J43" s="90">
        <v>-5555</v>
      </c>
      <c r="K43" s="90">
        <v>0.4</v>
      </c>
      <c r="L43" s="91">
        <v>-5555</v>
      </c>
    </row>
    <row r="44" spans="1:12" x14ac:dyDescent="0.15">
      <c r="A44" s="130"/>
      <c r="B44" s="38" t="s">
        <v>172</v>
      </c>
      <c r="C44" s="90">
        <v>-5555</v>
      </c>
      <c r="D44" s="92">
        <v>-5555</v>
      </c>
      <c r="E44" s="91">
        <v>-5555</v>
      </c>
      <c r="H44" s="130"/>
      <c r="I44" s="38" t="s">
        <v>172</v>
      </c>
      <c r="J44" s="90">
        <v>-5555</v>
      </c>
      <c r="K44" s="92">
        <v>-5555</v>
      </c>
      <c r="L44" s="91">
        <v>-5555</v>
      </c>
    </row>
    <row r="45" spans="1:12" x14ac:dyDescent="0.15">
      <c r="A45" s="130"/>
      <c r="B45" s="38" t="s">
        <v>89</v>
      </c>
      <c r="C45" s="90">
        <v>1E-4</v>
      </c>
      <c r="D45" s="90">
        <v>0</v>
      </c>
      <c r="E45" s="91">
        <v>-5555</v>
      </c>
      <c r="H45" s="130"/>
      <c r="I45" s="38" t="s">
        <v>89</v>
      </c>
      <c r="J45" s="90">
        <v>0.02</v>
      </c>
      <c r="K45" s="90">
        <v>0.01</v>
      </c>
      <c r="L45" s="91">
        <v>-5555</v>
      </c>
    </row>
    <row r="46" spans="1:12" x14ac:dyDescent="0.15">
      <c r="A46" s="130"/>
      <c r="B46" s="38" t="s">
        <v>173</v>
      </c>
      <c r="C46" s="90">
        <v>-5555</v>
      </c>
      <c r="D46" s="90">
        <v>-0.03</v>
      </c>
      <c r="E46" s="91">
        <v>-5555</v>
      </c>
      <c r="H46" s="130"/>
      <c r="I46" s="38" t="s">
        <v>173</v>
      </c>
      <c r="J46" s="90">
        <v>-5555</v>
      </c>
      <c r="K46" s="90">
        <v>0.02</v>
      </c>
      <c r="L46" s="91">
        <v>-5555</v>
      </c>
    </row>
    <row r="47" spans="1:12" x14ac:dyDescent="0.15">
      <c r="A47" s="130"/>
      <c r="B47" s="38" t="s">
        <v>174</v>
      </c>
      <c r="C47" s="90">
        <v>-5555</v>
      </c>
      <c r="D47" s="92">
        <v>-5555</v>
      </c>
      <c r="E47" s="91">
        <v>-5555</v>
      </c>
      <c r="H47" s="130"/>
      <c r="I47" s="38" t="s">
        <v>174</v>
      </c>
      <c r="J47" s="90">
        <v>-5555</v>
      </c>
      <c r="K47" s="92">
        <v>-5555</v>
      </c>
      <c r="L47" s="91">
        <v>-5555</v>
      </c>
    </row>
    <row r="48" spans="1:12" x14ac:dyDescent="0.15">
      <c r="A48" s="130"/>
      <c r="B48" s="38" t="s">
        <v>175</v>
      </c>
      <c r="C48" s="90">
        <v>0</v>
      </c>
      <c r="D48" s="90">
        <v>-0.5</v>
      </c>
      <c r="E48" s="91">
        <v>-5555</v>
      </c>
      <c r="H48" s="130"/>
      <c r="I48" s="38" t="s">
        <v>175</v>
      </c>
      <c r="J48" s="90">
        <v>1</v>
      </c>
      <c r="K48" s="90">
        <v>0.5</v>
      </c>
      <c r="L48" s="91">
        <v>-5555</v>
      </c>
    </row>
    <row r="49" spans="1:12" x14ac:dyDescent="0.15">
      <c r="A49" s="130"/>
      <c r="B49" s="38" t="s">
        <v>176</v>
      </c>
      <c r="C49" s="90">
        <v>-5555</v>
      </c>
      <c r="D49" s="90">
        <v>-0.5</v>
      </c>
      <c r="E49" s="91">
        <v>-5555</v>
      </c>
      <c r="H49" s="130"/>
      <c r="I49" s="38" t="s">
        <v>176</v>
      </c>
      <c r="J49" s="90">
        <v>-5555</v>
      </c>
      <c r="K49" s="90">
        <v>4</v>
      </c>
      <c r="L49" s="91">
        <v>-5555</v>
      </c>
    </row>
    <row r="50" spans="1:12" ht="12" thickBot="1" x14ac:dyDescent="0.2">
      <c r="A50" s="131"/>
      <c r="B50" s="93" t="s">
        <v>177</v>
      </c>
      <c r="C50" s="94">
        <v>-5555</v>
      </c>
      <c r="D50" s="95">
        <v>-5555</v>
      </c>
      <c r="E50" s="96">
        <v>-5555</v>
      </c>
      <c r="H50" s="131"/>
      <c r="I50" s="93" t="s">
        <v>177</v>
      </c>
      <c r="J50" s="94">
        <v>-5555</v>
      </c>
      <c r="K50" s="95">
        <v>-5555</v>
      </c>
      <c r="L50" s="96">
        <v>-5555</v>
      </c>
    </row>
  </sheetData>
  <mergeCells count="10">
    <mergeCell ref="A1:B2"/>
    <mergeCell ref="H1:I2"/>
    <mergeCell ref="A3:A14"/>
    <mergeCell ref="A15:A26"/>
    <mergeCell ref="A27:A38"/>
    <mergeCell ref="A39:A50"/>
    <mergeCell ref="H3:H14"/>
    <mergeCell ref="H15:H26"/>
    <mergeCell ref="H27:H38"/>
    <mergeCell ref="H39:H50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0991ECE-C2DE-4D88-9ACB-B6E84820A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Control Panel</vt:lpstr>
      <vt:lpstr>DataFilter</vt:lpstr>
      <vt:lpstr>Table Output</vt:lpstr>
      <vt:lpstr>Exchange</vt:lpstr>
      <vt:lpstr>benchmark</vt:lpstr>
      <vt:lpstr>Switch_options_hidden</vt:lpstr>
      <vt:lpstr>BoundParameters_HiddenSheetSAND</vt:lpstr>
      <vt:lpstr>BoundParameters_HiddenSheetCLAY</vt:lpstr>
    </vt:vector>
  </TitlesOfParts>
  <Company>COWI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Underlin Østergaard</dc:creator>
  <cp:lastModifiedBy>Frederik Mitev</cp:lastModifiedBy>
  <dcterms:created xsi:type="dcterms:W3CDTF">2013-10-28T09:40:54Z</dcterms:created>
  <dcterms:modified xsi:type="dcterms:W3CDTF">2022-01-13T12:26:43Z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674f71c8-ee6d-45de-abc1-3fd3833933ae</vt:lpwstr>
  </property>
</Properties>
</file>