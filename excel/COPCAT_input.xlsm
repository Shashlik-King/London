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36A0A57C-E9B4-427A-8E1B-9484D064F374}" xr6:coauthVersionLast="47" xr6:coauthVersionMax="47" xr10:uidLastSave="{00000000-0000-0000-0000-000000000000}"/>
  <bookViews>
    <workbookView xWindow="-120" yWindow="-120" windowWidth="29040" windowHeight="15840" tabRatio="734" activeTab="3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4" i="125" l="1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K5" i="125"/>
  <c r="L74" i="125" s="1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P83" i="125" l="1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AI5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AE5" i="125"/>
  <c r="AO5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AC5" i="125"/>
  <c r="O44" i="125"/>
  <c r="M43" i="125"/>
  <c r="O79" i="125"/>
  <c r="M78" i="125"/>
  <c r="O83" i="125"/>
  <c r="AB5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AF5" i="125"/>
  <c r="AA5" i="125"/>
  <c r="O45" i="125"/>
  <c r="AL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X5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AD5" i="125" l="1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<sst xmlns="http://schemas.openxmlformats.org/spreadsheetml/2006/main" count="1848" uniqueCount="478">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</sst>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54"/>
      <tableStyleElement type="headerRow" dxfId="153"/>
      <tableStyleElement type="totalRow" dxfId="152"/>
      <tableStyleElement type="firstColumn" dxfId="151"/>
      <tableStyleElement type="lastColumn" dxfId="150"/>
      <tableStyleElement type="firstRowStripe" dxfId="149"/>
      <tableStyleElement type="secondRowStripe" dxfId="148"/>
      <tableStyleElement type="firstColumnStripe" dxfId="147"/>
      <tableStyleElement type="secondColumnStripe" dxfId="146"/>
    </tableStyle>
    <tableStyle name="FKMV_style_2" pivot="0" count="7" xr9:uid="{1CBD89A1-94B2-445A-A0F4-05CE2395308B}">
      <tableStyleElement type="wholeTable" dxfId="145"/>
      <tableStyleElement type="totalRow" dxfId="144"/>
      <tableStyleElement type="firstColumn" dxfId="143"/>
      <tableStyleElement type="firstRowStripe" dxfId="142"/>
      <tableStyleElement type="secondRowStripe" dxfId="141"/>
      <tableStyleElement type="firstColumnStripe" dxfId="140"/>
      <tableStyleElement type="secondColumnStripe" dxfId="139"/>
    </tableStyle>
    <tableStyle name="FKMV_style_no_header" pivot="0" count="8" xr9:uid="{CD166963-8293-4761-9835-30B0A7BBACF7}">
      <tableStyleElement type="wholeTable" dxfId="138"/>
      <tableStyleElement type="headerRow" dxfId="137"/>
      <tableStyleElement type="totalRow" dxfId="136"/>
      <tableStyleElement type="firstColumn" dxfId="135"/>
      <tableStyleElement type="lastColumn" dxfId="134"/>
      <tableStyleElement type="firstRowStripe" dxfId="133"/>
      <tableStyleElement type="secondRowStripe" dxfId="131"/>
      <tableStyleElement type="firstColumnStripe" dxfId="132"/>
    </tableStyle>
    <tableStyle name="TableStyleLight9 2" pivot="0" count="9" xr9:uid="{DA6047FE-FBAE-4B42-870C-C23B7AE904CF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</xdr:colOff>
      <xdr:row>43</xdr:row>
      <xdr:rowOff>66675</xdr:rowOff>
    </xdr:from>
    <xdr:to>
      <xdr:col>2</xdr:col>
      <xdr:colOff>528955</xdr:colOff>
      <xdr:row>61</xdr:row>
      <xdr:rowOff>1121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6943725"/>
          <a:ext cx="2944495" cy="3157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19049</xdr:colOff>
          <xdr:row>25</xdr:row>
          <xdr:rowOff>114300</xdr:rowOff>
        </xdr:from>
        <xdr:to>
          <xdr:col>1</xdr:col>
          <xdr:colOff>2179049</xdr:colOff>
          <xdr:row>27</xdr:row>
          <xdr:rowOff>121875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104776</xdr:rowOff>
        </xdr:from>
        <xdr:to>
          <xdr:col>2</xdr:col>
          <xdr:colOff>1998075</xdr:colOff>
          <xdr:row>27</xdr:row>
          <xdr:rowOff>112351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26" headerRowBorderDxfId="129" tableBorderDxfId="130" headerRowCellStyle="Normal 2" dataCellStyle="Normal 2">
  <autoFilter ref="E3:K34" xr:uid="{F2BBA6ED-B345-4E30-A8F2-060B345A733E}"/>
  <tableColumns count="7">
    <tableColumn id="1" xr3:uid="{414A84B1-08A7-4D5D-B5C2-577E6F30CC4C}" name="Layer switch" dataDxfId="128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7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5"/>
    <tableColumn id="2" xr3:uid="{0352DEE9-A2F6-4B8A-8599-04C147D10F35}" uniqueName="2" name="project" queryTableFieldId="2" dataDxfId="14"/>
    <tableColumn id="70" xr3:uid="{23A5CF1E-2DF6-4154-9133-1A1A589311EF}" uniqueName="70" name="location" queryTableFieldId="73" dataDxfId="13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2"/>
    <tableColumn id="4" xr3:uid="{555920D1-D4C3-4246-B1CC-654778957766}" uniqueName="4" name="notes" queryTableFieldId="4" dataDxfId="11"/>
    <tableColumn id="5" xr3:uid="{3C8B1387-C128-40BC-85BE-2A2258FF5090}" uniqueName="5" name="soil_type" queryTableFieldId="71" dataDxfId="10"/>
    <tableColumn id="6" xr3:uid="{B120AA35-A36C-4373-9DD8-C12E4ADEA753}" uniqueName="6" name="y_u_F" queryTableFieldId="6" dataDxfId="9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8"/>
    <tableColumn id="22" xr3:uid="{DDF2E8CC-8F90-4165-A9DD-0C0446BC0AE9}" uniqueName="22" name="tetam_u_F" queryTableFieldId="22" dataDxfId="7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6"/>
    <tableColumn id="38" xr3:uid="{AE0DC746-D8B2-43F4-92F2-2255EDBA42E9}" uniqueName="38" name="yB_u_F" queryTableFieldId="38" dataDxfId="5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4"/>
    <tableColumn id="54" xr3:uid="{F50B2D1F-8054-4D43-9D9F-605E7F01705A}" uniqueName="54" name="tetaMb_u_F" queryTableFieldId="54" dataDxfId="3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2"/>
    <tableColumn id="73" xr3:uid="{7F7595CC-9CAA-4AAD-9334-8C8C80E205C7}" uniqueName="73" name="preparer" queryTableFieldId="76" dataDxfId="1"/>
    <tableColumn id="74" xr3:uid="{2B2245A3-98F1-41AC-A071-CEB18F3D2C6B}" uniqueName="74" name="timestamp" queryTableFieldId="7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zoomScaleNormal="100" workbookViewId="0">
      <selection activeCell="E5" sqref="E5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25" t="s">
        <v>77</v>
      </c>
      <c r="C2" s="126"/>
      <c r="K2" s="136" t="s">
        <v>78</v>
      </c>
      <c r="L2" s="137"/>
      <c r="M2" s="137"/>
      <c r="N2" s="137"/>
      <c r="O2" s="137"/>
      <c r="P2" s="137"/>
      <c r="Q2" s="137"/>
      <c r="R2" s="137"/>
      <c r="S2" s="137"/>
      <c r="T2" s="137"/>
      <c r="U2" s="138"/>
      <c r="W2" s="140" t="s">
        <v>461</v>
      </c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2"/>
      <c r="AN2" s="91" t="s">
        <v>79</v>
      </c>
      <c r="AO2" s="92"/>
      <c r="AP2" s="92"/>
      <c r="AQ2" s="92"/>
      <c r="AR2" s="92"/>
      <c r="AS2" s="92"/>
      <c r="AT2" s="92"/>
      <c r="AU2" s="92"/>
      <c r="AV2" s="92"/>
      <c r="AW2" s="93"/>
    </row>
    <row r="3" spans="2:49" ht="13.5" customHeight="1" thickBot="1" x14ac:dyDescent="0.2">
      <c r="B3" s="127" t="s">
        <v>80</v>
      </c>
      <c r="C3" s="128" t="s">
        <v>184</v>
      </c>
      <c r="E3" s="172" t="s">
        <v>460</v>
      </c>
      <c r="F3" s="173" t="s">
        <v>455</v>
      </c>
      <c r="G3" s="174" t="s">
        <v>237</v>
      </c>
      <c r="H3" s="175" t="s">
        <v>440</v>
      </c>
      <c r="I3" s="175" t="s">
        <v>238</v>
      </c>
      <c r="J3" s="175" t="s">
        <v>441</v>
      </c>
      <c r="K3" s="176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20" t="s">
        <v>180</v>
      </c>
      <c r="R3" s="120" t="s">
        <v>180</v>
      </c>
      <c r="S3" s="120" t="s">
        <v>180</v>
      </c>
      <c r="T3" s="120" t="s">
        <v>180</v>
      </c>
      <c r="U3" s="121" t="s">
        <v>180</v>
      </c>
      <c r="V3" s="40"/>
      <c r="W3" s="139" t="s">
        <v>91</v>
      </c>
      <c r="X3" s="139" t="s">
        <v>92</v>
      </c>
      <c r="Y3" s="139" t="s">
        <v>93</v>
      </c>
      <c r="Z3" s="139" t="s">
        <v>94</v>
      </c>
      <c r="AA3" s="139" t="s">
        <v>95</v>
      </c>
      <c r="AB3" s="139" t="s">
        <v>96</v>
      </c>
      <c r="AC3" s="139" t="s">
        <v>97</v>
      </c>
      <c r="AD3" s="139" t="s">
        <v>98</v>
      </c>
      <c r="AE3" s="139" t="s">
        <v>99</v>
      </c>
      <c r="AF3" s="139" t="s">
        <v>100</v>
      </c>
      <c r="AG3" s="139" t="s">
        <v>101</v>
      </c>
      <c r="AH3" s="139" t="s">
        <v>102</v>
      </c>
      <c r="AI3" s="139" t="s">
        <v>103</v>
      </c>
      <c r="AJ3" s="139" t="s">
        <v>104</v>
      </c>
      <c r="AK3" s="139" t="s">
        <v>105</v>
      </c>
      <c r="AL3" s="139" t="s">
        <v>106</v>
      </c>
      <c r="AN3" s="155" t="s">
        <v>82</v>
      </c>
      <c r="AO3" s="156" t="s">
        <v>180</v>
      </c>
      <c r="AP3" s="156" t="s">
        <v>180</v>
      </c>
      <c r="AQ3" s="156" t="s">
        <v>180</v>
      </c>
      <c r="AR3" s="156" t="s">
        <v>180</v>
      </c>
      <c r="AS3" s="156" t="s">
        <v>180</v>
      </c>
      <c r="AT3" s="156" t="s">
        <v>180</v>
      </c>
      <c r="AU3" s="156" t="s">
        <v>180</v>
      </c>
      <c r="AV3" s="156" t="s">
        <v>180</v>
      </c>
      <c r="AW3" s="157" t="s">
        <v>180</v>
      </c>
    </row>
    <row r="4" spans="2:49" ht="12" thickBot="1" x14ac:dyDescent="0.2">
      <c r="B4" s="129" t="s">
        <v>112</v>
      </c>
      <c r="C4" s="130" t="s">
        <v>470</v>
      </c>
      <c r="E4" s="170">
        <v>0</v>
      </c>
      <c r="F4" s="169" t="s">
        <v>382</v>
      </c>
      <c r="G4" s="169" t="s">
        <v>244</v>
      </c>
      <c r="H4" s="169" t="s">
        <v>454</v>
      </c>
      <c r="I4" s="51">
        <v>0</v>
      </c>
      <c r="J4" s="170" t="s">
        <v>410</v>
      </c>
      <c r="K4" s="171">
        <v>1</v>
      </c>
      <c r="L4" s="24"/>
      <c r="M4" s="24"/>
      <c r="N4" s="24"/>
      <c r="O4" s="24"/>
      <c r="P4" s="24"/>
      <c r="Q4" s="24"/>
      <c r="R4" s="43"/>
      <c r="S4" s="43"/>
      <c r="T4" s="43"/>
      <c r="U4" s="106"/>
      <c r="W4" s="143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5"/>
      <c r="AN4" s="109">
        <f>IF(K4="","",K4)</f>
        <v>1</v>
      </c>
      <c r="AO4" s="158"/>
      <c r="AP4" s="158"/>
      <c r="AQ4" s="158"/>
      <c r="AR4" s="158"/>
      <c r="AS4" s="158"/>
      <c r="AT4" s="158"/>
      <c r="AU4" s="158"/>
      <c r="AV4" s="158"/>
      <c r="AW4" s="159"/>
    </row>
    <row r="5" spans="2:49" ht="12" thickBot="1" x14ac:dyDescent="0.2">
      <c r="B5" s="131" t="s">
        <v>107</v>
      </c>
      <c r="C5" s="132" t="s">
        <v>108</v>
      </c>
      <c r="E5" s="105">
        <v>1</v>
      </c>
      <c r="F5" s="112" t="s">
        <v>351</v>
      </c>
      <c r="G5" s="112" t="s">
        <v>244</v>
      </c>
      <c r="H5" s="112" t="s">
        <v>454</v>
      </c>
      <c r="I5" s="24">
        <v>1</v>
      </c>
      <c r="J5" s="112" t="s">
        <v>411</v>
      </c>
      <c r="K5" s="111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106"/>
      <c r="W5" s="143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5"/>
      <c r="AN5" s="8">
        <f t="shared" ref="AN5:AN28" si="0">IF(K5="","",K5)</f>
        <v>2</v>
      </c>
      <c r="AO5" s="160"/>
      <c r="AP5" s="160"/>
      <c r="AQ5" s="160"/>
      <c r="AR5" s="160"/>
      <c r="AS5" s="160"/>
      <c r="AT5" s="160"/>
      <c r="AU5" s="160"/>
      <c r="AV5" s="160"/>
      <c r="AW5" s="161"/>
    </row>
    <row r="6" spans="2:49" ht="12" thickBot="1" x14ac:dyDescent="0.2">
      <c r="B6" s="129" t="s">
        <v>109</v>
      </c>
      <c r="C6" s="130" t="s">
        <v>110</v>
      </c>
      <c r="E6" s="105">
        <v>1</v>
      </c>
      <c r="F6" s="112" t="s">
        <v>330</v>
      </c>
      <c r="G6" s="112" t="s">
        <v>244</v>
      </c>
      <c r="H6" s="112" t="s">
        <v>454</v>
      </c>
      <c r="I6" s="24">
        <v>1</v>
      </c>
      <c r="J6" s="112" t="s">
        <v>412</v>
      </c>
      <c r="K6" s="111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106"/>
      <c r="W6" s="143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5"/>
      <c r="AN6" s="8">
        <f t="shared" si="0"/>
        <v>3</v>
      </c>
      <c r="AO6" s="160"/>
      <c r="AP6" s="160"/>
      <c r="AQ6" s="160"/>
      <c r="AR6" s="160"/>
      <c r="AS6" s="160"/>
      <c r="AT6" s="160"/>
      <c r="AU6" s="160"/>
      <c r="AV6" s="160"/>
      <c r="AW6" s="161"/>
    </row>
    <row r="7" spans="2:49" ht="12" thickBot="1" x14ac:dyDescent="0.2">
      <c r="B7" s="129" t="s">
        <v>111</v>
      </c>
      <c r="C7" s="130" t="s">
        <v>209</v>
      </c>
      <c r="E7" s="105">
        <v>1</v>
      </c>
      <c r="F7" s="112" t="s">
        <v>343</v>
      </c>
      <c r="G7" s="112" t="s">
        <v>244</v>
      </c>
      <c r="H7" s="112" t="s">
        <v>454</v>
      </c>
      <c r="I7" s="24">
        <v>1</v>
      </c>
      <c r="J7" s="112" t="s">
        <v>413</v>
      </c>
      <c r="K7" s="111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106"/>
      <c r="W7" s="143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5"/>
      <c r="AN7" s="8">
        <f t="shared" si="0"/>
        <v>4</v>
      </c>
      <c r="AO7" s="160"/>
      <c r="AP7" s="160"/>
      <c r="AQ7" s="160"/>
      <c r="AR7" s="160"/>
      <c r="AS7" s="160"/>
      <c r="AT7" s="160"/>
      <c r="AU7" s="160"/>
      <c r="AV7" s="160"/>
      <c r="AW7" s="161"/>
    </row>
    <row r="8" spans="2:49" ht="12" thickBot="1" x14ac:dyDescent="0.2">
      <c r="B8" s="129" t="s">
        <v>112</v>
      </c>
      <c r="C8" s="130" t="s">
        <v>113</v>
      </c>
      <c r="E8" s="105">
        <v>1</v>
      </c>
      <c r="F8" s="112" t="s">
        <v>355</v>
      </c>
      <c r="G8" s="112" t="s">
        <v>244</v>
      </c>
      <c r="H8" s="112" t="s">
        <v>454</v>
      </c>
      <c r="I8" s="24">
        <v>1</v>
      </c>
      <c r="J8" s="112" t="s">
        <v>414</v>
      </c>
      <c r="K8" s="111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106"/>
      <c r="W8" s="143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5"/>
      <c r="AN8" s="8">
        <f t="shared" si="0"/>
        <v>5</v>
      </c>
      <c r="AO8" s="160"/>
      <c r="AP8" s="160"/>
      <c r="AQ8" s="162"/>
      <c r="AR8" s="162"/>
      <c r="AS8" s="160"/>
      <c r="AT8" s="160"/>
      <c r="AU8" s="160"/>
      <c r="AV8" s="160"/>
      <c r="AW8" s="161"/>
    </row>
    <row r="9" spans="2:49" ht="12" thickBot="1" x14ac:dyDescent="0.2">
      <c r="B9" s="133" t="s">
        <v>114</v>
      </c>
      <c r="C9" s="134" t="s">
        <v>115</v>
      </c>
      <c r="E9" s="105">
        <v>1</v>
      </c>
      <c r="F9" s="112" t="s">
        <v>333</v>
      </c>
      <c r="G9" s="112" t="s">
        <v>244</v>
      </c>
      <c r="H9" s="112" t="s">
        <v>454</v>
      </c>
      <c r="I9" s="24">
        <v>1</v>
      </c>
      <c r="J9" s="112" t="s">
        <v>415</v>
      </c>
      <c r="K9" s="111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106"/>
      <c r="W9" s="143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5"/>
      <c r="AN9" s="8">
        <f t="shared" si="0"/>
        <v>6</v>
      </c>
      <c r="AO9" s="160"/>
      <c r="AP9" s="160"/>
      <c r="AQ9" s="160"/>
      <c r="AR9" s="160"/>
      <c r="AS9" s="160"/>
      <c r="AT9" s="160"/>
      <c r="AU9" s="160"/>
      <c r="AV9" s="160"/>
      <c r="AW9" s="161"/>
    </row>
    <row r="10" spans="2:49" ht="12" thickBot="1" x14ac:dyDescent="0.2">
      <c r="B10" s="125" t="s">
        <v>380</v>
      </c>
      <c r="C10" s="126"/>
      <c r="E10" s="105">
        <v>1</v>
      </c>
      <c r="F10" s="112" t="s">
        <v>382</v>
      </c>
      <c r="G10" s="112" t="s">
        <v>244</v>
      </c>
      <c r="H10" s="112" t="s">
        <v>454</v>
      </c>
      <c r="I10" s="24">
        <v>0</v>
      </c>
      <c r="J10" s="112" t="s">
        <v>416</v>
      </c>
      <c r="K10" s="111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106"/>
      <c r="W10" s="143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5"/>
      <c r="AN10" s="8">
        <f t="shared" si="0"/>
        <v>7</v>
      </c>
      <c r="AO10" s="160"/>
      <c r="AP10" s="160"/>
      <c r="AQ10" s="160"/>
      <c r="AR10" s="160"/>
      <c r="AS10" s="160"/>
      <c r="AT10" s="160"/>
      <c r="AU10" s="160"/>
      <c r="AV10" s="160"/>
      <c r="AW10" s="161"/>
    </row>
    <row r="11" spans="2:49" ht="12" thickBot="1" x14ac:dyDescent="0.2">
      <c r="B11" s="128" t="s">
        <v>194</v>
      </c>
      <c r="C11" s="128" t="s">
        <v>184</v>
      </c>
      <c r="E11" s="105">
        <v>1</v>
      </c>
      <c r="F11" s="112" t="s">
        <v>357</v>
      </c>
      <c r="G11" s="112" t="s">
        <v>244</v>
      </c>
      <c r="H11" s="112" t="s">
        <v>454</v>
      </c>
      <c r="I11" s="24">
        <v>1</v>
      </c>
      <c r="J11" s="112" t="s">
        <v>418</v>
      </c>
      <c r="K11" s="111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106"/>
      <c r="W11" s="143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5"/>
      <c r="AN11" s="8">
        <f t="shared" si="0"/>
        <v>8</v>
      </c>
      <c r="AO11" s="160"/>
      <c r="AP11" s="160"/>
      <c r="AQ11" s="160"/>
      <c r="AR11" s="160"/>
      <c r="AS11" s="160"/>
      <c r="AT11" s="160"/>
      <c r="AU11" s="160"/>
      <c r="AV11" s="160"/>
      <c r="AW11" s="161"/>
    </row>
    <row r="12" spans="2:49" ht="12" thickBot="1" x14ac:dyDescent="0.2">
      <c r="B12" s="130" t="s">
        <v>195</v>
      </c>
      <c r="C12" s="130" t="s">
        <v>184</v>
      </c>
      <c r="E12" s="105">
        <v>1</v>
      </c>
      <c r="F12" s="112" t="s">
        <v>357</v>
      </c>
      <c r="G12" s="112" t="s">
        <v>244</v>
      </c>
      <c r="H12" s="112" t="s">
        <v>454</v>
      </c>
      <c r="I12" s="24">
        <v>1</v>
      </c>
      <c r="J12" s="112" t="s">
        <v>438</v>
      </c>
      <c r="K12" s="111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106"/>
      <c r="W12" s="143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5"/>
      <c r="AN12" s="8">
        <f t="shared" si="0"/>
        <v>9</v>
      </c>
      <c r="AO12" s="160"/>
      <c r="AP12" s="160"/>
      <c r="AQ12" s="160"/>
      <c r="AR12" s="160"/>
      <c r="AS12" s="160"/>
      <c r="AT12" s="160"/>
      <c r="AU12" s="160"/>
      <c r="AV12" s="160"/>
      <c r="AW12" s="161"/>
    </row>
    <row r="13" spans="2:49" ht="12" thickBot="1" x14ac:dyDescent="0.2">
      <c r="B13" s="134" t="s">
        <v>196</v>
      </c>
      <c r="C13" s="134" t="s">
        <v>184</v>
      </c>
      <c r="E13" s="105">
        <v>1</v>
      </c>
      <c r="F13" s="112" t="s">
        <v>357</v>
      </c>
      <c r="G13" s="112" t="s">
        <v>244</v>
      </c>
      <c r="H13" s="112" t="s">
        <v>454</v>
      </c>
      <c r="I13" s="24">
        <v>1</v>
      </c>
      <c r="J13" s="112" t="s">
        <v>439</v>
      </c>
      <c r="K13" s="111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106"/>
      <c r="W13" s="143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5"/>
      <c r="AN13" s="8">
        <f t="shared" si="0"/>
        <v>10</v>
      </c>
      <c r="AO13" s="160"/>
      <c r="AP13" s="160"/>
      <c r="AQ13" s="160"/>
      <c r="AR13" s="160"/>
      <c r="AS13" s="160"/>
      <c r="AT13" s="160"/>
      <c r="AU13" s="160"/>
      <c r="AV13" s="160"/>
      <c r="AW13" s="161"/>
    </row>
    <row r="14" spans="2:49" ht="12" thickBot="1" x14ac:dyDescent="0.2">
      <c r="B14" s="125" t="s">
        <v>116</v>
      </c>
      <c r="C14" s="126"/>
      <c r="E14" s="105">
        <v>1</v>
      </c>
      <c r="F14" s="112" t="s">
        <v>382</v>
      </c>
      <c r="G14" s="112" t="s">
        <v>244</v>
      </c>
      <c r="H14" s="112" t="s">
        <v>454</v>
      </c>
      <c r="I14" s="24">
        <v>0</v>
      </c>
      <c r="J14" s="112" t="s">
        <v>417</v>
      </c>
      <c r="K14" s="111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106"/>
      <c r="W14" s="143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5"/>
      <c r="AN14" s="8">
        <f t="shared" si="0"/>
        <v>11</v>
      </c>
      <c r="AO14" s="160"/>
      <c r="AP14" s="160"/>
      <c r="AQ14" s="160"/>
      <c r="AR14" s="160"/>
      <c r="AS14" s="160"/>
      <c r="AT14" s="160"/>
      <c r="AU14" s="160"/>
      <c r="AV14" s="160"/>
      <c r="AW14" s="161"/>
    </row>
    <row r="15" spans="2:49" ht="12" thickBot="1" x14ac:dyDescent="0.2">
      <c r="B15" s="127" t="s">
        <v>117</v>
      </c>
      <c r="C15" s="128" t="s">
        <v>426</v>
      </c>
      <c r="E15" s="105"/>
      <c r="F15" s="112"/>
      <c r="G15" s="112"/>
      <c r="H15" s="24"/>
      <c r="I15" s="112"/>
      <c r="J15" s="112"/>
      <c r="K15" s="111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106"/>
      <c r="W15" s="143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5"/>
      <c r="AN15" s="8" t="str">
        <f t="shared" si="0"/>
        <v/>
      </c>
      <c r="AO15" s="160"/>
      <c r="AP15" s="160"/>
      <c r="AQ15" s="160"/>
      <c r="AR15" s="160"/>
      <c r="AS15" s="160"/>
      <c r="AT15" s="160"/>
      <c r="AU15" s="160"/>
      <c r="AV15" s="160"/>
      <c r="AW15" s="161"/>
    </row>
    <row r="16" spans="2:49" ht="12" thickBot="1" x14ac:dyDescent="0.2">
      <c r="B16" s="129" t="s">
        <v>118</v>
      </c>
      <c r="C16" s="130" t="s">
        <v>182</v>
      </c>
      <c r="E16" s="105"/>
      <c r="F16" s="24"/>
      <c r="G16" s="24"/>
      <c r="H16" s="24"/>
      <c r="I16" s="24"/>
      <c r="J16" s="24"/>
      <c r="K16" s="111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106"/>
      <c r="W16" s="143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5"/>
      <c r="AN16" s="8" t="str">
        <f t="shared" si="0"/>
        <v/>
      </c>
      <c r="AO16" s="160"/>
      <c r="AP16" s="160"/>
      <c r="AQ16" s="160"/>
      <c r="AR16" s="160"/>
      <c r="AS16" s="160"/>
      <c r="AT16" s="160"/>
      <c r="AU16" s="160"/>
      <c r="AV16" s="160"/>
      <c r="AW16" s="161"/>
    </row>
    <row r="17" spans="2:49" ht="12" thickBot="1" x14ac:dyDescent="0.2">
      <c r="B17" s="131" t="s">
        <v>119</v>
      </c>
      <c r="C17" s="132" t="s">
        <v>120</v>
      </c>
      <c r="E17" s="105"/>
      <c r="F17" s="24"/>
      <c r="G17" s="24"/>
      <c r="H17" s="24"/>
      <c r="I17" s="24"/>
      <c r="J17" s="24"/>
      <c r="K17" s="111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106"/>
      <c r="W17" s="143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5"/>
      <c r="AN17" s="8" t="str">
        <f t="shared" si="0"/>
        <v/>
      </c>
      <c r="AO17" s="160"/>
      <c r="AP17" s="160"/>
      <c r="AQ17" s="160"/>
      <c r="AR17" s="160"/>
      <c r="AS17" s="160"/>
      <c r="AT17" s="160"/>
      <c r="AU17" s="160"/>
      <c r="AV17" s="160"/>
      <c r="AW17" s="161"/>
    </row>
    <row r="18" spans="2:49" ht="12" thickBot="1" x14ac:dyDescent="0.2">
      <c r="B18" s="129" t="s">
        <v>181</v>
      </c>
      <c r="C18" s="130" t="s">
        <v>468</v>
      </c>
      <c r="E18" s="105"/>
      <c r="F18" s="24"/>
      <c r="G18" s="24"/>
      <c r="H18" s="24"/>
      <c r="I18" s="24"/>
      <c r="J18" s="24"/>
      <c r="K18" s="111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106"/>
      <c r="W18" s="143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5"/>
      <c r="AN18" s="8" t="str">
        <f t="shared" si="0"/>
        <v/>
      </c>
      <c r="AO18" s="160"/>
      <c r="AP18" s="160"/>
      <c r="AQ18" s="160"/>
      <c r="AR18" s="160"/>
      <c r="AS18" s="160"/>
      <c r="AT18" s="160"/>
      <c r="AU18" s="160"/>
      <c r="AV18" s="160"/>
      <c r="AW18" s="161"/>
    </row>
    <row r="19" spans="2:49" ht="12" thickBot="1" x14ac:dyDescent="0.2">
      <c r="B19" s="125" t="s">
        <v>443</v>
      </c>
      <c r="C19" s="126"/>
      <c r="E19" s="105"/>
      <c r="F19" s="24"/>
      <c r="G19" s="24"/>
      <c r="H19" s="24"/>
      <c r="I19" s="24"/>
      <c r="J19" s="24"/>
      <c r="K19" s="111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106"/>
      <c r="W19" s="143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5"/>
      <c r="AN19" s="8" t="str">
        <f t="shared" si="0"/>
        <v/>
      </c>
      <c r="AO19" s="160"/>
      <c r="AP19" s="160"/>
      <c r="AQ19" s="160"/>
      <c r="AR19" s="160"/>
      <c r="AS19" s="160"/>
      <c r="AT19" s="160"/>
      <c r="AU19" s="160"/>
      <c r="AV19" s="160"/>
      <c r="AW19" s="161"/>
    </row>
    <row r="20" spans="2:49" ht="12" thickBot="1" x14ac:dyDescent="0.2">
      <c r="B20" s="127" t="s">
        <v>381</v>
      </c>
      <c r="C20" s="128" t="s">
        <v>184</v>
      </c>
      <c r="E20" s="105"/>
      <c r="F20" s="24"/>
      <c r="G20" s="24"/>
      <c r="H20" s="24"/>
      <c r="I20" s="24"/>
      <c r="J20" s="24"/>
      <c r="K20" s="111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106"/>
      <c r="W20" s="143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5"/>
      <c r="AN20" s="8" t="str">
        <f t="shared" si="0"/>
        <v/>
      </c>
      <c r="AO20" s="160"/>
      <c r="AP20" s="160"/>
      <c r="AQ20" s="160"/>
      <c r="AR20" s="160"/>
      <c r="AS20" s="160"/>
      <c r="AT20" s="160"/>
      <c r="AU20" s="160"/>
      <c r="AV20" s="160"/>
      <c r="AW20" s="161"/>
    </row>
    <row r="21" spans="2:49" ht="12" thickBot="1" x14ac:dyDescent="0.2">
      <c r="B21" s="129" t="s">
        <v>389</v>
      </c>
      <c r="C21" s="130" t="s">
        <v>184</v>
      </c>
      <c r="E21" s="105"/>
      <c r="F21" s="24"/>
      <c r="G21" s="24"/>
      <c r="H21" s="24"/>
      <c r="I21" s="24"/>
      <c r="J21" s="24"/>
      <c r="K21" s="111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106"/>
      <c r="W21" s="143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5"/>
      <c r="AN21" s="8" t="str">
        <f t="shared" si="0"/>
        <v/>
      </c>
      <c r="AO21" s="160"/>
      <c r="AP21" s="160"/>
      <c r="AQ21" s="160"/>
      <c r="AR21" s="160"/>
      <c r="AS21" s="160"/>
      <c r="AT21" s="160"/>
      <c r="AU21" s="160"/>
      <c r="AV21" s="160"/>
      <c r="AW21" s="161"/>
    </row>
    <row r="22" spans="2:49" ht="12" thickBot="1" x14ac:dyDescent="0.2">
      <c r="B22" s="131" t="s">
        <v>237</v>
      </c>
      <c r="C22" s="132" t="s">
        <v>409</v>
      </c>
      <c r="E22" s="105"/>
      <c r="F22" s="24"/>
      <c r="G22" s="24"/>
      <c r="H22" s="24"/>
      <c r="I22" s="24"/>
      <c r="J22" s="24"/>
      <c r="K22" s="111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106"/>
      <c r="W22" s="143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5"/>
      <c r="AN22" s="8" t="str">
        <f t="shared" si="0"/>
        <v/>
      </c>
      <c r="AO22" s="160"/>
      <c r="AP22" s="160"/>
      <c r="AQ22" s="160"/>
      <c r="AR22" s="160"/>
      <c r="AS22" s="160"/>
      <c r="AT22" s="160"/>
      <c r="AU22" s="160"/>
      <c r="AV22" s="160"/>
      <c r="AW22" s="161"/>
    </row>
    <row r="23" spans="2:49" ht="12" thickBot="1" x14ac:dyDescent="0.2">
      <c r="B23" s="129" t="s">
        <v>440</v>
      </c>
      <c r="C23" s="135" t="s">
        <v>471</v>
      </c>
      <c r="E23" s="105"/>
      <c r="F23" s="24"/>
      <c r="G23" s="24"/>
      <c r="H23" s="24"/>
      <c r="I23" s="24"/>
      <c r="J23" s="24"/>
      <c r="K23" s="111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106"/>
      <c r="W23" s="143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5"/>
      <c r="AN23" s="8" t="str">
        <f t="shared" si="0"/>
        <v/>
      </c>
      <c r="AO23" s="160"/>
      <c r="AP23" s="160"/>
      <c r="AQ23" s="160"/>
      <c r="AR23" s="160"/>
      <c r="AS23" s="160"/>
      <c r="AT23" s="160"/>
      <c r="AU23" s="160"/>
      <c r="AV23" s="160"/>
      <c r="AW23" s="161"/>
    </row>
    <row r="24" spans="2:49" ht="12" thickBot="1" x14ac:dyDescent="0.2">
      <c r="B24" s="129" t="s">
        <v>238</v>
      </c>
      <c r="C24" s="135">
        <v>10</v>
      </c>
      <c r="E24" s="105"/>
      <c r="F24" s="24"/>
      <c r="G24" s="24"/>
      <c r="H24" s="24"/>
      <c r="I24" s="24"/>
      <c r="J24" s="24"/>
      <c r="K24" s="111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106"/>
      <c r="W24" s="143"/>
      <c r="X24" s="144"/>
      <c r="Y24" s="144"/>
      <c r="Z24" s="144"/>
      <c r="AA24" s="144"/>
      <c r="AB24" s="144"/>
      <c r="AC24" s="144"/>
      <c r="AD24" s="144"/>
      <c r="AE24" s="144"/>
      <c r="AF24" s="144"/>
      <c r="AG24" s="144"/>
      <c r="AH24" s="144"/>
      <c r="AI24" s="144"/>
      <c r="AJ24" s="144"/>
      <c r="AK24" s="144"/>
      <c r="AL24" s="145"/>
      <c r="AN24" s="8" t="str">
        <f t="shared" si="0"/>
        <v/>
      </c>
      <c r="AO24" s="160"/>
      <c r="AP24" s="160"/>
      <c r="AQ24" s="160"/>
      <c r="AR24" s="160"/>
      <c r="AS24" s="160"/>
      <c r="AT24" s="160"/>
      <c r="AU24" s="160"/>
      <c r="AV24" s="160"/>
      <c r="AW24" s="161"/>
    </row>
    <row r="25" spans="2:49" ht="15.75" thickBot="1" x14ac:dyDescent="0.2">
      <c r="B25" s="133" t="s">
        <v>444</v>
      </c>
      <c r="C25" s="134" t="s">
        <v>445</v>
      </c>
      <c r="E25" s="105"/>
      <c r="F25" s="24"/>
      <c r="G25" s="24"/>
      <c r="H25" s="24"/>
      <c r="I25" s="24"/>
      <c r="J25" s="24"/>
      <c r="K25" s="111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106"/>
      <c r="W25" s="143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5"/>
      <c r="AN25" s="8" t="str">
        <f t="shared" si="0"/>
        <v/>
      </c>
      <c r="AO25" s="163"/>
      <c r="AP25" s="164"/>
      <c r="AQ25" s="160"/>
      <c r="AR25" s="162"/>
      <c r="AS25" s="160"/>
      <c r="AT25" s="160"/>
      <c r="AU25" s="160"/>
      <c r="AV25" s="160"/>
      <c r="AW25" s="161"/>
    </row>
    <row r="26" spans="2:49" ht="15.75" thickBot="1" x14ac:dyDescent="0.2">
      <c r="E26" s="105"/>
      <c r="F26" s="24"/>
      <c r="G26" s="24"/>
      <c r="H26" s="24"/>
      <c r="I26" s="24"/>
      <c r="J26" s="24"/>
      <c r="K26" s="111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106"/>
      <c r="W26" s="143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5"/>
      <c r="AN26" s="8" t="str">
        <f t="shared" si="0"/>
        <v/>
      </c>
      <c r="AO26" s="163"/>
      <c r="AP26" s="164"/>
      <c r="AQ26" s="160"/>
      <c r="AR26" s="162"/>
      <c r="AS26" s="160"/>
      <c r="AT26" s="160"/>
      <c r="AU26" s="160"/>
      <c r="AV26" s="160"/>
      <c r="AW26" s="161"/>
    </row>
    <row r="27" spans="2:49" ht="12" thickBot="1" x14ac:dyDescent="0.2">
      <c r="E27" s="105"/>
      <c r="F27" s="24"/>
      <c r="G27" s="24"/>
      <c r="H27" s="24"/>
      <c r="I27" s="24"/>
      <c r="J27" s="24"/>
      <c r="K27" s="111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106"/>
      <c r="W27" s="143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5"/>
      <c r="AN27" s="8" t="str">
        <f t="shared" si="0"/>
        <v/>
      </c>
      <c r="AO27" s="160"/>
      <c r="AP27" s="160"/>
      <c r="AQ27" s="160"/>
      <c r="AR27" s="160"/>
      <c r="AS27" s="160"/>
      <c r="AT27" s="160"/>
      <c r="AU27" s="160"/>
      <c r="AV27" s="160"/>
      <c r="AW27" s="161"/>
    </row>
    <row r="28" spans="2:49" ht="12" thickBot="1" x14ac:dyDescent="0.2">
      <c r="E28" s="105"/>
      <c r="F28" s="24"/>
      <c r="G28" s="24"/>
      <c r="H28" s="24"/>
      <c r="I28" s="24"/>
      <c r="J28" s="24"/>
      <c r="K28" s="111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106"/>
      <c r="W28" s="143"/>
      <c r="X28" s="144"/>
      <c r="Y28" s="144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5"/>
      <c r="AN28" s="8" t="str">
        <f t="shared" si="0"/>
        <v/>
      </c>
      <c r="AO28" s="160"/>
      <c r="AP28" s="160"/>
      <c r="AQ28" s="160"/>
      <c r="AR28" s="160"/>
      <c r="AS28" s="160"/>
      <c r="AT28" s="160"/>
      <c r="AU28" s="160"/>
      <c r="AV28" s="160"/>
      <c r="AW28" s="161"/>
    </row>
    <row r="29" spans="2:49" ht="12" thickBot="1" x14ac:dyDescent="0.2">
      <c r="E29" s="105"/>
      <c r="F29" s="24"/>
      <c r="G29" s="24"/>
      <c r="H29" s="24"/>
      <c r="I29" s="24"/>
      <c r="J29" s="24"/>
      <c r="K29" s="111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106"/>
      <c r="W29" s="143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5"/>
      <c r="AN29" s="8"/>
      <c r="AO29" s="160"/>
      <c r="AP29" s="160"/>
      <c r="AQ29" s="160"/>
      <c r="AR29" s="160"/>
      <c r="AS29" s="160"/>
      <c r="AT29" s="160"/>
      <c r="AU29" s="160"/>
      <c r="AV29" s="160"/>
      <c r="AW29" s="161"/>
    </row>
    <row r="30" spans="2:49" ht="15.75" thickBot="1" x14ac:dyDescent="0.2">
      <c r="B30" s="113" t="s">
        <v>121</v>
      </c>
      <c r="C30" s="114"/>
      <c r="E30" s="105"/>
      <c r="F30" s="24"/>
      <c r="G30" s="24"/>
      <c r="H30" s="24"/>
      <c r="I30" s="24"/>
      <c r="J30" s="24"/>
      <c r="K30" s="111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106"/>
      <c r="W30" s="143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5"/>
      <c r="AN30" s="8"/>
      <c r="AO30" s="163"/>
      <c r="AP30" s="164"/>
      <c r="AQ30" s="160"/>
      <c r="AR30" s="162"/>
      <c r="AS30" s="160"/>
      <c r="AT30" s="160"/>
      <c r="AU30" s="160"/>
      <c r="AV30" s="160"/>
      <c r="AW30" s="161"/>
    </row>
    <row r="31" spans="2:49" ht="12" thickBot="1" x14ac:dyDescent="0.2">
      <c r="B31" s="12" t="s">
        <v>122</v>
      </c>
      <c r="C31" s="115">
        <v>0.01</v>
      </c>
      <c r="E31" s="105"/>
      <c r="F31" s="24"/>
      <c r="G31" s="24"/>
      <c r="H31" s="24"/>
      <c r="I31" s="24"/>
      <c r="J31" s="24"/>
      <c r="K31" s="111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106"/>
      <c r="W31" s="143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5"/>
      <c r="AN31" s="8"/>
      <c r="AO31" s="160"/>
      <c r="AP31" s="160"/>
      <c r="AQ31" s="160"/>
      <c r="AR31" s="160"/>
      <c r="AS31" s="160"/>
      <c r="AT31" s="160"/>
      <c r="AU31" s="160"/>
      <c r="AV31" s="160"/>
      <c r="AW31" s="161"/>
    </row>
    <row r="32" spans="2:49" ht="12" thickBot="1" x14ac:dyDescent="0.2">
      <c r="B32" s="13" t="s">
        <v>123</v>
      </c>
      <c r="C32" s="116">
        <v>0.01</v>
      </c>
      <c r="E32" s="105"/>
      <c r="F32" s="24"/>
      <c r="G32" s="24"/>
      <c r="H32" s="24"/>
      <c r="I32" s="24"/>
      <c r="J32" s="24"/>
      <c r="K32" s="111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107"/>
      <c r="W32" s="146"/>
      <c r="X32" s="147"/>
      <c r="Y32" s="147"/>
      <c r="Z32" s="147"/>
      <c r="AA32" s="148"/>
      <c r="AB32" s="144"/>
      <c r="AC32" s="144"/>
      <c r="AD32" s="144"/>
      <c r="AE32" s="147"/>
      <c r="AF32" s="147"/>
      <c r="AG32" s="147"/>
      <c r="AH32" s="144"/>
      <c r="AI32" s="144"/>
      <c r="AJ32" s="144"/>
      <c r="AK32" s="144"/>
      <c r="AL32" s="145"/>
      <c r="AN32" s="8"/>
      <c r="AO32" s="160"/>
      <c r="AP32" s="160"/>
      <c r="AQ32" s="160"/>
      <c r="AR32" s="160"/>
      <c r="AS32" s="160"/>
      <c r="AT32" s="160"/>
      <c r="AU32" s="160"/>
      <c r="AV32" s="160"/>
      <c r="AW32" s="161"/>
    </row>
    <row r="33" spans="2:49" ht="15.75" thickBot="1" x14ac:dyDescent="0.2">
      <c r="B33" s="14" t="s">
        <v>124</v>
      </c>
      <c r="C33" s="117">
        <v>0.01</v>
      </c>
      <c r="E33" s="105"/>
      <c r="F33" s="24"/>
      <c r="G33" s="24"/>
      <c r="H33" s="24"/>
      <c r="I33" s="24"/>
      <c r="J33" s="24"/>
      <c r="K33" s="111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107"/>
      <c r="W33" s="146"/>
      <c r="X33" s="149"/>
      <c r="Y33" s="149"/>
      <c r="Z33" s="147"/>
      <c r="AA33" s="148"/>
      <c r="AB33" s="144"/>
      <c r="AC33" s="144"/>
      <c r="AD33" s="144"/>
      <c r="AE33" s="147"/>
      <c r="AF33" s="149"/>
      <c r="AG33" s="149"/>
      <c r="AH33" s="144"/>
      <c r="AI33" s="144"/>
      <c r="AJ33" s="144"/>
      <c r="AK33" s="144"/>
      <c r="AL33" s="145"/>
      <c r="AN33" s="8"/>
      <c r="AO33" s="163"/>
      <c r="AP33" s="164"/>
      <c r="AQ33" s="160"/>
      <c r="AR33" s="162"/>
      <c r="AS33" s="160"/>
      <c r="AT33" s="160"/>
      <c r="AU33" s="160"/>
      <c r="AV33" s="160"/>
      <c r="AW33" s="161"/>
    </row>
    <row r="34" spans="2:49" ht="12" thickBot="1" x14ac:dyDescent="0.2">
      <c r="B34" s="13" t="s">
        <v>125</v>
      </c>
      <c r="C34" s="118" t="s">
        <v>197</v>
      </c>
      <c r="E34" s="105"/>
      <c r="F34" s="24"/>
      <c r="G34" s="24"/>
      <c r="H34" s="24"/>
      <c r="I34" s="24"/>
      <c r="J34" s="24"/>
      <c r="K34" s="111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108"/>
      <c r="W34" s="150"/>
      <c r="X34" s="151"/>
      <c r="Y34" s="151"/>
      <c r="Z34" s="152"/>
      <c r="AA34" s="152"/>
      <c r="AB34" s="153"/>
      <c r="AC34" s="153"/>
      <c r="AD34" s="153"/>
      <c r="AE34" s="151"/>
      <c r="AF34" s="151"/>
      <c r="AG34" s="151"/>
      <c r="AH34" s="153"/>
      <c r="AI34" s="153"/>
      <c r="AJ34" s="153"/>
      <c r="AK34" s="153"/>
      <c r="AL34" s="154"/>
      <c r="AN34" s="110"/>
      <c r="AO34" s="165"/>
      <c r="AP34" s="165"/>
      <c r="AQ34" s="165"/>
      <c r="AR34" s="165"/>
      <c r="AS34" s="165"/>
      <c r="AT34" s="165"/>
      <c r="AU34" s="165"/>
      <c r="AV34" s="165"/>
      <c r="AW34" s="166"/>
    </row>
    <row r="35" spans="2:49" ht="12" thickBot="1" x14ac:dyDescent="0.2">
      <c r="B35" s="13" t="s">
        <v>126</v>
      </c>
      <c r="C35" s="118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116" t="s">
        <v>189</v>
      </c>
      <c r="D36" s="24"/>
      <c r="E36" s="24"/>
      <c r="F36" s="24"/>
      <c r="G36" s="24"/>
      <c r="H36" s="24"/>
      <c r="I36" s="24"/>
      <c r="J36" s="24"/>
      <c r="K36" s="88" t="s">
        <v>130</v>
      </c>
      <c r="L36" s="89"/>
      <c r="M36" s="89"/>
      <c r="N36" s="89"/>
      <c r="O36" s="89"/>
      <c r="P36" s="89"/>
      <c r="Q36" s="89"/>
      <c r="R36" s="89"/>
      <c r="S36" s="89"/>
      <c r="T36" s="89"/>
      <c r="U36" s="90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116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116" t="s">
        <v>197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13" t="s">
        <v>462</v>
      </c>
      <c r="C39" s="114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115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116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117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19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" x14ac:dyDescent="0.25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" x14ac:dyDescent="0.25"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11:47" ht="15" x14ac:dyDescent="0.25"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11:47" ht="15" x14ac:dyDescent="0.25"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11:47" ht="15" x14ac:dyDescent="0.25"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11:47" ht="15" x14ac:dyDescent="0.25"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11:47" ht="15" x14ac:dyDescent="0.25"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11:47" ht="15" x14ac:dyDescent="0.25"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11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11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11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11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11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11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11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11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11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11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88" t="s">
        <v>131</v>
      </c>
      <c r="L71" s="89"/>
      <c r="M71" s="89"/>
      <c r="N71" s="89"/>
      <c r="O71" s="89"/>
      <c r="P71" s="89"/>
      <c r="Q71" s="89"/>
      <c r="R71" s="89"/>
      <c r="S71" s="89"/>
      <c r="T71" s="89"/>
      <c r="U71" s="90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0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</mergeCells>
  <phoneticPr fontId="22" type="noConversion"/>
  <dataValidations count="8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104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104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104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104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104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104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104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tabSelected="1" zoomScale="85" zoomScaleNormal="85" workbookViewId="0">
      <selection activeCell="G38" sqref="G38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88" t="s">
        <v>78</v>
      </c>
      <c r="L3" s="89"/>
      <c r="M3" s="89"/>
      <c r="N3" s="89"/>
      <c r="O3" s="89"/>
      <c r="P3" s="89"/>
      <c r="Q3" s="89"/>
      <c r="R3" s="89"/>
      <c r="S3" s="89"/>
      <c r="T3" s="89"/>
      <c r="U3" s="90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0</v>
      </c>
      <c r="E4" s="120" t="s">
        <v>460</v>
      </c>
      <c r="F4" s="122" t="s">
        <v>455</v>
      </c>
      <c r="G4" s="123" t="s">
        <v>237</v>
      </c>
      <c r="H4" s="124" t="s">
        <v>440</v>
      </c>
      <c r="I4" s="124" t="s">
        <v>238</v>
      </c>
      <c r="J4" s="124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0</v>
      </c>
      <c r="F5" s="2" t="str">
        <f>IF(E5=1,IF('Control Panel'!F4="","",'Control Panel'!F4),"")</f>
        <v/>
      </c>
      <c r="G5" s="2" t="str">
        <f>IF(E5=1,IF('Control Panel'!G4="","",'Control Panel'!G4),"")</f>
        <v/>
      </c>
      <c r="H5" s="2" t="str">
        <f>IF(E5=1,IF('Control Panel'!H4="","",'Control Panel'!H4),"")</f>
        <v/>
      </c>
      <c r="I5" s="2" t="str">
        <f>IF(E5=1,IF('Control Panel'!I4="","",'Control Panel'!I4),"")</f>
        <v/>
      </c>
      <c r="J5" s="2" t="str">
        <f>IF(E5=1,IF('Control Panel'!J4="","",'Control Panel'!J4),"")</f>
        <v/>
      </c>
      <c r="K5" s="26" t="str">
        <f>IF(E5=1,IF('Control Panel'!K4="","",'Control Panel'!K4),"")</f>
        <v/>
      </c>
      <c r="L5" s="22" t="str">
        <f>IF($K5="","",IF(L$4="","",IF('Control Panel'!L4="",VLOOKUP($F5,'Table Output'!$A:$BW,MATCH(L$4,'Table Output'!$A$1:$BT$1,0),),'Control Panel'!L4)))</f>
        <v/>
      </c>
      <c r="M5" s="22" t="str">
        <f>IF($K5="","",IF(M$4="","",IF('Control Panel'!M4="",VLOOKUP($F5,'Table Output'!$A:$BW,MATCH(M$4,'Table Output'!$A$1:$BT$1,0),),'Control Panel'!M4)))</f>
        <v/>
      </c>
      <c r="N5" s="22" t="str">
        <f>IF($K5="","",IF(N$4="","",IF('Control Panel'!N4="",VLOOKUP($F5,'Table Output'!$A:$BW,MATCH(N$4,'Table Output'!$A$1:$BT$1,0),),'Control Panel'!N4)))</f>
        <v/>
      </c>
      <c r="O5" s="22" t="str">
        <f>IF($K5="","",IF(O$4="","",IF('Control Panel'!O4="",VLOOKUP($F5,'Table Output'!$A:$BW,MATCH(O$4,'Table Output'!$A$1:$BT$1,0),),'Control Panel'!O4)))</f>
        <v/>
      </c>
      <c r="P5" s="22" t="str">
        <f>IF($K5="","",IF(P$4="","",IF('Control Panel'!P4="",VLOOKUP($F5,'Table Output'!$A:$BW,MATCH(P$4,'Table Output'!$A$1:$BT$1,0),),'Control Panel'!P4)))</f>
        <v/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 t="str">
        <f>IF($K5="","",IF('Control Panel'!W4="",VLOOKUP($F5,'Table Output'!$A$2:$BW$99998,MATCH(W$4,'Table Output'!$A$1:$BT$1,0),),'Control Panel'!W4))</f>
        <v/>
      </c>
      <c r="X5" s="22" t="str">
        <f>IF($K5="","",IF('Control Panel'!X4="",VLOOKUP($F5,'Table Output'!$A$2:$BW$99998,MATCH(X$4,'Table Output'!$A$1:$BT$1,0),),'Control Panel'!X4))</f>
        <v/>
      </c>
      <c r="Y5" s="22" t="str">
        <f>IF($K5="","",IF('Control Panel'!Y4="",VLOOKUP($F5,'Table Output'!$A$2:$BW$99998,MATCH(Y$4,'Table Output'!$A$1:$BT$1,0),),'Control Panel'!Y4))</f>
        <v/>
      </c>
      <c r="Z5" s="22" t="str">
        <f>IF($K5="","",IF('Control Panel'!Z4="",VLOOKUP($F5,'Table Output'!$A$2:$BW$99998,MATCH(Z$4,'Table Output'!$A$1:$BT$1,0),),'Control Panel'!Z4))</f>
        <v/>
      </c>
      <c r="AA5" s="22" t="str">
        <f>IF($K5="","",IF('Control Panel'!AA4="",VLOOKUP($F5,'Table Output'!$A$2:$BW$99998,MATCH(AA$4,'Table Output'!$A$1:$BT$1,0),),'Control Panel'!AA4))</f>
        <v/>
      </c>
      <c r="AB5" s="22" t="str">
        <f>IF($K5="","",IF('Control Panel'!AB4="",VLOOKUP($F5,'Table Output'!$A$2:$BW$99998,MATCH(AB$4,'Table Output'!$A$1:$BT$1,0),),'Control Panel'!AB4))</f>
        <v/>
      </c>
      <c r="AC5" s="22" t="str">
        <f>IF($K5="","",IF('Control Panel'!AC4="",VLOOKUP($F5,'Table Output'!$A$2:$BW$99998,MATCH(AC$4,'Table Output'!$A$1:$BT$1,0),),'Control Panel'!AC4))</f>
        <v/>
      </c>
      <c r="AD5" s="22" t="str">
        <f>IF($K5="","",IF('Control Panel'!AD4="",VLOOKUP($F5,'Table Output'!$A$2:$BW$99998,MATCH(AD$4,'Table Output'!$A$1:$BT$1,0),),'Control Panel'!AD4))</f>
        <v/>
      </c>
      <c r="AE5" s="22" t="str">
        <f>IF($K5="","",IF('Control Panel'!AE4="",VLOOKUP($F5,'Table Output'!$A$2:$BW$99998,MATCH(AE$4,'Table Output'!$A$1:$BT$1,0),),'Control Panel'!AE4))</f>
        <v/>
      </c>
      <c r="AF5" s="22" t="str">
        <f>IF($K5="","",IF('Control Panel'!AF4="",VLOOKUP($F5,'Table Output'!$A$2:$BW$99998,MATCH(AF$4,'Table Output'!$A$1:$BT$1,0),),'Control Panel'!AF4))</f>
        <v/>
      </c>
      <c r="AG5" s="22" t="str">
        <f>IF($K5="","",IF('Control Panel'!AG4="",VLOOKUP($F5,'Table Output'!$A$2:$BW$99998,MATCH(AG$4,'Table Output'!$A$1:$BT$1,0),),'Control Panel'!AG4))</f>
        <v/>
      </c>
      <c r="AH5" s="22" t="str">
        <f>IF($K5="","",IF('Control Panel'!AH4="",VLOOKUP($F5,'Table Output'!$A$2:$BW$99998,MATCH(AH$4,'Table Output'!$A$1:$BT$1,0),),'Control Panel'!AH4))</f>
        <v/>
      </c>
      <c r="AI5" s="22" t="str">
        <f>IF($K5="","",IF('Control Panel'!AI4="",VLOOKUP($F5,'Table Output'!$A$2:$BW$99998,MATCH(AI$4,'Table Output'!$A$1:$BT$1,0),),'Control Panel'!AI4))</f>
        <v/>
      </c>
      <c r="AJ5" s="22" t="str">
        <f>IF($K5="","",IF('Control Panel'!AJ4="",VLOOKUP($F5,'Table Output'!$A$2:$BW$99998,MATCH(AJ$4,'Table Output'!$A$1:$BT$1,0),),'Control Panel'!AJ4))</f>
        <v/>
      </c>
      <c r="AK5" s="22" t="str">
        <f>IF($K5="","",IF('Control Panel'!AK4="",VLOOKUP($F5,'Table Output'!$A$2:$BW$99998,MATCH(AK$4,'Table Output'!$A$1:$BT$1,0),),'Control Panel'!AK4))</f>
        <v/>
      </c>
      <c r="AL5" s="22" t="str">
        <f>IF($K5="","",IF('Control Panel'!AL4="",VLOOKUP($F5,'Table Output'!$A$2:$BW$99998,MATCH(AL$4,'Table Output'!$A$1:$BT$1,0),),'Control Panel'!AL4))</f>
        <v/>
      </c>
      <c r="AN5" s="35" t="str">
        <f>K5</f>
        <v/>
      </c>
      <c r="AO5" s="32" t="str">
        <f>IF(AO$4="","",IF($K5="","",IF('Control Panel'!AO4="",VLOOKUP($F5,'Table Output'!$A$2:$BW$99998,MATCH(AO$4,'Table Output'!$A$1:$BT$1,0),FALSE),'Control Panel'!AO4)))</f>
        <v/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0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10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88" t="s">
        <v>151</v>
      </c>
      <c r="L36" s="89"/>
      <c r="M36" s="89"/>
      <c r="N36" s="89"/>
      <c r="O36" s="89"/>
      <c r="P36" s="89"/>
      <c r="Q36" s="89"/>
      <c r="R36" s="89"/>
      <c r="S36" s="89"/>
      <c r="T36" s="89"/>
      <c r="U36" s="90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2&amp;1</v>
      </c>
      <c r="F38" s="2" t="str">
        <f>F5</f>
        <v/>
      </c>
      <c r="K38" s="5" t="str">
        <f>K5</f>
        <v/>
      </c>
      <c r="L38" s="28" t="str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/>
      </c>
      <c r="M38" s="28" t="str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/>
      </c>
      <c r="N38" s="28" t="str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/>
      </c>
      <c r="O38" s="28" t="str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/>
      </c>
      <c r="P38" s="28" t="str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E39: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E40: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E41: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E42: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E43: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E44: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F45" s="2" t="str">
        <f t="shared" ref="E45: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F46" s="2" t="str">
        <f t="shared" ref="E46: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F47" s="2" t="str">
        <f t="shared" ref="E47: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F48" s="2" t="str">
        <f t="shared" ref="E48: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5:63" x14ac:dyDescent="0.15">
      <c r="F49" s="2" t="str">
        <f t="shared" ref="E49: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5:63" x14ac:dyDescent="0.15">
      <c r="F50" s="2" t="str">
        <f t="shared" ref="E50: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5:63" x14ac:dyDescent="0.15">
      <c r="F51" s="2" t="str">
        <f t="shared" ref="E51: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5:63" x14ac:dyDescent="0.15">
      <c r="F52" s="2" t="str">
        <f t="shared" ref="E52: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5:63" x14ac:dyDescent="0.15"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5:63" x14ac:dyDescent="0.15">
      <c r="E54" s="2" t="str">
        <f t="shared" ref="E54:F54" si="19">E21</f>
        <v/>
      </c>
      <c r="F54" s="2" t="str">
        <f t="shared" si="19"/>
        <v/>
      </c>
      <c r="G54" s="2" t="str">
        <f t="shared" ref="E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5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E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5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E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5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E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5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E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5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E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5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E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5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E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5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E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5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E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5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E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E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E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E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88" t="s">
        <v>175</v>
      </c>
      <c r="L71" s="89"/>
      <c r="M71" s="89"/>
      <c r="N71" s="89"/>
      <c r="O71" s="89"/>
      <c r="P71" s="89"/>
      <c r="Q71" s="89"/>
      <c r="R71" s="89"/>
      <c r="S71" s="89"/>
      <c r="T71" s="89"/>
      <c r="U71" s="90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/>
      </c>
      <c r="K73" s="5" t="str">
        <f>K38</f>
        <v/>
      </c>
      <c r="L73" s="28" t="str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/>
      </c>
      <c r="M73" s="28" t="str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/>
      </c>
      <c r="N73" s="28" t="str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/>
      </c>
      <c r="O73" s="28" t="str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/>
      </c>
      <c r="P73" s="28" t="str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E74:J74" si="48">F39</f>
        <v>Sand_75</v>
      </c>
      <c r="K74" s="5">
        <f t="shared" ref="E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E75:J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E76:J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E77:J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E78:J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E79:J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E80:J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E81:J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E82:J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E83:J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E84:J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E85:J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E86:J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E87:J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J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J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J90" si="65">E55</f>
        <v/>
      </c>
      <c r="F90" s="2" t="str">
        <f t="shared" si="65"/>
        <v/>
      </c>
      <c r="K90" s="5" t="str">
        <f t="shared" ref="E90:K92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J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J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J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J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21" priority="52">
      <formula>$L17="API sand"</formula>
    </cfRule>
  </conditionalFormatting>
  <conditionalFormatting sqref="R29:S36 AB29:AB35 AK17:AL17">
    <cfRule type="expression" dxfId="120" priority="51">
      <formula>$M17="API sand"</formula>
    </cfRule>
  </conditionalFormatting>
  <conditionalFormatting sqref="R29:T36 AB29:AB35 AK17:AL17">
    <cfRule type="expression" dxfId="119" priority="50">
      <formula>$M17="API clay"</formula>
    </cfRule>
  </conditionalFormatting>
  <conditionalFormatting sqref="U29:W36 AA17 AE17:AI17 V17 AM17:AP17 AM29:AP36">
    <cfRule type="expression" dxfId="118" priority="47">
      <formula>$L17="Stiff clay w/o free water"</formula>
    </cfRule>
    <cfRule type="expression" dxfId="117" priority="49">
      <formula>$L17="API clay"</formula>
    </cfRule>
  </conditionalFormatting>
  <conditionalFormatting sqref="U29:Y36 AA17 AE17:AI17 V17 AM17:AP17 AM29:AP36">
    <cfRule type="expression" dxfId="116" priority="48">
      <formula>$L17="Kirsch soft clay"</formula>
    </cfRule>
  </conditionalFormatting>
  <conditionalFormatting sqref="U29:Y36 AA17 AE17:AI17 V17 AM17:AP17 AM29:AP36">
    <cfRule type="expression" dxfId="115" priority="46">
      <formula>$L17="Kirsch stiff clay"</formula>
    </cfRule>
  </conditionalFormatting>
  <conditionalFormatting sqref="T17 AJ17 R17 AB17 Y17:Z17 AM17:AQ17 AM29:AP36">
    <cfRule type="expression" dxfId="114" priority="45">
      <formula>$L17="Kirsch sand"</formula>
    </cfRule>
  </conditionalFormatting>
  <conditionalFormatting sqref="AM17:AP17 AM29:AP36">
    <cfRule type="expression" dxfId="113" priority="44">
      <formula>$L17="Modified Weak rock"</formula>
    </cfRule>
  </conditionalFormatting>
  <conditionalFormatting sqref="U29:V36 AA17 AE17:AI17 V17 AM17:AP17 AM29:AP36">
    <cfRule type="expression" dxfId="112" priority="43">
      <formula>$L17="Reese stiff clay"</formula>
    </cfRule>
  </conditionalFormatting>
  <conditionalFormatting sqref="N30:N36 Q29:Q36">
    <cfRule type="expression" dxfId="111" priority="42">
      <formula>$L29="API sand"</formula>
    </cfRule>
  </conditionalFormatting>
  <conditionalFormatting sqref="N30:N36 AB36 AJ29:AL36 Z29:Z36">
    <cfRule type="expression" dxfId="110" priority="41">
      <formula>$M29="API sand"</formula>
    </cfRule>
  </conditionalFormatting>
  <conditionalFormatting sqref="Z36:AB36 AK29:AL36 N30:N36 Z29:AA35">
    <cfRule type="expression" dxfId="109" priority="40">
      <formula>$M29="API clay"</formula>
    </cfRule>
  </conditionalFormatting>
  <conditionalFormatting sqref="N30:P36 O29:P29">
    <cfRule type="expression" dxfId="108" priority="37">
      <formula>$L29="Stiff clay w/o free water"</formula>
    </cfRule>
    <cfRule type="expression" dxfId="107" priority="39">
      <formula>$L29="API clay"</formula>
    </cfRule>
  </conditionalFormatting>
  <conditionalFormatting sqref="N30:P36 O29:P29">
    <cfRule type="expression" dxfId="106" priority="38">
      <formula>$L29="Kirsch soft clay"</formula>
    </cfRule>
  </conditionalFormatting>
  <conditionalFormatting sqref="N30:P36 O29:P29">
    <cfRule type="expression" dxfId="105" priority="36">
      <formula>$L29="Kirsch stiff clay"</formula>
    </cfRule>
  </conditionalFormatting>
  <conditionalFormatting sqref="N30:N36 Q29:Q36 X29:Y36">
    <cfRule type="expression" dxfId="104" priority="35">
      <formula>$L29="Kirsch sand"</formula>
    </cfRule>
  </conditionalFormatting>
  <conditionalFormatting sqref="N30:N36 AC29:AD36 AI29:AI36">
    <cfRule type="expression" dxfId="103" priority="34">
      <formula>$L29="Modified Weak rock"</formula>
    </cfRule>
  </conditionalFormatting>
  <conditionalFormatting sqref="N30:P36 O29:P29">
    <cfRule type="expression" dxfId="102" priority="33">
      <formula>$L29="Reese stiff clay"</formula>
    </cfRule>
  </conditionalFormatting>
  <conditionalFormatting sqref="AA17 AE17:AI17 V17 AM17:AP17">
    <cfRule type="expression" dxfId="101" priority="32">
      <formula>$L17="PISA clay"</formula>
    </cfRule>
  </conditionalFormatting>
  <conditionalFormatting sqref="AM17:AP17">
    <cfRule type="expression" dxfId="100" priority="31">
      <formula>$L17="PISA sand"</formula>
    </cfRule>
  </conditionalFormatting>
  <conditionalFormatting sqref="AE37:AH37">
    <cfRule type="expression" dxfId="99" priority="53">
      <formula>$L19="Modified Weak rock"</formula>
    </cfRule>
  </conditionalFormatting>
  <conditionalFormatting sqref="Q17 S17 W17">
    <cfRule type="expression" dxfId="98" priority="30">
      <formula>$L17="API sand"</formula>
    </cfRule>
  </conditionalFormatting>
  <conditionalFormatting sqref="O17:P17">
    <cfRule type="expression" dxfId="97" priority="27">
      <formula>$L17="Stiff clay w/o free water"</formula>
    </cfRule>
    <cfRule type="expression" dxfId="96" priority="29">
      <formula>$L17="API clay"</formula>
    </cfRule>
  </conditionalFormatting>
  <conditionalFormatting sqref="O17:P17">
    <cfRule type="expression" dxfId="95" priority="28">
      <formula>$L17="Kirsch soft clay"</formula>
    </cfRule>
  </conditionalFormatting>
  <conditionalFormatting sqref="O17:P17">
    <cfRule type="expression" dxfId="94" priority="26">
      <formula>$L17="Kirsch stiff clay"</formula>
    </cfRule>
  </conditionalFormatting>
  <conditionalFormatting sqref="Q17 S17 W17">
    <cfRule type="expression" dxfId="93" priority="25">
      <formula>$L17="Kirsch sand"</formula>
    </cfRule>
  </conditionalFormatting>
  <conditionalFormatting sqref="O17:P17">
    <cfRule type="expression" dxfId="92" priority="24">
      <formula>$L17="Reese stiff clay"</formula>
    </cfRule>
  </conditionalFormatting>
  <conditionalFormatting sqref="O17:P17">
    <cfRule type="expression" dxfId="91" priority="23">
      <formula>$L17="PISA clay"</formula>
    </cfRule>
  </conditionalFormatting>
  <conditionalFormatting sqref="AD17">
    <cfRule type="expression" dxfId="90" priority="20">
      <formula>$L17="Stiff clay w/o free water"</formula>
    </cfRule>
    <cfRule type="expression" dxfId="89" priority="22">
      <formula>$L17="API clay"</formula>
    </cfRule>
  </conditionalFormatting>
  <conditionalFormatting sqref="AD17">
    <cfRule type="expression" dxfId="88" priority="21">
      <formula>$L17="Kirsch soft clay"</formula>
    </cfRule>
  </conditionalFormatting>
  <conditionalFormatting sqref="AD17">
    <cfRule type="expression" dxfId="87" priority="19">
      <formula>$L17="Kirsch stiff clay"</formula>
    </cfRule>
  </conditionalFormatting>
  <conditionalFormatting sqref="AD17">
    <cfRule type="expression" dxfId="86" priority="18">
      <formula>$L17="Reese stiff clay"</formula>
    </cfRule>
  </conditionalFormatting>
  <conditionalFormatting sqref="AD17">
    <cfRule type="expression" dxfId="85" priority="17">
      <formula>$L17="PISA clay"</formula>
    </cfRule>
  </conditionalFormatting>
  <conditionalFormatting sqref="AC17">
    <cfRule type="expression" dxfId="84" priority="14">
      <formula>$L17="Stiff clay w/o free water"</formula>
    </cfRule>
    <cfRule type="expression" dxfId="83" priority="16">
      <formula>$L17="API clay"</formula>
    </cfRule>
  </conditionalFormatting>
  <conditionalFormatting sqref="AC17">
    <cfRule type="expression" dxfId="82" priority="15">
      <formula>$L17="Kirsch soft clay"</formula>
    </cfRule>
  </conditionalFormatting>
  <conditionalFormatting sqref="AC17">
    <cfRule type="expression" dxfId="81" priority="13">
      <formula>$L17="Kirsch stiff clay"</formula>
    </cfRule>
  </conditionalFormatting>
  <conditionalFormatting sqref="AC17">
    <cfRule type="expression" dxfId="80" priority="12">
      <formula>$L17="Reese stiff clay"</formula>
    </cfRule>
  </conditionalFormatting>
  <conditionalFormatting sqref="AC17">
    <cfRule type="expression" dxfId="79" priority="11">
      <formula>$L17="PISA clay"</formula>
    </cfRule>
  </conditionalFormatting>
  <conditionalFormatting sqref="X17">
    <cfRule type="expression" dxfId="78" priority="10">
      <formula>$L17="API sand"</formula>
    </cfRule>
  </conditionalFormatting>
  <conditionalFormatting sqref="X17">
    <cfRule type="expression" dxfId="77" priority="9">
      <formula>$L17="Kirsch sand"</formula>
    </cfRule>
  </conditionalFormatting>
  <conditionalFormatting sqref="U17">
    <cfRule type="expression" dxfId="76" priority="6">
      <formula>$L17="Stiff clay w/o free water"</formula>
    </cfRule>
    <cfRule type="expression" dxfId="75" priority="8">
      <formula>$L17="API clay"</formula>
    </cfRule>
  </conditionalFormatting>
  <conditionalFormatting sqref="U17">
    <cfRule type="expression" dxfId="74" priority="7">
      <formula>$L17="Kirsch soft clay"</formula>
    </cfRule>
  </conditionalFormatting>
  <conditionalFormatting sqref="U17">
    <cfRule type="expression" dxfId="73" priority="5">
      <formula>$L17="Kirsch stiff clay"</formula>
    </cfRule>
  </conditionalFormatting>
  <conditionalFormatting sqref="U17">
    <cfRule type="expression" dxfId="72" priority="4">
      <formula>$L17="Reese stiff clay"</formula>
    </cfRule>
  </conditionalFormatting>
  <conditionalFormatting sqref="U17">
    <cfRule type="expression" dxfId="71" priority="3">
      <formula>$L17="PISA clay"</formula>
    </cfRule>
  </conditionalFormatting>
  <conditionalFormatting sqref="AR17">
    <cfRule type="expression" dxfId="70" priority="2">
      <formula>$L17="API sand"</formula>
    </cfRule>
  </conditionalFormatting>
  <conditionalFormatting sqref="AR17">
    <cfRule type="expression" dxfId="69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68" priority="52">
      <formula>$L17="API sand"</formula>
    </cfRule>
  </conditionalFormatting>
  <conditionalFormatting sqref="R29:S36 AB29:AB35 AK17:AL17">
    <cfRule type="expression" dxfId="67" priority="51">
      <formula>$M17="API sand"</formula>
    </cfRule>
  </conditionalFormatting>
  <conditionalFormatting sqref="R29:T36 AB29:AB35 AK17:AL17">
    <cfRule type="expression" dxfId="66" priority="50">
      <formula>$M17="API clay"</formula>
    </cfRule>
  </conditionalFormatting>
  <conditionalFormatting sqref="U29:W36 AA17 AE17:AI17 V17 AM17:AP17 AM29:AP36">
    <cfRule type="expression" dxfId="65" priority="47">
      <formula>$L17="Stiff clay w/o free water"</formula>
    </cfRule>
    <cfRule type="expression" dxfId="64" priority="49">
      <formula>$L17="API clay"</formula>
    </cfRule>
  </conditionalFormatting>
  <conditionalFormatting sqref="U29:Y36 AA17 AE17:AI17 V17 AM17:AP17 AM29:AP36">
    <cfRule type="expression" dxfId="63" priority="48">
      <formula>$L17="Kirsch soft clay"</formula>
    </cfRule>
  </conditionalFormatting>
  <conditionalFormatting sqref="U29:Y36 AA17 AE17:AI17 V17 AM17:AP17 AM29:AP36">
    <cfRule type="expression" dxfId="62" priority="46">
      <formula>$L17="Kirsch stiff clay"</formula>
    </cfRule>
  </conditionalFormatting>
  <conditionalFormatting sqref="T17 AJ17 R17 AB17 Y17:Z17 AM17:AQ17 AM29:AP36">
    <cfRule type="expression" dxfId="61" priority="45">
      <formula>$L17="Kirsch sand"</formula>
    </cfRule>
  </conditionalFormatting>
  <conditionalFormatting sqref="AM17:AP17 AM29:AP36">
    <cfRule type="expression" dxfId="60" priority="44">
      <formula>$L17="Modified Weak rock"</formula>
    </cfRule>
  </conditionalFormatting>
  <conditionalFormatting sqref="U29:V36 AA17 AE17:AI17 V17 AM17:AP17 AM29:AP36">
    <cfRule type="expression" dxfId="59" priority="43">
      <formula>$L17="Reese stiff clay"</formula>
    </cfRule>
  </conditionalFormatting>
  <conditionalFormatting sqref="N30:N36 Q29:Q36">
    <cfRule type="expression" dxfId="58" priority="42">
      <formula>$L29="API sand"</formula>
    </cfRule>
  </conditionalFormatting>
  <conditionalFormatting sqref="N30:N36 AB36 AJ29:AL36 Z29:Z36">
    <cfRule type="expression" dxfId="57" priority="41">
      <formula>$M29="API sand"</formula>
    </cfRule>
  </conditionalFormatting>
  <conditionalFormatting sqref="Z36:AB36 AK29:AL36 N30:N36 Z29:AA35">
    <cfRule type="expression" dxfId="56" priority="40">
      <formula>$M29="API clay"</formula>
    </cfRule>
  </conditionalFormatting>
  <conditionalFormatting sqref="N30:P36 O29:P29">
    <cfRule type="expression" dxfId="55" priority="37">
      <formula>$L29="Stiff clay w/o free water"</formula>
    </cfRule>
    <cfRule type="expression" dxfId="54" priority="39">
      <formula>$L29="API clay"</formula>
    </cfRule>
  </conditionalFormatting>
  <conditionalFormatting sqref="N30:P36 O29:P29">
    <cfRule type="expression" dxfId="53" priority="38">
      <formula>$L29="Kirsch soft clay"</formula>
    </cfRule>
  </conditionalFormatting>
  <conditionalFormatting sqref="N30:P36 O29:P29">
    <cfRule type="expression" dxfId="52" priority="36">
      <formula>$L29="Kirsch stiff clay"</formula>
    </cfRule>
  </conditionalFormatting>
  <conditionalFormatting sqref="N30:N36 Q29:Q36 X29:Y36">
    <cfRule type="expression" dxfId="51" priority="35">
      <formula>$L29="Kirsch sand"</formula>
    </cfRule>
  </conditionalFormatting>
  <conditionalFormatting sqref="N30:N36 AC29:AD36 AI29:AI36">
    <cfRule type="expression" dxfId="50" priority="34">
      <formula>$L29="Modified Weak rock"</formula>
    </cfRule>
  </conditionalFormatting>
  <conditionalFormatting sqref="N30:P36 O29:P29">
    <cfRule type="expression" dxfId="49" priority="33">
      <formula>$L29="Reese stiff clay"</formula>
    </cfRule>
  </conditionalFormatting>
  <conditionalFormatting sqref="AA17 AE17:AI17 V17 AM17:AP17">
    <cfRule type="expression" dxfId="48" priority="32">
      <formula>$L17="PISA clay"</formula>
    </cfRule>
  </conditionalFormatting>
  <conditionalFormatting sqref="AM17:AP17">
    <cfRule type="expression" dxfId="47" priority="31">
      <formula>$L17="PISA sand"</formula>
    </cfRule>
  </conditionalFormatting>
  <conditionalFormatting sqref="AE37:AH37">
    <cfRule type="expression" dxfId="46" priority="53">
      <formula>$L19="Modified Weak rock"</formula>
    </cfRule>
  </conditionalFormatting>
  <conditionalFormatting sqref="Q17 S17 W17">
    <cfRule type="expression" dxfId="45" priority="30">
      <formula>$L17="API sand"</formula>
    </cfRule>
  </conditionalFormatting>
  <conditionalFormatting sqref="O17:P17">
    <cfRule type="expression" dxfId="44" priority="27">
      <formula>$L17="Stiff clay w/o free water"</formula>
    </cfRule>
    <cfRule type="expression" dxfId="43" priority="29">
      <formula>$L17="API clay"</formula>
    </cfRule>
  </conditionalFormatting>
  <conditionalFormatting sqref="O17:P17">
    <cfRule type="expression" dxfId="42" priority="28">
      <formula>$L17="Kirsch soft clay"</formula>
    </cfRule>
  </conditionalFormatting>
  <conditionalFormatting sqref="O17:P17">
    <cfRule type="expression" dxfId="41" priority="26">
      <formula>$L17="Kirsch stiff clay"</formula>
    </cfRule>
  </conditionalFormatting>
  <conditionalFormatting sqref="Q17 S17 W17">
    <cfRule type="expression" dxfId="40" priority="25">
      <formula>$L17="Kirsch sand"</formula>
    </cfRule>
  </conditionalFormatting>
  <conditionalFormatting sqref="O17:P17">
    <cfRule type="expression" dxfId="39" priority="24">
      <formula>$L17="Reese stiff clay"</formula>
    </cfRule>
  </conditionalFormatting>
  <conditionalFormatting sqref="O17:P17">
    <cfRule type="expression" dxfId="38" priority="23">
      <formula>$L17="PISA clay"</formula>
    </cfRule>
  </conditionalFormatting>
  <conditionalFormatting sqref="AD17">
    <cfRule type="expression" dxfId="37" priority="20">
      <formula>$L17="Stiff clay w/o free water"</formula>
    </cfRule>
    <cfRule type="expression" dxfId="36" priority="22">
      <formula>$L17="API clay"</formula>
    </cfRule>
  </conditionalFormatting>
  <conditionalFormatting sqref="AD17">
    <cfRule type="expression" dxfId="35" priority="21">
      <formula>$L17="Kirsch soft clay"</formula>
    </cfRule>
  </conditionalFormatting>
  <conditionalFormatting sqref="AD17">
    <cfRule type="expression" dxfId="34" priority="19">
      <formula>$L17="Kirsch stiff clay"</formula>
    </cfRule>
  </conditionalFormatting>
  <conditionalFormatting sqref="AD17">
    <cfRule type="expression" dxfId="33" priority="18">
      <formula>$L17="Reese stiff clay"</formula>
    </cfRule>
  </conditionalFormatting>
  <conditionalFormatting sqref="AD17">
    <cfRule type="expression" dxfId="32" priority="17">
      <formula>$L17="PISA clay"</formula>
    </cfRule>
  </conditionalFormatting>
  <conditionalFormatting sqref="AC17">
    <cfRule type="expression" dxfId="31" priority="14">
      <formula>$L17="Stiff clay w/o free water"</formula>
    </cfRule>
    <cfRule type="expression" dxfId="30" priority="16">
      <formula>$L17="API clay"</formula>
    </cfRule>
  </conditionalFormatting>
  <conditionalFormatting sqref="AC17">
    <cfRule type="expression" dxfId="29" priority="15">
      <formula>$L17="Kirsch soft clay"</formula>
    </cfRule>
  </conditionalFormatting>
  <conditionalFormatting sqref="AC17">
    <cfRule type="expression" dxfId="28" priority="13">
      <formula>$L17="Kirsch stiff clay"</formula>
    </cfRule>
  </conditionalFormatting>
  <conditionalFormatting sqref="AC17">
    <cfRule type="expression" dxfId="27" priority="12">
      <formula>$L17="Reese stiff clay"</formula>
    </cfRule>
  </conditionalFormatting>
  <conditionalFormatting sqref="AC17">
    <cfRule type="expression" dxfId="26" priority="11">
      <formula>$L17="PISA clay"</formula>
    </cfRule>
  </conditionalFormatting>
  <conditionalFormatting sqref="X17">
    <cfRule type="expression" dxfId="25" priority="10">
      <formula>$L17="API sand"</formula>
    </cfRule>
  </conditionalFormatting>
  <conditionalFormatting sqref="X17">
    <cfRule type="expression" dxfId="24" priority="9">
      <formula>$L17="Kirsch sand"</formula>
    </cfRule>
  </conditionalFormatting>
  <conditionalFormatting sqref="U17">
    <cfRule type="expression" dxfId="23" priority="6">
      <formula>$L17="Stiff clay w/o free water"</formula>
    </cfRule>
    <cfRule type="expression" dxfId="22" priority="8">
      <formula>$L17="API clay"</formula>
    </cfRule>
  </conditionalFormatting>
  <conditionalFormatting sqref="U17">
    <cfRule type="expression" dxfId="21" priority="7">
      <formula>$L17="Kirsch soft clay"</formula>
    </cfRule>
  </conditionalFormatting>
  <conditionalFormatting sqref="U17">
    <cfRule type="expression" dxfId="20" priority="5">
      <formula>$L17="Kirsch stiff clay"</formula>
    </cfRule>
  </conditionalFormatting>
  <conditionalFormatting sqref="U17">
    <cfRule type="expression" dxfId="19" priority="4">
      <formula>$L17="Reese stiff clay"</formula>
    </cfRule>
  </conditionalFormatting>
  <conditionalFormatting sqref="U17">
    <cfRule type="expression" dxfId="18" priority="3">
      <formula>$L17="PISA clay"</formula>
    </cfRule>
  </conditionalFormatting>
  <conditionalFormatting sqref="AR17">
    <cfRule type="expression" dxfId="17" priority="2">
      <formula>$L17="API sand"</formula>
    </cfRule>
  </conditionalFormatting>
  <conditionalFormatting sqref="AR17">
    <cfRule type="expression" dxfId="16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67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68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68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94"/>
      <c r="B1" s="95"/>
      <c r="C1" s="63">
        <v>0</v>
      </c>
      <c r="D1" s="64">
        <v>1</v>
      </c>
      <c r="E1" s="65">
        <v>2</v>
      </c>
      <c r="F1" s="25"/>
      <c r="H1" s="94"/>
      <c r="I1" s="95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96"/>
      <c r="B2" s="97"/>
      <c r="C2" s="23" t="s">
        <v>75</v>
      </c>
      <c r="D2" s="62" t="s">
        <v>75</v>
      </c>
      <c r="E2" s="61" t="s">
        <v>75</v>
      </c>
      <c r="H2" s="96"/>
      <c r="I2" s="97"/>
      <c r="J2" s="23" t="s">
        <v>76</v>
      </c>
      <c r="K2" s="62" t="s">
        <v>76</v>
      </c>
      <c r="L2" s="61" t="s">
        <v>76</v>
      </c>
    </row>
    <row r="3" spans="1:13" x14ac:dyDescent="0.15">
      <c r="A3" s="98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98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99"/>
      <c r="B4" s="24" t="s">
        <v>134</v>
      </c>
      <c r="C4" s="54">
        <v>-5555</v>
      </c>
      <c r="D4" s="54">
        <v>30</v>
      </c>
      <c r="E4" s="55">
        <v>-5555</v>
      </c>
      <c r="H4" s="99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99"/>
      <c r="B5" s="24" t="s">
        <v>135</v>
      </c>
      <c r="C5" s="54">
        <v>-5555</v>
      </c>
      <c r="D5" s="56">
        <v>-5555</v>
      </c>
      <c r="E5" s="55">
        <v>-5555</v>
      </c>
      <c r="H5" s="99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99"/>
      <c r="B6" s="24" t="s">
        <v>136</v>
      </c>
      <c r="C6" s="54">
        <v>3</v>
      </c>
      <c r="D6" s="54">
        <v>-120</v>
      </c>
      <c r="E6" s="55">
        <v>7.2110000000000003</v>
      </c>
      <c r="H6" s="99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99"/>
      <c r="B7" s="24" t="s">
        <v>84</v>
      </c>
      <c r="C7" s="54">
        <v>-5555</v>
      </c>
      <c r="D7" s="54">
        <v>1</v>
      </c>
      <c r="E7" s="55">
        <v>-11.798</v>
      </c>
      <c r="H7" s="99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99"/>
      <c r="B8" s="24" t="s">
        <v>86</v>
      </c>
      <c r="C8" s="54">
        <v>-5555</v>
      </c>
      <c r="D8" s="56">
        <v>-5555</v>
      </c>
      <c r="E8" s="55">
        <v>-2.44</v>
      </c>
      <c r="H8" s="99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99"/>
      <c r="B9" s="24" t="s">
        <v>85</v>
      </c>
      <c r="C9" s="54">
        <v>0.1</v>
      </c>
      <c r="D9" s="54">
        <v>-35</v>
      </c>
      <c r="E9" s="55">
        <v>-5555</v>
      </c>
      <c r="H9" s="99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99"/>
      <c r="B10" s="24" t="s">
        <v>137</v>
      </c>
      <c r="C10" s="54">
        <v>-5555</v>
      </c>
      <c r="D10" s="54">
        <v>0.2</v>
      </c>
      <c r="E10" s="55">
        <v>-5555</v>
      </c>
      <c r="H10" s="99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99"/>
      <c r="B11" s="24" t="s">
        <v>138</v>
      </c>
      <c r="C11" s="54">
        <v>-5555</v>
      </c>
      <c r="D11" s="56">
        <v>-5555</v>
      </c>
      <c r="E11" s="55">
        <v>-5555</v>
      </c>
      <c r="H11" s="99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99"/>
      <c r="B12" s="24" t="s">
        <v>139</v>
      </c>
      <c r="C12" s="54">
        <v>0</v>
      </c>
      <c r="D12" s="54">
        <v>-1.5</v>
      </c>
      <c r="E12" s="55">
        <v>-5555</v>
      </c>
      <c r="H12" s="99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99"/>
      <c r="B13" s="24" t="s">
        <v>140</v>
      </c>
      <c r="C13" s="54">
        <v>-5555</v>
      </c>
      <c r="D13" s="54">
        <v>0</v>
      </c>
      <c r="E13" s="55">
        <v>-5555</v>
      </c>
      <c r="H13" s="99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00"/>
      <c r="B14" s="57" t="s">
        <v>141</v>
      </c>
      <c r="C14" s="58">
        <v>-5555</v>
      </c>
      <c r="D14" s="59">
        <v>-5555</v>
      </c>
      <c r="E14" s="60">
        <v>-5555</v>
      </c>
      <c r="H14" s="100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01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01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02"/>
      <c r="B16" s="24" t="s">
        <v>142</v>
      </c>
      <c r="C16" s="54">
        <v>-5555</v>
      </c>
      <c r="D16" s="54">
        <v>5</v>
      </c>
      <c r="E16" s="55">
        <v>-5555</v>
      </c>
      <c r="H16" s="102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02"/>
      <c r="B17" s="24" t="s">
        <v>89</v>
      </c>
      <c r="C17" s="54">
        <v>-5555</v>
      </c>
      <c r="D17" s="56">
        <v>-5555</v>
      </c>
      <c r="E17" s="55">
        <v>-5555</v>
      </c>
      <c r="H17" s="102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02"/>
      <c r="B18" s="24" t="s">
        <v>143</v>
      </c>
      <c r="C18" s="54">
        <v>0.02</v>
      </c>
      <c r="D18" s="54">
        <v>-0.1</v>
      </c>
      <c r="E18" s="55">
        <v>-5555</v>
      </c>
      <c r="H18" s="102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02"/>
      <c r="B19" s="24" t="s">
        <v>144</v>
      </c>
      <c r="C19" s="54">
        <v>-5555</v>
      </c>
      <c r="D19" s="54">
        <v>0.1</v>
      </c>
      <c r="E19" s="55">
        <v>-5555</v>
      </c>
      <c r="H19" s="102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02"/>
      <c r="B20" s="24" t="s">
        <v>145</v>
      </c>
      <c r="C20" s="54">
        <v>-5555</v>
      </c>
      <c r="D20" s="56">
        <v>-5555</v>
      </c>
      <c r="E20" s="55">
        <v>-5555</v>
      </c>
      <c r="H20" s="102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02"/>
      <c r="B21" s="24" t="s">
        <v>146</v>
      </c>
      <c r="C21" s="54">
        <v>0.01</v>
      </c>
      <c r="D21" s="54">
        <v>-0.2</v>
      </c>
      <c r="E21" s="55">
        <v>-5555</v>
      </c>
      <c r="H21" s="102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02"/>
      <c r="B22" s="24" t="s">
        <v>147</v>
      </c>
      <c r="C22" s="54">
        <v>-5555</v>
      </c>
      <c r="D22" s="54">
        <v>0.01</v>
      </c>
      <c r="E22" s="55">
        <v>-5555</v>
      </c>
      <c r="H22" s="102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02"/>
      <c r="B23" s="24" t="s">
        <v>148</v>
      </c>
      <c r="C23" s="54">
        <v>-5555</v>
      </c>
      <c r="D23" s="56">
        <v>-5555</v>
      </c>
      <c r="E23" s="55">
        <v>-5555</v>
      </c>
      <c r="H23" s="102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02"/>
      <c r="B24" s="24" t="s">
        <v>149</v>
      </c>
      <c r="C24" s="54">
        <v>0</v>
      </c>
      <c r="D24" s="54">
        <v>0</v>
      </c>
      <c r="E24" s="55">
        <v>-5555</v>
      </c>
      <c r="H24" s="102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02"/>
      <c r="B25" s="24" t="s">
        <v>150</v>
      </c>
      <c r="C25" s="54">
        <v>-5555</v>
      </c>
      <c r="D25" s="54">
        <v>0</v>
      </c>
      <c r="E25" s="55">
        <v>-5555</v>
      </c>
      <c r="H25" s="102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03"/>
      <c r="B26" s="57" t="s">
        <v>152</v>
      </c>
      <c r="C26" s="58">
        <v>-5555</v>
      </c>
      <c r="D26" s="59">
        <v>-5555</v>
      </c>
      <c r="E26" s="60">
        <v>-5555</v>
      </c>
      <c r="H26" s="103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98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98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99"/>
      <c r="B28" s="24" t="s">
        <v>153</v>
      </c>
      <c r="C28" s="54">
        <v>-5555</v>
      </c>
      <c r="D28" s="54">
        <v>0</v>
      </c>
      <c r="E28" s="55">
        <v>-5555</v>
      </c>
      <c r="H28" s="99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99"/>
      <c r="B29" s="24" t="s">
        <v>154</v>
      </c>
      <c r="C29" s="54">
        <v>-5555</v>
      </c>
      <c r="D29" s="56">
        <v>-5555</v>
      </c>
      <c r="E29" s="55">
        <v>-5555</v>
      </c>
      <c r="H29" s="99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99"/>
      <c r="B30" s="24" t="s">
        <v>155</v>
      </c>
      <c r="C30" s="54">
        <v>0.02</v>
      </c>
      <c r="D30" s="54">
        <v>-0.5</v>
      </c>
      <c r="E30" s="55">
        <v>-5555</v>
      </c>
      <c r="H30" s="99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99"/>
      <c r="B31" s="24" t="s">
        <v>156</v>
      </c>
      <c r="C31" s="54">
        <v>-5555</v>
      </c>
      <c r="D31" s="54">
        <v>0.3</v>
      </c>
      <c r="E31" s="55">
        <v>-5555</v>
      </c>
      <c r="H31" s="99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99"/>
      <c r="B32" s="24" t="s">
        <v>157</v>
      </c>
      <c r="C32" s="54">
        <v>-5555</v>
      </c>
      <c r="D32" s="56">
        <v>-5555</v>
      </c>
      <c r="E32" s="55">
        <v>-5555</v>
      </c>
      <c r="H32" s="99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99"/>
      <c r="B33" s="24" t="s">
        <v>158</v>
      </c>
      <c r="C33" s="54">
        <v>1E-3</v>
      </c>
      <c r="D33" s="54">
        <v>-1.5</v>
      </c>
      <c r="E33" s="55">
        <v>-5555</v>
      </c>
      <c r="H33" s="99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99"/>
      <c r="B34" s="24" t="s">
        <v>159</v>
      </c>
      <c r="C34" s="54">
        <v>-5555</v>
      </c>
      <c r="D34" s="54">
        <v>-0.05</v>
      </c>
      <c r="E34" s="55">
        <v>-5555</v>
      </c>
      <c r="H34" s="99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99"/>
      <c r="B35" s="24" t="s">
        <v>160</v>
      </c>
      <c r="C35" s="54">
        <v>-5555</v>
      </c>
      <c r="D35" s="56">
        <v>-5555</v>
      </c>
      <c r="E35" s="55">
        <v>-5555</v>
      </c>
      <c r="H35" s="99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99"/>
      <c r="B36" s="24" t="s">
        <v>161</v>
      </c>
      <c r="C36" s="54">
        <v>0</v>
      </c>
      <c r="D36" s="54">
        <v>-0.3</v>
      </c>
      <c r="E36" s="55">
        <v>-5555</v>
      </c>
      <c r="H36" s="99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99"/>
      <c r="B37" s="24" t="s">
        <v>162</v>
      </c>
      <c r="C37" s="54">
        <v>-5555</v>
      </c>
      <c r="D37" s="54">
        <v>0</v>
      </c>
      <c r="E37" s="55">
        <v>-5555</v>
      </c>
      <c r="H37" s="99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00"/>
      <c r="B38" s="57" t="s">
        <v>163</v>
      </c>
      <c r="C38" s="58">
        <v>-5555</v>
      </c>
      <c r="D38" s="59">
        <v>-5555</v>
      </c>
      <c r="E38" s="60">
        <v>-5555</v>
      </c>
      <c r="H38" s="100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02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02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02"/>
      <c r="B40" s="24" t="s">
        <v>165</v>
      </c>
      <c r="C40" s="54">
        <v>-5555</v>
      </c>
      <c r="D40" s="54">
        <v>-1000</v>
      </c>
      <c r="E40" s="55">
        <v>-5555</v>
      </c>
      <c r="H40" s="102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02"/>
      <c r="B41" s="24" t="s">
        <v>166</v>
      </c>
      <c r="C41" s="54">
        <v>-5555</v>
      </c>
      <c r="D41" s="56">
        <v>-5555</v>
      </c>
      <c r="E41" s="55">
        <v>-5555</v>
      </c>
      <c r="H41" s="102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02"/>
      <c r="B42" s="24" t="s">
        <v>167</v>
      </c>
      <c r="C42" s="54">
        <v>1E-3</v>
      </c>
      <c r="D42" s="54">
        <v>-0.5</v>
      </c>
      <c r="E42" s="55">
        <v>-5555</v>
      </c>
      <c r="H42" s="102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02"/>
      <c r="B43" s="24" t="s">
        <v>168</v>
      </c>
      <c r="C43" s="54">
        <v>-5555</v>
      </c>
      <c r="D43" s="54">
        <v>1E-3</v>
      </c>
      <c r="E43" s="55">
        <v>-5555</v>
      </c>
      <c r="H43" s="102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02"/>
      <c r="B44" s="24" t="s">
        <v>169</v>
      </c>
      <c r="C44" s="54">
        <v>-5555</v>
      </c>
      <c r="D44" s="56">
        <v>-5555</v>
      </c>
      <c r="E44" s="55">
        <v>-5555</v>
      </c>
      <c r="H44" s="102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02"/>
      <c r="B45" s="24" t="s">
        <v>88</v>
      </c>
      <c r="C45" s="54">
        <v>1E-4</v>
      </c>
      <c r="D45" s="54">
        <v>0</v>
      </c>
      <c r="E45" s="55">
        <v>-5555</v>
      </c>
      <c r="H45" s="102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02"/>
      <c r="B46" s="24" t="s">
        <v>170</v>
      </c>
      <c r="C46" s="54">
        <v>-5555</v>
      </c>
      <c r="D46" s="54">
        <v>-0.03</v>
      </c>
      <c r="E46" s="55">
        <v>-5555</v>
      </c>
      <c r="H46" s="102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02"/>
      <c r="B47" s="24" t="s">
        <v>171</v>
      </c>
      <c r="C47" s="54">
        <v>-5555</v>
      </c>
      <c r="D47" s="56">
        <v>-5555</v>
      </c>
      <c r="E47" s="55">
        <v>-5555</v>
      </c>
      <c r="H47" s="102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02"/>
      <c r="B48" s="24" t="s">
        <v>172</v>
      </c>
      <c r="C48" s="54">
        <v>0</v>
      </c>
      <c r="D48" s="54">
        <v>-0.5</v>
      </c>
      <c r="E48" s="55">
        <v>-5555</v>
      </c>
      <c r="H48" s="102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02"/>
      <c r="B49" s="24" t="s">
        <v>173</v>
      </c>
      <c r="C49" s="54">
        <v>-5555</v>
      </c>
      <c r="D49" s="54">
        <v>-0.5</v>
      </c>
      <c r="E49" s="55">
        <v>-5555</v>
      </c>
      <c r="H49" s="102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03"/>
      <c r="B50" s="57" t="s">
        <v>174</v>
      </c>
      <c r="C50" s="58">
        <v>-5555</v>
      </c>
      <c r="D50" s="59">
        <v>-5555</v>
      </c>
      <c r="E50" s="60">
        <v>-5555</v>
      </c>
      <c r="H50" s="103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94"/>
      <c r="B1" s="95"/>
      <c r="C1" s="63">
        <v>0</v>
      </c>
      <c r="D1" s="64">
        <v>1</v>
      </c>
      <c r="E1" s="65">
        <v>2</v>
      </c>
      <c r="F1" s="25"/>
      <c r="H1" s="94"/>
      <c r="I1" s="95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96"/>
      <c r="B2" s="97"/>
      <c r="C2" s="23" t="s">
        <v>75</v>
      </c>
      <c r="D2" s="62" t="s">
        <v>75</v>
      </c>
      <c r="E2" s="61" t="s">
        <v>75</v>
      </c>
      <c r="H2" s="96"/>
      <c r="I2" s="97"/>
      <c r="J2" s="23" t="s">
        <v>76</v>
      </c>
      <c r="K2" s="62" t="s">
        <v>76</v>
      </c>
      <c r="L2" s="61" t="s">
        <v>76</v>
      </c>
    </row>
    <row r="3" spans="1:13" x14ac:dyDescent="0.15">
      <c r="A3" s="98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98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99"/>
      <c r="B4" s="24" t="s">
        <v>134</v>
      </c>
      <c r="C4" s="54">
        <v>-5555</v>
      </c>
      <c r="D4" s="54">
        <v>30</v>
      </c>
      <c r="E4" s="55">
        <v>-5555</v>
      </c>
      <c r="H4" s="99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99"/>
      <c r="B5" s="24" t="s">
        <v>135</v>
      </c>
      <c r="C5" s="54">
        <v>-5555</v>
      </c>
      <c r="D5" s="56">
        <v>-5555</v>
      </c>
      <c r="E5" s="55">
        <v>-5555</v>
      </c>
      <c r="H5" s="99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99"/>
      <c r="B6" s="24" t="s">
        <v>136</v>
      </c>
      <c r="C6" s="54">
        <v>3</v>
      </c>
      <c r="D6" s="54">
        <v>0</v>
      </c>
      <c r="E6" s="55">
        <v>7.2110000000000003</v>
      </c>
      <c r="H6" s="99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99"/>
      <c r="B7" s="24" t="s">
        <v>84</v>
      </c>
      <c r="C7" s="54">
        <v>-5555</v>
      </c>
      <c r="D7" s="54">
        <v>3</v>
      </c>
      <c r="E7" s="55">
        <v>-11.798</v>
      </c>
      <c r="H7" s="99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99"/>
      <c r="B8" s="24" t="s">
        <v>86</v>
      </c>
      <c r="C8" s="54">
        <v>-5555</v>
      </c>
      <c r="D8" s="56">
        <v>-5555</v>
      </c>
      <c r="E8" s="55">
        <v>-2.44</v>
      </c>
      <c r="H8" s="99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99"/>
      <c r="B9" s="24" t="s">
        <v>85</v>
      </c>
      <c r="C9" s="54">
        <v>0.1</v>
      </c>
      <c r="D9" s="54">
        <v>-2.4</v>
      </c>
      <c r="E9" s="55">
        <v>-5555</v>
      </c>
      <c r="H9" s="99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99"/>
      <c r="B10" s="24" t="s">
        <v>137</v>
      </c>
      <c r="C10" s="54">
        <v>-5555</v>
      </c>
      <c r="D10" s="54">
        <v>0.5</v>
      </c>
      <c r="E10" s="55">
        <v>-5555</v>
      </c>
      <c r="H10" s="99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99"/>
      <c r="B11" s="24" t="s">
        <v>138</v>
      </c>
      <c r="C11" s="54">
        <v>-5555</v>
      </c>
      <c r="D11" s="56">
        <v>-5555</v>
      </c>
      <c r="E11" s="55">
        <v>-5555</v>
      </c>
      <c r="H11" s="99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99"/>
      <c r="B12" s="24" t="s">
        <v>139</v>
      </c>
      <c r="C12" s="54">
        <v>0</v>
      </c>
      <c r="D12" s="54">
        <v>-1.5</v>
      </c>
      <c r="E12" s="55">
        <v>-5555</v>
      </c>
      <c r="H12" s="99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99"/>
      <c r="B13" s="24" t="s">
        <v>140</v>
      </c>
      <c r="C13" s="54">
        <v>-5555</v>
      </c>
      <c r="D13" s="54">
        <v>0</v>
      </c>
      <c r="E13" s="55">
        <v>-5555</v>
      </c>
      <c r="H13" s="99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00"/>
      <c r="B14" s="57" t="s">
        <v>141</v>
      </c>
      <c r="C14" s="58">
        <v>-5555</v>
      </c>
      <c r="D14" s="59">
        <v>-5555</v>
      </c>
      <c r="E14" s="60">
        <v>-5555</v>
      </c>
      <c r="H14" s="100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01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01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02"/>
      <c r="B16" s="24" t="s">
        <v>142</v>
      </c>
      <c r="C16" s="54">
        <v>-5555</v>
      </c>
      <c r="D16" s="54">
        <v>5</v>
      </c>
      <c r="E16" s="55">
        <v>-5555</v>
      </c>
      <c r="H16" s="102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02"/>
      <c r="B17" s="24" t="s">
        <v>89</v>
      </c>
      <c r="C17" s="54">
        <v>-5555</v>
      </c>
      <c r="D17" s="56">
        <v>-5555</v>
      </c>
      <c r="E17" s="55">
        <v>-5555</v>
      </c>
      <c r="H17" s="102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02"/>
      <c r="B18" s="24" t="s">
        <v>143</v>
      </c>
      <c r="C18" s="54">
        <v>0.02</v>
      </c>
      <c r="D18" s="54">
        <v>-0.1</v>
      </c>
      <c r="E18" s="55">
        <v>-5555</v>
      </c>
      <c r="H18" s="102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02"/>
      <c r="B19" s="24" t="s">
        <v>144</v>
      </c>
      <c r="C19" s="54">
        <v>-5555</v>
      </c>
      <c r="D19" s="54">
        <v>0.1</v>
      </c>
      <c r="E19" s="55">
        <v>-5555</v>
      </c>
      <c r="H19" s="102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02"/>
      <c r="B20" s="24" t="s">
        <v>145</v>
      </c>
      <c r="C20" s="54">
        <v>-5555</v>
      </c>
      <c r="D20" s="56">
        <v>-5555</v>
      </c>
      <c r="E20" s="55">
        <v>-5555</v>
      </c>
      <c r="H20" s="102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02"/>
      <c r="B21" s="24" t="s">
        <v>146</v>
      </c>
      <c r="C21" s="54">
        <v>0.01</v>
      </c>
      <c r="D21" s="54">
        <v>-0.2</v>
      </c>
      <c r="E21" s="55">
        <v>-5555</v>
      </c>
      <c r="H21" s="102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02"/>
      <c r="B22" s="24" t="s">
        <v>147</v>
      </c>
      <c r="C22" s="54">
        <v>-5555</v>
      </c>
      <c r="D22" s="54">
        <v>0.01</v>
      </c>
      <c r="E22" s="55">
        <v>-5555</v>
      </c>
      <c r="H22" s="102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02"/>
      <c r="B23" s="24" t="s">
        <v>148</v>
      </c>
      <c r="C23" s="54">
        <v>-5555</v>
      </c>
      <c r="D23" s="56">
        <v>-5555</v>
      </c>
      <c r="E23" s="55">
        <v>-5555</v>
      </c>
      <c r="H23" s="102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02"/>
      <c r="B24" s="24" t="s">
        <v>149</v>
      </c>
      <c r="C24" s="54">
        <v>0</v>
      </c>
      <c r="D24" s="54">
        <v>0</v>
      </c>
      <c r="E24" s="55">
        <v>-5555</v>
      </c>
      <c r="H24" s="102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02"/>
      <c r="B25" s="24" t="s">
        <v>150</v>
      </c>
      <c r="C25" s="54">
        <v>-5555</v>
      </c>
      <c r="D25" s="54">
        <v>0</v>
      </c>
      <c r="E25" s="55">
        <v>-5555</v>
      </c>
      <c r="H25" s="102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03"/>
      <c r="B26" s="57" t="s">
        <v>152</v>
      </c>
      <c r="C26" s="58">
        <v>-5555</v>
      </c>
      <c r="D26" s="59">
        <v>-5555</v>
      </c>
      <c r="E26" s="60">
        <v>-5555</v>
      </c>
      <c r="H26" s="103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98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98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99"/>
      <c r="B28" s="24" t="s">
        <v>153</v>
      </c>
      <c r="C28" s="54">
        <v>-5555</v>
      </c>
      <c r="D28" s="54">
        <v>0</v>
      </c>
      <c r="E28" s="55">
        <v>-5555</v>
      </c>
      <c r="H28" s="99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99"/>
      <c r="B29" s="24" t="s">
        <v>154</v>
      </c>
      <c r="C29" s="54">
        <v>-5555</v>
      </c>
      <c r="D29" s="56">
        <v>-5555</v>
      </c>
      <c r="E29" s="55">
        <v>-5555</v>
      </c>
      <c r="H29" s="99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99"/>
      <c r="B30" s="24" t="s">
        <v>155</v>
      </c>
      <c r="C30" s="54">
        <v>0.02</v>
      </c>
      <c r="D30" s="54">
        <v>0</v>
      </c>
      <c r="E30" s="55">
        <v>-5555</v>
      </c>
      <c r="H30" s="99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99"/>
      <c r="B31" s="24" t="s">
        <v>156</v>
      </c>
      <c r="C31" s="54">
        <v>-5555</v>
      </c>
      <c r="D31" s="54">
        <v>0.3</v>
      </c>
      <c r="E31" s="55">
        <v>-5555</v>
      </c>
      <c r="H31" s="99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99"/>
      <c r="B32" s="24" t="s">
        <v>157</v>
      </c>
      <c r="C32" s="54">
        <v>-5555</v>
      </c>
      <c r="D32" s="56">
        <v>-5555</v>
      </c>
      <c r="E32" s="55">
        <v>-5555</v>
      </c>
      <c r="H32" s="99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99"/>
      <c r="B33" s="24" t="s">
        <v>158</v>
      </c>
      <c r="C33" s="54">
        <v>1E-3</v>
      </c>
      <c r="D33" s="54">
        <v>-1.5</v>
      </c>
      <c r="E33" s="55">
        <v>-5555</v>
      </c>
      <c r="H33" s="99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99"/>
      <c r="B34" s="24" t="s">
        <v>159</v>
      </c>
      <c r="C34" s="54">
        <v>-5555</v>
      </c>
      <c r="D34" s="54">
        <v>-0.05</v>
      </c>
      <c r="E34" s="55">
        <v>-5555</v>
      </c>
      <c r="H34" s="99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99"/>
      <c r="B35" s="24" t="s">
        <v>160</v>
      </c>
      <c r="C35" s="54">
        <v>-5555</v>
      </c>
      <c r="D35" s="56">
        <v>-5555</v>
      </c>
      <c r="E35" s="55">
        <v>-5555</v>
      </c>
      <c r="H35" s="99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99"/>
      <c r="B36" s="24" t="s">
        <v>161</v>
      </c>
      <c r="C36" s="54">
        <v>0</v>
      </c>
      <c r="D36" s="54">
        <v>-0.3</v>
      </c>
      <c r="E36" s="55">
        <v>-5555</v>
      </c>
      <c r="H36" s="99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99"/>
      <c r="B37" s="24" t="s">
        <v>162</v>
      </c>
      <c r="C37" s="54">
        <v>-5555</v>
      </c>
      <c r="D37" s="54">
        <v>0</v>
      </c>
      <c r="E37" s="55">
        <v>-5555</v>
      </c>
      <c r="H37" s="99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00"/>
      <c r="B38" s="57" t="s">
        <v>163</v>
      </c>
      <c r="C38" s="58">
        <v>-5555</v>
      </c>
      <c r="D38" s="59">
        <v>-5555</v>
      </c>
      <c r="E38" s="60">
        <v>-5555</v>
      </c>
      <c r="H38" s="100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02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02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02"/>
      <c r="B40" s="24" t="s">
        <v>165</v>
      </c>
      <c r="C40" s="54">
        <v>-5555</v>
      </c>
      <c r="D40" s="54">
        <v>-1000</v>
      </c>
      <c r="E40" s="55">
        <v>-5555</v>
      </c>
      <c r="H40" s="102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02"/>
      <c r="B41" s="24" t="s">
        <v>166</v>
      </c>
      <c r="C41" s="54">
        <v>-5555</v>
      </c>
      <c r="D41" s="56">
        <v>-5555</v>
      </c>
      <c r="E41" s="55">
        <v>-5555</v>
      </c>
      <c r="H41" s="102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02"/>
      <c r="B42" s="24" t="s">
        <v>167</v>
      </c>
      <c r="C42" s="54">
        <v>1E-3</v>
      </c>
      <c r="D42" s="54">
        <v>-0.05</v>
      </c>
      <c r="E42" s="55">
        <v>-5555</v>
      </c>
      <c r="H42" s="102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02"/>
      <c r="B43" s="24" t="s">
        <v>168</v>
      </c>
      <c r="C43" s="54">
        <v>-5555</v>
      </c>
      <c r="D43" s="54">
        <v>1E-3</v>
      </c>
      <c r="E43" s="55">
        <v>-5555</v>
      </c>
      <c r="H43" s="102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02"/>
      <c r="B44" s="24" t="s">
        <v>169</v>
      </c>
      <c r="C44" s="54">
        <v>-5555</v>
      </c>
      <c r="D44" s="56">
        <v>-5555</v>
      </c>
      <c r="E44" s="55">
        <v>-5555</v>
      </c>
      <c r="H44" s="102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02"/>
      <c r="B45" s="24" t="s">
        <v>88</v>
      </c>
      <c r="C45" s="54">
        <v>1E-4</v>
      </c>
      <c r="D45" s="54">
        <v>0</v>
      </c>
      <c r="E45" s="55">
        <v>-5555</v>
      </c>
      <c r="H45" s="102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02"/>
      <c r="B46" s="24" t="s">
        <v>170</v>
      </c>
      <c r="C46" s="54">
        <v>-5555</v>
      </c>
      <c r="D46" s="54">
        <v>-0.03</v>
      </c>
      <c r="E46" s="55">
        <v>-5555</v>
      </c>
      <c r="H46" s="102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02"/>
      <c r="B47" s="24" t="s">
        <v>171</v>
      </c>
      <c r="C47" s="54">
        <v>-5555</v>
      </c>
      <c r="D47" s="56">
        <v>-5555</v>
      </c>
      <c r="E47" s="55">
        <v>-5555</v>
      </c>
      <c r="H47" s="102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02"/>
      <c r="B48" s="24" t="s">
        <v>172</v>
      </c>
      <c r="C48" s="54">
        <v>0</v>
      </c>
      <c r="D48" s="54">
        <v>-0.5</v>
      </c>
      <c r="E48" s="55">
        <v>-5555</v>
      </c>
      <c r="H48" s="102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02"/>
      <c r="B49" s="24" t="s">
        <v>173</v>
      </c>
      <c r="C49" s="54">
        <v>-5555</v>
      </c>
      <c r="D49" s="54">
        <v>-0.5</v>
      </c>
      <c r="E49" s="55">
        <v>-5555</v>
      </c>
      <c r="H49" s="102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03"/>
      <c r="B50" s="57" t="s">
        <v>174</v>
      </c>
      <c r="C50" s="58">
        <v>-5555</v>
      </c>
      <c r="D50" s="59">
        <v>-5555</v>
      </c>
      <c r="E50" s="60">
        <v>-5555</v>
      </c>
      <c r="H50" s="103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2022-01-20T14:53:59Z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