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_branch\COPCATPlaxis\excel\"/>
    </mc:Choice>
  </mc:AlternateContent>
  <xr:revisionPtr revIDLastSave="0" documentId="13_ncr:1_{71051C92-104F-4784-8E4D-DC3C5702C52A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30" l="1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I47" i="125" s="1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<sst xmlns="http://schemas.openxmlformats.org/spreadsheetml/2006/main" count="1432" uniqueCount="452">
  <si>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</si>
  <si>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</si>
  <si>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</si>
  <si>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</si>
  <si>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</si>
  <si>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</si>
  <si>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</si>
  <si>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</si>
  <si>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</si>
  <si>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</si>
  <si>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</si>
  <si>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</si>
  <si>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</si>
  <si>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</si>
  <si>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</si>
  <si>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</si>
  <si>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</si>
  <si>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</si>
  <si>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</si>
  <si>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</si>
  <si>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</si>
  <si>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</si>
  <si>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</si>
  <si>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</si>
  <si>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</si>
  <si>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</si>
  <si>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</si>
  <si>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</si>
  <si>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</si>
  <si>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</si>
  <si>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</si>
  <si>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</si>
  <si>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</si>
  <si>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</si>
  <si>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</si>
  <si>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</si>
  <si>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</si>
  <si>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</si>
  <si>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</si>
  <si>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</si>
  <si>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</si>
  <si>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</si>
  <si>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</si>
  <si>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</si>
  <si>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</si>
  <si>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</si>
  <si>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</si>
  <si>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</si>
  <si>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</si>
  <si>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</si>
  <si>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</si>
  <si>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</si>
  <si>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</si>
  <si>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</si>
  <si>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</si>
  <si>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</si>
  <si>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</si>
  <si>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</si>
  <si>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</si>
  <si>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</si>
  <si>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</si>
  <si>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</si>
  <si>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</si>
  <si>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</si>
  <si>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</si>
  <si>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</si>
  <si>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</si>
  <si>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</si>
  <si>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</si>
  <si>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</si>
  <si>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</si>
  <si>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</si>
  <si>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</si>
  <si>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</si>
  <si>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</si>
  <si>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</si>
  <si>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</si>
  <si>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</si>
  <si>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</si>
  <si>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</si>
  <si>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</si>
  <si>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</si>
  <si>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</si>
  <si>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</si>
  <si>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</si>
  <si>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</si>
  <si>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</si>
  <si>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</si>
  <si>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</si>
  <si>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</si>
  <si>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</si>
  <si>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</si>
  <si>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</si>
  <si>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</si>
  <si>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</si>
  <si>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</si>
  <si>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</si>
  <si>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</si>
  <si>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</si>
  <si>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</si>
  <si>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</si>
  <si>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</si>
  <si>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</si>
  <si>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</si>
  <si>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</si>
  <si>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</si>
  <si>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</si>
  <si>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</si>
  <si>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</si>
  <si>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</si>
  <si>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</si>
  <si>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</si>
  <si>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</si>
  <si>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</si>
  <si>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</si>
  <si>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</si>
  <si>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</si>
  <si>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</si>
  <si>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</si>
  <si>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</si>
  <si>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</si>
  <si>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</si>
  <si>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</si>
  <si>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</si>
  <si>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</si>
  <si>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</si>
  <si>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</si>
  <si>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</si>
  <si>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</si>
  <si>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</si>
  <si>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</si>
  <si>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</si>
  <si>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</si>
  <si>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</si>
  <si>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</si>
  <si>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</si>
  <si>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</si>
  <si>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</si>
  <si>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</si>
  <si>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</si>
  <si>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</si>
  <si>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</si>
  <si>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</si>
  <si>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</si>
  <si>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</si>
  <si>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</si>
  <si>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</si>
  <si>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</si>
  <si>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</si>
  <si>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</si>
  <si>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</si>
  <si>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</si>
  <si>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</si>
  <si>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</si>
  <si>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</si>
  <si>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</si>
  <si>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</si>
  <si>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</si>
  <si>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</si>
  <si>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</si>
  <si>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</si>
  <si>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</si>
  <si>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</si>
  <si>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</si>
  <si>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</si>
  <si>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</si>
  <si>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</si>
  <si>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</si>
  <si>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</si>
  <si>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</si>
  <si>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</si>
  <si>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</si>
  <si>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</si>
  <si>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</si>
  <si>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</si>
  <si>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</si>
  <si>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</si>
  <si>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</si>
  <si>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</si>
  <si>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</si>
  <si>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</si>
  <si>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</si>
  <si>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</si>
  <si>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</si>
  <si>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</si>
  <si>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</si>
  <si>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</si>
  <si>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</si>
  <si>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</si>
  <si>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</si>
  <si>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</si>
  <si>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</si>
  <si>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</si>
  <si>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</si>
  <si>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</si>
  <si>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</si>
  <si>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</si>
  <si>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</si>
  <si>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</si>
  <si>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</si>
  <si>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</si>
  <si>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</si>
  <si>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</si>
  <si>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</si>
  <si>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</si>
  <si>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</si>
  <si>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</si>
  <si>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</si>
  <si>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</si>
  <si>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</si>
  <si>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</si>
  <si>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</si>
  <si>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</si>
  <si>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</si>
  <si>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</si>
  <si>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</si>
  <si>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</si>
  <si>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</si>
  <si>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</si>
  <si>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</si>
  <si>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</si>
  <si>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</si>
  <si>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</si>
  <si>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</si>
  <si>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</si>
  <si>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</si>
  <si>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</si>
  <si>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</si>
  <si>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</si>
  <si>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</si>
  <si>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</si>
  <si>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</si>
  <si>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</si>
  <si>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</si>
  <si>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</si>
  <si>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</si>
  <si>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</si>
  <si>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</si>
  <si>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</si>
  <si>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</si>
  <si>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</si>
  <si>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</si>
  <si>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</si>
  <si>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</si>
  <si>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</si>
  <si>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</si>
  <si>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</si>
  <si>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</si>
  <si>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</si>
  <si>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</si>
  <si>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</si>
  <si>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</si>
  <si>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</si>
  <si>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</si>
  <si>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</si>
  <si>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</si>
  <si>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</si>
  <si>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</si>
  <si>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</si>
  <si>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</si>
  <si>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</si>
  <si>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</si>
  <si>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</si>
  <si>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</si>
  <si>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</si>
  <si>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</si>
  <si>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</si>
  <si>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</si>
  <si>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</si>
  <si>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</si>
  <si>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</si>
  <si>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</si>
  <si>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</si>
  <si>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</si>
  <si>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</si>
  <si>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</si>
  <si>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</si>
  <si>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</si>
  <si>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</si>
  <si>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</si>
  <si>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</si>
  <si>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</si>
  <si>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</si>
  <si>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</si>
  <si>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</si>
  <si>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</si>
  <si>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</si>
  <si>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</si>
  <si>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</si>
  <si>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</si>
  <si>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</si>
  <si>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</si>
  <si>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</si>
  <si>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</si>
  <si>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</si>
  <si>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</si>
  <si>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</si>
  <si>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</si>
  <si>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</si>
  <si>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</si>
  <si>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</si>
  <si>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</si>
  <si>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</si>
  <si>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</si>
  <si>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</si>
  <si>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</si>
  <si>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</si>
  <si>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</si>
  <si>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</si>
  <si>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</si>
  <si>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</si>
  <si>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</si>
  <si>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</si>
  <si>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</si>
  <si>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</si>
  <si>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</si>
  <si>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</si>
  <si>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</si>
  <si>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</si>
  <si>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</si>
  <si>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</si>
  <si>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</si>
  <si>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</si>
  <si>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</si>
  <si>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</si>
  <si>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</si>
  <si>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</si>
  <si>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</si>
  <si>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</si>
  <si>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</si>
  <si>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</si>
  <si>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</si>
  <si>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</si>
  <si>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</si>
  <si>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</si>
  <si>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</si>
  <si>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</si>
  <si>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</si>
  <si>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</si>
  <si>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</si>
  <si>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</si>
  <si>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</si>
  <si>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</si>
  <si>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</si>
  <si>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</si>
  <si>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</si>
  <si>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</si>
  <si>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</si>
  <si>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</si>
  <si>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</si>
  <si>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</si>
  <si>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</si>
  <si>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</si>
  <si>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</si>
  <si>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</si>
  <si>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</si>
  <si>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</si>
  <si>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</si>
  <si>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</si>
  <si>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</si>
  <si>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</si>
  <si>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</si>
  <si>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</si>
  <si>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</si>
  <si>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</si>
  <si>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</si>
  <si>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</si>
  <si>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</si>
  <si>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</si>
  <si>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</si>
  <si>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</si>
  <si>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</si>
  <si>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</si>
  <si>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</si>
  <si>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</si>
  <si>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</si>
  <si>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</si>
  <si>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</si>
  <si>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</si>
  <si>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</si>
  <si>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</si>
  <si>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</si>
  <si>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</si>
  <si>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</si>
  <si>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</si>
  <si>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</si>
  <si>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</si>
  <si>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</si>
  <si>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</si>
  <si>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</si>
  <si>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</si>
  <si>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</si>
  <si>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</si>
  <si>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</si>
  <si>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</si>
  <si>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</si>
  <si>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</si>
  <si>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</si>
  <si>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</si>
  <si>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</si>
  <si>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</si>
  <si>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</si>
  <si>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</si>
  <si>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</si>
  <si>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</si>
  <si>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</si>
  <si>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</si>
  <si>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</si>
  <si>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</si>
  <si>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</si>
  <si>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</si>
  <si>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</si>
  <si>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</si>
  <si>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</si>
  <si>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</si>
  <si>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</si>
  <si>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</si>
  <si>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</si>
  <si>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</si>
  <si>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</si>
  <si>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</si>
  <si>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</si>
  <si>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</si>
  <si>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</si>
  <si>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</si>
  <si>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</si>
  <si>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</si>
  <si>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</si>
  <si>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</si>
  <si>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</si>
  <si>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</si>
  <si>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</si>
  <si>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</si>
  <si>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</si>
  <si>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</si>
  <si>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</si>
  <si>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</si>
  <si>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</si>
  <si>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homogeneous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</si>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</sst>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1" fillId="5" borderId="0" applyNumberFormat="0" applyBorder="0" applyAlignment="0" applyProtection="0"/>
    <xf numFmtId="0" fontId="19" fillId="0" borderId="0"/>
    <xf numFmtId="0" fontId="12" fillId="0" borderId="0"/>
    <xf numFmtId="0" fontId="9" fillId="0" borderId="0"/>
    <xf numFmtId="0" fontId="30" fillId="0" borderId="0"/>
    <xf numFmtId="0" fontId="6" fillId="0" borderId="0"/>
  </cellStyleXfs>
  <cellXfs count="151">
    <xf numFmtId="0" fontId="0" fillId="0" borderId="0" xfId="0"/>
    <xf numFmtId="0" fontId="20" fillId="0" borderId="0" xfId="0" applyFont="1"/>
    <xf numFmtId="0" fontId="19" fillId="0" borderId="0" xfId="2"/>
    <xf numFmtId="0" fontId="24" fillId="9" borderId="5" xfId="2" applyFont="1" applyFill="1" applyBorder="1"/>
    <xf numFmtId="0" fontId="24" fillId="9" borderId="6" xfId="2" applyFont="1" applyFill="1" applyBorder="1"/>
    <xf numFmtId="0" fontId="22" fillId="10" borderId="7" xfId="2" applyFont="1" applyFill="1" applyBorder="1"/>
    <xf numFmtId="2" fontId="22" fillId="0" borderId="2" xfId="2" applyNumberFormat="1" applyFont="1" applyBorder="1"/>
    <xf numFmtId="0" fontId="19" fillId="2" borderId="0" xfId="2" applyFill="1"/>
    <xf numFmtId="0" fontId="22" fillId="11" borderId="8" xfId="2" applyFont="1" applyFill="1" applyBorder="1"/>
    <xf numFmtId="0" fontId="24" fillId="9" borderId="9" xfId="2" applyFont="1" applyFill="1" applyBorder="1"/>
    <xf numFmtId="0" fontId="24" fillId="9" borderId="10" xfId="2" applyFont="1" applyFill="1" applyBorder="1"/>
    <xf numFmtId="0" fontId="19" fillId="10" borderId="0" xfId="2" applyFill="1" applyBorder="1"/>
    <xf numFmtId="0" fontId="19" fillId="7" borderId="0" xfId="2" applyFill="1"/>
    <xf numFmtId="0" fontId="19" fillId="11" borderId="12" xfId="2" applyFill="1" applyBorder="1"/>
    <xf numFmtId="0" fontId="24" fillId="9" borderId="14" xfId="2" applyFont="1" applyFill="1" applyBorder="1"/>
    <xf numFmtId="0" fontId="24" fillId="9" borderId="15" xfId="2" applyFont="1" applyFill="1" applyBorder="1"/>
    <xf numFmtId="0" fontId="19" fillId="10" borderId="12" xfId="2" applyFill="1" applyBorder="1"/>
    <xf numFmtId="0" fontId="24" fillId="9" borderId="16" xfId="2" applyFont="1" applyFill="1" applyBorder="1"/>
    <xf numFmtId="0" fontId="24" fillId="9" borderId="17" xfId="2" applyFont="1" applyFill="1" applyBorder="1"/>
    <xf numFmtId="0" fontId="23" fillId="12" borderId="2" xfId="2" applyFont="1" applyFill="1" applyBorder="1" applyAlignment="1">
      <alignment horizontal="center"/>
    </xf>
    <xf numFmtId="0" fontId="23" fillId="12" borderId="3" xfId="2" applyFont="1" applyFill="1" applyBorder="1" applyAlignment="1">
      <alignment horizontal="center"/>
    </xf>
    <xf numFmtId="0" fontId="24" fillId="13" borderId="6" xfId="2" applyFont="1" applyFill="1" applyBorder="1"/>
    <xf numFmtId="0" fontId="24" fillId="3" borderId="5" xfId="2" applyFont="1" applyFill="1" applyBorder="1"/>
    <xf numFmtId="0" fontId="24" fillId="3" borderId="6" xfId="2" applyFont="1" applyFill="1" applyBorder="1"/>
    <xf numFmtId="0" fontId="24" fillId="3" borderId="9" xfId="2" applyFont="1" applyFill="1" applyBorder="1"/>
    <xf numFmtId="0" fontId="24" fillId="3" borderId="10" xfId="2" applyFont="1" applyFill="1" applyBorder="1"/>
    <xf numFmtId="0" fontId="24" fillId="3" borderId="14" xfId="2" applyFont="1" applyFill="1" applyBorder="1"/>
    <xf numFmtId="0" fontId="24" fillId="3" borderId="15" xfId="2" applyFont="1" applyFill="1" applyBorder="1"/>
    <xf numFmtId="0" fontId="19" fillId="4" borderId="0" xfId="2" applyFill="1"/>
    <xf numFmtId="0" fontId="24" fillId="3" borderId="16" xfId="2" applyFont="1" applyFill="1" applyBorder="1"/>
    <xf numFmtId="0" fontId="24" fillId="3" borderId="17" xfId="2" applyFont="1" applyFill="1" applyBorder="1"/>
    <xf numFmtId="0" fontId="22" fillId="10" borderId="8" xfId="2" applyFont="1" applyFill="1" applyBorder="1"/>
    <xf numFmtId="0" fontId="22" fillId="10" borderId="2" xfId="2" applyFont="1" applyFill="1" applyBorder="1"/>
    <xf numFmtId="0" fontId="19" fillId="10" borderId="13" xfId="2" applyFill="1" applyBorder="1"/>
    <xf numFmtId="0" fontId="19" fillId="10" borderId="1" xfId="2" applyFill="1" applyBorder="1"/>
    <xf numFmtId="0" fontId="19" fillId="10" borderId="19" xfId="2" applyFill="1" applyBorder="1"/>
    <xf numFmtId="0" fontId="19" fillId="10" borderId="20" xfId="2" applyFill="1" applyBorder="1"/>
    <xf numFmtId="0" fontId="22" fillId="0" borderId="16" xfId="2" applyFont="1" applyBorder="1"/>
    <xf numFmtId="0" fontId="19" fillId="0" borderId="0" xfId="2" applyBorder="1"/>
    <xf numFmtId="0" fontId="19" fillId="0" borderId="0" xfId="2" applyAlignment="1"/>
    <xf numFmtId="0" fontId="23" fillId="14" borderId="2" xfId="2" applyFont="1" applyFill="1" applyBorder="1" applyAlignment="1">
      <alignment horizontal="center"/>
    </xf>
    <xf numFmtId="0" fontId="23" fillId="14" borderId="3" xfId="2" applyFont="1" applyFill="1" applyBorder="1" applyAlignment="1">
      <alignment horizontal="center"/>
    </xf>
    <xf numFmtId="0" fontId="19" fillId="2" borderId="7" xfId="2" applyFill="1" applyBorder="1"/>
    <xf numFmtId="0" fontId="18" fillId="0" borderId="0" xfId="2" applyFont="1"/>
    <xf numFmtId="0" fontId="19" fillId="15" borderId="0" xfId="2" applyFill="1"/>
    <xf numFmtId="0" fontId="17" fillId="0" borderId="0" xfId="2" applyFont="1"/>
    <xf numFmtId="0" fontId="16" fillId="0" borderId="0" xfId="2" applyFont="1"/>
    <xf numFmtId="2" fontId="22" fillId="10" borderId="2" xfId="2" applyNumberFormat="1" applyFont="1" applyFill="1" applyBorder="1"/>
    <xf numFmtId="0" fontId="19" fillId="16" borderId="0" xfId="2" applyFill="1"/>
    <xf numFmtId="0" fontId="16" fillId="17" borderId="0" xfId="2" applyFont="1" applyFill="1"/>
    <xf numFmtId="0" fontId="19" fillId="17" borderId="0" xfId="2" applyFill="1"/>
    <xf numFmtId="0" fontId="19" fillId="18" borderId="0" xfId="2" applyFill="1"/>
    <xf numFmtId="0" fontId="24" fillId="13" borderId="10" xfId="2" applyFont="1" applyFill="1" applyBorder="1"/>
    <xf numFmtId="0" fontId="24" fillId="13" borderId="17" xfId="2" applyFont="1" applyFill="1" applyBorder="1"/>
    <xf numFmtId="0" fontId="15" fillId="0" borderId="0" xfId="2" applyFont="1"/>
    <xf numFmtId="0" fontId="25" fillId="0" borderId="0" xfId="0" applyFont="1"/>
    <xf numFmtId="0" fontId="15" fillId="0" borderId="0" xfId="2" applyFont="1" applyFill="1" applyBorder="1"/>
    <xf numFmtId="0" fontId="14" fillId="0" borderId="0" xfId="2" applyFont="1" applyFill="1" applyBorder="1"/>
    <xf numFmtId="0" fontId="13" fillId="0" borderId="0" xfId="2" applyFont="1"/>
    <xf numFmtId="0" fontId="11" fillId="0" borderId="0" xfId="2" applyFont="1"/>
    <xf numFmtId="0" fontId="22" fillId="20" borderId="20" xfId="2" applyFont="1" applyFill="1" applyBorder="1"/>
    <xf numFmtId="0" fontId="10" fillId="0" borderId="0" xfId="2" applyFont="1"/>
    <xf numFmtId="0" fontId="20" fillId="0" borderId="22" xfId="0" applyFont="1" applyBorder="1" applyAlignment="1">
      <alignment horizontal="right" vertical="center" wrapText="1"/>
    </xf>
    <xf numFmtId="11" fontId="20" fillId="0" borderId="22" xfId="0" applyNumberFormat="1" applyFont="1" applyBorder="1" applyAlignment="1">
      <alignment horizontal="right" vertical="center" wrapText="1"/>
    </xf>
    <xf numFmtId="0" fontId="28" fillId="0" borderId="22" xfId="0" applyFont="1" applyBorder="1" applyAlignment="1">
      <alignment horizontal="right" vertical="center" wrapText="1"/>
    </xf>
    <xf numFmtId="0" fontId="28" fillId="0" borderId="0" xfId="0" applyFont="1" applyBorder="1" applyAlignment="1">
      <alignment horizontal="right" vertical="center" wrapText="1"/>
    </xf>
    <xf numFmtId="11" fontId="19" fillId="0" borderId="0" xfId="2" applyNumberFormat="1"/>
    <xf numFmtId="11" fontId="28" fillId="0" borderId="22" xfId="0" applyNumberFormat="1" applyFont="1" applyBorder="1" applyAlignment="1">
      <alignment horizontal="right" vertical="center" wrapText="1"/>
    </xf>
    <xf numFmtId="0" fontId="8" fillId="22" borderId="25" xfId="2" applyFont="1" applyFill="1" applyBorder="1"/>
    <xf numFmtId="0" fontId="19" fillId="22" borderId="26" xfId="2" applyFill="1" applyBorder="1"/>
    <xf numFmtId="0" fontId="8" fillId="22" borderId="27" xfId="2" applyFont="1" applyFill="1" applyBorder="1"/>
    <xf numFmtId="0" fontId="19" fillId="22" borderId="28" xfId="2" applyFill="1" applyBorder="1"/>
    <xf numFmtId="0" fontId="7" fillId="10" borderId="0" xfId="2" applyFont="1" applyFill="1" applyBorder="1"/>
    <xf numFmtId="11" fontId="28" fillId="0" borderId="0" xfId="0" applyNumberFormat="1" applyFont="1" applyBorder="1" applyAlignment="1">
      <alignment horizontal="right" vertical="center" wrapText="1"/>
    </xf>
    <xf numFmtId="3" fontId="19" fillId="0" borderId="0" xfId="2" applyNumberFormat="1"/>
    <xf numFmtId="3" fontId="28" fillId="0" borderId="0" xfId="0" applyNumberFormat="1" applyFont="1" applyBorder="1" applyAlignment="1">
      <alignment horizontal="right" vertical="center" wrapText="1"/>
    </xf>
    <xf numFmtId="2" fontId="19" fillId="0" borderId="0" xfId="2" applyNumberFormat="1"/>
    <xf numFmtId="0" fontId="0" fillId="0" borderId="0" xfId="0" applyNumberFormat="1"/>
    <xf numFmtId="0" fontId="4" fillId="0" borderId="0" xfId="2" applyFont="1"/>
    <xf numFmtId="0" fontId="29" fillId="21" borderId="29" xfId="0" applyFont="1" applyFill="1" applyBorder="1" applyAlignment="1">
      <alignment vertical="center" wrapText="1"/>
    </xf>
    <xf numFmtId="0" fontId="27" fillId="21" borderId="29" xfId="0" applyFont="1" applyFill="1" applyBorder="1" applyAlignment="1">
      <alignment horizontal="right" vertical="center" wrapText="1"/>
    </xf>
    <xf numFmtId="0" fontId="19" fillId="0" borderId="30" xfId="2" applyBorder="1"/>
    <xf numFmtId="0" fontId="5" fillId="0" borderId="31" xfId="2" applyFont="1" applyBorder="1"/>
    <xf numFmtId="0" fontId="5" fillId="0" borderId="32" xfId="2" applyFont="1" applyBorder="1"/>
    <xf numFmtId="0" fontId="5" fillId="0" borderId="23" xfId="2" applyFont="1" applyBorder="1"/>
    <xf numFmtId="0" fontId="19" fillId="0" borderId="33" xfId="2" applyBorder="1"/>
    <xf numFmtId="0" fontId="19" fillId="0" borderId="23" xfId="2" applyBorder="1"/>
    <xf numFmtId="0" fontId="19" fillId="0" borderId="11" xfId="2" applyBorder="1"/>
    <xf numFmtId="0" fontId="19" fillId="13" borderId="11" xfId="2" applyFill="1" applyBorder="1"/>
    <xf numFmtId="0" fontId="21" fillId="5" borderId="21" xfId="1" applyBorder="1"/>
    <xf numFmtId="0" fontId="19" fillId="13" borderId="0" xfId="2" applyFill="1" applyBorder="1"/>
    <xf numFmtId="0" fontId="21" fillId="5" borderId="13" xfId="1" applyBorder="1"/>
    <xf numFmtId="0" fontId="21" fillId="5" borderId="0" xfId="1" applyBorder="1"/>
    <xf numFmtId="0" fontId="19" fillId="0" borderId="1" xfId="2" applyBorder="1"/>
    <xf numFmtId="0" fontId="19" fillId="13" borderId="1" xfId="2" applyFill="1" applyBorder="1"/>
    <xf numFmtId="0" fontId="21" fillId="5" borderId="1" xfId="1" applyBorder="1"/>
    <xf numFmtId="0" fontId="21" fillId="5" borderId="19" xfId="1" applyBorder="1"/>
    <xf numFmtId="0" fontId="22" fillId="0" borderId="19" xfId="2" applyFont="1" applyBorder="1"/>
    <xf numFmtId="0" fontId="22" fillId="0" borderId="17" xfId="2" applyFont="1" applyBorder="1"/>
    <xf numFmtId="0" fontId="22" fillId="0" borderId="2" xfId="2" applyFont="1" applyBorder="1"/>
    <xf numFmtId="0" fontId="22" fillId="0" borderId="8" xfId="2" applyFont="1" applyBorder="1" applyAlignment="1"/>
    <xf numFmtId="0" fontId="22" fillId="0" borderId="3" xfId="2" applyFont="1" applyBorder="1" applyAlignment="1"/>
    <xf numFmtId="0" fontId="22" fillId="20" borderId="0" xfId="2" applyFont="1" applyFill="1"/>
    <xf numFmtId="0" fontId="30" fillId="0" borderId="0" xfId="5"/>
    <xf numFmtId="0" fontId="20" fillId="0" borderId="0" xfId="5" quotePrefix="1" applyFont="1" applyAlignment="1">
      <alignment horizontal="center" vertical="center"/>
    </xf>
    <xf numFmtId="0" fontId="30" fillId="0" borderId="0" xfId="5" applyAlignment="1">
      <alignment horizontal="center" vertical="center"/>
    </xf>
    <xf numFmtId="0" fontId="30" fillId="0" borderId="0" xfId="5" applyAlignment="1">
      <alignment vertical="center"/>
    </xf>
    <xf numFmtId="0" fontId="3" fillId="0" borderId="0" xfId="2" applyFont="1"/>
    <xf numFmtId="16" fontId="24" fillId="3" borderId="10" xfId="2" applyNumberFormat="1" applyFont="1" applyFill="1" applyBorder="1" applyAlignment="1">
      <alignment horizontal="right"/>
    </xf>
    <xf numFmtId="0" fontId="24" fillId="3" borderId="10" xfId="2" applyFont="1" applyFill="1" applyBorder="1" applyAlignment="1">
      <alignment horizontal="right"/>
    </xf>
    <xf numFmtId="0" fontId="3" fillId="0" borderId="0" xfId="2" applyFont="1" applyBorder="1"/>
    <xf numFmtId="0" fontId="3" fillId="0" borderId="31" xfId="2" applyFont="1" applyBorder="1"/>
    <xf numFmtId="2" fontId="22" fillId="0" borderId="8" xfId="2" applyNumberFormat="1" applyFont="1" applyBorder="1"/>
    <xf numFmtId="0" fontId="22" fillId="10" borderId="20" xfId="2" applyFont="1" applyFill="1" applyBorder="1"/>
    <xf numFmtId="0" fontId="22" fillId="10" borderId="11" xfId="2" applyFont="1" applyFill="1" applyBorder="1"/>
    <xf numFmtId="0" fontId="22" fillId="10" borderId="21" xfId="2" applyFont="1" applyFill="1" applyBorder="1"/>
    <xf numFmtId="0" fontId="7" fillId="10" borderId="11" xfId="2" applyFont="1" applyFill="1" applyBorder="1"/>
    <xf numFmtId="0" fontId="19" fillId="10" borderId="11" xfId="2" applyFill="1" applyBorder="1"/>
    <xf numFmtId="0" fontId="19" fillId="10" borderId="21" xfId="2" applyFill="1" applyBorder="1"/>
    <xf numFmtId="0" fontId="19" fillId="10" borderId="7" xfId="2" applyFill="1" applyBorder="1"/>
    <xf numFmtId="0" fontId="19" fillId="10" borderId="17" xfId="2" applyFill="1" applyBorder="1"/>
    <xf numFmtId="0" fontId="2" fillId="23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6" xfId="0" applyBorder="1"/>
    <xf numFmtId="0" fontId="0" fillId="0" borderId="1" xfId="0" applyBorder="1"/>
    <xf numFmtId="0" fontId="0" fillId="0" borderId="19" xfId="0" applyBorder="1"/>
    <xf numFmtId="0" fontId="22" fillId="7" borderId="2" xfId="2" applyFont="1" applyFill="1" applyBorder="1" applyAlignment="1">
      <alignment horizontal="center"/>
    </xf>
    <xf numFmtId="0" fontId="22" fillId="7" borderId="4" xfId="2" applyFont="1" applyFill="1" applyBorder="1" applyAlignment="1">
      <alignment horizontal="center"/>
    </xf>
    <xf numFmtId="0" fontId="22" fillId="7" borderId="3" xfId="2" applyFont="1" applyFill="1" applyBorder="1" applyAlignment="1">
      <alignment horizontal="center"/>
    </xf>
    <xf numFmtId="0" fontId="23" fillId="6" borderId="2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2" fillId="8" borderId="2" xfId="2" applyFont="1" applyFill="1" applyBorder="1" applyAlignment="1">
      <alignment horizontal="center"/>
    </xf>
    <xf numFmtId="0" fontId="22" fillId="8" borderId="4" xfId="2" applyFont="1" applyFill="1" applyBorder="1" applyAlignment="1">
      <alignment horizontal="center"/>
    </xf>
    <xf numFmtId="0" fontId="22" fillId="8" borderId="3" xfId="2" applyFont="1" applyFill="1" applyBorder="1" applyAlignment="1">
      <alignment horizontal="center"/>
    </xf>
    <xf numFmtId="0" fontId="8" fillId="22" borderId="24" xfId="2" applyFont="1" applyFill="1" applyBorder="1" applyAlignment="1">
      <alignment horizontal="center"/>
    </xf>
    <xf numFmtId="0" fontId="19" fillId="0" borderId="18" xfId="2" applyBorder="1" applyAlignment="1">
      <alignment horizontal="center" vertical="center"/>
    </xf>
    <xf numFmtId="0" fontId="19" fillId="0" borderId="16" xfId="2" applyBorder="1" applyAlignment="1">
      <alignment horizontal="center" vertical="center"/>
    </xf>
    <xf numFmtId="0" fontId="19" fillId="19" borderId="20" xfId="2" applyFill="1" applyBorder="1" applyAlignment="1">
      <alignment horizontal="center" vertical="center"/>
    </xf>
    <xf numFmtId="0" fontId="19" fillId="19" borderId="18" xfId="2" applyFill="1" applyBorder="1" applyAlignment="1">
      <alignment horizontal="center" vertical="center"/>
    </xf>
    <xf numFmtId="0" fontId="19" fillId="19" borderId="16" xfId="2" applyFill="1" applyBorder="1" applyAlignment="1">
      <alignment horizontal="center" vertical="center"/>
    </xf>
    <xf numFmtId="0" fontId="19" fillId="0" borderId="20" xfId="2" applyBorder="1" applyAlignment="1">
      <alignment horizontal="center" vertical="center"/>
    </xf>
    <xf numFmtId="0" fontId="19" fillId="0" borderId="20" xfId="2" applyBorder="1" applyAlignment="1">
      <alignment horizontal="center"/>
    </xf>
    <xf numFmtId="0" fontId="19" fillId="0" borderId="21" xfId="2" applyBorder="1" applyAlignment="1">
      <alignment horizontal="center"/>
    </xf>
    <xf numFmtId="0" fontId="19" fillId="0" borderId="16" xfId="2" applyBorder="1" applyAlignment="1">
      <alignment horizontal="center"/>
    </xf>
    <xf numFmtId="0" fontId="19" fillId="0" borderId="19" xfId="2" applyBorder="1" applyAlignment="1">
      <alignment horizontal="center"/>
    </xf>
    <xf numFmtId="0" fontId="1" fillId="0" borderId="0" xfId="2" applyFont="1" applyBorder="1"/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126" headerRowBorderDxfId="125" tableBorderDxfId="124" totalsRowBorderDxfId="123">
  <autoFilter ref="E3:H36" xr:uid="{959DA9F9-400D-4E84-A65C-F78F8C4FDFBF}"/>
  <tableColumns count="4">
    <tableColumn id="1" xr3:uid="{C71BB3DE-C7A3-40FB-833B-63BF72AA888D}" name="Base Case " dataDxfId="122" dataCellStyle="Normal 2"/>
    <tableColumn id="2" xr3:uid="{7A77F484-DAB4-4361-85D9-C2C76229D64F}" name="Project name" dataDxfId="121" dataCellStyle="Normal 2"/>
    <tableColumn id="3" xr3:uid="{CA0234AE-9297-42A2-838A-5321E59C661B}" name="Revision" dataDxfId="120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119"/>
    <tableColumn id="2" xr3:uid="{D3F255F2-2A86-4157-9656-81F9A8679A3F}" uniqueName="2" name="project" queryTableFieldId="2" dataDxfId="118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117"/>
    <tableColumn id="2" xr3:uid="{0352DEE9-A2F6-4B8A-8599-04C147D10F35}" uniqueName="2" name="project" queryTableFieldId="2" dataDxfId="116"/>
    <tableColumn id="3" xr3:uid="{BF6C5043-F72C-4AE8-9579-515A96C3E5DA}" uniqueName="3" name="rev" queryTableFieldId="3"/>
    <tableColumn id="4" xr3:uid="{555920D1-D4C3-4246-B1CC-654778957766}" uniqueName="4" name="notes" queryTableFieldId="4" dataDxfId="115"/>
    <tableColumn id="5" xr3:uid="{3C8B1387-C128-40BC-85BE-2A2258FF5090}" uniqueName="5" name="soil_type" queryTableFieldId="71" dataDxfId="114"/>
    <tableColumn id="6" xr3:uid="{B120AA35-A36C-4373-9DD8-C12E4ADEA753}" uniqueName="6" name="y_u_F" queryTableFieldId="6" dataDxfId="113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2"/>
    <tableColumn id="22" xr3:uid="{DDF2E8CC-8F90-4165-A9DD-0C0446BC0AE9}" uniqueName="22" name="tetam_u_F" queryTableFieldId="22" dataDxfId="111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0"/>
    <tableColumn id="38" xr3:uid="{AE0DC746-D8B2-43F4-92F2-2255EDBA42E9}" uniqueName="38" name="yB_u_F" queryTableFieldId="38" dataDxfId="109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08"/>
    <tableColumn id="54" xr3:uid="{F50B2D1F-8054-4D43-9D9F-605E7F01705A}" uniqueName="54" name="tetaMb_u_F" queryTableFieldId="54" dataDxfId="107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topLeftCell="D1" zoomScaleNormal="100" workbookViewId="0">
      <selection activeCell="T7" sqref="T7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34" t="s">
        <v>77</v>
      </c>
      <c r="C2" s="135"/>
      <c r="I2" s="131" t="s">
        <v>78</v>
      </c>
      <c r="J2" s="132"/>
      <c r="K2" s="132"/>
      <c r="L2" s="132"/>
      <c r="M2" s="132"/>
      <c r="N2" s="132"/>
      <c r="O2" s="132"/>
      <c r="P2" s="132"/>
      <c r="Q2" s="132"/>
      <c r="R2" s="132"/>
      <c r="S2" s="133"/>
      <c r="AL2" s="136" t="s">
        <v>79</v>
      </c>
      <c r="AM2" s="137"/>
      <c r="AN2" s="137"/>
      <c r="AO2" s="137"/>
      <c r="AP2" s="137"/>
      <c r="AQ2" s="137"/>
      <c r="AR2" s="137"/>
      <c r="AS2" s="137"/>
      <c r="AT2" s="137"/>
      <c r="AU2" s="138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246</v>
      </c>
      <c r="G3" s="83" t="s">
        <v>247</v>
      </c>
      <c r="H3" s="111" t="s">
        <v>420</v>
      </c>
      <c r="I3" s="79" t="s">
        <v>83</v>
      </c>
      <c r="J3" s="6" t="s">
        <v>84</v>
      </c>
      <c r="K3" s="6" t="s">
        <v>86</v>
      </c>
      <c r="L3" s="6" t="s">
        <v>140</v>
      </c>
      <c r="M3" s="6" t="s">
        <v>142</v>
      </c>
      <c r="N3" s="6" t="s">
        <v>143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391</v>
      </c>
      <c r="F4" s="84" t="s">
        <v>253</v>
      </c>
      <c r="G4" s="85">
        <v>0</v>
      </c>
      <c r="H4" s="110" t="s">
        <v>421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360</v>
      </c>
      <c r="F5" s="84" t="s">
        <v>253</v>
      </c>
      <c r="G5" s="85">
        <v>1</v>
      </c>
      <c r="H5" s="110" t="s">
        <v>422</v>
      </c>
      <c r="I5" s="80">
        <v>2</v>
      </c>
      <c r="P5" s="65"/>
      <c r="Q5" s="65"/>
      <c r="R5" s="65"/>
      <c r="S5" s="65"/>
      <c r="T5" s="2">
        <v>0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339</v>
      </c>
      <c r="F6" s="84" t="s">
        <v>253</v>
      </c>
      <c r="G6" s="85">
        <v>1</v>
      </c>
      <c r="H6" s="110" t="s">
        <v>423</v>
      </c>
      <c r="I6" s="80">
        <v>3</v>
      </c>
      <c r="P6" s="65"/>
      <c r="Q6" s="65"/>
      <c r="R6" s="65"/>
      <c r="S6" s="65"/>
      <c r="T6" s="2">
        <v>0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218</v>
      </c>
      <c r="E7" s="84" t="s">
        <v>352</v>
      </c>
      <c r="F7" s="84" t="s">
        <v>253</v>
      </c>
      <c r="G7" s="85">
        <v>1</v>
      </c>
      <c r="H7" s="110" t="s">
        <v>424</v>
      </c>
      <c r="I7" s="80">
        <v>4</v>
      </c>
      <c r="P7" s="65"/>
      <c r="Q7" s="65"/>
      <c r="R7" s="65"/>
      <c r="S7" s="65"/>
      <c r="T7" s="2">
        <v>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364</v>
      </c>
      <c r="F8" s="84" t="s">
        <v>253</v>
      </c>
      <c r="G8" s="85">
        <v>1</v>
      </c>
      <c r="H8" s="110" t="s">
        <v>425</v>
      </c>
      <c r="I8" s="80">
        <v>5</v>
      </c>
      <c r="P8" s="65"/>
      <c r="Q8" s="65"/>
      <c r="R8" s="65"/>
      <c r="S8" s="65"/>
      <c r="T8" s="2">
        <v>0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342</v>
      </c>
      <c r="F9" s="84" t="s">
        <v>253</v>
      </c>
      <c r="G9" s="85">
        <v>1</v>
      </c>
      <c r="H9" s="110" t="s">
        <v>426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391</v>
      </c>
      <c r="F10" s="84" t="s">
        <v>253</v>
      </c>
      <c r="G10" s="85">
        <v>0</v>
      </c>
      <c r="H10" s="110" t="s">
        <v>427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34" t="s">
        <v>389</v>
      </c>
      <c r="C11" s="135"/>
      <c r="E11" s="84" t="s">
        <v>366</v>
      </c>
      <c r="F11" s="84" t="s">
        <v>253</v>
      </c>
      <c r="G11" s="85">
        <v>1</v>
      </c>
      <c r="H11" s="150" t="s">
        <v>429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199</v>
      </c>
      <c r="C12" s="4" t="s">
        <v>187</v>
      </c>
      <c r="E12" s="84" t="s">
        <v>366</v>
      </c>
      <c r="F12" s="84" t="s">
        <v>253</v>
      </c>
      <c r="G12" s="85">
        <v>1</v>
      </c>
      <c r="H12" s="150" t="s">
        <v>450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200</v>
      </c>
      <c r="C13" s="10" t="s">
        <v>187</v>
      </c>
      <c r="E13" s="84" t="s">
        <v>366</v>
      </c>
      <c r="F13" s="84" t="s">
        <v>253</v>
      </c>
      <c r="G13" s="85">
        <v>1</v>
      </c>
      <c r="H13" s="150" t="s">
        <v>451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201</v>
      </c>
      <c r="C14" s="18" t="s">
        <v>187</v>
      </c>
      <c r="E14" s="84" t="s">
        <v>391</v>
      </c>
      <c r="F14" s="84" t="s">
        <v>253</v>
      </c>
      <c r="G14" s="85">
        <v>0</v>
      </c>
      <c r="H14" s="150" t="s">
        <v>428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185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39" t="s">
        <v>205</v>
      </c>
      <c r="C23" s="13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39" t="s">
        <v>206</v>
      </c>
      <c r="C27" s="13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32" t="s">
        <v>132</v>
      </c>
      <c r="J36" s="132"/>
      <c r="K36" s="132"/>
      <c r="L36" s="132"/>
      <c r="M36" s="132"/>
      <c r="N36" s="132"/>
      <c r="O36" s="132"/>
      <c r="P36" s="132"/>
      <c r="Q36" s="132"/>
      <c r="R36" s="132"/>
      <c r="S36" s="13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k_p_1</v>
      </c>
      <c r="L37" s="114" t="str">
        <f t="shared" si="1"/>
        <v>k_p_2</v>
      </c>
      <c r="M37" s="114" t="str">
        <f>M3</f>
        <v>n_p_1</v>
      </c>
      <c r="N37" s="114" t="str">
        <f t="shared" si="1"/>
        <v>n_p_2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202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390</v>
      </c>
      <c r="C52" s="4" t="s">
        <v>187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398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419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418</v>
      </c>
      <c r="C55" s="4">
        <v>10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31" t="s">
        <v>133</v>
      </c>
      <c r="J71" s="132"/>
      <c r="K71" s="132"/>
      <c r="L71" s="132"/>
      <c r="M71" s="132"/>
      <c r="N71" s="132"/>
      <c r="O71" s="132"/>
      <c r="P71" s="132"/>
      <c r="Q71" s="132"/>
      <c r="R71" s="132"/>
      <c r="S71" s="13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k_p_1</v>
      </c>
      <c r="L72" s="47" t="str">
        <f t="shared" si="3"/>
        <v>k_p_2</v>
      </c>
      <c r="M72" s="47" t="str">
        <f>M$3</f>
        <v>n_p_1</v>
      </c>
      <c r="N72" s="47" t="str">
        <f t="shared" si="3"/>
        <v>n_p_2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>
        <v>1200</v>
      </c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6" type="noConversion"/>
  <dataValidations count="9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1D5546-CAAC-4445-A494-937B3E666FB2}">
          <x14:formula1>
            <xm:f>Switch_options_hidden!$D$3:$D$6</xm:f>
          </x14:formula1>
          <xm:sqref>C19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J3:S3 U36:AA36 U33:AD33 AM3:AU3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workbookViewId="0">
      <selection activeCell="A26" sqref="A26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392</v>
      </c>
      <c r="B1" t="s">
        <v>393</v>
      </c>
      <c r="C1" t="s">
        <v>248</v>
      </c>
    </row>
    <row r="2" spans="1:3" x14ac:dyDescent="0.25">
      <c r="A2" s="77" t="s">
        <v>394</v>
      </c>
      <c r="B2" s="77" t="s">
        <v>253</v>
      </c>
      <c r="C2">
        <v>0</v>
      </c>
    </row>
    <row r="3" spans="1:3" x14ac:dyDescent="0.25">
      <c r="A3" s="77" t="s">
        <v>395</v>
      </c>
      <c r="B3" s="77" t="s">
        <v>266</v>
      </c>
      <c r="C3">
        <v>1</v>
      </c>
    </row>
    <row r="4" spans="1:3" x14ac:dyDescent="0.25">
      <c r="A4" s="77" t="s">
        <v>391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396</v>
      </c>
      <c r="B68" s="77" t="s">
        <v>266</v>
      </c>
      <c r="C68">
        <v>1</v>
      </c>
    </row>
    <row r="69" spans="1:3" x14ac:dyDescent="0.25">
      <c r="A69" s="77" t="s">
        <v>421</v>
      </c>
      <c r="B69" s="77" t="s">
        <v>419</v>
      </c>
      <c r="C69">
        <v>10</v>
      </c>
    </row>
    <row r="70" spans="1:3" x14ac:dyDescent="0.25">
      <c r="A70" s="77" t="s">
        <v>421</v>
      </c>
      <c r="B70" s="77" t="s">
        <v>419</v>
      </c>
      <c r="C70">
        <v>11</v>
      </c>
    </row>
    <row r="71" spans="1:3" x14ac:dyDescent="0.25">
      <c r="A71" s="77" t="s">
        <v>427</v>
      </c>
      <c r="B71" s="77" t="s">
        <v>419</v>
      </c>
      <c r="C71">
        <v>10</v>
      </c>
    </row>
    <row r="72" spans="1:3" x14ac:dyDescent="0.25">
      <c r="A72" s="77" t="s">
        <v>427</v>
      </c>
      <c r="B72" s="77" t="s">
        <v>419</v>
      </c>
      <c r="C72">
        <v>11</v>
      </c>
    </row>
    <row r="73" spans="1:3" x14ac:dyDescent="0.25">
      <c r="A73" s="77" t="s">
        <v>428</v>
      </c>
      <c r="B73" s="77" t="s">
        <v>419</v>
      </c>
      <c r="C73">
        <v>10</v>
      </c>
    </row>
    <row r="74" spans="1:3" x14ac:dyDescent="0.25">
      <c r="A74" s="77" t="s">
        <v>428</v>
      </c>
      <c r="B74" s="77" t="s">
        <v>419</v>
      </c>
      <c r="C74">
        <v>11</v>
      </c>
    </row>
    <row r="75" spans="1:3" x14ac:dyDescent="0.25">
      <c r="A75" s="77" t="s">
        <v>422</v>
      </c>
      <c r="B75" s="77" t="s">
        <v>419</v>
      </c>
      <c r="C75">
        <v>10</v>
      </c>
    </row>
    <row r="76" spans="1:3" x14ac:dyDescent="0.25">
      <c r="A76" s="77" t="s">
        <v>422</v>
      </c>
      <c r="B76" s="77" t="s">
        <v>419</v>
      </c>
      <c r="C76">
        <v>11</v>
      </c>
    </row>
    <row r="77" spans="1:3" x14ac:dyDescent="0.25">
      <c r="A77" s="77" t="s">
        <v>423</v>
      </c>
      <c r="B77" s="77" t="s">
        <v>419</v>
      </c>
      <c r="C77">
        <v>10</v>
      </c>
    </row>
    <row r="78" spans="1:3" x14ac:dyDescent="0.25">
      <c r="A78" s="77" t="s">
        <v>423</v>
      </c>
      <c r="B78" s="77" t="s">
        <v>419</v>
      </c>
      <c r="C78">
        <v>11</v>
      </c>
    </row>
    <row r="79" spans="1:3" x14ac:dyDescent="0.25">
      <c r="A79" s="77" t="s">
        <v>424</v>
      </c>
      <c r="B79" s="77" t="s">
        <v>419</v>
      </c>
      <c r="C79">
        <v>10</v>
      </c>
    </row>
    <row r="80" spans="1:3" x14ac:dyDescent="0.25">
      <c r="A80" s="77" t="s">
        <v>424</v>
      </c>
      <c r="B80" s="77" t="s">
        <v>419</v>
      </c>
      <c r="C80">
        <v>11</v>
      </c>
    </row>
    <row r="81" spans="1:3" x14ac:dyDescent="0.25">
      <c r="A81" s="77" t="s">
        <v>425</v>
      </c>
      <c r="B81" s="77" t="s">
        <v>419</v>
      </c>
      <c r="C81">
        <v>10</v>
      </c>
    </row>
    <row r="82" spans="1:3" x14ac:dyDescent="0.25">
      <c r="A82" s="77" t="s">
        <v>425</v>
      </c>
      <c r="B82" s="77" t="s">
        <v>419</v>
      </c>
      <c r="C82">
        <v>11</v>
      </c>
    </row>
    <row r="83" spans="1:3" x14ac:dyDescent="0.25">
      <c r="A83" s="77" t="s">
        <v>426</v>
      </c>
      <c r="B83" s="77" t="s">
        <v>419</v>
      </c>
      <c r="C83">
        <v>10</v>
      </c>
    </row>
    <row r="84" spans="1:3" x14ac:dyDescent="0.25">
      <c r="A84" s="77" t="s">
        <v>426</v>
      </c>
      <c r="B84" s="77" t="s">
        <v>419</v>
      </c>
      <c r="C84">
        <v>11</v>
      </c>
    </row>
    <row r="85" spans="1:3" x14ac:dyDescent="0.25">
      <c r="A85" s="77" t="s">
        <v>284</v>
      </c>
      <c r="B85" s="77" t="s">
        <v>285</v>
      </c>
      <c r="C85">
        <v>0</v>
      </c>
    </row>
    <row r="86" spans="1:3" x14ac:dyDescent="0.25">
      <c r="A86" s="77" t="s">
        <v>286</v>
      </c>
      <c r="B86" s="77" t="s">
        <v>285</v>
      </c>
      <c r="C86">
        <v>0</v>
      </c>
    </row>
    <row r="87" spans="1:3" x14ac:dyDescent="0.25">
      <c r="A87" s="77" t="s">
        <v>196</v>
      </c>
      <c r="B87" s="77" t="s">
        <v>285</v>
      </c>
      <c r="C87">
        <v>0</v>
      </c>
    </row>
    <row r="88" spans="1:3" x14ac:dyDescent="0.25">
      <c r="A88" s="77" t="s">
        <v>194</v>
      </c>
      <c r="B88" s="77" t="s">
        <v>285</v>
      </c>
      <c r="C88">
        <v>0</v>
      </c>
    </row>
    <row r="89" spans="1:3" x14ac:dyDescent="0.25">
      <c r="A89" s="77" t="s">
        <v>287</v>
      </c>
      <c r="B89" s="77" t="s">
        <v>253</v>
      </c>
      <c r="C89">
        <v>1</v>
      </c>
    </row>
    <row r="90" spans="1:3" x14ac:dyDescent="0.25">
      <c r="A90" s="77" t="s">
        <v>288</v>
      </c>
      <c r="B90" s="77" t="s">
        <v>253</v>
      </c>
      <c r="C90">
        <v>1</v>
      </c>
    </row>
    <row r="91" spans="1:3" x14ac:dyDescent="0.25">
      <c r="A91" s="77" t="s">
        <v>289</v>
      </c>
      <c r="B91" s="77" t="s">
        <v>253</v>
      </c>
      <c r="C91">
        <v>1</v>
      </c>
    </row>
    <row r="92" spans="1:3" x14ac:dyDescent="0.25">
      <c r="A92" s="77" t="s">
        <v>290</v>
      </c>
      <c r="B92" s="77" t="s">
        <v>253</v>
      </c>
      <c r="C92">
        <v>1</v>
      </c>
    </row>
    <row r="93" spans="1:3" x14ac:dyDescent="0.25">
      <c r="A93" s="77" t="s">
        <v>291</v>
      </c>
      <c r="B93" s="77" t="s">
        <v>253</v>
      </c>
      <c r="C93">
        <v>1</v>
      </c>
    </row>
    <row r="94" spans="1:3" x14ac:dyDescent="0.25">
      <c r="A94" s="77" t="s">
        <v>292</v>
      </c>
      <c r="B94" s="77" t="s">
        <v>253</v>
      </c>
      <c r="C94">
        <v>1</v>
      </c>
    </row>
    <row r="95" spans="1:3" x14ac:dyDescent="0.25">
      <c r="A95" s="77" t="s">
        <v>293</v>
      </c>
      <c r="B95" s="77" t="s">
        <v>253</v>
      </c>
      <c r="C95">
        <v>1</v>
      </c>
    </row>
    <row r="96" spans="1:3" x14ac:dyDescent="0.25">
      <c r="A96" s="77" t="s">
        <v>294</v>
      </c>
      <c r="B96" s="77" t="s">
        <v>253</v>
      </c>
      <c r="C96">
        <v>1</v>
      </c>
    </row>
    <row r="97" spans="1:3" x14ac:dyDescent="0.25">
      <c r="A97" s="77" t="s">
        <v>295</v>
      </c>
      <c r="B97" s="77" t="s">
        <v>253</v>
      </c>
      <c r="C97">
        <v>1</v>
      </c>
    </row>
    <row r="98" spans="1:3" x14ac:dyDescent="0.25">
      <c r="A98" s="77" t="s">
        <v>296</v>
      </c>
      <c r="B98" s="77" t="s">
        <v>253</v>
      </c>
      <c r="C98">
        <v>1</v>
      </c>
    </row>
    <row r="99" spans="1:3" x14ac:dyDescent="0.25">
      <c r="A99" s="77" t="s">
        <v>297</v>
      </c>
      <c r="B99" s="77" t="s">
        <v>253</v>
      </c>
      <c r="C99">
        <v>1</v>
      </c>
    </row>
    <row r="100" spans="1:3" x14ac:dyDescent="0.25">
      <c r="A100" s="77" t="s">
        <v>298</v>
      </c>
      <c r="B100" s="77" t="s">
        <v>253</v>
      </c>
      <c r="C100">
        <v>1</v>
      </c>
    </row>
    <row r="101" spans="1:3" x14ac:dyDescent="0.25">
      <c r="A101" s="77" t="s">
        <v>299</v>
      </c>
      <c r="B101" s="77" t="s">
        <v>253</v>
      </c>
      <c r="C101">
        <v>1</v>
      </c>
    </row>
    <row r="102" spans="1:3" x14ac:dyDescent="0.25">
      <c r="A102" s="77" t="s">
        <v>300</v>
      </c>
      <c r="B102" s="77" t="s">
        <v>253</v>
      </c>
      <c r="C102">
        <v>1</v>
      </c>
    </row>
    <row r="103" spans="1:3" x14ac:dyDescent="0.25">
      <c r="A103" s="77" t="s">
        <v>301</v>
      </c>
      <c r="B103" s="77" t="s">
        <v>253</v>
      </c>
      <c r="C103">
        <v>1</v>
      </c>
    </row>
    <row r="104" spans="1:3" x14ac:dyDescent="0.25">
      <c r="A104" s="77" t="s">
        <v>302</v>
      </c>
      <c r="B104" s="77" t="s">
        <v>253</v>
      </c>
      <c r="C104">
        <v>1</v>
      </c>
    </row>
    <row r="105" spans="1:3" x14ac:dyDescent="0.25">
      <c r="A105" s="77" t="s">
        <v>303</v>
      </c>
      <c r="B105" s="77" t="s">
        <v>253</v>
      </c>
      <c r="C105">
        <v>1</v>
      </c>
    </row>
    <row r="106" spans="1:3" x14ac:dyDescent="0.25">
      <c r="A106" s="77" t="s">
        <v>304</v>
      </c>
      <c r="B106" s="77" t="s">
        <v>253</v>
      </c>
      <c r="C106">
        <v>1</v>
      </c>
    </row>
    <row r="107" spans="1:3" x14ac:dyDescent="0.25">
      <c r="A107" s="77" t="s">
        <v>305</v>
      </c>
      <c r="B107" s="77" t="s">
        <v>253</v>
      </c>
      <c r="C107">
        <v>1</v>
      </c>
    </row>
    <row r="108" spans="1:3" x14ac:dyDescent="0.25">
      <c r="A108" s="77" t="s">
        <v>306</v>
      </c>
      <c r="B108" s="77" t="s">
        <v>253</v>
      </c>
      <c r="C108">
        <v>1</v>
      </c>
    </row>
    <row r="109" spans="1:3" x14ac:dyDescent="0.25">
      <c r="A109" s="77" t="s">
        <v>307</v>
      </c>
      <c r="B109" s="77" t="s">
        <v>253</v>
      </c>
      <c r="C109">
        <v>1</v>
      </c>
    </row>
    <row r="110" spans="1:3" x14ac:dyDescent="0.25">
      <c r="A110" s="77" t="s">
        <v>308</v>
      </c>
      <c r="B110" s="77" t="s">
        <v>253</v>
      </c>
      <c r="C110">
        <v>1</v>
      </c>
    </row>
    <row r="111" spans="1:3" x14ac:dyDescent="0.25">
      <c r="A111" s="77" t="s">
        <v>309</v>
      </c>
      <c r="B111" s="77" t="s">
        <v>253</v>
      </c>
      <c r="C111">
        <v>1</v>
      </c>
    </row>
    <row r="112" spans="1:3" x14ac:dyDescent="0.25">
      <c r="A112" s="77" t="s">
        <v>310</v>
      </c>
      <c r="B112" s="77" t="s">
        <v>253</v>
      </c>
      <c r="C112">
        <v>1</v>
      </c>
    </row>
    <row r="113" spans="1:3" x14ac:dyDescent="0.25">
      <c r="A113" s="77" t="s">
        <v>311</v>
      </c>
      <c r="B113" s="77" t="s">
        <v>253</v>
      </c>
      <c r="C113">
        <v>1</v>
      </c>
    </row>
    <row r="114" spans="1:3" x14ac:dyDescent="0.25">
      <c r="A114" s="77" t="s">
        <v>312</v>
      </c>
      <c r="B114" s="77" t="s">
        <v>253</v>
      </c>
      <c r="C114">
        <v>1</v>
      </c>
    </row>
    <row r="115" spans="1:3" x14ac:dyDescent="0.25">
      <c r="A115" s="77" t="s">
        <v>313</v>
      </c>
      <c r="B115" s="77" t="s">
        <v>253</v>
      </c>
      <c r="C115">
        <v>1</v>
      </c>
    </row>
    <row r="116" spans="1:3" x14ac:dyDescent="0.25">
      <c r="A116" s="77" t="s">
        <v>314</v>
      </c>
      <c r="B116" s="77" t="s">
        <v>253</v>
      </c>
      <c r="C116">
        <v>1</v>
      </c>
    </row>
    <row r="117" spans="1:3" x14ac:dyDescent="0.25">
      <c r="A117" s="77" t="s">
        <v>315</v>
      </c>
      <c r="B117" s="77" t="s">
        <v>253</v>
      </c>
      <c r="C117">
        <v>1</v>
      </c>
    </row>
    <row r="118" spans="1:3" x14ac:dyDescent="0.25">
      <c r="A118" s="77" t="s">
        <v>316</v>
      </c>
      <c r="B118" s="77" t="s">
        <v>253</v>
      </c>
      <c r="C118">
        <v>1</v>
      </c>
    </row>
    <row r="119" spans="1:3" x14ac:dyDescent="0.25">
      <c r="A119" s="77" t="s">
        <v>317</v>
      </c>
      <c r="B119" s="77" t="s">
        <v>253</v>
      </c>
      <c r="C119">
        <v>1</v>
      </c>
    </row>
    <row r="120" spans="1:3" x14ac:dyDescent="0.25">
      <c r="A120" s="77" t="s">
        <v>318</v>
      </c>
      <c r="B120" s="77" t="s">
        <v>253</v>
      </c>
      <c r="C120">
        <v>1</v>
      </c>
    </row>
    <row r="121" spans="1:3" x14ac:dyDescent="0.25">
      <c r="A121" s="77" t="s">
        <v>319</v>
      </c>
      <c r="B121" s="77" t="s">
        <v>253</v>
      </c>
      <c r="C121">
        <v>1</v>
      </c>
    </row>
    <row r="122" spans="1:3" x14ac:dyDescent="0.25">
      <c r="A122" s="77" t="s">
        <v>320</v>
      </c>
      <c r="B122" s="77" t="s">
        <v>253</v>
      </c>
      <c r="C122">
        <v>1</v>
      </c>
    </row>
    <row r="123" spans="1:3" x14ac:dyDescent="0.25">
      <c r="A123" s="77" t="s">
        <v>321</v>
      </c>
      <c r="B123" s="77" t="s">
        <v>253</v>
      </c>
      <c r="C123">
        <v>1</v>
      </c>
    </row>
    <row r="124" spans="1:3" x14ac:dyDescent="0.25">
      <c r="A124" s="77" t="s">
        <v>322</v>
      </c>
      <c r="B124" s="77" t="s">
        <v>253</v>
      </c>
      <c r="C124">
        <v>1</v>
      </c>
    </row>
    <row r="125" spans="1:3" x14ac:dyDescent="0.25">
      <c r="A125" s="77" t="s">
        <v>323</v>
      </c>
      <c r="B125" s="77" t="s">
        <v>253</v>
      </c>
      <c r="C125">
        <v>1</v>
      </c>
    </row>
    <row r="126" spans="1:3" x14ac:dyDescent="0.25">
      <c r="A126" s="77" t="s">
        <v>324</v>
      </c>
      <c r="B126" s="77" t="s">
        <v>253</v>
      </c>
      <c r="C126">
        <v>1</v>
      </c>
    </row>
    <row r="127" spans="1:3" x14ac:dyDescent="0.25">
      <c r="A127" s="77" t="s">
        <v>325</v>
      </c>
      <c r="B127" s="77" t="s">
        <v>253</v>
      </c>
      <c r="C127">
        <v>1</v>
      </c>
    </row>
    <row r="128" spans="1:3" x14ac:dyDescent="0.25">
      <c r="A128" s="77" t="s">
        <v>326</v>
      </c>
      <c r="B128" s="77" t="s">
        <v>253</v>
      </c>
      <c r="C128">
        <v>1</v>
      </c>
    </row>
    <row r="129" spans="1:3" x14ac:dyDescent="0.25">
      <c r="A129" s="77" t="s">
        <v>327</v>
      </c>
      <c r="B129" s="77" t="s">
        <v>253</v>
      </c>
      <c r="C129">
        <v>1</v>
      </c>
    </row>
    <row r="130" spans="1:3" x14ac:dyDescent="0.25">
      <c r="A130" s="77" t="s">
        <v>328</v>
      </c>
      <c r="B130" s="77" t="s">
        <v>253</v>
      </c>
      <c r="C130">
        <v>1</v>
      </c>
    </row>
    <row r="131" spans="1:3" x14ac:dyDescent="0.25">
      <c r="A131" s="77" t="s">
        <v>329</v>
      </c>
      <c r="B131" s="77" t="s">
        <v>253</v>
      </c>
      <c r="C131">
        <v>1</v>
      </c>
    </row>
    <row r="132" spans="1:3" x14ac:dyDescent="0.25">
      <c r="A132" s="77" t="s">
        <v>330</v>
      </c>
      <c r="B132" s="77" t="s">
        <v>253</v>
      </c>
      <c r="C132">
        <v>1</v>
      </c>
    </row>
    <row r="133" spans="1:3" x14ac:dyDescent="0.25">
      <c r="A133" s="77" t="s">
        <v>331</v>
      </c>
      <c r="B133" s="77" t="s">
        <v>253</v>
      </c>
      <c r="C133">
        <v>1</v>
      </c>
    </row>
    <row r="134" spans="1:3" x14ac:dyDescent="0.25">
      <c r="A134" s="77" t="s">
        <v>332</v>
      </c>
      <c r="B134" s="77" t="s">
        <v>253</v>
      </c>
      <c r="C134">
        <v>1</v>
      </c>
    </row>
    <row r="135" spans="1:3" x14ac:dyDescent="0.25">
      <c r="A135" s="77" t="s">
        <v>333</v>
      </c>
      <c r="B135" s="77" t="s">
        <v>253</v>
      </c>
      <c r="C135">
        <v>1</v>
      </c>
    </row>
    <row r="136" spans="1:3" x14ac:dyDescent="0.25">
      <c r="A136" s="77" t="s">
        <v>334</v>
      </c>
      <c r="B136" s="77" t="s">
        <v>253</v>
      </c>
      <c r="C136">
        <v>1</v>
      </c>
    </row>
    <row r="137" spans="1:3" x14ac:dyDescent="0.25">
      <c r="A137" s="77" t="s">
        <v>335</v>
      </c>
      <c r="B137" s="77" t="s">
        <v>253</v>
      </c>
      <c r="C137">
        <v>1</v>
      </c>
    </row>
    <row r="138" spans="1:3" x14ac:dyDescent="0.25">
      <c r="A138" s="77" t="s">
        <v>336</v>
      </c>
      <c r="B138" s="77" t="s">
        <v>253</v>
      </c>
      <c r="C138">
        <v>1</v>
      </c>
    </row>
    <row r="139" spans="1:3" x14ac:dyDescent="0.25">
      <c r="A139" s="77" t="s">
        <v>337</v>
      </c>
      <c r="B139" s="77" t="s">
        <v>253</v>
      </c>
      <c r="C139">
        <v>1</v>
      </c>
    </row>
    <row r="140" spans="1:3" x14ac:dyDescent="0.25">
      <c r="A140" s="77" t="s">
        <v>338</v>
      </c>
      <c r="B140" s="77" t="s">
        <v>253</v>
      </c>
      <c r="C140">
        <v>1</v>
      </c>
    </row>
    <row r="141" spans="1:3" x14ac:dyDescent="0.25">
      <c r="A141" s="77" t="s">
        <v>339</v>
      </c>
      <c r="B141" s="77" t="s">
        <v>253</v>
      </c>
      <c r="C141">
        <v>1</v>
      </c>
    </row>
    <row r="142" spans="1:3" x14ac:dyDescent="0.25">
      <c r="A142" s="77" t="s">
        <v>340</v>
      </c>
      <c r="B142" s="77" t="s">
        <v>253</v>
      </c>
      <c r="C142">
        <v>1</v>
      </c>
    </row>
    <row r="143" spans="1:3" x14ac:dyDescent="0.25">
      <c r="A143" s="77" t="s">
        <v>341</v>
      </c>
      <c r="B143" s="77" t="s">
        <v>253</v>
      </c>
      <c r="C143">
        <v>1</v>
      </c>
    </row>
    <row r="144" spans="1:3" x14ac:dyDescent="0.25">
      <c r="A144" s="77" t="s">
        <v>342</v>
      </c>
      <c r="B144" s="77" t="s">
        <v>253</v>
      </c>
      <c r="C144">
        <v>1</v>
      </c>
    </row>
    <row r="145" spans="1:3" x14ac:dyDescent="0.25">
      <c r="A145" s="77" t="s">
        <v>343</v>
      </c>
      <c r="B145" s="77" t="s">
        <v>253</v>
      </c>
      <c r="C145">
        <v>1</v>
      </c>
    </row>
    <row r="146" spans="1:3" x14ac:dyDescent="0.25">
      <c r="A146" s="77" t="s">
        <v>344</v>
      </c>
      <c r="B146" s="77" t="s">
        <v>253</v>
      </c>
      <c r="C146">
        <v>1</v>
      </c>
    </row>
    <row r="147" spans="1:3" x14ac:dyDescent="0.25">
      <c r="A147" s="77" t="s">
        <v>345</v>
      </c>
      <c r="B147" s="77" t="s">
        <v>253</v>
      </c>
      <c r="C147">
        <v>1</v>
      </c>
    </row>
    <row r="148" spans="1:3" x14ac:dyDescent="0.25">
      <c r="A148" s="77" t="s">
        <v>346</v>
      </c>
      <c r="B148" s="77" t="s">
        <v>253</v>
      </c>
      <c r="C148">
        <v>1</v>
      </c>
    </row>
    <row r="149" spans="1:3" x14ac:dyDescent="0.25">
      <c r="A149" s="77" t="s">
        <v>347</v>
      </c>
      <c r="B149" s="77" t="s">
        <v>253</v>
      </c>
      <c r="C149">
        <v>1</v>
      </c>
    </row>
    <row r="150" spans="1:3" x14ac:dyDescent="0.25">
      <c r="A150" s="77" t="s">
        <v>348</v>
      </c>
      <c r="B150" s="77" t="s">
        <v>253</v>
      </c>
      <c r="C150">
        <v>1</v>
      </c>
    </row>
    <row r="151" spans="1:3" x14ac:dyDescent="0.25">
      <c r="A151" s="77" t="s">
        <v>349</v>
      </c>
      <c r="B151" s="77" t="s">
        <v>253</v>
      </c>
      <c r="C151">
        <v>1</v>
      </c>
    </row>
    <row r="152" spans="1:3" x14ac:dyDescent="0.25">
      <c r="A152" s="77" t="s">
        <v>350</v>
      </c>
      <c r="B152" s="77" t="s">
        <v>253</v>
      </c>
      <c r="C152">
        <v>1</v>
      </c>
    </row>
    <row r="153" spans="1:3" x14ac:dyDescent="0.25">
      <c r="A153" s="77" t="s">
        <v>351</v>
      </c>
      <c r="B153" s="77" t="s">
        <v>253</v>
      </c>
      <c r="C153">
        <v>1</v>
      </c>
    </row>
    <row r="154" spans="1:3" x14ac:dyDescent="0.25">
      <c r="A154" s="77" t="s">
        <v>352</v>
      </c>
      <c r="B154" s="77" t="s">
        <v>253</v>
      </c>
      <c r="C154">
        <v>1</v>
      </c>
    </row>
    <row r="155" spans="1:3" x14ac:dyDescent="0.25">
      <c r="A155" s="77" t="s">
        <v>353</v>
      </c>
      <c r="B155" s="77" t="s">
        <v>253</v>
      </c>
      <c r="C155">
        <v>1</v>
      </c>
    </row>
    <row r="156" spans="1:3" x14ac:dyDescent="0.25">
      <c r="A156" s="77" t="s">
        <v>354</v>
      </c>
      <c r="B156" s="77" t="s">
        <v>253</v>
      </c>
      <c r="C156">
        <v>1</v>
      </c>
    </row>
    <row r="157" spans="1:3" x14ac:dyDescent="0.25">
      <c r="A157" s="77" t="s">
        <v>355</v>
      </c>
      <c r="B157" s="77" t="s">
        <v>253</v>
      </c>
      <c r="C157">
        <v>1</v>
      </c>
    </row>
    <row r="158" spans="1:3" x14ac:dyDescent="0.25">
      <c r="A158" s="77" t="s">
        <v>356</v>
      </c>
      <c r="B158" s="77" t="s">
        <v>253</v>
      </c>
      <c r="C158">
        <v>1</v>
      </c>
    </row>
    <row r="159" spans="1:3" x14ac:dyDescent="0.25">
      <c r="A159" s="77" t="s">
        <v>357</v>
      </c>
      <c r="B159" s="77" t="s">
        <v>253</v>
      </c>
      <c r="C159">
        <v>1</v>
      </c>
    </row>
    <row r="160" spans="1:3" x14ac:dyDescent="0.25">
      <c r="A160" s="77" t="s">
        <v>358</v>
      </c>
      <c r="B160" s="77" t="s">
        <v>253</v>
      </c>
      <c r="C160">
        <v>1</v>
      </c>
    </row>
    <row r="161" spans="1:3" x14ac:dyDescent="0.25">
      <c r="A161" s="77" t="s">
        <v>359</v>
      </c>
      <c r="B161" s="77" t="s">
        <v>253</v>
      </c>
      <c r="C161">
        <v>1</v>
      </c>
    </row>
    <row r="162" spans="1:3" x14ac:dyDescent="0.25">
      <c r="A162" s="77" t="s">
        <v>360</v>
      </c>
      <c r="B162" s="77" t="s">
        <v>253</v>
      </c>
      <c r="C162">
        <v>1</v>
      </c>
    </row>
    <row r="163" spans="1:3" x14ac:dyDescent="0.25">
      <c r="A163" s="77" t="s">
        <v>361</v>
      </c>
      <c r="B163" s="77" t="s">
        <v>253</v>
      </c>
      <c r="C163">
        <v>1</v>
      </c>
    </row>
    <row r="164" spans="1:3" x14ac:dyDescent="0.25">
      <c r="A164" s="77" t="s">
        <v>362</v>
      </c>
      <c r="B164" s="77" t="s">
        <v>253</v>
      </c>
      <c r="C164">
        <v>1</v>
      </c>
    </row>
    <row r="165" spans="1:3" x14ac:dyDescent="0.25">
      <c r="A165" s="77" t="s">
        <v>363</v>
      </c>
      <c r="B165" s="77" t="s">
        <v>253</v>
      </c>
      <c r="C165">
        <v>1</v>
      </c>
    </row>
    <row r="166" spans="1:3" x14ac:dyDescent="0.25">
      <c r="A166" s="77" t="s">
        <v>364</v>
      </c>
      <c r="B166" s="77" t="s">
        <v>253</v>
      </c>
      <c r="C166">
        <v>1</v>
      </c>
    </row>
    <row r="167" spans="1:3" x14ac:dyDescent="0.25">
      <c r="A167" s="77" t="s">
        <v>365</v>
      </c>
      <c r="B167" s="77" t="s">
        <v>253</v>
      </c>
      <c r="C167">
        <v>1</v>
      </c>
    </row>
    <row r="168" spans="1:3" x14ac:dyDescent="0.25">
      <c r="A168" s="77" t="s">
        <v>366</v>
      </c>
      <c r="B168" s="77" t="s">
        <v>253</v>
      </c>
      <c r="C168">
        <v>1</v>
      </c>
    </row>
    <row r="169" spans="1:3" x14ac:dyDescent="0.25">
      <c r="A169" s="77" t="s">
        <v>367</v>
      </c>
      <c r="B169" s="77" t="s">
        <v>253</v>
      </c>
      <c r="C169">
        <v>1</v>
      </c>
    </row>
    <row r="170" spans="1:3" x14ac:dyDescent="0.25">
      <c r="A170" s="77" t="s">
        <v>368</v>
      </c>
      <c r="B170" s="77" t="s">
        <v>253</v>
      </c>
      <c r="C170">
        <v>1</v>
      </c>
    </row>
    <row r="171" spans="1:3" x14ac:dyDescent="0.25">
      <c r="A171" s="77" t="s">
        <v>369</v>
      </c>
      <c r="B171" s="77" t="s">
        <v>253</v>
      </c>
      <c r="C171">
        <v>1</v>
      </c>
    </row>
    <row r="172" spans="1:3" x14ac:dyDescent="0.25">
      <c r="A172" s="77" t="s">
        <v>370</v>
      </c>
      <c r="B172" s="77" t="s">
        <v>253</v>
      </c>
      <c r="C172">
        <v>1</v>
      </c>
    </row>
    <row r="173" spans="1:3" x14ac:dyDescent="0.25">
      <c r="A173" s="77" t="s">
        <v>371</v>
      </c>
      <c r="B173" s="77" t="s">
        <v>253</v>
      </c>
      <c r="C173">
        <v>1</v>
      </c>
    </row>
    <row r="174" spans="1:3" x14ac:dyDescent="0.25">
      <c r="A174" s="77" t="s">
        <v>372</v>
      </c>
      <c r="B174" s="77" t="s">
        <v>253</v>
      </c>
      <c r="C174">
        <v>1</v>
      </c>
    </row>
    <row r="175" spans="1:3" x14ac:dyDescent="0.25">
      <c r="A175" s="77" t="s">
        <v>373</v>
      </c>
      <c r="B175" s="77" t="s">
        <v>253</v>
      </c>
      <c r="C175">
        <v>1</v>
      </c>
    </row>
    <row r="176" spans="1:3" x14ac:dyDescent="0.25">
      <c r="A176" s="77" t="s">
        <v>374</v>
      </c>
      <c r="B176" s="77" t="s">
        <v>253</v>
      </c>
      <c r="C176">
        <v>1</v>
      </c>
    </row>
    <row r="177" spans="1:3" x14ac:dyDescent="0.25">
      <c r="A177" s="77" t="s">
        <v>375</v>
      </c>
      <c r="B177" s="77" t="s">
        <v>253</v>
      </c>
      <c r="C177">
        <v>1</v>
      </c>
    </row>
    <row r="178" spans="1:3" x14ac:dyDescent="0.25">
      <c r="A178" s="77" t="s">
        <v>376</v>
      </c>
      <c r="B178" s="77" t="s">
        <v>253</v>
      </c>
      <c r="C178">
        <v>1</v>
      </c>
    </row>
    <row r="179" spans="1:3" x14ac:dyDescent="0.25">
      <c r="A179" s="77" t="s">
        <v>377</v>
      </c>
      <c r="B179" s="77" t="s">
        <v>253</v>
      </c>
      <c r="C179">
        <v>1</v>
      </c>
    </row>
    <row r="180" spans="1:3" x14ac:dyDescent="0.25">
      <c r="A180" s="77" t="s">
        <v>378</v>
      </c>
      <c r="B180" s="77" t="s">
        <v>253</v>
      </c>
      <c r="C180">
        <v>1</v>
      </c>
    </row>
    <row r="181" spans="1:3" x14ac:dyDescent="0.25">
      <c r="A181" s="77" t="s">
        <v>379</v>
      </c>
      <c r="B181" s="77" t="s">
        <v>253</v>
      </c>
      <c r="C181">
        <v>1</v>
      </c>
    </row>
    <row r="182" spans="1:3" x14ac:dyDescent="0.25">
      <c r="A182" s="77" t="s">
        <v>380</v>
      </c>
      <c r="B182" s="77" t="s">
        <v>253</v>
      </c>
      <c r="C182">
        <v>1</v>
      </c>
    </row>
    <row r="183" spans="1:3" x14ac:dyDescent="0.25">
      <c r="A183" s="77" t="s">
        <v>381</v>
      </c>
      <c r="B183" s="77" t="s">
        <v>253</v>
      </c>
      <c r="C183">
        <v>1</v>
      </c>
    </row>
    <row r="184" spans="1:3" x14ac:dyDescent="0.25">
      <c r="A184" s="77" t="s">
        <v>382</v>
      </c>
      <c r="B184" s="77" t="s">
        <v>253</v>
      </c>
      <c r="C184">
        <v>1</v>
      </c>
    </row>
    <row r="185" spans="1:3" x14ac:dyDescent="0.25">
      <c r="A185" s="77" t="s">
        <v>383</v>
      </c>
      <c r="B185" s="77" t="s">
        <v>253</v>
      </c>
      <c r="C185">
        <v>1</v>
      </c>
    </row>
    <row r="186" spans="1:3" x14ac:dyDescent="0.25">
      <c r="A186" s="77" t="s">
        <v>384</v>
      </c>
      <c r="B186" s="77" t="s">
        <v>253</v>
      </c>
      <c r="C186">
        <v>1</v>
      </c>
    </row>
    <row r="187" spans="1:3" x14ac:dyDescent="0.25">
      <c r="A187" s="77" t="s">
        <v>385</v>
      </c>
      <c r="B187" s="77" t="s">
        <v>253</v>
      </c>
      <c r="C187">
        <v>1</v>
      </c>
    </row>
    <row r="188" spans="1:3" x14ac:dyDescent="0.25">
      <c r="A188" s="77" t="s">
        <v>386</v>
      </c>
      <c r="B188" s="77" t="s">
        <v>253</v>
      </c>
      <c r="C188">
        <v>1</v>
      </c>
    </row>
    <row r="189" spans="1:3" x14ac:dyDescent="0.25">
      <c r="A189" s="77" t="s">
        <v>397</v>
      </c>
      <c r="B189" s="77" t="s">
        <v>266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>
      <selection activeCell="D24" sqref="D24"/>
    </sheetView>
  </sheetViews>
  <sheetFormatPr defaultRowHeight="15" x14ac:dyDescent="0.25"/>
  <cols>
    <col min="1" max="1" width="12.140625" bestFit="1" customWidth="1"/>
    <col min="2" max="2" width="9.7109375" bestFit="1" customWidth="1"/>
    <col min="3" max="3" width="6.28515625" bestFit="1" customWidth="1"/>
    <col min="4" max="4" width="22.7109375" bestFit="1" customWidth="1"/>
    <col min="5" max="5" width="11.28515625" bestFit="1" customWidth="1"/>
    <col min="6" max="6" width="8.5703125" bestFit="1" customWidth="1"/>
    <col min="7" max="9" width="8.7109375" bestFit="1" customWidth="1"/>
    <col min="10" max="10" width="8.5703125" bestFit="1" customWidth="1"/>
    <col min="11" max="13" width="8.7109375" bestFit="1" customWidth="1"/>
    <col min="14" max="14" width="8.5703125" bestFit="1" customWidth="1"/>
    <col min="15" max="15" width="8.7109375" bestFit="1" customWidth="1"/>
    <col min="16" max="16" width="9" bestFit="1" customWidth="1"/>
    <col min="17" max="18" width="8.7109375" bestFit="1" customWidth="1"/>
    <col min="19" max="19" width="10" bestFit="1" customWidth="1"/>
    <col min="20" max="21" width="8.7109375" bestFit="1" customWidth="1"/>
    <col min="22" max="22" width="12.5703125" bestFit="1" customWidth="1"/>
    <col min="23" max="25" width="12.7109375" bestFit="1" customWidth="1"/>
    <col min="26" max="26" width="9.140625" bestFit="1" customWidth="1"/>
    <col min="27" max="27" width="9.7109375" bestFit="1" customWidth="1"/>
    <col min="28" max="29" width="9.28515625" bestFit="1" customWidth="1"/>
    <col min="30" max="30" width="8.85546875" bestFit="1" customWidth="1"/>
    <col min="31" max="34" width="9.140625" bestFit="1" customWidth="1"/>
    <col min="35" max="37" width="9.28515625" bestFit="1" customWidth="1"/>
    <col min="38" max="41" width="9.7109375" bestFit="1" customWidth="1"/>
    <col min="42" max="42" width="9.85546875" bestFit="1" customWidth="1"/>
    <col min="43" max="45" width="10.140625" bestFit="1" customWidth="1"/>
    <col min="46" max="46" width="8.7109375" bestFit="1" customWidth="1"/>
    <col min="47" max="47" width="9.7109375" bestFit="1" customWidth="1"/>
    <col min="48" max="50" width="8.7109375" bestFit="1" customWidth="1"/>
    <col min="51" max="51" width="10.7109375" bestFit="1" customWidth="1"/>
    <col min="52" max="52" width="9" bestFit="1" customWidth="1"/>
    <col min="53" max="53" width="8.85546875" bestFit="1" customWidth="1"/>
    <col min="54" max="54" width="13.7109375" bestFit="1" customWidth="1"/>
    <col min="55" max="57" width="13.85546875" bestFit="1" customWidth="1"/>
    <col min="58" max="58" width="10.28515625" bestFit="1" customWidth="1"/>
    <col min="59" max="59" width="10.7109375" bestFit="1" customWidth="1"/>
    <col min="60" max="61" width="10.5703125" bestFit="1" customWidth="1"/>
    <col min="62" max="66" width="10.28515625" bestFit="1" customWidth="1"/>
    <col min="67" max="69" width="10.5703125" bestFit="1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392</v>
      </c>
      <c r="B1" t="s">
        <v>393</v>
      </c>
      <c r="C1" t="s">
        <v>248</v>
      </c>
      <c r="D1" t="s">
        <v>432</v>
      </c>
      <c r="E1" t="s">
        <v>433</v>
      </c>
      <c r="F1" s="122" t="s">
        <v>92</v>
      </c>
      <c r="G1" s="123" t="s">
        <v>84</v>
      </c>
      <c r="H1" s="123" t="s">
        <v>137</v>
      </c>
      <c r="I1" s="123" t="s">
        <v>138</v>
      </c>
      <c r="J1" s="123" t="s">
        <v>249</v>
      </c>
      <c r="K1" s="123" t="s">
        <v>250</v>
      </c>
      <c r="L1" s="123" t="s">
        <v>251</v>
      </c>
      <c r="M1" s="123" t="s">
        <v>252</v>
      </c>
      <c r="N1" s="123" t="s">
        <v>94</v>
      </c>
      <c r="O1" s="123" t="s">
        <v>86</v>
      </c>
      <c r="P1" s="123" t="s">
        <v>140</v>
      </c>
      <c r="Q1" s="123" t="s">
        <v>141</v>
      </c>
      <c r="R1" s="123" t="s">
        <v>95</v>
      </c>
      <c r="S1" s="123" t="s">
        <v>142</v>
      </c>
      <c r="T1" s="123" t="s">
        <v>143</v>
      </c>
      <c r="U1" s="124" t="s">
        <v>144</v>
      </c>
      <c r="V1" s="122" t="s">
        <v>96</v>
      </c>
      <c r="W1" s="123" t="s">
        <v>88</v>
      </c>
      <c r="X1" s="123" t="s">
        <v>145</v>
      </c>
      <c r="Y1" s="123" t="s">
        <v>90</v>
      </c>
      <c r="Z1" s="123" t="s">
        <v>97</v>
      </c>
      <c r="AA1" s="123" t="s">
        <v>146</v>
      </c>
      <c r="AB1" s="123" t="s">
        <v>147</v>
      </c>
      <c r="AC1" s="123" t="s">
        <v>148</v>
      </c>
      <c r="AD1" s="123" t="s">
        <v>98</v>
      </c>
      <c r="AE1" s="123" t="s">
        <v>149</v>
      </c>
      <c r="AF1" s="123" t="s">
        <v>150</v>
      </c>
      <c r="AG1" s="123" t="s">
        <v>151</v>
      </c>
      <c r="AH1" s="123" t="s">
        <v>99</v>
      </c>
      <c r="AI1" s="123" t="s">
        <v>152</v>
      </c>
      <c r="AJ1" s="123" t="s">
        <v>153</v>
      </c>
      <c r="AK1" s="124" t="s">
        <v>155</v>
      </c>
      <c r="AL1" s="122" t="s">
        <v>100</v>
      </c>
      <c r="AM1" s="123" t="s">
        <v>91</v>
      </c>
      <c r="AN1" s="123" t="s">
        <v>156</v>
      </c>
      <c r="AO1" s="123" t="s">
        <v>157</v>
      </c>
      <c r="AP1" s="123" t="s">
        <v>101</v>
      </c>
      <c r="AQ1" s="123" t="s">
        <v>158</v>
      </c>
      <c r="AR1" s="123" t="s">
        <v>159</v>
      </c>
      <c r="AS1" s="123" t="s">
        <v>160</v>
      </c>
      <c r="AT1" s="123" t="s">
        <v>102</v>
      </c>
      <c r="AU1" s="123" t="s">
        <v>161</v>
      </c>
      <c r="AV1" s="123" t="s">
        <v>162</v>
      </c>
      <c r="AW1" s="123" t="s">
        <v>163</v>
      </c>
      <c r="AX1" s="123" t="s">
        <v>103</v>
      </c>
      <c r="AY1" s="123" t="s">
        <v>164</v>
      </c>
      <c r="AZ1" s="123" t="s">
        <v>165</v>
      </c>
      <c r="BA1" s="124" t="s">
        <v>166</v>
      </c>
      <c r="BB1" s="122" t="s">
        <v>104</v>
      </c>
      <c r="BC1" s="123" t="s">
        <v>167</v>
      </c>
      <c r="BD1" s="123" t="s">
        <v>168</v>
      </c>
      <c r="BE1" s="123" t="s">
        <v>169</v>
      </c>
      <c r="BF1" s="123" t="s">
        <v>105</v>
      </c>
      <c r="BG1" s="123" t="s">
        <v>170</v>
      </c>
      <c r="BH1" s="123" t="s">
        <v>171</v>
      </c>
      <c r="BI1" s="123" t="s">
        <v>172</v>
      </c>
      <c r="BJ1" s="123" t="s">
        <v>106</v>
      </c>
      <c r="BK1" s="123" t="s">
        <v>89</v>
      </c>
      <c r="BL1" s="123" t="s">
        <v>173</v>
      </c>
      <c r="BM1" s="123" t="s">
        <v>174</v>
      </c>
      <c r="BN1" s="123" t="s">
        <v>107</v>
      </c>
      <c r="BO1" s="123" t="s">
        <v>175</v>
      </c>
      <c r="BP1" s="123" t="s">
        <v>176</v>
      </c>
      <c r="BQ1" s="124" t="s">
        <v>177</v>
      </c>
    </row>
    <row r="2" spans="1:69" x14ac:dyDescent="0.25">
      <c r="A2" s="77" t="s">
        <v>391</v>
      </c>
      <c r="B2" s="77" t="s">
        <v>253</v>
      </c>
      <c r="C2">
        <v>0</v>
      </c>
      <c r="D2" s="77" t="s">
        <v>435</v>
      </c>
      <c r="E2" s="77" t="s">
        <v>388</v>
      </c>
      <c r="F2" s="125">
        <v>0</v>
      </c>
      <c r="G2" s="126">
        <v>200</v>
      </c>
      <c r="H2" s="126">
        <v>0</v>
      </c>
      <c r="I2" s="126">
        <v>0</v>
      </c>
      <c r="J2" s="126">
        <v>2</v>
      </c>
      <c r="K2" s="126">
        <v>10.210000000000001</v>
      </c>
      <c r="L2" s="126">
        <v>-7.22</v>
      </c>
      <c r="M2" s="126">
        <v>-0.33</v>
      </c>
      <c r="N2" s="126">
        <v>1</v>
      </c>
      <c r="O2" s="126">
        <v>-1.1000000000000001</v>
      </c>
      <c r="P2" s="126">
        <v>8.1199999999999992</v>
      </c>
      <c r="Q2" s="126">
        <v>0</v>
      </c>
      <c r="R2" s="126">
        <v>1</v>
      </c>
      <c r="S2" s="126">
        <v>-0.05</v>
      </c>
      <c r="T2" s="126">
        <v>0.92</v>
      </c>
      <c r="U2" s="127">
        <v>0</v>
      </c>
      <c r="V2" s="125">
        <v>0</v>
      </c>
      <c r="W2" s="126">
        <v>10</v>
      </c>
      <c r="X2" s="126">
        <v>0</v>
      </c>
      <c r="Y2" s="126">
        <v>0</v>
      </c>
      <c r="Z2" s="126">
        <v>1</v>
      </c>
      <c r="AA2" s="126">
        <v>-0.04</v>
      </c>
      <c r="AB2" s="126">
        <v>0.38</v>
      </c>
      <c r="AC2" s="126">
        <v>0</v>
      </c>
      <c r="AD2" s="126">
        <v>1</v>
      </c>
      <c r="AE2" s="126">
        <v>-0.11</v>
      </c>
      <c r="AF2" s="126">
        <v>0.97</v>
      </c>
      <c r="AG2" s="126">
        <v>0</v>
      </c>
      <c r="AH2" s="126">
        <v>0</v>
      </c>
      <c r="AI2" s="126">
        <v>1E-4</v>
      </c>
      <c r="AJ2" s="126">
        <v>0</v>
      </c>
      <c r="AK2" s="127">
        <v>0</v>
      </c>
      <c r="AL2" s="125">
        <v>0</v>
      </c>
      <c r="AM2" s="126">
        <v>300</v>
      </c>
      <c r="AN2" s="126">
        <v>0</v>
      </c>
      <c r="AO2" s="126">
        <v>0</v>
      </c>
      <c r="AP2" s="126">
        <v>1</v>
      </c>
      <c r="AQ2" s="126">
        <v>7.0000000000000007E-2</v>
      </c>
      <c r="AR2" s="126">
        <v>0.6</v>
      </c>
      <c r="AS2" s="126">
        <v>0</v>
      </c>
      <c r="AT2" s="126">
        <v>1</v>
      </c>
      <c r="AU2" s="126">
        <v>-0.32</v>
      </c>
      <c r="AV2" s="126">
        <v>2.56</v>
      </c>
      <c r="AW2" s="126">
        <v>0</v>
      </c>
      <c r="AX2" s="126">
        <v>1</v>
      </c>
      <c r="AY2" s="126">
        <v>-0.03</v>
      </c>
      <c r="AZ2" s="126">
        <v>0.74</v>
      </c>
      <c r="BA2" s="127">
        <v>0</v>
      </c>
      <c r="BB2" s="125">
        <v>0</v>
      </c>
      <c r="BC2" s="126">
        <v>200</v>
      </c>
      <c r="BD2" s="126">
        <v>0</v>
      </c>
      <c r="BE2" s="126">
        <v>0</v>
      </c>
      <c r="BF2" s="126">
        <v>1</v>
      </c>
      <c r="BG2" s="126">
        <v>-0.08</v>
      </c>
      <c r="BH2" s="126">
        <v>0.65</v>
      </c>
      <c r="BI2" s="126">
        <v>0</v>
      </c>
      <c r="BJ2" s="126">
        <v>1</v>
      </c>
      <c r="BK2" s="126">
        <v>-3.0000000000000001E-3</v>
      </c>
      <c r="BL2" s="126">
        <v>0.2</v>
      </c>
      <c r="BM2" s="126">
        <v>0</v>
      </c>
      <c r="BN2" s="126">
        <v>1</v>
      </c>
      <c r="BO2" s="126">
        <v>-0.16</v>
      </c>
      <c r="BP2" s="126">
        <v>1.01</v>
      </c>
      <c r="BQ2" s="127">
        <v>0</v>
      </c>
    </row>
    <row r="3" spans="1:69" x14ac:dyDescent="0.25">
      <c r="A3" s="77" t="s">
        <v>339</v>
      </c>
      <c r="B3" s="77" t="s">
        <v>253</v>
      </c>
      <c r="C3">
        <v>1</v>
      </c>
      <c r="D3" s="77" t="s">
        <v>436</v>
      </c>
      <c r="E3" s="77" t="s">
        <v>387</v>
      </c>
      <c r="F3" s="125">
        <v>0</v>
      </c>
      <c r="G3" s="126">
        <v>94.5184</v>
      </c>
      <c r="H3" s="126">
        <v>0</v>
      </c>
      <c r="I3" s="126">
        <v>0</v>
      </c>
      <c r="J3" s="126">
        <v>1</v>
      </c>
      <c r="K3" s="126">
        <v>-4.6464999999999996</v>
      </c>
      <c r="L3" s="126">
        <v>14.8651</v>
      </c>
      <c r="M3" s="126">
        <v>0</v>
      </c>
      <c r="N3" s="126">
        <v>1</v>
      </c>
      <c r="O3" s="126">
        <v>-0.91779999999999995</v>
      </c>
      <c r="P3" s="126">
        <v>8.3390079999999998</v>
      </c>
      <c r="Q3" s="126">
        <v>0</v>
      </c>
      <c r="R3" s="126">
        <v>0</v>
      </c>
      <c r="S3" s="126">
        <v>0.95168079999999999</v>
      </c>
      <c r="T3" s="126">
        <v>0</v>
      </c>
      <c r="U3" s="127">
        <v>0</v>
      </c>
      <c r="V3" s="125">
        <v>0</v>
      </c>
      <c r="W3" s="126">
        <v>20</v>
      </c>
      <c r="X3" s="126">
        <v>0</v>
      </c>
      <c r="Y3" s="126">
        <v>0</v>
      </c>
      <c r="Z3" s="126">
        <v>1</v>
      </c>
      <c r="AA3" s="126">
        <v>-8.5835999999999996E-2</v>
      </c>
      <c r="AB3" s="126">
        <v>0.26050000000000001</v>
      </c>
      <c r="AC3" s="126">
        <v>0</v>
      </c>
      <c r="AD3" s="126">
        <v>0</v>
      </c>
      <c r="AE3" s="126">
        <v>17</v>
      </c>
      <c r="AF3" s="126">
        <v>0</v>
      </c>
      <c r="AG3" s="126">
        <v>0</v>
      </c>
      <c r="AH3" s="126">
        <v>0</v>
      </c>
      <c r="AI3" s="126">
        <v>1E-4</v>
      </c>
      <c r="AJ3" s="126">
        <v>0</v>
      </c>
      <c r="AK3" s="127">
        <v>0</v>
      </c>
      <c r="AL3" s="125">
        <v>1</v>
      </c>
      <c r="AM3" s="126">
        <v>-0.22350800000000001</v>
      </c>
      <c r="AN3" s="126">
        <v>2.12948</v>
      </c>
      <c r="AO3" s="126">
        <v>0</v>
      </c>
      <c r="AP3" s="126">
        <v>1</v>
      </c>
      <c r="AQ3" s="126">
        <v>-5.0056000000000003E-2</v>
      </c>
      <c r="AR3" s="126">
        <v>0.547296</v>
      </c>
      <c r="AS3" s="126">
        <v>0</v>
      </c>
      <c r="AT3" s="126">
        <v>1</v>
      </c>
      <c r="AU3" s="126">
        <v>-0.24832099999999999</v>
      </c>
      <c r="AV3" s="126">
        <v>4.8334000000000001</v>
      </c>
      <c r="AW3" s="126">
        <v>0</v>
      </c>
      <c r="AX3" s="126">
        <v>1</v>
      </c>
      <c r="AY3" s="126">
        <v>-3.4234000000000001E-2</v>
      </c>
      <c r="AZ3" s="126">
        <v>0.54632400000000003</v>
      </c>
      <c r="BA3" s="127">
        <v>0</v>
      </c>
      <c r="BB3" s="125">
        <v>0</v>
      </c>
      <c r="BC3" s="126">
        <v>44.89</v>
      </c>
      <c r="BD3" s="126">
        <v>0</v>
      </c>
      <c r="BE3" s="126">
        <v>0</v>
      </c>
      <c r="BF3" s="126">
        <v>1</v>
      </c>
      <c r="BG3" s="126">
        <v>-3.0649599999999999E-2</v>
      </c>
      <c r="BH3" s="126">
        <v>0.30757000000000001</v>
      </c>
      <c r="BI3" s="126">
        <v>0</v>
      </c>
      <c r="BJ3" s="126">
        <v>0</v>
      </c>
      <c r="BK3" s="126">
        <v>0.35149999999999998</v>
      </c>
      <c r="BL3" s="126">
        <v>0</v>
      </c>
      <c r="BM3" s="126">
        <v>0</v>
      </c>
      <c r="BN3" s="126">
        <v>0</v>
      </c>
      <c r="BO3" s="126">
        <v>0.57921599999999995</v>
      </c>
      <c r="BP3" s="126">
        <v>0</v>
      </c>
      <c r="BQ3" s="127">
        <v>0</v>
      </c>
    </row>
    <row r="4" spans="1:69" x14ac:dyDescent="0.25">
      <c r="A4" s="77" t="s">
        <v>342</v>
      </c>
      <c r="B4" s="77" t="s">
        <v>253</v>
      </c>
      <c r="C4">
        <v>1</v>
      </c>
      <c r="D4" s="77" t="s">
        <v>436</v>
      </c>
      <c r="E4" s="77" t="s">
        <v>387</v>
      </c>
      <c r="F4" s="125">
        <v>0</v>
      </c>
      <c r="G4" s="126">
        <v>91.755099999999999</v>
      </c>
      <c r="H4" s="126">
        <v>0</v>
      </c>
      <c r="I4" s="126">
        <v>0</v>
      </c>
      <c r="J4" s="126">
        <v>1</v>
      </c>
      <c r="K4" s="126">
        <v>-4.9135</v>
      </c>
      <c r="L4" s="126">
        <v>15.6418</v>
      </c>
      <c r="M4" s="126">
        <v>0</v>
      </c>
      <c r="N4" s="126">
        <v>1</v>
      </c>
      <c r="O4" s="126">
        <v>-0.91779999999999995</v>
      </c>
      <c r="P4" s="126">
        <v>8.3180619999999994</v>
      </c>
      <c r="Q4" s="126">
        <v>0</v>
      </c>
      <c r="R4" s="126">
        <v>0</v>
      </c>
      <c r="S4" s="126">
        <v>0.95353869999999996</v>
      </c>
      <c r="T4" s="126">
        <v>0</v>
      </c>
      <c r="U4" s="127">
        <v>0</v>
      </c>
      <c r="V4" s="125">
        <v>0</v>
      </c>
      <c r="W4" s="126">
        <v>20</v>
      </c>
      <c r="X4" s="126">
        <v>0</v>
      </c>
      <c r="Y4" s="126">
        <v>0</v>
      </c>
      <c r="Z4" s="126">
        <v>1</v>
      </c>
      <c r="AA4" s="126">
        <v>-7.9779000000000003E-2</v>
      </c>
      <c r="AB4" s="126">
        <v>0.26050000000000001</v>
      </c>
      <c r="AC4" s="126">
        <v>0</v>
      </c>
      <c r="AD4" s="126">
        <v>0</v>
      </c>
      <c r="AE4" s="126">
        <v>17</v>
      </c>
      <c r="AF4" s="126">
        <v>0</v>
      </c>
      <c r="AG4" s="126">
        <v>0</v>
      </c>
      <c r="AH4" s="126">
        <v>0</v>
      </c>
      <c r="AI4" s="126">
        <v>1E-4</v>
      </c>
      <c r="AJ4" s="126">
        <v>0</v>
      </c>
      <c r="AK4" s="127">
        <v>0</v>
      </c>
      <c r="AL4" s="125">
        <v>1</v>
      </c>
      <c r="AM4" s="126">
        <v>-0.244562</v>
      </c>
      <c r="AN4" s="126">
        <v>2.21597</v>
      </c>
      <c r="AO4" s="126">
        <v>0</v>
      </c>
      <c r="AP4" s="126">
        <v>1</v>
      </c>
      <c r="AQ4" s="126">
        <v>-5.4873999999999999E-2</v>
      </c>
      <c r="AR4" s="126">
        <v>0.57128400000000001</v>
      </c>
      <c r="AS4" s="126">
        <v>0</v>
      </c>
      <c r="AT4" s="126">
        <v>1</v>
      </c>
      <c r="AU4" s="126">
        <v>-0.26119700000000001</v>
      </c>
      <c r="AV4" s="126">
        <v>4.7438500000000001</v>
      </c>
      <c r="AW4" s="126">
        <v>0</v>
      </c>
      <c r="AX4" s="126">
        <v>1</v>
      </c>
      <c r="AY4" s="126">
        <v>-3.63355E-2</v>
      </c>
      <c r="AZ4" s="126">
        <v>0.57024600000000003</v>
      </c>
      <c r="BA4" s="127">
        <v>0</v>
      </c>
      <c r="BB4" s="125">
        <v>0</v>
      </c>
      <c r="BC4" s="126">
        <v>44.89</v>
      </c>
      <c r="BD4" s="126">
        <v>0</v>
      </c>
      <c r="BE4" s="126">
        <v>0</v>
      </c>
      <c r="BF4" s="126">
        <v>1</v>
      </c>
      <c r="BG4" s="126">
        <v>-3.33619E-2</v>
      </c>
      <c r="BH4" s="126">
        <v>0.31869999999999998</v>
      </c>
      <c r="BI4" s="126">
        <v>0</v>
      </c>
      <c r="BJ4" s="126">
        <v>0</v>
      </c>
      <c r="BK4" s="126">
        <v>0.35149999999999998</v>
      </c>
      <c r="BL4" s="126">
        <v>0</v>
      </c>
      <c r="BM4" s="126">
        <v>0</v>
      </c>
      <c r="BN4" s="126">
        <v>0</v>
      </c>
      <c r="BO4" s="126">
        <v>0.59417399999999998</v>
      </c>
      <c r="BP4" s="126">
        <v>0</v>
      </c>
      <c r="BQ4" s="127">
        <v>0</v>
      </c>
    </row>
    <row r="5" spans="1:69" x14ac:dyDescent="0.25">
      <c r="A5" s="77" t="s">
        <v>352</v>
      </c>
      <c r="B5" s="77" t="s">
        <v>253</v>
      </c>
      <c r="C5">
        <v>1</v>
      </c>
      <c r="D5" s="77" t="s">
        <v>436</v>
      </c>
      <c r="E5" s="77" t="s">
        <v>387</v>
      </c>
      <c r="F5" s="125">
        <v>0</v>
      </c>
      <c r="G5" s="126">
        <v>83.465199999999996</v>
      </c>
      <c r="H5" s="126">
        <v>0</v>
      </c>
      <c r="I5" s="126">
        <v>0</v>
      </c>
      <c r="J5" s="126">
        <v>1</v>
      </c>
      <c r="K5" s="126">
        <v>-5.7145000000000001</v>
      </c>
      <c r="L5" s="126">
        <v>17.971900000000002</v>
      </c>
      <c r="M5" s="126">
        <v>0</v>
      </c>
      <c r="N5" s="126">
        <v>1</v>
      </c>
      <c r="O5" s="126">
        <v>-0.91779999999999995</v>
      </c>
      <c r="P5" s="126">
        <v>8.2552240000000001</v>
      </c>
      <c r="Q5" s="126">
        <v>0</v>
      </c>
      <c r="R5" s="126">
        <v>0</v>
      </c>
      <c r="S5" s="126">
        <v>0.95911239999999998</v>
      </c>
      <c r="T5" s="126">
        <v>0</v>
      </c>
      <c r="U5" s="127">
        <v>0</v>
      </c>
      <c r="V5" s="125">
        <v>0</v>
      </c>
      <c r="W5" s="126">
        <v>20</v>
      </c>
      <c r="X5" s="126">
        <v>0</v>
      </c>
      <c r="Y5" s="126">
        <v>0</v>
      </c>
      <c r="Z5" s="126">
        <v>1</v>
      </c>
      <c r="AA5" s="126">
        <v>-6.1608000000000003E-2</v>
      </c>
      <c r="AB5" s="126">
        <v>0.26050000000000001</v>
      </c>
      <c r="AC5" s="126">
        <v>0</v>
      </c>
      <c r="AD5" s="126">
        <v>0</v>
      </c>
      <c r="AE5" s="126">
        <v>17</v>
      </c>
      <c r="AF5" s="126">
        <v>0</v>
      </c>
      <c r="AG5" s="126">
        <v>0</v>
      </c>
      <c r="AH5" s="126">
        <v>0</v>
      </c>
      <c r="AI5" s="126">
        <v>1E-4</v>
      </c>
      <c r="AJ5" s="126">
        <v>0</v>
      </c>
      <c r="AK5" s="127">
        <v>0</v>
      </c>
      <c r="AL5" s="125">
        <v>1</v>
      </c>
      <c r="AM5" s="126">
        <v>-0.307724</v>
      </c>
      <c r="AN5" s="126">
        <v>2.4754399999999999</v>
      </c>
      <c r="AO5" s="126">
        <v>0</v>
      </c>
      <c r="AP5" s="126">
        <v>1</v>
      </c>
      <c r="AQ5" s="126">
        <v>-6.9328000000000001E-2</v>
      </c>
      <c r="AR5" s="126">
        <v>0.64324800000000004</v>
      </c>
      <c r="AS5" s="126">
        <v>0</v>
      </c>
      <c r="AT5" s="126">
        <v>1</v>
      </c>
      <c r="AU5" s="126">
        <v>-0.29982500000000001</v>
      </c>
      <c r="AV5" s="126">
        <v>4.4752000000000001</v>
      </c>
      <c r="AW5" s="126">
        <v>0</v>
      </c>
      <c r="AX5" s="126">
        <v>1</v>
      </c>
      <c r="AY5" s="126">
        <v>-4.2639999999999997E-2</v>
      </c>
      <c r="AZ5" s="126">
        <v>0.64201200000000003</v>
      </c>
      <c r="BA5" s="127">
        <v>0</v>
      </c>
      <c r="BB5" s="125">
        <v>0</v>
      </c>
      <c r="BC5" s="126">
        <v>44.89</v>
      </c>
      <c r="BD5" s="126">
        <v>0</v>
      </c>
      <c r="BE5" s="126">
        <v>0</v>
      </c>
      <c r="BF5" s="126">
        <v>1</v>
      </c>
      <c r="BG5" s="126">
        <v>-4.1498800000000002E-2</v>
      </c>
      <c r="BH5" s="126">
        <v>0.35209000000000001</v>
      </c>
      <c r="BI5" s="126">
        <v>0</v>
      </c>
      <c r="BJ5" s="126">
        <v>0</v>
      </c>
      <c r="BK5" s="126">
        <v>0.35149999999999998</v>
      </c>
      <c r="BL5" s="126">
        <v>0</v>
      </c>
      <c r="BM5" s="126">
        <v>0</v>
      </c>
      <c r="BN5" s="126">
        <v>0</v>
      </c>
      <c r="BO5" s="126">
        <v>0.63904799999999995</v>
      </c>
      <c r="BP5" s="126">
        <v>0</v>
      </c>
      <c r="BQ5" s="127">
        <v>0</v>
      </c>
    </row>
    <row r="6" spans="1:69" x14ac:dyDescent="0.25">
      <c r="A6" s="77" t="s">
        <v>360</v>
      </c>
      <c r="B6" s="77" t="s">
        <v>253</v>
      </c>
      <c r="C6">
        <v>1</v>
      </c>
      <c r="D6" s="77" t="s">
        <v>436</v>
      </c>
      <c r="E6" s="77" t="s">
        <v>387</v>
      </c>
      <c r="F6" s="125">
        <v>0</v>
      </c>
      <c r="G6" s="126">
        <v>77.017499999999998</v>
      </c>
      <c r="H6" s="126">
        <v>0</v>
      </c>
      <c r="I6" s="126">
        <v>0</v>
      </c>
      <c r="J6" s="126">
        <v>1</v>
      </c>
      <c r="K6" s="126">
        <v>-6.3375000000000004</v>
      </c>
      <c r="L6" s="126">
        <v>19.784199999999998</v>
      </c>
      <c r="M6" s="126">
        <v>0</v>
      </c>
      <c r="N6" s="126">
        <v>1</v>
      </c>
      <c r="O6" s="126">
        <v>-0.91779999999999995</v>
      </c>
      <c r="P6" s="126">
        <v>8.2063500000000005</v>
      </c>
      <c r="Q6" s="126">
        <v>0</v>
      </c>
      <c r="R6" s="126">
        <v>0</v>
      </c>
      <c r="S6" s="126">
        <v>0.96344750000000001</v>
      </c>
      <c r="T6" s="126">
        <v>0</v>
      </c>
      <c r="U6" s="127">
        <v>0</v>
      </c>
      <c r="V6" s="125">
        <v>0</v>
      </c>
      <c r="W6" s="126">
        <v>20</v>
      </c>
      <c r="X6" s="126">
        <v>0</v>
      </c>
      <c r="Y6" s="126">
        <v>0</v>
      </c>
      <c r="Z6" s="126">
        <v>1</v>
      </c>
      <c r="AA6" s="126">
        <v>-4.7475000000000003E-2</v>
      </c>
      <c r="AB6" s="126">
        <v>0.26050000000000001</v>
      </c>
      <c r="AC6" s="126">
        <v>0</v>
      </c>
      <c r="AD6" s="126">
        <v>0</v>
      </c>
      <c r="AE6" s="126">
        <v>17</v>
      </c>
      <c r="AF6" s="126">
        <v>0</v>
      </c>
      <c r="AG6" s="126">
        <v>0</v>
      </c>
      <c r="AH6" s="126">
        <v>0</v>
      </c>
      <c r="AI6" s="126">
        <v>1E-4</v>
      </c>
      <c r="AJ6" s="126">
        <v>0</v>
      </c>
      <c r="AK6" s="127">
        <v>0</v>
      </c>
      <c r="AL6" s="125">
        <v>1</v>
      </c>
      <c r="AM6" s="126">
        <v>-0.35685</v>
      </c>
      <c r="AN6" s="126">
        <v>2.6772499999999999</v>
      </c>
      <c r="AO6" s="126">
        <v>0</v>
      </c>
      <c r="AP6" s="126">
        <v>1</v>
      </c>
      <c r="AQ6" s="126">
        <v>-8.0570000000000003E-2</v>
      </c>
      <c r="AR6" s="126">
        <v>0.69921999999999995</v>
      </c>
      <c r="AS6" s="126">
        <v>0</v>
      </c>
      <c r="AT6" s="126">
        <v>1</v>
      </c>
      <c r="AU6" s="126">
        <v>-0.32986900000000002</v>
      </c>
      <c r="AV6" s="126">
        <v>4.2662500000000003</v>
      </c>
      <c r="AW6" s="126">
        <v>0</v>
      </c>
      <c r="AX6" s="126">
        <v>1</v>
      </c>
      <c r="AY6" s="126">
        <v>-4.7543500000000002E-2</v>
      </c>
      <c r="AZ6" s="126">
        <v>0.69782999999999995</v>
      </c>
      <c r="BA6" s="127">
        <v>0</v>
      </c>
      <c r="BB6" s="125">
        <v>0</v>
      </c>
      <c r="BC6" s="126">
        <v>44.89</v>
      </c>
      <c r="BD6" s="126">
        <v>0</v>
      </c>
      <c r="BE6" s="126">
        <v>0</v>
      </c>
      <c r="BF6" s="126">
        <v>1</v>
      </c>
      <c r="BG6" s="126">
        <v>-4.7827500000000002E-2</v>
      </c>
      <c r="BH6" s="126">
        <v>0.37806000000000001</v>
      </c>
      <c r="BI6" s="126">
        <v>0</v>
      </c>
      <c r="BJ6" s="126">
        <v>0</v>
      </c>
      <c r="BK6" s="126">
        <v>0.35149999999999998</v>
      </c>
      <c r="BL6" s="126">
        <v>0</v>
      </c>
      <c r="BM6" s="126">
        <v>0</v>
      </c>
      <c r="BN6" s="126">
        <v>0</v>
      </c>
      <c r="BO6" s="126">
        <v>0.67395000000000005</v>
      </c>
      <c r="BP6" s="126">
        <v>0</v>
      </c>
      <c r="BQ6" s="127">
        <v>0</v>
      </c>
    </row>
    <row r="7" spans="1:69" x14ac:dyDescent="0.25">
      <c r="A7" s="77" t="s">
        <v>364</v>
      </c>
      <c r="B7" s="77" t="s">
        <v>253</v>
      </c>
      <c r="C7">
        <v>1</v>
      </c>
      <c r="D7" s="77" t="s">
        <v>436</v>
      </c>
      <c r="E7" s="77" t="s">
        <v>387</v>
      </c>
      <c r="F7" s="125">
        <v>0</v>
      </c>
      <c r="G7" s="126">
        <v>73.333100000000002</v>
      </c>
      <c r="H7" s="126">
        <v>0</v>
      </c>
      <c r="I7" s="126">
        <v>0</v>
      </c>
      <c r="J7" s="126">
        <v>1</v>
      </c>
      <c r="K7" s="126">
        <v>-6.6935000000000002</v>
      </c>
      <c r="L7" s="126">
        <v>20.819800000000001</v>
      </c>
      <c r="M7" s="126">
        <v>0</v>
      </c>
      <c r="N7" s="126">
        <v>1</v>
      </c>
      <c r="O7" s="126">
        <v>-0.91779999999999995</v>
      </c>
      <c r="P7" s="126">
        <v>8.1784219999999994</v>
      </c>
      <c r="Q7" s="126">
        <v>0</v>
      </c>
      <c r="R7" s="126">
        <v>0</v>
      </c>
      <c r="S7" s="126">
        <v>0.96592469999999997</v>
      </c>
      <c r="T7" s="126">
        <v>0</v>
      </c>
      <c r="U7" s="127">
        <v>0</v>
      </c>
      <c r="V7" s="125">
        <v>0</v>
      </c>
      <c r="W7" s="126">
        <v>20</v>
      </c>
      <c r="X7" s="126">
        <v>0</v>
      </c>
      <c r="Y7" s="126">
        <v>0</v>
      </c>
      <c r="Z7" s="126">
        <v>1</v>
      </c>
      <c r="AA7" s="126">
        <v>-3.9399000000000003E-2</v>
      </c>
      <c r="AB7" s="126">
        <v>0.26050000000000001</v>
      </c>
      <c r="AC7" s="126">
        <v>0</v>
      </c>
      <c r="AD7" s="126">
        <v>0</v>
      </c>
      <c r="AE7" s="126">
        <v>17</v>
      </c>
      <c r="AF7" s="126">
        <v>0</v>
      </c>
      <c r="AG7" s="126">
        <v>0</v>
      </c>
      <c r="AH7" s="126">
        <v>0</v>
      </c>
      <c r="AI7" s="126">
        <v>1E-4</v>
      </c>
      <c r="AJ7" s="126">
        <v>0</v>
      </c>
      <c r="AK7" s="127">
        <v>0</v>
      </c>
      <c r="AL7" s="125">
        <v>1</v>
      </c>
      <c r="AM7" s="126">
        <v>-0.38492199999999999</v>
      </c>
      <c r="AN7" s="126">
        <v>2.79257</v>
      </c>
      <c r="AO7" s="126">
        <v>0</v>
      </c>
      <c r="AP7" s="126">
        <v>1</v>
      </c>
      <c r="AQ7" s="126">
        <v>-8.6994000000000002E-2</v>
      </c>
      <c r="AR7" s="126">
        <v>0.73120399999999997</v>
      </c>
      <c r="AS7" s="126">
        <v>0</v>
      </c>
      <c r="AT7" s="126">
        <v>1</v>
      </c>
      <c r="AU7" s="126">
        <v>-0.34703699999999998</v>
      </c>
      <c r="AV7" s="126">
        <v>4.1468499999999997</v>
      </c>
      <c r="AW7" s="126">
        <v>0</v>
      </c>
      <c r="AX7" s="126">
        <v>1</v>
      </c>
      <c r="AY7" s="126">
        <v>-5.0345500000000001E-2</v>
      </c>
      <c r="AZ7" s="126">
        <v>0.72972599999999999</v>
      </c>
      <c r="BA7" s="127">
        <v>0</v>
      </c>
      <c r="BB7" s="125">
        <v>0</v>
      </c>
      <c r="BC7" s="126">
        <v>44.89</v>
      </c>
      <c r="BD7" s="126">
        <v>0</v>
      </c>
      <c r="BE7" s="126">
        <v>0</v>
      </c>
      <c r="BF7" s="126">
        <v>1</v>
      </c>
      <c r="BG7" s="126">
        <v>-5.1443900000000001E-2</v>
      </c>
      <c r="BH7" s="126">
        <v>0.39290000000000003</v>
      </c>
      <c r="BI7" s="126">
        <v>0</v>
      </c>
      <c r="BJ7" s="126">
        <v>0</v>
      </c>
      <c r="BK7" s="126">
        <v>0.35149999999999998</v>
      </c>
      <c r="BL7" s="126">
        <v>0</v>
      </c>
      <c r="BM7" s="126">
        <v>0</v>
      </c>
      <c r="BN7" s="126">
        <v>0</v>
      </c>
      <c r="BO7" s="126">
        <v>0.69389400000000001</v>
      </c>
      <c r="BP7" s="126">
        <v>0</v>
      </c>
      <c r="BQ7" s="127">
        <v>0</v>
      </c>
    </row>
    <row r="8" spans="1:69" ht="15.75" thickBot="1" x14ac:dyDescent="0.3">
      <c r="A8" s="77" t="s">
        <v>366</v>
      </c>
      <c r="B8" s="77" t="s">
        <v>253</v>
      </c>
      <c r="C8">
        <v>1</v>
      </c>
      <c r="D8" s="77" t="s">
        <v>436</v>
      </c>
      <c r="E8" s="77" t="s">
        <v>387</v>
      </c>
      <c r="F8" s="128">
        <v>0</v>
      </c>
      <c r="G8" s="129">
        <v>72.412000000000006</v>
      </c>
      <c r="H8" s="129">
        <v>0</v>
      </c>
      <c r="I8" s="129">
        <v>0</v>
      </c>
      <c r="J8" s="129">
        <v>1</v>
      </c>
      <c r="K8" s="129">
        <v>-6.7824999999999998</v>
      </c>
      <c r="L8" s="129">
        <v>21.078700000000001</v>
      </c>
      <c r="M8" s="129">
        <v>0</v>
      </c>
      <c r="N8" s="129">
        <v>1</v>
      </c>
      <c r="O8" s="129">
        <v>-0.91779999999999995</v>
      </c>
      <c r="P8" s="129">
        <v>8.1714400000000005</v>
      </c>
      <c r="Q8" s="129">
        <v>0</v>
      </c>
      <c r="R8" s="129">
        <v>0</v>
      </c>
      <c r="S8" s="129">
        <v>0.96654399999999996</v>
      </c>
      <c r="T8" s="129">
        <v>0</v>
      </c>
      <c r="U8" s="130">
        <v>0</v>
      </c>
      <c r="V8" s="128">
        <v>0</v>
      </c>
      <c r="W8" s="129">
        <v>20</v>
      </c>
      <c r="X8" s="129">
        <v>0</v>
      </c>
      <c r="Y8" s="129">
        <v>0</v>
      </c>
      <c r="Z8" s="129">
        <v>1</v>
      </c>
      <c r="AA8" s="129">
        <v>-3.7379999999999997E-2</v>
      </c>
      <c r="AB8" s="129">
        <v>0.26050000000000001</v>
      </c>
      <c r="AC8" s="129">
        <v>0</v>
      </c>
      <c r="AD8" s="129">
        <v>0</v>
      </c>
      <c r="AE8" s="129">
        <v>17</v>
      </c>
      <c r="AF8" s="129">
        <v>0</v>
      </c>
      <c r="AG8" s="129">
        <v>0</v>
      </c>
      <c r="AH8" s="129">
        <v>0</v>
      </c>
      <c r="AI8" s="129">
        <v>1E-4</v>
      </c>
      <c r="AJ8" s="129">
        <v>0</v>
      </c>
      <c r="AK8" s="130">
        <v>0</v>
      </c>
      <c r="AL8" s="128">
        <v>1</v>
      </c>
      <c r="AM8" s="129">
        <v>-0.39194000000000001</v>
      </c>
      <c r="AN8" s="129">
        <v>2.8214000000000001</v>
      </c>
      <c r="AO8" s="129">
        <v>0</v>
      </c>
      <c r="AP8" s="129">
        <v>1</v>
      </c>
      <c r="AQ8" s="129">
        <v>-8.8599999999999998E-2</v>
      </c>
      <c r="AR8" s="129">
        <v>0.73919999999999997</v>
      </c>
      <c r="AS8" s="129">
        <v>0</v>
      </c>
      <c r="AT8" s="129">
        <v>1</v>
      </c>
      <c r="AU8" s="129">
        <v>-0.351329</v>
      </c>
      <c r="AV8" s="129">
        <v>4.117</v>
      </c>
      <c r="AW8" s="129">
        <v>0</v>
      </c>
      <c r="AX8" s="129">
        <v>1</v>
      </c>
      <c r="AY8" s="129">
        <v>-5.1046000000000001E-2</v>
      </c>
      <c r="AZ8" s="129">
        <v>0.73770000000000002</v>
      </c>
      <c r="BA8" s="130">
        <v>0</v>
      </c>
      <c r="BB8" s="128">
        <v>0</v>
      </c>
      <c r="BC8" s="129">
        <v>44.89</v>
      </c>
      <c r="BD8" s="129">
        <v>0</v>
      </c>
      <c r="BE8" s="129">
        <v>0</v>
      </c>
      <c r="BF8" s="129">
        <v>1</v>
      </c>
      <c r="BG8" s="129">
        <v>-5.2347999999999999E-2</v>
      </c>
      <c r="BH8" s="129">
        <v>0.39661000000000002</v>
      </c>
      <c r="BI8" s="129">
        <v>0</v>
      </c>
      <c r="BJ8" s="129">
        <v>0</v>
      </c>
      <c r="BK8" s="129">
        <v>0.35149999999999998</v>
      </c>
      <c r="BL8" s="129">
        <v>0</v>
      </c>
      <c r="BM8" s="129">
        <v>0</v>
      </c>
      <c r="BN8" s="129">
        <v>0</v>
      </c>
      <c r="BO8" s="129">
        <v>0.69887999999999995</v>
      </c>
      <c r="BP8" s="129">
        <v>0</v>
      </c>
      <c r="BQ8" s="130">
        <v>0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topLeftCell="E1" zoomScale="85" zoomScaleNormal="85" workbookViewId="0">
      <selection activeCell="N21" sqref="N21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430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31" t="s">
        <v>78</v>
      </c>
      <c r="J3" s="132"/>
      <c r="K3" s="132"/>
      <c r="L3" s="132"/>
      <c r="M3" s="132"/>
      <c r="N3" s="132"/>
      <c r="O3" s="132"/>
      <c r="P3" s="132"/>
      <c r="Q3" s="132"/>
      <c r="R3" s="132"/>
      <c r="S3" s="13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k_p_1</v>
      </c>
      <c r="L4" s="60" t="str">
        <f>IF('Control Panel'!L$3="NONE","",'Control Panel'!L$3)</f>
        <v>k_p_2</v>
      </c>
      <c r="M4" s="60" t="str">
        <f>IF('Control Panel'!M$3="NONE","",'Control Panel'!M$3)</f>
        <v>n_p_1</v>
      </c>
      <c r="N4" s="60" t="str">
        <f>IF('Control Panel'!N$3="NONE","",'Control Panel'!N$3)</f>
        <v>n_p_2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-1.1000000000000001</v>
      </c>
      <c r="L5" s="36">
        <f>IF($I5="","",IF(L$4="","",IF('Control Panel'!L4="",VLOOKUP($E5,'Table Output'!$A$2:$BR$1048576,MATCH(L$4,'Table Output'!$A$1:$BQ$1,0),),'Control Panel'!L4)))</f>
        <v>8.1199999999999992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0.92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/>
      </c>
      <c r="F6" s="2" t="str">
        <f>IF(T6=1,IF('Control Panel'!F5="","",'Control Panel'!F5),"")</f>
        <v/>
      </c>
      <c r="G6" s="2" t="str">
        <f>IF(T6=1,IF('Control Panel'!G5="","",'Control Panel'!G5),"")</f>
        <v/>
      </c>
      <c r="H6" s="2" t="str">
        <f>IF(T6=1,IF('Control Panel'!H5="","",'Control Panel'!H5),"")</f>
        <v/>
      </c>
      <c r="I6" s="42" t="str">
        <f>IF(T6=1,IF('Control Panel'!I5="","",'Control Panel'!I5),"")</f>
        <v/>
      </c>
      <c r="J6" s="36" t="str">
        <f>IF($I6="","",IF(J$4="","",IF('Control Panel'!J5="",VLOOKUP($E6,'Table Output'!$A$2:$BR$1048576,MATCH(J$4,'Table Output'!$A$1:$BQ$1,0),),'Control Panel'!J5)))</f>
        <v/>
      </c>
      <c r="K6" s="36" t="str">
        <f>IF($I6="","",IF(K$4="","",IF('Control Panel'!K5="",VLOOKUP($E6,'Table Output'!$A$2:$BR$1048576,MATCH(K$4,'Table Output'!$A$1:$BQ$1,0),),'Control Panel'!K5)))</f>
        <v/>
      </c>
      <c r="L6" s="36" t="str">
        <f>IF($I6="","",IF(L$4="","",IF('Control Panel'!L5="",VLOOKUP($E6,'Table Output'!$A$2:$BR$1048576,MATCH(L$4,'Table Output'!$A$1:$BQ$1,0),),'Control Panel'!L5)))</f>
        <v/>
      </c>
      <c r="M6" s="36" t="str">
        <f>IF($I6="","",IF(M$4="","",IF('Control Panel'!M5="",VLOOKUP($E6,'Table Output'!$A$2:$BR$1048576,MATCH(M$4,'Table Output'!$A$1:$BQ$1,0),),'Control Panel'!M5)))</f>
        <v/>
      </c>
      <c r="N6" s="36" t="str">
        <f>IF($I6="","",IF(N$4="","",IF('Control Panel'!N5="",VLOOKUP($E6,'Table Output'!$A$2:$BR$1048576,MATCH(N$4,'Table Output'!$A$1:$BQ$1,0),),'Control Panel'!N5)))</f>
        <v/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0</v>
      </c>
      <c r="U6" s="36" t="str">
        <f>IF($I6="","",IF('Control Panel'!U5="",VLOOKUP($E6,'Table Output'!$A$2:$BR$99998,MATCH(U$4,'Table Output'!$A$1:$BQ$1,0),),'Control Panel'!U5))</f>
        <v/>
      </c>
      <c r="V6" s="36" t="str">
        <f>IF($I6="","",IF('Control Panel'!V5="",VLOOKUP($E6,'Table Output'!$A$2:$BR$99998,MATCH(V$4,'Table Output'!$A$1:$BQ$1,0),),'Control Panel'!V5))</f>
        <v/>
      </c>
      <c r="W6" s="36" t="str">
        <f>IF($I6="","",IF('Control Panel'!W5="",VLOOKUP($E6,'Table Output'!$A$2:$BR$99998,MATCH(W$4,'Table Output'!$A$1:$BQ$1,0),),'Control Panel'!W5))</f>
        <v/>
      </c>
      <c r="X6" s="36" t="str">
        <f>IF($I6="","",IF('Control Panel'!X5="",VLOOKUP($E6,'Table Output'!$A$2:$BR$99998,MATCH(X$4,'Table Output'!$A$1:$BQ$1,0),),'Control Panel'!X5))</f>
        <v/>
      </c>
      <c r="Y6" s="36" t="str">
        <f>IF($I6="","",IF('Control Panel'!Y5="",VLOOKUP($E6,'Table Output'!$A$2:$BR$99998,MATCH(Y$4,'Table Output'!$A$1:$BQ$1,0),),'Control Panel'!Y5))</f>
        <v/>
      </c>
      <c r="Z6" s="36" t="str">
        <f>IF($I6="","",IF('Control Panel'!Z5="",VLOOKUP($E6,'Table Output'!$A$2:$BR$99998,MATCH(Z$4,'Table Output'!$A$1:$BQ$1,0),),'Control Panel'!Z5))</f>
        <v/>
      </c>
      <c r="AA6" s="36" t="str">
        <f>IF($I6="","",IF('Control Panel'!AA5="",VLOOKUP($E6,'Table Output'!$A$2:$BR$99998,MATCH(AA$4,'Table Output'!$A$1:$BQ$1,0),),'Control Panel'!AA5))</f>
        <v/>
      </c>
      <c r="AB6" s="36" t="str">
        <f>IF($I6="","",IF('Control Panel'!AB5="",VLOOKUP($E6,'Table Output'!$A$2:$BR$99998,MATCH(AB$4,'Table Output'!$A$1:$BQ$1,0),),'Control Panel'!AB5))</f>
        <v/>
      </c>
      <c r="AC6" s="36" t="str">
        <f>IF($I6="","",IF('Control Panel'!AC5="",VLOOKUP($E6,'Table Output'!$A$2:$BR$99998,MATCH(AC$4,'Table Output'!$A$1:$BQ$1,0),),'Control Panel'!AC5))</f>
        <v/>
      </c>
      <c r="AD6" s="36" t="str">
        <f>IF($I6="","",IF('Control Panel'!AD5="",VLOOKUP($E6,'Table Output'!$A$2:$BR$99998,MATCH(AD$4,'Table Output'!$A$1:$BQ$1,0),),'Control Panel'!AD5))</f>
        <v/>
      </c>
      <c r="AE6" s="36" t="str">
        <f>IF($I6="","",IF('Control Panel'!AE5="",VLOOKUP($E6,'Table Output'!$A$2:$BR$99998,MATCH(AE$4,'Table Output'!$A$1:$BQ$1,0),),'Control Panel'!AE5))</f>
        <v/>
      </c>
      <c r="AF6" s="36" t="str">
        <f>IF($I6="","",IF('Control Panel'!AF5="",VLOOKUP($E6,'Table Output'!$A$2:$BR$99998,MATCH(AF$4,'Table Output'!$A$1:$BQ$1,0),),'Control Panel'!AF5))</f>
        <v/>
      </c>
      <c r="AG6" s="36" t="str">
        <f>IF($I6="","",IF('Control Panel'!AG5="",VLOOKUP($E6,'Table Output'!$A$2:$BR$99998,MATCH(AG$4,'Table Output'!$A$1:$BQ$1,0),),'Control Panel'!AG5))</f>
        <v/>
      </c>
      <c r="AH6" s="36" t="str">
        <f>IF($I6="","",IF('Control Panel'!AH5="",VLOOKUP($E6,'Table Output'!$A$2:$BR$99998,MATCH(AH$4,'Table Output'!$A$1:$BQ$1,0),),'Control Panel'!AH5))</f>
        <v/>
      </c>
      <c r="AI6" s="36" t="str">
        <f>IF($I6="","",IF('Control Panel'!AI5="",VLOOKUP($E6,'Table Output'!$A$2:$BR$99998,MATCH(AI$4,'Table Output'!$A$1:$BQ$1,0),),'Control Panel'!AI5))</f>
        <v/>
      </c>
      <c r="AJ6" s="36" t="str">
        <f>IF($I6="","",IF('Control Panel'!AJ5="",VLOOKUP($E6,'Table Output'!$A$2:$BR$99998,MATCH(AJ$4,'Table Output'!$A$1:$BQ$1,0),),'Control Panel'!AJ5))</f>
        <v/>
      </c>
      <c r="AL6" s="51" t="str">
        <f t="shared" ref="AL6:AL24" si="0">I6</f>
        <v/>
      </c>
      <c r="AM6" s="48" t="str">
        <f>IF(AM$4="","",IF($I6="","",IF('Control Panel'!AM5="",VLOOKUP($E6,'Table Output'!$A$2:$BR$99998,MATCH(AM$4,'Table Output'!$A$1:$BQ$1,0),FALSE),'Control Panel'!AM5)))</f>
        <v/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/>
      </c>
      <c r="F7" s="2" t="str">
        <f>IF(T7=1,IF('Control Panel'!F6="","",'Control Panel'!F6),"")</f>
        <v/>
      </c>
      <c r="G7" s="2" t="str">
        <f>IF(T7=1,IF('Control Panel'!G6="","",'Control Panel'!G6),"")</f>
        <v/>
      </c>
      <c r="H7" s="2" t="str">
        <f>IF(T7=1,IF('Control Panel'!H6="","",'Control Panel'!H6),"")</f>
        <v/>
      </c>
      <c r="I7" s="42" t="str">
        <f>IF(T7=1,IF('Control Panel'!I6="","",'Control Panel'!I6),"")</f>
        <v/>
      </c>
      <c r="J7" s="36" t="str">
        <f>IF($I7="","",IF(J$4="","",IF('Control Panel'!J6="",VLOOKUP($E7,'Table Output'!$A$2:$BR$1048576,MATCH(J$4,'Table Output'!$A$1:$BQ$1,0),),'Control Panel'!J6)))</f>
        <v/>
      </c>
      <c r="K7" s="36" t="str">
        <f>IF($I7="","",IF(K$4="","",IF('Control Panel'!K6="",VLOOKUP($E7,'Table Output'!$A$2:$BR$1048576,MATCH(K$4,'Table Output'!$A$1:$BQ$1,0),),'Control Panel'!K6)))</f>
        <v/>
      </c>
      <c r="L7" s="36" t="str">
        <f>IF($I7="","",IF(L$4="","",IF('Control Panel'!L6="",VLOOKUP($E7,'Table Output'!$A$2:$BR$1048576,MATCH(L$4,'Table Output'!$A$1:$BQ$1,0),),'Control Panel'!L6)))</f>
        <v/>
      </c>
      <c r="M7" s="36" t="str">
        <f>IF($I7="","",IF(M$4="","",IF('Control Panel'!M6="",VLOOKUP($E7,'Table Output'!$A$2:$BR$1048576,MATCH(M$4,'Table Output'!$A$1:$BQ$1,0),),'Control Panel'!M6)))</f>
        <v/>
      </c>
      <c r="N7" s="36" t="str">
        <f>IF($I7="","",IF(N$4="","",IF('Control Panel'!N6="",VLOOKUP($E7,'Table Output'!$A$2:$BR$1048576,MATCH(N$4,'Table Output'!$A$1:$BQ$1,0),),'Control Panel'!N6)))</f>
        <v/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0</v>
      </c>
      <c r="U7" s="36" t="str">
        <f>IF($I7="","",IF('Control Panel'!U6="",VLOOKUP($E7,'Table Output'!$A$2:$BR$99998,MATCH(U$4,'Table Output'!$A$1:$BQ$1,0),),'Control Panel'!U6))</f>
        <v/>
      </c>
      <c r="V7" s="36" t="str">
        <f>IF($I7="","",IF('Control Panel'!V6="",VLOOKUP($E7,'Table Output'!$A$2:$BR$99998,MATCH(V$4,'Table Output'!$A$1:$BQ$1,0),),'Control Panel'!V6))</f>
        <v/>
      </c>
      <c r="W7" s="36" t="str">
        <f>IF($I7="","",IF('Control Panel'!W6="",VLOOKUP($E7,'Table Output'!$A$2:$BR$99998,MATCH(W$4,'Table Output'!$A$1:$BQ$1,0),),'Control Panel'!W6))</f>
        <v/>
      </c>
      <c r="X7" s="36" t="str">
        <f>IF($I7="","",IF('Control Panel'!X6="",VLOOKUP($E7,'Table Output'!$A$2:$BR$99998,MATCH(X$4,'Table Output'!$A$1:$BQ$1,0),),'Control Panel'!X6))</f>
        <v/>
      </c>
      <c r="Y7" s="36" t="str">
        <f>IF($I7="","",IF('Control Panel'!Y6="",VLOOKUP($E7,'Table Output'!$A$2:$BR$99998,MATCH(Y$4,'Table Output'!$A$1:$BQ$1,0),),'Control Panel'!Y6))</f>
        <v/>
      </c>
      <c r="Z7" s="36" t="str">
        <f>IF($I7="","",IF('Control Panel'!Z6="",VLOOKUP($E7,'Table Output'!$A$2:$BR$99998,MATCH(Z$4,'Table Output'!$A$1:$BQ$1,0),),'Control Panel'!Z6))</f>
        <v/>
      </c>
      <c r="AA7" s="36" t="str">
        <f>IF($I7="","",IF('Control Panel'!AA6="",VLOOKUP($E7,'Table Output'!$A$2:$BR$99998,MATCH(AA$4,'Table Output'!$A$1:$BQ$1,0),),'Control Panel'!AA6))</f>
        <v/>
      </c>
      <c r="AB7" s="36" t="str">
        <f>IF($I7="","",IF('Control Panel'!AB6="",VLOOKUP($E7,'Table Output'!$A$2:$BR$99998,MATCH(AB$4,'Table Output'!$A$1:$BQ$1,0),),'Control Panel'!AB6))</f>
        <v/>
      </c>
      <c r="AC7" s="36" t="str">
        <f>IF($I7="","",IF('Control Panel'!AC6="",VLOOKUP($E7,'Table Output'!$A$2:$BR$99998,MATCH(AC$4,'Table Output'!$A$1:$BQ$1,0),),'Control Panel'!AC6))</f>
        <v/>
      </c>
      <c r="AD7" s="36" t="str">
        <f>IF($I7="","",IF('Control Panel'!AD6="",VLOOKUP($E7,'Table Output'!$A$2:$BR$99998,MATCH(AD$4,'Table Output'!$A$1:$BQ$1,0),),'Control Panel'!AD6))</f>
        <v/>
      </c>
      <c r="AE7" s="36" t="str">
        <f>IF($I7="","",IF('Control Panel'!AE6="",VLOOKUP($E7,'Table Output'!$A$2:$BR$99998,MATCH(AE$4,'Table Output'!$A$1:$BQ$1,0),),'Control Panel'!AE6))</f>
        <v/>
      </c>
      <c r="AF7" s="36" t="str">
        <f>IF($I7="","",IF('Control Panel'!AF6="",VLOOKUP($E7,'Table Output'!$A$2:$BR$99998,MATCH(AF$4,'Table Output'!$A$1:$BQ$1,0),),'Control Panel'!AF6))</f>
        <v/>
      </c>
      <c r="AG7" s="36" t="str">
        <f>IF($I7="","",IF('Control Panel'!AG6="",VLOOKUP($E7,'Table Output'!$A$2:$BR$99998,MATCH(AG$4,'Table Output'!$A$1:$BQ$1,0),),'Control Panel'!AG6))</f>
        <v/>
      </c>
      <c r="AH7" s="36" t="str">
        <f>IF($I7="","",IF('Control Panel'!AH6="",VLOOKUP($E7,'Table Output'!$A$2:$BR$99998,MATCH(AH$4,'Table Output'!$A$1:$BQ$1,0),),'Control Panel'!AH6))</f>
        <v/>
      </c>
      <c r="AI7" s="36" t="str">
        <f>IF($I7="","",IF('Control Panel'!AI6="",VLOOKUP($E7,'Table Output'!$A$2:$BR$99998,MATCH(AI$4,'Table Output'!$A$1:$BQ$1,0),),'Control Panel'!AI6))</f>
        <v/>
      </c>
      <c r="AJ7" s="36" t="str">
        <f>IF($I7="","",IF('Control Panel'!AJ6="",VLOOKUP($E7,'Table Output'!$A$2:$BR$99998,MATCH(AJ$4,'Table Output'!$A$1:$BQ$1,0),),'Control Panel'!AJ6))</f>
        <v/>
      </c>
      <c r="AL7" s="51" t="str">
        <f t="shared" si="0"/>
        <v/>
      </c>
      <c r="AM7" s="48" t="str">
        <f>IF(AM$4="","",IF($I7="","",IF('Control Panel'!AM6="",VLOOKUP($E7,'Table Output'!$A$2:$BR$99998,MATCH(AM$4,'Table Output'!$A$1:$BQ$1,0),FALSE),'Control Panel'!AM6)))</f>
        <v/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/>
      </c>
      <c r="F8" s="2" t="str">
        <f>IF(T8=1,IF('Control Panel'!F7="","",'Control Panel'!F7),"")</f>
        <v/>
      </c>
      <c r="G8" s="2" t="str">
        <f>IF(T8=1,IF('Control Panel'!G7="","",'Control Panel'!G7),"")</f>
        <v/>
      </c>
      <c r="H8" s="2" t="str">
        <f>IF(T8=1,IF('Control Panel'!H7="","",'Control Panel'!H7),"")</f>
        <v/>
      </c>
      <c r="I8" s="42" t="str">
        <f>IF(T8=1,IF('Control Panel'!I7="","",'Control Panel'!I7),"")</f>
        <v/>
      </c>
      <c r="J8" s="36" t="str">
        <f>IF($I8="","",IF(J$4="","",IF('Control Panel'!J7="",VLOOKUP($E8,'Table Output'!$A$2:$BR$1048576,MATCH(J$4,'Table Output'!$A$1:$BQ$1,0),),'Control Panel'!J7)))</f>
        <v/>
      </c>
      <c r="K8" s="36" t="str">
        <f>IF($I8="","",IF(K$4="","",IF('Control Panel'!K7="",VLOOKUP($E8,'Table Output'!$A$2:$BR$1048576,MATCH(K$4,'Table Output'!$A$1:$BQ$1,0),),'Control Panel'!K7)))</f>
        <v/>
      </c>
      <c r="L8" s="36" t="str">
        <f>IF($I8="","",IF(L$4="","",IF('Control Panel'!L7="",VLOOKUP($E8,'Table Output'!$A$2:$BR$1048576,MATCH(L$4,'Table Output'!$A$1:$BQ$1,0),),'Control Panel'!L7)))</f>
        <v/>
      </c>
      <c r="M8" s="36" t="str">
        <f>IF($I8="","",IF(M$4="","",IF('Control Panel'!M7="",VLOOKUP($E8,'Table Output'!$A$2:$BR$1048576,MATCH(M$4,'Table Output'!$A$1:$BQ$1,0),),'Control Panel'!M7)))</f>
        <v/>
      </c>
      <c r="N8" s="36" t="str">
        <f>IF($I8="","",IF(N$4="","",IF('Control Panel'!N7="",VLOOKUP($E8,'Table Output'!$A$2:$BR$1048576,MATCH(N$4,'Table Output'!$A$1:$BQ$1,0),),'Control Panel'!N7)))</f>
        <v/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0</v>
      </c>
      <c r="U8" s="36" t="str">
        <f>IF($I8="","",IF('Control Panel'!U7="",VLOOKUP($E8,'Table Output'!$A$2:$BR$99998,MATCH(U$4,'Table Output'!$A$1:$BQ$1,0),),'Control Panel'!U7))</f>
        <v/>
      </c>
      <c r="V8" s="36" t="str">
        <f>IF($I8="","",IF('Control Panel'!V7="",VLOOKUP($E8,'Table Output'!$A$2:$BR$99998,MATCH(V$4,'Table Output'!$A$1:$BQ$1,0),),'Control Panel'!V7))</f>
        <v/>
      </c>
      <c r="W8" s="36" t="str">
        <f>IF($I8="","",IF('Control Panel'!W7="",VLOOKUP($E8,'Table Output'!$A$2:$BR$99998,MATCH(W$4,'Table Output'!$A$1:$BQ$1,0),),'Control Panel'!W7))</f>
        <v/>
      </c>
      <c r="X8" s="36" t="str">
        <f>IF($I8="","",IF('Control Panel'!X7="",VLOOKUP($E8,'Table Output'!$A$2:$BR$99998,MATCH(X$4,'Table Output'!$A$1:$BQ$1,0),),'Control Panel'!X7))</f>
        <v/>
      </c>
      <c r="Y8" s="36" t="str">
        <f>IF($I8="","",IF('Control Panel'!Y7="",VLOOKUP($E8,'Table Output'!$A$2:$BR$99998,MATCH(Y$4,'Table Output'!$A$1:$BQ$1,0),),'Control Panel'!Y7))</f>
        <v/>
      </c>
      <c r="Z8" s="36" t="str">
        <f>IF($I8="","",IF('Control Panel'!Z7="",VLOOKUP($E8,'Table Output'!$A$2:$BR$99998,MATCH(Z$4,'Table Output'!$A$1:$BQ$1,0),),'Control Panel'!Z7))</f>
        <v/>
      </c>
      <c r="AA8" s="36" t="str">
        <f>IF($I8="","",IF('Control Panel'!AA7="",VLOOKUP($E8,'Table Output'!$A$2:$BR$99998,MATCH(AA$4,'Table Output'!$A$1:$BQ$1,0),),'Control Panel'!AA7))</f>
        <v/>
      </c>
      <c r="AB8" s="36" t="str">
        <f>IF($I8="","",IF('Control Panel'!AB7="",VLOOKUP($E8,'Table Output'!$A$2:$BR$99998,MATCH(AB$4,'Table Output'!$A$1:$BQ$1,0),),'Control Panel'!AB7))</f>
        <v/>
      </c>
      <c r="AC8" s="36" t="str">
        <f>IF($I8="","",IF('Control Panel'!AC7="",VLOOKUP($E8,'Table Output'!$A$2:$BR$99998,MATCH(AC$4,'Table Output'!$A$1:$BQ$1,0),),'Control Panel'!AC7))</f>
        <v/>
      </c>
      <c r="AD8" s="36" t="str">
        <f>IF($I8="","",IF('Control Panel'!AD7="",VLOOKUP($E8,'Table Output'!$A$2:$BR$99998,MATCH(AD$4,'Table Output'!$A$1:$BQ$1,0),),'Control Panel'!AD7))</f>
        <v/>
      </c>
      <c r="AE8" s="36" t="str">
        <f>IF($I8="","",IF('Control Panel'!AE7="",VLOOKUP($E8,'Table Output'!$A$2:$BR$99998,MATCH(AE$4,'Table Output'!$A$1:$BQ$1,0),),'Control Panel'!AE7))</f>
        <v/>
      </c>
      <c r="AF8" s="36" t="str">
        <f>IF($I8="","",IF('Control Panel'!AF7="",VLOOKUP($E8,'Table Output'!$A$2:$BR$99998,MATCH(AF$4,'Table Output'!$A$1:$BQ$1,0),),'Control Panel'!AF7))</f>
        <v/>
      </c>
      <c r="AG8" s="36" t="str">
        <f>IF($I8="","",IF('Control Panel'!AG7="",VLOOKUP($E8,'Table Output'!$A$2:$BR$99998,MATCH(AG$4,'Table Output'!$A$1:$BQ$1,0),),'Control Panel'!AG7))</f>
        <v/>
      </c>
      <c r="AH8" s="36" t="str">
        <f>IF($I8="","",IF('Control Panel'!AH7="",VLOOKUP($E8,'Table Output'!$A$2:$BR$99998,MATCH(AH$4,'Table Output'!$A$1:$BQ$1,0),),'Control Panel'!AH7))</f>
        <v/>
      </c>
      <c r="AI8" s="36" t="str">
        <f>IF($I8="","",IF('Control Panel'!AI7="",VLOOKUP($E8,'Table Output'!$A$2:$BR$99998,MATCH(AI$4,'Table Output'!$A$1:$BQ$1,0),),'Control Panel'!AI7))</f>
        <v/>
      </c>
      <c r="AJ8" s="36" t="str">
        <f>IF($I8="","",IF('Control Panel'!AJ7="",VLOOKUP($E8,'Table Output'!$A$2:$BR$99998,MATCH(AJ$4,'Table Output'!$A$1:$BQ$1,0),),'Control Panel'!AJ7))</f>
        <v/>
      </c>
      <c r="AL8" s="51" t="str">
        <f t="shared" si="0"/>
        <v/>
      </c>
      <c r="AM8" s="48" t="str">
        <f>IF(AM$4="","",IF($I8="","",IF('Control Panel'!AM7="",VLOOKUP($E8,'Table Output'!$A$2:$BR$99998,MATCH(AM$4,'Table Output'!$A$1:$BQ$1,0),FALSE),'Control Panel'!AM7)))</f>
        <v/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/>
      </c>
      <c r="F9" s="2" t="str">
        <f>IF(T9=1,IF('Control Panel'!F8="","",'Control Panel'!F8),"")</f>
        <v/>
      </c>
      <c r="G9" s="2" t="str">
        <f>IF(T9=1,IF('Control Panel'!G8="","",'Control Panel'!G8),"")</f>
        <v/>
      </c>
      <c r="H9" s="2" t="str">
        <f>IF(T9=1,IF('Control Panel'!H8="","",'Control Panel'!H8),"")</f>
        <v/>
      </c>
      <c r="I9" s="42" t="str">
        <f>IF(T9=1,IF('Control Panel'!I8="","",'Control Panel'!I8),"")</f>
        <v/>
      </c>
      <c r="J9" s="36" t="str">
        <f>IF($I9="","",IF(J$4="","",IF('Control Panel'!J8="",VLOOKUP($E9,'Table Output'!$A$2:$BR$1048576,MATCH(J$4,'Table Output'!$A$1:$BQ$1,0),),'Control Panel'!J8)))</f>
        <v/>
      </c>
      <c r="K9" s="36" t="str">
        <f>IF($I9="","",IF(K$4="","",IF('Control Panel'!K8="",VLOOKUP($E9,'Table Output'!$A$2:$BR$1048576,MATCH(K$4,'Table Output'!$A$1:$BQ$1,0),),'Control Panel'!K8)))</f>
        <v/>
      </c>
      <c r="L9" s="36" t="str">
        <f>IF($I9="","",IF(L$4="","",IF('Control Panel'!L8="",VLOOKUP($E9,'Table Output'!$A$2:$BR$1048576,MATCH(L$4,'Table Output'!$A$1:$BQ$1,0),),'Control Panel'!L8)))</f>
        <v/>
      </c>
      <c r="M9" s="36" t="str">
        <f>IF($I9="","",IF(M$4="","",IF('Control Panel'!M8="",VLOOKUP($E9,'Table Output'!$A$2:$BR$1048576,MATCH(M$4,'Table Output'!$A$1:$BQ$1,0),),'Control Panel'!M8)))</f>
        <v/>
      </c>
      <c r="N9" s="36" t="str">
        <f>IF($I9="","",IF(N$4="","",IF('Control Panel'!N8="",VLOOKUP($E9,'Table Output'!$A$2:$BR$1048576,MATCH(N$4,'Table Output'!$A$1:$BQ$1,0),),'Control Panel'!N8)))</f>
        <v/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0</v>
      </c>
      <c r="U9" s="36" t="str">
        <f>IF($I9="","",IF('Control Panel'!U8="",VLOOKUP($E9,'Table Output'!$A$2:$BR$99998,MATCH(U$4,'Table Output'!$A$1:$BQ$1,0),),'Control Panel'!U8))</f>
        <v/>
      </c>
      <c r="V9" s="36" t="str">
        <f>IF($I9="","",IF('Control Panel'!V8="",VLOOKUP($E9,'Table Output'!$A$2:$BR$99998,MATCH(V$4,'Table Output'!$A$1:$BQ$1,0),),'Control Panel'!V8))</f>
        <v/>
      </c>
      <c r="W9" s="36" t="str">
        <f>IF($I9="","",IF('Control Panel'!W8="",VLOOKUP($E9,'Table Output'!$A$2:$BR$99998,MATCH(W$4,'Table Output'!$A$1:$BQ$1,0),),'Control Panel'!W8))</f>
        <v/>
      </c>
      <c r="X9" s="36" t="str">
        <f>IF($I9="","",IF('Control Panel'!X8="",VLOOKUP($E9,'Table Output'!$A$2:$BR$99998,MATCH(X$4,'Table Output'!$A$1:$BQ$1,0),),'Control Panel'!X8))</f>
        <v/>
      </c>
      <c r="Y9" s="36" t="str">
        <f>IF($I9="","",IF('Control Panel'!Y8="",VLOOKUP($E9,'Table Output'!$A$2:$BR$99998,MATCH(Y$4,'Table Output'!$A$1:$BQ$1,0),),'Control Panel'!Y8))</f>
        <v/>
      </c>
      <c r="Z9" s="36" t="str">
        <f>IF($I9="","",IF('Control Panel'!Z8="",VLOOKUP($E9,'Table Output'!$A$2:$BR$99998,MATCH(Z$4,'Table Output'!$A$1:$BQ$1,0),),'Control Panel'!Z8))</f>
        <v/>
      </c>
      <c r="AA9" s="36" t="str">
        <f>IF($I9="","",IF('Control Panel'!AA8="",VLOOKUP($E9,'Table Output'!$A$2:$BR$99998,MATCH(AA$4,'Table Output'!$A$1:$BQ$1,0),),'Control Panel'!AA8))</f>
        <v/>
      </c>
      <c r="AB9" s="36" t="str">
        <f>IF($I9="","",IF('Control Panel'!AB8="",VLOOKUP($E9,'Table Output'!$A$2:$BR$99998,MATCH(AB$4,'Table Output'!$A$1:$BQ$1,0),),'Control Panel'!AB8))</f>
        <v/>
      </c>
      <c r="AC9" s="36" t="str">
        <f>IF($I9="","",IF('Control Panel'!AC8="",VLOOKUP($E9,'Table Output'!$A$2:$BR$99998,MATCH(AC$4,'Table Output'!$A$1:$BQ$1,0),),'Control Panel'!AC8))</f>
        <v/>
      </c>
      <c r="AD9" s="36" t="str">
        <f>IF($I9="","",IF('Control Panel'!AD8="",VLOOKUP($E9,'Table Output'!$A$2:$BR$99998,MATCH(AD$4,'Table Output'!$A$1:$BQ$1,0),),'Control Panel'!AD8))</f>
        <v/>
      </c>
      <c r="AE9" s="36" t="str">
        <f>IF($I9="","",IF('Control Panel'!AE8="",VLOOKUP($E9,'Table Output'!$A$2:$BR$99998,MATCH(AE$4,'Table Output'!$A$1:$BQ$1,0),),'Control Panel'!AE8))</f>
        <v/>
      </c>
      <c r="AF9" s="36" t="str">
        <f>IF($I9="","",IF('Control Panel'!AF8="",VLOOKUP($E9,'Table Output'!$A$2:$BR$99998,MATCH(AF$4,'Table Output'!$A$1:$BQ$1,0),),'Control Panel'!AF8))</f>
        <v/>
      </c>
      <c r="AG9" s="36" t="str">
        <f>IF($I9="","",IF('Control Panel'!AG8="",VLOOKUP($E9,'Table Output'!$A$2:$BR$99998,MATCH(AG$4,'Table Output'!$A$1:$BQ$1,0),),'Control Panel'!AG8))</f>
        <v/>
      </c>
      <c r="AH9" s="36" t="str">
        <f>IF($I9="","",IF('Control Panel'!AH8="",VLOOKUP($E9,'Table Output'!$A$2:$BR$99998,MATCH(AH$4,'Table Output'!$A$1:$BQ$1,0),),'Control Panel'!AH8))</f>
        <v/>
      </c>
      <c r="AI9" s="36" t="str">
        <f>IF($I9="","",IF('Control Panel'!AI8="",VLOOKUP($E9,'Table Output'!$A$2:$BR$99998,MATCH(AI$4,'Table Output'!$A$1:$BQ$1,0),),'Control Panel'!AI8))</f>
        <v/>
      </c>
      <c r="AJ9" s="36" t="str">
        <f>IF($I9="","",IF('Control Panel'!AJ8="",VLOOKUP($E9,'Table Output'!$A$2:$BR$99998,MATCH(AJ$4,'Table Output'!$A$1:$BQ$1,0),),'Control Panel'!AJ8))</f>
        <v/>
      </c>
      <c r="AL9" s="51" t="str">
        <f t="shared" si="0"/>
        <v/>
      </c>
      <c r="AM9" s="48" t="str">
        <f>IF(AM$4="","",IF($I9="","",IF('Control Panel'!AM8="",VLOOKUP($E9,'Table Output'!$A$2:$BR$99998,MATCH(AM$4,'Table Output'!$A$1:$BQ$1,0),FALSE),'Control Panel'!AM8)))</f>
        <v/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Output'!$A$2:$BR$1048576,MATCH(J$4,'Table Output'!$A$1:$BQ$1,0),),'Control Panel'!J9)))</f>
        <v/>
      </c>
      <c r="K10" s="36" t="str">
        <f>IF($I10="","",IF(K$4="","",IF('Control Panel'!K9="",VLOOKUP($E10,'Table Output'!$A$2:$BR$1048576,MATCH(K$4,'Table Output'!$A$1:$BQ$1,0),),'Control Panel'!K9)))</f>
        <v/>
      </c>
      <c r="L10" s="36" t="str">
        <f>IF($I10="","",IF(L$4="","",IF('Control Panel'!L9="",VLOOKUP($E10,'Table Output'!$A$2:$BR$1048576,MATCH(L$4,'Table Output'!$A$1:$BQ$1,0),),'Control Panel'!L9)))</f>
        <v/>
      </c>
      <c r="M10" s="36" t="str">
        <f>IF($I10="","",IF(M$4="","",IF('Control Panel'!M9="",VLOOKUP($E10,'Table Output'!$A$2:$BR$1048576,MATCH(M$4,'Table Output'!$A$1:$BQ$1,0),),'Control Panel'!M9)))</f>
        <v/>
      </c>
      <c r="N10" s="36" t="str">
        <f>IF($I10="","",IF(N$4="","",IF('Control Panel'!N9="",VLOOKUP($E10,'Table Output'!$A$2:$BR$1048576,MATCH(N$4,'Table Output'!$A$1:$BQ$1,0),),'Control Panel'!N9)))</f>
        <v/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-1.1000000000000001</v>
      </c>
      <c r="L11" s="36">
        <f>IF($I11="","",IF(L$4="","",IF('Control Panel'!L10="",VLOOKUP($E11,'Table Output'!$A$2:$BR$1048576,MATCH(L$4,'Table Output'!$A$1:$BQ$1,0),),'Control Panel'!L10)))</f>
        <v>8.1199999999999992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0.92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Output'!$A$2:$BR$1048576,MATCH(J$4,'Table Output'!$A$1:$BQ$1,0),),'Control Panel'!J11)))</f>
        <v/>
      </c>
      <c r="K12" s="36" t="str">
        <f>IF($I12="","",IF(K$4="","",IF('Control Panel'!K11="",VLOOKUP($E12,'Table Output'!$A$2:$BR$1048576,MATCH(K$4,'Table Output'!$A$1:$BQ$1,0),),'Control Panel'!K11)))</f>
        <v/>
      </c>
      <c r="L12" s="36" t="str">
        <f>IF($I12="","",IF(L$4="","",IF('Control Panel'!L11="",VLOOKUP($E12,'Table Output'!$A$2:$BR$1048576,MATCH(L$4,'Table Output'!$A$1:$BQ$1,0),),'Control Panel'!L11)))</f>
        <v/>
      </c>
      <c r="M12" s="36" t="str">
        <f>IF($I12="","",IF(M$4="","",IF('Control Panel'!M11="",VLOOKUP($E12,'Table Output'!$A$2:$BR$1048576,MATCH(M$4,'Table Output'!$A$1:$BQ$1,0),),'Control Panel'!M11)))</f>
        <v/>
      </c>
      <c r="N12" s="36" t="str">
        <f>IF($I12="","",IF(N$4="","",IF('Control Panel'!N11="",VLOOKUP($E12,'Table Output'!$A$2:$BR$1048576,MATCH(N$4,'Table Output'!$A$1:$BQ$1,0),),'Control Panel'!N11)))</f>
        <v/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Output'!$A$2:$BR$1048576,MATCH(J$4,'Table Output'!$A$1:$BQ$1,0),),'Control Panel'!J12)))</f>
        <v/>
      </c>
      <c r="K13" s="36" t="str">
        <f>IF($I13="","",IF(K$4="","",IF('Control Panel'!K12="",VLOOKUP($E13,'Table Output'!$A$2:$BR$1048576,MATCH(K$4,'Table Output'!$A$1:$BQ$1,0),),'Control Panel'!K12)))</f>
        <v/>
      </c>
      <c r="L13" s="36" t="str">
        <f>IF($I13="","",IF(L$4="","",IF('Control Panel'!L12="",VLOOKUP($E13,'Table Output'!$A$2:$BR$1048576,MATCH(L$4,'Table Output'!$A$1:$BQ$1,0),),'Control Panel'!L12)))</f>
        <v/>
      </c>
      <c r="M13" s="36" t="str">
        <f>IF($I13="","",IF(M$4="","",IF('Control Panel'!M12="",VLOOKUP($E13,'Table Output'!$A$2:$BR$1048576,MATCH(M$4,'Table Output'!$A$1:$BQ$1,0),),'Control Panel'!M12)))</f>
        <v/>
      </c>
      <c r="N13" s="36" t="str">
        <f>IF($I13="","",IF(N$4="","",IF('Control Panel'!N12="",VLOOKUP($E13,'Table Output'!$A$2:$BR$1048576,MATCH(N$4,'Table Output'!$A$1:$BQ$1,0),),'Control Panel'!N12)))</f>
        <v/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Output'!$A$2:$BR$1048576,MATCH(J$4,'Table Output'!$A$1:$BQ$1,0),),'Control Panel'!J13)))</f>
        <v/>
      </c>
      <c r="K14" s="36" t="str">
        <f>IF($I14="","",IF(K$4="","",IF('Control Panel'!K13="",VLOOKUP($E14,'Table Output'!$A$2:$BR$1048576,MATCH(K$4,'Table Output'!$A$1:$BQ$1,0),),'Control Panel'!K13)))</f>
        <v/>
      </c>
      <c r="L14" s="36" t="str">
        <f>IF($I14="","",IF(L$4="","",IF('Control Panel'!L13="",VLOOKUP($E14,'Table Output'!$A$2:$BR$1048576,MATCH(L$4,'Table Output'!$A$1:$BQ$1,0),),'Control Panel'!L13)))</f>
        <v/>
      </c>
      <c r="M14" s="36" t="str">
        <f>IF($I14="","",IF(M$4="","",IF('Control Panel'!M13="",VLOOKUP($E14,'Table Output'!$A$2:$BR$1048576,MATCH(M$4,'Table Output'!$A$1:$BQ$1,0),),'Control Panel'!M13)))</f>
        <v/>
      </c>
      <c r="N14" s="36" t="str">
        <f>IF($I14="","",IF(N$4="","",IF('Control Panel'!N13="",VLOOKUP($E14,'Table Output'!$A$2:$BR$1048576,MATCH(N$4,'Table Output'!$A$1:$BQ$1,0),),'Control Panel'!N13)))</f>
        <v/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Output'!$A$2:$BR$1048576,MATCH(J$4,'Table Output'!$A$1:$BQ$1,0),),'Control Panel'!J14)))</f>
        <v/>
      </c>
      <c r="K15" s="36" t="str">
        <f>IF($I15="","",IF(K$4="","",IF('Control Panel'!K14="",VLOOKUP($E15,'Table Output'!$A$2:$BR$1048576,MATCH(K$4,'Table Output'!$A$1:$BQ$1,0),),'Control Panel'!K14)))</f>
        <v/>
      </c>
      <c r="L15" s="36" t="str">
        <f>IF($I15="","",IF(L$4="","",IF('Control Panel'!L14="",VLOOKUP($E15,'Table Output'!$A$2:$BR$1048576,MATCH(L$4,'Table Output'!$A$1:$BQ$1,0),),'Control Panel'!L14)))</f>
        <v/>
      </c>
      <c r="M15" s="36" t="str">
        <f>IF($I15="","",IF(M$4="","",IF('Control Panel'!M14="",VLOOKUP($E15,'Table Output'!$A$2:$BR$1048576,MATCH(M$4,'Table Output'!$A$1:$BQ$1,0),),'Control Panel'!M14)))</f>
        <v/>
      </c>
      <c r="N15" s="36" t="str">
        <f>IF($I15="","",IF(N$4="","",IF('Control Panel'!N14="",VLOOKUP($E15,'Table Output'!$A$2:$BR$1048576,MATCH(N$4,'Table Output'!$A$1:$BQ$1,0),),'Control Panel'!N14)))</f>
        <v/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 t="str">
        <f>IF('Control Panel'!T15="","",'Control Panel'!T15)</f>
        <v/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31" t="s">
        <v>154</v>
      </c>
      <c r="J36" s="132"/>
      <c r="K36" s="132"/>
      <c r="L36" s="132"/>
      <c r="M36" s="132"/>
      <c r="N36" s="132"/>
      <c r="O36" s="132"/>
      <c r="P36" s="132"/>
      <c r="Q36" s="132"/>
      <c r="R36" s="132"/>
      <c r="S36" s="13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k_p_1</v>
      </c>
      <c r="L37" s="32" t="str">
        <f t="shared" si="2"/>
        <v>k_p_2</v>
      </c>
      <c r="M37" s="32" t="str">
        <f t="shared" si="2"/>
        <v>n_p_1</v>
      </c>
      <c r="N37" s="32" t="str">
        <f t="shared" si="2"/>
        <v>n_p_2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-2.4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0.5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/>
      </c>
      <c r="I39" s="7" t="str">
        <f t="shared" ref="I39:I62" si="4">I6</f>
        <v/>
      </c>
      <c r="J39" s="44" t="str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/>
      </c>
      <c r="K39" s="44" t="str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/>
      </c>
      <c r="L39" s="44" t="str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/>
      </c>
      <c r="M39" s="44" t="str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/>
      </c>
      <c r="N39" s="44" t="str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/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/>
      </c>
      <c r="I40" s="7" t="str">
        <f t="shared" si="4"/>
        <v/>
      </c>
      <c r="J40" s="44" t="str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/>
      </c>
      <c r="K40" s="44" t="str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/>
      </c>
      <c r="L40" s="44" t="str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/>
      </c>
      <c r="M40" s="44" t="str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/>
      </c>
      <c r="N40" s="44" t="str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/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/>
      </c>
      <c r="I41" s="7" t="str">
        <f t="shared" si="4"/>
        <v/>
      </c>
      <c r="J41" s="44" t="str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/>
      </c>
      <c r="K41" s="44" t="str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/>
      </c>
      <c r="L41" s="44" t="str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/>
      </c>
      <c r="M41" s="44" t="str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/>
      </c>
      <c r="N41" s="44" t="str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/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/>
      </c>
      <c r="I42" s="7" t="str">
        <f t="shared" si="4"/>
        <v/>
      </c>
      <c r="J42" s="44" t="str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/>
      </c>
      <c r="K42" s="44" t="str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/>
      </c>
      <c r="L42" s="44" t="str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/>
      </c>
      <c r="M42" s="44" t="str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/>
      </c>
      <c r="N42" s="44" t="str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/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-2.4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0.5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2&amp;1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0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10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31" t="s">
        <v>178</v>
      </c>
      <c r="J71" s="132"/>
      <c r="K71" s="132"/>
      <c r="L71" s="132"/>
      <c r="M71" s="132"/>
      <c r="N71" s="132"/>
      <c r="O71" s="132"/>
      <c r="P71" s="132"/>
      <c r="Q71" s="132"/>
      <c r="R71" s="132"/>
      <c r="S71" s="13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k_p_1</v>
      </c>
      <c r="L72" s="32" t="str">
        <f t="shared" si="6"/>
        <v>k_p_2</v>
      </c>
      <c r="M72" s="32" t="str">
        <f t="shared" si="6"/>
        <v>n_p_1</v>
      </c>
      <c r="N72" s="32" t="str">
        <f t="shared" si="6"/>
        <v>n_p_2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1200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0.5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14.4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/>
      </c>
      <c r="I74" s="7" t="str">
        <f t="shared" si="7"/>
        <v/>
      </c>
      <c r="J74" s="44" t="str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/>
      </c>
      <c r="K74" s="44" t="str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/>
      </c>
      <c r="L74" s="44" t="str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/>
      </c>
      <c r="M74" s="44" t="str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/>
      </c>
      <c r="N74" s="44" t="str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/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/>
      </c>
      <c r="I75" s="7" t="str">
        <f t="shared" si="7"/>
        <v/>
      </c>
      <c r="J75" s="44" t="str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/>
      </c>
      <c r="K75" s="44" t="str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/>
      </c>
      <c r="L75" s="44" t="str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/>
      </c>
      <c r="M75" s="44" t="str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/>
      </c>
      <c r="N75" s="44" t="str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/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/>
      </c>
      <c r="I76" s="7" t="str">
        <f t="shared" si="7"/>
        <v/>
      </c>
      <c r="J76" s="44" t="str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/>
      </c>
      <c r="K76" s="44" t="str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/>
      </c>
      <c r="L76" s="44" t="str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/>
      </c>
      <c r="M76" s="44" t="str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/>
      </c>
      <c r="N76" s="44" t="str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/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/>
      </c>
      <c r="I77" s="7" t="str">
        <f t="shared" si="7"/>
        <v/>
      </c>
      <c r="J77" s="44" t="str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/>
      </c>
      <c r="K77" s="44" t="str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/>
      </c>
      <c r="L77" s="44" t="str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/>
      </c>
      <c r="M77" s="44" t="str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/>
      </c>
      <c r="N77" s="44" t="str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/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0.5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14.4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121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121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s="121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DataFilter!$A$2:$A$189</xm:f>
          </x14:formula1>
          <xm:sqref>L6 L12 L16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J9"/>
  <sheetViews>
    <sheetView workbookViewId="0">
      <selection activeCell="F4" sqref="F4"/>
    </sheetView>
  </sheetViews>
  <sheetFormatPr defaultRowHeight="15" x14ac:dyDescent="0.25"/>
  <sheetData>
    <row r="2" spans="2:10" ht="15.75" thickBot="1" x14ac:dyDescent="0.3">
      <c r="B2" s="52" t="s">
        <v>120</v>
      </c>
      <c r="C2" s="52" t="s">
        <v>434</v>
      </c>
      <c r="D2" s="52" t="s">
        <v>121</v>
      </c>
      <c r="E2" s="53" t="s">
        <v>184</v>
      </c>
      <c r="F2" s="14" t="s">
        <v>109</v>
      </c>
      <c r="G2" s="9" t="s">
        <v>111</v>
      </c>
      <c r="H2" s="9" t="s">
        <v>113</v>
      </c>
      <c r="I2" s="9" t="s">
        <v>114</v>
      </c>
      <c r="J2" s="17" t="s">
        <v>116</v>
      </c>
    </row>
    <row r="3" spans="2:10" x14ac:dyDescent="0.25">
      <c r="B3" s="2" t="s">
        <v>185</v>
      </c>
      <c r="C3" s="43" t="s">
        <v>81</v>
      </c>
      <c r="D3" s="46" t="s">
        <v>122</v>
      </c>
      <c r="E3" t="s">
        <v>438</v>
      </c>
      <c r="F3" t="s">
        <v>110</v>
      </c>
      <c r="G3" t="s">
        <v>112</v>
      </c>
      <c r="H3" t="s">
        <v>442</v>
      </c>
      <c r="I3" t="s">
        <v>115</v>
      </c>
      <c r="J3" t="s">
        <v>117</v>
      </c>
    </row>
    <row r="4" spans="2:10" x14ac:dyDescent="0.25">
      <c r="B4" s="2" t="s">
        <v>186</v>
      </c>
      <c r="C4" s="43" t="s">
        <v>187</v>
      </c>
      <c r="D4" s="46" t="s">
        <v>189</v>
      </c>
      <c r="E4" t="s">
        <v>197</v>
      </c>
      <c r="F4" t="s">
        <v>439</v>
      </c>
      <c r="G4" t="s">
        <v>441</v>
      </c>
      <c r="H4" t="s">
        <v>443</v>
      </c>
      <c r="I4" t="s">
        <v>448</v>
      </c>
      <c r="J4" t="s">
        <v>449</v>
      </c>
    </row>
    <row r="5" spans="2:10" x14ac:dyDescent="0.25">
      <c r="B5" s="45" t="s">
        <v>188</v>
      </c>
      <c r="C5" s="2"/>
      <c r="D5" s="46" t="s">
        <v>190</v>
      </c>
      <c r="G5" t="s">
        <v>440</v>
      </c>
      <c r="H5" t="s">
        <v>444</v>
      </c>
      <c r="J5" t="s">
        <v>439</v>
      </c>
    </row>
    <row r="6" spans="2:10" x14ac:dyDescent="0.25">
      <c r="B6" s="2"/>
      <c r="C6" s="2"/>
      <c r="D6" s="46" t="s">
        <v>191</v>
      </c>
      <c r="H6" t="s">
        <v>445</v>
      </c>
    </row>
    <row r="7" spans="2:10" x14ac:dyDescent="0.25">
      <c r="B7" s="2"/>
      <c r="H7" t="s">
        <v>218</v>
      </c>
    </row>
    <row r="8" spans="2:10" x14ac:dyDescent="0.25">
      <c r="B8" s="2"/>
      <c r="H8" t="s">
        <v>446</v>
      </c>
    </row>
    <row r="9" spans="2:10" x14ac:dyDescent="0.25">
      <c r="H9" t="s">
        <v>447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431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391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391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391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46"/>
      <c r="B1" s="147"/>
      <c r="C1" s="99">
        <v>0</v>
      </c>
      <c r="D1" s="100">
        <v>1</v>
      </c>
      <c r="E1" s="101">
        <v>2</v>
      </c>
      <c r="F1" s="39"/>
      <c r="H1" s="146"/>
      <c r="I1" s="14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8"/>
      <c r="B2" s="149"/>
      <c r="C2" s="37" t="s">
        <v>75</v>
      </c>
      <c r="D2" s="98" t="s">
        <v>75</v>
      </c>
      <c r="E2" s="97" t="s">
        <v>75</v>
      </c>
      <c r="H2" s="148"/>
      <c r="I2" s="149"/>
      <c r="J2" s="37" t="s">
        <v>76</v>
      </c>
      <c r="K2" s="98" t="s">
        <v>76</v>
      </c>
      <c r="L2" s="97" t="s">
        <v>76</v>
      </c>
    </row>
    <row r="3" spans="1:13" x14ac:dyDescent="0.15">
      <c r="A3" s="14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43"/>
      <c r="B4" s="38" t="s">
        <v>137</v>
      </c>
      <c r="C4" s="90">
        <v>-5555</v>
      </c>
      <c r="D4" s="90">
        <v>30</v>
      </c>
      <c r="E4" s="91">
        <v>-5555</v>
      </c>
      <c r="H4" s="14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3"/>
      <c r="B5" s="38" t="s">
        <v>138</v>
      </c>
      <c r="C5" s="90">
        <v>-5555</v>
      </c>
      <c r="D5" s="92">
        <v>-5555</v>
      </c>
      <c r="E5" s="91">
        <v>-5555</v>
      </c>
      <c r="H5" s="14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3"/>
      <c r="B6" s="38" t="s">
        <v>139</v>
      </c>
      <c r="C6" s="90">
        <v>3</v>
      </c>
      <c r="D6" s="90">
        <v>-120</v>
      </c>
      <c r="E6" s="91">
        <v>7.2110000000000003</v>
      </c>
      <c r="H6" s="14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43"/>
      <c r="B7" s="38" t="s">
        <v>85</v>
      </c>
      <c r="C7" s="90">
        <v>-5555</v>
      </c>
      <c r="D7" s="90">
        <v>1</v>
      </c>
      <c r="E7" s="91">
        <v>-11.798</v>
      </c>
      <c r="H7" s="14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43"/>
      <c r="B8" s="38" t="s">
        <v>87</v>
      </c>
      <c r="C8" s="90">
        <v>-5555</v>
      </c>
      <c r="D8" s="92">
        <v>-5555</v>
      </c>
      <c r="E8" s="91">
        <v>-2.44</v>
      </c>
      <c r="H8" s="14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3"/>
      <c r="B9" s="38" t="s">
        <v>86</v>
      </c>
      <c r="C9" s="90">
        <v>0.1</v>
      </c>
      <c r="D9" s="90">
        <v>-35</v>
      </c>
      <c r="E9" s="91">
        <v>-5555</v>
      </c>
      <c r="H9" s="14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43"/>
      <c r="B10" s="38" t="s">
        <v>140</v>
      </c>
      <c r="C10" s="90">
        <v>-5555</v>
      </c>
      <c r="D10" s="90">
        <v>0.2</v>
      </c>
      <c r="E10" s="91">
        <v>-5555</v>
      </c>
      <c r="H10" s="14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43"/>
      <c r="B11" s="38" t="s">
        <v>141</v>
      </c>
      <c r="C11" s="90">
        <v>-5555</v>
      </c>
      <c r="D11" s="92">
        <v>-5555</v>
      </c>
      <c r="E11" s="91">
        <v>-5555</v>
      </c>
      <c r="H11" s="14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3"/>
      <c r="B12" s="38" t="s">
        <v>142</v>
      </c>
      <c r="C12" s="90">
        <v>0</v>
      </c>
      <c r="D12" s="90">
        <v>-1.5</v>
      </c>
      <c r="E12" s="91">
        <v>-5555</v>
      </c>
      <c r="H12" s="14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3"/>
      <c r="B13" s="38" t="s">
        <v>143</v>
      </c>
      <c r="C13" s="90">
        <v>-5555</v>
      </c>
      <c r="D13" s="90">
        <v>0</v>
      </c>
      <c r="E13" s="91">
        <v>-5555</v>
      </c>
      <c r="H13" s="14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4"/>
      <c r="B14" s="93" t="s">
        <v>144</v>
      </c>
      <c r="C14" s="94">
        <v>-5555</v>
      </c>
      <c r="D14" s="95">
        <v>-5555</v>
      </c>
      <c r="E14" s="96">
        <v>-5555</v>
      </c>
      <c r="H14" s="14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40"/>
      <c r="B16" s="38" t="s">
        <v>145</v>
      </c>
      <c r="C16" s="90">
        <v>-5555</v>
      </c>
      <c r="D16" s="90">
        <v>5</v>
      </c>
      <c r="E16" s="91">
        <v>-5555</v>
      </c>
      <c r="H16" s="14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40"/>
      <c r="B17" s="38" t="s">
        <v>90</v>
      </c>
      <c r="C17" s="90">
        <v>-5555</v>
      </c>
      <c r="D17" s="92">
        <v>-5555</v>
      </c>
      <c r="E17" s="91">
        <v>-5555</v>
      </c>
      <c r="H17" s="14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40"/>
      <c r="B18" s="38" t="s">
        <v>146</v>
      </c>
      <c r="C18" s="90">
        <v>0.02</v>
      </c>
      <c r="D18" s="90">
        <v>-0.1</v>
      </c>
      <c r="E18" s="91">
        <v>-5555</v>
      </c>
      <c r="H18" s="14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40"/>
      <c r="B19" s="38" t="s">
        <v>147</v>
      </c>
      <c r="C19" s="90">
        <v>-5555</v>
      </c>
      <c r="D19" s="90">
        <v>0.1</v>
      </c>
      <c r="E19" s="91">
        <v>-5555</v>
      </c>
      <c r="H19" s="14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40"/>
      <c r="B20" s="38" t="s">
        <v>148</v>
      </c>
      <c r="C20" s="90">
        <v>-5555</v>
      </c>
      <c r="D20" s="92">
        <v>-5555</v>
      </c>
      <c r="E20" s="91">
        <v>-5555</v>
      </c>
      <c r="H20" s="14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40"/>
      <c r="B21" s="38" t="s">
        <v>149</v>
      </c>
      <c r="C21" s="90">
        <v>0.01</v>
      </c>
      <c r="D21" s="90">
        <v>-0.2</v>
      </c>
      <c r="E21" s="91">
        <v>-5555</v>
      </c>
      <c r="H21" s="14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40"/>
      <c r="B22" s="38" t="s">
        <v>150</v>
      </c>
      <c r="C22" s="90">
        <v>-5555</v>
      </c>
      <c r="D22" s="90">
        <v>0.01</v>
      </c>
      <c r="E22" s="91">
        <v>-5555</v>
      </c>
      <c r="H22" s="14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40"/>
      <c r="B23" s="38" t="s">
        <v>151</v>
      </c>
      <c r="C23" s="90">
        <v>-5555</v>
      </c>
      <c r="D23" s="92">
        <v>-5555</v>
      </c>
      <c r="E23" s="91">
        <v>-5555</v>
      </c>
      <c r="H23" s="14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40"/>
      <c r="B24" s="38" t="s">
        <v>152</v>
      </c>
      <c r="C24" s="90">
        <v>0</v>
      </c>
      <c r="D24" s="90">
        <v>0</v>
      </c>
      <c r="E24" s="91">
        <v>-5555</v>
      </c>
      <c r="H24" s="14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40"/>
      <c r="B25" s="38" t="s">
        <v>153</v>
      </c>
      <c r="C25" s="90">
        <v>-5555</v>
      </c>
      <c r="D25" s="90">
        <v>0</v>
      </c>
      <c r="E25" s="91">
        <v>-5555</v>
      </c>
      <c r="H25" s="14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41"/>
      <c r="B26" s="93" t="s">
        <v>155</v>
      </c>
      <c r="C26" s="94">
        <v>-5555</v>
      </c>
      <c r="D26" s="95">
        <v>-5555</v>
      </c>
      <c r="E26" s="96">
        <v>-5555</v>
      </c>
      <c r="H26" s="14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3"/>
      <c r="B28" s="38" t="s">
        <v>156</v>
      </c>
      <c r="C28" s="90">
        <v>-5555</v>
      </c>
      <c r="D28" s="90">
        <v>0</v>
      </c>
      <c r="E28" s="91">
        <v>-5555</v>
      </c>
      <c r="H28" s="14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43"/>
      <c r="B29" s="38" t="s">
        <v>157</v>
      </c>
      <c r="C29" s="90">
        <v>-5555</v>
      </c>
      <c r="D29" s="92">
        <v>-5555</v>
      </c>
      <c r="E29" s="91">
        <v>-5555</v>
      </c>
      <c r="H29" s="14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3"/>
      <c r="B30" s="38" t="s">
        <v>158</v>
      </c>
      <c r="C30" s="90">
        <v>0.02</v>
      </c>
      <c r="D30" s="90">
        <v>-0.5</v>
      </c>
      <c r="E30" s="91">
        <v>-5555</v>
      </c>
      <c r="H30" s="14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3"/>
      <c r="B31" s="38" t="s">
        <v>159</v>
      </c>
      <c r="C31" s="90">
        <v>-5555</v>
      </c>
      <c r="D31" s="90">
        <v>0.3</v>
      </c>
      <c r="E31" s="91">
        <v>-5555</v>
      </c>
      <c r="H31" s="14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43"/>
      <c r="B32" s="38" t="s">
        <v>160</v>
      </c>
      <c r="C32" s="90">
        <v>-5555</v>
      </c>
      <c r="D32" s="92">
        <v>-5555</v>
      </c>
      <c r="E32" s="91">
        <v>-5555</v>
      </c>
      <c r="H32" s="14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3"/>
      <c r="B33" s="38" t="s">
        <v>161</v>
      </c>
      <c r="C33" s="90">
        <v>1E-3</v>
      </c>
      <c r="D33" s="90">
        <v>-1.5</v>
      </c>
      <c r="E33" s="91">
        <v>-5555</v>
      </c>
      <c r="H33" s="14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3"/>
      <c r="B34" s="38" t="s">
        <v>162</v>
      </c>
      <c r="C34" s="90">
        <v>-5555</v>
      </c>
      <c r="D34" s="90">
        <v>-0.05</v>
      </c>
      <c r="E34" s="91">
        <v>-5555</v>
      </c>
      <c r="H34" s="14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43"/>
      <c r="B35" s="38" t="s">
        <v>163</v>
      </c>
      <c r="C35" s="90">
        <v>-5555</v>
      </c>
      <c r="D35" s="92">
        <v>-5555</v>
      </c>
      <c r="E35" s="91">
        <v>-5555</v>
      </c>
      <c r="H35" s="14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3"/>
      <c r="B36" s="38" t="s">
        <v>164</v>
      </c>
      <c r="C36" s="90">
        <v>0</v>
      </c>
      <c r="D36" s="90">
        <v>-0.3</v>
      </c>
      <c r="E36" s="91">
        <v>-5555</v>
      </c>
      <c r="H36" s="14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3"/>
      <c r="B37" s="38" t="s">
        <v>165</v>
      </c>
      <c r="C37" s="90">
        <v>-5555</v>
      </c>
      <c r="D37" s="90">
        <v>0</v>
      </c>
      <c r="E37" s="91">
        <v>-5555</v>
      </c>
      <c r="H37" s="14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4"/>
      <c r="B38" s="93" t="s">
        <v>166</v>
      </c>
      <c r="C38" s="94">
        <v>-5555</v>
      </c>
      <c r="D38" s="95">
        <v>-5555</v>
      </c>
      <c r="E38" s="96">
        <v>-5555</v>
      </c>
      <c r="H38" s="14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4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4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40"/>
      <c r="B40" s="38" t="s">
        <v>168</v>
      </c>
      <c r="C40" s="90">
        <v>-5555</v>
      </c>
      <c r="D40" s="90">
        <v>-1000</v>
      </c>
      <c r="E40" s="91">
        <v>-5555</v>
      </c>
      <c r="H40" s="14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40"/>
      <c r="B41" s="38" t="s">
        <v>169</v>
      </c>
      <c r="C41" s="90">
        <v>-5555</v>
      </c>
      <c r="D41" s="92">
        <v>-5555</v>
      </c>
      <c r="E41" s="91">
        <v>-5555</v>
      </c>
      <c r="H41" s="14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40"/>
      <c r="B42" s="38" t="s">
        <v>170</v>
      </c>
      <c r="C42" s="90">
        <v>1E-3</v>
      </c>
      <c r="D42" s="90">
        <v>-0.5</v>
      </c>
      <c r="E42" s="91">
        <v>-5555</v>
      </c>
      <c r="H42" s="14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40"/>
      <c r="B43" s="38" t="s">
        <v>171</v>
      </c>
      <c r="C43" s="90">
        <v>-5555</v>
      </c>
      <c r="D43" s="90">
        <v>1E-3</v>
      </c>
      <c r="E43" s="91">
        <v>-5555</v>
      </c>
      <c r="H43" s="14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40"/>
      <c r="B44" s="38" t="s">
        <v>172</v>
      </c>
      <c r="C44" s="90">
        <v>-5555</v>
      </c>
      <c r="D44" s="92">
        <v>-5555</v>
      </c>
      <c r="E44" s="91">
        <v>-5555</v>
      </c>
      <c r="H44" s="14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40"/>
      <c r="B45" s="38" t="s">
        <v>89</v>
      </c>
      <c r="C45" s="90">
        <v>1E-4</v>
      </c>
      <c r="D45" s="90">
        <v>0</v>
      </c>
      <c r="E45" s="91">
        <v>-5555</v>
      </c>
      <c r="H45" s="14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40"/>
      <c r="B46" s="38" t="s">
        <v>173</v>
      </c>
      <c r="C46" s="90">
        <v>-5555</v>
      </c>
      <c r="D46" s="90">
        <v>-0.03</v>
      </c>
      <c r="E46" s="91">
        <v>-5555</v>
      </c>
      <c r="H46" s="14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40"/>
      <c r="B47" s="38" t="s">
        <v>174</v>
      </c>
      <c r="C47" s="90">
        <v>-5555</v>
      </c>
      <c r="D47" s="92">
        <v>-5555</v>
      </c>
      <c r="E47" s="91">
        <v>-5555</v>
      </c>
      <c r="H47" s="14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40"/>
      <c r="B48" s="38" t="s">
        <v>175</v>
      </c>
      <c r="C48" s="90">
        <v>0</v>
      </c>
      <c r="D48" s="90">
        <v>-0.5</v>
      </c>
      <c r="E48" s="91">
        <v>-5555</v>
      </c>
      <c r="H48" s="14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40"/>
      <c r="B49" s="38" t="s">
        <v>176</v>
      </c>
      <c r="C49" s="90">
        <v>-5555</v>
      </c>
      <c r="D49" s="90">
        <v>-0.5</v>
      </c>
      <c r="E49" s="91">
        <v>-5555</v>
      </c>
      <c r="H49" s="14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41"/>
      <c r="B50" s="93" t="s">
        <v>177</v>
      </c>
      <c r="C50" s="94">
        <v>-5555</v>
      </c>
      <c r="D50" s="95">
        <v>-5555</v>
      </c>
      <c r="E50" s="96">
        <v>-5555</v>
      </c>
      <c r="H50" s="14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46"/>
      <c r="B1" s="147"/>
      <c r="C1" s="99">
        <v>0</v>
      </c>
      <c r="D1" s="100">
        <v>1</v>
      </c>
      <c r="E1" s="101">
        <v>2</v>
      </c>
      <c r="F1" s="39"/>
      <c r="H1" s="146"/>
      <c r="I1" s="14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8"/>
      <c r="B2" s="149"/>
      <c r="C2" s="37" t="s">
        <v>75</v>
      </c>
      <c r="D2" s="98" t="s">
        <v>75</v>
      </c>
      <c r="E2" s="97" t="s">
        <v>75</v>
      </c>
      <c r="H2" s="148"/>
      <c r="I2" s="149"/>
      <c r="J2" s="37" t="s">
        <v>76</v>
      </c>
      <c r="K2" s="98" t="s">
        <v>76</v>
      </c>
      <c r="L2" s="97" t="s">
        <v>76</v>
      </c>
    </row>
    <row r="3" spans="1:13" x14ac:dyDescent="0.15">
      <c r="A3" s="14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43"/>
      <c r="B4" s="38" t="s">
        <v>137</v>
      </c>
      <c r="C4" s="90">
        <v>-5555</v>
      </c>
      <c r="D4" s="90">
        <v>30</v>
      </c>
      <c r="E4" s="91">
        <v>-5555</v>
      </c>
      <c r="H4" s="14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3"/>
      <c r="B5" s="38" t="s">
        <v>138</v>
      </c>
      <c r="C5" s="90">
        <v>-5555</v>
      </c>
      <c r="D5" s="92">
        <v>-5555</v>
      </c>
      <c r="E5" s="91">
        <v>-5555</v>
      </c>
      <c r="H5" s="14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3"/>
      <c r="B6" s="38" t="s">
        <v>139</v>
      </c>
      <c r="C6" s="90">
        <v>3</v>
      </c>
      <c r="D6" s="90">
        <v>0</v>
      </c>
      <c r="E6" s="91">
        <v>7.2110000000000003</v>
      </c>
      <c r="H6" s="14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43"/>
      <c r="B7" s="38" t="s">
        <v>85</v>
      </c>
      <c r="C7" s="90">
        <v>-5555</v>
      </c>
      <c r="D7" s="90">
        <v>3</v>
      </c>
      <c r="E7" s="91">
        <v>-11.798</v>
      </c>
      <c r="H7" s="14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43"/>
      <c r="B8" s="38" t="s">
        <v>87</v>
      </c>
      <c r="C8" s="90">
        <v>-5555</v>
      </c>
      <c r="D8" s="92">
        <v>-5555</v>
      </c>
      <c r="E8" s="91">
        <v>-2.44</v>
      </c>
      <c r="H8" s="14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3"/>
      <c r="B9" s="38" t="s">
        <v>86</v>
      </c>
      <c r="C9" s="90">
        <v>0.1</v>
      </c>
      <c r="D9" s="90">
        <v>-2.4</v>
      </c>
      <c r="E9" s="91">
        <v>-5555</v>
      </c>
      <c r="H9" s="14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43"/>
      <c r="B10" s="38" t="s">
        <v>140</v>
      </c>
      <c r="C10" s="90">
        <v>-5555</v>
      </c>
      <c r="D10" s="90">
        <v>0.5</v>
      </c>
      <c r="E10" s="91">
        <v>-5555</v>
      </c>
      <c r="H10" s="14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43"/>
      <c r="B11" s="38" t="s">
        <v>141</v>
      </c>
      <c r="C11" s="90">
        <v>-5555</v>
      </c>
      <c r="D11" s="92">
        <v>-5555</v>
      </c>
      <c r="E11" s="91">
        <v>-5555</v>
      </c>
      <c r="H11" s="14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3"/>
      <c r="B12" s="38" t="s">
        <v>142</v>
      </c>
      <c r="C12" s="90">
        <v>0</v>
      </c>
      <c r="D12" s="90">
        <v>-1.5</v>
      </c>
      <c r="E12" s="91">
        <v>-5555</v>
      </c>
      <c r="H12" s="14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3"/>
      <c r="B13" s="38" t="s">
        <v>143</v>
      </c>
      <c r="C13" s="90">
        <v>-5555</v>
      </c>
      <c r="D13" s="90">
        <v>0</v>
      </c>
      <c r="E13" s="91">
        <v>-5555</v>
      </c>
      <c r="H13" s="14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4"/>
      <c r="B14" s="93" t="s">
        <v>144</v>
      </c>
      <c r="C14" s="94">
        <v>-5555</v>
      </c>
      <c r="D14" s="95">
        <v>-5555</v>
      </c>
      <c r="E14" s="96">
        <v>-5555</v>
      </c>
      <c r="H14" s="14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40"/>
      <c r="B16" s="38" t="s">
        <v>145</v>
      </c>
      <c r="C16" s="90">
        <v>-5555</v>
      </c>
      <c r="D16" s="90">
        <v>5</v>
      </c>
      <c r="E16" s="91">
        <v>-5555</v>
      </c>
      <c r="H16" s="14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40"/>
      <c r="B17" s="38" t="s">
        <v>90</v>
      </c>
      <c r="C17" s="90">
        <v>-5555</v>
      </c>
      <c r="D17" s="92">
        <v>-5555</v>
      </c>
      <c r="E17" s="91">
        <v>-5555</v>
      </c>
      <c r="H17" s="14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40"/>
      <c r="B18" s="38" t="s">
        <v>146</v>
      </c>
      <c r="C18" s="90">
        <v>0.02</v>
      </c>
      <c r="D18" s="90">
        <v>-0.1</v>
      </c>
      <c r="E18" s="91">
        <v>-5555</v>
      </c>
      <c r="H18" s="14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40"/>
      <c r="B19" s="38" t="s">
        <v>147</v>
      </c>
      <c r="C19" s="90">
        <v>-5555</v>
      </c>
      <c r="D19" s="90">
        <v>0.1</v>
      </c>
      <c r="E19" s="91">
        <v>-5555</v>
      </c>
      <c r="H19" s="14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40"/>
      <c r="B20" s="38" t="s">
        <v>148</v>
      </c>
      <c r="C20" s="90">
        <v>-5555</v>
      </c>
      <c r="D20" s="92">
        <v>-5555</v>
      </c>
      <c r="E20" s="91">
        <v>-5555</v>
      </c>
      <c r="H20" s="14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40"/>
      <c r="B21" s="38" t="s">
        <v>149</v>
      </c>
      <c r="C21" s="90">
        <v>0.01</v>
      </c>
      <c r="D21" s="90">
        <v>-0.2</v>
      </c>
      <c r="E21" s="91">
        <v>-5555</v>
      </c>
      <c r="H21" s="14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40"/>
      <c r="B22" s="38" t="s">
        <v>150</v>
      </c>
      <c r="C22" s="90">
        <v>-5555</v>
      </c>
      <c r="D22" s="90">
        <v>0.01</v>
      </c>
      <c r="E22" s="91">
        <v>-5555</v>
      </c>
      <c r="H22" s="14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40"/>
      <c r="B23" s="38" t="s">
        <v>151</v>
      </c>
      <c r="C23" s="90">
        <v>-5555</v>
      </c>
      <c r="D23" s="92">
        <v>-5555</v>
      </c>
      <c r="E23" s="91">
        <v>-5555</v>
      </c>
      <c r="H23" s="14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40"/>
      <c r="B24" s="38" t="s">
        <v>152</v>
      </c>
      <c r="C24" s="90">
        <v>0</v>
      </c>
      <c r="D24" s="90">
        <v>0</v>
      </c>
      <c r="E24" s="91">
        <v>-5555</v>
      </c>
      <c r="H24" s="14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40"/>
      <c r="B25" s="38" t="s">
        <v>153</v>
      </c>
      <c r="C25" s="90">
        <v>-5555</v>
      </c>
      <c r="D25" s="90">
        <v>0</v>
      </c>
      <c r="E25" s="91">
        <v>-5555</v>
      </c>
      <c r="H25" s="14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41"/>
      <c r="B26" s="93" t="s">
        <v>155</v>
      </c>
      <c r="C26" s="94">
        <v>-5555</v>
      </c>
      <c r="D26" s="95">
        <v>-5555</v>
      </c>
      <c r="E26" s="96">
        <v>-5555</v>
      </c>
      <c r="H26" s="14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3"/>
      <c r="B28" s="38" t="s">
        <v>156</v>
      </c>
      <c r="C28" s="90">
        <v>-5555</v>
      </c>
      <c r="D28" s="90">
        <v>0</v>
      </c>
      <c r="E28" s="91">
        <v>-5555</v>
      </c>
      <c r="H28" s="14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43"/>
      <c r="B29" s="38" t="s">
        <v>157</v>
      </c>
      <c r="C29" s="90">
        <v>-5555</v>
      </c>
      <c r="D29" s="92">
        <v>-5555</v>
      </c>
      <c r="E29" s="91">
        <v>-5555</v>
      </c>
      <c r="H29" s="14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3"/>
      <c r="B30" s="38" t="s">
        <v>158</v>
      </c>
      <c r="C30" s="90">
        <v>0.02</v>
      </c>
      <c r="D30" s="90">
        <v>0</v>
      </c>
      <c r="E30" s="91">
        <v>-5555</v>
      </c>
      <c r="H30" s="14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3"/>
      <c r="B31" s="38" t="s">
        <v>159</v>
      </c>
      <c r="C31" s="90">
        <v>-5555</v>
      </c>
      <c r="D31" s="90">
        <v>0.3</v>
      </c>
      <c r="E31" s="91">
        <v>-5555</v>
      </c>
      <c r="H31" s="14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43"/>
      <c r="B32" s="38" t="s">
        <v>160</v>
      </c>
      <c r="C32" s="90">
        <v>-5555</v>
      </c>
      <c r="D32" s="92">
        <v>-5555</v>
      </c>
      <c r="E32" s="91">
        <v>-5555</v>
      </c>
      <c r="H32" s="14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3"/>
      <c r="B33" s="38" t="s">
        <v>161</v>
      </c>
      <c r="C33" s="90">
        <v>1E-3</v>
      </c>
      <c r="D33" s="90">
        <v>-1.5</v>
      </c>
      <c r="E33" s="91">
        <v>-5555</v>
      </c>
      <c r="H33" s="14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3"/>
      <c r="B34" s="38" t="s">
        <v>162</v>
      </c>
      <c r="C34" s="90">
        <v>-5555</v>
      </c>
      <c r="D34" s="90">
        <v>-0.05</v>
      </c>
      <c r="E34" s="91">
        <v>-5555</v>
      </c>
      <c r="H34" s="14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43"/>
      <c r="B35" s="38" t="s">
        <v>163</v>
      </c>
      <c r="C35" s="90">
        <v>-5555</v>
      </c>
      <c r="D35" s="92">
        <v>-5555</v>
      </c>
      <c r="E35" s="91">
        <v>-5555</v>
      </c>
      <c r="H35" s="14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3"/>
      <c r="B36" s="38" t="s">
        <v>164</v>
      </c>
      <c r="C36" s="90">
        <v>0</v>
      </c>
      <c r="D36" s="90">
        <v>-0.3</v>
      </c>
      <c r="E36" s="91">
        <v>-5555</v>
      </c>
      <c r="H36" s="14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3"/>
      <c r="B37" s="38" t="s">
        <v>165</v>
      </c>
      <c r="C37" s="90">
        <v>-5555</v>
      </c>
      <c r="D37" s="90">
        <v>0</v>
      </c>
      <c r="E37" s="91">
        <v>-5555</v>
      </c>
      <c r="H37" s="14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4"/>
      <c r="B38" s="93" t="s">
        <v>166</v>
      </c>
      <c r="C38" s="94">
        <v>-5555</v>
      </c>
      <c r="D38" s="95">
        <v>-5555</v>
      </c>
      <c r="E38" s="96">
        <v>-5555</v>
      </c>
      <c r="H38" s="14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4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4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40"/>
      <c r="B40" s="38" t="s">
        <v>168</v>
      </c>
      <c r="C40" s="90">
        <v>-5555</v>
      </c>
      <c r="D40" s="90">
        <v>-1000</v>
      </c>
      <c r="E40" s="91">
        <v>-5555</v>
      </c>
      <c r="H40" s="14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40"/>
      <c r="B41" s="38" t="s">
        <v>169</v>
      </c>
      <c r="C41" s="90">
        <v>-5555</v>
      </c>
      <c r="D41" s="92">
        <v>-5555</v>
      </c>
      <c r="E41" s="91">
        <v>-5555</v>
      </c>
      <c r="H41" s="14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40"/>
      <c r="B42" s="38" t="s">
        <v>170</v>
      </c>
      <c r="C42" s="90">
        <v>1E-3</v>
      </c>
      <c r="D42" s="90">
        <v>-0.05</v>
      </c>
      <c r="E42" s="91">
        <v>-5555</v>
      </c>
      <c r="H42" s="14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40"/>
      <c r="B43" s="38" t="s">
        <v>171</v>
      </c>
      <c r="C43" s="90">
        <v>-5555</v>
      </c>
      <c r="D43" s="90">
        <v>1E-3</v>
      </c>
      <c r="E43" s="91">
        <v>-5555</v>
      </c>
      <c r="H43" s="14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40"/>
      <c r="B44" s="38" t="s">
        <v>172</v>
      </c>
      <c r="C44" s="90">
        <v>-5555</v>
      </c>
      <c r="D44" s="92">
        <v>-5555</v>
      </c>
      <c r="E44" s="91">
        <v>-5555</v>
      </c>
      <c r="H44" s="14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40"/>
      <c r="B45" s="38" t="s">
        <v>89</v>
      </c>
      <c r="C45" s="90">
        <v>1E-4</v>
      </c>
      <c r="D45" s="90">
        <v>0</v>
      </c>
      <c r="E45" s="91">
        <v>-5555</v>
      </c>
      <c r="H45" s="14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40"/>
      <c r="B46" s="38" t="s">
        <v>173</v>
      </c>
      <c r="C46" s="90">
        <v>-5555</v>
      </c>
      <c r="D46" s="90">
        <v>-0.03</v>
      </c>
      <c r="E46" s="91">
        <v>-5555</v>
      </c>
      <c r="H46" s="14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40"/>
      <c r="B47" s="38" t="s">
        <v>174</v>
      </c>
      <c r="C47" s="90">
        <v>-5555</v>
      </c>
      <c r="D47" s="92">
        <v>-5555</v>
      </c>
      <c r="E47" s="91">
        <v>-5555</v>
      </c>
      <c r="H47" s="14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40"/>
      <c r="B48" s="38" t="s">
        <v>175</v>
      </c>
      <c r="C48" s="90">
        <v>0</v>
      </c>
      <c r="D48" s="90">
        <v>-0.5</v>
      </c>
      <c r="E48" s="91">
        <v>-5555</v>
      </c>
      <c r="H48" s="14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40"/>
      <c r="B49" s="38" t="s">
        <v>176</v>
      </c>
      <c r="C49" s="90">
        <v>-5555</v>
      </c>
      <c r="D49" s="90">
        <v>-0.5</v>
      </c>
      <c r="E49" s="91">
        <v>-5555</v>
      </c>
      <c r="H49" s="14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41"/>
      <c r="B50" s="93" t="s">
        <v>177</v>
      </c>
      <c r="C50" s="94">
        <v>-5555</v>
      </c>
      <c r="D50" s="95">
        <v>-5555</v>
      </c>
      <c r="E50" s="96">
        <v>-5555</v>
      </c>
      <c r="H50" s="14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2021-12-09T11:06:28Z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