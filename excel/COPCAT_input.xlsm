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F6EE0383-8598-4454-AB8F-15A66317E17C}" xr6:coauthVersionLast="47" xr6:coauthVersionMax="47" xr10:uidLastSave="{00000000-0000-0000-0000-000000000000}"/>
  <bookViews>
    <workbookView minimized="1" xWindow="1800" yWindow="1020" windowWidth="27000" windowHeight="14580" tabRatio="734" activeTab="5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Q74" i="125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5" i="125" l="1"/>
  <c r="L74" i="125" s="1"/>
  <c r="P83" i="125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AC5" i="125"/>
  <c r="O44" i="125"/>
  <c r="M43" i="125"/>
  <c r="O79" i="125"/>
  <c r="M78" i="125"/>
  <c r="O83" i="125"/>
  <c r="AB5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O4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X5" i="125" l="1"/>
  <c r="AL5" i="125"/>
  <c r="AF5" i="125"/>
  <c r="AI5" i="125"/>
  <c r="AA5" i="125"/>
  <c r="AO5" i="125"/>
  <c r="AE5" i="125"/>
  <c r="AD5" i="125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<sst xmlns="http://schemas.openxmlformats.org/spreadsheetml/2006/main" count="1882" uniqueCount="500">
  <si>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</si>
  <si>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</si>
  <si>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</si>
  <si>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</si>
  <si>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</si>
  <si>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</si>
  <si>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</si>
  <si>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</si>
  <si>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</si>
  <si>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</si>
  <si>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</si>
  <si>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</si>
  <si>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</si>
  <si>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</si>
  <si>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</si>
  <si>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</si>
  <si>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</si>
  <si>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</si>
  <si>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</si>
  <si>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</si>
  <si>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</si>
  <si>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</si>
  <si>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</si>
  <si>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</si>
  <si>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</si>
  <si>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</si>
  <si>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</si>
  <si>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</si>
  <si>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</si>
  <si>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</si>
  <si>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</si>
  <si>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</si>
  <si>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</si>
  <si>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</si>
  <si>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</si>
  <si>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</si>
  <si>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</si>
  <si>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</si>
  <si>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</si>
  <si>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</si>
  <si>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</si>
  <si>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</si>
  <si>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</si>
  <si>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</si>
  <si>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</si>
  <si>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</si>
  <si>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</si>
  <si>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</si>
  <si>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</si>
  <si>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</si>
  <si>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</si>
  <si>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</si>
  <si>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</si>
  <si>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</si>
  <si>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</si>
  <si>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</si>
  <si>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</si>
  <si>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</si>
  <si>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</si>
  <si>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</si>
  <si>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</si>
  <si>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</si>
  <si>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</si>
  <si>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</si>
  <si>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</si>
  <si>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</si>
  <si>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</si>
  <si>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</si>
  <si>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</si>
  <si>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</si>
  <si>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</si>
  <si>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</si>
  <si>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</si>
  <si>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</si>
  <si>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</si>
  <si>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</si>
  <si>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</si>
  <si>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</si>
  <si>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</si>
  <si>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</si>
  <si>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</si>
  <si>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</si>
  <si>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</si>
  <si>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</si>
  <si>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</si>
  <si>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</si>
  <si>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</si>
  <si>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</si>
  <si>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</si>
  <si>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</si>
  <si>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</si>
  <si>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</si>
  <si>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</si>
  <si>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</si>
  <si>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</si>
  <si>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</si>
  <si>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</si>
  <si>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</si>
  <si>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</si>
  <si>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</si>
  <si>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</si>
  <si>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</si>
  <si>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</si>
  <si>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</si>
  <si>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</si>
  <si>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</si>
  <si>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</si>
  <si>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</si>
  <si>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</si>
  <si>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</si>
  <si>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</si>
  <si>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</si>
  <si>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</si>
  <si>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</si>
  <si>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</si>
  <si>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</si>
  <si>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</si>
  <si>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</si>
  <si>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</si>
  <si>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</si>
  <si>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</si>
  <si>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</si>
  <si>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</si>
  <si>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</si>
  <si>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</si>
  <si>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</si>
  <si>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</si>
  <si>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</si>
  <si>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</si>
  <si>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</si>
  <si>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</si>
  <si>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</si>
  <si>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</si>
  <si>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</si>
  <si>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</si>
  <si>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</si>
  <si>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</si>
  <si>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</si>
  <si>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</si>
  <si>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</si>
  <si>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</si>
  <si>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</si>
  <si>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</si>
  <si>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</si>
  <si>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</si>
  <si>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</si>
  <si>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</si>
  <si>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</si>
  <si>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</si>
  <si>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</si>
  <si>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</si>
  <si>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</si>
  <si>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</si>
  <si>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</si>
  <si>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</si>
  <si>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</si>
  <si>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</si>
  <si>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</si>
  <si>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</si>
  <si>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</si>
  <si>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</si>
  <si>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</si>
  <si>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</si>
  <si>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</si>
  <si>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</si>
  <si>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</si>
  <si>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</si>
  <si>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</si>
  <si>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</si>
  <si>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</si>
  <si>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</si>
  <si>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</si>
  <si>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</si>
  <si>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</si>
  <si>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</si>
  <si>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</si>
  <si>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</si>
  <si>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</si>
  <si>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</si>
  <si>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</si>
  <si>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</si>
  <si>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</si>
  <si>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</si>
  <si>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</si>
  <si>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</si>
  <si>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</si>
  <si>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</si>
  <si>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</si>
  <si>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</si>
  <si>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</si>
  <si>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</si>
  <si>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</si>
  <si>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</si>
  <si>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</si>
  <si>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</si>
  <si>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</si>
  <si>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</si>
  <si>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</si>
  <si>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</si>
  <si>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</si>
  <si>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</si>
  <si>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</si>
  <si>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</si>
  <si>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</si>
  <si>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</si>
  <si>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</si>
  <si>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</si>
  <si>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</si>
  <si>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</si>
  <si>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</si>
  <si>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</si>
  <si>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</si>
  <si>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</si>
  <si>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</si>
  <si>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</si>
  <si>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</si>
  <si>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</si>
  <si>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</si>
  <si>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</si>
  <si>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</si>
  <si>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</si>
  <si>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</si>
  <si>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</si>
  <si>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</si>
  <si>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</si>
  <si>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</si>
  <si>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</si>
  <si>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</si>
  <si>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</si>
  <si>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</si>
  <si>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</si>
  <si>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</si>
  <si>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</si>
  <si>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</si>
  <si>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</si>
  <si>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</si>
  <si>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</si>
  <si>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</si>
  <si>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</si>
  <si>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</si>
  <si>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</si>
  <si>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</si>
  <si>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</si>
  <si>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</si>
  <si>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</si>
  <si>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</si>
  <si>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</si>
  <si>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</si>
  <si>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</si>
  <si>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</si>
  <si>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</si>
  <si>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</si>
  <si>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</si>
  <si>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</si>
  <si>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</si>
  <si>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</si>
  <si>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</si>
  <si>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</si>
  <si>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</si>
  <si>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</si>
  <si>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</si>
  <si>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</si>
  <si>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</si>
  <si>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</si>
  <si>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</si>
  <si>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</si>
  <si>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</si>
  <si>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</si>
  <si>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</si>
  <si>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</si>
  <si>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</si>
  <si>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</si>
  <si>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</si>
  <si>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</si>
  <si>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</si>
  <si>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</si>
  <si>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</si>
  <si>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</si>
  <si>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</si>
  <si>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</si>
  <si>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</si>
  <si>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</si>
  <si>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</si>
  <si>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</si>
  <si>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</si>
  <si>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</si>
  <si>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</si>
  <si>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</si>
  <si>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</si>
  <si>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</si>
  <si>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</si>
  <si>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</si>
  <si>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</si>
  <si>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</si>
  <si>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</si>
  <si>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</si>
  <si>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</si>
  <si>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</si>
  <si>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</si>
  <si>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</si>
  <si>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</si>
  <si>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</si>
  <si>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</si>
  <si>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</si>
  <si>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</si>
  <si>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</si>
  <si>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</si>
  <si>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</si>
  <si>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</si>
  <si>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</si>
  <si>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</si>
  <si>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</si>
  <si>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</si>
  <si>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</si>
  <si>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</si>
  <si>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</si>
  <si>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</si>
  <si>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</si>
  <si>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</si>
  <si>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</si>
  <si>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</si>
  <si>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</si>
  <si>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</si>
  <si>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</si>
  <si>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</si>
  <si>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</si>
  <si>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</si>
  <si>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</si>
  <si>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</si>
  <si>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</si>
  <si>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</si>
  <si>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</si>
  <si>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</si>
  <si>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</si>
  <si>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</si>
  <si>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</si>
  <si>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</si>
  <si>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</si>
  <si>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</si>
  <si>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</si>
  <si>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</si>
  <si>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</si>
  <si>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</si>
  <si>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</si>
  <si>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</si>
  <si>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</si>
  <si>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</si>
  <si>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</si>
  <si>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</si>
  <si>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</si>
  <si>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</si>
  <si>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</si>
  <si>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</si>
  <si>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</si>
  <si>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</si>
  <si>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</si>
  <si>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</si>
  <si>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</si>
  <si>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</si>
  <si>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</si>
  <si>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</si>
  <si>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</si>
  <si>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</si>
  <si>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</si>
  <si>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</si>
  <si>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</si>
  <si>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</si>
  <si>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</si>
  <si>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</si>
  <si>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</si>
  <si>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</si>
  <si>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</si>
  <si>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</si>
  <si>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</si>
  <si>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</si>
  <si>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</si>
  <si>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</si>
  <si>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</si>
  <si>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</si>
  <si>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</si>
  <si>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</si>
  <si>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</si>
  <si>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</si>
  <si>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</si>
  <si>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</si>
  <si>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</si>
  <si>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</si>
  <si>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</si>
  <si>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</si>
  <si>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</si>
  <si>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</si>
  <si>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</si>
  <si>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</si>
  <si>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</si>
  <si>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</si>
  <si>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</si>
  <si>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</si>
  <si>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</si>
  <si>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</si>
  <si>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</si>
  <si>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</si>
  <si>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</si>
  <si>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</si>
  <si>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</si>
  <si>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</si>
  <si>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</si>
  <si>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</si>
  <si>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</si>
  <si>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</si>
  <si>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</si>
  <si>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</si>
  <si>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</si>
  <si>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</si>
  <si>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</si>
  <si>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</si>
  <si>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</si>
  <si>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</si>
  <si>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</si>
  <si>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</si>
  <si>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</si>
  <si>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</si>
  <si>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</si>
  <si>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</si>
  <si>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</si>
  <si>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</si>
  <si>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</si>
  <si>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</si>
  <si>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</si>
  <si>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</si>
  <si>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</si>
  <si>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</si>
  <si>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</si>
  <si>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</si>
  <si>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</si>
  <si>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</si>
  <si>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</si>
  <si>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</si>
  <si>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</si>
  <si>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</si>
  <si>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</si>
  <si>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</si>
  <si>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</si>
  <si>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</si>
  <si>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</si>
  <si>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</si>
  <si>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</si>
  <si>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</si>
  <si>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</si>
  <si>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</si>
  <si>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</si>
  <si>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</si>
  <si>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</si>
  <si>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</si>
  <si>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</si>
  <si>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</si>
  <si>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</si>
  <si>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</si>
  <si>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</si>
  <si>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</si>
  <si>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</si>
  <si>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</si>
  <si>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</si>
  <si>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</si>
  <si>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</si>
  <si>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</si>
  <si>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</si>
  <si>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</si>
  <si>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</si>
  <si>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</si>
  <si>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</si>
  <si>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</si>
  <si>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</si>
  <si>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</si>
  <si>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</si>
  <si>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</si>
  <si>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</si>
  <si>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</si>
  <si>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</si>
  <si>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</si>
  <si>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</si>
  <si>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</si>
  <si>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</si>
  <si>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</si>
  <si>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</si>
  <si>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</si>
  <si>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</si>
  <si>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</si>
  <si>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</si>
  <si>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</si>
  <si>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</si>
  <si>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</si>
  <si>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</si>
  <si>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</si>
  <si>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Zhang</t>
  </si>
  <si>
    <t>Cyclic_batch</t>
  </si>
  <si>
    <t>min_CSR</t>
  </si>
  <si>
    <t>Batch2a_OCR-16_Ip-16</t>
  </si>
  <si>
    <t>Batch2c_OCR-8_Ip-37</t>
  </si>
  <si>
    <t>CF_OCR</t>
  </si>
  <si>
    <t>CF_Dr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</si>
</sst>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436245</xdr:colOff>
      <xdr:row>55</xdr:row>
      <xdr:rowOff>123825</xdr:rowOff>
    </xdr:from>
    <xdr:to>
      <xdr:col>2</xdr:col>
      <xdr:colOff>319405</xdr:colOff>
      <xdr:row>77</xdr:row>
      <xdr:rowOff>20171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" y="9334500"/>
          <a:ext cx="295973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zoomScaleNormal="100" workbookViewId="0">
      <selection activeCell="E62" sqref="E62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184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467</v>
      </c>
      <c r="E4" s="147">
        <v>1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185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81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11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189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.75" thickBot="1" x14ac:dyDescent="0.3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.75" thickBot="1" x14ac:dyDescent="0.3">
      <c r="B45" s="157" t="s">
        <v>491</v>
      </c>
      <c r="C45" s="158"/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B46" s="107" t="s">
        <v>478</v>
      </c>
      <c r="C46" s="108" t="s">
        <v>81</v>
      </c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B47" s="109" t="s">
        <v>479</v>
      </c>
      <c r="C47" s="115" t="s">
        <v>81</v>
      </c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B48" s="111" t="s">
        <v>480</v>
      </c>
      <c r="C48" s="115" t="s">
        <v>481</v>
      </c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2:47" ht="15" x14ac:dyDescent="0.25">
      <c r="B49" s="109" t="s">
        <v>482</v>
      </c>
      <c r="C49" s="115" t="s">
        <v>483</v>
      </c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2:47" ht="15" x14ac:dyDescent="0.25">
      <c r="B50" s="109" t="s">
        <v>484</v>
      </c>
      <c r="C50" s="115" t="s">
        <v>485</v>
      </c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2:47" ht="15" x14ac:dyDescent="0.25">
      <c r="B51" s="109" t="s">
        <v>486</v>
      </c>
      <c r="C51" s="115">
        <v>9.1999999999999993</v>
      </c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2:47" ht="15" x14ac:dyDescent="0.25">
      <c r="B52" s="109" t="s">
        <v>487</v>
      </c>
      <c r="C52" s="115" t="s">
        <v>488</v>
      </c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2:47" ht="15" x14ac:dyDescent="0.25">
      <c r="B53" s="109" t="s">
        <v>489</v>
      </c>
      <c r="C53" s="115" t="s">
        <v>490</v>
      </c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2:47" ht="15.75" thickBot="1" x14ac:dyDescent="0.3">
      <c r="B54" s="113" t="s">
        <v>492</v>
      </c>
      <c r="C54" s="114" t="s">
        <v>493</v>
      </c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2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2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2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2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2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2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2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2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2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2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1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</mergeCells>
  <phoneticPr fontId="22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topLeftCell="A22" zoomScale="85" zoomScaleNormal="85" workbookViewId="0">
      <selection activeCell="D47" sqref="D47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1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Cowden_Clay</v>
      </c>
      <c r="G5" s="2" t="str">
        <f>IF(E5=1,IF('Control Panel'!G4="","",'Control Panel'!G4),"")</f>
        <v>PISA</v>
      </c>
      <c r="H5" s="2" t="str">
        <f>IF(E5=1,IF('Control Panel'!H4="","",'Control Panel'!H4),"")</f>
        <v>NA</v>
      </c>
      <c r="I5" s="2">
        <f>IF(E5=1,IF('Control Panel'!I4="","",'Control Panel'!I4),"")</f>
        <v>0</v>
      </c>
      <c r="J5" s="2" t="str">
        <f>IF(E5=1,IF('Control Panel'!J4="","",'Control Panel'!J4),"")</f>
        <v>Loc_69_Clay_1</v>
      </c>
      <c r="K5" s="26">
        <f>IF(E5=1,IF('Control Panel'!K4="","",'Control Panel'!K4),"")</f>
        <v>1</v>
      </c>
      <c r="L5" s="22">
        <f>IF($K5="","",IF(L$4="","",IF('Control Panel'!L4="",VLOOKUP($F5,'Table Output'!$A:$BW,MATCH(L$4,'Table Output'!$A$1:$BT$1,0),),'Control Panel'!L4)))</f>
        <v>200</v>
      </c>
      <c r="M5" s="22">
        <f>IF($K5="","",IF(M$4="","",IF('Control Panel'!M4="",VLOOKUP($F5,'Table Output'!$A:$BW,MATCH(M$4,'Table Output'!$A$1:$BT$1,0),),'Control Panel'!M4)))</f>
        <v>10.210000000000001</v>
      </c>
      <c r="N5" s="22">
        <f>IF($K5="","",IF(N$4="","",IF('Control Panel'!N4="",VLOOKUP($F5,'Table Output'!$A:$BW,MATCH(N$4,'Table Output'!$A$1:$BT$1,0),),'Control Panel'!N4)))</f>
        <v>-1.1000000000000001</v>
      </c>
      <c r="O5" s="22">
        <f>IF($K5="","",IF(O$4="","",IF('Control Panel'!O4="",VLOOKUP($F5,'Table Output'!$A:$BW,MATCH(O$4,'Table Output'!$A$1:$BT$1,0),),'Control Panel'!O4)))</f>
        <v>-0.05</v>
      </c>
      <c r="P5" s="22">
        <f>IF($K5="","",IF(P$4="","",IF('Control Panel'!P4="",VLOOKUP($F5,'Table Output'!$A:$BW,MATCH(P$4,'Table Output'!$A$1:$BT$1,0),),'Control Panel'!P4)))</f>
        <v>8.1199999999999992</v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>
        <f>IF($K5="","",IF('Control Panel'!W4="",VLOOKUP($F5,'Table Output'!$A$2:$BW$99998,MATCH(W$4,'Table Output'!$A$1:$BT$1,0),),'Control Panel'!W4))</f>
        <v>0</v>
      </c>
      <c r="X5" s="22">
        <f>IF($K5="","",IF('Control Panel'!X4="",VLOOKUP($F5,'Table Output'!$A$2:$BW$99998,MATCH(X$4,'Table Output'!$A$1:$BT$1,0),),'Control Panel'!X4))</f>
        <v>2</v>
      </c>
      <c r="Y5" s="22">
        <f>IF($K5="","",IF('Control Panel'!Y4="",VLOOKUP($F5,'Table Output'!$A$2:$BW$99998,MATCH(Y$4,'Table Output'!$A$1:$BT$1,0),),'Control Panel'!Y4))</f>
        <v>1</v>
      </c>
      <c r="Z5" s="22">
        <f>IF($K5="","",IF('Control Panel'!Z4="",VLOOKUP($F5,'Table Output'!$A$2:$BW$99998,MATCH(Z$4,'Table Output'!$A$1:$BT$1,0),),'Control Panel'!Z4))</f>
        <v>1</v>
      </c>
      <c r="AA5" s="22">
        <f>IF($K5="","",IF('Control Panel'!AA4="",VLOOKUP($F5,'Table Output'!$A$2:$BW$99998,MATCH(AA$4,'Table Output'!$A$1:$BT$1,0),),'Control Panel'!AA4))</f>
        <v>0</v>
      </c>
      <c r="AB5" s="22">
        <f>IF($K5="","",IF('Control Panel'!AB4="",VLOOKUP($F5,'Table Output'!$A$2:$BW$99998,MATCH(AB$4,'Table Output'!$A$1:$BT$1,0),),'Control Panel'!AB4))</f>
        <v>1</v>
      </c>
      <c r="AC5" s="22">
        <f>IF($K5="","",IF('Control Panel'!AC4="",VLOOKUP($F5,'Table Output'!$A$2:$BW$99998,MATCH(AC$4,'Table Output'!$A$1:$BT$1,0),),'Control Panel'!AC4))</f>
        <v>1</v>
      </c>
      <c r="AD5" s="22">
        <f>IF($K5="","",IF('Control Panel'!AD4="",VLOOKUP($F5,'Table Output'!$A$2:$BW$99998,MATCH(AD$4,'Table Output'!$A$1:$BT$1,0),),'Control Panel'!AD4))</f>
        <v>0</v>
      </c>
      <c r="AE5" s="22">
        <f>IF($K5="","",IF('Control Panel'!AE4="",VLOOKUP($F5,'Table Output'!$A$2:$BW$99998,MATCH(AE$4,'Table Output'!$A$1:$BT$1,0),),'Control Panel'!AE4))</f>
        <v>0</v>
      </c>
      <c r="AF5" s="22">
        <f>IF($K5="","",IF('Control Panel'!AF4="",VLOOKUP($F5,'Table Output'!$A$2:$BW$99998,MATCH(AF$4,'Table Output'!$A$1:$BT$1,0),),'Control Panel'!AF4))</f>
        <v>1</v>
      </c>
      <c r="AG5" s="22">
        <f>IF($K5="","",IF('Control Panel'!AG4="",VLOOKUP($F5,'Table Output'!$A$2:$BW$99998,MATCH(AG$4,'Table Output'!$A$1:$BT$1,0),),'Control Panel'!AG4))</f>
        <v>1</v>
      </c>
      <c r="AH5" s="22">
        <f>IF($K5="","",IF('Control Panel'!AH4="",VLOOKUP($F5,'Table Output'!$A$2:$BW$99998,MATCH(AH$4,'Table Output'!$A$1:$BT$1,0),),'Control Panel'!AH4))</f>
        <v>1</v>
      </c>
      <c r="AI5" s="22">
        <f>IF($K5="","",IF('Control Panel'!AI4="",VLOOKUP($F5,'Table Output'!$A$2:$BW$99998,MATCH(AI$4,'Table Output'!$A$1:$BT$1,0),),'Control Panel'!AI4))</f>
        <v>0</v>
      </c>
      <c r="AJ5" s="22">
        <f>IF($K5="","",IF('Control Panel'!AJ4="",VLOOKUP($F5,'Table Output'!$A$2:$BW$99998,MATCH(AJ$4,'Table Output'!$A$1:$BT$1,0),),'Control Panel'!AJ4))</f>
        <v>1</v>
      </c>
      <c r="AK5" s="22">
        <f>IF($K5="","",IF('Control Panel'!AK4="",VLOOKUP($F5,'Table Output'!$A$2:$BW$99998,MATCH(AK$4,'Table Output'!$A$1:$BT$1,0),),'Control Panel'!AK4))</f>
        <v>1</v>
      </c>
      <c r="AL5" s="22">
        <f>IF($K5="","",IF('Control Panel'!AL4="",VLOOKUP($F5,'Table Output'!$A$2:$BW$99998,MATCH(AL$4,'Table Output'!$A$1:$BT$1,0),),'Control Panel'!AL4))</f>
        <v>1</v>
      </c>
      <c r="AN5" s="35">
        <f>K5</f>
        <v>1</v>
      </c>
      <c r="AO5" s="32">
        <f>IF(AO$4="","",IF($K5="","",IF('Control Panel'!AO4="",VLOOKUP($F5,'Table Output'!$A$2:$BW$99998,MATCH(AO$4,'Table Output'!$A$1:$BT$1,0),FALSE),'Control Panel'!AO4)))</f>
        <v>1</v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11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Cowden_Clay</v>
      </c>
      <c r="K38" s="5">
        <f>K5</f>
        <v>1</v>
      </c>
      <c r="L38" s="28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30</v>
      </c>
      <c r="M38" s="28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7.2110000000000003</v>
      </c>
      <c r="N38" s="28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-2.4</v>
      </c>
      <c r="O38" s="28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-1.5</v>
      </c>
      <c r="P38" s="28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>0.5</v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1</v>
      </c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1</v>
      </c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2:63" x14ac:dyDescent="0.15">
      <c r="B54" s="2" t="str">
        <f>'Control Panel'!B54</f>
        <v>Cyclic_style</v>
      </c>
      <c r="C54" s="2" t="str">
        <f>'Control Panel'!C54</f>
        <v>Zhang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>Cowden_Clay</v>
      </c>
      <c r="K73" s="5">
        <f>K38</f>
        <v>1</v>
      </c>
      <c r="L73" s="28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200</v>
      </c>
      <c r="M73" s="28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15.832000000000001</v>
      </c>
      <c r="N73" s="28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8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</v>
      </c>
      <c r="P73" s="28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>14.4</v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X255"/>
  <sheetViews>
    <sheetView tabSelected="1" topLeftCell="AD1" zoomScaleNormal="100" workbookViewId="0">
      <selection activeCell="AV9" sqref="AV9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45" width="9.140625" style="67"/>
    <col min="46" max="46" width="21" style="67" bestFit="1" customWidth="1"/>
    <col min="47" max="47" width="6.28515625" style="67" customWidth="1"/>
    <col min="48" max="16384" width="9.140625" style="67"/>
  </cols>
  <sheetData>
    <row r="1" spans="1:50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50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50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50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  <c r="AT4" s="67" t="s">
        <v>494</v>
      </c>
      <c r="AU4" s="67" t="s">
        <v>486</v>
      </c>
      <c r="AV4" s="67" t="s">
        <v>495</v>
      </c>
      <c r="AW4" s="67" t="s">
        <v>499</v>
      </c>
      <c r="AX4" s="67" t="s">
        <v>498</v>
      </c>
    </row>
    <row r="5" spans="1:50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50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  <c r="AT6" s="67" t="s">
        <v>496</v>
      </c>
      <c r="AU6" s="67">
        <v>5.2</v>
      </c>
      <c r="AV6" s="67">
        <v>0.2</v>
      </c>
      <c r="AW6" s="67">
        <v>1</v>
      </c>
      <c r="AX6" s="67">
        <v>1</v>
      </c>
    </row>
    <row r="7" spans="1:50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  <c r="AT7" s="67" t="s">
        <v>497</v>
      </c>
      <c r="AU7" s="67">
        <v>5.2</v>
      </c>
      <c r="AV7" s="67">
        <v>0.2</v>
      </c>
      <c r="AW7" s="67">
        <v>1</v>
      </c>
      <c r="AX7" s="67">
        <v>1</v>
      </c>
    </row>
    <row r="8" spans="1:50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  <c r="AT8" s="67" t="s">
        <v>496</v>
      </c>
      <c r="AU8" s="67">
        <v>5.2</v>
      </c>
      <c r="AV8" s="67">
        <v>0.2</v>
      </c>
      <c r="AW8" s="67">
        <v>1</v>
      </c>
      <c r="AX8" s="67">
        <v>1</v>
      </c>
    </row>
    <row r="9" spans="1:50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  <c r="AT9" s="67" t="s">
        <v>497</v>
      </c>
      <c r="AU9" s="67">
        <v>5.2</v>
      </c>
      <c r="AV9" s="67">
        <v>0.2</v>
      </c>
      <c r="AW9" s="67">
        <v>1</v>
      </c>
      <c r="AX9" s="67">
        <v>1</v>
      </c>
    </row>
    <row r="10" spans="1:50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  <c r="AT10" s="67" t="s">
        <v>496</v>
      </c>
      <c r="AU10" s="67">
        <v>5.2</v>
      </c>
      <c r="AV10" s="67">
        <v>0.2</v>
      </c>
      <c r="AW10" s="67">
        <v>1</v>
      </c>
      <c r="AX10" s="67">
        <v>1</v>
      </c>
    </row>
    <row r="11" spans="1:50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  <c r="AT11" s="67" t="s">
        <v>497</v>
      </c>
      <c r="AU11" s="67">
        <v>5.2</v>
      </c>
      <c r="AV11" s="67">
        <v>0.2</v>
      </c>
      <c r="AW11" s="67">
        <v>1</v>
      </c>
      <c r="AX11" s="67">
        <v>1</v>
      </c>
    </row>
    <row r="12" spans="1:50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  <c r="AT12" s="67" t="s">
        <v>496</v>
      </c>
      <c r="AU12" s="67">
        <v>5.2</v>
      </c>
      <c r="AV12" s="67">
        <v>0.2</v>
      </c>
      <c r="AW12" s="67">
        <v>1</v>
      </c>
      <c r="AX12" s="67">
        <v>1</v>
      </c>
    </row>
    <row r="13" spans="1:50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  <c r="AT13" s="67" t="s">
        <v>497</v>
      </c>
      <c r="AU13" s="67">
        <v>5.2</v>
      </c>
      <c r="AV13" s="67">
        <v>0.2</v>
      </c>
      <c r="AW13" s="67">
        <v>1</v>
      </c>
      <c r="AX13" s="67">
        <v>1</v>
      </c>
    </row>
    <row r="14" spans="1:50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  <c r="AT14" s="67" t="s">
        <v>496</v>
      </c>
      <c r="AU14" s="67">
        <v>5.2</v>
      </c>
      <c r="AV14" s="67">
        <v>0.2</v>
      </c>
      <c r="AW14" s="67">
        <v>1</v>
      </c>
      <c r="AX14" s="67">
        <v>1</v>
      </c>
    </row>
    <row r="15" spans="1:50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  <c r="AT15" s="67" t="s">
        <v>497</v>
      </c>
      <c r="AU15" s="67">
        <v>5.2</v>
      </c>
      <c r="AV15" s="67">
        <v>0.2</v>
      </c>
      <c r="AW15" s="67">
        <v>1</v>
      </c>
      <c r="AX15" s="67">
        <v>1</v>
      </c>
    </row>
    <row r="16" spans="1:50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  <c r="AT16" s="67" t="s">
        <v>496</v>
      </c>
      <c r="AU16" s="67">
        <v>5.2</v>
      </c>
      <c r="AV16" s="67">
        <v>0.2</v>
      </c>
      <c r="AW16" s="67">
        <v>1</v>
      </c>
      <c r="AX16" s="67">
        <v>1</v>
      </c>
    </row>
    <row r="17" spans="1:46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  <c r="AT17" s="67"/>
    </row>
    <row r="18" spans="1:46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6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6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6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6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6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6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disablePrompts="1"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-120</v>
      </c>
      <c r="E6" s="55">
        <v>7.2110000000000003</v>
      </c>
      <c r="H6" s="170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1</v>
      </c>
      <c r="E7" s="55">
        <v>-11.798</v>
      </c>
      <c r="H7" s="170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-35</v>
      </c>
      <c r="E9" s="55">
        <v>-5555</v>
      </c>
      <c r="H9" s="170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0.2</v>
      </c>
      <c r="E10" s="55">
        <v>-5555</v>
      </c>
      <c r="H10" s="170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-0.5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-0.5</v>
      </c>
      <c r="E42" s="55">
        <v>-5555</v>
      </c>
      <c r="H42" s="167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0</v>
      </c>
      <c r="E6" s="55">
        <v>7.2110000000000003</v>
      </c>
      <c r="H6" s="170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3</v>
      </c>
      <c r="E7" s="55">
        <v>-11.798</v>
      </c>
      <c r="H7" s="170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-2.4</v>
      </c>
      <c r="E9" s="55">
        <v>-5555</v>
      </c>
      <c r="H9" s="170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0.5</v>
      </c>
      <c r="E10" s="55">
        <v>-5555</v>
      </c>
      <c r="H10" s="170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0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-0.05</v>
      </c>
      <c r="E42" s="55">
        <v>-5555</v>
      </c>
      <c r="H42" s="167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2022-03-24T14:01:46Z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