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ode_COWI\COPCAT\excel\"/>
    </mc:Choice>
  </mc:AlternateContent>
  <xr:revisionPtr revIDLastSave="0" documentId="13_ncr:1_{5E95DB31-1AAB-4D0F-A77E-9B141CD7C74E}" xr6:coauthVersionLast="47" xr6:coauthVersionMax="47" xr10:uidLastSave="{00000000-0000-0000-0000-000000000000}"/>
  <bookViews>
    <workbookView xWindow="-108" yWindow="-108" windowWidth="23256" windowHeight="12576" tabRatio="734" activeTab="5" xr2:uid="{00000000-000D-0000-FFFF-FFFF00000000}"/>
  </bookViews>
  <sheets>
    <sheet name="Control Panel" sheetId="124" r:id="rId1"/>
    <sheet name="DataFilter" sheetId="225" r:id="rId2"/>
    <sheet name="Exchange" sheetId="125" r:id="rId3"/>
    <sheet name="Table Output" sheetId="222" r:id="rId4"/>
    <sheet name="S03_NGI_L40" sheetId="241" r:id="rId5"/>
    <sheet name="U03_NGI_L42" sheetId="244" r:id="rId6"/>
    <sheet name="L02_NGI_L40" sheetId="240" r:id="rId7"/>
    <sheet name="U05_AYBR_GHS_L37" sheetId="236" r:id="rId8"/>
    <sheet name="U05_AYBR_GHS_L42" sheetId="237" r:id="rId9"/>
    <sheet name="D2_34_2" sheetId="235" r:id="rId10"/>
    <sheet name="D2_34_NGI" sheetId="231" r:id="rId11"/>
    <sheet name="D2_34_ALS" sheetId="234" r:id="rId12"/>
    <sheet name="D2_34_NFA" sheetId="233" r:id="rId13"/>
    <sheet name="Sequence of the Load iteration " sheetId="232" r:id="rId14"/>
    <sheet name="Loc_69L" sheetId="229" r:id="rId15"/>
    <sheet name="benchmark" sheetId="230" r:id="rId16"/>
    <sheet name="Switch_options_hidden" sheetId="227" r:id="rId17"/>
    <sheet name="Loc_69L_old" sheetId="226" r:id="rId18"/>
    <sheet name="BoundParameters_HiddenSheetSAND" sheetId="133" state="hidden" r:id="rId19"/>
    <sheet name="BoundParameters_HiddenSheetCLAY" sheetId="128" r:id="rId20"/>
  </sheets>
  <definedNames>
    <definedName name="ExternalData_1" localSheetId="3" hidden="1">'Table Output'!$A$1:$BV$12</definedName>
    <definedName name="ExternalData_2" localSheetId="1" hidden="1">DataFilter!$A$1:$E$3526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6" i="124" l="1"/>
  <c r="K7" i="124" s="1"/>
  <c r="K8" i="124" s="1"/>
  <c r="K9" i="124" s="1"/>
  <c r="K10" i="124" s="1"/>
  <c r="K11" i="124" s="1"/>
  <c r="K12" i="124" s="1"/>
  <c r="K13" i="124" s="1"/>
  <c r="K14" i="124" s="1"/>
  <c r="K15" i="124" s="1"/>
  <c r="K16" i="124" s="1"/>
  <c r="K17" i="124" s="1"/>
  <c r="K18" i="124" s="1"/>
  <c r="K19" i="124" s="1"/>
  <c r="K20" i="124" s="1"/>
  <c r="K21" i="124" s="1"/>
  <c r="K22" i="124" s="1"/>
  <c r="K23" i="124" s="1"/>
  <c r="K24" i="124" s="1"/>
  <c r="K5" i="124"/>
  <c r="AG50" i="244"/>
  <c r="AG51" i="244" s="1"/>
  <c r="AG52" i="244" s="1"/>
  <c r="AG53" i="244" s="1"/>
  <c r="AG54" i="244" s="1"/>
  <c r="AG55" i="244" s="1"/>
  <c r="AG56" i="244" s="1"/>
  <c r="AG57" i="244" s="1"/>
  <c r="AG58" i="244" s="1"/>
  <c r="AG59" i="244" s="1"/>
  <c r="AH40" i="244"/>
  <c r="AH41" i="244" s="1"/>
  <c r="AH42" i="244" s="1"/>
  <c r="AH43" i="244" s="1"/>
  <c r="AH44" i="244" s="1"/>
  <c r="AH45" i="244" s="1"/>
  <c r="AH46" i="244" s="1"/>
  <c r="AH47" i="244" s="1"/>
  <c r="AH48" i="244" s="1"/>
  <c r="AH49" i="244" s="1"/>
  <c r="AH50" i="244" s="1"/>
  <c r="AH51" i="244" s="1"/>
  <c r="AH52" i="244" s="1"/>
  <c r="AH53" i="244" s="1"/>
  <c r="AH54" i="244" s="1"/>
  <c r="AH55" i="244" s="1"/>
  <c r="AH56" i="244" s="1"/>
  <c r="AH57" i="244" s="1"/>
  <c r="AH58" i="244" s="1"/>
  <c r="AH59" i="244" s="1"/>
  <c r="AG40" i="244"/>
  <c r="AG41" i="244" s="1"/>
  <c r="AG42" i="244" s="1"/>
  <c r="AG43" i="244" s="1"/>
  <c r="AG44" i="244" s="1"/>
  <c r="AG45" i="244" s="1"/>
  <c r="AG46" i="244" s="1"/>
  <c r="AG47" i="244" s="1"/>
  <c r="AG48" i="244" s="1"/>
  <c r="AF40" i="244"/>
  <c r="AF41" i="244" s="1"/>
  <c r="AF42" i="244" s="1"/>
  <c r="AF43" i="244" s="1"/>
  <c r="AF44" i="244" s="1"/>
  <c r="AF45" i="244" s="1"/>
  <c r="AF46" i="244" s="1"/>
  <c r="AF47" i="244" s="1"/>
  <c r="AF48" i="244" s="1"/>
  <c r="AF49" i="244" s="1"/>
  <c r="AF50" i="244" s="1"/>
  <c r="AF51" i="244" s="1"/>
  <c r="AF52" i="244" s="1"/>
  <c r="AF53" i="244" s="1"/>
  <c r="AF54" i="244" s="1"/>
  <c r="AF55" i="244" s="1"/>
  <c r="AF56" i="244" s="1"/>
  <c r="AF57" i="244" s="1"/>
  <c r="AF58" i="244" s="1"/>
  <c r="AF59" i="244" s="1"/>
  <c r="B4" i="244"/>
  <c r="A1" i="244"/>
  <c r="B5" i="244" s="1"/>
  <c r="AG50" i="241" l="1"/>
  <c r="AG51" i="241" s="1"/>
  <c r="AG52" i="241" s="1"/>
  <c r="AG53" i="241" s="1"/>
  <c r="AG54" i="241" s="1"/>
  <c r="AG55" i="241" s="1"/>
  <c r="AG56" i="241" s="1"/>
  <c r="AG57" i="241" s="1"/>
  <c r="AG58" i="241" s="1"/>
  <c r="AG59" i="241" s="1"/>
  <c r="AF42" i="241"/>
  <c r="AF43" i="241" s="1"/>
  <c r="AF44" i="241" s="1"/>
  <c r="AF45" i="241" s="1"/>
  <c r="AF46" i="241" s="1"/>
  <c r="AF47" i="241" s="1"/>
  <c r="AF48" i="241" s="1"/>
  <c r="AF49" i="241" s="1"/>
  <c r="AF50" i="241" s="1"/>
  <c r="AF51" i="241" s="1"/>
  <c r="AF52" i="241" s="1"/>
  <c r="AF53" i="241" s="1"/>
  <c r="AF54" i="241" s="1"/>
  <c r="AF55" i="241" s="1"/>
  <c r="AF56" i="241" s="1"/>
  <c r="AF57" i="241" s="1"/>
  <c r="AF58" i="241" s="1"/>
  <c r="AF59" i="241" s="1"/>
  <c r="AH41" i="241"/>
  <c r="AH42" i="241" s="1"/>
  <c r="AH43" i="241" s="1"/>
  <c r="AH44" i="241" s="1"/>
  <c r="AH45" i="241" s="1"/>
  <c r="AH46" i="241" s="1"/>
  <c r="AH47" i="241" s="1"/>
  <c r="AH48" i="241" s="1"/>
  <c r="AH49" i="241" s="1"/>
  <c r="AH50" i="241" s="1"/>
  <c r="AH51" i="241" s="1"/>
  <c r="AH52" i="241" s="1"/>
  <c r="AH53" i="241" s="1"/>
  <c r="AH54" i="241" s="1"/>
  <c r="AH55" i="241" s="1"/>
  <c r="AH56" i="241" s="1"/>
  <c r="AH57" i="241" s="1"/>
  <c r="AH58" i="241" s="1"/>
  <c r="AH59" i="241" s="1"/>
  <c r="AG41" i="241"/>
  <c r="AG42" i="241" s="1"/>
  <c r="AG43" i="241" s="1"/>
  <c r="AG44" i="241" s="1"/>
  <c r="AG45" i="241" s="1"/>
  <c r="AG46" i="241" s="1"/>
  <c r="AG47" i="241" s="1"/>
  <c r="AG48" i="241" s="1"/>
  <c r="AF41" i="241"/>
  <c r="AH40" i="241"/>
  <c r="AG40" i="241"/>
  <c r="AF40" i="241"/>
  <c r="B4" i="241"/>
  <c r="A1" i="241"/>
  <c r="B5" i="241" s="1"/>
  <c r="AG50" i="240"/>
  <c r="AG51" i="240" s="1"/>
  <c r="AG52" i="240" s="1"/>
  <c r="AG53" i="240" s="1"/>
  <c r="AG54" i="240" s="1"/>
  <c r="AG55" i="240" s="1"/>
  <c r="AG56" i="240" s="1"/>
  <c r="AG57" i="240" s="1"/>
  <c r="AG58" i="240" s="1"/>
  <c r="AG59" i="240" s="1"/>
  <c r="AH40" i="240"/>
  <c r="AH41" i="240" s="1"/>
  <c r="AH42" i="240" s="1"/>
  <c r="AH43" i="240" s="1"/>
  <c r="AH44" i="240" s="1"/>
  <c r="AH45" i="240" s="1"/>
  <c r="AH46" i="240" s="1"/>
  <c r="AH47" i="240" s="1"/>
  <c r="AH48" i="240" s="1"/>
  <c r="AH49" i="240" s="1"/>
  <c r="AH50" i="240" s="1"/>
  <c r="AH51" i="240" s="1"/>
  <c r="AH52" i="240" s="1"/>
  <c r="AH53" i="240" s="1"/>
  <c r="AH54" i="240" s="1"/>
  <c r="AH55" i="240" s="1"/>
  <c r="AH56" i="240" s="1"/>
  <c r="AH57" i="240" s="1"/>
  <c r="AH58" i="240" s="1"/>
  <c r="AH59" i="240" s="1"/>
  <c r="AG40" i="240"/>
  <c r="AG41" i="240" s="1"/>
  <c r="AG42" i="240" s="1"/>
  <c r="AG43" i="240" s="1"/>
  <c r="AG44" i="240" s="1"/>
  <c r="AG45" i="240" s="1"/>
  <c r="AG46" i="240" s="1"/>
  <c r="AG47" i="240" s="1"/>
  <c r="AG48" i="240" s="1"/>
  <c r="AF40" i="240"/>
  <c r="AF41" i="240" s="1"/>
  <c r="AF42" i="240" s="1"/>
  <c r="AF43" i="240" s="1"/>
  <c r="AF44" i="240" s="1"/>
  <c r="AF45" i="240" s="1"/>
  <c r="AF46" i="240" s="1"/>
  <c r="AF47" i="240" s="1"/>
  <c r="AF48" i="240" s="1"/>
  <c r="AF49" i="240" s="1"/>
  <c r="AF50" i="240" s="1"/>
  <c r="AF51" i="240" s="1"/>
  <c r="AF52" i="240" s="1"/>
  <c r="AF53" i="240" s="1"/>
  <c r="AF54" i="240" s="1"/>
  <c r="AF55" i="240" s="1"/>
  <c r="AF56" i="240" s="1"/>
  <c r="AF57" i="240" s="1"/>
  <c r="AF58" i="240" s="1"/>
  <c r="AF59" i="240" s="1"/>
  <c r="K21" i="240"/>
  <c r="I21" i="240"/>
  <c r="K20" i="240"/>
  <c r="I20" i="240"/>
  <c r="K19" i="240"/>
  <c r="I19" i="240"/>
  <c r="K18" i="240"/>
  <c r="I18" i="240"/>
  <c r="K17" i="240"/>
  <c r="I17" i="240"/>
  <c r="K16" i="240"/>
  <c r="I16" i="240"/>
  <c r="K15" i="240"/>
  <c r="I15" i="240"/>
  <c r="K14" i="240"/>
  <c r="I14" i="240"/>
  <c r="K13" i="240"/>
  <c r="I13" i="240"/>
  <c r="K12" i="240"/>
  <c r="I12" i="240"/>
  <c r="K11" i="240"/>
  <c r="I11" i="240"/>
  <c r="K10" i="240"/>
  <c r="I10" i="240"/>
  <c r="K9" i="240"/>
  <c r="I9" i="240"/>
  <c r="K8" i="240"/>
  <c r="I8" i="240"/>
  <c r="K7" i="240"/>
  <c r="I7" i="240"/>
  <c r="I6" i="240"/>
  <c r="B4" i="240"/>
  <c r="A1" i="240"/>
  <c r="B5" i="240" s="1"/>
  <c r="AS6" i="236"/>
  <c r="AG50" i="237"/>
  <c r="AG51" i="237" s="1"/>
  <c r="AG52" i="237" s="1"/>
  <c r="AG53" i="237" s="1"/>
  <c r="AG54" i="237" s="1"/>
  <c r="AG55" i="237" s="1"/>
  <c r="AG56" i="237" s="1"/>
  <c r="AG57" i="237" s="1"/>
  <c r="AG58" i="237" s="1"/>
  <c r="AG59" i="237" s="1"/>
  <c r="AH40" i="237"/>
  <c r="AH41" i="237" s="1"/>
  <c r="AH42" i="237" s="1"/>
  <c r="AH43" i="237" s="1"/>
  <c r="AH44" i="237" s="1"/>
  <c r="AH45" i="237" s="1"/>
  <c r="AH46" i="237" s="1"/>
  <c r="AH47" i="237" s="1"/>
  <c r="AH48" i="237" s="1"/>
  <c r="AH49" i="237" s="1"/>
  <c r="AH50" i="237" s="1"/>
  <c r="AH51" i="237" s="1"/>
  <c r="AH52" i="237" s="1"/>
  <c r="AH53" i="237" s="1"/>
  <c r="AH54" i="237" s="1"/>
  <c r="AH55" i="237" s="1"/>
  <c r="AH56" i="237" s="1"/>
  <c r="AH57" i="237" s="1"/>
  <c r="AH58" i="237" s="1"/>
  <c r="AH59" i="237" s="1"/>
  <c r="AG40" i="237"/>
  <c r="AG41" i="237" s="1"/>
  <c r="AG42" i="237" s="1"/>
  <c r="AG43" i="237" s="1"/>
  <c r="AG44" i="237" s="1"/>
  <c r="AG45" i="237" s="1"/>
  <c r="AG46" i="237" s="1"/>
  <c r="AG47" i="237" s="1"/>
  <c r="AG48" i="237" s="1"/>
  <c r="AF40" i="237"/>
  <c r="AF41" i="237" s="1"/>
  <c r="AF42" i="237" s="1"/>
  <c r="AF43" i="237" s="1"/>
  <c r="AF44" i="237" s="1"/>
  <c r="AF45" i="237" s="1"/>
  <c r="AF46" i="237" s="1"/>
  <c r="AF47" i="237" s="1"/>
  <c r="AF48" i="237" s="1"/>
  <c r="AF49" i="237" s="1"/>
  <c r="AF50" i="237" s="1"/>
  <c r="AF51" i="237" s="1"/>
  <c r="AF52" i="237" s="1"/>
  <c r="AF53" i="237" s="1"/>
  <c r="AF54" i="237" s="1"/>
  <c r="AF55" i="237" s="1"/>
  <c r="AF56" i="237" s="1"/>
  <c r="AF57" i="237" s="1"/>
  <c r="AF58" i="237" s="1"/>
  <c r="AF59" i="237" s="1"/>
  <c r="K19" i="237"/>
  <c r="I19" i="237"/>
  <c r="K18" i="237"/>
  <c r="I18" i="237"/>
  <c r="K17" i="237"/>
  <c r="I17" i="237"/>
  <c r="K16" i="237"/>
  <c r="I16" i="237"/>
  <c r="K15" i="237"/>
  <c r="I15" i="237"/>
  <c r="K14" i="237"/>
  <c r="I14" i="237"/>
  <c r="K13" i="237"/>
  <c r="I13" i="237"/>
  <c r="K12" i="237"/>
  <c r="K11" i="237"/>
  <c r="K10" i="237"/>
  <c r="K9" i="237"/>
  <c r="K8" i="237"/>
  <c r="I8" i="237"/>
  <c r="K7" i="237"/>
  <c r="I7" i="237"/>
  <c r="J6" i="237"/>
  <c r="I6" i="237"/>
  <c r="B4" i="237"/>
  <c r="A1" i="237"/>
  <c r="B5" i="237" s="1"/>
  <c r="AG50" i="236"/>
  <c r="AG51" i="236" s="1"/>
  <c r="AG52" i="236" s="1"/>
  <c r="AG53" i="236" s="1"/>
  <c r="AG54" i="236" s="1"/>
  <c r="AG55" i="236" s="1"/>
  <c r="AG56" i="236" s="1"/>
  <c r="AG57" i="236" s="1"/>
  <c r="AG58" i="236" s="1"/>
  <c r="AG59" i="236" s="1"/>
  <c r="AH40" i="236"/>
  <c r="AH41" i="236" s="1"/>
  <c r="AH42" i="236" s="1"/>
  <c r="AH43" i="236" s="1"/>
  <c r="AH44" i="236" s="1"/>
  <c r="AH45" i="236" s="1"/>
  <c r="AH46" i="236" s="1"/>
  <c r="AH47" i="236" s="1"/>
  <c r="AH48" i="236" s="1"/>
  <c r="AH49" i="236" s="1"/>
  <c r="AH50" i="236" s="1"/>
  <c r="AH51" i="236" s="1"/>
  <c r="AH52" i="236" s="1"/>
  <c r="AH53" i="236" s="1"/>
  <c r="AH54" i="236" s="1"/>
  <c r="AH55" i="236" s="1"/>
  <c r="AH56" i="236" s="1"/>
  <c r="AH57" i="236" s="1"/>
  <c r="AH58" i="236" s="1"/>
  <c r="AH59" i="236" s="1"/>
  <c r="AG40" i="236"/>
  <c r="AG41" i="236" s="1"/>
  <c r="AG42" i="236" s="1"/>
  <c r="AG43" i="236" s="1"/>
  <c r="AG44" i="236" s="1"/>
  <c r="AG45" i="236" s="1"/>
  <c r="AG46" i="236" s="1"/>
  <c r="AG47" i="236" s="1"/>
  <c r="AG48" i="236" s="1"/>
  <c r="AF40" i="236"/>
  <c r="AF41" i="236" s="1"/>
  <c r="AF42" i="236" s="1"/>
  <c r="AF43" i="236" s="1"/>
  <c r="AF44" i="236" s="1"/>
  <c r="AF45" i="236" s="1"/>
  <c r="AF46" i="236" s="1"/>
  <c r="AF47" i="236" s="1"/>
  <c r="AF48" i="236" s="1"/>
  <c r="AF49" i="236" s="1"/>
  <c r="AF50" i="236" s="1"/>
  <c r="AF51" i="236" s="1"/>
  <c r="AF52" i="236" s="1"/>
  <c r="AF53" i="236" s="1"/>
  <c r="AF54" i="236" s="1"/>
  <c r="AF55" i="236" s="1"/>
  <c r="AF56" i="236" s="1"/>
  <c r="AF57" i="236" s="1"/>
  <c r="AF58" i="236" s="1"/>
  <c r="AF59" i="236" s="1"/>
  <c r="K19" i="236"/>
  <c r="I19" i="236"/>
  <c r="K18" i="236"/>
  <c r="I18" i="236"/>
  <c r="K17" i="236"/>
  <c r="I17" i="236"/>
  <c r="K16" i="236"/>
  <c r="I16" i="236"/>
  <c r="K15" i="236"/>
  <c r="I15" i="236"/>
  <c r="K14" i="236"/>
  <c r="I14" i="236"/>
  <c r="K13" i="236"/>
  <c r="I13" i="236"/>
  <c r="K12" i="236"/>
  <c r="K11" i="236"/>
  <c r="K10" i="236"/>
  <c r="K9" i="236"/>
  <c r="K8" i="236"/>
  <c r="I8" i="236"/>
  <c r="K7" i="236"/>
  <c r="I7" i="236"/>
  <c r="J6" i="236"/>
  <c r="B4" i="236" s="1"/>
  <c r="I6" i="236"/>
  <c r="A1" i="236"/>
  <c r="B5" i="236" s="1"/>
  <c r="C58" i="125" l="1"/>
  <c r="C61" i="125"/>
  <c r="C60" i="125"/>
  <c r="B59" i="125"/>
  <c r="C59" i="125"/>
  <c r="B60" i="125"/>
  <c r="B61" i="125"/>
  <c r="B58" i="125"/>
  <c r="AG51" i="235" l="1"/>
  <c r="AG52" i="235" s="1"/>
  <c r="AG53" i="235" s="1"/>
  <c r="AG54" i="235" s="1"/>
  <c r="AG55" i="235" s="1"/>
  <c r="AG56" i="235" s="1"/>
  <c r="AG57" i="235" s="1"/>
  <c r="AG58" i="235" s="1"/>
  <c r="AG59" i="235" s="1"/>
  <c r="AG50" i="235"/>
  <c r="AH40" i="235"/>
  <c r="AH41" i="235" s="1"/>
  <c r="AH42" i="235" s="1"/>
  <c r="AH43" i="235" s="1"/>
  <c r="AH44" i="235" s="1"/>
  <c r="AH45" i="235" s="1"/>
  <c r="AH46" i="235" s="1"/>
  <c r="AH47" i="235" s="1"/>
  <c r="AH48" i="235" s="1"/>
  <c r="AH49" i="235" s="1"/>
  <c r="AH50" i="235" s="1"/>
  <c r="AH51" i="235" s="1"/>
  <c r="AH52" i="235" s="1"/>
  <c r="AH53" i="235" s="1"/>
  <c r="AH54" i="235" s="1"/>
  <c r="AH55" i="235" s="1"/>
  <c r="AH56" i="235" s="1"/>
  <c r="AH57" i="235" s="1"/>
  <c r="AH58" i="235" s="1"/>
  <c r="AH59" i="235" s="1"/>
  <c r="AG40" i="235"/>
  <c r="AG41" i="235" s="1"/>
  <c r="AG42" i="235" s="1"/>
  <c r="AG43" i="235" s="1"/>
  <c r="AG44" i="235" s="1"/>
  <c r="AG45" i="235" s="1"/>
  <c r="AG46" i="235" s="1"/>
  <c r="AG47" i="235" s="1"/>
  <c r="AG48" i="235" s="1"/>
  <c r="AF40" i="235"/>
  <c r="AF41" i="235" s="1"/>
  <c r="AF42" i="235" s="1"/>
  <c r="AF43" i="235" s="1"/>
  <c r="AF44" i="235" s="1"/>
  <c r="AF45" i="235" s="1"/>
  <c r="AF46" i="235" s="1"/>
  <c r="AF47" i="235" s="1"/>
  <c r="AF48" i="235" s="1"/>
  <c r="AF49" i="235" s="1"/>
  <c r="AF50" i="235" s="1"/>
  <c r="AF51" i="235" s="1"/>
  <c r="AF52" i="235" s="1"/>
  <c r="AF53" i="235" s="1"/>
  <c r="AF54" i="235" s="1"/>
  <c r="AF55" i="235" s="1"/>
  <c r="AF56" i="235" s="1"/>
  <c r="AF57" i="235" s="1"/>
  <c r="AF58" i="235" s="1"/>
  <c r="AF59" i="235" s="1"/>
  <c r="B4" i="235"/>
  <c r="A1" i="235"/>
  <c r="B5" i="235" s="1"/>
  <c r="AG50" i="234"/>
  <c r="AG51" i="234" s="1"/>
  <c r="AG52" i="234" s="1"/>
  <c r="AG53" i="234" s="1"/>
  <c r="AG54" i="234" s="1"/>
  <c r="AG55" i="234" s="1"/>
  <c r="AG56" i="234" s="1"/>
  <c r="AG57" i="234" s="1"/>
  <c r="AG58" i="234" s="1"/>
  <c r="AG59" i="234" s="1"/>
  <c r="AH40" i="234"/>
  <c r="AH41" i="234" s="1"/>
  <c r="AH42" i="234" s="1"/>
  <c r="AH43" i="234" s="1"/>
  <c r="AH44" i="234" s="1"/>
  <c r="AH45" i="234" s="1"/>
  <c r="AH46" i="234" s="1"/>
  <c r="AH47" i="234" s="1"/>
  <c r="AH48" i="234" s="1"/>
  <c r="AH49" i="234" s="1"/>
  <c r="AH50" i="234" s="1"/>
  <c r="AH51" i="234" s="1"/>
  <c r="AH52" i="234" s="1"/>
  <c r="AH53" i="234" s="1"/>
  <c r="AH54" i="234" s="1"/>
  <c r="AH55" i="234" s="1"/>
  <c r="AH56" i="234" s="1"/>
  <c r="AH57" i="234" s="1"/>
  <c r="AH58" i="234" s="1"/>
  <c r="AH59" i="234" s="1"/>
  <c r="AG40" i="234"/>
  <c r="AG41" i="234" s="1"/>
  <c r="AG42" i="234" s="1"/>
  <c r="AG43" i="234" s="1"/>
  <c r="AG44" i="234" s="1"/>
  <c r="AG45" i="234" s="1"/>
  <c r="AG46" i="234" s="1"/>
  <c r="AG47" i="234" s="1"/>
  <c r="AG48" i="234" s="1"/>
  <c r="AF40" i="234"/>
  <c r="AF41" i="234" s="1"/>
  <c r="AF42" i="234" s="1"/>
  <c r="AF43" i="234" s="1"/>
  <c r="AF44" i="234" s="1"/>
  <c r="AF45" i="234" s="1"/>
  <c r="AF46" i="234" s="1"/>
  <c r="AF47" i="234" s="1"/>
  <c r="AF48" i="234" s="1"/>
  <c r="AF49" i="234" s="1"/>
  <c r="AF50" i="234" s="1"/>
  <c r="AF51" i="234" s="1"/>
  <c r="AF52" i="234" s="1"/>
  <c r="AF53" i="234" s="1"/>
  <c r="AF54" i="234" s="1"/>
  <c r="AF55" i="234" s="1"/>
  <c r="AF56" i="234" s="1"/>
  <c r="AF57" i="234" s="1"/>
  <c r="AF58" i="234" s="1"/>
  <c r="AF59" i="234" s="1"/>
  <c r="B4" i="234"/>
  <c r="A1" i="234"/>
  <c r="B5" i="234" s="1"/>
  <c r="AG50" i="233"/>
  <c r="AG51" i="233" s="1"/>
  <c r="AG52" i="233" s="1"/>
  <c r="AG53" i="233" s="1"/>
  <c r="AG54" i="233" s="1"/>
  <c r="AG55" i="233" s="1"/>
  <c r="AG56" i="233" s="1"/>
  <c r="AG57" i="233" s="1"/>
  <c r="AG58" i="233" s="1"/>
  <c r="AG59" i="233" s="1"/>
  <c r="AH40" i="233"/>
  <c r="AH41" i="233" s="1"/>
  <c r="AH42" i="233" s="1"/>
  <c r="AH43" i="233" s="1"/>
  <c r="AH44" i="233" s="1"/>
  <c r="AH45" i="233" s="1"/>
  <c r="AH46" i="233" s="1"/>
  <c r="AH47" i="233" s="1"/>
  <c r="AH48" i="233" s="1"/>
  <c r="AH49" i="233" s="1"/>
  <c r="AH50" i="233" s="1"/>
  <c r="AH51" i="233" s="1"/>
  <c r="AH52" i="233" s="1"/>
  <c r="AH53" i="233" s="1"/>
  <c r="AH54" i="233" s="1"/>
  <c r="AH55" i="233" s="1"/>
  <c r="AH56" i="233" s="1"/>
  <c r="AH57" i="233" s="1"/>
  <c r="AH58" i="233" s="1"/>
  <c r="AH59" i="233" s="1"/>
  <c r="AG40" i="233"/>
  <c r="AG41" i="233" s="1"/>
  <c r="AG42" i="233" s="1"/>
  <c r="AG43" i="233" s="1"/>
  <c r="AG44" i="233" s="1"/>
  <c r="AG45" i="233" s="1"/>
  <c r="AG46" i="233" s="1"/>
  <c r="AG47" i="233" s="1"/>
  <c r="AG48" i="233" s="1"/>
  <c r="AF40" i="233"/>
  <c r="AF41" i="233" s="1"/>
  <c r="AF42" i="233" s="1"/>
  <c r="AF43" i="233" s="1"/>
  <c r="AF44" i="233" s="1"/>
  <c r="AF45" i="233" s="1"/>
  <c r="AF46" i="233" s="1"/>
  <c r="AF47" i="233" s="1"/>
  <c r="AF48" i="233" s="1"/>
  <c r="AF49" i="233" s="1"/>
  <c r="AF50" i="233" s="1"/>
  <c r="AF51" i="233" s="1"/>
  <c r="AF52" i="233" s="1"/>
  <c r="AF53" i="233" s="1"/>
  <c r="AF54" i="233" s="1"/>
  <c r="AF55" i="233" s="1"/>
  <c r="AF56" i="233" s="1"/>
  <c r="AF57" i="233" s="1"/>
  <c r="AF58" i="233" s="1"/>
  <c r="AF59" i="233" s="1"/>
  <c r="B4" i="233"/>
  <c r="A1" i="233"/>
  <c r="B5" i="233" s="1"/>
  <c r="BD17" i="124" l="1"/>
  <c r="BD18" i="124"/>
  <c r="BE18" i="124"/>
  <c r="BD19" i="124"/>
  <c r="BE19" i="124"/>
  <c r="BD20" i="124"/>
  <c r="BE20" i="124"/>
  <c r="BE17" i="124"/>
  <c r="AG50" i="231" l="1"/>
  <c r="AG51" i="231" s="1"/>
  <c r="AG52" i="231" s="1"/>
  <c r="AG53" i="231" s="1"/>
  <c r="AG54" i="231" s="1"/>
  <c r="AG55" i="231" s="1"/>
  <c r="AG56" i="231" s="1"/>
  <c r="AG57" i="231" s="1"/>
  <c r="AG58" i="231" s="1"/>
  <c r="AG59" i="231" s="1"/>
  <c r="AH40" i="231"/>
  <c r="AH41" i="231" s="1"/>
  <c r="AH42" i="231" s="1"/>
  <c r="AH43" i="231" s="1"/>
  <c r="AH44" i="231" s="1"/>
  <c r="AH45" i="231" s="1"/>
  <c r="AH46" i="231" s="1"/>
  <c r="AH47" i="231" s="1"/>
  <c r="AH48" i="231" s="1"/>
  <c r="AH49" i="231" s="1"/>
  <c r="AH50" i="231" s="1"/>
  <c r="AH51" i="231" s="1"/>
  <c r="AH52" i="231" s="1"/>
  <c r="AH53" i="231" s="1"/>
  <c r="AH54" i="231" s="1"/>
  <c r="AH55" i="231" s="1"/>
  <c r="AH56" i="231" s="1"/>
  <c r="AH57" i="231" s="1"/>
  <c r="AH58" i="231" s="1"/>
  <c r="AH59" i="231" s="1"/>
  <c r="AG40" i="231"/>
  <c r="AG41" i="231" s="1"/>
  <c r="AG42" i="231" s="1"/>
  <c r="AG43" i="231" s="1"/>
  <c r="AG44" i="231" s="1"/>
  <c r="AG45" i="231" s="1"/>
  <c r="AG46" i="231" s="1"/>
  <c r="AG47" i="231" s="1"/>
  <c r="AG48" i="231" s="1"/>
  <c r="AF40" i="231"/>
  <c r="AF41" i="231" s="1"/>
  <c r="AF42" i="231" s="1"/>
  <c r="AF43" i="231" s="1"/>
  <c r="AF44" i="231" s="1"/>
  <c r="AF45" i="231" s="1"/>
  <c r="AF46" i="231" s="1"/>
  <c r="AF47" i="231" s="1"/>
  <c r="AF48" i="231" s="1"/>
  <c r="AF49" i="231" s="1"/>
  <c r="AF50" i="231" s="1"/>
  <c r="AF51" i="231" s="1"/>
  <c r="AF52" i="231" s="1"/>
  <c r="AF53" i="231" s="1"/>
  <c r="AF54" i="231" s="1"/>
  <c r="AF55" i="231" s="1"/>
  <c r="AF56" i="231" s="1"/>
  <c r="AF57" i="231" s="1"/>
  <c r="AF58" i="231" s="1"/>
  <c r="AF59" i="231" s="1"/>
  <c r="A1" i="231"/>
  <c r="B5" i="231" s="1"/>
  <c r="B4" i="231" l="1"/>
  <c r="C47" i="125" l="1"/>
  <c r="B54" i="125"/>
  <c r="C54" i="125"/>
  <c r="C46" i="125"/>
  <c r="C48" i="125"/>
  <c r="C49" i="125"/>
  <c r="C50" i="125"/>
  <c r="C51" i="125"/>
  <c r="C52" i="125"/>
  <c r="C53" i="125"/>
  <c r="B45" i="125"/>
  <c r="B46" i="125"/>
  <c r="B47" i="125"/>
  <c r="B48" i="125"/>
  <c r="B49" i="125"/>
  <c r="B50" i="125"/>
  <c r="B51" i="125"/>
  <c r="B52" i="125"/>
  <c r="B53" i="125"/>
  <c r="L68" i="125"/>
  <c r="M68" i="125"/>
  <c r="N68" i="125"/>
  <c r="O68" i="125"/>
  <c r="P68" i="125"/>
  <c r="Q68" i="125"/>
  <c r="R68" i="125"/>
  <c r="S68" i="125"/>
  <c r="T68" i="125"/>
  <c r="U68" i="125"/>
  <c r="B23" i="125"/>
  <c r="C23" i="125"/>
  <c r="E6" i="125"/>
  <c r="H6" i="125" s="1"/>
  <c r="E7" i="125"/>
  <c r="F7" i="125" s="1"/>
  <c r="F40" i="125" s="1"/>
  <c r="F75" i="125" s="1"/>
  <c r="E8" i="125"/>
  <c r="F8" i="125" s="1"/>
  <c r="F41" i="125" s="1"/>
  <c r="F76" i="125" s="1"/>
  <c r="E9" i="125"/>
  <c r="F9" i="125" s="1"/>
  <c r="F42" i="125" s="1"/>
  <c r="F77" i="125" s="1"/>
  <c r="E10" i="125"/>
  <c r="I10" i="125" s="1"/>
  <c r="E11" i="125"/>
  <c r="I11" i="125" s="1"/>
  <c r="E12" i="125"/>
  <c r="G12" i="125" s="1"/>
  <c r="E13" i="125"/>
  <c r="G13" i="125" s="1"/>
  <c r="E14" i="125"/>
  <c r="G14" i="125" s="1"/>
  <c r="E15" i="125"/>
  <c r="J15" i="125" s="1"/>
  <c r="E16" i="125"/>
  <c r="J16" i="125" s="1"/>
  <c r="E17" i="125"/>
  <c r="H17" i="125" s="1"/>
  <c r="E18" i="125"/>
  <c r="H18" i="125" s="1"/>
  <c r="E19" i="125"/>
  <c r="F19" i="125" s="1"/>
  <c r="F52" i="125" s="1"/>
  <c r="F87" i="125" s="1"/>
  <c r="E20" i="125"/>
  <c r="F20" i="125" s="1"/>
  <c r="F53" i="125" s="1"/>
  <c r="F88" i="125" s="1"/>
  <c r="E21" i="125"/>
  <c r="F21" i="125" s="1"/>
  <c r="F54" i="125" s="1"/>
  <c r="F89" i="125" s="1"/>
  <c r="E22" i="125"/>
  <c r="I22" i="125" s="1"/>
  <c r="E23" i="125"/>
  <c r="I23" i="125" s="1"/>
  <c r="E24" i="125"/>
  <c r="G24" i="125" s="1"/>
  <c r="E25" i="125"/>
  <c r="G25" i="125" s="1"/>
  <c r="E26" i="125"/>
  <c r="G26" i="125" s="1"/>
  <c r="E27" i="125"/>
  <c r="J27" i="125" s="1"/>
  <c r="E28" i="125"/>
  <c r="E61" i="125" s="1"/>
  <c r="E29" i="125"/>
  <c r="H29" i="125" s="1"/>
  <c r="E30" i="125"/>
  <c r="H30" i="125" s="1"/>
  <c r="E31" i="125"/>
  <c r="F31" i="125" s="1"/>
  <c r="F64" i="125" s="1"/>
  <c r="F99" i="125" s="1"/>
  <c r="E32" i="125"/>
  <c r="F32" i="125" s="1"/>
  <c r="F65" i="125" s="1"/>
  <c r="F100" i="125" s="1"/>
  <c r="E33" i="125"/>
  <c r="F33" i="125" s="1"/>
  <c r="F66" i="125" s="1"/>
  <c r="F101" i="125" s="1"/>
  <c r="E34" i="125"/>
  <c r="I34" i="125" s="1"/>
  <c r="E5" i="125"/>
  <c r="I5" i="125" s="1"/>
  <c r="K31" i="125" l="1"/>
  <c r="Z31" i="125" s="1"/>
  <c r="K30" i="125"/>
  <c r="AF30" i="125" s="1"/>
  <c r="K29" i="125"/>
  <c r="AD29" i="125" s="1"/>
  <c r="F29" i="125"/>
  <c r="F62" i="125" s="1"/>
  <c r="F97" i="125" s="1"/>
  <c r="K28" i="125"/>
  <c r="AB28" i="125" s="1"/>
  <c r="I33" i="125"/>
  <c r="I32" i="125"/>
  <c r="E59" i="125"/>
  <c r="K34" i="125"/>
  <c r="Q34" i="125" s="1"/>
  <c r="K33" i="125"/>
  <c r="AD33" i="125" s="1"/>
  <c r="K8" i="125"/>
  <c r="K32" i="125"/>
  <c r="AI32" i="125" s="1"/>
  <c r="K6" i="125"/>
  <c r="W31" i="125"/>
  <c r="K12" i="125"/>
  <c r="K11" i="125"/>
  <c r="X31" i="125"/>
  <c r="K21" i="125"/>
  <c r="AG34" i="125"/>
  <c r="AE32" i="125"/>
  <c r="L34" i="125"/>
  <c r="K20" i="125"/>
  <c r="R31" i="125"/>
  <c r="K18" i="125"/>
  <c r="AC34" i="125"/>
  <c r="W32" i="125"/>
  <c r="K15" i="125"/>
  <c r="AL31" i="125"/>
  <c r="AA34" i="125"/>
  <c r="AJ31" i="125"/>
  <c r="Z34" i="125"/>
  <c r="AI31" i="125"/>
  <c r="AI34" i="125"/>
  <c r="Y34" i="125"/>
  <c r="AF31" i="125"/>
  <c r="X34" i="125"/>
  <c r="AA31" i="125"/>
  <c r="AL34" i="125"/>
  <c r="W34" i="125"/>
  <c r="AH29" i="125"/>
  <c r="T31" i="125"/>
  <c r="U31" i="125"/>
  <c r="L31" i="125"/>
  <c r="M31" i="125"/>
  <c r="N31" i="125"/>
  <c r="O31" i="125"/>
  <c r="P31" i="125"/>
  <c r="S31" i="125"/>
  <c r="K19" i="125"/>
  <c r="K7" i="125"/>
  <c r="AJ32" i="125"/>
  <c r="X32" i="125"/>
  <c r="AB31" i="125"/>
  <c r="AJ29" i="125"/>
  <c r="X29" i="125"/>
  <c r="S32" i="125"/>
  <c r="R30" i="125"/>
  <c r="S30" i="125"/>
  <c r="T30" i="125"/>
  <c r="L30" i="125"/>
  <c r="M30" i="125"/>
  <c r="N30" i="125"/>
  <c r="Q30" i="125"/>
  <c r="AE30" i="125"/>
  <c r="AI29" i="125"/>
  <c r="W29" i="125"/>
  <c r="M32" i="125"/>
  <c r="AD30" i="125"/>
  <c r="G10" i="125"/>
  <c r="T28" i="125"/>
  <c r="K16" i="125"/>
  <c r="AG32" i="125"/>
  <c r="AK31" i="125"/>
  <c r="Y31" i="125"/>
  <c r="AC30" i="125"/>
  <c r="AG29" i="125"/>
  <c r="Q31" i="125"/>
  <c r="AF29" i="125"/>
  <c r="U30" i="125"/>
  <c r="P30" i="125"/>
  <c r="K14" i="125"/>
  <c r="AA30" i="125"/>
  <c r="AE29" i="125"/>
  <c r="K13" i="125"/>
  <c r="AH34" i="125"/>
  <c r="AD32" i="125"/>
  <c r="AH31" i="125"/>
  <c r="AL30" i="125"/>
  <c r="Z30" i="125"/>
  <c r="O30" i="125"/>
  <c r="P29" i="125"/>
  <c r="Q29" i="125"/>
  <c r="R29" i="125"/>
  <c r="T29" i="125"/>
  <c r="U29" i="125"/>
  <c r="L29" i="125"/>
  <c r="O29" i="125"/>
  <c r="AB30" i="125"/>
  <c r="AC32" i="125"/>
  <c r="AG31" i="125"/>
  <c r="AK30" i="125"/>
  <c r="Y30" i="125"/>
  <c r="AC29" i="125"/>
  <c r="S29" i="125"/>
  <c r="K17" i="125"/>
  <c r="AJ30" i="125"/>
  <c r="AB29" i="125"/>
  <c r="F16" i="125"/>
  <c r="F49" i="125" s="1"/>
  <c r="F84" i="125" s="1"/>
  <c r="N29" i="125"/>
  <c r="N34" i="125"/>
  <c r="O34" i="125"/>
  <c r="P34" i="125"/>
  <c r="R34" i="125"/>
  <c r="S34" i="125"/>
  <c r="T34" i="125"/>
  <c r="U34" i="125"/>
  <c r="M34" i="125"/>
  <c r="K10" i="125"/>
  <c r="AE34" i="125"/>
  <c r="AI33" i="125"/>
  <c r="AA32" i="125"/>
  <c r="AE31" i="125"/>
  <c r="AI30" i="125"/>
  <c r="W30" i="125"/>
  <c r="AA29" i="125"/>
  <c r="M29" i="125"/>
  <c r="M33" i="125"/>
  <c r="Q33" i="125"/>
  <c r="K9" i="125"/>
  <c r="AD34" i="125"/>
  <c r="AL32" i="125"/>
  <c r="AD31" i="125"/>
  <c r="AH30" i="125"/>
  <c r="AL29" i="125"/>
  <c r="Z29" i="125"/>
  <c r="X30" i="125"/>
  <c r="L32" i="125"/>
  <c r="N32" i="125"/>
  <c r="O32" i="125"/>
  <c r="P32" i="125"/>
  <c r="Q32" i="125"/>
  <c r="R32" i="125"/>
  <c r="U32" i="125"/>
  <c r="AK32" i="125"/>
  <c r="Y32" i="125"/>
  <c r="AC31" i="125"/>
  <c r="AG30" i="125"/>
  <c r="AK29" i="125"/>
  <c r="Y29" i="125"/>
  <c r="T32" i="125"/>
  <c r="L28" i="125"/>
  <c r="K5" i="125"/>
  <c r="H15" i="125"/>
  <c r="H14" i="125"/>
  <c r="G9" i="125"/>
  <c r="I9" i="125"/>
  <c r="I8" i="125"/>
  <c r="I7" i="125"/>
  <c r="F6" i="125"/>
  <c r="F39" i="125" s="1"/>
  <c r="F74" i="125" s="1"/>
  <c r="G33" i="125"/>
  <c r="G22" i="125"/>
  <c r="I31" i="125"/>
  <c r="G21" i="125"/>
  <c r="I20" i="125"/>
  <c r="G34" i="125"/>
  <c r="I21" i="125"/>
  <c r="F30" i="125"/>
  <c r="F63" i="125" s="1"/>
  <c r="F98" i="125" s="1"/>
  <c r="I19" i="125"/>
  <c r="F28" i="125"/>
  <c r="F61" i="125" s="1"/>
  <c r="F96" i="125" s="1"/>
  <c r="H27" i="125"/>
  <c r="H28" i="125"/>
  <c r="F18" i="125"/>
  <c r="F51" i="125" s="1"/>
  <c r="F86" i="125" s="1"/>
  <c r="H26" i="125"/>
  <c r="F17" i="125"/>
  <c r="F50" i="125" s="1"/>
  <c r="F85" i="125" s="1"/>
  <c r="H16" i="125"/>
  <c r="E65" i="125"/>
  <c r="E53" i="125"/>
  <c r="G23" i="125"/>
  <c r="G11" i="125"/>
  <c r="J26" i="125"/>
  <c r="J14" i="125"/>
  <c r="E66" i="125"/>
  <c r="E60" i="125"/>
  <c r="E54" i="125"/>
  <c r="J13" i="125"/>
  <c r="F27" i="125"/>
  <c r="F60" i="125" s="1"/>
  <c r="F95" i="125" s="1"/>
  <c r="F15" i="125"/>
  <c r="G32" i="125"/>
  <c r="G20" i="125"/>
  <c r="G8" i="125"/>
  <c r="H25" i="125"/>
  <c r="H13" i="125"/>
  <c r="I30" i="125"/>
  <c r="I18" i="125"/>
  <c r="I6" i="125"/>
  <c r="J23" i="125"/>
  <c r="J11" i="125"/>
  <c r="F26" i="125"/>
  <c r="F59" i="125" s="1"/>
  <c r="F94" i="125" s="1"/>
  <c r="F14" i="125"/>
  <c r="F47" i="125" s="1"/>
  <c r="F82" i="125" s="1"/>
  <c r="G31" i="125"/>
  <c r="G19" i="125"/>
  <c r="G7" i="125"/>
  <c r="H24" i="125"/>
  <c r="H12" i="125"/>
  <c r="I29" i="125"/>
  <c r="I17" i="125"/>
  <c r="J34" i="125"/>
  <c r="J22" i="125"/>
  <c r="J10" i="125"/>
  <c r="E64" i="125"/>
  <c r="E58" i="125"/>
  <c r="F25" i="125"/>
  <c r="F58" i="125" s="1"/>
  <c r="F93" i="125" s="1"/>
  <c r="F13" i="125"/>
  <c r="F46" i="125" s="1"/>
  <c r="F81" i="125" s="1"/>
  <c r="G30" i="125"/>
  <c r="G18" i="125"/>
  <c r="G6" i="125"/>
  <c r="H23" i="125"/>
  <c r="H11" i="125"/>
  <c r="I28" i="125"/>
  <c r="I16" i="125"/>
  <c r="J33" i="125"/>
  <c r="J21" i="125"/>
  <c r="J9" i="125"/>
  <c r="F24" i="125"/>
  <c r="F57" i="125" s="1"/>
  <c r="F92" i="125" s="1"/>
  <c r="F12" i="125"/>
  <c r="G29" i="125"/>
  <c r="G17" i="125"/>
  <c r="H34" i="125"/>
  <c r="H22" i="125"/>
  <c r="H10" i="125"/>
  <c r="I27" i="125"/>
  <c r="I15" i="125"/>
  <c r="J32" i="125"/>
  <c r="J20" i="125"/>
  <c r="J8" i="125"/>
  <c r="E63" i="125"/>
  <c r="E57" i="125"/>
  <c r="J25" i="125"/>
  <c r="F23" i="125"/>
  <c r="F56" i="125" s="1"/>
  <c r="F91" i="125" s="1"/>
  <c r="F11" i="125"/>
  <c r="F44" i="125" s="1"/>
  <c r="F79" i="125" s="1"/>
  <c r="G28" i="125"/>
  <c r="G16" i="125"/>
  <c r="H33" i="125"/>
  <c r="H21" i="125"/>
  <c r="H9" i="125"/>
  <c r="I26" i="125"/>
  <c r="I14" i="125"/>
  <c r="J31" i="125"/>
  <c r="J19" i="125"/>
  <c r="J7" i="125"/>
  <c r="F34" i="125"/>
  <c r="F67" i="125" s="1"/>
  <c r="F102" i="125" s="1"/>
  <c r="F22" i="125"/>
  <c r="F55" i="125" s="1"/>
  <c r="F90" i="125" s="1"/>
  <c r="F10" i="125"/>
  <c r="F43" i="125" s="1"/>
  <c r="F78" i="125" s="1"/>
  <c r="G27" i="125"/>
  <c r="G15" i="125"/>
  <c r="H32" i="125"/>
  <c r="H20" i="125"/>
  <c r="H8" i="125"/>
  <c r="I25" i="125"/>
  <c r="I13" i="125"/>
  <c r="J30" i="125"/>
  <c r="J18" i="125"/>
  <c r="J6" i="125"/>
  <c r="E62" i="125"/>
  <c r="E56" i="125"/>
  <c r="H31" i="125"/>
  <c r="H19" i="125"/>
  <c r="H7" i="125"/>
  <c r="I24" i="125"/>
  <c r="I12" i="125"/>
  <c r="J29" i="125"/>
  <c r="J17" i="125"/>
  <c r="J12" i="125"/>
  <c r="J28" i="125"/>
  <c r="E67" i="125"/>
  <c r="E55" i="125"/>
  <c r="J24" i="125"/>
  <c r="J5" i="125"/>
  <c r="F5" i="125"/>
  <c r="F38" i="125" s="1"/>
  <c r="F73" i="125" s="1"/>
  <c r="H5" i="125"/>
  <c r="G5" i="125"/>
  <c r="N28" i="125" l="1"/>
  <c r="P33" i="125"/>
  <c r="AE28" i="125"/>
  <c r="Y28" i="125"/>
  <c r="M28" i="125"/>
  <c r="AA28" i="125"/>
  <c r="AH33" i="125"/>
  <c r="N33" i="125"/>
  <c r="Z33" i="125"/>
  <c r="AK28" i="125"/>
  <c r="U28" i="125"/>
  <c r="Y33" i="125"/>
  <c r="X28" i="125"/>
  <c r="AJ28" i="125"/>
  <c r="AD28" i="125"/>
  <c r="L33" i="125"/>
  <c r="AG28" i="125"/>
  <c r="S28" i="125"/>
  <c r="W28" i="125"/>
  <c r="AF28" i="125"/>
  <c r="T33" i="125"/>
  <c r="AH28" i="125"/>
  <c r="R28" i="125"/>
  <c r="Z28" i="125"/>
  <c r="AG33" i="125"/>
  <c r="AC28" i="125"/>
  <c r="Q28" i="125"/>
  <c r="S33" i="125"/>
  <c r="P28" i="125"/>
  <c r="X33" i="125"/>
  <c r="AA33" i="125"/>
  <c r="AE33" i="125"/>
  <c r="O33" i="125"/>
  <c r="R33" i="125"/>
  <c r="W33" i="125"/>
  <c r="O28" i="125"/>
  <c r="AC33" i="125"/>
  <c r="AJ34" i="125"/>
  <c r="AB33" i="125"/>
  <c r="AB34" i="125"/>
  <c r="AF34" i="125"/>
  <c r="AK34" i="125"/>
  <c r="AL33" i="125"/>
  <c r="AI28" i="125"/>
  <c r="AB32" i="125"/>
  <c r="Z32" i="125"/>
  <c r="AF32" i="125"/>
  <c r="AH32" i="125"/>
  <c r="U33" i="125"/>
  <c r="AJ33" i="125"/>
  <c r="AK33" i="125"/>
  <c r="AF33" i="125"/>
  <c r="AL28" i="125"/>
  <c r="F45" i="125"/>
  <c r="F80" i="125" s="1"/>
  <c r="F48" i="125"/>
  <c r="F83" i="125" s="1"/>
  <c r="C4" i="125" l="1"/>
  <c r="E90" i="125"/>
  <c r="E91" i="125"/>
  <c r="E92" i="125"/>
  <c r="E96" i="125"/>
  <c r="E98" i="125"/>
  <c r="E100" i="125"/>
  <c r="E102" i="125"/>
  <c r="E88" i="125"/>
  <c r="E89" i="125"/>
  <c r="G54" i="125"/>
  <c r="H54" i="125"/>
  <c r="I54" i="125"/>
  <c r="J54" i="125"/>
  <c r="G55" i="125"/>
  <c r="H55" i="125"/>
  <c r="I55" i="125"/>
  <c r="J55" i="125"/>
  <c r="G56" i="125"/>
  <c r="H56" i="125"/>
  <c r="I56" i="125"/>
  <c r="J56" i="125"/>
  <c r="G57" i="125"/>
  <c r="H57" i="125"/>
  <c r="I57" i="125"/>
  <c r="J57" i="125"/>
  <c r="E93" i="125"/>
  <c r="G58" i="125"/>
  <c r="H58" i="125"/>
  <c r="I58" i="125"/>
  <c r="J58" i="125"/>
  <c r="E94" i="125"/>
  <c r="G59" i="125"/>
  <c r="H59" i="125"/>
  <c r="I59" i="125"/>
  <c r="J59" i="125"/>
  <c r="E95" i="125"/>
  <c r="G60" i="125"/>
  <c r="G95" i="125" s="1"/>
  <c r="H60" i="125"/>
  <c r="H95" i="125" s="1"/>
  <c r="I60" i="125"/>
  <c r="I95" i="125" s="1"/>
  <c r="J60" i="125"/>
  <c r="J95" i="125" s="1"/>
  <c r="G61" i="125"/>
  <c r="G96" i="125" s="1"/>
  <c r="H61" i="125"/>
  <c r="H96" i="125" s="1"/>
  <c r="I61" i="125"/>
  <c r="I96" i="125" s="1"/>
  <c r="J61" i="125"/>
  <c r="J96" i="125" s="1"/>
  <c r="E97" i="125"/>
  <c r="G62" i="125"/>
  <c r="G97" i="125" s="1"/>
  <c r="H62" i="125"/>
  <c r="H97" i="125" s="1"/>
  <c r="I62" i="125"/>
  <c r="I97" i="125" s="1"/>
  <c r="J62" i="125"/>
  <c r="J97" i="125" s="1"/>
  <c r="G63" i="125"/>
  <c r="G98" i="125" s="1"/>
  <c r="H63" i="125"/>
  <c r="H98" i="125" s="1"/>
  <c r="I63" i="125"/>
  <c r="I98" i="125" s="1"/>
  <c r="J63" i="125"/>
  <c r="J98" i="125" s="1"/>
  <c r="E99" i="125"/>
  <c r="G64" i="125"/>
  <c r="G99" i="125" s="1"/>
  <c r="H64" i="125"/>
  <c r="H99" i="125" s="1"/>
  <c r="I64" i="125"/>
  <c r="I99" i="125" s="1"/>
  <c r="J64" i="125"/>
  <c r="J99" i="125" s="1"/>
  <c r="G65" i="125"/>
  <c r="G100" i="125" s="1"/>
  <c r="H65" i="125"/>
  <c r="H100" i="125" s="1"/>
  <c r="I65" i="125"/>
  <c r="I100" i="125" s="1"/>
  <c r="J65" i="125"/>
  <c r="J100" i="125" s="1"/>
  <c r="E101" i="125"/>
  <c r="G66" i="125"/>
  <c r="G101" i="125" s="1"/>
  <c r="H66" i="125"/>
  <c r="H101" i="125" s="1"/>
  <c r="I66" i="125"/>
  <c r="I101" i="125" s="1"/>
  <c r="J66" i="125"/>
  <c r="J101" i="125" s="1"/>
  <c r="G67" i="125"/>
  <c r="G102" i="125" s="1"/>
  <c r="H67" i="125"/>
  <c r="H102" i="125" s="1"/>
  <c r="I67" i="125"/>
  <c r="I102" i="125" s="1"/>
  <c r="J67" i="125"/>
  <c r="J102" i="125" s="1"/>
  <c r="A1" i="230"/>
  <c r="B5" i="230" s="1"/>
  <c r="B4" i="230"/>
  <c r="R6" i="230"/>
  <c r="R7" i="230"/>
  <c r="R8" i="230"/>
  <c r="R9" i="230"/>
  <c r="R10" i="230"/>
  <c r="R11" i="230"/>
  <c r="R12" i="230"/>
  <c r="R13" i="230"/>
  <c r="R14" i="230"/>
  <c r="R15" i="230"/>
  <c r="R16" i="230"/>
  <c r="AF40" i="230"/>
  <c r="AF41" i="230" s="1"/>
  <c r="AF42" i="230" s="1"/>
  <c r="AF43" i="230" s="1"/>
  <c r="AF44" i="230" s="1"/>
  <c r="AF45" i="230" s="1"/>
  <c r="AG40" i="230"/>
  <c r="AG41" i="230" s="1"/>
  <c r="AG42" i="230" s="1"/>
  <c r="AG43" i="230" s="1"/>
  <c r="AG44" i="230" s="1"/>
  <c r="AG45" i="230" s="1"/>
  <c r="AH40" i="230"/>
  <c r="AH41" i="230" s="1"/>
  <c r="AH42" i="230" s="1"/>
  <c r="AH43" i="230" s="1"/>
  <c r="AH44" i="230" s="1"/>
  <c r="AH45" i="230" s="1"/>
  <c r="AH46" i="230" s="1"/>
  <c r="AH47" i="230" s="1"/>
  <c r="AG50" i="230"/>
  <c r="AG51" i="230" s="1"/>
  <c r="AG52" i="230" s="1"/>
  <c r="AG53" i="230" s="1"/>
  <c r="AG54" i="230" s="1"/>
  <c r="AG55" i="230" s="1"/>
  <c r="AG56" i="230" s="1"/>
  <c r="K22" i="125" l="1"/>
  <c r="AJ13" i="230"/>
  <c r="AJ14" i="230"/>
  <c r="AJ15" i="230"/>
  <c r="AH48" i="230"/>
  <c r="AH49" i="230" s="1"/>
  <c r="AH50" i="230" s="1"/>
  <c r="AH51" i="230" s="1"/>
  <c r="AH52" i="230" s="1"/>
  <c r="AH53" i="230" s="1"/>
  <c r="AH54" i="230" s="1"/>
  <c r="AH55" i="230" s="1"/>
  <c r="AH56" i="230" s="1"/>
  <c r="AH57" i="230" s="1"/>
  <c r="AH58" i="230" s="1"/>
  <c r="AG46" i="230"/>
  <c r="AG47" i="230" s="1"/>
  <c r="AB11" i="230"/>
  <c r="AJ11" i="230"/>
  <c r="AG57" i="230"/>
  <c r="AG58" i="230" s="1"/>
  <c r="AB8" i="230"/>
  <c r="Z11" i="230"/>
  <c r="AF46" i="230"/>
  <c r="AF47" i="230" s="1"/>
  <c r="Z14" i="230"/>
  <c r="AE22" i="125" l="1"/>
  <c r="P22" i="125"/>
  <c r="W22" i="125"/>
  <c r="AA22" i="125"/>
  <c r="Y22" i="125"/>
  <c r="AJ22" i="125"/>
  <c r="Z22" i="125"/>
  <c r="S22" i="125"/>
  <c r="O22" i="125"/>
  <c r="AH22" i="125"/>
  <c r="AC22" i="125"/>
  <c r="T22" i="125"/>
  <c r="AL22" i="125"/>
  <c r="M22" i="125"/>
  <c r="U22" i="125"/>
  <c r="X22" i="125"/>
  <c r="L22" i="125"/>
  <c r="N22" i="125"/>
  <c r="AB22" i="125"/>
  <c r="Q22" i="125"/>
  <c r="R22" i="125"/>
  <c r="AG22" i="125"/>
  <c r="AF22" i="125"/>
  <c r="AK22" i="125"/>
  <c r="AI22" i="125"/>
  <c r="AD22" i="125"/>
  <c r="K23" i="125"/>
  <c r="AG48" i="230"/>
  <c r="AB14" i="230"/>
  <c r="AB13" i="230"/>
  <c r="Z13" i="230"/>
  <c r="Z15" i="230"/>
  <c r="AF48" i="230"/>
  <c r="AF49" i="230" s="1"/>
  <c r="AF50" i="230" s="1"/>
  <c r="AF51" i="230" s="1"/>
  <c r="AF52" i="230" s="1"/>
  <c r="AF53" i="230" s="1"/>
  <c r="AF54" i="230" s="1"/>
  <c r="AF55" i="230" s="1"/>
  <c r="AF56" i="230" s="1"/>
  <c r="AH59" i="230"/>
  <c r="AJ9" i="230"/>
  <c r="AJ8" i="230"/>
  <c r="AB9" i="230"/>
  <c r="AG59" i="230"/>
  <c r="AB15" i="230"/>
  <c r="AB23" i="125" l="1"/>
  <c r="AF23" i="125"/>
  <c r="AJ23" i="125"/>
  <c r="N23" i="125"/>
  <c r="L23" i="125"/>
  <c r="Z23" i="125"/>
  <c r="AC23" i="125"/>
  <c r="AH23" i="125"/>
  <c r="AD23" i="125"/>
  <c r="P23" i="125"/>
  <c r="O23" i="125"/>
  <c r="S23" i="125"/>
  <c r="AK23" i="125"/>
  <c r="AI23" i="125"/>
  <c r="Q23" i="125"/>
  <c r="AA23" i="125"/>
  <c r="R23" i="125"/>
  <c r="M23" i="125"/>
  <c r="AE23" i="125"/>
  <c r="T23" i="125"/>
  <c r="W23" i="125"/>
  <c r="AG23" i="125"/>
  <c r="U23" i="125"/>
  <c r="AL23" i="125"/>
  <c r="X23" i="125"/>
  <c r="Y23" i="125"/>
  <c r="K24" i="125"/>
  <c r="AJ7" i="230"/>
  <c r="AJ10" i="230"/>
  <c r="AB7" i="230"/>
  <c r="AB10" i="230"/>
  <c r="AF57" i="230"/>
  <c r="AF58" i="230" s="1"/>
  <c r="Z8" i="230"/>
  <c r="AF24" i="125" l="1"/>
  <c r="O24" i="125"/>
  <c r="AH24" i="125"/>
  <c r="AA24" i="125"/>
  <c r="AE24" i="125"/>
  <c r="AD24" i="125"/>
  <c r="T24" i="125"/>
  <c r="R24" i="125"/>
  <c r="AI24" i="125"/>
  <c r="AK24" i="125"/>
  <c r="L24" i="125"/>
  <c r="Q24" i="125"/>
  <c r="S24" i="125"/>
  <c r="Y24" i="125"/>
  <c r="N24" i="125"/>
  <c r="AC24" i="125"/>
  <c r="AL24" i="125"/>
  <c r="Z24" i="125"/>
  <c r="W24" i="125"/>
  <c r="AG24" i="125"/>
  <c r="AJ24" i="125"/>
  <c r="P24" i="125"/>
  <c r="AB24" i="125"/>
  <c r="U24" i="125"/>
  <c r="X24" i="125"/>
  <c r="M24" i="125"/>
  <c r="K25" i="124"/>
  <c r="K25" i="125"/>
  <c r="AF59" i="230"/>
  <c r="Z9" i="230"/>
  <c r="R25" i="125" l="1"/>
  <c r="O25" i="125"/>
  <c r="U25" i="125"/>
  <c r="L25" i="125"/>
  <c r="AF25" i="125"/>
  <c r="AH25" i="125"/>
  <c r="N25" i="125"/>
  <c r="AL25" i="125"/>
  <c r="X25" i="125"/>
  <c r="T25" i="125"/>
  <c r="AA25" i="125"/>
  <c r="P25" i="125"/>
  <c r="Q25" i="125"/>
  <c r="M25" i="125"/>
  <c r="Z25" i="125"/>
  <c r="AE25" i="125"/>
  <c r="AD25" i="125"/>
  <c r="AB25" i="125"/>
  <c r="AJ25" i="125"/>
  <c r="Y25" i="125"/>
  <c r="AC25" i="125"/>
  <c r="AG25" i="125"/>
  <c r="S25" i="125"/>
  <c r="AK25" i="125"/>
  <c r="AI25" i="125"/>
  <c r="W25" i="125"/>
  <c r="K26" i="124"/>
  <c r="K26" i="125"/>
  <c r="Z10" i="230"/>
  <c r="Z7" i="230"/>
  <c r="M26" i="125" l="1"/>
  <c r="AI26" i="125"/>
  <c r="P26" i="125"/>
  <c r="AA26" i="125"/>
  <c r="W26" i="125"/>
  <c r="Q26" i="125"/>
  <c r="AE26" i="125"/>
  <c r="AJ26" i="125"/>
  <c r="S26" i="125"/>
  <c r="R26" i="125"/>
  <c r="AK26" i="125"/>
  <c r="Y26" i="125"/>
  <c r="T26" i="125"/>
  <c r="AC26" i="125"/>
  <c r="AL26" i="125"/>
  <c r="U26" i="125"/>
  <c r="AD26" i="125"/>
  <c r="L26" i="125"/>
  <c r="Z26" i="125"/>
  <c r="O26" i="125"/>
  <c r="N26" i="125"/>
  <c r="AG26" i="125"/>
  <c r="AF26" i="125"/>
  <c r="AH26" i="125"/>
  <c r="X26" i="125"/>
  <c r="AB26" i="125"/>
  <c r="K27" i="124"/>
  <c r="K28" i="124" s="1"/>
  <c r="K29" i="124" s="1"/>
  <c r="K30" i="124" s="1"/>
  <c r="K31" i="124" s="1"/>
  <c r="K32" i="124" s="1"/>
  <c r="K33" i="124" s="1"/>
  <c r="K34" i="124" s="1"/>
  <c r="K27" i="125"/>
  <c r="C21" i="125"/>
  <c r="C20" i="125"/>
  <c r="C13" i="125"/>
  <c r="C12" i="125"/>
  <c r="C11" i="125"/>
  <c r="C3" i="125"/>
  <c r="C17" i="125"/>
  <c r="A1" i="229"/>
  <c r="B5" i="229" s="1"/>
  <c r="B4" i="229"/>
  <c r="R6" i="229"/>
  <c r="R7" i="229"/>
  <c r="R8" i="229"/>
  <c r="R9" i="229"/>
  <c r="R10" i="229"/>
  <c r="R11" i="229"/>
  <c r="R12" i="229"/>
  <c r="R13" i="229"/>
  <c r="R14" i="229"/>
  <c r="R15" i="229"/>
  <c r="R16" i="229"/>
  <c r="AF40" i="229"/>
  <c r="AF41" i="229" s="1"/>
  <c r="AF42" i="229" s="1"/>
  <c r="AF43" i="229" s="1"/>
  <c r="AF44" i="229" s="1"/>
  <c r="AF45" i="229" s="1"/>
  <c r="AG40" i="229"/>
  <c r="AG41" i="229" s="1"/>
  <c r="AG42" i="229" s="1"/>
  <c r="AG43" i="229" s="1"/>
  <c r="AG44" i="229" s="1"/>
  <c r="AG45" i="229" s="1"/>
  <c r="AG46" i="229" s="1"/>
  <c r="AG47" i="229" s="1"/>
  <c r="AH40" i="229"/>
  <c r="AH41" i="229" s="1"/>
  <c r="AH42" i="229" s="1"/>
  <c r="AH43" i="229" s="1"/>
  <c r="AH44" i="229" s="1"/>
  <c r="AH45" i="229" s="1"/>
  <c r="AH46" i="229" s="1"/>
  <c r="AH47" i="229" s="1"/>
  <c r="AG50" i="229"/>
  <c r="AG51" i="229" s="1"/>
  <c r="AG52" i="229" s="1"/>
  <c r="AG53" i="229" s="1"/>
  <c r="AG54" i="229" s="1"/>
  <c r="AG55" i="229" s="1"/>
  <c r="AG56" i="229" s="1"/>
  <c r="AG57" i="229" s="1"/>
  <c r="AG58" i="229" s="1"/>
  <c r="AC27" i="125" l="1"/>
  <c r="AI27" i="125"/>
  <c r="AG27" i="125"/>
  <c r="R27" i="125"/>
  <c r="AB27" i="125"/>
  <c r="O27" i="125"/>
  <c r="AL27" i="125"/>
  <c r="Y27" i="125"/>
  <c r="AE27" i="125"/>
  <c r="X27" i="125"/>
  <c r="T27" i="125"/>
  <c r="P27" i="125"/>
  <c r="Q27" i="125"/>
  <c r="W27" i="125"/>
  <c r="Z27" i="125"/>
  <c r="AK27" i="125"/>
  <c r="AH27" i="125"/>
  <c r="M27" i="125"/>
  <c r="L27" i="125"/>
  <c r="S27" i="125"/>
  <c r="AJ27" i="125"/>
  <c r="N27" i="125"/>
  <c r="AD27" i="125"/>
  <c r="U27" i="125"/>
  <c r="AA27" i="125"/>
  <c r="AF27" i="125"/>
  <c r="AB11" i="229"/>
  <c r="AF46" i="229"/>
  <c r="AF47" i="229" s="1"/>
  <c r="Z11" i="229"/>
  <c r="AB14" i="229"/>
  <c r="AG48" i="229"/>
  <c r="AB13" i="229"/>
  <c r="AJ14" i="229"/>
  <c r="AH48" i="229"/>
  <c r="AH49" i="229" s="1"/>
  <c r="AH50" i="229" s="1"/>
  <c r="AH51" i="229" s="1"/>
  <c r="AH52" i="229" s="1"/>
  <c r="AH53" i="229" s="1"/>
  <c r="AH54" i="229" s="1"/>
  <c r="AH55" i="229" s="1"/>
  <c r="AH56" i="229" s="1"/>
  <c r="AH57" i="229" s="1"/>
  <c r="AH58" i="229" s="1"/>
  <c r="AH59" i="229" s="1"/>
  <c r="AJ7" i="229" s="1"/>
  <c r="AJ13" i="229"/>
  <c r="AJ15" i="229"/>
  <c r="AB9" i="229"/>
  <c r="AG59" i="229"/>
  <c r="AB10" i="229" s="1"/>
  <c r="AB8" i="229"/>
  <c r="AB15" i="229"/>
  <c r="AJ11" i="229"/>
  <c r="O4" i="125"/>
  <c r="O21" i="125" l="1"/>
  <c r="O20" i="125"/>
  <c r="O19" i="125"/>
  <c r="O17" i="125"/>
  <c r="O16" i="125"/>
  <c r="O18" i="125"/>
  <c r="O7" i="125"/>
  <c r="O13" i="125"/>
  <c r="O6" i="125"/>
  <c r="O12" i="125"/>
  <c r="O5" i="125"/>
  <c r="O11" i="125"/>
  <c r="O10" i="125"/>
  <c r="O9" i="125"/>
  <c r="O15" i="125"/>
  <c r="O8" i="125"/>
  <c r="O14" i="125"/>
  <c r="Z13" i="229"/>
  <c r="Z14" i="229"/>
  <c r="AF48" i="229"/>
  <c r="AF49" i="229" s="1"/>
  <c r="AF50" i="229" s="1"/>
  <c r="AF51" i="229" s="1"/>
  <c r="AF52" i="229" s="1"/>
  <c r="AF53" i="229" s="1"/>
  <c r="AF54" i="229" s="1"/>
  <c r="AF55" i="229" s="1"/>
  <c r="AF56" i="229" s="1"/>
  <c r="AJ9" i="229"/>
  <c r="AJ10" i="229"/>
  <c r="AB7" i="229"/>
  <c r="AJ8" i="229"/>
  <c r="Z15" i="229"/>
  <c r="AF57" i="229" l="1"/>
  <c r="AF58" i="229" s="1"/>
  <c r="Z8" i="229"/>
  <c r="B42" i="125"/>
  <c r="C42" i="125"/>
  <c r="AF59" i="229" l="1"/>
  <c r="Z9" i="229"/>
  <c r="Z10" i="229" l="1"/>
  <c r="Z7" i="229"/>
  <c r="C40" i="125"/>
  <c r="B40" i="125"/>
  <c r="B41" i="125"/>
  <c r="C41" i="125"/>
  <c r="B43" i="125"/>
  <c r="C43" i="125"/>
  <c r="Q37" i="124" l="1"/>
  <c r="AN24" i="124" l="1"/>
  <c r="AN25" i="124"/>
  <c r="AN26" i="124"/>
  <c r="AN27" i="124"/>
  <c r="AN28" i="124"/>
  <c r="K93" i="124" l="1"/>
  <c r="K94" i="124"/>
  <c r="K95" i="124"/>
  <c r="K96" i="124"/>
  <c r="K97" i="124"/>
  <c r="K98" i="124"/>
  <c r="K99" i="124"/>
  <c r="K100" i="124"/>
  <c r="K101" i="124"/>
  <c r="K102" i="124"/>
  <c r="K103" i="124"/>
  <c r="K104" i="124"/>
  <c r="K58" i="124"/>
  <c r="K59" i="124"/>
  <c r="K60" i="124"/>
  <c r="K61" i="124"/>
  <c r="K62" i="124"/>
  <c r="K63" i="124"/>
  <c r="K64" i="124"/>
  <c r="K65" i="124"/>
  <c r="K66" i="124"/>
  <c r="K67" i="124"/>
  <c r="K68" i="124"/>
  <c r="K69" i="124"/>
  <c r="K64" i="125" l="1"/>
  <c r="AN33" i="125"/>
  <c r="AN32" i="125"/>
  <c r="AN31" i="125"/>
  <c r="K65" i="125"/>
  <c r="T65" i="125" l="1"/>
  <c r="U65" i="125"/>
  <c r="L65" i="125"/>
  <c r="M65" i="125"/>
  <c r="N65" i="125"/>
  <c r="O65" i="125"/>
  <c r="P65" i="125"/>
  <c r="S65" i="125"/>
  <c r="Q65" i="125"/>
  <c r="R65" i="125"/>
  <c r="R64" i="125"/>
  <c r="S64" i="125"/>
  <c r="T64" i="125"/>
  <c r="L64" i="125"/>
  <c r="M64" i="125"/>
  <c r="N64" i="125"/>
  <c r="Q64" i="125"/>
  <c r="O64" i="125"/>
  <c r="P64" i="125"/>
  <c r="U64" i="125"/>
  <c r="AN28" i="125"/>
  <c r="K61" i="125"/>
  <c r="K99" i="125"/>
  <c r="K66" i="125"/>
  <c r="K67" i="125"/>
  <c r="AN34" i="125"/>
  <c r="AN26" i="125"/>
  <c r="AN25" i="125"/>
  <c r="K59" i="125"/>
  <c r="AN27" i="125"/>
  <c r="K60" i="125"/>
  <c r="K58" i="125"/>
  <c r="K62" i="125"/>
  <c r="AN29" i="125"/>
  <c r="AN30" i="125"/>
  <c r="K63" i="125"/>
  <c r="K100" i="125"/>
  <c r="L61" i="125" l="1"/>
  <c r="M61" i="125"/>
  <c r="N61" i="125"/>
  <c r="P61" i="125"/>
  <c r="Q61" i="125"/>
  <c r="R61" i="125"/>
  <c r="S61" i="125"/>
  <c r="T61" i="125"/>
  <c r="O61" i="125"/>
  <c r="U61" i="125"/>
  <c r="R58" i="125"/>
  <c r="S58" i="125"/>
  <c r="T58" i="125"/>
  <c r="L58" i="125"/>
  <c r="M58" i="125"/>
  <c r="N58" i="125"/>
  <c r="Q58" i="125"/>
  <c r="O58" i="125"/>
  <c r="P58" i="125"/>
  <c r="U58" i="125"/>
  <c r="L66" i="125"/>
  <c r="N66" i="125"/>
  <c r="O66" i="125"/>
  <c r="P66" i="125"/>
  <c r="Q66" i="125"/>
  <c r="R66" i="125"/>
  <c r="U66" i="125"/>
  <c r="M66" i="125"/>
  <c r="S66" i="125"/>
  <c r="T66" i="125"/>
  <c r="R99" i="125"/>
  <c r="S99" i="125"/>
  <c r="T99" i="125"/>
  <c r="L99" i="125"/>
  <c r="M99" i="125"/>
  <c r="N99" i="125"/>
  <c r="Q99" i="125"/>
  <c r="O99" i="125"/>
  <c r="P99" i="125"/>
  <c r="U99" i="125"/>
  <c r="L60" i="125"/>
  <c r="N60" i="125"/>
  <c r="O60" i="125"/>
  <c r="P60" i="125"/>
  <c r="Q60" i="125"/>
  <c r="R60" i="125"/>
  <c r="U60" i="125"/>
  <c r="S60" i="125"/>
  <c r="T60" i="125"/>
  <c r="M60" i="125"/>
  <c r="N62" i="125"/>
  <c r="O62" i="125"/>
  <c r="P62" i="125"/>
  <c r="R62" i="125"/>
  <c r="S62" i="125"/>
  <c r="T62" i="125"/>
  <c r="U62" i="125"/>
  <c r="M62" i="125"/>
  <c r="L62" i="125"/>
  <c r="Q62" i="125"/>
  <c r="T59" i="125"/>
  <c r="U59" i="125"/>
  <c r="L59" i="125"/>
  <c r="M59" i="125"/>
  <c r="N59" i="125"/>
  <c r="O59" i="125"/>
  <c r="P59" i="125"/>
  <c r="S59" i="125"/>
  <c r="Q59" i="125"/>
  <c r="R59" i="125"/>
  <c r="P63" i="125"/>
  <c r="Q63" i="125"/>
  <c r="R63" i="125"/>
  <c r="T63" i="125"/>
  <c r="U63" i="125"/>
  <c r="L63" i="125"/>
  <c r="O63" i="125"/>
  <c r="M63" i="125"/>
  <c r="N63" i="125"/>
  <c r="S63" i="125"/>
  <c r="T100" i="125"/>
  <c r="U100" i="125"/>
  <c r="L100" i="125"/>
  <c r="M100" i="125"/>
  <c r="N100" i="125"/>
  <c r="O100" i="125"/>
  <c r="P100" i="125"/>
  <c r="S100" i="125"/>
  <c r="Q100" i="125"/>
  <c r="R100" i="125"/>
  <c r="L67" i="125"/>
  <c r="M67" i="125"/>
  <c r="N67" i="125"/>
  <c r="P67" i="125"/>
  <c r="Q67" i="125"/>
  <c r="R67" i="125"/>
  <c r="S67" i="125"/>
  <c r="T67" i="125"/>
  <c r="O67" i="125"/>
  <c r="U67" i="125"/>
  <c r="K101" i="125"/>
  <c r="K96" i="125"/>
  <c r="K93" i="125"/>
  <c r="K102" i="125"/>
  <c r="K94" i="125"/>
  <c r="K95" i="125"/>
  <c r="K97" i="125"/>
  <c r="K98" i="125"/>
  <c r="L95" i="125" l="1"/>
  <c r="N95" i="125"/>
  <c r="O95" i="125"/>
  <c r="P95" i="125"/>
  <c r="Q95" i="125"/>
  <c r="R95" i="125"/>
  <c r="U95" i="125"/>
  <c r="S95" i="125"/>
  <c r="T95" i="125"/>
  <c r="M95" i="125"/>
  <c r="N97" i="125"/>
  <c r="O97" i="125"/>
  <c r="P97" i="125"/>
  <c r="R97" i="125"/>
  <c r="S97" i="125"/>
  <c r="T97" i="125"/>
  <c r="U97" i="125"/>
  <c r="M97" i="125"/>
  <c r="L97" i="125"/>
  <c r="Q97" i="125"/>
  <c r="T94" i="125"/>
  <c r="U94" i="125"/>
  <c r="L94" i="125"/>
  <c r="M94" i="125"/>
  <c r="N94" i="125"/>
  <c r="O94" i="125"/>
  <c r="P94" i="125"/>
  <c r="S94" i="125"/>
  <c r="Q94" i="125"/>
  <c r="R94" i="125"/>
  <c r="R93" i="125"/>
  <c r="S93" i="125"/>
  <c r="T93" i="125"/>
  <c r="L93" i="125"/>
  <c r="M93" i="125"/>
  <c r="N93" i="125"/>
  <c r="Q93" i="125"/>
  <c r="O93" i="125"/>
  <c r="P93" i="125"/>
  <c r="U93" i="125"/>
  <c r="L96" i="125"/>
  <c r="M96" i="125"/>
  <c r="N96" i="125"/>
  <c r="P96" i="125"/>
  <c r="Q96" i="125"/>
  <c r="R96" i="125"/>
  <c r="S96" i="125"/>
  <c r="T96" i="125"/>
  <c r="O96" i="125"/>
  <c r="U96" i="125"/>
  <c r="P98" i="125"/>
  <c r="Q98" i="125"/>
  <c r="R98" i="125"/>
  <c r="T98" i="125"/>
  <c r="U98" i="125"/>
  <c r="L98" i="125"/>
  <c r="O98" i="125"/>
  <c r="M98" i="125"/>
  <c r="N98" i="125"/>
  <c r="S98" i="125"/>
  <c r="L102" i="125"/>
  <c r="M102" i="125"/>
  <c r="N102" i="125"/>
  <c r="P102" i="125"/>
  <c r="Q102" i="125"/>
  <c r="R102" i="125"/>
  <c r="S102" i="125"/>
  <c r="T102" i="125"/>
  <c r="O102" i="125"/>
  <c r="U102" i="125"/>
  <c r="L101" i="125"/>
  <c r="N101" i="125"/>
  <c r="O101" i="125"/>
  <c r="P101" i="125"/>
  <c r="Q101" i="125"/>
  <c r="R101" i="125"/>
  <c r="U101" i="125"/>
  <c r="M101" i="125"/>
  <c r="S101" i="125"/>
  <c r="T101" i="125"/>
  <c r="AQ4" i="125"/>
  <c r="AR4" i="125"/>
  <c r="AS4" i="125"/>
  <c r="AT4" i="125"/>
  <c r="AU4" i="125"/>
  <c r="AV4" i="125"/>
  <c r="AW4" i="125"/>
  <c r="AP4" i="125"/>
  <c r="AS7" i="125" l="1"/>
  <c r="AS10" i="125"/>
  <c r="AS13" i="125"/>
  <c r="AS16" i="125"/>
  <c r="AS19" i="125"/>
  <c r="AS22" i="125"/>
  <c r="AS25" i="125"/>
  <c r="AS28" i="125"/>
  <c r="AS31" i="125"/>
  <c r="AS34" i="125"/>
  <c r="AS6" i="125"/>
  <c r="AS9" i="125"/>
  <c r="AS12" i="125"/>
  <c r="AS15" i="125"/>
  <c r="AS18" i="125"/>
  <c r="AS21" i="125"/>
  <c r="AS24" i="125"/>
  <c r="AS27" i="125"/>
  <c r="AS30" i="125"/>
  <c r="AS33" i="125"/>
  <c r="AS5" i="125"/>
  <c r="AS8" i="125"/>
  <c r="AS11" i="125"/>
  <c r="AS14" i="125"/>
  <c r="AS17" i="125"/>
  <c r="AS20" i="125"/>
  <c r="AS23" i="125"/>
  <c r="AS26" i="125"/>
  <c r="AS29" i="125"/>
  <c r="AS32" i="125"/>
  <c r="AR6" i="125"/>
  <c r="AR9" i="125"/>
  <c r="AR12" i="125"/>
  <c r="AR15" i="125"/>
  <c r="AR18" i="125"/>
  <c r="AR21" i="125"/>
  <c r="AR24" i="125"/>
  <c r="AR27" i="125"/>
  <c r="AR30" i="125"/>
  <c r="AR33" i="125"/>
  <c r="AR5" i="125"/>
  <c r="AR8" i="125"/>
  <c r="AR11" i="125"/>
  <c r="AR14" i="125"/>
  <c r="AR17" i="125"/>
  <c r="AR20" i="125"/>
  <c r="AR23" i="125"/>
  <c r="AR26" i="125"/>
  <c r="AR29" i="125"/>
  <c r="AR32" i="125"/>
  <c r="AR7" i="125"/>
  <c r="AR10" i="125"/>
  <c r="AR13" i="125"/>
  <c r="AR16" i="125"/>
  <c r="AR19" i="125"/>
  <c r="AR22" i="125"/>
  <c r="AR25" i="125"/>
  <c r="AR28" i="125"/>
  <c r="AR31" i="125"/>
  <c r="AR34" i="125"/>
  <c r="AT7" i="125"/>
  <c r="AT10" i="125"/>
  <c r="AT13" i="125"/>
  <c r="AT16" i="125"/>
  <c r="AT19" i="125"/>
  <c r="AT22" i="125"/>
  <c r="AT25" i="125"/>
  <c r="AT28" i="125"/>
  <c r="AT31" i="125"/>
  <c r="AT34" i="125"/>
  <c r="AT6" i="125"/>
  <c r="AT9" i="125"/>
  <c r="AT12" i="125"/>
  <c r="AT15" i="125"/>
  <c r="AT18" i="125"/>
  <c r="AT21" i="125"/>
  <c r="AT24" i="125"/>
  <c r="AT27" i="125"/>
  <c r="AT30" i="125"/>
  <c r="AT33" i="125"/>
  <c r="AT5" i="125"/>
  <c r="AT8" i="125"/>
  <c r="AT11" i="125"/>
  <c r="AT14" i="125"/>
  <c r="AT17" i="125"/>
  <c r="AT20" i="125"/>
  <c r="AT23" i="125"/>
  <c r="AT26" i="125"/>
  <c r="AT29" i="125"/>
  <c r="AT32" i="125"/>
  <c r="AQ6" i="125"/>
  <c r="AQ9" i="125"/>
  <c r="AQ12" i="125"/>
  <c r="AQ15" i="125"/>
  <c r="AQ18" i="125"/>
  <c r="AQ21" i="125"/>
  <c r="AQ24" i="125"/>
  <c r="AQ27" i="125"/>
  <c r="AQ30" i="125"/>
  <c r="AQ33" i="125"/>
  <c r="AQ5" i="125"/>
  <c r="AQ8" i="125"/>
  <c r="AQ11" i="125"/>
  <c r="AQ14" i="125"/>
  <c r="AQ17" i="125"/>
  <c r="AQ20" i="125"/>
  <c r="AQ23" i="125"/>
  <c r="AQ26" i="125"/>
  <c r="AQ29" i="125"/>
  <c r="AQ32" i="125"/>
  <c r="AQ7" i="125"/>
  <c r="AQ10" i="125"/>
  <c r="AQ13" i="125"/>
  <c r="AQ16" i="125"/>
  <c r="AQ19" i="125"/>
  <c r="AQ22" i="125"/>
  <c r="AQ25" i="125"/>
  <c r="AQ28" i="125"/>
  <c r="AQ31" i="125"/>
  <c r="AQ34" i="125"/>
  <c r="AP6" i="125"/>
  <c r="AP9" i="125"/>
  <c r="AP12" i="125"/>
  <c r="AP15" i="125"/>
  <c r="AP18" i="125"/>
  <c r="AP21" i="125"/>
  <c r="AP24" i="125"/>
  <c r="AP27" i="125"/>
  <c r="AP30" i="125"/>
  <c r="AP33" i="125"/>
  <c r="AP5" i="125"/>
  <c r="AP8" i="125"/>
  <c r="AP11" i="125"/>
  <c r="AP14" i="125"/>
  <c r="AP17" i="125"/>
  <c r="AP20" i="125"/>
  <c r="AP23" i="125"/>
  <c r="AP26" i="125"/>
  <c r="AP29" i="125"/>
  <c r="AP32" i="125"/>
  <c r="AP7" i="125"/>
  <c r="AP10" i="125"/>
  <c r="AP13" i="125"/>
  <c r="AP16" i="125"/>
  <c r="AP19" i="125"/>
  <c r="AP22" i="125"/>
  <c r="AP25" i="125"/>
  <c r="AP28" i="125"/>
  <c r="AP31" i="125"/>
  <c r="AP34" i="125"/>
  <c r="AW5" i="125"/>
  <c r="AW8" i="125"/>
  <c r="AW11" i="125"/>
  <c r="AW14" i="125"/>
  <c r="AW17" i="125"/>
  <c r="AW20" i="125"/>
  <c r="AW23" i="125"/>
  <c r="AW26" i="125"/>
  <c r="AW29" i="125"/>
  <c r="AW32" i="125"/>
  <c r="AW7" i="125"/>
  <c r="AW10" i="125"/>
  <c r="AW13" i="125"/>
  <c r="AW16" i="125"/>
  <c r="AW19" i="125"/>
  <c r="AW22" i="125"/>
  <c r="AW25" i="125"/>
  <c r="AW28" i="125"/>
  <c r="AW31" i="125"/>
  <c r="AW34" i="125"/>
  <c r="AW6" i="125"/>
  <c r="AW9" i="125"/>
  <c r="AW12" i="125"/>
  <c r="AW15" i="125"/>
  <c r="AW18" i="125"/>
  <c r="AW21" i="125"/>
  <c r="AW24" i="125"/>
  <c r="AW27" i="125"/>
  <c r="AW30" i="125"/>
  <c r="AW33" i="125"/>
  <c r="AV7" i="125"/>
  <c r="AV10" i="125"/>
  <c r="AV13" i="125"/>
  <c r="AV16" i="125"/>
  <c r="AV19" i="125"/>
  <c r="AV22" i="125"/>
  <c r="AV25" i="125"/>
  <c r="AV28" i="125"/>
  <c r="AV31" i="125"/>
  <c r="AV34" i="125"/>
  <c r="AV6" i="125"/>
  <c r="AV9" i="125"/>
  <c r="AV12" i="125"/>
  <c r="AV15" i="125"/>
  <c r="AV18" i="125"/>
  <c r="AV21" i="125"/>
  <c r="AV24" i="125"/>
  <c r="AV27" i="125"/>
  <c r="AV30" i="125"/>
  <c r="AV33" i="125"/>
  <c r="AV5" i="125"/>
  <c r="AV8" i="125"/>
  <c r="AV11" i="125"/>
  <c r="AV14" i="125"/>
  <c r="AV17" i="125"/>
  <c r="AV20" i="125"/>
  <c r="AV23" i="125"/>
  <c r="AV26" i="125"/>
  <c r="AV29" i="125"/>
  <c r="AV32" i="125"/>
  <c r="AU7" i="125"/>
  <c r="AU10" i="125"/>
  <c r="AU13" i="125"/>
  <c r="AU16" i="125"/>
  <c r="AU19" i="125"/>
  <c r="AU22" i="125"/>
  <c r="AU25" i="125"/>
  <c r="AU28" i="125"/>
  <c r="AU31" i="125"/>
  <c r="AU34" i="125"/>
  <c r="AU6" i="125"/>
  <c r="AU9" i="125"/>
  <c r="AU12" i="125"/>
  <c r="AU15" i="125"/>
  <c r="AU18" i="125"/>
  <c r="AU21" i="125"/>
  <c r="AU24" i="125"/>
  <c r="AU27" i="125"/>
  <c r="AU30" i="125"/>
  <c r="AU33" i="125"/>
  <c r="AU5" i="125"/>
  <c r="AU8" i="125"/>
  <c r="AU11" i="125"/>
  <c r="AU14" i="125"/>
  <c r="AU17" i="125"/>
  <c r="AU20" i="125"/>
  <c r="AU23" i="125"/>
  <c r="AU26" i="125"/>
  <c r="AU29" i="125"/>
  <c r="AU32" i="125"/>
  <c r="K47" i="125"/>
  <c r="K49" i="125"/>
  <c r="K38" i="125"/>
  <c r="K44" i="125"/>
  <c r="K39" i="125"/>
  <c r="K45" i="125"/>
  <c r="K40" i="125"/>
  <c r="K74" i="125" l="1"/>
  <c r="K50" i="125"/>
  <c r="K75" i="125"/>
  <c r="K56" i="125"/>
  <c r="K52" i="125"/>
  <c r="K82" i="125"/>
  <c r="K79" i="125"/>
  <c r="K80" i="125"/>
  <c r="K84" i="125"/>
  <c r="K43" i="125"/>
  <c r="K41" i="125"/>
  <c r="K53" i="125"/>
  <c r="K57" i="125"/>
  <c r="K54" i="125"/>
  <c r="K55" i="125"/>
  <c r="K42" i="125"/>
  <c r="K46" i="125"/>
  <c r="K51" i="125"/>
  <c r="K48" i="125"/>
  <c r="R37" i="124"/>
  <c r="P57" i="125" l="1"/>
  <c r="Q57" i="125"/>
  <c r="R57" i="125"/>
  <c r="T57" i="125"/>
  <c r="U57" i="125"/>
  <c r="L57" i="125"/>
  <c r="O57" i="125"/>
  <c r="M57" i="125"/>
  <c r="N57" i="125"/>
  <c r="S57" i="125"/>
  <c r="K91" i="125"/>
  <c r="N56" i="125"/>
  <c r="O56" i="125"/>
  <c r="P56" i="125"/>
  <c r="R56" i="125"/>
  <c r="S56" i="125"/>
  <c r="T56" i="125"/>
  <c r="U56" i="125"/>
  <c r="M56" i="125"/>
  <c r="L56" i="125"/>
  <c r="Q56" i="125"/>
  <c r="L55" i="125"/>
  <c r="M55" i="125"/>
  <c r="N55" i="125"/>
  <c r="P55" i="125"/>
  <c r="Q55" i="125"/>
  <c r="R55" i="125"/>
  <c r="S55" i="125"/>
  <c r="T55" i="125"/>
  <c r="U55" i="125"/>
  <c r="O55" i="125"/>
  <c r="K85" i="125"/>
  <c r="K87" i="125"/>
  <c r="K92" i="125"/>
  <c r="K86" i="125"/>
  <c r="K77" i="125"/>
  <c r="K90" i="125"/>
  <c r="K81" i="125"/>
  <c r="K89" i="125"/>
  <c r="K83" i="125"/>
  <c r="K88" i="125"/>
  <c r="K78" i="125"/>
  <c r="K76" i="125"/>
  <c r="K78" i="124"/>
  <c r="K79" i="124"/>
  <c r="K80" i="124"/>
  <c r="K81" i="124"/>
  <c r="K82" i="124"/>
  <c r="K83" i="124"/>
  <c r="K84" i="124"/>
  <c r="K85" i="124"/>
  <c r="K86" i="124"/>
  <c r="K87" i="124"/>
  <c r="K88" i="124"/>
  <c r="K89" i="124"/>
  <c r="K90" i="124"/>
  <c r="K91" i="124"/>
  <c r="K92" i="124"/>
  <c r="N91" i="125" l="1"/>
  <c r="O91" i="125"/>
  <c r="P91" i="125"/>
  <c r="R91" i="125"/>
  <c r="S91" i="125"/>
  <c r="T91" i="125"/>
  <c r="U91" i="125"/>
  <c r="M91" i="125"/>
  <c r="L91" i="125"/>
  <c r="Q91" i="125"/>
  <c r="L90" i="125"/>
  <c r="M90" i="125"/>
  <c r="N90" i="125"/>
  <c r="P90" i="125"/>
  <c r="Q90" i="125"/>
  <c r="R90" i="125"/>
  <c r="S90" i="125"/>
  <c r="T90" i="125"/>
  <c r="U90" i="125"/>
  <c r="O90" i="125"/>
  <c r="P92" i="125"/>
  <c r="Q92" i="125"/>
  <c r="R92" i="125"/>
  <c r="T92" i="125"/>
  <c r="U92" i="125"/>
  <c r="L92" i="125"/>
  <c r="O92" i="125"/>
  <c r="M92" i="125"/>
  <c r="N92" i="125"/>
  <c r="S92" i="125"/>
  <c r="D3" i="133"/>
  <c r="M72" i="124" l="1"/>
  <c r="N72" i="124"/>
  <c r="O72" i="124"/>
  <c r="P72" i="124"/>
  <c r="Q72" i="124"/>
  <c r="R72" i="124"/>
  <c r="S72" i="124"/>
  <c r="T72" i="124"/>
  <c r="U72" i="124"/>
  <c r="L72" i="124"/>
  <c r="AN5" i="124" l="1"/>
  <c r="AN6" i="124"/>
  <c r="AN7" i="124"/>
  <c r="AN8" i="124"/>
  <c r="AN9" i="124"/>
  <c r="AN10" i="124"/>
  <c r="AN11" i="124"/>
  <c r="AN12" i="124"/>
  <c r="AN13" i="124"/>
  <c r="AN14" i="124"/>
  <c r="AN15" i="124"/>
  <c r="AN16" i="124"/>
  <c r="AN17" i="124"/>
  <c r="AN18" i="124"/>
  <c r="AN19" i="124"/>
  <c r="AN20" i="124"/>
  <c r="AN21" i="124"/>
  <c r="AN22" i="124"/>
  <c r="AN23" i="124"/>
  <c r="AN4" i="124"/>
  <c r="B4" i="125" l="1"/>
  <c r="B5" i="125"/>
  <c r="C5" i="125"/>
  <c r="B6" i="125"/>
  <c r="C6" i="125"/>
  <c r="B7" i="125"/>
  <c r="C7" i="125"/>
  <c r="B8" i="125"/>
  <c r="C8" i="125"/>
  <c r="B9" i="125"/>
  <c r="C9" i="125"/>
  <c r="B11" i="125"/>
  <c r="B12" i="125"/>
  <c r="B13" i="125"/>
  <c r="B15" i="125"/>
  <c r="C15" i="125"/>
  <c r="B16" i="125"/>
  <c r="C16" i="125"/>
  <c r="B17" i="125"/>
  <c r="B18" i="125"/>
  <c r="C18" i="125"/>
  <c r="B31" i="125"/>
  <c r="C31" i="125"/>
  <c r="B32" i="125"/>
  <c r="C32" i="125"/>
  <c r="B33" i="125"/>
  <c r="C33" i="125"/>
  <c r="B34" i="125"/>
  <c r="C34" i="125"/>
  <c r="B35" i="125"/>
  <c r="C35" i="125"/>
  <c r="B36" i="125"/>
  <c r="C36" i="125"/>
  <c r="B37" i="125"/>
  <c r="C37" i="125"/>
  <c r="B38" i="125"/>
  <c r="C38" i="125"/>
  <c r="B20" i="125"/>
  <c r="B21" i="125"/>
  <c r="B22" i="125"/>
  <c r="C22" i="125"/>
  <c r="B24" i="125"/>
  <c r="C24" i="125"/>
  <c r="B25" i="125"/>
  <c r="C25" i="125"/>
  <c r="B3" i="125"/>
  <c r="K74" i="124" l="1"/>
  <c r="K75" i="124"/>
  <c r="K76" i="124"/>
  <c r="K77" i="124"/>
  <c r="K73" i="124"/>
  <c r="K39" i="124"/>
  <c r="K40" i="124"/>
  <c r="K41" i="124"/>
  <c r="K42" i="124"/>
  <c r="K43" i="124"/>
  <c r="K44" i="124"/>
  <c r="K45" i="124"/>
  <c r="K46" i="124"/>
  <c r="K47" i="124"/>
  <c r="K48" i="124"/>
  <c r="K49" i="124"/>
  <c r="K50" i="124"/>
  <c r="K51" i="124"/>
  <c r="K52" i="124"/>
  <c r="K53" i="124"/>
  <c r="K54" i="124"/>
  <c r="K55" i="124"/>
  <c r="K56" i="124"/>
  <c r="K57" i="124"/>
  <c r="K38" i="124"/>
  <c r="AN24" i="125" l="1"/>
  <c r="AN7" i="125"/>
  <c r="AN14" i="125"/>
  <c r="AN13" i="125"/>
  <c r="AN17" i="125"/>
  <c r="AN8" i="125"/>
  <c r="AN6" i="125"/>
  <c r="AN20" i="125"/>
  <c r="AN5" i="125"/>
  <c r="AN9" i="125"/>
  <c r="AN16" i="125"/>
  <c r="AN23" i="125"/>
  <c r="AN15" i="125"/>
  <c r="AN22" i="125"/>
  <c r="AN21" i="125"/>
  <c r="AN12" i="125"/>
  <c r="AN19" i="125"/>
  <c r="AN11" i="125"/>
  <c r="AN18" i="125"/>
  <c r="AN10" i="125"/>
  <c r="L4" i="125"/>
  <c r="M4" i="125"/>
  <c r="N4" i="125"/>
  <c r="P4" i="125"/>
  <c r="Q4" i="125"/>
  <c r="R4" i="125"/>
  <c r="S4" i="125"/>
  <c r="T4" i="125"/>
  <c r="U4" i="125"/>
  <c r="D3" i="128"/>
  <c r="AL4" i="125"/>
  <c r="AK4" i="125"/>
  <c r="AJ4" i="125"/>
  <c r="AI4" i="125"/>
  <c r="AH4" i="125"/>
  <c r="AG4" i="125"/>
  <c r="AF4" i="125"/>
  <c r="AE4" i="125"/>
  <c r="AD4" i="125"/>
  <c r="AC4" i="125"/>
  <c r="AB4" i="125"/>
  <c r="AA4" i="125"/>
  <c r="Z4" i="125"/>
  <c r="Y4" i="125"/>
  <c r="X4" i="125"/>
  <c r="W4" i="125"/>
  <c r="U37" i="124"/>
  <c r="T37" i="124"/>
  <c r="S37" i="124"/>
  <c r="P37" i="124"/>
  <c r="O37" i="124"/>
  <c r="N37" i="124"/>
  <c r="M37" i="124"/>
  <c r="L37" i="124"/>
  <c r="AH21" i="125" l="1"/>
  <c r="AH8" i="125"/>
  <c r="AH20" i="125"/>
  <c r="AH12" i="125"/>
  <c r="AH16" i="125"/>
  <c r="AH10" i="125"/>
  <c r="AH15" i="125"/>
  <c r="AH5" i="125"/>
  <c r="AH18" i="125"/>
  <c r="AH19" i="125"/>
  <c r="AH11" i="125"/>
  <c r="AH17" i="125"/>
  <c r="AH7" i="125"/>
  <c r="AH6" i="125"/>
  <c r="AH14" i="125"/>
  <c r="AH9" i="125"/>
  <c r="AH13" i="125"/>
  <c r="Z20" i="125"/>
  <c r="Z8" i="125"/>
  <c r="Z21" i="125"/>
  <c r="Z10" i="125"/>
  <c r="Z15" i="125"/>
  <c r="Z17" i="125"/>
  <c r="Z6" i="125"/>
  <c r="Z13" i="125"/>
  <c r="Z12" i="125"/>
  <c r="Z11" i="125"/>
  <c r="Z9" i="125"/>
  <c r="Z14" i="125"/>
  <c r="Z19" i="125"/>
  <c r="Z16" i="125"/>
  <c r="Z5" i="125"/>
  <c r="Z7" i="125"/>
  <c r="Z18" i="125"/>
  <c r="W20" i="125"/>
  <c r="W8" i="125"/>
  <c r="W18" i="125"/>
  <c r="W14" i="125"/>
  <c r="W19" i="125"/>
  <c r="W6" i="125"/>
  <c r="W16" i="125"/>
  <c r="W10" i="125"/>
  <c r="W15" i="125"/>
  <c r="W12" i="125"/>
  <c r="W9" i="125"/>
  <c r="W5" i="125"/>
  <c r="W17" i="125"/>
  <c r="W11" i="125"/>
  <c r="W21" i="125"/>
  <c r="W13" i="125"/>
  <c r="W7" i="125"/>
  <c r="AA8" i="125"/>
  <c r="AA5" i="125"/>
  <c r="AA7" i="125"/>
  <c r="AA16" i="125"/>
  <c r="AA15" i="125"/>
  <c r="AA17" i="125"/>
  <c r="AA13" i="125"/>
  <c r="AA11" i="125"/>
  <c r="AA10" i="125"/>
  <c r="AA12" i="125"/>
  <c r="AA20" i="125"/>
  <c r="AA14" i="125"/>
  <c r="AA21" i="125"/>
  <c r="AA9" i="125"/>
  <c r="AA19" i="125"/>
  <c r="AA6" i="125"/>
  <c r="AA18" i="125"/>
  <c r="AJ20" i="125"/>
  <c r="AJ8" i="125"/>
  <c r="AJ9" i="125"/>
  <c r="AJ19" i="125"/>
  <c r="AJ13" i="125"/>
  <c r="AJ16" i="125"/>
  <c r="AJ21" i="125"/>
  <c r="AJ10" i="125"/>
  <c r="AJ5" i="125"/>
  <c r="AJ18" i="125"/>
  <c r="AJ17" i="125"/>
  <c r="AJ11" i="125"/>
  <c r="AJ15" i="125"/>
  <c r="AJ12" i="125"/>
  <c r="AJ7" i="125"/>
  <c r="AJ6" i="125"/>
  <c r="AJ14" i="125"/>
  <c r="U6" i="125"/>
  <c r="U8" i="125"/>
  <c r="U18" i="125"/>
  <c r="U20" i="125"/>
  <c r="U12" i="125"/>
  <c r="U21" i="125"/>
  <c r="U15" i="125"/>
  <c r="U11" i="125"/>
  <c r="U13" i="125"/>
  <c r="U14" i="125"/>
  <c r="U5" i="125"/>
  <c r="U19" i="125"/>
  <c r="U10" i="125"/>
  <c r="U17" i="125"/>
  <c r="U16" i="125"/>
  <c r="U7" i="125"/>
  <c r="U9" i="125"/>
  <c r="AG8" i="125"/>
  <c r="AG9" i="125"/>
  <c r="AG18" i="125"/>
  <c r="AG19" i="125"/>
  <c r="AG6" i="125"/>
  <c r="AG10" i="125"/>
  <c r="AG15" i="125"/>
  <c r="AG21" i="125"/>
  <c r="AG20" i="125"/>
  <c r="AG17" i="125"/>
  <c r="AG5" i="125"/>
  <c r="AG7" i="125"/>
  <c r="AG12" i="125"/>
  <c r="AG13" i="125"/>
  <c r="AG16" i="125"/>
  <c r="AG11" i="125"/>
  <c r="AG14" i="125"/>
  <c r="L21" i="125"/>
  <c r="L20" i="125"/>
  <c r="L18" i="125"/>
  <c r="L16" i="125"/>
  <c r="L19" i="125"/>
  <c r="L17" i="125"/>
  <c r="T20" i="125"/>
  <c r="T6" i="125"/>
  <c r="T21" i="125"/>
  <c r="T12" i="125"/>
  <c r="T8" i="125"/>
  <c r="T18" i="125"/>
  <c r="T13" i="125"/>
  <c r="T11" i="125"/>
  <c r="T14" i="125"/>
  <c r="T5" i="125"/>
  <c r="T16" i="125"/>
  <c r="T9" i="125"/>
  <c r="T19" i="125"/>
  <c r="T10" i="125"/>
  <c r="T17" i="125"/>
  <c r="T7" i="125"/>
  <c r="T15" i="125"/>
  <c r="M21" i="125"/>
  <c r="M20" i="125"/>
  <c r="M17" i="125"/>
  <c r="M18" i="125"/>
  <c r="M19" i="125"/>
  <c r="M16" i="125"/>
  <c r="AL8" i="125"/>
  <c r="AL20" i="125"/>
  <c r="AL7" i="125"/>
  <c r="AL16" i="125"/>
  <c r="AL15" i="125"/>
  <c r="AL10" i="125"/>
  <c r="AL9" i="125"/>
  <c r="AL14" i="125"/>
  <c r="AL19" i="125"/>
  <c r="AL5" i="125"/>
  <c r="AL21" i="125"/>
  <c r="AL18" i="125"/>
  <c r="AL12" i="125"/>
  <c r="AL6" i="125"/>
  <c r="AL11" i="125"/>
  <c r="AL17" i="125"/>
  <c r="AL13" i="125"/>
  <c r="S6" i="125"/>
  <c r="S20" i="125"/>
  <c r="S21" i="125"/>
  <c r="S12" i="125"/>
  <c r="S8" i="125"/>
  <c r="S17" i="125"/>
  <c r="S11" i="125"/>
  <c r="S5" i="125"/>
  <c r="S18" i="125"/>
  <c r="S9" i="125"/>
  <c r="S16" i="125"/>
  <c r="S14" i="125"/>
  <c r="S10" i="125"/>
  <c r="S15" i="125"/>
  <c r="S13" i="125"/>
  <c r="S7" i="125"/>
  <c r="S19" i="125"/>
  <c r="P21" i="125"/>
  <c r="P20" i="125"/>
  <c r="P16" i="125"/>
  <c r="P18" i="125"/>
  <c r="P17" i="125"/>
  <c r="P19" i="125"/>
  <c r="AI21" i="125"/>
  <c r="AI18" i="125"/>
  <c r="AI19" i="125"/>
  <c r="AI14" i="125"/>
  <c r="AI6" i="125"/>
  <c r="AI9" i="125"/>
  <c r="AI16" i="125"/>
  <c r="AI10" i="125"/>
  <c r="AI15" i="125"/>
  <c r="AI11" i="125"/>
  <c r="AI5" i="125"/>
  <c r="AI17" i="125"/>
  <c r="AI20" i="125"/>
  <c r="AI13" i="125"/>
  <c r="AI8" i="125"/>
  <c r="AI7" i="125"/>
  <c r="AI12" i="125"/>
  <c r="Y20" i="125"/>
  <c r="Y21" i="125"/>
  <c r="Y7" i="125"/>
  <c r="Y11" i="125"/>
  <c r="Y13" i="125"/>
  <c r="Y6" i="125"/>
  <c r="Y18" i="125"/>
  <c r="Y12" i="125"/>
  <c r="Y14" i="125"/>
  <c r="Y10" i="125"/>
  <c r="Y9" i="125"/>
  <c r="Y16" i="125"/>
  <c r="Y19" i="125"/>
  <c r="Y8" i="125"/>
  <c r="Y5" i="125"/>
  <c r="Y15" i="125"/>
  <c r="Y17" i="125"/>
  <c r="AB8" i="125"/>
  <c r="AB20" i="125"/>
  <c r="AB18" i="125"/>
  <c r="AB10" i="125"/>
  <c r="AB5" i="125"/>
  <c r="AB6" i="125"/>
  <c r="AB15" i="125"/>
  <c r="AB7" i="125"/>
  <c r="AB12" i="125"/>
  <c r="AB14" i="125"/>
  <c r="AB13" i="125"/>
  <c r="AB16" i="125"/>
  <c r="AB9" i="125"/>
  <c r="AB19" i="125"/>
  <c r="AB21" i="125"/>
  <c r="AB17" i="125"/>
  <c r="AB11" i="125"/>
  <c r="X20" i="125"/>
  <c r="X8" i="125"/>
  <c r="X11" i="125"/>
  <c r="X16" i="125"/>
  <c r="X18" i="125"/>
  <c r="X6" i="125"/>
  <c r="X19" i="125"/>
  <c r="X13" i="125"/>
  <c r="X14" i="125"/>
  <c r="X10" i="125"/>
  <c r="X5" i="125"/>
  <c r="X9" i="125"/>
  <c r="X12" i="125"/>
  <c r="X17" i="125"/>
  <c r="X15" i="125"/>
  <c r="X7" i="125"/>
  <c r="X21" i="125"/>
  <c r="AK8" i="125"/>
  <c r="AK20" i="125"/>
  <c r="AK15" i="125"/>
  <c r="AK6" i="125"/>
  <c r="AK14" i="125"/>
  <c r="AK12" i="125"/>
  <c r="AK10" i="125"/>
  <c r="AK5" i="125"/>
  <c r="AK11" i="125"/>
  <c r="AK19" i="125"/>
  <c r="AK18" i="125"/>
  <c r="AK16" i="125"/>
  <c r="AK21" i="125"/>
  <c r="AK9" i="125"/>
  <c r="AK13" i="125"/>
  <c r="AK17" i="125"/>
  <c r="AK7" i="125"/>
  <c r="AC8" i="125"/>
  <c r="AC17" i="125"/>
  <c r="AC10" i="125"/>
  <c r="AC14" i="125"/>
  <c r="AC11" i="125"/>
  <c r="AC21" i="125"/>
  <c r="AC18" i="125"/>
  <c r="AC15" i="125"/>
  <c r="AC7" i="125"/>
  <c r="AC5" i="125"/>
  <c r="AC20" i="125"/>
  <c r="AC13" i="125"/>
  <c r="AC12" i="125"/>
  <c r="AC16" i="125"/>
  <c r="AC9" i="125"/>
  <c r="AC19" i="125"/>
  <c r="AC6" i="125"/>
  <c r="AD8" i="125"/>
  <c r="AD20" i="125"/>
  <c r="AD21" i="125"/>
  <c r="AD16" i="125"/>
  <c r="AD15" i="125"/>
  <c r="AD5" i="125"/>
  <c r="AD17" i="125"/>
  <c r="AD7" i="125"/>
  <c r="AD6" i="125"/>
  <c r="AD12" i="125"/>
  <c r="AD13" i="125"/>
  <c r="AD11" i="125"/>
  <c r="AD14" i="125"/>
  <c r="AD9" i="125"/>
  <c r="AD18" i="125"/>
  <c r="AD19" i="125"/>
  <c r="AD10" i="125"/>
  <c r="AE20" i="125"/>
  <c r="AE11" i="125"/>
  <c r="AE18" i="125"/>
  <c r="AE15" i="125"/>
  <c r="AE17" i="125"/>
  <c r="AE5" i="125"/>
  <c r="AE21" i="125"/>
  <c r="AE10" i="125"/>
  <c r="AE7" i="125"/>
  <c r="AE6" i="125"/>
  <c r="AE14" i="125"/>
  <c r="AE16" i="125"/>
  <c r="AE8" i="125"/>
  <c r="AE13" i="125"/>
  <c r="AE12" i="125"/>
  <c r="AE9" i="125"/>
  <c r="AE19" i="125"/>
  <c r="AF20" i="125"/>
  <c r="AF21" i="125"/>
  <c r="AF8" i="125"/>
  <c r="AF19" i="125"/>
  <c r="AF18" i="125"/>
  <c r="AF10" i="125"/>
  <c r="AF17" i="125"/>
  <c r="AF15" i="125"/>
  <c r="AF16" i="125"/>
  <c r="AF7" i="125"/>
  <c r="AF13" i="125"/>
  <c r="AF6" i="125"/>
  <c r="AF5" i="125"/>
  <c r="AF14" i="125"/>
  <c r="AF11" i="125"/>
  <c r="AF12" i="125"/>
  <c r="AF9" i="125"/>
  <c r="N21" i="125"/>
  <c r="N20" i="125"/>
  <c r="N17" i="125"/>
  <c r="N19" i="125"/>
  <c r="N18" i="125"/>
  <c r="N16" i="125"/>
  <c r="R21" i="125"/>
  <c r="R5" i="125"/>
  <c r="R12" i="125"/>
  <c r="R11" i="125"/>
  <c r="R20" i="125"/>
  <c r="R6" i="125"/>
  <c r="R8" i="125"/>
  <c r="R15" i="125"/>
  <c r="R13" i="125"/>
  <c r="R17" i="125"/>
  <c r="R10" i="125"/>
  <c r="R9" i="125"/>
  <c r="R14" i="125"/>
  <c r="R18" i="125"/>
  <c r="R19" i="125"/>
  <c r="R16" i="125"/>
  <c r="R7" i="125"/>
  <c r="Q20" i="125"/>
  <c r="Q21" i="125"/>
  <c r="Q12" i="125"/>
  <c r="Q8" i="125"/>
  <c r="Q5" i="125"/>
  <c r="Q18" i="125"/>
  <c r="Q15" i="125"/>
  <c r="Q11" i="125"/>
  <c r="Q6" i="125"/>
  <c r="Q19" i="125"/>
  <c r="Q10" i="125"/>
  <c r="Q16" i="125"/>
  <c r="Q13" i="125"/>
  <c r="Q9" i="125"/>
  <c r="Q14" i="125"/>
  <c r="Q17" i="125"/>
  <c r="Q7" i="125"/>
  <c r="P8" i="125"/>
  <c r="P14" i="125"/>
  <c r="P7" i="125"/>
  <c r="P13" i="125"/>
  <c r="P6" i="125"/>
  <c r="P12" i="125"/>
  <c r="P5" i="125"/>
  <c r="P11" i="125"/>
  <c r="P10" i="125"/>
  <c r="P9" i="125"/>
  <c r="P15" i="125"/>
  <c r="N7" i="125"/>
  <c r="N13" i="125"/>
  <c r="N6" i="125"/>
  <c r="N12" i="125"/>
  <c r="N5" i="125"/>
  <c r="N11" i="125"/>
  <c r="N10" i="125"/>
  <c r="N9" i="125"/>
  <c r="N15" i="125"/>
  <c r="N8" i="125"/>
  <c r="N14" i="125"/>
  <c r="L6" i="125"/>
  <c r="L12" i="125"/>
  <c r="L11" i="125"/>
  <c r="L10" i="125"/>
  <c r="L9" i="125"/>
  <c r="L15" i="125"/>
  <c r="L8" i="125"/>
  <c r="L14" i="125"/>
  <c r="L7" i="125"/>
  <c r="L13" i="125"/>
  <c r="L5" i="125"/>
  <c r="M6" i="125"/>
  <c r="M12" i="125"/>
  <c r="M5" i="125"/>
  <c r="M11" i="125"/>
  <c r="M10" i="125"/>
  <c r="M9" i="125"/>
  <c r="M15" i="125"/>
  <c r="M14" i="125"/>
  <c r="M8" i="125"/>
  <c r="M7" i="125"/>
  <c r="M13" i="125"/>
  <c r="AO4" i="125"/>
  <c r="S37" i="125"/>
  <c r="O37" i="125"/>
  <c r="O45" i="125" s="1"/>
  <c r="N37" i="125"/>
  <c r="K73" i="125"/>
  <c r="Q37" i="125"/>
  <c r="R37" i="125"/>
  <c r="U37" i="125"/>
  <c r="M37" i="125"/>
  <c r="T37" i="125"/>
  <c r="L37" i="125"/>
  <c r="P37" i="125"/>
  <c r="N74" i="125" l="1"/>
  <c r="P41" i="125"/>
  <c r="L44" i="125"/>
  <c r="M74" i="125"/>
  <c r="M89" i="125"/>
  <c r="M86" i="125"/>
  <c r="M77" i="125"/>
  <c r="L43" i="125"/>
  <c r="M53" i="125"/>
  <c r="P52" i="125"/>
  <c r="M50" i="125"/>
  <c r="L38" i="125"/>
  <c r="P39" i="125"/>
  <c r="L77" i="125"/>
  <c r="L81" i="125"/>
  <c r="L87" i="125"/>
  <c r="M84" i="125"/>
  <c r="L74" i="125"/>
  <c r="L42" i="125"/>
  <c r="P75" i="125"/>
  <c r="M40" i="125"/>
  <c r="M38" i="125"/>
  <c r="M88" i="125"/>
  <c r="M85" i="125"/>
  <c r="P77" i="125"/>
  <c r="L51" i="125"/>
  <c r="M54" i="125"/>
  <c r="L79" i="125"/>
  <c r="M51" i="125"/>
  <c r="M49" i="125"/>
  <c r="M47" i="125"/>
  <c r="AO28" i="125"/>
  <c r="AO26" i="125"/>
  <c r="AO24" i="125"/>
  <c r="AO23" i="125"/>
  <c r="AO21" i="125"/>
  <c r="AO33" i="125"/>
  <c r="AO22" i="125"/>
  <c r="AO20" i="125"/>
  <c r="AO32" i="125"/>
  <c r="AO34" i="125"/>
  <c r="AO25" i="125"/>
  <c r="AO30" i="125"/>
  <c r="AO29" i="125"/>
  <c r="AO8" i="125"/>
  <c r="AO27" i="125"/>
  <c r="AO31" i="125"/>
  <c r="AO12" i="125"/>
  <c r="AO15" i="125"/>
  <c r="AO17" i="125"/>
  <c r="AO6" i="125"/>
  <c r="AO5" i="125"/>
  <c r="AO11" i="125"/>
  <c r="AO19" i="125"/>
  <c r="AO18" i="125"/>
  <c r="AO16" i="125"/>
  <c r="AO10" i="125"/>
  <c r="AO14" i="125"/>
  <c r="AO7" i="125"/>
  <c r="AO13" i="125"/>
  <c r="AO9" i="125"/>
  <c r="P87" i="125"/>
  <c r="L78" i="125"/>
  <c r="M76" i="125"/>
  <c r="M80" i="125"/>
  <c r="M75" i="125"/>
  <c r="L75" i="125"/>
  <c r="P43" i="125"/>
  <c r="L40" i="125"/>
  <c r="S45" i="125"/>
  <c r="S49" i="125"/>
  <c r="S47" i="125"/>
  <c r="S39" i="125"/>
  <c r="S38" i="125"/>
  <c r="S40" i="125"/>
  <c r="S44" i="125"/>
  <c r="S41" i="125"/>
  <c r="S51" i="125"/>
  <c r="S54" i="125"/>
  <c r="S43" i="125"/>
  <c r="S53" i="125"/>
  <c r="S74" i="125"/>
  <c r="S42" i="125"/>
  <c r="S75" i="125"/>
  <c r="S48" i="125"/>
  <c r="S80" i="125"/>
  <c r="S79" i="125"/>
  <c r="S84" i="125"/>
  <c r="S82" i="125"/>
  <c r="S52" i="125"/>
  <c r="S46" i="125"/>
  <c r="S50" i="125"/>
  <c r="S78" i="125"/>
  <c r="S89" i="125"/>
  <c r="S81" i="125"/>
  <c r="S86" i="125"/>
  <c r="S83" i="125"/>
  <c r="S87" i="125"/>
  <c r="S88" i="125"/>
  <c r="S85" i="125"/>
  <c r="S77" i="125"/>
  <c r="S76" i="125"/>
  <c r="P81" i="125"/>
  <c r="P83" i="125"/>
  <c r="P88" i="125"/>
  <c r="P82" i="125"/>
  <c r="P46" i="125"/>
  <c r="P42" i="125"/>
  <c r="L41" i="125"/>
  <c r="L39" i="125"/>
  <c r="L88" i="125"/>
  <c r="M83" i="125"/>
  <c r="P85" i="125"/>
  <c r="L48" i="125"/>
  <c r="M82" i="125"/>
  <c r="P54" i="125"/>
  <c r="L54" i="125"/>
  <c r="M44" i="125"/>
  <c r="M78" i="125"/>
  <c r="L89" i="125"/>
  <c r="M41" i="125"/>
  <c r="P50" i="125"/>
  <c r="L53" i="125"/>
  <c r="M52" i="125"/>
  <c r="P38" i="125"/>
  <c r="P40" i="125"/>
  <c r="L83" i="125"/>
  <c r="L76" i="125"/>
  <c r="P84" i="125"/>
  <c r="L84" i="125"/>
  <c r="P74" i="125"/>
  <c r="L50" i="125"/>
  <c r="L47" i="125"/>
  <c r="M45" i="125"/>
  <c r="U44" i="125"/>
  <c r="U38" i="125"/>
  <c r="U49" i="125"/>
  <c r="U39" i="125"/>
  <c r="U45" i="125"/>
  <c r="U40" i="125"/>
  <c r="U47" i="125"/>
  <c r="U54" i="125"/>
  <c r="U52" i="125"/>
  <c r="U82" i="125"/>
  <c r="U53" i="125"/>
  <c r="U51" i="125"/>
  <c r="U42" i="125"/>
  <c r="U80" i="125"/>
  <c r="U48" i="125"/>
  <c r="U43" i="125"/>
  <c r="U74" i="125"/>
  <c r="U75" i="125"/>
  <c r="U84" i="125"/>
  <c r="U46" i="125"/>
  <c r="U41" i="125"/>
  <c r="U50" i="125"/>
  <c r="U79" i="125"/>
  <c r="U89" i="125"/>
  <c r="U77" i="125"/>
  <c r="U86" i="125"/>
  <c r="U78" i="125"/>
  <c r="U81" i="125"/>
  <c r="U85" i="125"/>
  <c r="U87" i="125"/>
  <c r="U83" i="125"/>
  <c r="U76" i="125"/>
  <c r="U88" i="125"/>
  <c r="P89" i="125"/>
  <c r="L86" i="125"/>
  <c r="P48" i="125"/>
  <c r="P80" i="125"/>
  <c r="P51" i="125"/>
  <c r="M42" i="125"/>
  <c r="P45" i="125"/>
  <c r="P44" i="125"/>
  <c r="P78" i="125"/>
  <c r="M87" i="125"/>
  <c r="P53" i="125"/>
  <c r="M79" i="125"/>
  <c r="L46" i="125"/>
  <c r="L52" i="125"/>
  <c r="P47" i="125"/>
  <c r="M39" i="125"/>
  <c r="M81" i="125"/>
  <c r="P76" i="125"/>
  <c r="M46" i="125"/>
  <c r="L82" i="125"/>
  <c r="P79" i="125"/>
  <c r="M43" i="125"/>
  <c r="P49" i="125"/>
  <c r="L49" i="125"/>
  <c r="T40" i="125"/>
  <c r="T45" i="125"/>
  <c r="T47" i="125"/>
  <c r="T49" i="125"/>
  <c r="T38" i="125"/>
  <c r="T39" i="125"/>
  <c r="T44" i="125"/>
  <c r="T53" i="125"/>
  <c r="T51" i="125"/>
  <c r="T50" i="125"/>
  <c r="T42" i="125"/>
  <c r="T54" i="125"/>
  <c r="T43" i="125"/>
  <c r="T75" i="125"/>
  <c r="T52" i="125"/>
  <c r="T74" i="125"/>
  <c r="T46" i="125"/>
  <c r="T48" i="125"/>
  <c r="T80" i="125"/>
  <c r="T79" i="125"/>
  <c r="T41" i="125"/>
  <c r="T84" i="125"/>
  <c r="T82" i="125"/>
  <c r="T77" i="125"/>
  <c r="T78" i="125"/>
  <c r="T81" i="125"/>
  <c r="T86" i="125"/>
  <c r="T89" i="125"/>
  <c r="T83" i="125"/>
  <c r="T88" i="125"/>
  <c r="T87" i="125"/>
  <c r="T85" i="125"/>
  <c r="T76" i="125"/>
  <c r="L85" i="125"/>
  <c r="P86" i="125"/>
  <c r="L80" i="125"/>
  <c r="M48" i="125"/>
  <c r="L45" i="125"/>
  <c r="N76" i="125"/>
  <c r="O83" i="125"/>
  <c r="N53" i="125"/>
  <c r="N47" i="125"/>
  <c r="O47" i="125"/>
  <c r="O85" i="125"/>
  <c r="O51" i="125"/>
  <c r="O79" i="125"/>
  <c r="O42" i="125"/>
  <c r="N46" i="125"/>
  <c r="N54" i="125"/>
  <c r="N40" i="125"/>
  <c r="O86" i="125"/>
  <c r="O81" i="125"/>
  <c r="N80" i="125"/>
  <c r="N42" i="125"/>
  <c r="O75" i="125"/>
  <c r="N39" i="125"/>
  <c r="N88" i="125"/>
  <c r="N43" i="125"/>
  <c r="O49" i="125"/>
  <c r="O88" i="125"/>
  <c r="O76" i="125"/>
  <c r="O82" i="125"/>
  <c r="N85" i="125"/>
  <c r="N87" i="125"/>
  <c r="N48" i="125"/>
  <c r="N50" i="125"/>
  <c r="O84" i="125"/>
  <c r="N41" i="125"/>
  <c r="N51" i="125"/>
  <c r="N44" i="125"/>
  <c r="O48" i="125"/>
  <c r="O53" i="125"/>
  <c r="O74" i="125"/>
  <c r="N49" i="125"/>
  <c r="O38" i="125"/>
  <c r="O54" i="125"/>
  <c r="O80" i="125"/>
  <c r="O52" i="125"/>
  <c r="N75" i="125"/>
  <c r="N45" i="125"/>
  <c r="O40" i="125"/>
  <c r="O44" i="125"/>
  <c r="N81" i="125"/>
  <c r="O89" i="125"/>
  <c r="N78" i="125"/>
  <c r="O78" i="125"/>
  <c r="O87" i="125"/>
  <c r="O43" i="125"/>
  <c r="O46" i="125"/>
  <c r="O50" i="125"/>
  <c r="N52" i="125"/>
  <c r="N77" i="125"/>
  <c r="N86" i="125"/>
  <c r="O41" i="125"/>
  <c r="O39" i="125"/>
  <c r="N38" i="125"/>
  <c r="N83" i="125"/>
  <c r="O77" i="125"/>
  <c r="N82" i="125"/>
  <c r="N79" i="125"/>
  <c r="N89" i="125"/>
  <c r="N84" i="125"/>
  <c r="R45" i="125"/>
  <c r="R39" i="125"/>
  <c r="R47" i="125"/>
  <c r="R38" i="125"/>
  <c r="R49" i="125"/>
  <c r="R44" i="125"/>
  <c r="R40" i="125"/>
  <c r="R54" i="125"/>
  <c r="R50" i="125"/>
  <c r="R52" i="125"/>
  <c r="R80" i="125"/>
  <c r="R42" i="125"/>
  <c r="R82" i="125"/>
  <c r="R79" i="125"/>
  <c r="R51" i="125"/>
  <c r="R41" i="125"/>
  <c r="R46" i="125"/>
  <c r="R43" i="125"/>
  <c r="R74" i="125"/>
  <c r="R53" i="125"/>
  <c r="R75" i="125"/>
  <c r="R84" i="125"/>
  <c r="R48" i="125"/>
  <c r="R78" i="125"/>
  <c r="R77" i="125"/>
  <c r="R88" i="125"/>
  <c r="R86" i="125"/>
  <c r="R76" i="125"/>
  <c r="R83" i="125"/>
  <c r="R85" i="125"/>
  <c r="R89" i="125"/>
  <c r="R87" i="125"/>
  <c r="R81" i="125"/>
  <c r="Q45" i="125"/>
  <c r="Q47" i="125"/>
  <c r="Q39" i="125"/>
  <c r="Q40" i="125"/>
  <c r="Q49" i="125"/>
  <c r="Q44" i="125"/>
  <c r="Q38" i="125"/>
  <c r="Q84" i="125"/>
  <c r="Q53" i="125"/>
  <c r="Q82" i="125"/>
  <c r="Q74" i="125"/>
  <c r="Q79" i="125"/>
  <c r="Q75" i="125"/>
  <c r="Q48" i="125"/>
  <c r="Q80" i="125"/>
  <c r="Q50" i="125"/>
  <c r="Q46" i="125"/>
  <c r="Q54" i="125"/>
  <c r="Q43" i="125"/>
  <c r="Q52" i="125"/>
  <c r="Q42" i="125"/>
  <c r="Q51" i="125"/>
  <c r="Q41" i="125"/>
  <c r="Q78" i="125"/>
  <c r="Q77" i="125"/>
  <c r="Q86" i="125"/>
  <c r="Q88" i="125"/>
  <c r="Q81" i="125"/>
  <c r="Q87" i="125"/>
  <c r="Q85" i="125"/>
  <c r="Q89" i="125"/>
  <c r="Q76" i="125"/>
  <c r="Q83" i="125"/>
  <c r="M73" i="125"/>
  <c r="N73" i="125"/>
  <c r="O73" i="125"/>
  <c r="U73" i="125"/>
  <c r="P73" i="125"/>
  <c r="Q73" i="125"/>
  <c r="R73" i="125"/>
  <c r="S73" i="125"/>
  <c r="T73" i="125"/>
  <c r="L73" i="125"/>
  <c r="M72" i="125"/>
  <c r="T72" i="125"/>
  <c r="Q72" i="125"/>
  <c r="S72" i="125"/>
  <c r="N72" i="125"/>
  <c r="R72" i="125"/>
  <c r="O72" i="125"/>
  <c r="U72" i="125"/>
  <c r="P72" i="125"/>
  <c r="L72" i="1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E2B6FF4C-0558-4691-87A8-7B6AA27F4DC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DE63BD04-24B0-4868-99F7-DFA774401E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1D2A95A6-6AA0-42F4-AE6D-5BDA8AFB65B7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09D6F9C0-021B-4D87-B8CD-57743F27913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1C3124D-41D1-4EB7-932B-79976E002B8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972D90F3-ED60-46D7-AAAB-0181734E80D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9AE74CDB-4289-43C8-9D1D-AB218369374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48EBF173-DB73-401C-AEEF-2061118D2A8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57930349-F10F-4793-867E-DD324D89B056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CB370E1A-AB43-43AB-B152-589EB93D3EC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FB69A81D-6CAC-4525-B555-2ACC88BCC2F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BFF4789E-D810-4733-AEE8-8EE4493C46F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F78AEB21-77C9-4F32-A48D-52BCFCA295B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A8EA3C84-C381-48C3-AA6D-87639DEE769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04F85517-BEBD-4999-B161-9AA46F5E0B9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95960CFE-8FF3-4BB5-9C5C-F9C2AAA2D05F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DEE39B9F-4B2E-468F-9633-F3D57BF6042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5F98A1B5-0DBA-45F7-964B-4894AB390BA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42D36451-B336-47FD-B286-9751FB563A3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6F4A7206-20FB-4BA3-94F4-3982FDFD4DE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85556F99-444C-4253-A965-9307D1CC001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C2C0CED4-8C7B-475E-976F-35857E129CB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C2672809-A999-411B-A55F-8D9B80B0935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1DBAC639-8254-41F9-8587-EF20744522F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BB6A6F0F-1AF8-412A-B727-9B83878CDA3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0B768542-DB7A-4881-99BD-85A3F436541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28812A0B-9DE3-441E-A4D5-78DEF2D1E25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A85C1C70-C562-4D48-B898-546C1A7B156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1" authorId="2" shapeId="0" xr:uid="{0C8DC8A9-34E9-461E-8FBB-4595CE6758C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12" authorId="2" shapeId="0" xr:uid="{8B8771DD-20EF-4F1D-9E34-25A813F484F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697F7AD5-56E5-42B5-8DCC-F77507E22E1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0913AF91-5DB0-4F49-8232-1B26F09EB46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5B4FCA40-DBB9-4DBB-90A0-3E845AED7EB6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8" authorId="2" shapeId="0" xr:uid="{32E115BB-EC4A-4E5F-9C3D-80E6E82A335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19" authorId="2" shapeId="0" xr:uid="{98A89DFC-0A98-440C-B704-3505E7C1515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20" authorId="2" shapeId="0" xr:uid="{474E9284-9BE4-45A5-82FD-DA0AFB89310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21" authorId="2" shapeId="0" xr:uid="{63CB46BD-0BD0-4E5F-9135-F9A146E6C4D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22" authorId="2" shapeId="0" xr:uid="{44B2025C-3DD0-4961-8F15-AB1E5DD6441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23" authorId="2" shapeId="0" xr:uid="{31A6B554-A50F-4156-8BCD-B469F6FE203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24" authorId="2" shapeId="0" xr:uid="{BC1B20DE-B1C8-425D-BAE6-06E58ED9F22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25" authorId="2" shapeId="0" xr:uid="{10359E7F-02C8-43F6-8321-A2D3F6A5678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26" authorId="2" shapeId="0" xr:uid="{0B5EA29F-0AE4-421A-B674-98E9DCB0FD9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3D8C7D85-8844-467F-B8B2-25E3A664EA1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25950F6F-D01D-4471-9412-1EFBB2C4EA0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688737EC-C0AD-4E24-AD90-2E349FFBD192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984375B-2F73-424E-B9D7-8355F599C79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C8CF3738-7196-45D0-A5E3-4F275094645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BFD3EA21-0855-4360-B5C7-8829115E21E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EE9E924E-C17E-46D6-99D3-E8CBB61E9FC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1009E7E5-087A-4910-9986-38CCABC20FF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E79E616F-8185-4CD5-87CD-F5B36779BA7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AA09DD8B-6C14-4C0E-A439-445AFD6D630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331788D7-6D83-45EE-990D-09D4A4C5134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E34E3105-DE4A-4246-937D-E4B5680CCEC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EB1C72FD-9BC3-4461-8EB5-283FC8ED056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FF1691C1-2A38-43CB-A985-C2CE226B351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0EDF8CAD-6E7E-4BD0-B7B8-A0F4216089E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6300293F-51AB-41B0-99F4-F9A4FB1AB65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C96AF157-4587-4C11-819A-7A694B2B88F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9E9E0042-BA42-43CF-BE92-6180D53F135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61F510B3-9B8A-42FC-A467-EE2B567152E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C85AB693-7081-45FF-9E3D-B091C44C42A1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C32BBB1D-D2E4-447D-96A1-144EA0A9B40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37F7E8CF-5B93-4CE7-8BA2-A35E74B67A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5558D508-101A-45B7-BA93-D77CFAF52EF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8B2B2A4F-3997-44D6-A30D-2F8F1710549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8236EA45-203A-4DD9-9830-516AD299EBB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5589892F-4AA3-4475-B187-FB642E17920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14216074-4C8E-4F86-9C95-ED431D15CC6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A222C43A-58B0-4E29-88EB-658C461C3DB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2D6D9CB3-D177-422D-A0FF-F5AE7DD91E5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CCFD2366-7017-43EA-AB32-5B34F7888CC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396B197E-885D-4A29-AEE1-1073741F671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39877152-A949-4615-A4C4-7239E2ED404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98C97A76-CBCD-4277-8126-3AA6707E535B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AA049B89-72B3-41C4-907B-05A33DA6295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509D8D25-B71D-4762-B2EA-B62DABD7957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B9C16F0D-344C-434E-8DBF-82B1818D1D5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125C8992-F649-4692-AD3B-2BAF7A398EB8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2CCFC689-D868-4E7D-A0CA-560BED519A0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AC91333D-F332-40C7-913D-C5B83BB03EA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7FBFCAC2-1164-4039-A842-D767291CDB46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BFC68FD3-5D93-4721-8202-533A0C8A00B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20C36102-E084-4745-A25B-EA5294B0D09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94973B38-D426-4C67-8C46-984DBBC1A1A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D38BA7AC-6305-4F4F-97DB-36590D3AF05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E868A6B0-1CE8-4F0B-BC85-82A316A49E2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06C7343D-5F26-4217-B406-60EDE3311F4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0097CAE1-F1B4-4C39-B6CC-42F70CAB01B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000EA7C9-4D12-4186-A955-840E03779C8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8EB1113A-01CD-4716-8D19-6E0FC777B9F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B682D2A9-DC1F-47D8-A37E-3EB715964B80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5FCDBFA9-70EA-4F6C-8069-FFFF2F04E8D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C3149EE3-A56B-4977-A217-2955F567446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C4A71F67-2AE2-49DB-8093-9774B148609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D58A12DE-ED33-438C-AA68-31A5C1DE4911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E49EC0E0-29DB-4DF6-BB4E-51A33683E37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A03B79C5-B55F-44C4-8549-5563324C4B3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C352E0A9-3ABD-4DE6-B0A4-17A579FE594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B14B18EE-4EA9-4CD8-A582-3464B59BD27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6201522B-1667-428B-B7DC-AF8D6E1495D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5D41E3DE-2F30-4779-B1C7-F6CD0328D35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FDF8721C-5140-44F6-91B1-23F38FB1E28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1175111F-76DF-4865-A708-900C15F9763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725ADE9C-1265-45A0-AEFE-58E698821C3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6F434C0A-F917-4DE7-BB61-416E3515382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D3562E65-302D-4C1C-A051-5C6E6FBF286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2874D791-A5C8-428C-BE28-3F8D3C333E3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93D36748-FFBC-447A-A54B-CBFD9B3EA080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9ED04662-D644-4765-BCAB-D2F4DCF1678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1FDE5015-C83F-4F48-B3CD-E1975227DC3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4B2CAB86-D79E-43F2-84A6-F4ABD10B1B8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D195046E-0B33-4F9A-87A7-B7AF7FDE0C4F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A32F7148-D7AB-44DB-B31A-E1FDD65FF48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1EDE5F9F-74D4-4FC6-A21B-DCAB4F45095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E6DE85E0-3338-4ACA-A777-F7587E48CA2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F4EB4485-CD6C-4E23-834E-CE05BC5FE9C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2DCB2BF7-CC13-49C3-9894-8BF6B03631A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21A11567-ABCC-4073-95B7-91FF5CB6EB7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6D8C0493-1B61-43BB-8A56-258940D7B10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3F23DCF0-8493-48A4-B6D2-920E8043A9C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F509E271-E7E4-4CC7-8EB3-C1B4D66D560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59B81881-FE99-454D-8C59-E28E98EC4D3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CD0C1EC7-5023-42C6-8588-A180BA11EC4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86113987-CBEE-49C8-840A-90E402EA2DD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BADF23C2-43F5-4847-9319-D9027E763C9B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2166FB79-5E22-46F3-9EF5-8F7DEC87091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DEDAE013-963A-4749-A8EF-C3C74D5B040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8BBBBEE6-2331-4DD7-B451-D059325C9E8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047F91F4-C864-44D0-B077-E4E37D54E718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96377489-DBC5-4798-A929-5580D7B8816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A3024013-19CC-4042-B0EC-54F14CC716E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5BB17955-109F-4024-9C86-B7953F9DF5B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E04E2BE6-E130-44B1-B9D5-AD9C9F10351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6A7EEE24-5F8F-494F-8C43-63E9BBF75F5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09242A53-DBBE-4E9A-889F-A7720DF77DC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AD06BDC4-3801-48E7-A68E-CA5A573327C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D049422B-0A37-4EDE-A075-A4709FDAAB7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C8CCDB6E-E9D3-4D56-9F18-0D8CC6DFCCE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EE9834AA-6546-4115-B568-9913FE77057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EED6C3D8-0CC1-4CF4-A090-58D74D67187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6623D202-9BE5-46FD-9900-8B9337F4F836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B8D84CA7-52E4-4E58-BC0A-790762AF4E3A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559ABA6C-D1AB-4EC2-B593-DC21FE17235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4F964060-8868-4497-A00E-9012FEF7385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65866964-14A1-43E7-BF76-6309E6E994E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A3D3ACCE-B34B-46AA-923F-6041DFD774A0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B711361E-CB24-437B-B892-07172F53B74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745FBBF5-49D5-4A63-A018-D7E262B0F77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E972CC83-55E9-4574-A171-44D4FB3A5E9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5C469F06-DBFE-4CB6-9C4E-161B0ECBE26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DA17E272-7B3B-4362-9C3C-79AE378D20C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FB12BBC8-6AD5-42F9-A7E7-FCBA2D9E667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2946A3EA-5257-4F7F-B774-165DE84FDC5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62A770B7-1D55-40E4-86DB-3E2D2FF0FCB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75388D44-A449-4518-AA88-058727B187A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3F899BDD-932A-41F8-BE0F-CFBC4D22669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E57B1DD0-57DA-4C39-8F8F-74D859978F5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BA0304C5-1860-446E-841F-C54E669A5DB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35248BB2-A83F-41FD-888B-64F7173D056E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8E105A7B-308F-44EF-9101-2C7E2AF72A3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4FDC49D-EAF0-44C5-B23A-C7572AFF4D4D}" keepAlive="1" name="Query - Data List" description="Connection to the 'Data List' query in the workbook." type="5" refreshedVersion="7" background="1" saveData="1">
    <dbPr connection="Provider=Microsoft.Mashup.OleDb.1;Data Source=$Workbook$;Location=&quot;Data List&quot;;Extended Properties=&quot;&quot;" command="SELECT * FROM [Data List]"/>
  </connection>
  <connection id="2" xr16:uid="{190A11A8-F6B5-4FB9-BA27-BFD48EF2EB17}" keepAlive="1" name="Query - DKLYCOPILOD1: owdb" description="Connection to the 'DKLYCOPILOD1: owdb' query in the workbook." type="5" refreshedVersion="0" background="1">
    <dbPr connection="Provider=Microsoft.Mashup.OleDb.1;Data Source=$Workbook$;Location=&quot;DKLYCOPILOD1: owdb&quot;;Extended Properties=&quot;&quot;" command="SELECT * FROM [DKLYCOPILOD1: owdb]"/>
  </connection>
  <connection id="3" xr16:uid="{571CB343-CCBB-41A2-B29B-B68E37270ED1}" keepAlive="1" name="Query - NameFilterTable" description="Connection to the 'NameFilterTable' query in the workbook." type="5" refreshedVersion="6" background="1" saveData="1">
    <dbPr connection="Provider=Microsoft.Mashup.OleDb.1;Data Source=$Workbook$;Location=NameFilterTable;Extended Properties=&quot;&quot;" command="SELECT * FROM [NameFilterTable]"/>
  </connection>
  <connection id="4" xr16:uid="{5F19B133-5D8A-494D-9259-BBC762A79D9F}" keepAlive="1" name="Query - owdb COPCAT_Data_Base" description="Connection to the 'owdb COPCAT_Data_Base' query in the workbook." type="5" refreshedVersion="7" background="1" saveData="1">
    <dbPr connection="Provider=Microsoft.Mashup.OleDb.1;Data Source=$Workbook$;Location=&quot;owdb COPCAT_Data_Base&quot;;Extended Properties=&quot;&quot;" command="SELECT * FROM [owdb COPCAT_Data_Base]"/>
  </connection>
</connections>
</file>

<file path=xl/sharedStrings.xml><?xml version="1.0" encoding="utf-8"?>
<sst xmlns="http://schemas.openxmlformats.org/spreadsheetml/2006/main" count="18046" uniqueCount="1900">
  <si>
    <t>layer</t>
  </si>
  <si>
    <t>model_py</t>
  </si>
  <si>
    <t>model_axial</t>
  </si>
  <si>
    <t>toplevel</t>
  </si>
  <si>
    <t>cu</t>
  </si>
  <si>
    <t>delta_cu</t>
  </si>
  <si>
    <t>gamma_eff</t>
  </si>
  <si>
    <t>phi</t>
  </si>
  <si>
    <t>epsilon50</t>
  </si>
  <si>
    <t>delta_epsilon50</t>
  </si>
  <si>
    <t>J</t>
  </si>
  <si>
    <t>G0</t>
  </si>
  <si>
    <t>delta_G0</t>
  </si>
  <si>
    <t>delta_eff</t>
  </si>
  <si>
    <t>c_eff</t>
  </si>
  <si>
    <t>limit_skin</t>
  </si>
  <si>
    <t>limit_alpha</t>
  </si>
  <si>
    <t>limit_tip</t>
  </si>
  <si>
    <t>poisson</t>
  </si>
  <si>
    <t>q_ur</t>
  </si>
  <si>
    <t>k_rm</t>
  </si>
  <si>
    <t>RQD</t>
  </si>
  <si>
    <t>Soil</t>
  </si>
  <si>
    <t>Pile</t>
  </si>
  <si>
    <t>head</t>
  </si>
  <si>
    <t>section</t>
  </si>
  <si>
    <t>cross_section.toplevel</t>
  </si>
  <si>
    <t>cross_section.thickness</t>
  </si>
  <si>
    <t>m</t>
  </si>
  <si>
    <t>[m VREF]</t>
  </si>
  <si>
    <t>[text]</t>
  </si>
  <si>
    <t>[kN/m³]</t>
  </si>
  <si>
    <t>[kPa]</t>
  </si>
  <si>
    <t>[-]</t>
  </si>
  <si>
    <t>[kPa/m]</t>
  </si>
  <si>
    <t>[degrees]</t>
  </si>
  <si>
    <t>[number]</t>
  </si>
  <si>
    <t>Scour</t>
  </si>
  <si>
    <t>local</t>
  </si>
  <si>
    <t>ORD</t>
  </si>
  <si>
    <t>density</t>
  </si>
  <si>
    <t>sigma_y</t>
  </si>
  <si>
    <t>E</t>
  </si>
  <si>
    <t>G</t>
  </si>
  <si>
    <t>Loads</t>
  </si>
  <si>
    <t>H</t>
  </si>
  <si>
    <t>Vc</t>
  </si>
  <si>
    <t>Vt</t>
  </si>
  <si>
    <t>kN</t>
  </si>
  <si>
    <t>kNm</t>
  </si>
  <si>
    <t>Settings</t>
  </si>
  <si>
    <t>pile_type</t>
  </si>
  <si>
    <t>open</t>
  </si>
  <si>
    <t>[m]</t>
  </si>
  <si>
    <t>n_layers</t>
  </si>
  <si>
    <t>n_sections</t>
  </si>
  <si>
    <t>text</t>
  </si>
  <si>
    <t>API sand</t>
  </si>
  <si>
    <t>API clay</t>
  </si>
  <si>
    <t>Nq</t>
  </si>
  <si>
    <t>water depth</t>
  </si>
  <si>
    <t>length (start)</t>
  </si>
  <si>
    <t>length (end)</t>
  </si>
  <si>
    <t>length (increment)</t>
  </si>
  <si>
    <t>t-multiplier</t>
  </si>
  <si>
    <t>K0</t>
  </si>
  <si>
    <t>outer diameter</t>
  </si>
  <si>
    <t>Es</t>
  </si>
  <si>
    <t>z-multiplier</t>
  </si>
  <si>
    <t>p-multiplier</t>
  </si>
  <si>
    <t>y-multiplier</t>
  </si>
  <si>
    <t>delta_Es</t>
  </si>
  <si>
    <t>Mxy</t>
  </si>
  <si>
    <t>Mz</t>
  </si>
  <si>
    <t>ksf</t>
  </si>
  <si>
    <t>LB</t>
  </si>
  <si>
    <t>UB</t>
  </si>
  <si>
    <t>Main calibration settings</t>
  </si>
  <si>
    <t>Starting Variables</t>
  </si>
  <si>
    <t>Constants</t>
  </si>
  <si>
    <t>Calibration</t>
  </si>
  <si>
    <t>On</t>
  </si>
  <si>
    <t>Soil layer</t>
  </si>
  <si>
    <t>y_u_1</t>
  </si>
  <si>
    <t>p_u_2</t>
  </si>
  <si>
    <t>k_p_1</t>
  </si>
  <si>
    <t>p_u_3</t>
  </si>
  <si>
    <t>tetam_u_1</t>
  </si>
  <si>
    <t>k_Mb_1</t>
  </si>
  <si>
    <t>tetam_u_3</t>
  </si>
  <si>
    <t>yB_u_1</t>
  </si>
  <si>
    <t>y_u_F</t>
  </si>
  <si>
    <t>p_u_F</t>
  </si>
  <si>
    <t>k_p_F</t>
  </si>
  <si>
    <t>n_p_F</t>
  </si>
  <si>
    <t>tetam_u_F</t>
  </si>
  <si>
    <t>m_u_F</t>
  </si>
  <si>
    <t>k_m_F</t>
  </si>
  <si>
    <t>n_m_F</t>
  </si>
  <si>
    <t>yB_u_F</t>
  </si>
  <si>
    <t>HB_u_F</t>
  </si>
  <si>
    <t>k_H_F</t>
  </si>
  <si>
    <t>n_H_F</t>
  </si>
  <si>
    <t>tetaMb_u_F</t>
  </si>
  <si>
    <t>MB_u_F</t>
  </si>
  <si>
    <t>k_Mb_F</t>
  </si>
  <si>
    <t>n_Mb_F</t>
  </si>
  <si>
    <t>Calibration method</t>
  </si>
  <si>
    <t>Non-linear least square residual</t>
  </si>
  <si>
    <t>Cost function</t>
  </si>
  <si>
    <t>Vector</t>
  </si>
  <si>
    <t>Involvement</t>
  </si>
  <si>
    <t>Calibration type</t>
  </si>
  <si>
    <t>sqpso</t>
  </si>
  <si>
    <t>Weight type</t>
  </si>
  <si>
    <t>SWR_Max</t>
  </si>
  <si>
    <t>Model settings</t>
  </si>
  <si>
    <t>Models</t>
  </si>
  <si>
    <t>Load levels</t>
  </si>
  <si>
    <t>Springs type</t>
  </si>
  <si>
    <t>p-y</t>
  </si>
  <si>
    <t>Focus and weight settings</t>
  </si>
  <si>
    <t>Moment weight</t>
  </si>
  <si>
    <t>Displacement weight</t>
  </si>
  <si>
    <t>Load-displacement weight</t>
  </si>
  <si>
    <t>Moment focus</t>
  </si>
  <si>
    <t>Displacement focus</t>
  </si>
  <si>
    <t>load-displacement focus</t>
  </si>
  <si>
    <t>Load level focus</t>
  </si>
  <si>
    <t>Model focus</t>
  </si>
  <si>
    <t>LB/ values for Starting Variables</t>
  </si>
  <si>
    <t>UB/ values for Starting Variables</t>
  </si>
  <si>
    <t>Param_Name</t>
  </si>
  <si>
    <t>Function_Key</t>
  </si>
  <si>
    <t>y_u_2</t>
  </si>
  <si>
    <t>y_u_3</t>
  </si>
  <si>
    <t>p_u_1</t>
  </si>
  <si>
    <t>k_p_2</t>
  </si>
  <si>
    <t>k_p_3</t>
  </si>
  <si>
    <t>n_p_1</t>
  </si>
  <si>
    <t>n_p_2</t>
  </si>
  <si>
    <t>n_p_3</t>
  </si>
  <si>
    <t>tetam_u_2</t>
  </si>
  <si>
    <t>m_u_1</t>
  </si>
  <si>
    <t>m_u_2</t>
  </si>
  <si>
    <t>m_u_3</t>
  </si>
  <si>
    <t>k_m_1</t>
  </si>
  <si>
    <t>k_m_2</t>
  </si>
  <si>
    <t>k_m_3</t>
  </si>
  <si>
    <t>n_m_1</t>
  </si>
  <si>
    <t>n_m_2</t>
  </si>
  <si>
    <t>LB values for Starting Variables</t>
  </si>
  <si>
    <t>n_m_3</t>
  </si>
  <si>
    <t>yB_u_2</t>
  </si>
  <si>
    <t>yB_u_3</t>
  </si>
  <si>
    <t>HB_u_1</t>
  </si>
  <si>
    <t>HB_u_2</t>
  </si>
  <si>
    <t>HB_u_3</t>
  </si>
  <si>
    <t>k_H_1</t>
  </si>
  <si>
    <t>k_H_2</t>
  </si>
  <si>
    <t>k_H_3</t>
  </si>
  <si>
    <t>n_H_1</t>
  </si>
  <si>
    <t>n_H_2</t>
  </si>
  <si>
    <t>n_H_3</t>
  </si>
  <si>
    <t>tetaMb_u_1</t>
  </si>
  <si>
    <t>tetaMb_u_2</t>
  </si>
  <si>
    <t>tetaMb_u_3</t>
  </si>
  <si>
    <t>MB_u_1</t>
  </si>
  <si>
    <t>MB_u_2</t>
  </si>
  <si>
    <t>MB_u_3</t>
  </si>
  <si>
    <t>k_Mb_2</t>
  </si>
  <si>
    <t>k_Mb_3</t>
  </si>
  <si>
    <t>n_Mb_1</t>
  </si>
  <si>
    <t>n_Mb_2</t>
  </si>
  <si>
    <t>n_Mb_3</t>
  </si>
  <si>
    <t>UB values for Starting Variables</t>
  </si>
  <si>
    <t>Distributed load</t>
  </si>
  <si>
    <t>Distributed moment</t>
  </si>
  <si>
    <t>Base Shear</t>
  </si>
  <si>
    <t>Base Moment</t>
  </si>
  <si>
    <t>NONE</t>
  </si>
  <si>
    <t>Stratigraphy</t>
  </si>
  <si>
    <t>D_10</t>
  </si>
  <si>
    <t>D_200</t>
  </si>
  <si>
    <t>Off</t>
  </si>
  <si>
    <t>D_10,D_200</t>
  </si>
  <si>
    <t>m-t</t>
  </si>
  <si>
    <t>Hb</t>
  </si>
  <si>
    <t>Mb</t>
  </si>
  <si>
    <t>1&amp;1</t>
  </si>
  <si>
    <t>Soil_layer</t>
  </si>
  <si>
    <t>Sand 90</t>
  </si>
  <si>
    <t>[m-1]</t>
  </si>
  <si>
    <t>Sand 75</t>
  </si>
  <si>
    <t>Layered_wise_calibration</t>
  </si>
  <si>
    <t>Direct_Soil_Springs</t>
  </si>
  <si>
    <t>Ommit_Bad_curves</t>
  </si>
  <si>
    <t>2&amp;1</t>
  </si>
  <si>
    <t>EW_69_2a</t>
  </si>
  <si>
    <t>EW_69_2b</t>
  </si>
  <si>
    <t>EW_69_10a</t>
  </si>
  <si>
    <t>EW_69_10b_1</t>
  </si>
  <si>
    <t>EW_69_10b_2</t>
  </si>
  <si>
    <t>EW_69_14a</t>
  </si>
  <si>
    <t>EW_69_14b</t>
  </si>
  <si>
    <t>EW_69_15b_1</t>
  </si>
  <si>
    <t>EW_69_15b_2</t>
  </si>
  <si>
    <t>EW_69_21a</t>
  </si>
  <si>
    <t>EW_69_23d</t>
  </si>
  <si>
    <t>def_mom_defmud</t>
  </si>
  <si>
    <t>-0.442525859271570</t>
  </si>
  <si>
    <t>0.695981810396415</t>
  </si>
  <si>
    <t>-0.330585150521234</t>
  </si>
  <si>
    <t>EW_32_AYBR_1a_1</t>
  </si>
  <si>
    <t>EW_32_AYBR_2a_2</t>
  </si>
  <si>
    <t>EW_32_AYBR_10a_3</t>
  </si>
  <si>
    <t>EW_32_AYBR_10b_4</t>
  </si>
  <si>
    <t>EW_32_AYBR_10b_5</t>
  </si>
  <si>
    <t>EW_32_AYBR_20a_6</t>
  </si>
  <si>
    <t>EW_32_AYBR_20a_7</t>
  </si>
  <si>
    <t>EW_32_AYBR_20a_8</t>
  </si>
  <si>
    <t>EW_32_AYBR_20a_9</t>
  </si>
  <si>
    <t>EW_32_AYBR_21a_10</t>
  </si>
  <si>
    <t>EW_32_AYBR_21a_11</t>
  </si>
  <si>
    <t>EW_32_AYBR_21a_12</t>
  </si>
  <si>
    <t>EW_32_AYBR_21a_13</t>
  </si>
  <si>
    <t>EW_32_AYBR_21a_14</t>
  </si>
  <si>
    <t>EW_47_1a_1</t>
  </si>
  <si>
    <t>EW_47_2a_2</t>
  </si>
  <si>
    <t>EW_47_9b_3</t>
  </si>
  <si>
    <t>EW_47_9b_4</t>
  </si>
  <si>
    <t>EW_47_10a_5</t>
  </si>
  <si>
    <t>EW_47_10c_6</t>
  </si>
  <si>
    <t>EW_47_10c_7</t>
  </si>
  <si>
    <t>EW_47_10b_8</t>
  </si>
  <si>
    <t>EW_47_11a_9</t>
  </si>
  <si>
    <t>EW_47_11a_10</t>
  </si>
  <si>
    <t>Project name</t>
  </si>
  <si>
    <t>Revision</t>
  </si>
  <si>
    <t>rev</t>
  </si>
  <si>
    <t>P_u_F</t>
  </si>
  <si>
    <t>P_u_1</t>
  </si>
  <si>
    <t>P_u_2</t>
  </si>
  <si>
    <t>P_u_3</t>
  </si>
  <si>
    <t>PISA</t>
  </si>
  <si>
    <t>EW_32_AYBR_K0_10</t>
  </si>
  <si>
    <t>EW_32_AYBR_K0_11</t>
  </si>
  <si>
    <t>EW_32_AYBR_K0_12</t>
  </si>
  <si>
    <t>EW_32_AYBR_K0_13</t>
  </si>
  <si>
    <t>EW_32_AYBR_K0_14</t>
  </si>
  <si>
    <t>EW_32_AYBR_K0_3</t>
  </si>
  <si>
    <t>EW_32_AYBR_K0_4</t>
  </si>
  <si>
    <t>EW_32_AYBR_K0_5</t>
  </si>
  <si>
    <t>EW_32_AYBR_K0_6</t>
  </si>
  <si>
    <t>EW_32_AYBR_K0_7</t>
  </si>
  <si>
    <t>EW_32_AYBR_K0_8</t>
  </si>
  <si>
    <t>EW_32_AYBR_K0_9</t>
  </si>
  <si>
    <t>Arcadis Ost 1</t>
  </si>
  <si>
    <t>Empire Wind</t>
  </si>
  <si>
    <t>EW_32_AYBR_K0_1</t>
  </si>
  <si>
    <t>EW_32_AYBR_K0_2</t>
  </si>
  <si>
    <t>EW_43_10a_5</t>
  </si>
  <si>
    <t>EW_43_10b_6</t>
  </si>
  <si>
    <t>EW_43_10b_7</t>
  </si>
  <si>
    <t>EW_43_10b_8</t>
  </si>
  <si>
    <t>EW_43_10b_9</t>
  </si>
  <si>
    <t>EW_43_19a_10</t>
  </si>
  <si>
    <t>EW_43_19a_11</t>
  </si>
  <si>
    <t>EW_43_19b_12</t>
  </si>
  <si>
    <t>EW_43_1a_1</t>
  </si>
  <si>
    <t>EW_43_1a_2</t>
  </si>
  <si>
    <t>EW_43_1a_3</t>
  </si>
  <si>
    <t>EW_43_21a_13</t>
  </si>
  <si>
    <t>EW_43_23d_14</t>
  </si>
  <si>
    <t>EW_43_2c_4</t>
  </si>
  <si>
    <t>Sand 45</t>
  </si>
  <si>
    <t>PISA_old</t>
  </si>
  <si>
    <t>Sand 60</t>
  </si>
  <si>
    <t>Sand_1</t>
  </si>
  <si>
    <t>Sand_10</t>
  </si>
  <si>
    <t>Sand_100</t>
  </si>
  <si>
    <t>Sand_11</t>
  </si>
  <si>
    <t>Sand_12</t>
  </si>
  <si>
    <t>Sand_13</t>
  </si>
  <si>
    <t>Sand_14</t>
  </si>
  <si>
    <t>Sand_15</t>
  </si>
  <si>
    <t>Sand_16</t>
  </si>
  <si>
    <t>Sand_17</t>
  </si>
  <si>
    <t>Sand_18</t>
  </si>
  <si>
    <t>Sand_19</t>
  </si>
  <si>
    <t>Sand_2</t>
  </si>
  <si>
    <t>Sand_20</t>
  </si>
  <si>
    <t>Sand_21</t>
  </si>
  <si>
    <t>Sand_22</t>
  </si>
  <si>
    <t>Sand_23</t>
  </si>
  <si>
    <t>Sand_24</t>
  </si>
  <si>
    <t>Sand_25</t>
  </si>
  <si>
    <t>Sand_26</t>
  </si>
  <si>
    <t>Sand_27</t>
  </si>
  <si>
    <t>Sand_28</t>
  </si>
  <si>
    <t>Sand_29</t>
  </si>
  <si>
    <t>Sand_3</t>
  </si>
  <si>
    <t>Sand_30</t>
  </si>
  <si>
    <t>Sand_31</t>
  </si>
  <si>
    <t>Sand_32</t>
  </si>
  <si>
    <t>Sand_33</t>
  </si>
  <si>
    <t>Sand_34</t>
  </si>
  <si>
    <t>Sand_35</t>
  </si>
  <si>
    <t>Sand_36</t>
  </si>
  <si>
    <t>Sand_37</t>
  </si>
  <si>
    <t>Sand_38</t>
  </si>
  <si>
    <t>Sand_39</t>
  </si>
  <si>
    <t>Sand_4</t>
  </si>
  <si>
    <t>Sand_40</t>
  </si>
  <si>
    <t>Sand_41</t>
  </si>
  <si>
    <t>Sand_42</t>
  </si>
  <si>
    <t>Sand_43</t>
  </si>
  <si>
    <t>Sand_44</t>
  </si>
  <si>
    <t>Sand_45</t>
  </si>
  <si>
    <t>Sand_46</t>
  </si>
  <si>
    <t>Sand_47</t>
  </si>
  <si>
    <t>Sand_48</t>
  </si>
  <si>
    <t>Sand_49</t>
  </si>
  <si>
    <t>Sand_5</t>
  </si>
  <si>
    <t>Sand_50</t>
  </si>
  <si>
    <t>Sand_51</t>
  </si>
  <si>
    <t>Sand_52</t>
  </si>
  <si>
    <t>Sand_53</t>
  </si>
  <si>
    <t>Sand_54</t>
  </si>
  <si>
    <t>Sand_55</t>
  </si>
  <si>
    <t>Sand_56</t>
  </si>
  <si>
    <t>Sand_57</t>
  </si>
  <si>
    <t>Sand_58</t>
  </si>
  <si>
    <t>Sand_59</t>
  </si>
  <si>
    <t>Sand_6</t>
  </si>
  <si>
    <t>Sand_60</t>
  </si>
  <si>
    <t>Sand_61</t>
  </si>
  <si>
    <t>Sand_62</t>
  </si>
  <si>
    <t>Sand_63</t>
  </si>
  <si>
    <t>Sand_64</t>
  </si>
  <si>
    <t>Sand_65</t>
  </si>
  <si>
    <t>Sand_66</t>
  </si>
  <si>
    <t>Sand_67</t>
  </si>
  <si>
    <t>Sand_68</t>
  </si>
  <si>
    <t>Sand_69</t>
  </si>
  <si>
    <t>Sand_7</t>
  </si>
  <si>
    <t>Sand_70</t>
  </si>
  <si>
    <t>Sand_71</t>
  </si>
  <si>
    <t>Sand_72</t>
  </si>
  <si>
    <t>Sand_73</t>
  </si>
  <si>
    <t>Sand_74</t>
  </si>
  <si>
    <t>Sand_75</t>
  </si>
  <si>
    <t>Sand_76</t>
  </si>
  <si>
    <t>Sand_77</t>
  </si>
  <si>
    <t>Sand_78</t>
  </si>
  <si>
    <t>Sand_79</t>
  </si>
  <si>
    <t>Sand_8</t>
  </si>
  <si>
    <t>Sand_80</t>
  </si>
  <si>
    <t>Sand_81</t>
  </si>
  <si>
    <t>Sand_82</t>
  </si>
  <si>
    <t>Sand_83</t>
  </si>
  <si>
    <t>Sand_84</t>
  </si>
  <si>
    <t>Sand_85</t>
  </si>
  <si>
    <t>Sand_86</t>
  </si>
  <si>
    <t>Sand_87</t>
  </si>
  <si>
    <t>Sand_88</t>
  </si>
  <si>
    <t>Sand_89</t>
  </si>
  <si>
    <t>Sand_9</t>
  </si>
  <si>
    <t>Sand_90</t>
  </si>
  <si>
    <t>Sand_91</t>
  </si>
  <si>
    <t>Sand_92</t>
  </si>
  <si>
    <t>Sand_93</t>
  </si>
  <si>
    <t>Sand_94</t>
  </si>
  <si>
    <t>Sand_95</t>
  </si>
  <si>
    <t>Sand_96</t>
  </si>
  <si>
    <t>Sand_97</t>
  </si>
  <si>
    <t>Sand_98</t>
  </si>
  <si>
    <t>Sand_99</t>
  </si>
  <si>
    <t>Sand</t>
  </si>
  <si>
    <t>Clay</t>
  </si>
  <si>
    <t>Orsted calibration settings</t>
  </si>
  <si>
    <t>Write text file output</t>
  </si>
  <si>
    <t>Cowden_Clay</t>
  </si>
  <si>
    <t>name</t>
  </si>
  <si>
    <t>project</t>
  </si>
  <si>
    <t>Bothkennar_Clay</t>
  </si>
  <si>
    <t>Chalk</t>
  </si>
  <si>
    <t>Glacial_Till</t>
  </si>
  <si>
    <t>Upper_Clay</t>
  </si>
  <si>
    <t>Database update</t>
  </si>
  <si>
    <t>q1</t>
  </si>
  <si>
    <t>f1</t>
  </si>
  <si>
    <t>delta</t>
  </si>
  <si>
    <t>tip</t>
  </si>
  <si>
    <t>skin</t>
  </si>
  <si>
    <t/>
  </si>
  <si>
    <t>kPa</t>
  </si>
  <si>
    <t>kN/m³</t>
  </si>
  <si>
    <t>m VREF</t>
  </si>
  <si>
    <t>[%]</t>
  </si>
  <si>
    <t>[degrees/m]</t>
  </si>
  <si>
    <r>
      <t>[m</t>
    </r>
    <r>
      <rPr>
        <vertAlign val="superscript"/>
        <sz val="11"/>
        <color theme="0" tint="-0.14999847407452621"/>
        <rFont val="Calibri"/>
        <family val="2"/>
        <scheme val="minor"/>
      </rPr>
      <t>-1</t>
    </r>
    <r>
      <rPr>
        <sz val="11"/>
        <color theme="0" tint="-0.14999847407452621"/>
        <rFont val="Calibri"/>
        <family val="2"/>
        <scheme val="minor"/>
      </rPr>
      <t>]</t>
    </r>
  </si>
  <si>
    <t>-</t>
  </si>
  <si>
    <t>Cyclic_Multiplier</t>
  </si>
  <si>
    <t>Dr</t>
  </si>
  <si>
    <t>delta_phi</t>
  </si>
  <si>
    <t>Cyclic_Pisa_Multiplier_Y_Thehta</t>
  </si>
  <si>
    <t>Cyclic_Pisa_Multiplier_P_M</t>
  </si>
  <si>
    <t xml:space="preserve">delta_q_ur </t>
  </si>
  <si>
    <t>Empire_Wind_1</t>
  </si>
  <si>
    <t>Loc_69_Clay_1</t>
  </si>
  <si>
    <t>Loc_69_Sand_1</t>
  </si>
  <si>
    <t>Loc_69_Sand_2</t>
  </si>
  <si>
    <t>Loc_69_Sand_3</t>
  </si>
  <si>
    <t>Loc_69_Sand_4</t>
  </si>
  <si>
    <t>Loc_69_Sand_5</t>
  </si>
  <si>
    <t>Loc_69_Clay_2</t>
  </si>
  <si>
    <t>Loc_69_Clay_3</t>
  </si>
  <si>
    <t>Loc_69_Sand_6</t>
  </si>
  <si>
    <t>Exchange sheet</t>
  </si>
  <si>
    <t>Loc_69L_old</t>
  </si>
  <si>
    <t>notes</t>
  </si>
  <si>
    <t>soil_type</t>
  </si>
  <si>
    <t>On/Off</t>
  </si>
  <si>
    <t>Other</t>
  </si>
  <si>
    <t>PISA Method</t>
  </si>
  <si>
    <t>Scalar</t>
  </si>
  <si>
    <t>def</t>
  </si>
  <si>
    <t>mom</t>
  </si>
  <si>
    <t>defmud</t>
  </si>
  <si>
    <t>def_mom</t>
  </si>
  <si>
    <t>def_defmud</t>
  </si>
  <si>
    <t>mom_defmud</t>
  </si>
  <si>
    <t>lsqnonlin</t>
  </si>
  <si>
    <t>Obs_NP</t>
  </si>
  <si>
    <t>Loc_69_Sand_8</t>
  </si>
  <si>
    <t>Location name</t>
  </si>
  <si>
    <t>Layer name</t>
  </si>
  <si>
    <t>location</t>
  </si>
  <si>
    <t>Output</t>
  </si>
  <si>
    <t>Preparer</t>
  </si>
  <si>
    <t>Loc_11_Clay_1</t>
  </si>
  <si>
    <t>Loc_11_Clay_2</t>
  </si>
  <si>
    <t>Loc_11_Clay_3</t>
  </si>
  <si>
    <t>Loc_11_Clay_4</t>
  </si>
  <si>
    <t>Loc_11_Sand_1</t>
  </si>
  <si>
    <t>Loc_11_Sand_2</t>
  </si>
  <si>
    <t>Loc_11_Sand_3</t>
  </si>
  <si>
    <t>Loc_11_Sand_4</t>
  </si>
  <si>
    <t>NA</t>
  </si>
  <si>
    <t>Base case</t>
  </si>
  <si>
    <t>diameter</t>
  </si>
  <si>
    <t>length</t>
  </si>
  <si>
    <t>preparer</t>
  </si>
  <si>
    <t>timestamp</t>
  </si>
  <si>
    <t>Layer switch</t>
  </si>
  <si>
    <t>Function type</t>
  </si>
  <si>
    <t>General_reduction_factor</t>
  </si>
  <si>
    <t>ultimate_PU_drained</t>
  </si>
  <si>
    <t>ultimate_MU_drained</t>
  </si>
  <si>
    <t>ultimate_PU_undrained</t>
  </si>
  <si>
    <t>ultimate_MU_undrained</t>
  </si>
  <si>
    <t>Reaction curve</t>
  </si>
  <si>
    <t>Layered</t>
  </si>
  <si>
    <t>Homogeneous</t>
  </si>
  <si>
    <t>Pile response</t>
  </si>
  <si>
    <t>32</t>
  </si>
  <si>
    <t>43</t>
  </si>
  <si>
    <t>47</t>
  </si>
  <si>
    <t>69</t>
  </si>
  <si>
    <t>11</t>
  </si>
  <si>
    <t>0</t>
  </si>
  <si>
    <t>Cyclic_concept</t>
  </si>
  <si>
    <t>Markov_matrix_run</t>
  </si>
  <si>
    <t>Markov_matrix_excel_name</t>
  </si>
  <si>
    <t>Markow_Matrix.xlsx</t>
  </si>
  <si>
    <t>Markov_matrix_sheet_name</t>
  </si>
  <si>
    <t>Sheet1</t>
  </si>
  <si>
    <t>Interest_nodes</t>
  </si>
  <si>
    <t xml:space="preserve">1.05, 3.05, 5.5, 8, 11.3 15.3, 18.55, 21.55, 24.5, 27, 30.5, 35.5 </t>
  </si>
  <si>
    <t>Ns</t>
  </si>
  <si>
    <t>Markov_size_1_&amp;_2</t>
  </si>
  <si>
    <t>64 64</t>
  </si>
  <si>
    <t>Sand_CSR</t>
  </si>
  <si>
    <t>NGI</t>
  </si>
  <si>
    <t>Markov settings</t>
  </si>
  <si>
    <t>Cyclic_style</t>
  </si>
  <si>
    <t>Cyclic_batch</t>
  </si>
  <si>
    <t>min_CSR</t>
  </si>
  <si>
    <t>Batch2a_OCR-16_Ip-16</t>
  </si>
  <si>
    <t>Batch2c_OCR-8_Ip-37</t>
  </si>
  <si>
    <t>COPY TABLE FROM DESIGN_PROFILE ON [AW5]</t>
  </si>
  <si>
    <t>unit</t>
  </si>
  <si>
    <t>Depth, (m bsf)</t>
  </si>
  <si>
    <t>Unit</t>
  </si>
  <si>
    <t>w, (%)</t>
  </si>
  <si>
    <t>Gam, (kN/m3)</t>
  </si>
  <si>
    <t>Ip, (%)</t>
  </si>
  <si>
    <t>FC, (%)</t>
  </si>
  <si>
    <t>St, (-)</t>
  </si>
  <si>
    <t>eps50, (%)</t>
  </si>
  <si>
    <t>qt LE, (MPa)</t>
  </si>
  <si>
    <t>qt CLBE, (MPa)</t>
  </si>
  <si>
    <t>qt BE, (MPa)</t>
  </si>
  <si>
    <t>qt CHBE, (MPa)</t>
  </si>
  <si>
    <t>qt HE, (MPa)</t>
  </si>
  <si>
    <t>fs LE, (MPa)</t>
  </si>
  <si>
    <t>fs CLBE, (MPa)</t>
  </si>
  <si>
    <t>fs BE, (MPa)</t>
  </si>
  <si>
    <t>fs CHBE, (MPa)</t>
  </si>
  <si>
    <t>fs HE, (MPa)</t>
  </si>
  <si>
    <t>su LE, (kPa)</t>
  </si>
  <si>
    <t>su CLBE, (kPa)</t>
  </si>
  <si>
    <t>su BE, (kPa)</t>
  </si>
  <si>
    <t>su CHBE, (kPa)</t>
  </si>
  <si>
    <t>su HE, (kPa)</t>
  </si>
  <si>
    <t>Dr, (%)</t>
  </si>
  <si>
    <t>phi LE, (deg)</t>
  </si>
  <si>
    <t>phi CLBE, (deg)</t>
  </si>
  <si>
    <t>phi BE, (deg)</t>
  </si>
  <si>
    <t>phi CHBE, (deg)</t>
  </si>
  <si>
    <t>phi HE, (deg)</t>
  </si>
  <si>
    <t>Gmax LE, (MPa)</t>
  </si>
  <si>
    <t>Gmax CLBE, (MPa)</t>
  </si>
  <si>
    <t>Gmax BE, (MPa)</t>
  </si>
  <si>
    <t>Gmax CHBE, (MPa)</t>
  </si>
  <si>
    <t>Gmax HE, (MPa)</t>
  </si>
  <si>
    <t>M0, (MPa)</t>
  </si>
  <si>
    <t>OCR, (-)</t>
  </si>
  <si>
    <t>K0, (-)</t>
  </si>
  <si>
    <t>k, (m/s)</t>
  </si>
  <si>
    <t>D02_NGI_1</t>
  </si>
  <si>
    <t>A_FC1.4_OCR1_DR83</t>
  </si>
  <si>
    <t>SS1</t>
  </si>
  <si>
    <t>D02_NGI_2</t>
  </si>
  <si>
    <t>21a_FC17_OCR1.3_DR35</t>
  </si>
  <si>
    <t>D02_NGI_3</t>
  </si>
  <si>
    <t>Drammen_Clay_4_corrected</t>
  </si>
  <si>
    <t>D02_NGI_4</t>
  </si>
  <si>
    <t>D02_NGI_5</t>
  </si>
  <si>
    <t>PM5</t>
  </si>
  <si>
    <t>D02_NGI_6</t>
  </si>
  <si>
    <t>D02_NGI_7</t>
  </si>
  <si>
    <t>C2_OCR6_Ip55</t>
  </si>
  <si>
    <t>PM2</t>
  </si>
  <si>
    <t>D02_NGI_8</t>
  </si>
  <si>
    <t>D02_NGI_9</t>
  </si>
  <si>
    <t>D02_NGI_10</t>
  </si>
  <si>
    <t>D02_NGI_11</t>
  </si>
  <si>
    <t>D02_NGI_12</t>
  </si>
  <si>
    <t>D02_NGI_13</t>
  </si>
  <si>
    <t>D02_NGI_14</t>
  </si>
  <si>
    <t>D02_NGI_15</t>
  </si>
  <si>
    <t>Clay_regression_CC2_iklq</t>
  </si>
  <si>
    <t>SS1_100</t>
  </si>
  <si>
    <t>SS1_96</t>
  </si>
  <si>
    <t>PM5_46</t>
  </si>
  <si>
    <t>CC2</t>
  </si>
  <si>
    <t>Clay_regression_PM2</t>
  </si>
  <si>
    <t>PM5_63</t>
  </si>
  <si>
    <t>PM5_57</t>
  </si>
  <si>
    <t>PM5_67</t>
  </si>
  <si>
    <t>PM5_75</t>
  </si>
  <si>
    <t>PM5_74</t>
  </si>
  <si>
    <t>PM5_78</t>
  </si>
  <si>
    <t>Batch3_N1</t>
  </si>
  <si>
    <t>Batch3_N10</t>
  </si>
  <si>
    <t>Batch3_N100</t>
  </si>
  <si>
    <t>Batch3_N1000</t>
  </si>
  <si>
    <t>Batch3_N10000</t>
  </si>
  <si>
    <t>Batch3_N500</t>
  </si>
  <si>
    <t>BatchA_N1</t>
  </si>
  <si>
    <t>BatchA_N10</t>
  </si>
  <si>
    <t>BatchA_N100</t>
  </si>
  <si>
    <t>BatchA_N1000</t>
  </si>
  <si>
    <t>BatchA_N10000</t>
  </si>
  <si>
    <t>BatchA_N500</t>
  </si>
  <si>
    <t>CC1_ace_1</t>
  </si>
  <si>
    <t>EW-CL</t>
  </si>
  <si>
    <t>CC1_ace_10</t>
  </si>
  <si>
    <t>CC1_ace_100</t>
  </si>
  <si>
    <t>CC1_ace_11</t>
  </si>
  <si>
    <t>CC1_ace_12</t>
  </si>
  <si>
    <t>CC1_ace_13</t>
  </si>
  <si>
    <t>CC1_ace_14</t>
  </si>
  <si>
    <t>CC1_ace_15</t>
  </si>
  <si>
    <t>CC1_ace_16</t>
  </si>
  <si>
    <t>CC1_ace_17</t>
  </si>
  <si>
    <t>CC1_ace_18</t>
  </si>
  <si>
    <t>CC1_ace_19</t>
  </si>
  <si>
    <t>CC1_ace_2</t>
  </si>
  <si>
    <t>CC1_ace_20</t>
  </si>
  <si>
    <t>CC1_ace_21</t>
  </si>
  <si>
    <t>CC1_ace_22</t>
  </si>
  <si>
    <t>CC1_ace_23</t>
  </si>
  <si>
    <t>CC1_ace_24</t>
  </si>
  <si>
    <t>CC1_ace_25</t>
  </si>
  <si>
    <t>CC1_ace_26</t>
  </si>
  <si>
    <t>CC1_ace_27</t>
  </si>
  <si>
    <t>CC1_ace_28</t>
  </si>
  <si>
    <t>CC1_ace_29</t>
  </si>
  <si>
    <t>CC1_ace_3</t>
  </si>
  <si>
    <t>CC1_ace_30</t>
  </si>
  <si>
    <t>CC1_ace_31</t>
  </si>
  <si>
    <t>CC1_ace_32</t>
  </si>
  <si>
    <t>CC1_ace_33</t>
  </si>
  <si>
    <t>CC1_ace_34</t>
  </si>
  <si>
    <t>CC1_ace_35</t>
  </si>
  <si>
    <t>CC1_ace_36</t>
  </si>
  <si>
    <t>CC1_ace_37</t>
  </si>
  <si>
    <t>CC1_ace_38</t>
  </si>
  <si>
    <t>CC1_ace_39</t>
  </si>
  <si>
    <t>CC1_ace_4</t>
  </si>
  <si>
    <t>CC1_ace_40</t>
  </si>
  <si>
    <t>CC1_ace_41</t>
  </si>
  <si>
    <t>CC1_ace_42</t>
  </si>
  <si>
    <t>CC1_ace_43</t>
  </si>
  <si>
    <t>CC1_ace_44</t>
  </si>
  <si>
    <t>CC1_ace_45</t>
  </si>
  <si>
    <t>CC1_ace_46</t>
  </si>
  <si>
    <t>CC1_ace_47</t>
  </si>
  <si>
    <t>CC1_ace_48</t>
  </si>
  <si>
    <t>CC1_ace_49</t>
  </si>
  <si>
    <t>CC1_ace_5</t>
  </si>
  <si>
    <t>CC1_ace_50</t>
  </si>
  <si>
    <t>CC1_ace_51</t>
  </si>
  <si>
    <t>CC1_ace_52</t>
  </si>
  <si>
    <t>CC1_ace_53</t>
  </si>
  <si>
    <t>CC1_ace_54</t>
  </si>
  <si>
    <t>CC1_ace_55</t>
  </si>
  <si>
    <t>CC1_ace_56</t>
  </si>
  <si>
    <t>CC1_ace_57</t>
  </si>
  <si>
    <t>CC1_ace_58</t>
  </si>
  <si>
    <t>CC1_ace_59</t>
  </si>
  <si>
    <t>CC1_ace_6</t>
  </si>
  <si>
    <t>CC1_ace_60</t>
  </si>
  <si>
    <t>CC1_ace_61</t>
  </si>
  <si>
    <t>CC1_ace_62</t>
  </si>
  <si>
    <t>CC1_ace_63</t>
  </si>
  <si>
    <t>CC1_ace_64</t>
  </si>
  <si>
    <t>CC1_ace_65</t>
  </si>
  <si>
    <t>CC1_ace_66</t>
  </si>
  <si>
    <t>CC1_ace_67</t>
  </si>
  <si>
    <t>CC1_ace_68</t>
  </si>
  <si>
    <t>CC1_ace_69</t>
  </si>
  <si>
    <t>CC1_ace_7</t>
  </si>
  <si>
    <t>CC1_ace_70</t>
  </si>
  <si>
    <t>CC1_ace_71</t>
  </si>
  <si>
    <t>CC1_ace_72</t>
  </si>
  <si>
    <t>CC1_ace_73</t>
  </si>
  <si>
    <t>CC1_ace_74</t>
  </si>
  <si>
    <t>CC1_ace_75</t>
  </si>
  <si>
    <t>CC1_ace_76</t>
  </si>
  <si>
    <t>CC1_ace_77</t>
  </si>
  <si>
    <t>CC1_ace_78</t>
  </si>
  <si>
    <t>CC1_ace_79</t>
  </si>
  <si>
    <t>CC1_ace_8</t>
  </si>
  <si>
    <t>CC1_ace_80</t>
  </si>
  <si>
    <t>CC1_ace_81</t>
  </si>
  <si>
    <t>CC1_ace_82</t>
  </si>
  <si>
    <t>CC1_ace_83</t>
  </si>
  <si>
    <t>CC1_ace_84</t>
  </si>
  <si>
    <t>CC1_ace_85</t>
  </si>
  <si>
    <t>CC1_ace_86</t>
  </si>
  <si>
    <t>CC1_ace_87</t>
  </si>
  <si>
    <t>CC1_ace_88</t>
  </si>
  <si>
    <t>CC1_ace_89</t>
  </si>
  <si>
    <t>CC1_ace_9</t>
  </si>
  <si>
    <t>CC1_ace_90</t>
  </si>
  <si>
    <t>CC1_ace_91</t>
  </si>
  <si>
    <t>CC1_ace_92</t>
  </si>
  <si>
    <t>CC1_ace_93</t>
  </si>
  <si>
    <t>CC1_ace_94</t>
  </si>
  <si>
    <t>CC1_ace_95</t>
  </si>
  <si>
    <t>CC1_ace_96</t>
  </si>
  <si>
    <t>CC1_ace_97</t>
  </si>
  <si>
    <t>CC1_ace_98</t>
  </si>
  <si>
    <t>CC1_ace_99</t>
  </si>
  <si>
    <t>CC1_jr_1</t>
  </si>
  <si>
    <t>CC1_jr_10</t>
  </si>
  <si>
    <t>CC1_jr_100</t>
  </si>
  <si>
    <t>CC1_jr_11</t>
  </si>
  <si>
    <t>CC1_jr_12</t>
  </si>
  <si>
    <t>CC1_jr_13</t>
  </si>
  <si>
    <t>CC1_jr_14</t>
  </si>
  <si>
    <t>CC1_jr_15</t>
  </si>
  <si>
    <t>CC1_jr_16</t>
  </si>
  <si>
    <t>CC1_jr_17</t>
  </si>
  <si>
    <t>CC1_jr_18</t>
  </si>
  <si>
    <t>CC1_jr_19</t>
  </si>
  <si>
    <t>CC1_jr_2</t>
  </si>
  <si>
    <t>CC1_jr_20</t>
  </si>
  <si>
    <t>CC1_jr_21</t>
  </si>
  <si>
    <t>CC1_jr_22</t>
  </si>
  <si>
    <t>CC1_jr_23</t>
  </si>
  <si>
    <t>CC1_jr_24</t>
  </si>
  <si>
    <t>CC1_jr_25</t>
  </si>
  <si>
    <t>CC1_jr_26</t>
  </si>
  <si>
    <t>CC1_jr_27</t>
  </si>
  <si>
    <t>CC1_jr_28</t>
  </si>
  <si>
    <t>CC1_jr_29</t>
  </si>
  <si>
    <t>CC1_jr_3</t>
  </si>
  <si>
    <t>CC1_jr_30</t>
  </si>
  <si>
    <t>CC1_jr_31</t>
  </si>
  <si>
    <t>CC1_jr_32</t>
  </si>
  <si>
    <t>CC1_jr_33</t>
  </si>
  <si>
    <t>CC1_jr_34</t>
  </si>
  <si>
    <t>CC1_jr_35</t>
  </si>
  <si>
    <t>CC1_jr_36</t>
  </si>
  <si>
    <t>CC1_jr_37</t>
  </si>
  <si>
    <t>CC1_jr_38</t>
  </si>
  <si>
    <t>CC1_jr_39</t>
  </si>
  <si>
    <t>CC1_jr_4</t>
  </si>
  <si>
    <t>CC1_jr_40</t>
  </si>
  <si>
    <t>CC1_jr_41</t>
  </si>
  <si>
    <t>CC1_jr_42</t>
  </si>
  <si>
    <t>CC1_jr_43</t>
  </si>
  <si>
    <t>CC1_jr_44</t>
  </si>
  <si>
    <t>CC1_jr_45</t>
  </si>
  <si>
    <t>CC1_jr_46</t>
  </si>
  <si>
    <t>CC1_jr_47</t>
  </si>
  <si>
    <t>CC1_jr_48</t>
  </si>
  <si>
    <t>CC1_jr_49</t>
  </si>
  <si>
    <t>CC1_jr_5</t>
  </si>
  <si>
    <t>CC1_jr_50</t>
  </si>
  <si>
    <t>CC1_jr_51</t>
  </si>
  <si>
    <t>CC1_jr_52</t>
  </si>
  <si>
    <t>CC1_jr_53</t>
  </si>
  <si>
    <t>CC1_jr_54</t>
  </si>
  <si>
    <t>CC1_jr_55</t>
  </si>
  <si>
    <t>CC1_jr_56</t>
  </si>
  <si>
    <t>CC1_jr_57</t>
  </si>
  <si>
    <t>CC1_jr_58</t>
  </si>
  <si>
    <t>CC1_jr_59</t>
  </si>
  <si>
    <t>CC1_jr_6</t>
  </si>
  <si>
    <t>CC1_jr_60</t>
  </si>
  <si>
    <t>CC1_jr_61</t>
  </si>
  <si>
    <t>CC1_jr_62</t>
  </si>
  <si>
    <t>CC1_jr_63</t>
  </si>
  <si>
    <t>CC1_jr_64</t>
  </si>
  <si>
    <t>CC1_jr_65</t>
  </si>
  <si>
    <t>CC1_jr_66</t>
  </si>
  <si>
    <t>CC1_jr_67</t>
  </si>
  <si>
    <t>CC1_jr_68</t>
  </si>
  <si>
    <t>CC1_jr_69</t>
  </si>
  <si>
    <t>CC1_jr_7</t>
  </si>
  <si>
    <t>CC1_jr_70</t>
  </si>
  <si>
    <t>CC1_jr_71</t>
  </si>
  <si>
    <t>CC1_jr_72</t>
  </si>
  <si>
    <t>CC1_jr_73</t>
  </si>
  <si>
    <t>CC1_jr_74</t>
  </si>
  <si>
    <t>CC1_jr_75</t>
  </si>
  <si>
    <t>CC1_jr_76</t>
  </si>
  <si>
    <t>CC1_jr_77</t>
  </si>
  <si>
    <t>CC1_jr_78</t>
  </si>
  <si>
    <t>CC1_jr_79</t>
  </si>
  <si>
    <t>CC1_jr_8</t>
  </si>
  <si>
    <t>CC1_jr_80</t>
  </si>
  <si>
    <t>CC1_jr_81</t>
  </si>
  <si>
    <t>CC1_jr_82</t>
  </si>
  <si>
    <t>CC1_jr_83</t>
  </si>
  <si>
    <t>CC1_jr_84</t>
  </si>
  <si>
    <t>CC1_jr_85</t>
  </si>
  <si>
    <t>CC1_jr_86</t>
  </si>
  <si>
    <t>CC1_jr_87</t>
  </si>
  <si>
    <t>CC1_jr_88</t>
  </si>
  <si>
    <t>CC1_jr_89</t>
  </si>
  <si>
    <t>CC1_jr_9</t>
  </si>
  <si>
    <t>CC1_jr_90</t>
  </si>
  <si>
    <t>CC1_jr_91</t>
  </si>
  <si>
    <t>CC1_jr_92</t>
  </si>
  <si>
    <t>CC1_jr_93</t>
  </si>
  <si>
    <t>CC1_jr_94</t>
  </si>
  <si>
    <t>CC1_jr_95</t>
  </si>
  <si>
    <t>CC1_jr_96</t>
  </si>
  <si>
    <t>CC1_jr_97</t>
  </si>
  <si>
    <t>CC1_jr_98</t>
  </si>
  <si>
    <t>CC1_jr_99</t>
  </si>
  <si>
    <t>Clay_regression</t>
  </si>
  <si>
    <t>Clay_regression_CC</t>
  </si>
  <si>
    <t>Clay_regression_CC2_bdo</t>
  </si>
  <si>
    <t>Clay_regression_CC3</t>
  </si>
  <si>
    <t>Clay_regression_H1</t>
  </si>
  <si>
    <t>Clay_regression_H3</t>
  </si>
  <si>
    <t>Clay_regression_PC2</t>
  </si>
  <si>
    <t>Clay_regression_PH2</t>
  </si>
  <si>
    <t>D02_1</t>
  </si>
  <si>
    <t>D02_10</t>
  </si>
  <si>
    <t>D02_11</t>
  </si>
  <si>
    <t>D02_12</t>
  </si>
  <si>
    <t>D02_13</t>
  </si>
  <si>
    <t>D02_14</t>
  </si>
  <si>
    <t>D02_15</t>
  </si>
  <si>
    <t>D02_2</t>
  </si>
  <si>
    <t>D02_3</t>
  </si>
  <si>
    <t>D02_4</t>
  </si>
  <si>
    <t>D02_5</t>
  </si>
  <si>
    <t>D02_6</t>
  </si>
  <si>
    <t>D02_7</t>
  </si>
  <si>
    <t>D02_8</t>
  </si>
  <si>
    <t>D02_9</t>
  </si>
  <si>
    <t>H2_1</t>
  </si>
  <si>
    <t>H2_10</t>
  </si>
  <si>
    <t>H2_100</t>
  </si>
  <si>
    <t>H2_11</t>
  </si>
  <si>
    <t>H2_12</t>
  </si>
  <si>
    <t>H2_13</t>
  </si>
  <si>
    <t>H2_14</t>
  </si>
  <si>
    <t>H2_15</t>
  </si>
  <si>
    <t>H2_16</t>
  </si>
  <si>
    <t>H2_17</t>
  </si>
  <si>
    <t>H2_18</t>
  </si>
  <si>
    <t>H2_19</t>
  </si>
  <si>
    <t>H2_2</t>
  </si>
  <si>
    <t>H2_20</t>
  </si>
  <si>
    <t>H2_21</t>
  </si>
  <si>
    <t>H2_22</t>
  </si>
  <si>
    <t>H2_23</t>
  </si>
  <si>
    <t>H2_24</t>
  </si>
  <si>
    <t>H2_25</t>
  </si>
  <si>
    <t>H2_26</t>
  </si>
  <si>
    <t>H2_27</t>
  </si>
  <si>
    <t>H2_28</t>
  </si>
  <si>
    <t>H2_29</t>
  </si>
  <si>
    <t>H2_3</t>
  </si>
  <si>
    <t>H2_30</t>
  </si>
  <si>
    <t>H2_31</t>
  </si>
  <si>
    <t>H2_32</t>
  </si>
  <si>
    <t>H2_33</t>
  </si>
  <si>
    <t>H2_34</t>
  </si>
  <si>
    <t>H2_35</t>
  </si>
  <si>
    <t>H2_36</t>
  </si>
  <si>
    <t>H2_37</t>
  </si>
  <si>
    <t>H2_38</t>
  </si>
  <si>
    <t>H2_39</t>
  </si>
  <si>
    <t>H2_4</t>
  </si>
  <si>
    <t>H2_40</t>
  </si>
  <si>
    <t>H2_41</t>
  </si>
  <si>
    <t>H2_42</t>
  </si>
  <si>
    <t>H2_43</t>
  </si>
  <si>
    <t>H2_44</t>
  </si>
  <si>
    <t>H2_45</t>
  </si>
  <si>
    <t>H2_46</t>
  </si>
  <si>
    <t>H2_47</t>
  </si>
  <si>
    <t>H2_48</t>
  </si>
  <si>
    <t>H2_49</t>
  </si>
  <si>
    <t>H2_5</t>
  </si>
  <si>
    <t>H2_50</t>
  </si>
  <si>
    <t>H2_51</t>
  </si>
  <si>
    <t>H2_52</t>
  </si>
  <si>
    <t>H2_53</t>
  </si>
  <si>
    <t>H2_54</t>
  </si>
  <si>
    <t>H2_55</t>
  </si>
  <si>
    <t>H2_56</t>
  </si>
  <si>
    <t>H2_57</t>
  </si>
  <si>
    <t>H2_58</t>
  </si>
  <si>
    <t>H2_59</t>
  </si>
  <si>
    <t>H2_6</t>
  </si>
  <si>
    <t>H2_60</t>
  </si>
  <si>
    <t>H2_61</t>
  </si>
  <si>
    <t>H2_62</t>
  </si>
  <si>
    <t>H2_63</t>
  </si>
  <si>
    <t>H2_64</t>
  </si>
  <si>
    <t>H2_65</t>
  </si>
  <si>
    <t>H2_66</t>
  </si>
  <si>
    <t>H2_67</t>
  </si>
  <si>
    <t>H2_68</t>
  </si>
  <si>
    <t>H2_69</t>
  </si>
  <si>
    <t>H2_7</t>
  </si>
  <si>
    <t>H2_70</t>
  </si>
  <si>
    <t>H2_71</t>
  </si>
  <si>
    <t>H2_72</t>
  </si>
  <si>
    <t>H2_73</t>
  </si>
  <si>
    <t>H2_74</t>
  </si>
  <si>
    <t>H2_75</t>
  </si>
  <si>
    <t>H2_76</t>
  </si>
  <si>
    <t>H2_77</t>
  </si>
  <si>
    <t>H2_78</t>
  </si>
  <si>
    <t>H2_79</t>
  </si>
  <si>
    <t>H2_8</t>
  </si>
  <si>
    <t>H2_80</t>
  </si>
  <si>
    <t>H2_81</t>
  </si>
  <si>
    <t>H2_82</t>
  </si>
  <si>
    <t>H2_83</t>
  </si>
  <si>
    <t>H2_84</t>
  </si>
  <si>
    <t>H2_85</t>
  </si>
  <si>
    <t>H2_86</t>
  </si>
  <si>
    <t>H2_87</t>
  </si>
  <si>
    <t>H2_88</t>
  </si>
  <si>
    <t>H2_89</t>
  </si>
  <si>
    <t>H2_9</t>
  </si>
  <si>
    <t>H2_90</t>
  </si>
  <si>
    <t>H2_91</t>
  </si>
  <si>
    <t>H2_92</t>
  </si>
  <si>
    <t>H2_93</t>
  </si>
  <si>
    <t>H2_94</t>
  </si>
  <si>
    <t>H2_95</t>
  </si>
  <si>
    <t>H2_96</t>
  </si>
  <si>
    <t>H2_97</t>
  </si>
  <si>
    <t>H2_98</t>
  </si>
  <si>
    <t>H2_99</t>
  </si>
  <si>
    <t>Homo_PC1_1</t>
  </si>
  <si>
    <t>PC1</t>
  </si>
  <si>
    <t>Homo_PC1_2</t>
  </si>
  <si>
    <t>Loc_04_Clay_1</t>
  </si>
  <si>
    <t>Loc_04_Clay_2</t>
  </si>
  <si>
    <t>Loc_04_Clay_3</t>
  </si>
  <si>
    <t>Loc_04_Clay_4</t>
  </si>
  <si>
    <t>Loc_04_Clay_5</t>
  </si>
  <si>
    <t>Loc_04_Clay_6</t>
  </si>
  <si>
    <t>Loc_04_Clay_7</t>
  </si>
  <si>
    <t>Loc_04_Clay_8</t>
  </si>
  <si>
    <t>Loc_04_Clay_9</t>
  </si>
  <si>
    <t>Loc_04_Sand_1</t>
  </si>
  <si>
    <t>Loc_04_Sand_2</t>
  </si>
  <si>
    <t>Loc_04_Sand_3</t>
  </si>
  <si>
    <t>Loc_04_Sand_4</t>
  </si>
  <si>
    <t>Loc_04_Sand_5</t>
  </si>
  <si>
    <t>Loc_04_Sand_6</t>
  </si>
  <si>
    <t>Loc_14_Clay_1</t>
  </si>
  <si>
    <t>Loc_14_Clay_2</t>
  </si>
  <si>
    <t>Loc_14_Clay_3</t>
  </si>
  <si>
    <t>Loc_14_Clay_4</t>
  </si>
  <si>
    <t>Loc_14_Clay_5</t>
  </si>
  <si>
    <t>Loc_14_Sand_1</t>
  </si>
  <si>
    <t>Loc_14_Sand_2</t>
  </si>
  <si>
    <t>Loc_14_Sand_3</t>
  </si>
  <si>
    <t>Loc_14_Sand_4</t>
  </si>
  <si>
    <t>Loc_14_Sand_5</t>
  </si>
  <si>
    <t>Loc_14_Sand_6</t>
  </si>
  <si>
    <t>Loc_14_Sand_7</t>
  </si>
  <si>
    <t>Loc_55_Sand_1</t>
  </si>
  <si>
    <t>Loc_55_Sand_10</t>
  </si>
  <si>
    <t>Loc_55_Sand_11</t>
  </si>
  <si>
    <t>Loc_55_Sand_2</t>
  </si>
  <si>
    <t>Loc_55_Sand_3</t>
  </si>
  <si>
    <t>Loc_55_Sand_4</t>
  </si>
  <si>
    <t>Loc_55_Sand_5</t>
  </si>
  <si>
    <t>Loc_55_Sand_6</t>
  </si>
  <si>
    <t>Loc_55_Sand_7</t>
  </si>
  <si>
    <t>Loc_55_Sand_8</t>
  </si>
  <si>
    <t>Loc_55_Sand_9</t>
  </si>
  <si>
    <t>Loc_62_Clay_1</t>
  </si>
  <si>
    <t>Loc_62_Clay_2</t>
  </si>
  <si>
    <t>Loc_62_Sand_1</t>
  </si>
  <si>
    <t>Loc_62_Sand_10</t>
  </si>
  <si>
    <t>Loc_62_Sand_2</t>
  </si>
  <si>
    <t>Loc_62_Sand_3</t>
  </si>
  <si>
    <t>Loc_62_Sand_4</t>
  </si>
  <si>
    <t>Loc_62_Sand_5</t>
  </si>
  <si>
    <t>Loc_62_Sand_6</t>
  </si>
  <si>
    <t>Loc_62_Sand_7</t>
  </si>
  <si>
    <t>Loc_62_Sand_8</t>
  </si>
  <si>
    <t>Loc_62_Sand_9</t>
  </si>
  <si>
    <t>7</t>
  </si>
  <si>
    <t>PC1_1</t>
  </si>
  <si>
    <t>PC1_10</t>
  </si>
  <si>
    <t>PC1_100</t>
  </si>
  <si>
    <t>PC1_11</t>
  </si>
  <si>
    <t>PC1_12</t>
  </si>
  <si>
    <t>PC1_13</t>
  </si>
  <si>
    <t>PC1_14</t>
  </si>
  <si>
    <t>PC1_15</t>
  </si>
  <si>
    <t>PC1_16</t>
  </si>
  <si>
    <t>PC1_17</t>
  </si>
  <si>
    <t>PC1_18</t>
  </si>
  <si>
    <t>PC1_19</t>
  </si>
  <si>
    <t>PC1_2</t>
  </si>
  <si>
    <t>PC1_20</t>
  </si>
  <si>
    <t>PC1_21</t>
  </si>
  <si>
    <t>PC1_22</t>
  </si>
  <si>
    <t>PC1_23</t>
  </si>
  <si>
    <t>PC1_24</t>
  </si>
  <si>
    <t>PC1_25</t>
  </si>
  <si>
    <t>PC1_26</t>
  </si>
  <si>
    <t>PC1_27</t>
  </si>
  <si>
    <t>PC1_28</t>
  </si>
  <si>
    <t>PC1_29</t>
  </si>
  <si>
    <t>PC1_3</t>
  </si>
  <si>
    <t>PC1_30</t>
  </si>
  <si>
    <t>PC1_31</t>
  </si>
  <si>
    <t>PC1_32</t>
  </si>
  <si>
    <t>PC1_33</t>
  </si>
  <si>
    <t>PC1_34</t>
  </si>
  <si>
    <t>PC1_35</t>
  </si>
  <si>
    <t>PC1_36</t>
  </si>
  <si>
    <t>PC1_37</t>
  </si>
  <si>
    <t>PC1_38</t>
  </si>
  <si>
    <t>PC1_39</t>
  </si>
  <si>
    <t>PC1_4</t>
  </si>
  <si>
    <t>PC1_40</t>
  </si>
  <si>
    <t>PC1_41</t>
  </si>
  <si>
    <t>PC1_42</t>
  </si>
  <si>
    <t>PC1_43</t>
  </si>
  <si>
    <t>PC1_44</t>
  </si>
  <si>
    <t>PC1_45</t>
  </si>
  <si>
    <t>PC1_46</t>
  </si>
  <si>
    <t>PC1_47</t>
  </si>
  <si>
    <t>PC1_48</t>
  </si>
  <si>
    <t>PC1_49</t>
  </si>
  <si>
    <t>PC1_5</t>
  </si>
  <si>
    <t>PC1_50</t>
  </si>
  <si>
    <t>PC1_51</t>
  </si>
  <si>
    <t>PC1_52</t>
  </si>
  <si>
    <t>PC1_53</t>
  </si>
  <si>
    <t>PC1_54</t>
  </si>
  <si>
    <t>PC1_55</t>
  </si>
  <si>
    <t>PC1_56</t>
  </si>
  <si>
    <t>PC1_57</t>
  </si>
  <si>
    <t>PC1_58</t>
  </si>
  <si>
    <t>PC1_59</t>
  </si>
  <si>
    <t>PC1_6</t>
  </si>
  <si>
    <t>PC1_60</t>
  </si>
  <si>
    <t>PC1_61</t>
  </si>
  <si>
    <t>PC1_62</t>
  </si>
  <si>
    <t>PC1_63</t>
  </si>
  <si>
    <t>PC1_64</t>
  </si>
  <si>
    <t>PC1_65</t>
  </si>
  <si>
    <t>PC1_66</t>
  </si>
  <si>
    <t>PC1_67</t>
  </si>
  <si>
    <t>PC1_68</t>
  </si>
  <si>
    <t>PC1_69</t>
  </si>
  <si>
    <t>PC1_7</t>
  </si>
  <si>
    <t>PC1_70</t>
  </si>
  <si>
    <t>PC1_71</t>
  </si>
  <si>
    <t>PC1_72</t>
  </si>
  <si>
    <t>PC1_73</t>
  </si>
  <si>
    <t>PC1_74</t>
  </si>
  <si>
    <t>PC1_75</t>
  </si>
  <si>
    <t>PC1_76</t>
  </si>
  <si>
    <t>PC1_77</t>
  </si>
  <si>
    <t>PC1_78</t>
  </si>
  <si>
    <t>PC1_79</t>
  </si>
  <si>
    <t>PC1_8</t>
  </si>
  <si>
    <t>PC1_80</t>
  </si>
  <si>
    <t>PC1_81</t>
  </si>
  <si>
    <t>PC1_82</t>
  </si>
  <si>
    <t>PC1_83</t>
  </si>
  <si>
    <t>PC1_84</t>
  </si>
  <si>
    <t>PC1_85</t>
  </si>
  <si>
    <t>PC1_86</t>
  </si>
  <si>
    <t>PC1_87</t>
  </si>
  <si>
    <t>PC1_88</t>
  </si>
  <si>
    <t>PC1_89</t>
  </si>
  <si>
    <t>PC1_9</t>
  </si>
  <si>
    <t>PC1_90</t>
  </si>
  <si>
    <t>PC1_91</t>
  </si>
  <si>
    <t>PC1_92</t>
  </si>
  <si>
    <t>PC1_93</t>
  </si>
  <si>
    <t>PC1_94</t>
  </si>
  <si>
    <t>PC1_95</t>
  </si>
  <si>
    <t>PC1_96</t>
  </si>
  <si>
    <t>PC1_97</t>
  </si>
  <si>
    <t>PC1_98</t>
  </si>
  <si>
    <t>PC1_99</t>
  </si>
  <si>
    <t>PC1_a_1</t>
  </si>
  <si>
    <t>PC1_a_10</t>
  </si>
  <si>
    <t>PC1_a_100</t>
  </si>
  <si>
    <t>PC1_a_11</t>
  </si>
  <si>
    <t>PC1_a_12</t>
  </si>
  <si>
    <t>PC1_a_13</t>
  </si>
  <si>
    <t>PC1_a_14</t>
  </si>
  <si>
    <t>PC1_a_15</t>
  </si>
  <si>
    <t>PC1_a_16</t>
  </si>
  <si>
    <t>PC1_a_17</t>
  </si>
  <si>
    <t>PC1_a_18</t>
  </si>
  <si>
    <t>PC1_a_19</t>
  </si>
  <si>
    <t>PC1_a_2</t>
  </si>
  <si>
    <t>PC1_a_20</t>
  </si>
  <si>
    <t>PC1_a_21</t>
  </si>
  <si>
    <t>PC1_a_22</t>
  </si>
  <si>
    <t>PC1_a_23</t>
  </si>
  <si>
    <t>PC1_a_24</t>
  </si>
  <si>
    <t>PC1_a_25</t>
  </si>
  <si>
    <t>PC1_a_26</t>
  </si>
  <si>
    <t>PC1_a_27</t>
  </si>
  <si>
    <t>PC1_a_28</t>
  </si>
  <si>
    <t>PC1_a_29</t>
  </si>
  <si>
    <t>PC1_a_3</t>
  </si>
  <si>
    <t>PC1_a_30</t>
  </si>
  <si>
    <t>PC1_a_31</t>
  </si>
  <si>
    <t>PC1_a_32</t>
  </si>
  <si>
    <t>PC1_a_33</t>
  </si>
  <si>
    <t>PC1_a_34</t>
  </si>
  <si>
    <t>PC1_a_35</t>
  </si>
  <si>
    <t>PC1_a_36</t>
  </si>
  <si>
    <t>PC1_a_37</t>
  </si>
  <si>
    <t>PC1_a_38</t>
  </si>
  <si>
    <t>PC1_a_39</t>
  </si>
  <si>
    <t>PC1_a_4</t>
  </si>
  <si>
    <t>PC1_a_40</t>
  </si>
  <si>
    <t>PC1_a_41</t>
  </si>
  <si>
    <t>PC1_a_42</t>
  </si>
  <si>
    <t>PC1_a_43</t>
  </si>
  <si>
    <t>PC1_a_44</t>
  </si>
  <si>
    <t>PC1_a_45</t>
  </si>
  <si>
    <t>PC1_a_46</t>
  </si>
  <si>
    <t>PC1_a_47</t>
  </si>
  <si>
    <t>PC1_a_48</t>
  </si>
  <si>
    <t>PC1_a_49</t>
  </si>
  <si>
    <t>PC1_a_5</t>
  </si>
  <si>
    <t>PC1_a_50</t>
  </si>
  <si>
    <t>PC1_a_51</t>
  </si>
  <si>
    <t>PC1_a_52</t>
  </si>
  <si>
    <t>PC1_a_53</t>
  </si>
  <si>
    <t>PC1_a_54</t>
  </si>
  <si>
    <t>PC1_a_55</t>
  </si>
  <si>
    <t>PC1_a_56</t>
  </si>
  <si>
    <t>PC1_a_57</t>
  </si>
  <si>
    <t>PC1_a_58</t>
  </si>
  <si>
    <t>PC1_a_59</t>
  </si>
  <si>
    <t>PC1_a_6</t>
  </si>
  <si>
    <t>PC1_a_60</t>
  </si>
  <si>
    <t>PC1_a_61</t>
  </si>
  <si>
    <t>PC1_a_62</t>
  </si>
  <si>
    <t>PC1_a_63</t>
  </si>
  <si>
    <t>PC1_a_64</t>
  </si>
  <si>
    <t>PC1_a_65</t>
  </si>
  <si>
    <t>PC1_a_66</t>
  </si>
  <si>
    <t>PC1_a_67</t>
  </si>
  <si>
    <t>PC1_a_68</t>
  </si>
  <si>
    <t>PC1_a_69</t>
  </si>
  <si>
    <t>PC1_a_7</t>
  </si>
  <si>
    <t>PC1_a_70</t>
  </si>
  <si>
    <t>PC1_a_71</t>
  </si>
  <si>
    <t>PC1_a_72</t>
  </si>
  <si>
    <t>PC1_a_73</t>
  </si>
  <si>
    <t>PC1_a_74</t>
  </si>
  <si>
    <t>PC1_a_75</t>
  </si>
  <si>
    <t>PC1_a_76</t>
  </si>
  <si>
    <t>PC1_a_77</t>
  </si>
  <si>
    <t>PC1_a_78</t>
  </si>
  <si>
    <t>PC1_a_79</t>
  </si>
  <si>
    <t>PC1_a_8</t>
  </si>
  <si>
    <t>PC1_a_80</t>
  </si>
  <si>
    <t>PC1_a_81</t>
  </si>
  <si>
    <t>PC1_a_82</t>
  </si>
  <si>
    <t>PC1_a_83</t>
  </si>
  <si>
    <t>PC1_a_84</t>
  </si>
  <si>
    <t>PC1_a_85</t>
  </si>
  <si>
    <t>PC1_a_86</t>
  </si>
  <si>
    <t>PC1_a_87</t>
  </si>
  <si>
    <t>PC1_a_88</t>
  </si>
  <si>
    <t>PC1_a_89</t>
  </si>
  <si>
    <t>PC1_a_9</t>
  </si>
  <si>
    <t>PC1_a_90</t>
  </si>
  <si>
    <t>PC1_a_91</t>
  </si>
  <si>
    <t>PC1_a_92</t>
  </si>
  <si>
    <t>PC1_a_93</t>
  </si>
  <si>
    <t>PC1_a_94</t>
  </si>
  <si>
    <t>PC1_a_95</t>
  </si>
  <si>
    <t>PC1_a_96</t>
  </si>
  <si>
    <t>PC1_a_97</t>
  </si>
  <si>
    <t>PC1_a_98</t>
  </si>
  <si>
    <t>PC1_a_99</t>
  </si>
  <si>
    <t>PH1_1</t>
  </si>
  <si>
    <t>PH1_10</t>
  </si>
  <si>
    <t>PH1_100</t>
  </si>
  <si>
    <t>PH1_11</t>
  </si>
  <si>
    <t>PH1_12</t>
  </si>
  <si>
    <t>PH1_13</t>
  </si>
  <si>
    <t>PH1_14</t>
  </si>
  <si>
    <t>PH1_15</t>
  </si>
  <si>
    <t>PH1_16</t>
  </si>
  <si>
    <t>PH1_17</t>
  </si>
  <si>
    <t>PH1_18</t>
  </si>
  <si>
    <t>PH1_19</t>
  </si>
  <si>
    <t>PH1_2</t>
  </si>
  <si>
    <t>PH1_20</t>
  </si>
  <si>
    <t>PH1_21</t>
  </si>
  <si>
    <t>PH1_22</t>
  </si>
  <si>
    <t>PH1_23</t>
  </si>
  <si>
    <t>PH1_24</t>
  </si>
  <si>
    <t>PH1_25</t>
  </si>
  <si>
    <t>PH1_26</t>
  </si>
  <si>
    <t>PH1_27</t>
  </si>
  <si>
    <t>PH1_28</t>
  </si>
  <si>
    <t>PH1_29</t>
  </si>
  <si>
    <t>PH1_3</t>
  </si>
  <si>
    <t>PH1_30</t>
  </si>
  <si>
    <t>PH1_31</t>
  </si>
  <si>
    <t>PH1_32</t>
  </si>
  <si>
    <t>PH1_33</t>
  </si>
  <si>
    <t>PH1_34</t>
  </si>
  <si>
    <t>PH1_35</t>
  </si>
  <si>
    <t>PH1_36</t>
  </si>
  <si>
    <t>PH1_37</t>
  </si>
  <si>
    <t>PH1_38</t>
  </si>
  <si>
    <t>PH1_39</t>
  </si>
  <si>
    <t>PH1_4</t>
  </si>
  <si>
    <t>PH1_40</t>
  </si>
  <si>
    <t>PH1_41</t>
  </si>
  <si>
    <t>PH1_42</t>
  </si>
  <si>
    <t>PH1_43</t>
  </si>
  <si>
    <t>PH1_44</t>
  </si>
  <si>
    <t>PH1_45</t>
  </si>
  <si>
    <t>PH1_46</t>
  </si>
  <si>
    <t>PH1_47</t>
  </si>
  <si>
    <t>PH1_48</t>
  </si>
  <si>
    <t>PH1_49</t>
  </si>
  <si>
    <t>PH1_5</t>
  </si>
  <si>
    <t>PH1_50</t>
  </si>
  <si>
    <t>PH1_51</t>
  </si>
  <si>
    <t>PH1_52</t>
  </si>
  <si>
    <t>PH1_53</t>
  </si>
  <si>
    <t>PH1_54</t>
  </si>
  <si>
    <t>PH1_55</t>
  </si>
  <si>
    <t>PH1_56</t>
  </si>
  <si>
    <t>PH1_57</t>
  </si>
  <si>
    <t>PH1_58</t>
  </si>
  <si>
    <t>PH1_59</t>
  </si>
  <si>
    <t>PH1_6</t>
  </si>
  <si>
    <t>PH1_60</t>
  </si>
  <si>
    <t>PH1_61</t>
  </si>
  <si>
    <t>PH1_62</t>
  </si>
  <si>
    <t>PH1_63</t>
  </si>
  <si>
    <t>PH1_64</t>
  </si>
  <si>
    <t>PH1_65</t>
  </si>
  <si>
    <t>PH1_66</t>
  </si>
  <si>
    <t>PH1_67</t>
  </si>
  <si>
    <t>PH1_68</t>
  </si>
  <si>
    <t>PH1_69</t>
  </si>
  <si>
    <t>PH1_7</t>
  </si>
  <si>
    <t>PH1_70</t>
  </si>
  <si>
    <t>PH1_71</t>
  </si>
  <si>
    <t>PH1_72</t>
  </si>
  <si>
    <t>PH1_73</t>
  </si>
  <si>
    <t>PH1_74</t>
  </si>
  <si>
    <t>PH1_75</t>
  </si>
  <si>
    <t>PH1_76</t>
  </si>
  <si>
    <t>PH1_77</t>
  </si>
  <si>
    <t>PH1_78</t>
  </si>
  <si>
    <t>PH1_79</t>
  </si>
  <si>
    <t>PH1_8</t>
  </si>
  <si>
    <t>PH1_80</t>
  </si>
  <si>
    <t>PH1_81</t>
  </si>
  <si>
    <t>PH1_82</t>
  </si>
  <si>
    <t>PH1_83</t>
  </si>
  <si>
    <t>PH1_84</t>
  </si>
  <si>
    <t>PH1_85</t>
  </si>
  <si>
    <t>PH1_86</t>
  </si>
  <si>
    <t>PH1_87</t>
  </si>
  <si>
    <t>PH1_88</t>
  </si>
  <si>
    <t>PH1_89</t>
  </si>
  <si>
    <t>PH1_9</t>
  </si>
  <si>
    <t>PH1_90</t>
  </si>
  <si>
    <t>PH1_91</t>
  </si>
  <si>
    <t>PH1_92</t>
  </si>
  <si>
    <t>PH1_93</t>
  </si>
  <si>
    <t>PH1_94</t>
  </si>
  <si>
    <t>PH1_95</t>
  </si>
  <si>
    <t>PH1_96</t>
  </si>
  <si>
    <t>PH1_97</t>
  </si>
  <si>
    <t>PH1_98</t>
  </si>
  <si>
    <t>PH1_99</t>
  </si>
  <si>
    <t>PM1_1</t>
  </si>
  <si>
    <t>PM1_10</t>
  </si>
  <si>
    <t>PM1_100</t>
  </si>
  <si>
    <t>PM1_11</t>
  </si>
  <si>
    <t>PM1_12</t>
  </si>
  <si>
    <t>PM1_13</t>
  </si>
  <si>
    <t>PM1_14</t>
  </si>
  <si>
    <t>PM1_15</t>
  </si>
  <si>
    <t>PM1_16</t>
  </si>
  <si>
    <t>PM1_17</t>
  </si>
  <si>
    <t>PM1_18</t>
  </si>
  <si>
    <t>PM1_19</t>
  </si>
  <si>
    <t>PM1_2</t>
  </si>
  <si>
    <t>PM1_20</t>
  </si>
  <si>
    <t>PM1_21</t>
  </si>
  <si>
    <t>PM1_22</t>
  </si>
  <si>
    <t>PM1_23</t>
  </si>
  <si>
    <t>PM1_24</t>
  </si>
  <si>
    <t>PM1_25</t>
  </si>
  <si>
    <t>PM1_26</t>
  </si>
  <si>
    <t>PM1_27</t>
  </si>
  <si>
    <t>PM1_28</t>
  </si>
  <si>
    <t>PM1_29</t>
  </si>
  <si>
    <t>PM1_3</t>
  </si>
  <si>
    <t>PM1_30</t>
  </si>
  <si>
    <t>PM1_31</t>
  </si>
  <si>
    <t>PM1_32</t>
  </si>
  <si>
    <t>PM1_33</t>
  </si>
  <si>
    <t>PM1_34</t>
  </si>
  <si>
    <t>PM1_35</t>
  </si>
  <si>
    <t>PM1_36</t>
  </si>
  <si>
    <t>PM1_37</t>
  </si>
  <si>
    <t>PM1_38</t>
  </si>
  <si>
    <t>PM1_39</t>
  </si>
  <si>
    <t>PM1_4</t>
  </si>
  <si>
    <t>PM1_40</t>
  </si>
  <si>
    <t>PM1_41</t>
  </si>
  <si>
    <t>PM1_42</t>
  </si>
  <si>
    <t>PM1_43</t>
  </si>
  <si>
    <t>PM1_44</t>
  </si>
  <si>
    <t>PM1_45</t>
  </si>
  <si>
    <t>PM1_46</t>
  </si>
  <si>
    <t>PM1_47</t>
  </si>
  <si>
    <t>PM1_48</t>
  </si>
  <si>
    <t>PM1_49</t>
  </si>
  <si>
    <t>PM1_5</t>
  </si>
  <si>
    <t>PM1_50</t>
  </si>
  <si>
    <t>PM1_51</t>
  </si>
  <si>
    <t>PM1_52</t>
  </si>
  <si>
    <t>PM1_53</t>
  </si>
  <si>
    <t>PM1_54</t>
  </si>
  <si>
    <t>PM1_55</t>
  </si>
  <si>
    <t>PM1_56</t>
  </si>
  <si>
    <t>PM1_57</t>
  </si>
  <si>
    <t>PM1_58</t>
  </si>
  <si>
    <t>PM1_59</t>
  </si>
  <si>
    <t>PM1_6</t>
  </si>
  <si>
    <t>PM1_60</t>
  </si>
  <si>
    <t>PM1_61</t>
  </si>
  <si>
    <t>PM1_62</t>
  </si>
  <si>
    <t>PM1_63</t>
  </si>
  <si>
    <t>PM1_64</t>
  </si>
  <si>
    <t>PM1_65</t>
  </si>
  <si>
    <t>PM1_66</t>
  </si>
  <si>
    <t>PM1_67</t>
  </si>
  <si>
    <t>PM1_68</t>
  </si>
  <si>
    <t>PM1_69</t>
  </si>
  <si>
    <t>PM1_7</t>
  </si>
  <si>
    <t>PM1_70</t>
  </si>
  <si>
    <t>PM1_71</t>
  </si>
  <si>
    <t>PM1_72</t>
  </si>
  <si>
    <t>PM1_73</t>
  </si>
  <si>
    <t>PM1_74</t>
  </si>
  <si>
    <t>PM1_75</t>
  </si>
  <si>
    <t>PM1_76</t>
  </si>
  <si>
    <t>PM1_77</t>
  </si>
  <si>
    <t>PM1_78</t>
  </si>
  <si>
    <t>PM1_79</t>
  </si>
  <si>
    <t>PM1_8</t>
  </si>
  <si>
    <t>PM1_80</t>
  </si>
  <si>
    <t>PM1_81</t>
  </si>
  <si>
    <t>PM1_82</t>
  </si>
  <si>
    <t>PM1_83</t>
  </si>
  <si>
    <t>PM1_84</t>
  </si>
  <si>
    <t>PM1_85</t>
  </si>
  <si>
    <t>PM1_86</t>
  </si>
  <si>
    <t>PM1_87</t>
  </si>
  <si>
    <t>PM1_88</t>
  </si>
  <si>
    <t>PM1_89</t>
  </si>
  <si>
    <t>PM1_9</t>
  </si>
  <si>
    <t>PM1_90</t>
  </si>
  <si>
    <t>PM1_91</t>
  </si>
  <si>
    <t>PM1_92</t>
  </si>
  <si>
    <t>PM1_93</t>
  </si>
  <si>
    <t>PM1_94</t>
  </si>
  <si>
    <t>PM1_95</t>
  </si>
  <si>
    <t>PM1_96</t>
  </si>
  <si>
    <t>PM1_97</t>
  </si>
  <si>
    <t>PM1_98</t>
  </si>
  <si>
    <t>PM1_99</t>
  </si>
  <si>
    <t>PM3_1</t>
  </si>
  <si>
    <t>PM3_10</t>
  </si>
  <si>
    <t>PM3_100</t>
  </si>
  <si>
    <t>PM3_11</t>
  </si>
  <si>
    <t>PM3_12</t>
  </si>
  <si>
    <t>PM3_13</t>
  </si>
  <si>
    <t>PM3_14</t>
  </si>
  <si>
    <t>PM3_15</t>
  </si>
  <si>
    <t>PM3_16</t>
  </si>
  <si>
    <t>PM3_17</t>
  </si>
  <si>
    <t>PM3_18</t>
  </si>
  <si>
    <t>PM3_19</t>
  </si>
  <si>
    <t>PM3_2</t>
  </si>
  <si>
    <t>PM3_20</t>
  </si>
  <si>
    <t>PM3_21</t>
  </si>
  <si>
    <t>PM3_22</t>
  </si>
  <si>
    <t>PM3_23</t>
  </si>
  <si>
    <t>PM3_24</t>
  </si>
  <si>
    <t>PM3_25</t>
  </si>
  <si>
    <t>PM3_26</t>
  </si>
  <si>
    <t>PM3_27</t>
  </si>
  <si>
    <t>PM3_28</t>
  </si>
  <si>
    <t>PM3_29</t>
  </si>
  <si>
    <t>PM3_3</t>
  </si>
  <si>
    <t>PM3_30</t>
  </si>
  <si>
    <t>PM3_31</t>
  </si>
  <si>
    <t>PM3_32</t>
  </si>
  <si>
    <t>PM3_33</t>
  </si>
  <si>
    <t>PM3_34</t>
  </si>
  <si>
    <t>PM3_35</t>
  </si>
  <si>
    <t>PM3_36</t>
  </si>
  <si>
    <t>PM3_37</t>
  </si>
  <si>
    <t>PM3_38</t>
  </si>
  <si>
    <t>PM3_39</t>
  </si>
  <si>
    <t>PM3_4</t>
  </si>
  <si>
    <t>PM3_40</t>
  </si>
  <si>
    <t>PM3_41</t>
  </si>
  <si>
    <t>PM3_42</t>
  </si>
  <si>
    <t>PM3_43</t>
  </si>
  <si>
    <t>PM3_44</t>
  </si>
  <si>
    <t>PM3_45</t>
  </si>
  <si>
    <t>PM3_46</t>
  </si>
  <si>
    <t>PM3_47</t>
  </si>
  <si>
    <t>PM3_48</t>
  </si>
  <si>
    <t>PM3_49</t>
  </si>
  <si>
    <t>PM3_5</t>
  </si>
  <si>
    <t>PM3_50</t>
  </si>
  <si>
    <t>PM3_51</t>
  </si>
  <si>
    <t>PM3_52</t>
  </si>
  <si>
    <t>PM3_53</t>
  </si>
  <si>
    <t>PM3_54</t>
  </si>
  <si>
    <t>PM3_55</t>
  </si>
  <si>
    <t>PM3_56</t>
  </si>
  <si>
    <t>PM3_57</t>
  </si>
  <si>
    <t>PM3_58</t>
  </si>
  <si>
    <t>PM3_59</t>
  </si>
  <si>
    <t>PM3_6</t>
  </si>
  <si>
    <t>PM3_60</t>
  </si>
  <si>
    <t>PM3_61</t>
  </si>
  <si>
    <t>PM3_62</t>
  </si>
  <si>
    <t>PM3_63</t>
  </si>
  <si>
    <t>PM3_64</t>
  </si>
  <si>
    <t>PM3_65</t>
  </si>
  <si>
    <t>PM3_66</t>
  </si>
  <si>
    <t>PM3_67</t>
  </si>
  <si>
    <t>PM3_68</t>
  </si>
  <si>
    <t>PM3_69</t>
  </si>
  <si>
    <t>PM3_7</t>
  </si>
  <si>
    <t>PM3_70</t>
  </si>
  <si>
    <t>PM3_71</t>
  </si>
  <si>
    <t>PM3_72</t>
  </si>
  <si>
    <t>PM3_73</t>
  </si>
  <si>
    <t>PM3_74</t>
  </si>
  <si>
    <t>PM3_75</t>
  </si>
  <si>
    <t>PM3_76</t>
  </si>
  <si>
    <t>PM3_77</t>
  </si>
  <si>
    <t>PM3_78</t>
  </si>
  <si>
    <t>PM3_79</t>
  </si>
  <si>
    <t>PM3_8</t>
  </si>
  <si>
    <t>PM3_80</t>
  </si>
  <si>
    <t>PM3_81</t>
  </si>
  <si>
    <t>PM3_82</t>
  </si>
  <si>
    <t>PM3_83</t>
  </si>
  <si>
    <t>PM3_84</t>
  </si>
  <si>
    <t>PM3_85</t>
  </si>
  <si>
    <t>PM3_86</t>
  </si>
  <si>
    <t>PM3_87</t>
  </si>
  <si>
    <t>PM3_88</t>
  </si>
  <si>
    <t>PM3_89</t>
  </si>
  <si>
    <t>PM3_9</t>
  </si>
  <si>
    <t>PM3_90</t>
  </si>
  <si>
    <t>PM3_91</t>
  </si>
  <si>
    <t>PM3_92</t>
  </si>
  <si>
    <t>PM3_93</t>
  </si>
  <si>
    <t>PM3_94</t>
  </si>
  <si>
    <t>PM3_95</t>
  </si>
  <si>
    <t>PM3_96</t>
  </si>
  <si>
    <t>PM3_97</t>
  </si>
  <si>
    <t>PM3_98</t>
  </si>
  <si>
    <t>PM3_99</t>
  </si>
  <si>
    <t>PM4_1</t>
  </si>
  <si>
    <t>PM4_10</t>
  </si>
  <si>
    <t>PM4_100</t>
  </si>
  <si>
    <t>PM4_11</t>
  </si>
  <si>
    <t>PM4_12</t>
  </si>
  <si>
    <t>PM4_13</t>
  </si>
  <si>
    <t>PM4_14</t>
  </si>
  <si>
    <t>PM4_15</t>
  </si>
  <si>
    <t>PM4_16</t>
  </si>
  <si>
    <t>PM4_17</t>
  </si>
  <si>
    <t>PM4_18</t>
  </si>
  <si>
    <t>PM4_19</t>
  </si>
  <si>
    <t>PM4_2</t>
  </si>
  <si>
    <t>PM4_20</t>
  </si>
  <si>
    <t>PM4_21</t>
  </si>
  <si>
    <t>PM4_22</t>
  </si>
  <si>
    <t>PM4_23</t>
  </si>
  <si>
    <t>PM4_24</t>
  </si>
  <si>
    <t>PM4_25</t>
  </si>
  <si>
    <t>PM4_26</t>
  </si>
  <si>
    <t>PM4_27</t>
  </si>
  <si>
    <t>PM4_28</t>
  </si>
  <si>
    <t>PM4_29</t>
  </si>
  <si>
    <t>PM4_3</t>
  </si>
  <si>
    <t>PM4_30</t>
  </si>
  <si>
    <t>PM4_31</t>
  </si>
  <si>
    <t>PM4_32</t>
  </si>
  <si>
    <t>PM4_33</t>
  </si>
  <si>
    <t>PM4_34</t>
  </si>
  <si>
    <t>PM4_35</t>
  </si>
  <si>
    <t>PM4_36</t>
  </si>
  <si>
    <t>PM4_37</t>
  </si>
  <si>
    <t>PM4_38</t>
  </si>
  <si>
    <t>PM4_39</t>
  </si>
  <si>
    <t>PM4_4</t>
  </si>
  <si>
    <t>PM4_40</t>
  </si>
  <si>
    <t>PM4_41</t>
  </si>
  <si>
    <t>PM4_42</t>
  </si>
  <si>
    <t>PM4_43</t>
  </si>
  <si>
    <t>PM4_44</t>
  </si>
  <si>
    <t>PM4_45</t>
  </si>
  <si>
    <t>PM4_46</t>
  </si>
  <si>
    <t>PM4_47</t>
  </si>
  <si>
    <t>PM4_48</t>
  </si>
  <si>
    <t>PM4_49</t>
  </si>
  <si>
    <t>PM4_5</t>
  </si>
  <si>
    <t>PM4_50</t>
  </si>
  <si>
    <t>PM4_51</t>
  </si>
  <si>
    <t>PM4_52</t>
  </si>
  <si>
    <t>PM4_53</t>
  </si>
  <si>
    <t>PM4_54</t>
  </si>
  <si>
    <t>PM4_55</t>
  </si>
  <si>
    <t>PM4_56</t>
  </si>
  <si>
    <t>PM4_57</t>
  </si>
  <si>
    <t>PM4_58</t>
  </si>
  <si>
    <t>PM4_59</t>
  </si>
  <si>
    <t>PM4_6</t>
  </si>
  <si>
    <t>PM4_60</t>
  </si>
  <si>
    <t>PM4_61</t>
  </si>
  <si>
    <t>PM4_62</t>
  </si>
  <si>
    <t>PM4_63</t>
  </si>
  <si>
    <t>PM4_64</t>
  </si>
  <si>
    <t>PM4_65</t>
  </si>
  <si>
    <t>PM4_66</t>
  </si>
  <si>
    <t>PM4_67</t>
  </si>
  <si>
    <t>PM4_68</t>
  </si>
  <si>
    <t>PM4_69</t>
  </si>
  <si>
    <t>PM4_7</t>
  </si>
  <si>
    <t>PM4_70</t>
  </si>
  <si>
    <t>PM4_71</t>
  </si>
  <si>
    <t>PM4_72</t>
  </si>
  <si>
    <t>PM4_73</t>
  </si>
  <si>
    <t>PM4_74</t>
  </si>
  <si>
    <t>PM4_75</t>
  </si>
  <si>
    <t>PM4_76</t>
  </si>
  <si>
    <t>PM4_77</t>
  </si>
  <si>
    <t>PM4_78</t>
  </si>
  <si>
    <t>PM4_79</t>
  </si>
  <si>
    <t>PM4_8</t>
  </si>
  <si>
    <t>PM4_80</t>
  </si>
  <si>
    <t>PM4_81</t>
  </si>
  <si>
    <t>PM4_82</t>
  </si>
  <si>
    <t>PM4_83</t>
  </si>
  <si>
    <t>PM4_84</t>
  </si>
  <si>
    <t>PM4_85</t>
  </si>
  <si>
    <t>PM4_86</t>
  </si>
  <si>
    <t>PM4_87</t>
  </si>
  <si>
    <t>PM4_88</t>
  </si>
  <si>
    <t>PM4_89</t>
  </si>
  <si>
    <t>PM4_9</t>
  </si>
  <si>
    <t>PM4_90</t>
  </si>
  <si>
    <t>PM4_91</t>
  </si>
  <si>
    <t>PM4_92</t>
  </si>
  <si>
    <t>PM4_93</t>
  </si>
  <si>
    <t>PM4_94</t>
  </si>
  <si>
    <t>PM4_95</t>
  </si>
  <si>
    <t>PM4_96</t>
  </si>
  <si>
    <t>PM4_97</t>
  </si>
  <si>
    <t>PM4_98</t>
  </si>
  <si>
    <t>PM4_99</t>
  </si>
  <si>
    <t>PM5_1</t>
  </si>
  <si>
    <t>PM5_10</t>
  </si>
  <si>
    <t>PM5_100</t>
  </si>
  <si>
    <t>PM5_11</t>
  </si>
  <si>
    <t>PM5_12</t>
  </si>
  <si>
    <t>PM5_13</t>
  </si>
  <si>
    <t>PM5_14</t>
  </si>
  <si>
    <t>PM5_15</t>
  </si>
  <si>
    <t>PM5_16</t>
  </si>
  <si>
    <t>PM5_17</t>
  </si>
  <si>
    <t>PM5_18</t>
  </si>
  <si>
    <t>PM5_19</t>
  </si>
  <si>
    <t>PM5_2</t>
  </si>
  <si>
    <t>PM5_20</t>
  </si>
  <si>
    <t>PM5_21</t>
  </si>
  <si>
    <t>PM5_22</t>
  </si>
  <si>
    <t>PM5_23</t>
  </si>
  <si>
    <t>PM5_24</t>
  </si>
  <si>
    <t>PM5_25</t>
  </si>
  <si>
    <t>PM5_26</t>
  </si>
  <si>
    <t>PM5_27</t>
  </si>
  <si>
    <t>PM5_28</t>
  </si>
  <si>
    <t>PM5_29</t>
  </si>
  <si>
    <t>PM5_3</t>
  </si>
  <si>
    <t>PM5_30</t>
  </si>
  <si>
    <t>PM5_31</t>
  </si>
  <si>
    <t>PM5_32</t>
  </si>
  <si>
    <t>PM5_33</t>
  </si>
  <si>
    <t>PM5_34</t>
  </si>
  <si>
    <t>PM5_35</t>
  </si>
  <si>
    <t>PM5_36</t>
  </si>
  <si>
    <t>PM5_37</t>
  </si>
  <si>
    <t>PM5_38</t>
  </si>
  <si>
    <t>PM5_39</t>
  </si>
  <si>
    <t>PM5_4</t>
  </si>
  <si>
    <t>PM5_40</t>
  </si>
  <si>
    <t>PM5_41</t>
  </si>
  <si>
    <t>PM5_42</t>
  </si>
  <si>
    <t>PM5_43</t>
  </si>
  <si>
    <t>PM5_44</t>
  </si>
  <si>
    <t>PM5_45</t>
  </si>
  <si>
    <t>PM5_47</t>
  </si>
  <si>
    <t>PM5_48</t>
  </si>
  <si>
    <t>PM5_49</t>
  </si>
  <si>
    <t>PM5_5</t>
  </si>
  <si>
    <t>PM5_50</t>
  </si>
  <si>
    <t>PM5_51</t>
  </si>
  <si>
    <t>PM5_52</t>
  </si>
  <si>
    <t>PM5_53</t>
  </si>
  <si>
    <t>PM5_54</t>
  </si>
  <si>
    <t>PM5_55</t>
  </si>
  <si>
    <t>PM5_56</t>
  </si>
  <si>
    <t>PM5_58</t>
  </si>
  <si>
    <t>PM5_59</t>
  </si>
  <si>
    <t>PM5_6</t>
  </si>
  <si>
    <t>PM5_60</t>
  </si>
  <si>
    <t>PM5_61</t>
  </si>
  <si>
    <t>PM5_62</t>
  </si>
  <si>
    <t>PM5_64</t>
  </si>
  <si>
    <t>PM5_65</t>
  </si>
  <si>
    <t>PM5_66</t>
  </si>
  <si>
    <t>PM5_68</t>
  </si>
  <si>
    <t>PM5_69</t>
  </si>
  <si>
    <t>PM5_7</t>
  </si>
  <si>
    <t>PM5_70</t>
  </si>
  <si>
    <t>PM5_71</t>
  </si>
  <si>
    <t>PM5_72</t>
  </si>
  <si>
    <t>PM5_73</t>
  </si>
  <si>
    <t>PM5_76</t>
  </si>
  <si>
    <t>PM5_77</t>
  </si>
  <si>
    <t>PM5_79</t>
  </si>
  <si>
    <t>PM5_8</t>
  </si>
  <si>
    <t>PM5_80</t>
  </si>
  <si>
    <t>PM5_81</t>
  </si>
  <si>
    <t>PM5_82</t>
  </si>
  <si>
    <t>PM5_83</t>
  </si>
  <si>
    <t>PM5_84</t>
  </si>
  <si>
    <t>PM5_85</t>
  </si>
  <si>
    <t>PM5_86</t>
  </si>
  <si>
    <t>PM5_87</t>
  </si>
  <si>
    <t>PM5_88</t>
  </si>
  <si>
    <t>PM5_89</t>
  </si>
  <si>
    <t>PM5_9</t>
  </si>
  <si>
    <t>PM5_90</t>
  </si>
  <si>
    <t>PM5_91</t>
  </si>
  <si>
    <t>PM5_92</t>
  </si>
  <si>
    <t>PM5_93</t>
  </si>
  <si>
    <t>PM5_94</t>
  </si>
  <si>
    <t>PM5_95</t>
  </si>
  <si>
    <t>PM5_96</t>
  </si>
  <si>
    <t>PM5_97</t>
  </si>
  <si>
    <t>PM5_98</t>
  </si>
  <si>
    <t>PM5_99</t>
  </si>
  <si>
    <t>SS1_1</t>
  </si>
  <si>
    <t>SS1_10</t>
  </si>
  <si>
    <t>SS1_11</t>
  </si>
  <si>
    <t>SS1_12</t>
  </si>
  <si>
    <t>SS1_13</t>
  </si>
  <si>
    <t>SS1_14</t>
  </si>
  <si>
    <t>SS1_15</t>
  </si>
  <si>
    <t>SS1_16</t>
  </si>
  <si>
    <t>SS1_17</t>
  </si>
  <si>
    <t>SS1_18</t>
  </si>
  <si>
    <t>SS1_19</t>
  </si>
  <si>
    <t>SS1_2</t>
  </si>
  <si>
    <t>SS1_20</t>
  </si>
  <si>
    <t>SS1_21</t>
  </si>
  <si>
    <t>SS1_22</t>
  </si>
  <si>
    <t>SS1_23</t>
  </si>
  <si>
    <t>SS1_24</t>
  </si>
  <si>
    <t>SS1_25</t>
  </si>
  <si>
    <t>SS1_26</t>
  </si>
  <si>
    <t>SS1_27</t>
  </si>
  <si>
    <t>SS1_28</t>
  </si>
  <si>
    <t>SS1_29</t>
  </si>
  <si>
    <t>SS1_3</t>
  </si>
  <si>
    <t>SS1_30</t>
  </si>
  <si>
    <t>SS1_31</t>
  </si>
  <si>
    <t>SS1_32</t>
  </si>
  <si>
    <t>SS1_33</t>
  </si>
  <si>
    <t>SS1_34</t>
  </si>
  <si>
    <t>SS1_35</t>
  </si>
  <si>
    <t>SS1_36</t>
  </si>
  <si>
    <t>SS1_37</t>
  </si>
  <si>
    <t>SS1_38</t>
  </si>
  <si>
    <t>SS1_39</t>
  </si>
  <si>
    <t>SS1_4</t>
  </si>
  <si>
    <t>SS1_40</t>
  </si>
  <si>
    <t>SS1_41</t>
  </si>
  <si>
    <t>SS1_42</t>
  </si>
  <si>
    <t>SS1_43</t>
  </si>
  <si>
    <t>SS1_44</t>
  </si>
  <si>
    <t>SS1_45</t>
  </si>
  <si>
    <t>SS1_46</t>
  </si>
  <si>
    <t>SS1_47</t>
  </si>
  <si>
    <t>SS1_48</t>
  </si>
  <si>
    <t>SS1_49</t>
  </si>
  <si>
    <t>SS1_5</t>
  </si>
  <si>
    <t>SS1_50</t>
  </si>
  <si>
    <t>SS1_51</t>
  </si>
  <si>
    <t>SS1_52</t>
  </si>
  <si>
    <t>SS1_53</t>
  </si>
  <si>
    <t>SS1_54</t>
  </si>
  <si>
    <t>SS1_55</t>
  </si>
  <si>
    <t>SS1_56</t>
  </si>
  <si>
    <t>SS1_57</t>
  </si>
  <si>
    <t>SS1_58</t>
  </si>
  <si>
    <t>SS1_59</t>
  </si>
  <si>
    <t>SS1_6</t>
  </si>
  <si>
    <t>SS1_60</t>
  </si>
  <si>
    <t>SS1_61</t>
  </si>
  <si>
    <t>SS1_62</t>
  </si>
  <si>
    <t>SS1_63</t>
  </si>
  <si>
    <t>SS1_64</t>
  </si>
  <si>
    <t>SS1_65</t>
  </si>
  <si>
    <t>SS1_66</t>
  </si>
  <si>
    <t>SS1_67</t>
  </si>
  <si>
    <t>SS1_68</t>
  </si>
  <si>
    <t>SS1_69</t>
  </si>
  <si>
    <t>SS1_7</t>
  </si>
  <si>
    <t>SS1_70</t>
  </si>
  <si>
    <t>SS1_71</t>
  </si>
  <si>
    <t>SS1_72</t>
  </si>
  <si>
    <t>SS1_73</t>
  </si>
  <si>
    <t>SS1_74</t>
  </si>
  <si>
    <t>SS1_75</t>
  </si>
  <si>
    <t>SS1_76</t>
  </si>
  <si>
    <t>SS1_77</t>
  </si>
  <si>
    <t>SS1_78</t>
  </si>
  <si>
    <t>SS1_79</t>
  </si>
  <si>
    <t>SS1_8</t>
  </si>
  <si>
    <t>SS1_80</t>
  </si>
  <si>
    <t>SS1_81</t>
  </si>
  <si>
    <t>SS1_82</t>
  </si>
  <si>
    <t>SS1_83</t>
  </si>
  <si>
    <t>SS1_84</t>
  </si>
  <si>
    <t>SS1_85</t>
  </si>
  <si>
    <t>SS1_86</t>
  </si>
  <si>
    <t>SS1_87</t>
  </si>
  <si>
    <t>SS1_88</t>
  </si>
  <si>
    <t>SS1_89</t>
  </si>
  <si>
    <t>SS1_9</t>
  </si>
  <si>
    <t>SS1_90</t>
  </si>
  <si>
    <t>SS1_91</t>
  </si>
  <si>
    <t>SS1_92</t>
  </si>
  <si>
    <t>SS1_93</t>
  </si>
  <si>
    <t>SS1_94</t>
  </si>
  <si>
    <t>SS1_95</t>
  </si>
  <si>
    <t>SS1_97</t>
  </si>
  <si>
    <t>SS1_98</t>
  </si>
  <si>
    <t>SS1_99</t>
  </si>
  <si>
    <t>U20S</t>
  </si>
  <si>
    <t>Oceanwind</t>
  </si>
  <si>
    <t>OSSC</t>
  </si>
  <si>
    <t>U20S_1</t>
  </si>
  <si>
    <t>U30C</t>
  </si>
  <si>
    <t>U30C_2</t>
  </si>
  <si>
    <t>U45S</t>
  </si>
  <si>
    <t>U45S_3</t>
  </si>
  <si>
    <t>U45S_4</t>
  </si>
  <si>
    <t>U45S_5</t>
  </si>
  <si>
    <t>U60C_6</t>
  </si>
  <si>
    <t>U80C_7</t>
  </si>
  <si>
    <t>U80C_8</t>
  </si>
  <si>
    <t>U90S_10</t>
  </si>
  <si>
    <t>U90S_11</t>
  </si>
  <si>
    <t>U90S_12</t>
  </si>
  <si>
    <t>U90S_13</t>
  </si>
  <si>
    <t>U90S_9</t>
  </si>
  <si>
    <t>Pile_response</t>
  </si>
  <si>
    <t>ZIZOU</t>
  </si>
  <si>
    <t xml:space="preserve">Simulation settings </t>
  </si>
  <si>
    <t xml:space="preserve">Apply cyclic degradation </t>
  </si>
  <si>
    <t xml:space="preserve">Method of Cyclic degradation </t>
  </si>
  <si>
    <t xml:space="preserve">Toe Springs </t>
  </si>
  <si>
    <t xml:space="preserve">distributed soil springs </t>
  </si>
  <si>
    <t>API</t>
  </si>
  <si>
    <t>TUHH</t>
  </si>
  <si>
    <t>P_NGI</t>
  </si>
  <si>
    <t>Static_Cyclic</t>
  </si>
  <si>
    <t>static</t>
  </si>
  <si>
    <t>cyclic</t>
  </si>
  <si>
    <t>D02</t>
  </si>
  <si>
    <t>PNGI</t>
  </si>
  <si>
    <t>D02_NGI_16</t>
  </si>
  <si>
    <t>D02_NGI_17</t>
  </si>
  <si>
    <t>U05_GHS_1</t>
  </si>
  <si>
    <t>U05_GHS_10</t>
  </si>
  <si>
    <t>U05_GHS_11</t>
  </si>
  <si>
    <t>U05_GHS_12</t>
  </si>
  <si>
    <t>U05_GHS_13</t>
  </si>
  <si>
    <t>U05_GHS_14</t>
  </si>
  <si>
    <t>U05_GHS_2</t>
  </si>
  <si>
    <t>U05_GHS_3</t>
  </si>
  <si>
    <t>U05_GHS_4</t>
  </si>
  <si>
    <t>U05_GHS_5</t>
  </si>
  <si>
    <t>U05_GHS_6</t>
  </si>
  <si>
    <t>U05_GHS_7</t>
  </si>
  <si>
    <t>U05_GHS_8</t>
  </si>
  <si>
    <t>U05_GHS_9</t>
  </si>
  <si>
    <t>U05_NGI_1</t>
  </si>
  <si>
    <t>U05_NGI_10</t>
  </si>
  <si>
    <t>U05_NGI_11</t>
  </si>
  <si>
    <t>U05_NGI_12</t>
  </si>
  <si>
    <t>U05_NGI_13</t>
  </si>
  <si>
    <t>U05_NGI_14</t>
  </si>
  <si>
    <t>U05_NGI_2</t>
  </si>
  <si>
    <t>U05_NGI_3</t>
  </si>
  <si>
    <t>U05_NGI_4</t>
  </si>
  <si>
    <t>U05_NGI_5</t>
  </si>
  <si>
    <t>U05_NGI_6</t>
  </si>
  <si>
    <t>U05_NGI_7</t>
  </si>
  <si>
    <t>U05_NGI_8</t>
  </si>
  <si>
    <t>U05_NGI_9</t>
  </si>
  <si>
    <t xml:space="preserve">D2 Pile response </t>
  </si>
  <si>
    <t>scaling Dr</t>
  </si>
  <si>
    <t>PC1_a</t>
  </si>
  <si>
    <t>PM3</t>
  </si>
  <si>
    <t>NGI_SS1_1</t>
  </si>
  <si>
    <t>U05</t>
  </si>
  <si>
    <t>TUHH_P_NGI</t>
  </si>
  <si>
    <t>FEED</t>
  </si>
  <si>
    <t>Final Design</t>
  </si>
  <si>
    <t>NGI_L2_1</t>
  </si>
  <si>
    <t>NGI_L2_2</t>
  </si>
  <si>
    <t>NGI_L2_3</t>
  </si>
  <si>
    <t>NGI_L2_4</t>
  </si>
  <si>
    <t>NGI_L2_5</t>
  </si>
  <si>
    <t>NGI_L2_6</t>
  </si>
  <si>
    <t>NGI_L2_7</t>
  </si>
  <si>
    <t>NGI_L2_8</t>
  </si>
  <si>
    <t>NGI_L2_9</t>
  </si>
  <si>
    <t>NGI_L2_10</t>
  </si>
  <si>
    <t>NGI_L2_11</t>
  </si>
  <si>
    <t>NGI_L2_12</t>
  </si>
  <si>
    <t>NGI_L2_13</t>
  </si>
  <si>
    <t>PC2</t>
  </si>
  <si>
    <t>NGI_L2_14</t>
  </si>
  <si>
    <t>NGI_L2_15</t>
  </si>
  <si>
    <t>GHS_L2_1</t>
  </si>
  <si>
    <t>GHS_L2_10</t>
  </si>
  <si>
    <t>GHS_L2_11</t>
  </si>
  <si>
    <t>GHS_L2_12</t>
  </si>
  <si>
    <t>GHS_L2_13</t>
  </si>
  <si>
    <t>GHS_L2_14</t>
  </si>
  <si>
    <t>GHS_L2_15</t>
  </si>
  <si>
    <t>GHS_L2_2</t>
  </si>
  <si>
    <t>GHS_L2_3</t>
  </si>
  <si>
    <t>GHS_L2_4</t>
  </si>
  <si>
    <t>GHS_L2_5</t>
  </si>
  <si>
    <t>GHS_L2_6</t>
  </si>
  <si>
    <t>GHS_L2_7</t>
  </si>
  <si>
    <t>GHS_L2_8</t>
  </si>
  <si>
    <t>GHS_L2_9</t>
  </si>
  <si>
    <t>Zhang</t>
  </si>
  <si>
    <t>CF_Dr</t>
  </si>
  <si>
    <t>CF_OCR</t>
  </si>
  <si>
    <t>BatchA_OCR-1_DR83</t>
  </si>
  <si>
    <t>Batch3_OCR-6_DR80</t>
  </si>
  <si>
    <t>Drammen_Clay_4</t>
  </si>
  <si>
    <t>Batch21a_OCR-1,3</t>
  </si>
  <si>
    <t>BatchC2_OCR-6_Ip-55</t>
  </si>
  <si>
    <t>NGI_S3_1</t>
  </si>
  <si>
    <t>H2</t>
  </si>
  <si>
    <t>NGI_S3_2</t>
  </si>
  <si>
    <t>NGI_S3_3</t>
  </si>
  <si>
    <t>NGI_S3_4</t>
  </si>
  <si>
    <t>NGI_S3_5</t>
  </si>
  <si>
    <t>NGI_S3_6</t>
  </si>
  <si>
    <t>PM1</t>
  </si>
  <si>
    <t>NGI_S3_7</t>
  </si>
  <si>
    <t>NGI_S3_8</t>
  </si>
  <si>
    <t>NGI_S3_9</t>
  </si>
  <si>
    <t>NGI_S3_10</t>
  </si>
  <si>
    <t>NGI_S3_11</t>
  </si>
  <si>
    <t>BatchA_OCR-1_DR70</t>
  </si>
  <si>
    <t>Batch19b_OCR-6</t>
  </si>
  <si>
    <t>NGI_U3_1</t>
  </si>
  <si>
    <t>NGI_U3_2</t>
  </si>
  <si>
    <t>NGI_U3_3</t>
  </si>
  <si>
    <t>NGI_U3_4</t>
  </si>
  <si>
    <t>NGI_U3_5</t>
  </si>
  <si>
    <t>NGI_U3_6</t>
  </si>
  <si>
    <t>NGI_U3_7</t>
  </si>
  <si>
    <t>NGI_U3_8</t>
  </si>
  <si>
    <t>NGI_U3_9</t>
  </si>
  <si>
    <t>NGI_U3_10</t>
  </si>
  <si>
    <t>NGI_U3_11</t>
  </si>
  <si>
    <t>NGI_U3_12</t>
  </si>
  <si>
    <t>PH2</t>
  </si>
  <si>
    <t>PH1</t>
  </si>
  <si>
    <t>GHS_U3_1</t>
  </si>
  <si>
    <t>GHS_U3_2</t>
  </si>
  <si>
    <t>GHS_U3_3</t>
  </si>
  <si>
    <t>GHS_U3_4</t>
  </si>
  <si>
    <t>GHS_U3_5</t>
  </si>
  <si>
    <t>GHS_U3_6</t>
  </si>
  <si>
    <t>GHS_U3_7</t>
  </si>
  <si>
    <t>GHS_U3_8</t>
  </si>
  <si>
    <t>GHS_U3_9</t>
  </si>
  <si>
    <t>GHS_U3_10</t>
  </si>
  <si>
    <t>GHS_U3_11</t>
  </si>
  <si>
    <t>GHS_U3_12</t>
  </si>
  <si>
    <t>BatchB_OCR-1_DR69_undrain</t>
  </si>
  <si>
    <t>U03_NGI_L42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</si>
</sst>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00"/>
    <numFmt numFmtId="165" formatCode="0.0E+00"/>
    <numFmt numFmtId="166" formatCode="0.0"/>
  </numFmts>
  <fonts count="39" x14ac:knownFonts="1">
    <font>
      <sz val="11"/>
      <color theme="1"/>
      <name val="Calibri"/>
      <family val="2"/>
      <scheme val="minor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11"/>
      <color rgb="FFFF0000"/>
      <name val="Calibri"/>
      <family val="2"/>
      <scheme val="minor"/>
    </font>
    <font>
      <sz val="9"/>
      <color rgb="FF9C0006"/>
      <name val="Verdana"/>
      <family val="2"/>
    </font>
    <font>
      <b/>
      <sz val="9"/>
      <color theme="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Verdana"/>
      <family val="2"/>
    </font>
    <font>
      <sz val="9"/>
      <color rgb="FFFF0000"/>
      <name val="Verdana"/>
      <family val="2"/>
    </font>
    <font>
      <b/>
      <sz val="9"/>
      <color rgb="FF000000"/>
      <name val="Verdana"/>
      <family val="2"/>
    </font>
    <font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vertAlign val="superscript"/>
      <sz val="11"/>
      <color theme="0" tint="-0.1499984740745262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rgb="FF000000"/>
      <name val="Calibri"/>
      <family val="2"/>
    </font>
    <font>
      <sz val="10"/>
      <color rgb="FF333333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A3A3A3"/>
      </left>
      <right style="medium">
        <color rgb="FFA3A3A3"/>
      </right>
      <top style="medium">
        <color indexed="64"/>
      </top>
      <bottom style="medium">
        <color rgb="FFA3A3A3"/>
      </bottom>
      <diagonal/>
    </border>
    <border>
      <left style="medium">
        <color rgb="FFA3A3A3"/>
      </left>
      <right style="medium">
        <color indexed="64"/>
      </right>
      <top style="medium">
        <color indexed="64"/>
      </top>
      <bottom style="medium">
        <color rgb="FFA3A3A3"/>
      </bottom>
      <diagonal/>
    </border>
    <border>
      <left style="medium">
        <color rgb="FFA3A3A3"/>
      </left>
      <right style="medium">
        <color indexed="64"/>
      </right>
      <top style="medium">
        <color rgb="FFA3A3A3"/>
      </top>
      <bottom style="medium">
        <color rgb="FFA3A3A3"/>
      </bottom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indexed="64"/>
      </bottom>
      <diagonal/>
    </border>
    <border>
      <left style="medium">
        <color rgb="FFA3A3A3"/>
      </left>
      <right style="medium">
        <color indexed="64"/>
      </right>
      <top style="medium">
        <color rgb="FFA3A3A3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4"/>
      </top>
      <bottom/>
      <diagonal/>
    </border>
  </borders>
  <cellStyleXfs count="10">
    <xf numFmtId="0" fontId="0" fillId="0" borderId="0"/>
    <xf numFmtId="0" fontId="21" fillId="5" borderId="0" applyNumberFormat="0" applyBorder="0" applyAlignment="0" applyProtection="0"/>
    <xf numFmtId="0" fontId="19" fillId="0" borderId="0"/>
    <xf numFmtId="0" fontId="14" fillId="0" borderId="0"/>
    <xf numFmtId="0" fontId="11" fillId="0" borderId="0"/>
    <xf numFmtId="0" fontId="30" fillId="0" borderId="0"/>
    <xf numFmtId="0" fontId="9" fillId="0" borderId="0"/>
    <xf numFmtId="0" fontId="30" fillId="0" borderId="0"/>
    <xf numFmtId="0" fontId="3" fillId="0" borderId="0"/>
    <xf numFmtId="0" fontId="1" fillId="0" borderId="0"/>
  </cellStyleXfs>
  <cellXfs count="248">
    <xf numFmtId="0" fontId="0" fillId="0" borderId="0" xfId="0"/>
    <xf numFmtId="0" fontId="20" fillId="0" borderId="0" xfId="0" applyFont="1"/>
    <xf numFmtId="0" fontId="19" fillId="0" borderId="0" xfId="2"/>
    <xf numFmtId="0" fontId="22" fillId="9" borderId="7" xfId="2" applyFont="1" applyFill="1" applyBorder="1"/>
    <xf numFmtId="0" fontId="19" fillId="2" borderId="0" xfId="2" applyFill="1"/>
    <xf numFmtId="0" fontId="24" fillId="8" borderId="9" xfId="2" applyFont="1" applyFill="1" applyBorder="1"/>
    <xf numFmtId="0" fontId="19" fillId="9" borderId="0" xfId="2" applyFill="1" applyBorder="1"/>
    <xf numFmtId="0" fontId="19" fillId="10" borderId="12" xfId="2" applyFill="1" applyBorder="1"/>
    <xf numFmtId="0" fontId="24" fillId="8" borderId="14" xfId="2" applyFont="1" applyFill="1" applyBorder="1"/>
    <xf numFmtId="0" fontId="19" fillId="9" borderId="12" xfId="2" applyFill="1" applyBorder="1"/>
    <xf numFmtId="0" fontId="24" fillId="8" borderId="16" xfId="2" applyFont="1" applyFill="1" applyBorder="1"/>
    <xf numFmtId="0" fontId="24" fillId="3" borderId="5" xfId="2" applyFont="1" applyFill="1" applyBorder="1"/>
    <xf numFmtId="0" fontId="24" fillId="3" borderId="9" xfId="2" applyFont="1" applyFill="1" applyBorder="1"/>
    <xf numFmtId="0" fontId="24" fillId="3" borderId="14" xfId="2" applyFont="1" applyFill="1" applyBorder="1"/>
    <xf numFmtId="0" fontId="19" fillId="4" borderId="0" xfId="2" applyFill="1"/>
    <xf numFmtId="0" fontId="24" fillId="3" borderId="16" xfId="2" applyFont="1" applyFill="1" applyBorder="1"/>
    <xf numFmtId="0" fontId="22" fillId="9" borderId="8" xfId="2" applyFont="1" applyFill="1" applyBorder="1"/>
    <xf numFmtId="0" fontId="22" fillId="9" borderId="2" xfId="2" applyFont="1" applyFill="1" applyBorder="1"/>
    <xf numFmtId="0" fontId="19" fillId="9" borderId="13" xfId="2" applyFill="1" applyBorder="1"/>
    <xf numFmtId="0" fontId="19" fillId="9" borderId="1" xfId="2" applyFill="1" applyBorder="1"/>
    <xf numFmtId="0" fontId="19" fillId="9" borderId="19" xfId="2" applyFill="1" applyBorder="1"/>
    <xf numFmtId="0" fontId="19" fillId="9" borderId="20" xfId="2" applyFill="1" applyBorder="1"/>
    <xf numFmtId="0" fontId="22" fillId="0" borderId="16" xfId="2" applyFont="1" applyBorder="1"/>
    <xf numFmtId="0" fontId="19" fillId="0" borderId="0" xfId="2" applyBorder="1"/>
    <xf numFmtId="0" fontId="19" fillId="0" borderId="0" xfId="2" applyAlignment="1"/>
    <xf numFmtId="0" fontId="19" fillId="2" borderId="7" xfId="2" applyFill="1" applyBorder="1"/>
    <xf numFmtId="0" fontId="18" fillId="0" borderId="0" xfId="2" applyFont="1"/>
    <xf numFmtId="0" fontId="19" fillId="13" borderId="0" xfId="2" applyFill="1"/>
    <xf numFmtId="0" fontId="17" fillId="0" borderId="0" xfId="2" applyFont="1"/>
    <xf numFmtId="0" fontId="16" fillId="0" borderId="0" xfId="2" applyFont="1"/>
    <xf numFmtId="2" fontId="22" fillId="9" borderId="2" xfId="2" applyNumberFormat="1" applyFont="1" applyFill="1" applyBorder="1"/>
    <xf numFmtId="0" fontId="19" fillId="14" borderId="0" xfId="2" applyFill="1"/>
    <xf numFmtId="0" fontId="16" fillId="15" borderId="0" xfId="2" applyFont="1" applyFill="1"/>
    <xf numFmtId="0" fontId="19" fillId="15" borderId="0" xfId="2" applyFill="1"/>
    <xf numFmtId="0" fontId="19" fillId="16" borderId="0" xfId="2" applyFill="1"/>
    <xf numFmtId="0" fontId="24" fillId="11" borderId="10" xfId="2" applyFont="1" applyFill="1" applyBorder="1"/>
    <xf numFmtId="0" fontId="24" fillId="11" borderId="17" xfId="2" applyFont="1" applyFill="1" applyBorder="1"/>
    <xf numFmtId="0" fontId="25" fillId="0" borderId="0" xfId="0" applyFont="1"/>
    <xf numFmtId="0" fontId="15" fillId="0" borderId="0" xfId="2" applyFont="1"/>
    <xf numFmtId="0" fontId="13" fillId="0" borderId="0" xfId="2" applyFont="1"/>
    <xf numFmtId="0" fontId="22" fillId="18" borderId="20" xfId="2" applyFont="1" applyFill="1" applyBorder="1"/>
    <xf numFmtId="0" fontId="12" fillId="0" borderId="0" xfId="2" applyFont="1"/>
    <xf numFmtId="0" fontId="28" fillId="0" borderId="0" xfId="0" applyFont="1" applyBorder="1" applyAlignment="1">
      <alignment horizontal="right" vertical="center" wrapText="1"/>
    </xf>
    <xf numFmtId="11" fontId="19" fillId="0" borderId="0" xfId="2" applyNumberFormat="1"/>
    <xf numFmtId="0" fontId="10" fillId="9" borderId="0" xfId="2" applyFont="1" applyFill="1" applyBorder="1"/>
    <xf numFmtId="11" fontId="28" fillId="0" borderId="0" xfId="0" applyNumberFormat="1" applyFont="1" applyBorder="1" applyAlignment="1">
      <alignment horizontal="right" vertical="center" wrapText="1"/>
    </xf>
    <xf numFmtId="3" fontId="19" fillId="0" borderId="0" xfId="2" applyNumberFormat="1"/>
    <xf numFmtId="3" fontId="28" fillId="0" borderId="0" xfId="0" applyNumberFormat="1" applyFont="1" applyBorder="1" applyAlignment="1">
      <alignment horizontal="right" vertical="center" wrapText="1"/>
    </xf>
    <xf numFmtId="2" fontId="19" fillId="0" borderId="0" xfId="2" applyNumberFormat="1"/>
    <xf numFmtId="0" fontId="0" fillId="0" borderId="0" xfId="0" applyNumberFormat="1"/>
    <xf numFmtId="0" fontId="19" fillId="0" borderId="11" xfId="2" applyBorder="1"/>
    <xf numFmtId="0" fontId="19" fillId="11" borderId="11" xfId="2" applyFill="1" applyBorder="1"/>
    <xf numFmtId="0" fontId="21" fillId="5" borderId="21" xfId="1" applyBorder="1"/>
    <xf numFmtId="0" fontId="19" fillId="11" borderId="0" xfId="2" applyFill="1" applyBorder="1"/>
    <xf numFmtId="0" fontId="21" fillId="5" borderId="13" xfId="1" applyBorder="1"/>
    <xf numFmtId="0" fontId="21" fillId="5" borderId="0" xfId="1" applyBorder="1"/>
    <xf numFmtId="0" fontId="19" fillId="0" borderId="1" xfId="2" applyBorder="1"/>
    <xf numFmtId="0" fontId="19" fillId="11" borderId="1" xfId="2" applyFill="1" applyBorder="1"/>
    <xf numFmtId="0" fontId="21" fillId="5" borderId="1" xfId="1" applyBorder="1"/>
    <xf numFmtId="0" fontId="21" fillId="5" borderId="19" xfId="1" applyBorder="1"/>
    <xf numFmtId="0" fontId="22" fillId="0" borderId="19" xfId="2" applyFont="1" applyBorder="1"/>
    <xf numFmtId="0" fontId="22" fillId="0" borderId="17" xfId="2" applyFont="1" applyBorder="1"/>
    <xf numFmtId="0" fontId="22" fillId="0" borderId="2" xfId="2" applyFont="1" applyBorder="1"/>
    <xf numFmtId="0" fontId="22" fillId="0" borderId="8" xfId="2" applyFont="1" applyBorder="1" applyAlignment="1"/>
    <xf numFmtId="0" fontId="22" fillId="0" borderId="3" xfId="2" applyFont="1" applyBorder="1" applyAlignment="1"/>
    <xf numFmtId="0" fontId="22" fillId="18" borderId="0" xfId="2" applyFont="1" applyFill="1"/>
    <xf numFmtId="0" fontId="30" fillId="0" borderId="0" xfId="5"/>
    <xf numFmtId="0" fontId="20" fillId="0" borderId="0" xfId="5" quotePrefix="1" applyFont="1" applyAlignment="1">
      <alignment horizontal="center" vertical="center"/>
    </xf>
    <xf numFmtId="0" fontId="30" fillId="0" borderId="0" xfId="5" applyAlignment="1">
      <alignment horizontal="center" vertical="center"/>
    </xf>
    <xf numFmtId="0" fontId="30" fillId="0" borderId="0" xfId="5" applyAlignment="1">
      <alignment vertical="center"/>
    </xf>
    <xf numFmtId="0" fontId="7" fillId="0" borderId="0" xfId="2" applyFont="1"/>
    <xf numFmtId="0" fontId="22" fillId="9" borderId="20" xfId="2" applyFont="1" applyFill="1" applyBorder="1"/>
    <xf numFmtId="0" fontId="22" fillId="9" borderId="11" xfId="2" applyFont="1" applyFill="1" applyBorder="1"/>
    <xf numFmtId="0" fontId="22" fillId="9" borderId="21" xfId="2" applyFont="1" applyFill="1" applyBorder="1"/>
    <xf numFmtId="0" fontId="10" fillId="9" borderId="11" xfId="2" applyFont="1" applyFill="1" applyBorder="1"/>
    <xf numFmtId="0" fontId="19" fillId="9" borderId="11" xfId="2" applyFill="1" applyBorder="1"/>
    <xf numFmtId="0" fontId="19" fillId="9" borderId="21" xfId="2" applyFill="1" applyBorder="1"/>
    <xf numFmtId="0" fontId="19" fillId="9" borderId="7" xfId="2" applyFill="1" applyBorder="1"/>
    <xf numFmtId="0" fontId="19" fillId="9" borderId="17" xfId="2" applyFill="1" applyBorder="1"/>
    <xf numFmtId="0" fontId="6" fillId="19" borderId="23" xfId="2" applyNumberFormat="1" applyFont="1" applyFill="1" applyBorder="1" applyAlignment="1"/>
    <xf numFmtId="0" fontId="0" fillId="0" borderId="20" xfId="0" applyBorder="1"/>
    <xf numFmtId="0" fontId="0" fillId="0" borderId="11" xfId="0" applyBorder="1"/>
    <xf numFmtId="0" fontId="0" fillId="0" borderId="21" xfId="0" applyBorder="1"/>
    <xf numFmtId="0" fontId="0" fillId="0" borderId="18" xfId="0" applyBorder="1"/>
    <xf numFmtId="0" fontId="0" fillId="0" borderId="0" xfId="0" applyBorder="1"/>
    <xf numFmtId="0" fontId="0" fillId="0" borderId="13" xfId="0" applyBorder="1"/>
    <xf numFmtId="0" fontId="5" fillId="0" borderId="0" xfId="2" applyFont="1" applyBorder="1"/>
    <xf numFmtId="0" fontId="28" fillId="0" borderId="13" xfId="0" applyFont="1" applyBorder="1" applyAlignment="1">
      <alignment horizontal="right" vertical="center" wrapText="1"/>
    </xf>
    <xf numFmtId="0" fontId="19" fillId="0" borderId="13" xfId="2" applyBorder="1"/>
    <xf numFmtId="0" fontId="19" fillId="0" borderId="19" xfId="2" applyBorder="1"/>
    <xf numFmtId="0" fontId="19" fillId="10" borderId="7" xfId="2" applyFill="1" applyBorder="1"/>
    <xf numFmtId="0" fontId="19" fillId="10" borderId="17" xfId="2" applyFill="1" applyBorder="1"/>
    <xf numFmtId="0" fontId="27" fillId="0" borderId="0" xfId="0" applyFont="1" applyFill="1" applyBorder="1" applyAlignment="1">
      <alignment horizontal="right" vertical="center" wrapText="1"/>
    </xf>
    <xf numFmtId="0" fontId="8" fillId="0" borderId="0" xfId="2" applyFont="1" applyBorder="1"/>
    <xf numFmtId="0" fontId="24" fillId="3" borderId="6" xfId="2" applyFont="1" applyFill="1" applyBorder="1" applyAlignment="1">
      <alignment horizontal="left"/>
    </xf>
    <xf numFmtId="0" fontId="24" fillId="3" borderId="10" xfId="2" applyFont="1" applyFill="1" applyBorder="1" applyAlignment="1">
      <alignment horizontal="left"/>
    </xf>
    <xf numFmtId="0" fontId="24" fillId="3" borderId="15" xfId="2" applyFont="1" applyFill="1" applyBorder="1" applyAlignment="1">
      <alignment horizontal="left"/>
    </xf>
    <xf numFmtId="16" fontId="24" fillId="3" borderId="10" xfId="2" applyNumberFormat="1" applyFont="1" applyFill="1" applyBorder="1" applyAlignment="1">
      <alignment horizontal="left"/>
    </xf>
    <xf numFmtId="0" fontId="24" fillId="3" borderId="29" xfId="2" applyFont="1" applyFill="1" applyBorder="1" applyAlignment="1">
      <alignment horizontal="left"/>
    </xf>
    <xf numFmtId="0" fontId="22" fillId="6" borderId="8" xfId="2" applyFont="1" applyFill="1" applyBorder="1"/>
    <xf numFmtId="0" fontId="22" fillId="6" borderId="3" xfId="2" applyFont="1" applyFill="1" applyBorder="1"/>
    <xf numFmtId="0" fontId="22" fillId="6" borderId="30" xfId="2" applyFont="1" applyFill="1" applyBorder="1"/>
    <xf numFmtId="0" fontId="22" fillId="6" borderId="31" xfId="2" applyFont="1" applyFill="1" applyBorder="1"/>
    <xf numFmtId="0" fontId="22" fillId="6" borderId="32" xfId="2" applyFont="1" applyFill="1" applyBorder="1"/>
    <xf numFmtId="0" fontId="24" fillId="9" borderId="5" xfId="2" applyFont="1" applyFill="1" applyBorder="1"/>
    <xf numFmtId="0" fontId="24" fillId="9" borderId="6" xfId="2" applyFont="1" applyFill="1" applyBorder="1"/>
    <xf numFmtId="0" fontId="24" fillId="9" borderId="9" xfId="2" applyFont="1" applyFill="1" applyBorder="1"/>
    <xf numFmtId="0" fontId="24" fillId="9" borderId="10" xfId="2" applyFont="1" applyFill="1" applyBorder="1"/>
    <xf numFmtId="0" fontId="24" fillId="9" borderId="14" xfId="2" applyFont="1" applyFill="1" applyBorder="1"/>
    <xf numFmtId="0" fontId="24" fillId="9" borderId="15" xfId="2" applyFont="1" applyFill="1" applyBorder="1"/>
    <xf numFmtId="0" fontId="24" fillId="9" borderId="16" xfId="2" applyFont="1" applyFill="1" applyBorder="1"/>
    <xf numFmtId="0" fontId="24" fillId="9" borderId="17" xfId="2" applyFont="1" applyFill="1" applyBorder="1"/>
    <xf numFmtId="0" fontId="24" fillId="9" borderId="10" xfId="2" applyFont="1" applyFill="1" applyBorder="1" applyAlignment="1">
      <alignment horizontal="left"/>
    </xf>
    <xf numFmtId="0" fontId="22" fillId="6" borderId="2" xfId="2" applyFont="1" applyFill="1" applyBorder="1" applyAlignment="1"/>
    <xf numFmtId="0" fontId="22" fillId="6" borderId="4" xfId="2" applyFont="1" applyFill="1" applyBorder="1" applyAlignment="1"/>
    <xf numFmtId="0" fontId="22" fillId="6" borderId="3" xfId="2" applyFont="1" applyFill="1" applyBorder="1" applyAlignment="1"/>
    <xf numFmtId="0" fontId="22" fillId="20" borderId="8" xfId="2" applyFont="1" applyFill="1" applyBorder="1"/>
    <xf numFmtId="0" fontId="19" fillId="14" borderId="18" xfId="2" applyFill="1" applyBorder="1"/>
    <xf numFmtId="0" fontId="19" fillId="14" borderId="0" xfId="2" applyFill="1" applyBorder="1"/>
    <xf numFmtId="0" fontId="19" fillId="14" borderId="13" xfId="2" applyFill="1" applyBorder="1"/>
    <xf numFmtId="3" fontId="28" fillId="14" borderId="18" xfId="0" applyNumberFormat="1" applyFont="1" applyFill="1" applyBorder="1" applyAlignment="1">
      <alignment horizontal="right" vertical="center" wrapText="1"/>
    </xf>
    <xf numFmtId="3" fontId="28" fillId="14" borderId="0" xfId="0" applyNumberFormat="1" applyFont="1" applyFill="1" applyBorder="1" applyAlignment="1">
      <alignment horizontal="right" vertical="center" wrapText="1"/>
    </xf>
    <xf numFmtId="0" fontId="28" fillId="14" borderId="0" xfId="0" applyFont="1" applyFill="1" applyBorder="1" applyAlignment="1">
      <alignment horizontal="right" vertical="center" wrapText="1"/>
    </xf>
    <xf numFmtId="11" fontId="28" fillId="14" borderId="0" xfId="0" applyNumberFormat="1" applyFont="1" applyFill="1" applyBorder="1" applyAlignment="1">
      <alignment horizontal="right" vertical="center" wrapText="1"/>
    </xf>
    <xf numFmtId="3" fontId="28" fillId="14" borderId="16" xfId="0" applyNumberFormat="1" applyFont="1" applyFill="1" applyBorder="1" applyAlignment="1">
      <alignment horizontal="right" vertical="center" wrapText="1"/>
    </xf>
    <xf numFmtId="3" fontId="28" fillId="14" borderId="1" xfId="0" applyNumberFormat="1" applyFont="1" applyFill="1" applyBorder="1" applyAlignment="1">
      <alignment horizontal="right" vertical="center" wrapText="1"/>
    </xf>
    <xf numFmtId="0" fontId="28" fillId="14" borderId="1" xfId="0" applyFont="1" applyFill="1" applyBorder="1" applyAlignment="1">
      <alignment horizontal="right" vertical="center" wrapText="1"/>
    </xf>
    <xf numFmtId="0" fontId="19" fillId="14" borderId="1" xfId="2" applyFill="1" applyBorder="1"/>
    <xf numFmtId="0" fontId="19" fillId="14" borderId="19" xfId="2" applyFill="1" applyBorder="1"/>
    <xf numFmtId="0" fontId="22" fillId="7" borderId="8" xfId="2" applyFont="1" applyFill="1" applyBorder="1"/>
    <xf numFmtId="2" fontId="22" fillId="7" borderId="2" xfId="2" applyNumberFormat="1" applyFont="1" applyFill="1" applyBorder="1"/>
    <xf numFmtId="2" fontId="22" fillId="7" borderId="8" xfId="2" applyNumberFormat="1" applyFont="1" applyFill="1" applyBorder="1"/>
    <xf numFmtId="0" fontId="28" fillId="10" borderId="24" xfId="0" applyFont="1" applyFill="1" applyBorder="1" applyAlignment="1">
      <alignment horizontal="right" vertical="center" wrapText="1"/>
    </xf>
    <xf numFmtId="0" fontId="28" fillId="10" borderId="25" xfId="0" applyFont="1" applyFill="1" applyBorder="1" applyAlignment="1">
      <alignment horizontal="right" vertical="center" wrapText="1"/>
    </xf>
    <xf numFmtId="0" fontId="28" fillId="10" borderId="22" xfId="0" applyFont="1" applyFill="1" applyBorder="1" applyAlignment="1">
      <alignment horizontal="right" vertical="center" wrapText="1"/>
    </xf>
    <xf numFmtId="0" fontId="28" fillId="10" borderId="26" xfId="0" applyFont="1" applyFill="1" applyBorder="1" applyAlignment="1">
      <alignment horizontal="right" vertical="center" wrapText="1"/>
    </xf>
    <xf numFmtId="11" fontId="28" fillId="10" borderId="22" xfId="0" applyNumberFormat="1" applyFont="1" applyFill="1" applyBorder="1" applyAlignment="1">
      <alignment horizontal="right" vertical="center" wrapText="1"/>
    </xf>
    <xf numFmtId="0" fontId="20" fillId="10" borderId="22" xfId="0" applyFont="1" applyFill="1" applyBorder="1" applyAlignment="1">
      <alignment horizontal="right" vertical="center" wrapText="1"/>
    </xf>
    <xf numFmtId="11" fontId="20" fillId="10" borderId="22" xfId="0" applyNumberFormat="1" applyFont="1" applyFill="1" applyBorder="1" applyAlignment="1">
      <alignment horizontal="right" vertical="center" wrapText="1"/>
    </xf>
    <xf numFmtId="0" fontId="28" fillId="10" borderId="27" xfId="0" applyFont="1" applyFill="1" applyBorder="1" applyAlignment="1">
      <alignment horizontal="right" vertical="center" wrapText="1"/>
    </xf>
    <xf numFmtId="0" fontId="28" fillId="10" borderId="28" xfId="0" applyFont="1" applyFill="1" applyBorder="1" applyAlignment="1">
      <alignment horizontal="right" vertical="center" wrapText="1"/>
    </xf>
    <xf numFmtId="0" fontId="24" fillId="11" borderId="18" xfId="2" applyFont="1" applyFill="1" applyBorder="1"/>
    <xf numFmtId="0" fontId="5" fillId="0" borderId="0" xfId="2" applyFont="1" applyFill="1"/>
    <xf numFmtId="0" fontId="8" fillId="0" borderId="11" xfId="2" applyFont="1" applyBorder="1"/>
    <xf numFmtId="0" fontId="5" fillId="0" borderId="11" xfId="2" applyFont="1" applyBorder="1"/>
    <xf numFmtId="0" fontId="27" fillId="0" borderId="11" xfId="0" applyFont="1" applyFill="1" applyBorder="1" applyAlignment="1">
      <alignment horizontal="right" vertical="center" wrapText="1"/>
    </xf>
    <xf numFmtId="0" fontId="22" fillId="6" borderId="19" xfId="2" applyFont="1" applyFill="1" applyBorder="1"/>
    <xf numFmtId="0" fontId="22" fillId="6" borderId="33" xfId="2" applyFont="1" applyFill="1" applyBorder="1"/>
    <xf numFmtId="0" fontId="22" fillId="6" borderId="34" xfId="2" applyFont="1" applyFill="1" applyBorder="1"/>
    <xf numFmtId="0" fontId="22" fillId="6" borderId="35" xfId="2" applyFont="1" applyFill="1" applyBorder="1"/>
    <xf numFmtId="0" fontId="29" fillId="6" borderId="16" xfId="0" applyFont="1" applyFill="1" applyBorder="1" applyAlignment="1">
      <alignment vertical="center" wrapText="1"/>
    </xf>
    <xf numFmtId="0" fontId="36" fillId="0" borderId="0" xfId="7" applyFont="1"/>
    <xf numFmtId="0" fontId="30" fillId="0" borderId="0" xfId="7"/>
    <xf numFmtId="0" fontId="30" fillId="0" borderId="0" xfId="7" applyAlignment="1">
      <alignment horizontal="center" vertical="center"/>
    </xf>
    <xf numFmtId="0" fontId="37" fillId="0" borderId="0" xfId="7" applyFont="1" applyAlignment="1">
      <alignment horizontal="left"/>
    </xf>
    <xf numFmtId="0" fontId="37" fillId="0" borderId="0" xfId="7" applyFont="1" applyAlignment="1">
      <alignment horizontal="center" vertical="center"/>
    </xf>
    <xf numFmtId="0" fontId="31" fillId="0" borderId="0" xfId="7" applyFont="1" applyAlignment="1">
      <alignment horizontal="center" vertical="center" wrapText="1"/>
    </xf>
    <xf numFmtId="0" fontId="20" fillId="0" borderId="0" xfId="7" applyFont="1" applyAlignment="1">
      <alignment horizontal="center" vertical="center" wrapText="1"/>
    </xf>
    <xf numFmtId="0" fontId="31" fillId="0" borderId="0" xfId="7" applyFont="1" applyAlignment="1">
      <alignment vertical="center"/>
    </xf>
    <xf numFmtId="0" fontId="30" fillId="0" borderId="0" xfId="7" applyAlignment="1">
      <alignment horizontal="left"/>
    </xf>
    <xf numFmtId="0" fontId="31" fillId="0" borderId="0" xfId="7" applyFont="1"/>
    <xf numFmtId="0" fontId="30" fillId="0" borderId="0" xfId="7" applyAlignment="1">
      <alignment horizontal="center"/>
    </xf>
    <xf numFmtId="0" fontId="20" fillId="0" borderId="0" xfId="7" applyFont="1"/>
    <xf numFmtId="0" fontId="0" fillId="0" borderId="0" xfId="7" applyFont="1"/>
    <xf numFmtId="0" fontId="31" fillId="0" borderId="0" xfId="7" applyFont="1" applyAlignment="1">
      <alignment horizontal="center" vertical="center"/>
    </xf>
    <xf numFmtId="0" fontId="25" fillId="0" borderId="0" xfId="0" applyFont="1" applyAlignment="1">
      <alignment horizontal="center" vertical="center" textRotation="90"/>
    </xf>
    <xf numFmtId="0" fontId="20" fillId="2" borderId="0" xfId="7" applyFont="1" applyFill="1"/>
    <xf numFmtId="0" fontId="20" fillId="0" borderId="0" xfId="7" applyFont="1" applyAlignment="1">
      <alignment horizontal="center" vertical="center"/>
    </xf>
    <xf numFmtId="0" fontId="0" fillId="0" borderId="0" xfId="0" applyAlignment="1">
      <alignment vertical="center" wrapText="1"/>
    </xf>
    <xf numFmtId="0" fontId="38" fillId="0" borderId="0" xfId="7" quotePrefix="1" applyFont="1" applyAlignment="1">
      <alignment horizontal="left" vertical="center"/>
    </xf>
    <xf numFmtId="2" fontId="20" fillId="0" borderId="0" xfId="7" applyNumberFormat="1" applyFont="1" applyAlignment="1">
      <alignment horizontal="center" vertical="center"/>
    </xf>
    <xf numFmtId="164" fontId="20" fillId="0" borderId="0" xfId="7" applyNumberFormat="1" applyFont="1" applyAlignment="1">
      <alignment horizontal="center" vertical="center"/>
    </xf>
    <xf numFmtId="1" fontId="20" fillId="0" borderId="0" xfId="7" applyNumberFormat="1" applyFont="1" applyAlignment="1">
      <alignment horizontal="center" vertical="center"/>
    </xf>
    <xf numFmtId="0" fontId="30" fillId="2" borderId="0" xfId="7" applyFill="1"/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37" fillId="0" borderId="0" xfId="7" applyFont="1"/>
    <xf numFmtId="0" fontId="37" fillId="0" borderId="0" xfId="7" applyFont="1" applyAlignment="1">
      <alignment vertical="center"/>
    </xf>
    <xf numFmtId="0" fontId="30" fillId="0" borderId="0" xfId="7" applyAlignment="1">
      <alignment vertical="center"/>
    </xf>
    <xf numFmtId="166" fontId="20" fillId="2" borderId="0" xfId="7" applyNumberFormat="1" applyFont="1" applyFill="1"/>
    <xf numFmtId="166" fontId="0" fillId="2" borderId="36" xfId="0" applyNumberFormat="1" applyFill="1" applyBorder="1"/>
    <xf numFmtId="0" fontId="20" fillId="2" borderId="0" xfId="7" applyFont="1" applyFill="1" applyAlignment="1">
      <alignment vertical="center"/>
    </xf>
    <xf numFmtId="0" fontId="20" fillId="0" borderId="0" xfId="7" applyFont="1" applyAlignment="1">
      <alignment vertical="center"/>
    </xf>
    <xf numFmtId="1" fontId="20" fillId="0" borderId="0" xfId="7" applyNumberFormat="1" applyFont="1"/>
    <xf numFmtId="0" fontId="20" fillId="0" borderId="0" xfId="7" quotePrefix="1" applyFont="1" applyAlignment="1">
      <alignment horizontal="right"/>
    </xf>
    <xf numFmtId="165" fontId="20" fillId="0" borderId="0" xfId="7" applyNumberFormat="1" applyFont="1"/>
    <xf numFmtId="1" fontId="30" fillId="0" borderId="0" xfId="7" applyNumberFormat="1" applyAlignment="1">
      <alignment vertical="center" wrapText="1"/>
    </xf>
    <xf numFmtId="0" fontId="30" fillId="0" borderId="0" xfId="7" applyAlignment="1">
      <alignment vertical="center" wrapText="1"/>
    </xf>
    <xf numFmtId="0" fontId="0" fillId="2" borderId="0" xfId="0" applyFill="1" applyAlignment="1">
      <alignment horizontal="center" vertical="center"/>
    </xf>
    <xf numFmtId="165" fontId="0" fillId="2" borderId="0" xfId="0" applyNumberFormat="1" applyFill="1" applyAlignment="1">
      <alignment horizontal="center" vertical="center"/>
    </xf>
    <xf numFmtId="1" fontId="31" fillId="0" borderId="0" xfId="7" applyNumberFormat="1" applyFont="1" applyAlignment="1">
      <alignment horizontal="center" vertical="center"/>
    </xf>
    <xf numFmtId="1" fontId="20" fillId="0" borderId="0" xfId="7" applyNumberFormat="1" applyFont="1" applyAlignment="1">
      <alignment horizontal="center"/>
    </xf>
    <xf numFmtId="0" fontId="20" fillId="0" borderId="0" xfId="7" applyFont="1" applyAlignment="1">
      <alignment horizontal="center"/>
    </xf>
    <xf numFmtId="0" fontId="20" fillId="2" borderId="0" xfId="7" applyFont="1" applyFill="1" applyAlignment="1">
      <alignment horizontal="center"/>
    </xf>
    <xf numFmtId="1" fontId="30" fillId="0" borderId="0" xfId="7" applyNumberFormat="1" applyAlignment="1">
      <alignment horizontal="center"/>
    </xf>
    <xf numFmtId="1" fontId="30" fillId="0" borderId="0" xfId="7" applyNumberFormat="1" applyAlignment="1">
      <alignment horizontal="center" vertical="center"/>
    </xf>
    <xf numFmtId="0" fontId="20" fillId="0" borderId="0" xfId="7" quotePrefix="1" applyFont="1" applyAlignment="1">
      <alignment horizontal="center" vertical="center"/>
    </xf>
    <xf numFmtId="166" fontId="20" fillId="0" borderId="0" xfId="7" applyNumberFormat="1" applyFont="1" applyAlignment="1">
      <alignment horizontal="center" vertical="center"/>
    </xf>
    <xf numFmtId="22" fontId="0" fillId="0" borderId="0" xfId="0" applyNumberFormat="1"/>
    <xf numFmtId="0" fontId="19" fillId="0" borderId="0" xfId="2" applyFill="1"/>
    <xf numFmtId="11" fontId="19" fillId="0" borderId="0" xfId="2" applyNumberFormat="1" applyFill="1"/>
    <xf numFmtId="0" fontId="31" fillId="0" borderId="0" xfId="7" applyFont="1" applyAlignment="1">
      <alignment horizontal="center" vertical="center" wrapText="1"/>
    </xf>
    <xf numFmtId="0" fontId="31" fillId="0" borderId="0" xfId="7" applyFont="1" applyAlignment="1">
      <alignment horizontal="center" vertical="center" wrapText="1"/>
    </xf>
    <xf numFmtId="0" fontId="24" fillId="8" borderId="18" xfId="2" applyFont="1" applyFill="1" applyBorder="1"/>
    <xf numFmtId="0" fontId="30" fillId="4" borderId="0" xfId="7" applyFill="1"/>
    <xf numFmtId="0" fontId="31" fillId="0" borderId="0" xfId="7" applyFont="1" applyAlignment="1">
      <alignment horizontal="center" vertical="center" wrapText="1"/>
    </xf>
    <xf numFmtId="0" fontId="38" fillId="0" borderId="0" xfId="5" quotePrefix="1" applyFont="1" applyAlignment="1">
      <alignment horizontal="left" vertical="center"/>
    </xf>
    <xf numFmtId="0" fontId="0" fillId="0" borderId="0" xfId="0" applyAlignment="1">
      <alignment horizontal="center"/>
    </xf>
    <xf numFmtId="0" fontId="30" fillId="0" borderId="0" xfId="5" applyAlignment="1">
      <alignment horizontal="center"/>
    </xf>
    <xf numFmtId="0" fontId="30" fillId="2" borderId="0" xfId="7" applyFill="1" applyAlignment="1">
      <alignment horizontal="center"/>
    </xf>
    <xf numFmtId="0" fontId="31" fillId="0" borderId="0" xfId="7" applyFont="1" applyAlignment="1">
      <alignment horizontal="center" vertical="center" wrapText="1"/>
    </xf>
    <xf numFmtId="0" fontId="3" fillId="0" borderId="11" xfId="8" applyBorder="1"/>
    <xf numFmtId="0" fontId="3" fillId="0" borderId="37" xfId="8" applyBorder="1"/>
    <xf numFmtId="1" fontId="30" fillId="0" borderId="0" xfId="7" applyNumberFormat="1"/>
    <xf numFmtId="0" fontId="2" fillId="0" borderId="0" xfId="2" applyFont="1"/>
    <xf numFmtId="0" fontId="31" fillId="0" borderId="0" xfId="7" applyFont="1" applyAlignment="1">
      <alignment horizontal="center" vertical="center" wrapText="1"/>
    </xf>
    <xf numFmtId="0" fontId="20" fillId="2" borderId="0" xfId="7" applyFont="1" applyFill="1" applyAlignment="1">
      <alignment horizontal="center" vertical="center"/>
    </xf>
    <xf numFmtId="0" fontId="0" fillId="2" borderId="0" xfId="0" applyFill="1" applyAlignment="1">
      <alignment vertical="center" wrapText="1"/>
    </xf>
    <xf numFmtId="1" fontId="20" fillId="2" borderId="0" xfId="7" applyNumberFormat="1" applyFont="1" applyFill="1" applyAlignment="1">
      <alignment horizontal="center" vertical="center"/>
    </xf>
    <xf numFmtId="0" fontId="0" fillId="0" borderId="0" xfId="0" applyAlignment="1">
      <alignment horizontal="left"/>
    </xf>
    <xf numFmtId="0" fontId="22" fillId="6" borderId="2" xfId="2" applyFont="1" applyFill="1" applyBorder="1" applyAlignment="1">
      <alignment horizontal="center"/>
    </xf>
    <xf numFmtId="0" fontId="22" fillId="6" borderId="4" xfId="2" applyFont="1" applyFill="1" applyBorder="1" applyAlignment="1">
      <alignment horizontal="center"/>
    </xf>
    <xf numFmtId="0" fontId="22" fillId="6" borderId="3" xfId="2" applyFont="1" applyFill="1" applyBorder="1" applyAlignment="1">
      <alignment horizontal="center"/>
    </xf>
    <xf numFmtId="0" fontId="23" fillId="6" borderId="2" xfId="2" applyFont="1" applyFill="1" applyBorder="1" applyAlignment="1">
      <alignment horizontal="center"/>
    </xf>
    <xf numFmtId="0" fontId="23" fillId="6" borderId="3" xfId="2" applyFont="1" applyFill="1" applyBorder="1" applyAlignment="1">
      <alignment horizontal="center"/>
    </xf>
    <xf numFmtId="0" fontId="22" fillId="7" borderId="2" xfId="2" applyFont="1" applyFill="1" applyBorder="1" applyAlignment="1">
      <alignment horizontal="center"/>
    </xf>
    <xf numFmtId="0" fontId="22" fillId="7" borderId="4" xfId="2" applyFont="1" applyFill="1" applyBorder="1" applyAlignment="1">
      <alignment horizontal="center"/>
    </xf>
    <xf numFmtId="0" fontId="22" fillId="7" borderId="3" xfId="2" applyFont="1" applyFill="1" applyBorder="1" applyAlignment="1">
      <alignment horizontal="center"/>
    </xf>
    <xf numFmtId="0" fontId="22" fillId="20" borderId="2" xfId="2" applyFont="1" applyFill="1" applyBorder="1" applyAlignment="1">
      <alignment horizontal="center"/>
    </xf>
    <xf numFmtId="0" fontId="22" fillId="20" borderId="4" xfId="2" applyFont="1" applyFill="1" applyBorder="1" applyAlignment="1">
      <alignment horizontal="center"/>
    </xf>
    <xf numFmtId="0" fontId="22" fillId="20" borderId="3" xfId="2" applyFont="1" applyFill="1" applyBorder="1" applyAlignment="1">
      <alignment horizontal="center"/>
    </xf>
    <xf numFmtId="0" fontId="23" fillId="12" borderId="2" xfId="2" applyFont="1" applyFill="1" applyBorder="1" applyAlignment="1">
      <alignment horizontal="center"/>
    </xf>
    <xf numFmtId="0" fontId="23" fillId="12" borderId="3" xfId="2" applyFont="1" applyFill="1" applyBorder="1" applyAlignment="1">
      <alignment horizontal="center"/>
    </xf>
    <xf numFmtId="0" fontId="24" fillId="9" borderId="16" xfId="2" applyFont="1" applyFill="1" applyBorder="1" applyAlignment="1">
      <alignment horizontal="center"/>
    </xf>
    <xf numFmtId="0" fontId="24" fillId="9" borderId="1" xfId="2" applyFont="1" applyFill="1" applyBorder="1" applyAlignment="1">
      <alignment horizontal="center"/>
    </xf>
    <xf numFmtId="0" fontId="4" fillId="0" borderId="1" xfId="2" applyFont="1" applyBorder="1" applyAlignment="1">
      <alignment horizontal="center"/>
    </xf>
    <xf numFmtId="0" fontId="19" fillId="0" borderId="1" xfId="2" applyBorder="1" applyAlignment="1">
      <alignment horizontal="center"/>
    </xf>
    <xf numFmtId="0" fontId="31" fillId="0" borderId="0" xfId="7" applyFont="1" applyAlignment="1">
      <alignment horizontal="center" vertical="center" wrapText="1"/>
    </xf>
    <xf numFmtId="0" fontId="19" fillId="0" borderId="18" xfId="2" applyBorder="1" applyAlignment="1">
      <alignment horizontal="center" vertical="center"/>
    </xf>
    <xf numFmtId="0" fontId="19" fillId="0" borderId="16" xfId="2" applyBorder="1" applyAlignment="1">
      <alignment horizontal="center" vertical="center"/>
    </xf>
    <xf numFmtId="0" fontId="19" fillId="17" borderId="20" xfId="2" applyFill="1" applyBorder="1" applyAlignment="1">
      <alignment horizontal="center" vertical="center"/>
    </xf>
    <xf numFmtId="0" fontId="19" fillId="17" borderId="18" xfId="2" applyFill="1" applyBorder="1" applyAlignment="1">
      <alignment horizontal="center" vertical="center"/>
    </xf>
    <xf numFmtId="0" fontId="19" fillId="17" borderId="16" xfId="2" applyFill="1" applyBorder="1" applyAlignment="1">
      <alignment horizontal="center" vertical="center"/>
    </xf>
    <xf numFmtId="0" fontId="19" fillId="0" borderId="20" xfId="2" applyBorder="1" applyAlignment="1">
      <alignment horizontal="center" vertical="center"/>
    </xf>
    <xf numFmtId="0" fontId="19" fillId="0" borderId="20" xfId="2" applyBorder="1" applyAlignment="1">
      <alignment horizontal="center"/>
    </xf>
    <xf numFmtId="0" fontId="19" fillId="0" borderId="21" xfId="2" applyBorder="1" applyAlignment="1">
      <alignment horizontal="center"/>
    </xf>
    <xf numFmtId="0" fontId="19" fillId="0" borderId="16" xfId="2" applyBorder="1" applyAlignment="1">
      <alignment horizontal="center"/>
    </xf>
    <xf numFmtId="0" fontId="19" fillId="0" borderId="19" xfId="2" applyBorder="1" applyAlignment="1">
      <alignment horizontal="center"/>
    </xf>
  </cellXfs>
  <cellStyles count="10">
    <cellStyle name="Bad" xfId="1" builtinId="27"/>
    <cellStyle name="Normal" xfId="0" builtinId="0"/>
    <cellStyle name="Normal 2" xfId="2" xr:uid="{9E45CB99-6D3F-478D-9045-CACEC2E9DE19}"/>
    <cellStyle name="Normal 2 2" xfId="3" xr:uid="{6909914C-7D7C-47B0-B149-797A9DB89FD4}"/>
    <cellStyle name="Normal 2 3" xfId="4" xr:uid="{A09C9B27-7ABC-413E-B79D-9178FCB1FE6E}"/>
    <cellStyle name="Normal 2 3 2" xfId="7" xr:uid="{9C63A8C5-8EDD-4021-B2FA-777BC982C963}"/>
    <cellStyle name="Normal 2 4" xfId="5" xr:uid="{D193BF8D-3D59-4602-9366-ADD88E507442}"/>
    <cellStyle name="Normal 2 5" xfId="6" xr:uid="{4394911E-0571-471E-9055-CA216E06947B}"/>
    <cellStyle name="Normal 2 6" xfId="8" xr:uid="{0300349A-50FB-4D26-8201-A42DAD6DB068}"/>
    <cellStyle name="Normal 2 7" xfId="9" xr:uid="{BB4BFB18-A194-4153-9826-3CACC5EA0B6F}"/>
  </cellStyles>
  <dxfs count="280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27" formatCode="dd/mm/yyyy\ hh:mm"/>
    </dxf>
    <dxf>
      <numFmt numFmtId="0" formatCode="General"/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ck">
          <color theme="4"/>
        </left>
        <right style="thick">
          <color theme="4"/>
        </right>
        <top style="thick">
          <color theme="4"/>
        </top>
        <bottom style="thick">
          <color theme="4"/>
        </bottom>
      </border>
    </dxf>
    <dxf>
      <fill>
        <patternFill patternType="solid">
          <fgColor theme="8" tint="0.79998168889431442"/>
          <bgColor theme="8" tint="0.79998168889431442"/>
        </patternFill>
      </fill>
    </dxf>
    <dxf>
      <border>
        <vertical style="thin">
          <color auto="1"/>
        </vertical>
        <horizontal style="thin">
          <color auto="1"/>
        </horizontal>
      </border>
    </dxf>
    <dxf>
      <fill>
        <patternFill patternType="solid">
          <fgColor theme="8" tint="0.79998168889431442"/>
          <bgColor theme="8" tint="0.79998168889431442"/>
        </patternFill>
      </fill>
      <border>
        <vertical style="thin">
          <color auto="1"/>
        </vertical>
        <horizontal style="thin">
          <color auto="1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8"/>
        </top>
      </border>
    </dxf>
    <dxf>
      <font>
        <b/>
        <color theme="1"/>
      </font>
      <border>
        <bottom style="medium">
          <color theme="8"/>
        </bottom>
      </border>
    </dxf>
    <dxf>
      <font>
        <color theme="1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border>
        <left style="thick">
          <color auto="1"/>
        </left>
      </border>
    </dxf>
    <dxf>
      <border>
        <bottom style="thick">
          <color auto="1"/>
        </bottom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</dxfs>
  <tableStyles count="4" defaultTableStyle="TableStyleMedium2" defaultPivotStyle="PivotStyleLight16">
    <tableStyle name="FKMV_Style" pivot="0" count="9" xr9:uid="{6A8836BC-B935-452C-9CEA-F0DE79D3C1E9}">
      <tableStyleElement type="wholeTable" dxfId="279"/>
      <tableStyleElement type="headerRow" dxfId="278"/>
      <tableStyleElement type="totalRow" dxfId="277"/>
      <tableStyleElement type="firstColumn" dxfId="276"/>
      <tableStyleElement type="lastColumn" dxfId="275"/>
      <tableStyleElement type="firstRowStripe" dxfId="274"/>
      <tableStyleElement type="secondRowStripe" dxfId="273"/>
      <tableStyleElement type="firstColumnStripe" dxfId="272"/>
      <tableStyleElement type="secondColumnStripe" dxfId="271"/>
    </tableStyle>
    <tableStyle name="FKMV_style_2" pivot="0" count="7" xr9:uid="{1CBD89A1-94B2-445A-A0F4-05CE2395308B}">
      <tableStyleElement type="wholeTable" dxfId="270"/>
      <tableStyleElement type="totalRow" dxfId="269"/>
      <tableStyleElement type="firstColumn" dxfId="268"/>
      <tableStyleElement type="firstRowStripe" dxfId="267"/>
      <tableStyleElement type="secondRowStripe" dxfId="266"/>
      <tableStyleElement type="firstColumnStripe" dxfId="265"/>
      <tableStyleElement type="secondColumnStripe" dxfId="264"/>
    </tableStyle>
    <tableStyle name="FKMV_style_no_header" pivot="0" count="8" xr9:uid="{CD166963-8293-4761-9835-30B0A7BBACF7}">
      <tableStyleElement type="wholeTable" dxfId="263"/>
      <tableStyleElement type="headerRow" dxfId="262"/>
      <tableStyleElement type="totalRow" dxfId="261"/>
      <tableStyleElement type="firstColumn" dxfId="260"/>
      <tableStyleElement type="lastColumn" dxfId="259"/>
      <tableStyleElement type="firstRowStripe" dxfId="258"/>
      <tableStyleElement type="secondRowStripe" dxfId="257"/>
      <tableStyleElement type="firstColumnStripe" dxfId="256"/>
    </tableStyle>
    <tableStyle name="TableStyleLight9 2" pivot="0" count="9" xr9:uid="{DA6047FE-FBAE-4B42-870C-C23B7AE904CF}">
      <tableStyleElement type="wholeTable" dxfId="255"/>
      <tableStyleElement type="headerRow" dxfId="254"/>
      <tableStyleElement type="totalRow" dxfId="253"/>
      <tableStyleElement type="firstColumn" dxfId="252"/>
      <tableStyleElement type="lastColumn" dxfId="251"/>
      <tableStyleElement type="firstRowStripe" dxfId="250"/>
      <tableStyleElement type="secondRowStripe" dxfId="249"/>
      <tableStyleElement type="firstColumnStripe" dxfId="248"/>
      <tableStyleElement type="secondColumnStripe" dxfId="24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207645</xdr:colOff>
      <xdr:row>77</xdr:row>
      <xdr:rowOff>0</xdr:rowOff>
    </xdr:from>
    <xdr:to>
      <xdr:col>2</xdr:col>
      <xdr:colOff>708025</xdr:colOff>
      <xdr:row>99</xdr:row>
      <xdr:rowOff>22076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245" y="12515850"/>
          <a:ext cx="2967355" cy="3172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25</xdr:row>
          <xdr:rowOff>114300</xdr:rowOff>
        </xdr:from>
        <xdr:to>
          <xdr:col>1</xdr:col>
          <xdr:colOff>2179320</xdr:colOff>
          <xdr:row>27</xdr:row>
          <xdr:rowOff>121920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Refresh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2308860</xdr:colOff>
          <xdr:row>25</xdr:row>
          <xdr:rowOff>106680</xdr:rowOff>
        </xdr:from>
        <xdr:to>
          <xdr:col>2</xdr:col>
          <xdr:colOff>2004060</xdr:colOff>
          <xdr:row>27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Refresh Filter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C46BADB5-2F0F-48DC-8B9B-795BC75A6D8F}" autoFormatId="16" applyNumberFormats="0" applyBorderFormats="0" applyFontFormats="0" applyPatternFormats="0" applyAlignmentFormats="0" applyWidthHeightFormats="0">
  <queryTableRefresh nextId="75">
    <queryTableFields count="5">
      <queryTableField id="1" name="Name" tableColumnId="1"/>
      <queryTableField id="2" name="Project" tableColumnId="2"/>
      <queryTableField id="72" name="location" tableColumnId="6"/>
      <queryTableField id="3" name="rev" tableColumnId="3"/>
      <queryTableField id="73" name="soil_type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D74913B2-626C-4EAC-A8F8-C2D91854514B}" autoFormatId="16" applyNumberFormats="0" applyBorderFormats="0" applyFontFormats="0" applyPatternFormats="0" applyAlignmentFormats="0" applyWidthHeightFormats="0">
  <queryTableRefresh nextId="81">
    <queryTableFields count="74">
      <queryTableField id="1" name="Name" tableColumnId="1"/>
      <queryTableField id="2" name="Project" tableColumnId="2"/>
      <queryTableField id="73" name="location" tableColumnId="70"/>
      <queryTableField id="3" name="rev" tableColumnId="3"/>
      <queryTableField id="74" name="diameter" tableColumnId="71"/>
      <queryTableField id="75" name="length" tableColumnId="72"/>
      <queryTableField id="4" name="Notes" tableColumnId="4"/>
      <queryTableField id="71" name="soil_type" tableColumnId="5"/>
      <queryTableField id="6" name="y_u_F" tableColumnId="6"/>
      <queryTableField id="7" name="y_u_1" tableColumnId="7"/>
      <queryTableField id="8" name="y_u_2" tableColumnId="8"/>
      <queryTableField id="9" name="y_u_3" tableColumnId="9"/>
      <queryTableField id="10" name="P_u_F" tableColumnId="10"/>
      <queryTableField id="11" name="P_u_1" tableColumnId="11"/>
      <queryTableField id="12" name="P_u_2" tableColumnId="12"/>
      <queryTableField id="13" name="P_u_3" tableColumnId="13"/>
      <queryTableField id="14" name="k_p_F" tableColumnId="14"/>
      <queryTableField id="15" name="k_p_1" tableColumnId="15"/>
      <queryTableField id="16" name="k_p_2" tableColumnId="16"/>
      <queryTableField id="17" name="k_p_3" tableColumnId="17"/>
      <queryTableField id="18" name="n_p_F" tableColumnId="18"/>
      <queryTableField id="19" name="n_p_1" tableColumnId="19"/>
      <queryTableField id="20" name="n_p_2" tableColumnId="20"/>
      <queryTableField id="21" name="n_p_3" tableColumnId="21"/>
      <queryTableField id="22" name="tetam_u_F" tableColumnId="22"/>
      <queryTableField id="23" name="tetam_u_1" tableColumnId="23"/>
      <queryTableField id="24" name="tetam_u_2" tableColumnId="24"/>
      <queryTableField id="25" name="tetam_u_3" tableColumnId="25"/>
      <queryTableField id="26" name="m_u_F" tableColumnId="26"/>
      <queryTableField id="27" name="m_u_1" tableColumnId="27"/>
      <queryTableField id="28" name="m_u_2" tableColumnId="28"/>
      <queryTableField id="29" name="m_u_3" tableColumnId="29"/>
      <queryTableField id="30" name="k_m_F" tableColumnId="30"/>
      <queryTableField id="31" name="k_m_1" tableColumnId="31"/>
      <queryTableField id="32" name="k_m_2" tableColumnId="32"/>
      <queryTableField id="33" name="k_m_3" tableColumnId="33"/>
      <queryTableField id="34" name="n_m_F" tableColumnId="34"/>
      <queryTableField id="35" name="n_m_1" tableColumnId="35"/>
      <queryTableField id="36" name="n_m_2" tableColumnId="36"/>
      <queryTableField id="37" name="n_m_3" tableColumnId="37"/>
      <queryTableField id="38" name="yB_u_F" tableColumnId="38"/>
      <queryTableField id="39" name="yB_u_1" tableColumnId="39"/>
      <queryTableField id="40" name="yB_u_2" tableColumnId="40"/>
      <queryTableField id="41" name="yB_u_3" tableColumnId="41"/>
      <queryTableField id="42" name="HB_u_F" tableColumnId="42"/>
      <queryTableField id="43" name="HB_u_1" tableColumnId="43"/>
      <queryTableField id="44" name="HB_u_2" tableColumnId="44"/>
      <queryTableField id="45" name="HB_u_3" tableColumnId="45"/>
      <queryTableField id="46" name="k_H_F" tableColumnId="46"/>
      <queryTableField id="47" name="k_H_1" tableColumnId="47"/>
      <queryTableField id="48" name="k_H_2" tableColumnId="48"/>
      <queryTableField id="49" name="k_H_3" tableColumnId="49"/>
      <queryTableField id="50" name="n_H_F" tableColumnId="50"/>
      <queryTableField id="51" name="n_H_1" tableColumnId="51"/>
      <queryTableField id="52" name="n_H_2" tableColumnId="52"/>
      <queryTableField id="53" name="n_H_3" tableColumnId="53"/>
      <queryTableField id="54" name="tetaMb_u_F" tableColumnId="54"/>
      <queryTableField id="55" name="tetaMb_u_1" tableColumnId="55"/>
      <queryTableField id="56" name="tetaMb_u_2" tableColumnId="56"/>
      <queryTableField id="57" name="tetaMb_u_3" tableColumnId="57"/>
      <queryTableField id="58" name="MB_u_F" tableColumnId="58"/>
      <queryTableField id="59" name="MB_u_1" tableColumnId="59"/>
      <queryTableField id="60" name="MB_u_2" tableColumnId="60"/>
      <queryTableField id="61" name="MB_u_3" tableColumnId="61"/>
      <queryTableField id="62" name="k_Mb_F" tableColumnId="62"/>
      <queryTableField id="63" name="k_Mb_1" tableColumnId="63"/>
      <queryTableField id="64" name="k_Mb_2" tableColumnId="64"/>
      <queryTableField id="65" name="k_Mb_3" tableColumnId="65"/>
      <queryTableField id="66" name="n_Mb_F" tableColumnId="66"/>
      <queryTableField id="67" name="n_Mb_1" tableColumnId="67"/>
      <queryTableField id="68" name="n_Mb_2" tableColumnId="68"/>
      <queryTableField id="69" name="n_Mb_3" tableColumnId="69"/>
      <queryTableField id="76" name="preparer" tableColumnId="73"/>
      <queryTableField id="77" name="timestamp" tableColumnId="7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2BBA6ED-B345-4E30-A8F2-060B345A733E}" name="Table5" displayName="Table5" ref="E3:J34" totalsRowShown="0" headerRowDxfId="246" headerRowBorderDxfId="245" tableBorderDxfId="244" headerRowCellStyle="Normal 2" dataCellStyle="Normal 2">
  <autoFilter ref="E3:J34" xr:uid="{F2BBA6ED-B345-4E30-A8F2-060B345A733E}"/>
  <tableColumns count="6">
    <tableColumn id="1" xr3:uid="{414A84B1-08A7-4D5D-B5C2-577E6F30CC4C}" name="Layer switch" dataDxfId="243" dataCellStyle="Normal 2"/>
    <tableColumn id="2" xr3:uid="{886681BB-1106-490B-A15A-A8F0779FEFCF}" name="Base case" dataCellStyle="Normal 2"/>
    <tableColumn id="3" xr3:uid="{1B7AEC58-3B4A-478A-80D9-C11A110DCE63}" name="Project name" dataCellStyle="Normal 2"/>
    <tableColumn id="4" xr3:uid="{4B135770-6DB6-4045-B003-B0A52C8C9F51}" name="Location name" dataCellStyle="Normal 2"/>
    <tableColumn id="5" xr3:uid="{1AEC02AC-DF15-4F9F-9B5B-33F65B288C69}" name="Revision" dataCellStyle="Normal 2"/>
    <tableColumn id="6" xr3:uid="{B6B036BA-E207-431C-A8DF-6D346DDE19A0}" name="Layer name" dataCellStyle="Normal 2"/>
  </tableColumns>
  <tableStyleInfo name="FKMV_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FB530E-86B7-4FE7-B008-D9B750D1425D}" name="Data_List" displayName="Data_List" ref="A1:E3526" tableType="queryTable" totalsRowShown="0">
  <autoFilter ref="A1:E3526" xr:uid="{A11908FE-CA7E-4612-A1DE-4C3DC224AD35}"/>
  <tableColumns count="5">
    <tableColumn id="1" xr3:uid="{5C927C2C-2904-44BF-96B8-BE364C752530}" uniqueName="1" name="name" queryTableFieldId="1" dataDxfId="242"/>
    <tableColumn id="2" xr3:uid="{D3F255F2-2A86-4157-9656-81F9A8679A3F}" uniqueName="2" name="project" queryTableFieldId="2" dataDxfId="241"/>
    <tableColumn id="6" xr3:uid="{8269866A-3784-4AB0-B598-56EDFF3DBF0E}" uniqueName="6" name="location" queryTableFieldId="72" dataDxfId="240"/>
    <tableColumn id="3" xr3:uid="{6F32062A-6396-48AD-96E4-AC8769C16D3B}" uniqueName="3" name="rev" queryTableFieldId="3"/>
    <tableColumn id="7" xr3:uid="{AD4376A9-64FE-4ADA-8EEA-29CD7077745B}" uniqueName="7" name="soil_type" queryTableFieldId="73" dataDxfId="23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BD567BC-898B-4A09-94F5-6D9061C4FCD0}" name="owdb_COPCAT_Data_Base" displayName="owdb_COPCAT_Data_Base" ref="A1:BV12" tableType="queryTable" totalsRowShown="0">
  <autoFilter ref="A1:BV12" xr:uid="{A5D94D1B-C464-4416-9FC1-BFC80439ADB3}"/>
  <tableColumns count="74">
    <tableColumn id="1" xr3:uid="{29D2CB5E-420C-4D47-A545-A4BDF692C1F1}" uniqueName="1" name="name" queryTableFieldId="1" dataDxfId="238"/>
    <tableColumn id="2" xr3:uid="{0352DEE9-A2F6-4B8A-8599-04C147D10F35}" uniqueName="2" name="project" queryTableFieldId="2" dataDxfId="237"/>
    <tableColumn id="70" xr3:uid="{23A5CF1E-2DF6-4154-9133-1A1A589311EF}" uniqueName="70" name="location" queryTableFieldId="73" dataDxfId="236"/>
    <tableColumn id="3" xr3:uid="{BF6C5043-F72C-4AE8-9579-515A96C3E5DA}" uniqueName="3" name="rev" queryTableFieldId="3"/>
    <tableColumn id="71" xr3:uid="{281BECD5-38F5-441F-80DE-E14A6C423050}" uniqueName="71" name="diameter" queryTableFieldId="74"/>
    <tableColumn id="72" xr3:uid="{C4C7F507-18D4-48DB-81FF-FE0499811A72}" uniqueName="72" name="length" queryTableFieldId="75" dataDxfId="235"/>
    <tableColumn id="4" xr3:uid="{555920D1-D4C3-4246-B1CC-654778957766}" uniqueName="4" name="notes" queryTableFieldId="4" dataDxfId="234"/>
    <tableColumn id="5" xr3:uid="{3C8B1387-C128-40BC-85BE-2A2258FF5090}" uniqueName="5" name="soil_type" queryTableFieldId="71" dataDxfId="233"/>
    <tableColumn id="6" xr3:uid="{B120AA35-A36C-4373-9DD8-C12E4ADEA753}" uniqueName="6" name="y_u_F" queryTableFieldId="6" dataDxfId="232"/>
    <tableColumn id="7" xr3:uid="{F216CB51-7D8A-4CAB-B103-A97C18570B42}" uniqueName="7" name="y_u_1" queryTableFieldId="7"/>
    <tableColumn id="8" xr3:uid="{5E1A5A34-C7D5-48D2-BAD3-79BC8A9D391C}" uniqueName="8" name="y_u_2" queryTableFieldId="8"/>
    <tableColumn id="9" xr3:uid="{112929AD-B40A-4789-8296-7B68CCBFDDE0}" uniqueName="9" name="y_u_3" queryTableFieldId="9"/>
    <tableColumn id="10" xr3:uid="{680551A0-4AF1-4EBB-9E7D-EEC857EA75F2}" uniqueName="10" name="P_u_F" queryTableFieldId="10"/>
    <tableColumn id="11" xr3:uid="{F3BBDD09-25A5-42F9-A6B2-7DAB62EBE996}" uniqueName="11" name="P_u_1" queryTableFieldId="11"/>
    <tableColumn id="12" xr3:uid="{5A30FA74-7D9F-46F5-90FA-F4E1DF2A93FF}" uniqueName="12" name="P_u_2" queryTableFieldId="12"/>
    <tableColumn id="13" xr3:uid="{78B2B5CB-9ECA-4FDB-91F7-1F634917D704}" uniqueName="13" name="P_u_3" queryTableFieldId="13"/>
    <tableColumn id="14" xr3:uid="{270CE350-9AD3-4749-B160-D32D857A2B67}" uniqueName="14" name="k_p_F" queryTableFieldId="14"/>
    <tableColumn id="15" xr3:uid="{EFB57D74-123B-4233-84F3-3BCB7C1753E6}" uniqueName="15" name="k_p_1" queryTableFieldId="15"/>
    <tableColumn id="16" xr3:uid="{EDAAEEB7-95ED-43B7-B162-BB2F14472D2A}" uniqueName="16" name="k_p_2" queryTableFieldId="16"/>
    <tableColumn id="17" xr3:uid="{188E5B5E-BA0F-48CF-813A-359C90EE99CE}" uniqueName="17" name="k_p_3" queryTableFieldId="17"/>
    <tableColumn id="18" xr3:uid="{F2702E5B-57AD-4DB6-BF4D-3D45DAE92D22}" uniqueName="18" name="n_p_F" queryTableFieldId="18"/>
    <tableColumn id="19" xr3:uid="{9F339A91-F01E-477A-9BD4-6021B65377C7}" uniqueName="19" name="n_p_1" queryTableFieldId="19"/>
    <tableColumn id="20" xr3:uid="{35C5C7F8-D32B-41C6-A5DB-9860BC602402}" uniqueName="20" name="n_p_2" queryTableFieldId="20"/>
    <tableColumn id="21" xr3:uid="{9444C63A-7067-4DB0-ACC1-8841AC86F523}" uniqueName="21" name="n_p_3" queryTableFieldId="21" dataDxfId="231"/>
    <tableColumn id="22" xr3:uid="{DDF2E8CC-8F90-4165-A9DD-0C0446BC0AE9}" uniqueName="22" name="tetam_u_F" queryTableFieldId="22" dataDxfId="230"/>
    <tableColumn id="23" xr3:uid="{1E77899F-BAE1-4C69-80F2-8DD3F7568DDF}" uniqueName="23" name="tetam_u_1" queryTableFieldId="23"/>
    <tableColumn id="24" xr3:uid="{8D308B4D-3DA5-4226-BB61-05CF57C765B9}" uniqueName="24" name="tetam_u_2" queryTableFieldId="24"/>
    <tableColumn id="25" xr3:uid="{E20C4DD4-73B3-4F26-AC3B-9D9D9EFF8E78}" uniqueName="25" name="tetam_u_3" queryTableFieldId="25"/>
    <tableColumn id="26" xr3:uid="{B32D83B6-0288-4F5C-A136-04E35382EA9B}" uniqueName="26" name="m_u_F" queryTableFieldId="26"/>
    <tableColumn id="27" xr3:uid="{9D423EC6-DE48-4679-9597-F3276CF34ACB}" uniqueName="27" name="m_u_1" queryTableFieldId="27"/>
    <tableColumn id="28" xr3:uid="{E63D4EA9-AFF4-4F10-BD76-73B66327D646}" uniqueName="28" name="m_u_2" queryTableFieldId="28"/>
    <tableColumn id="29" xr3:uid="{AE39FD62-AC30-4947-9515-55E882298580}" uniqueName="29" name="m_u_3" queryTableFieldId="29"/>
    <tableColumn id="30" xr3:uid="{9A4FD6CD-D7C9-4734-AAE8-5901B9945529}" uniqueName="30" name="k_m_F" queryTableFieldId="30"/>
    <tableColumn id="31" xr3:uid="{992039A2-7A43-4053-91FB-393FC8A21838}" uniqueName="31" name="k_m_1" queryTableFieldId="31"/>
    <tableColumn id="32" xr3:uid="{455E7EA0-0676-45DB-AFD4-2840B99FC2D9}" uniqueName="32" name="k_m_2" queryTableFieldId="32"/>
    <tableColumn id="33" xr3:uid="{2033B71D-8E22-438E-AEC7-2179DACB00C1}" uniqueName="33" name="k_m_3" queryTableFieldId="33"/>
    <tableColumn id="34" xr3:uid="{E4640CC7-1D3F-4B35-B1FB-B0B13D9C234F}" uniqueName="34" name="n_m_F" queryTableFieldId="34"/>
    <tableColumn id="35" xr3:uid="{DE52FB47-D1FD-4A99-8C10-300D4340CCC5}" uniqueName="35" name="n_m_1" queryTableFieldId="35"/>
    <tableColumn id="36" xr3:uid="{36FE4889-19B2-4C9F-A9B5-B32DF16D65F4}" uniqueName="36" name="n_m_2" queryTableFieldId="36"/>
    <tableColumn id="37" xr3:uid="{179FEDBC-7CBD-4E61-B81D-9D8287FE871F}" uniqueName="37" name="n_m_3" queryTableFieldId="37" dataDxfId="229"/>
    <tableColumn id="38" xr3:uid="{AE0DC746-D8B2-43F4-92F2-2255EDBA42E9}" uniqueName="38" name="yB_u_F" queryTableFieldId="38" dataDxfId="228"/>
    <tableColumn id="39" xr3:uid="{85256E58-2BE5-4A2A-961E-25B1BCC64597}" uniqueName="39" name="yB_u_1" queryTableFieldId="39"/>
    <tableColumn id="40" xr3:uid="{B1B7DB1E-7CD8-4341-BD9F-49B9C802ACF7}" uniqueName="40" name="yB_u_2" queryTableFieldId="40"/>
    <tableColumn id="41" xr3:uid="{1D55B262-BBDF-4F68-BE52-1B486ABEEC6B}" uniqueName="41" name="yB_u_3" queryTableFieldId="41"/>
    <tableColumn id="42" xr3:uid="{05459AEB-AC03-427D-B292-12A58F711EE1}" uniqueName="42" name="HB_u_F" queryTableFieldId="42"/>
    <tableColumn id="43" xr3:uid="{38F792CC-B148-4C88-87C1-FEF3379753F8}" uniqueName="43" name="HB_u_1" queryTableFieldId="43"/>
    <tableColumn id="44" xr3:uid="{10043DD9-DCAC-42B6-9D0F-37A6E87B5A7C}" uniqueName="44" name="HB_u_2" queryTableFieldId="44"/>
    <tableColumn id="45" xr3:uid="{853E76CB-1E9E-49B9-8C2C-E83556DBB605}" uniqueName="45" name="HB_u_3" queryTableFieldId="45"/>
    <tableColumn id="46" xr3:uid="{26F1B2AF-4E4F-4A2F-AB67-5204DCB04E4B}" uniqueName="46" name="k_H_F" queryTableFieldId="46"/>
    <tableColumn id="47" xr3:uid="{42AA187C-9081-493A-A30F-619C8D441EEC}" uniqueName="47" name="k_H_1" queryTableFieldId="47"/>
    <tableColumn id="48" xr3:uid="{EED2CC40-60DF-4E31-9257-73B0B0A25150}" uniqueName="48" name="k_H_2" queryTableFieldId="48"/>
    <tableColumn id="49" xr3:uid="{935F2245-8DDF-4800-929C-17C28FEAE44E}" uniqueName="49" name="k_H_3" queryTableFieldId="49"/>
    <tableColumn id="50" xr3:uid="{0242F2C2-9F27-4765-AC99-237F7FC428D1}" uniqueName="50" name="n_H_F" queryTableFieldId="50"/>
    <tableColumn id="51" xr3:uid="{A69C6721-2C77-49B7-9E16-EDE6A2DC1700}" uniqueName="51" name="n_H_1" queryTableFieldId="51"/>
    <tableColumn id="52" xr3:uid="{A5984A85-B9E0-41CC-9B58-D05AA9EB0899}" uniqueName="52" name="n_H_2" queryTableFieldId="52"/>
    <tableColumn id="53" xr3:uid="{96286AD4-74C6-458F-BAE8-4ABA21984B68}" uniqueName="53" name="n_H_3" queryTableFieldId="53" dataDxfId="227"/>
    <tableColumn id="54" xr3:uid="{F50B2D1F-8054-4D43-9D9F-605E7F01705A}" uniqueName="54" name="tetaMb_u_F" queryTableFieldId="54" dataDxfId="226"/>
    <tableColumn id="55" xr3:uid="{4DF2BB46-E47B-4F14-8EB3-00D74441A4D7}" uniqueName="55" name="tetaMb_u_1" queryTableFieldId="55"/>
    <tableColumn id="56" xr3:uid="{6053AAEA-E445-4BD5-9029-462DCE4E8CE0}" uniqueName="56" name="tetaMb_u_2" queryTableFieldId="56"/>
    <tableColumn id="57" xr3:uid="{1461223C-4327-449E-A074-0E47BB8252B0}" uniqueName="57" name="tetaMb_u_3" queryTableFieldId="57"/>
    <tableColumn id="58" xr3:uid="{0474068F-F718-4EA6-9974-BCAD0E309E0A}" uniqueName="58" name="MB_u_F" queryTableFieldId="58"/>
    <tableColumn id="59" xr3:uid="{EDEEBFF7-9D2A-47F7-A2FC-7619D4867EB4}" uniqueName="59" name="MB_u_1" queryTableFieldId="59"/>
    <tableColumn id="60" xr3:uid="{A34154C3-978C-439B-93E2-A790C70F7590}" uniqueName="60" name="MB_u_2" queryTableFieldId="60"/>
    <tableColumn id="61" xr3:uid="{26C0C07C-9898-41FE-9E7C-4D4A4796F51A}" uniqueName="61" name="MB_u_3" queryTableFieldId="61"/>
    <tableColumn id="62" xr3:uid="{67E10F69-6734-43DA-B805-754B4BDD67A5}" uniqueName="62" name="k_Mb_F" queryTableFieldId="62"/>
    <tableColumn id="63" xr3:uid="{C2ADB237-1932-4C0E-AA09-1EA8FBDC6A09}" uniqueName="63" name="k_Mb_1" queryTableFieldId="63"/>
    <tableColumn id="64" xr3:uid="{42F3F71C-D0B5-4A11-885D-3DF9A7FF701C}" uniqueName="64" name="k_Mb_2" queryTableFieldId="64"/>
    <tableColumn id="65" xr3:uid="{4F69572F-8672-4B54-BBAB-D73E7C86A634}" uniqueName="65" name="k_Mb_3" queryTableFieldId="65"/>
    <tableColumn id="66" xr3:uid="{21216BF0-CDCD-42E4-BCBB-05E3616876DC}" uniqueName="66" name="n_Mb_F" queryTableFieldId="66"/>
    <tableColumn id="67" xr3:uid="{61E7A889-4B30-4F27-9859-66372D787C04}" uniqueName="67" name="n_Mb_1" queryTableFieldId="67"/>
    <tableColumn id="68" xr3:uid="{30048036-5AC3-4DD4-8E35-A2866DD184D7}" uniqueName="68" name="n_Mb_2" queryTableFieldId="68"/>
    <tableColumn id="69" xr3:uid="{6F3C674B-0C72-49E7-A5F3-E51C90CADC05}" uniqueName="69" name="n_Mb_3" queryTableFieldId="69" dataDxfId="225"/>
    <tableColumn id="73" xr3:uid="{7F7595CC-9CAA-4AAD-9334-8C8C80E205C7}" uniqueName="73" name="preparer" queryTableFieldId="76" dataDxfId="224"/>
    <tableColumn id="74" xr3:uid="{2B2245A3-98F1-41AC-A071-CEB18F3D2C6B}" uniqueName="74" name="timestamp" queryTableFieldId="77" dataDxfId="22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8ED65-2C5D-4F5E-8114-0FA57DCD0D77}">
  <sheetPr codeName="Sheet2"/>
  <dimension ref="B1:BE104"/>
  <sheetViews>
    <sheetView zoomScaleNormal="100" workbookViewId="0">
      <selection activeCell="E44" sqref="E44"/>
    </sheetView>
  </sheetViews>
  <sheetFormatPr defaultColWidth="9.109375" defaultRowHeight="11.4" x14ac:dyDescent="0.2"/>
  <cols>
    <col min="1" max="1" width="9.109375" style="2"/>
    <col min="2" max="2" width="37" style="2" bestFit="1" customWidth="1"/>
    <col min="3" max="3" width="30" style="2" customWidth="1"/>
    <col min="4" max="4" width="6.33203125" style="2" customWidth="1"/>
    <col min="5" max="5" width="15" style="2" customWidth="1"/>
    <col min="6" max="7" width="15.44140625" style="2" customWidth="1"/>
    <col min="8" max="8" width="16.5546875" style="2" customWidth="1"/>
    <col min="9" max="10" width="16" style="2" customWidth="1"/>
    <col min="11" max="11" width="11.88671875" style="2" customWidth="1"/>
    <col min="12" max="12" width="11.109375" style="2" customWidth="1"/>
    <col min="13" max="13" width="9.88671875" style="2" bestFit="1" customWidth="1"/>
    <col min="14" max="14" width="13.88671875" style="2" bestFit="1" customWidth="1"/>
    <col min="15" max="15" width="13.109375" style="2" bestFit="1" customWidth="1"/>
    <col min="16" max="16" width="9.6640625" style="2" bestFit="1" customWidth="1"/>
    <col min="17" max="17" width="9.33203125" style="2" bestFit="1" customWidth="1"/>
    <col min="18" max="18" width="9.109375" style="2"/>
    <col min="19" max="19" width="8" style="2" bestFit="1" customWidth="1"/>
    <col min="20" max="20" width="11.6640625" style="2" bestFit="1" customWidth="1"/>
    <col min="21" max="21" width="9.109375" style="2"/>
    <col min="22" max="22" width="6.88671875" style="2" bestFit="1" customWidth="1"/>
    <col min="23" max="24" width="11.44140625" style="2" customWidth="1"/>
    <col min="25" max="25" width="9.44140625" style="2" customWidth="1"/>
    <col min="26" max="26" width="10.88671875" style="2" customWidth="1"/>
    <col min="27" max="27" width="8.6640625" style="2" customWidth="1"/>
    <col min="28" max="39" width="9.88671875" style="2" customWidth="1"/>
    <col min="40" max="40" width="9.109375" style="2"/>
    <col min="41" max="41" width="9.5546875" style="2" bestFit="1" customWidth="1"/>
    <col min="42" max="42" width="9.109375" style="2"/>
    <col min="43" max="43" width="13.88671875" style="2" bestFit="1" customWidth="1"/>
    <col min="44" max="44" width="9.6640625" style="2" bestFit="1" customWidth="1"/>
    <col min="45" max="50" width="9.109375" style="2"/>
    <col min="51" max="51" width="12.109375" style="2" bestFit="1" customWidth="1"/>
    <col min="52" max="16384" width="9.109375" style="2"/>
  </cols>
  <sheetData>
    <row r="1" spans="2:54" ht="12" thickBot="1" x14ac:dyDescent="0.25"/>
    <row r="2" spans="2:54" ht="15.75" customHeight="1" thickBot="1" x14ac:dyDescent="0.25">
      <c r="B2" s="223" t="s">
        <v>77</v>
      </c>
      <c r="C2" s="224"/>
      <c r="K2" s="113" t="s">
        <v>78</v>
      </c>
      <c r="L2" s="114"/>
      <c r="M2" s="114"/>
      <c r="N2" s="114"/>
      <c r="O2" s="114"/>
      <c r="P2" s="114"/>
      <c r="Q2" s="114"/>
      <c r="R2" s="114"/>
      <c r="S2" s="114"/>
      <c r="T2" s="114"/>
      <c r="U2" s="115"/>
      <c r="W2" s="228" t="s">
        <v>456</v>
      </c>
      <c r="X2" s="229"/>
      <c r="Y2" s="229"/>
      <c r="Z2" s="229"/>
      <c r="AA2" s="229"/>
      <c r="AB2" s="229"/>
      <c r="AC2" s="229"/>
      <c r="AD2" s="229"/>
      <c r="AE2" s="229"/>
      <c r="AF2" s="229"/>
      <c r="AG2" s="229"/>
      <c r="AH2" s="229"/>
      <c r="AI2" s="229"/>
      <c r="AJ2" s="229"/>
      <c r="AK2" s="229"/>
      <c r="AL2" s="230"/>
      <c r="AN2" s="225" t="s">
        <v>79</v>
      </c>
      <c r="AO2" s="226"/>
      <c r="AP2" s="226"/>
      <c r="AQ2" s="226"/>
      <c r="AR2" s="226"/>
      <c r="AS2" s="226"/>
      <c r="AT2" s="226"/>
      <c r="AU2" s="226"/>
      <c r="AV2" s="226"/>
      <c r="AW2" s="227"/>
    </row>
    <row r="3" spans="2:54" ht="13.5" customHeight="1" thickBot="1" x14ac:dyDescent="0.25">
      <c r="B3" s="104" t="s">
        <v>80</v>
      </c>
      <c r="C3" s="105" t="s">
        <v>184</v>
      </c>
      <c r="E3" s="146" t="s">
        <v>455</v>
      </c>
      <c r="F3" s="147" t="s">
        <v>450</v>
      </c>
      <c r="G3" s="148" t="s">
        <v>237</v>
      </c>
      <c r="H3" s="149" t="s">
        <v>436</v>
      </c>
      <c r="I3" s="149" t="s">
        <v>238</v>
      </c>
      <c r="J3" s="149" t="s">
        <v>437</v>
      </c>
      <c r="K3" s="150" t="s">
        <v>82</v>
      </c>
      <c r="L3" s="99" t="s">
        <v>90</v>
      </c>
      <c r="M3" s="99" t="s">
        <v>153</v>
      </c>
      <c r="N3" s="99" t="s">
        <v>158</v>
      </c>
      <c r="O3" s="99" t="s">
        <v>159</v>
      </c>
      <c r="P3" s="99" t="s">
        <v>155</v>
      </c>
      <c r="Q3" s="99" t="s">
        <v>156</v>
      </c>
      <c r="R3" s="99" t="s">
        <v>161</v>
      </c>
      <c r="S3" s="99" t="s">
        <v>180</v>
      </c>
      <c r="T3" s="99" t="s">
        <v>180</v>
      </c>
      <c r="U3" s="100" t="s">
        <v>180</v>
      </c>
      <c r="V3" s="39"/>
      <c r="W3" s="116" t="s">
        <v>91</v>
      </c>
      <c r="X3" s="116" t="s">
        <v>92</v>
      </c>
      <c r="Y3" s="116" t="s">
        <v>93</v>
      </c>
      <c r="Z3" s="116" t="s">
        <v>94</v>
      </c>
      <c r="AA3" s="116" t="s">
        <v>95</v>
      </c>
      <c r="AB3" s="116" t="s">
        <v>96</v>
      </c>
      <c r="AC3" s="116" t="s">
        <v>97</v>
      </c>
      <c r="AD3" s="116" t="s">
        <v>98</v>
      </c>
      <c r="AE3" s="116" t="s">
        <v>99</v>
      </c>
      <c r="AF3" s="116" t="s">
        <v>100</v>
      </c>
      <c r="AG3" s="116" t="s">
        <v>101</v>
      </c>
      <c r="AH3" s="116" t="s">
        <v>102</v>
      </c>
      <c r="AI3" s="116" t="s">
        <v>103</v>
      </c>
      <c r="AJ3" s="116" t="s">
        <v>104</v>
      </c>
      <c r="AK3" s="116" t="s">
        <v>105</v>
      </c>
      <c r="AL3" s="116" t="s">
        <v>106</v>
      </c>
      <c r="AN3" s="129" t="s">
        <v>82</v>
      </c>
      <c r="AO3" s="130" t="s">
        <v>180</v>
      </c>
      <c r="AP3" s="130" t="s">
        <v>180</v>
      </c>
      <c r="AQ3" s="130" t="s">
        <v>180</v>
      </c>
      <c r="AR3" s="130" t="s">
        <v>180</v>
      </c>
      <c r="AS3" s="130" t="s">
        <v>180</v>
      </c>
      <c r="AT3" s="130" t="s">
        <v>180</v>
      </c>
      <c r="AU3" s="130" t="s">
        <v>180</v>
      </c>
      <c r="AV3" s="130" t="s">
        <v>180</v>
      </c>
      <c r="AW3" s="131" t="s">
        <v>180</v>
      </c>
      <c r="AZ3" s="2" t="s">
        <v>136</v>
      </c>
      <c r="BA3" s="2" t="s">
        <v>84</v>
      </c>
      <c r="BB3" s="2" t="s">
        <v>86</v>
      </c>
    </row>
    <row r="4" spans="2:54" ht="15" thickBot="1" x14ac:dyDescent="0.25">
      <c r="B4" s="106" t="s">
        <v>112</v>
      </c>
      <c r="C4" s="107" t="s">
        <v>465</v>
      </c>
      <c r="E4" s="144">
        <v>1</v>
      </c>
      <c r="F4" s="169" t="s">
        <v>1872</v>
      </c>
      <c r="G4" s="143" t="s">
        <v>409</v>
      </c>
      <c r="H4" s="143" t="s">
        <v>449</v>
      </c>
      <c r="I4" s="50">
        <v>7</v>
      </c>
      <c r="J4" s="169" t="s">
        <v>1872</v>
      </c>
      <c r="K4" s="145">
        <v>1</v>
      </c>
      <c r="L4" s="199"/>
      <c r="M4" s="199"/>
      <c r="N4" s="199"/>
      <c r="O4" s="23"/>
      <c r="P4" s="23"/>
      <c r="Q4" s="23"/>
      <c r="R4" s="42"/>
      <c r="S4" s="42"/>
      <c r="T4" s="42"/>
      <c r="U4" s="87"/>
      <c r="W4" s="117"/>
      <c r="X4" s="118"/>
      <c r="Y4" s="118"/>
      <c r="Z4" s="118"/>
      <c r="AA4" s="118"/>
      <c r="AB4" s="118"/>
      <c r="AC4" s="118"/>
      <c r="AD4" s="118"/>
      <c r="AE4" s="118"/>
      <c r="AF4" s="118"/>
      <c r="AG4" s="118"/>
      <c r="AH4" s="118"/>
      <c r="AI4" s="118"/>
      <c r="AJ4" s="118"/>
      <c r="AK4" s="118"/>
      <c r="AL4" s="119"/>
      <c r="AN4" s="90">
        <f>IF(K4="","",K4)</f>
        <v>1</v>
      </c>
      <c r="AO4" s="132"/>
      <c r="AP4" s="132"/>
      <c r="AQ4" s="132"/>
      <c r="AR4" s="132"/>
      <c r="AS4" s="132"/>
      <c r="AT4" s="132"/>
      <c r="AU4" s="132"/>
      <c r="AV4" s="132"/>
      <c r="AW4" s="133"/>
      <c r="AY4" s="2" t="s">
        <v>531</v>
      </c>
      <c r="AZ4" s="2">
        <v>5.6372</v>
      </c>
      <c r="BA4" s="2">
        <v>31.622599999999998</v>
      </c>
      <c r="BB4" s="2">
        <v>0</v>
      </c>
    </row>
    <row r="5" spans="2:54" ht="15" thickBot="1" x14ac:dyDescent="0.25">
      <c r="B5" s="108" t="s">
        <v>107</v>
      </c>
      <c r="C5" s="109" t="s">
        <v>108</v>
      </c>
      <c r="E5" s="86">
        <v>1</v>
      </c>
      <c r="F5" s="169" t="s">
        <v>1873</v>
      </c>
      <c r="G5" s="93" t="s">
        <v>409</v>
      </c>
      <c r="H5" s="93" t="s">
        <v>449</v>
      </c>
      <c r="I5" s="50">
        <v>7</v>
      </c>
      <c r="J5" s="169" t="s">
        <v>1873</v>
      </c>
      <c r="K5" s="92">
        <f>1+K4</f>
        <v>2</v>
      </c>
      <c r="L5" s="199"/>
      <c r="M5" s="199"/>
      <c r="N5" s="199"/>
      <c r="O5" s="23"/>
      <c r="P5" s="23"/>
      <c r="Q5" s="23"/>
      <c r="R5" s="42"/>
      <c r="S5" s="42"/>
      <c r="T5" s="42"/>
      <c r="U5" s="87"/>
      <c r="W5" s="117"/>
      <c r="X5" s="118"/>
      <c r="Y5" s="118"/>
      <c r="Z5" s="118"/>
      <c r="AA5" s="118"/>
      <c r="AB5" s="118"/>
      <c r="AC5" s="118"/>
      <c r="AD5" s="118"/>
      <c r="AE5" s="118"/>
      <c r="AF5" s="118"/>
      <c r="AG5" s="118"/>
      <c r="AH5" s="118"/>
      <c r="AI5" s="118"/>
      <c r="AJ5" s="118"/>
      <c r="AK5" s="118"/>
      <c r="AL5" s="119"/>
      <c r="AN5" s="7">
        <f t="shared" ref="AN5:AN28" si="0">IF(K5="","",K5)</f>
        <v>2</v>
      </c>
      <c r="AO5" s="134"/>
      <c r="AP5" s="134"/>
      <c r="AQ5" s="134"/>
      <c r="AR5" s="134"/>
      <c r="AS5" s="134"/>
      <c r="AT5" s="134"/>
      <c r="AU5" s="134"/>
      <c r="AV5" s="134"/>
      <c r="AW5" s="135"/>
      <c r="AY5" s="2" t="s">
        <v>534</v>
      </c>
      <c r="AZ5" s="2">
        <v>-76.052800000000005</v>
      </c>
      <c r="BA5" s="2">
        <v>14.143800000000001</v>
      </c>
      <c r="BB5" s="2">
        <v>0</v>
      </c>
    </row>
    <row r="6" spans="2:54" ht="15" thickBot="1" x14ac:dyDescent="0.25">
      <c r="B6" s="106" t="s">
        <v>109</v>
      </c>
      <c r="C6" s="107" t="s">
        <v>110</v>
      </c>
      <c r="E6" s="144">
        <v>1</v>
      </c>
      <c r="F6" s="169" t="s">
        <v>1874</v>
      </c>
      <c r="G6" s="93" t="s">
        <v>409</v>
      </c>
      <c r="H6" s="93" t="s">
        <v>449</v>
      </c>
      <c r="I6" s="50">
        <v>7</v>
      </c>
      <c r="J6" s="169" t="s">
        <v>1874</v>
      </c>
      <c r="K6" s="92">
        <f t="shared" ref="K6:K24" si="1">1+K5</f>
        <v>3</v>
      </c>
      <c r="L6" s="199"/>
      <c r="M6" s="199"/>
      <c r="N6" s="199"/>
      <c r="O6" s="23"/>
      <c r="P6" s="23"/>
      <c r="Q6" s="23"/>
      <c r="R6" s="42"/>
      <c r="S6" s="42"/>
      <c r="T6" s="42"/>
      <c r="U6" s="87"/>
      <c r="W6" s="117"/>
      <c r="X6" s="118"/>
      <c r="Y6" s="118"/>
      <c r="Z6" s="118"/>
      <c r="AA6" s="118"/>
      <c r="AB6" s="118"/>
      <c r="AC6" s="118"/>
      <c r="AD6" s="118"/>
      <c r="AE6" s="118"/>
      <c r="AF6" s="118"/>
      <c r="AG6" s="118"/>
      <c r="AH6" s="118"/>
      <c r="AI6" s="118"/>
      <c r="AJ6" s="118"/>
      <c r="AK6" s="118"/>
      <c r="AL6" s="119"/>
      <c r="AN6" s="7">
        <f t="shared" si="0"/>
        <v>3</v>
      </c>
      <c r="AO6" s="134"/>
      <c r="AP6" s="134"/>
      <c r="AQ6" s="134"/>
      <c r="AR6" s="134"/>
      <c r="AS6" s="134"/>
      <c r="AT6" s="134"/>
      <c r="AU6" s="134"/>
      <c r="AV6" s="134"/>
      <c r="AW6" s="135"/>
      <c r="AY6" s="2" t="s">
        <v>536</v>
      </c>
      <c r="AZ6" s="2">
        <v>-46.770099999999999</v>
      </c>
      <c r="BA6" s="2">
        <v>7.0601000000000003</v>
      </c>
      <c r="BB6" s="2">
        <v>0</v>
      </c>
    </row>
    <row r="7" spans="2:54" ht="15" thickBot="1" x14ac:dyDescent="0.25">
      <c r="B7" s="106" t="s">
        <v>111</v>
      </c>
      <c r="C7" s="107" t="s">
        <v>209</v>
      </c>
      <c r="E7" s="86">
        <v>1</v>
      </c>
      <c r="F7" s="169" t="s">
        <v>1875</v>
      </c>
      <c r="G7" s="93" t="s">
        <v>409</v>
      </c>
      <c r="H7" s="93" t="s">
        <v>449</v>
      </c>
      <c r="I7" s="50">
        <v>7</v>
      </c>
      <c r="J7" s="169" t="s">
        <v>1875</v>
      </c>
      <c r="K7" s="92">
        <f t="shared" si="1"/>
        <v>4</v>
      </c>
      <c r="L7" s="199"/>
      <c r="M7" s="199"/>
      <c r="N7" s="199"/>
      <c r="O7" s="23"/>
      <c r="P7" s="23"/>
      <c r="Q7" s="23"/>
      <c r="R7" s="42"/>
      <c r="S7" s="42"/>
      <c r="T7" s="42"/>
      <c r="U7" s="87"/>
      <c r="W7" s="117"/>
      <c r="X7" s="118"/>
      <c r="Y7" s="118"/>
      <c r="Z7" s="118"/>
      <c r="AA7" s="118"/>
      <c r="AB7" s="118"/>
      <c r="AC7" s="118"/>
      <c r="AD7" s="118"/>
      <c r="AE7" s="118"/>
      <c r="AF7" s="118"/>
      <c r="AG7" s="118"/>
      <c r="AH7" s="118"/>
      <c r="AI7" s="118"/>
      <c r="AJ7" s="118"/>
      <c r="AK7" s="118"/>
      <c r="AL7" s="119"/>
      <c r="AN7" s="7">
        <f t="shared" si="0"/>
        <v>4</v>
      </c>
      <c r="AO7" s="134"/>
      <c r="AP7" s="134"/>
      <c r="AQ7" s="134"/>
      <c r="AR7" s="134"/>
      <c r="AS7" s="134"/>
      <c r="AT7" s="134"/>
      <c r="AU7" s="134"/>
      <c r="AV7" s="134"/>
      <c r="AW7" s="135"/>
      <c r="AY7" s="2" t="s">
        <v>538</v>
      </c>
      <c r="AZ7" s="2">
        <v>14.9549</v>
      </c>
      <c r="BA7" s="2">
        <v>-6.5117000000000003</v>
      </c>
      <c r="BB7" s="2">
        <v>-1.3787</v>
      </c>
    </row>
    <row r="8" spans="2:54" ht="15" thickBot="1" x14ac:dyDescent="0.25">
      <c r="B8" s="106" t="s">
        <v>112</v>
      </c>
      <c r="C8" s="107" t="s">
        <v>113</v>
      </c>
      <c r="E8" s="144">
        <v>1</v>
      </c>
      <c r="F8" s="169" t="s">
        <v>1875</v>
      </c>
      <c r="G8" s="93" t="s">
        <v>409</v>
      </c>
      <c r="H8" s="93" t="s">
        <v>449</v>
      </c>
      <c r="I8" s="50">
        <v>7</v>
      </c>
      <c r="J8" s="169" t="s">
        <v>1875</v>
      </c>
      <c r="K8" s="92">
        <f t="shared" si="1"/>
        <v>5</v>
      </c>
      <c r="L8" s="199"/>
      <c r="M8" s="199"/>
      <c r="N8" s="199"/>
      <c r="O8" s="23"/>
      <c r="P8" s="23"/>
      <c r="Q8" s="23"/>
      <c r="R8" s="42"/>
      <c r="S8" s="42"/>
      <c r="T8" s="42"/>
      <c r="U8" s="87"/>
      <c r="W8" s="117"/>
      <c r="X8" s="118"/>
      <c r="Y8" s="118"/>
      <c r="Z8" s="118"/>
      <c r="AA8" s="118"/>
      <c r="AB8" s="118"/>
      <c r="AC8" s="118"/>
      <c r="AD8" s="118"/>
      <c r="AE8" s="118"/>
      <c r="AF8" s="118"/>
      <c r="AG8" s="118"/>
      <c r="AH8" s="118"/>
      <c r="AI8" s="118"/>
      <c r="AJ8" s="118"/>
      <c r="AK8" s="118"/>
      <c r="AL8" s="119"/>
      <c r="AN8" s="7">
        <f t="shared" si="0"/>
        <v>5</v>
      </c>
      <c r="AO8" s="134"/>
      <c r="AP8" s="134"/>
      <c r="AQ8" s="136"/>
      <c r="AR8" s="136"/>
      <c r="AS8" s="134"/>
      <c r="AT8" s="134"/>
      <c r="AU8" s="134"/>
      <c r="AV8" s="134"/>
      <c r="AW8" s="135"/>
      <c r="AY8" s="2" t="s">
        <v>539</v>
      </c>
      <c r="AZ8" s="2">
        <v>11.7437</v>
      </c>
      <c r="BA8" s="2">
        <v>-8.3046000000000006</v>
      </c>
      <c r="BB8" s="2">
        <v>-0.33</v>
      </c>
    </row>
    <row r="9" spans="2:54" ht="15" thickBot="1" x14ac:dyDescent="0.25">
      <c r="B9" s="110" t="s">
        <v>114</v>
      </c>
      <c r="C9" s="111" t="s">
        <v>115</v>
      </c>
      <c r="E9" s="86">
        <v>1</v>
      </c>
      <c r="F9" s="169" t="s">
        <v>1876</v>
      </c>
      <c r="G9" s="93" t="s">
        <v>409</v>
      </c>
      <c r="H9" s="93" t="s">
        <v>449</v>
      </c>
      <c r="I9" s="50">
        <v>7</v>
      </c>
      <c r="J9" s="169" t="s">
        <v>1876</v>
      </c>
      <c r="K9" s="92">
        <f t="shared" si="1"/>
        <v>6</v>
      </c>
      <c r="L9" s="199"/>
      <c r="M9" s="199"/>
      <c r="N9" s="199"/>
      <c r="O9" s="23"/>
      <c r="P9" s="23"/>
      <c r="Q9" s="23"/>
      <c r="R9" s="42"/>
      <c r="S9" s="42"/>
      <c r="T9" s="42"/>
      <c r="U9" s="87"/>
      <c r="W9" s="117"/>
      <c r="X9" s="118"/>
      <c r="Y9" s="118"/>
      <c r="Z9" s="118"/>
      <c r="AA9" s="118"/>
      <c r="AB9" s="118"/>
      <c r="AC9" s="118"/>
      <c r="AD9" s="118"/>
      <c r="AE9" s="118"/>
      <c r="AF9" s="118"/>
      <c r="AG9" s="118"/>
      <c r="AH9" s="118"/>
      <c r="AI9" s="118"/>
      <c r="AJ9" s="118"/>
      <c r="AK9" s="118"/>
      <c r="AL9" s="119"/>
      <c r="AN9" s="7">
        <f t="shared" si="0"/>
        <v>6</v>
      </c>
      <c r="AO9" s="134"/>
      <c r="AP9" s="134"/>
      <c r="AQ9" s="134"/>
      <c r="AR9" s="134"/>
      <c r="AS9" s="134"/>
      <c r="AT9" s="134"/>
      <c r="AU9" s="134"/>
      <c r="AV9" s="134"/>
      <c r="AW9" s="135"/>
      <c r="AY9" s="2" t="s">
        <v>541</v>
      </c>
      <c r="AZ9" s="2">
        <v>-2.5522</v>
      </c>
      <c r="BA9" s="2">
        <v>4.5678999999999998</v>
      </c>
      <c r="BB9" s="2">
        <v>0</v>
      </c>
    </row>
    <row r="10" spans="2:54" ht="15" thickBot="1" x14ac:dyDescent="0.25">
      <c r="B10" s="223" t="s">
        <v>380</v>
      </c>
      <c r="C10" s="224"/>
      <c r="E10" s="144">
        <v>1</v>
      </c>
      <c r="F10" s="169" t="s">
        <v>1876</v>
      </c>
      <c r="G10" s="93" t="s">
        <v>409</v>
      </c>
      <c r="H10" s="93" t="s">
        <v>449</v>
      </c>
      <c r="I10" s="50">
        <v>7</v>
      </c>
      <c r="J10" s="169" t="s">
        <v>1876</v>
      </c>
      <c r="K10" s="92">
        <f t="shared" si="1"/>
        <v>7</v>
      </c>
      <c r="L10" s="199"/>
      <c r="M10" s="199"/>
      <c r="N10" s="199"/>
      <c r="O10" s="23"/>
      <c r="P10" s="23"/>
      <c r="Q10" s="23"/>
      <c r="R10" s="42"/>
      <c r="S10" s="42"/>
      <c r="T10" s="42"/>
      <c r="U10" s="87"/>
      <c r="W10" s="117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  <c r="AH10" s="118"/>
      <c r="AI10" s="118"/>
      <c r="AJ10" s="118"/>
      <c r="AK10" s="118"/>
      <c r="AL10" s="119"/>
      <c r="AN10" s="7">
        <f t="shared" si="0"/>
        <v>7</v>
      </c>
      <c r="AO10" s="134"/>
      <c r="AP10" s="134"/>
      <c r="AQ10" s="134"/>
      <c r="AR10" s="134"/>
      <c r="AS10" s="134"/>
      <c r="AT10" s="134"/>
      <c r="AU10" s="134"/>
      <c r="AV10" s="134"/>
      <c r="AW10" s="135"/>
      <c r="AY10" s="2" t="s">
        <v>542</v>
      </c>
      <c r="AZ10" s="2">
        <v>-2.5522</v>
      </c>
      <c r="BA10" s="2">
        <v>4.5678999999999998</v>
      </c>
      <c r="BB10" s="2">
        <v>0</v>
      </c>
    </row>
    <row r="11" spans="2:54" ht="15" thickBot="1" x14ac:dyDescent="0.25">
      <c r="B11" s="105" t="s">
        <v>194</v>
      </c>
      <c r="C11" s="105" t="s">
        <v>184</v>
      </c>
      <c r="E11" s="86">
        <v>1</v>
      </c>
      <c r="F11" s="169" t="s">
        <v>1877</v>
      </c>
      <c r="G11" s="93" t="s">
        <v>409</v>
      </c>
      <c r="H11" s="93" t="s">
        <v>449</v>
      </c>
      <c r="I11" s="50">
        <v>7</v>
      </c>
      <c r="J11" s="169" t="s">
        <v>1877</v>
      </c>
      <c r="K11" s="92">
        <f t="shared" si="1"/>
        <v>8</v>
      </c>
      <c r="L11" s="199"/>
      <c r="M11" s="199"/>
      <c r="N11" s="199"/>
      <c r="O11" s="23"/>
      <c r="P11" s="23"/>
      <c r="Q11" s="23"/>
      <c r="R11" s="42"/>
      <c r="S11" s="42"/>
      <c r="T11" s="42"/>
      <c r="U11" s="87"/>
      <c r="W11" s="117"/>
      <c r="X11" s="118"/>
      <c r="Y11" s="118"/>
      <c r="Z11" s="118"/>
      <c r="AA11" s="118"/>
      <c r="AB11" s="118"/>
      <c r="AC11" s="118"/>
      <c r="AD11" s="118"/>
      <c r="AE11" s="118"/>
      <c r="AF11" s="118"/>
      <c r="AG11" s="118"/>
      <c r="AH11" s="118"/>
      <c r="AI11" s="118"/>
      <c r="AJ11" s="118"/>
      <c r="AK11" s="118"/>
      <c r="AL11" s="119"/>
      <c r="AN11" s="7">
        <f t="shared" si="0"/>
        <v>8</v>
      </c>
      <c r="AO11" s="134"/>
      <c r="AP11" s="134"/>
      <c r="AQ11" s="134"/>
      <c r="AR11" s="134"/>
      <c r="AS11" s="134"/>
      <c r="AT11" s="134"/>
      <c r="AU11" s="134"/>
      <c r="AV11" s="134"/>
      <c r="AW11" s="135"/>
      <c r="AY11" s="2" t="s">
        <v>545</v>
      </c>
      <c r="AZ11" s="2">
        <v>-2.5522</v>
      </c>
      <c r="BA11" s="2">
        <v>4.5678999999999998</v>
      </c>
      <c r="BB11" s="2">
        <v>0</v>
      </c>
    </row>
    <row r="12" spans="2:54" ht="15" thickBot="1" x14ac:dyDescent="0.25">
      <c r="B12" s="107" t="s">
        <v>195</v>
      </c>
      <c r="C12" s="107" t="s">
        <v>184</v>
      </c>
      <c r="E12" s="144">
        <v>1</v>
      </c>
      <c r="F12" s="169" t="s">
        <v>1879</v>
      </c>
      <c r="G12" s="93" t="s">
        <v>409</v>
      </c>
      <c r="H12" s="93" t="s">
        <v>449</v>
      </c>
      <c r="I12" s="50">
        <v>7</v>
      </c>
      <c r="J12" s="169" t="s">
        <v>1879</v>
      </c>
      <c r="K12" s="92">
        <f t="shared" si="1"/>
        <v>9</v>
      </c>
      <c r="L12" s="200"/>
      <c r="M12" s="199"/>
      <c r="N12" s="199"/>
      <c r="O12" s="23"/>
      <c r="P12" s="23"/>
      <c r="Q12" s="23"/>
      <c r="R12" s="42"/>
      <c r="S12" s="42"/>
      <c r="T12" s="42"/>
      <c r="U12" s="87"/>
      <c r="W12" s="117"/>
      <c r="X12" s="118"/>
      <c r="Y12" s="118"/>
      <c r="Z12" s="118"/>
      <c r="AA12" s="118"/>
      <c r="AB12" s="118"/>
      <c r="AC12" s="118"/>
      <c r="AD12" s="118"/>
      <c r="AE12" s="118"/>
      <c r="AF12" s="118"/>
      <c r="AG12" s="118"/>
      <c r="AH12" s="118"/>
      <c r="AI12" s="118"/>
      <c r="AJ12" s="118"/>
      <c r="AK12" s="118"/>
      <c r="AL12" s="119"/>
      <c r="AN12" s="7">
        <f t="shared" si="0"/>
        <v>9</v>
      </c>
      <c r="AO12" s="134"/>
      <c r="AP12" s="134"/>
      <c r="AQ12" s="134"/>
      <c r="AR12" s="134"/>
      <c r="AS12" s="134"/>
      <c r="AT12" s="134"/>
      <c r="AU12" s="134"/>
      <c r="AV12" s="134"/>
      <c r="AW12" s="135"/>
      <c r="AY12" s="2" t="s">
        <v>542</v>
      </c>
      <c r="AZ12" s="2">
        <v>-11.478300000000001</v>
      </c>
      <c r="BA12" s="2">
        <v>7.9585999999999997</v>
      </c>
      <c r="BB12" s="2">
        <v>0</v>
      </c>
    </row>
    <row r="13" spans="2:54" ht="15" thickBot="1" x14ac:dyDescent="0.25">
      <c r="B13" s="111" t="s">
        <v>196</v>
      </c>
      <c r="C13" s="111" t="s">
        <v>184</v>
      </c>
      <c r="E13" s="86">
        <v>1</v>
      </c>
      <c r="F13" s="169" t="s">
        <v>1879</v>
      </c>
      <c r="G13" s="93" t="s">
        <v>409</v>
      </c>
      <c r="H13" s="93" t="s">
        <v>449</v>
      </c>
      <c r="I13" s="50">
        <v>7</v>
      </c>
      <c r="J13" s="169" t="s">
        <v>1879</v>
      </c>
      <c r="K13" s="92">
        <f t="shared" si="1"/>
        <v>10</v>
      </c>
      <c r="L13" s="200"/>
      <c r="M13" s="199"/>
      <c r="N13" s="199"/>
      <c r="O13" s="23"/>
      <c r="P13" s="23"/>
      <c r="Q13" s="23"/>
      <c r="R13" s="42"/>
      <c r="S13" s="42"/>
      <c r="T13" s="42"/>
      <c r="U13" s="87"/>
      <c r="W13" s="117"/>
      <c r="X13" s="118"/>
      <c r="Y13" s="118"/>
      <c r="Z13" s="118"/>
      <c r="AA13" s="118"/>
      <c r="AB13" s="118"/>
      <c r="AC13" s="118"/>
      <c r="AD13" s="118"/>
      <c r="AE13" s="118"/>
      <c r="AF13" s="118"/>
      <c r="AG13" s="118"/>
      <c r="AH13" s="118"/>
      <c r="AI13" s="118"/>
      <c r="AJ13" s="118"/>
      <c r="AK13" s="118"/>
      <c r="AL13" s="119"/>
      <c r="AN13" s="7">
        <f t="shared" si="0"/>
        <v>10</v>
      </c>
      <c r="AO13" s="134"/>
      <c r="AP13" s="134"/>
      <c r="AQ13" s="134"/>
      <c r="AR13" s="134"/>
      <c r="AS13" s="134"/>
      <c r="AT13" s="134"/>
      <c r="AU13" s="134"/>
      <c r="AV13" s="134"/>
      <c r="AW13" s="135"/>
      <c r="AY13" s="2" t="s">
        <v>545</v>
      </c>
      <c r="AZ13" s="2">
        <v>-5.1760000000000002</v>
      </c>
      <c r="BA13" s="2">
        <v>8.2814999999999994</v>
      </c>
      <c r="BB13" s="2">
        <v>0</v>
      </c>
    </row>
    <row r="14" spans="2:54" ht="15" thickBot="1" x14ac:dyDescent="0.25">
      <c r="B14" s="223" t="s">
        <v>116</v>
      </c>
      <c r="C14" s="224"/>
      <c r="E14" s="144">
        <v>1</v>
      </c>
      <c r="F14" s="169" t="s">
        <v>1880</v>
      </c>
      <c r="G14" s="93" t="s">
        <v>409</v>
      </c>
      <c r="H14" s="93" t="s">
        <v>449</v>
      </c>
      <c r="I14" s="50">
        <v>7</v>
      </c>
      <c r="J14" s="169" t="s">
        <v>1880</v>
      </c>
      <c r="K14" s="92">
        <f t="shared" si="1"/>
        <v>11</v>
      </c>
      <c r="L14" s="200"/>
      <c r="M14" s="199"/>
      <c r="N14" s="199"/>
      <c r="O14" s="23"/>
      <c r="P14" s="23"/>
      <c r="Q14" s="23"/>
      <c r="R14" s="42"/>
      <c r="S14" s="42"/>
      <c r="T14" s="42"/>
      <c r="U14" s="87"/>
      <c r="W14" s="117"/>
      <c r="X14" s="118"/>
      <c r="Y14" s="118"/>
      <c r="Z14" s="118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  <c r="AL14" s="119"/>
      <c r="AN14" s="7">
        <f t="shared" si="0"/>
        <v>11</v>
      </c>
      <c r="AO14" s="134"/>
      <c r="AP14" s="134"/>
      <c r="AQ14" s="134"/>
      <c r="AR14" s="134"/>
      <c r="AS14" s="134"/>
      <c r="AT14" s="134"/>
      <c r="AU14" s="134"/>
      <c r="AV14" s="134"/>
      <c r="AW14" s="135"/>
      <c r="AY14" s="2" t="s">
        <v>546</v>
      </c>
      <c r="AZ14" s="2">
        <v>-10.811999999999999</v>
      </c>
      <c r="BA14" s="2">
        <v>8.0184999999999995</v>
      </c>
      <c r="BB14" s="2">
        <v>0</v>
      </c>
    </row>
    <row r="15" spans="2:54" ht="15" thickBot="1" x14ac:dyDescent="0.25">
      <c r="B15" s="104" t="s">
        <v>117</v>
      </c>
      <c r="C15" s="105" t="s">
        <v>1899</v>
      </c>
      <c r="E15" s="86">
        <v>1</v>
      </c>
      <c r="F15" s="169" t="s">
        <v>1881</v>
      </c>
      <c r="G15" s="93" t="s">
        <v>409</v>
      </c>
      <c r="H15" s="93" t="s">
        <v>449</v>
      </c>
      <c r="I15" s="50">
        <v>7</v>
      </c>
      <c r="J15" s="169" t="s">
        <v>1881</v>
      </c>
      <c r="K15" s="92">
        <f t="shared" si="1"/>
        <v>12</v>
      </c>
      <c r="L15" s="199"/>
      <c r="M15" s="199"/>
      <c r="N15" s="199"/>
      <c r="O15" s="23"/>
      <c r="P15" s="23"/>
      <c r="Q15" s="23"/>
      <c r="R15" s="42"/>
      <c r="S15" s="42"/>
      <c r="T15" s="42"/>
      <c r="U15" s="87"/>
      <c r="W15" s="117"/>
      <c r="X15" s="118"/>
      <c r="Y15" s="118"/>
      <c r="Z15" s="118"/>
      <c r="AA15" s="118"/>
      <c r="AB15" s="118"/>
      <c r="AC15" s="118"/>
      <c r="AD15" s="118"/>
      <c r="AE15" s="118"/>
      <c r="AF15" s="118"/>
      <c r="AG15" s="118"/>
      <c r="AH15" s="118"/>
      <c r="AI15" s="118"/>
      <c r="AJ15" s="118"/>
      <c r="AK15" s="118"/>
      <c r="AL15" s="119"/>
      <c r="AN15" s="7">
        <f t="shared" si="0"/>
        <v>12</v>
      </c>
      <c r="AO15" s="134"/>
      <c r="AP15" s="134"/>
      <c r="AQ15" s="134"/>
      <c r="AR15" s="134"/>
      <c r="AS15" s="134"/>
      <c r="AT15" s="134"/>
      <c r="AU15" s="134"/>
      <c r="AV15" s="134"/>
      <c r="AW15" s="135"/>
      <c r="AY15" s="2" t="s">
        <v>547</v>
      </c>
      <c r="AZ15" s="2">
        <v>-7.6471999999999998</v>
      </c>
      <c r="BA15" s="2">
        <v>8.1841000000000008</v>
      </c>
      <c r="BB15" s="2">
        <v>0</v>
      </c>
    </row>
    <row r="16" spans="2:54" ht="15" thickBot="1" x14ac:dyDescent="0.25">
      <c r="B16" s="106" t="s">
        <v>118</v>
      </c>
      <c r="C16" s="107" t="s">
        <v>185</v>
      </c>
      <c r="E16" s="144">
        <v>1</v>
      </c>
      <c r="F16" s="169" t="s">
        <v>1882</v>
      </c>
      <c r="G16" s="93" t="s">
        <v>409</v>
      </c>
      <c r="H16" s="93" t="s">
        <v>449</v>
      </c>
      <c r="I16" s="50">
        <v>7</v>
      </c>
      <c r="J16" s="169" t="s">
        <v>1882</v>
      </c>
      <c r="K16" s="92">
        <f t="shared" si="1"/>
        <v>13</v>
      </c>
      <c r="L16" s="199"/>
      <c r="M16" s="199"/>
      <c r="N16" s="199"/>
      <c r="O16" s="23"/>
      <c r="P16" s="42"/>
      <c r="Q16" s="42"/>
      <c r="R16" s="42"/>
      <c r="S16" s="42"/>
      <c r="T16" s="42"/>
      <c r="U16" s="87"/>
      <c r="W16" s="117"/>
      <c r="X16" s="118"/>
      <c r="Y16" s="118"/>
      <c r="Z16" s="118"/>
      <c r="AA16" s="118"/>
      <c r="AB16" s="118"/>
      <c r="AC16" s="118"/>
      <c r="AD16" s="118"/>
      <c r="AE16" s="118"/>
      <c r="AF16" s="118"/>
      <c r="AG16" s="118"/>
      <c r="AH16" s="118"/>
      <c r="AI16" s="118"/>
      <c r="AJ16" s="118"/>
      <c r="AK16" s="118"/>
      <c r="AL16" s="119"/>
      <c r="AN16" s="7">
        <f t="shared" si="0"/>
        <v>13</v>
      </c>
      <c r="AO16" s="134"/>
      <c r="AP16" s="134"/>
      <c r="AQ16" s="134"/>
      <c r="AR16" s="134"/>
      <c r="AS16" s="134"/>
      <c r="AT16" s="134"/>
      <c r="AU16" s="134"/>
      <c r="AV16" s="134"/>
      <c r="AW16" s="135"/>
      <c r="AY16" s="2" t="s">
        <v>548</v>
      </c>
      <c r="AZ16" s="2">
        <v>-5.7953999999999999</v>
      </c>
      <c r="BA16" s="2">
        <v>8.0742999999999991</v>
      </c>
      <c r="BB16" s="2">
        <v>0</v>
      </c>
    </row>
    <row r="17" spans="2:57" ht="15" thickBot="1" x14ac:dyDescent="0.25">
      <c r="B17" s="108" t="s">
        <v>119</v>
      </c>
      <c r="C17" s="109" t="s">
        <v>120</v>
      </c>
      <c r="E17" s="86">
        <v>1</v>
      </c>
      <c r="F17" s="169" t="s">
        <v>1882</v>
      </c>
      <c r="G17" s="93" t="s">
        <v>409</v>
      </c>
      <c r="H17" s="93" t="s">
        <v>449</v>
      </c>
      <c r="I17" s="50">
        <v>7</v>
      </c>
      <c r="J17" s="169" t="s">
        <v>1882</v>
      </c>
      <c r="K17" s="92">
        <f t="shared" si="1"/>
        <v>14</v>
      </c>
      <c r="L17" s="200"/>
      <c r="M17" s="199"/>
      <c r="N17" s="199"/>
      <c r="O17" s="23"/>
      <c r="P17" s="42"/>
      <c r="Q17" s="42"/>
      <c r="R17" s="42"/>
      <c r="S17" s="42"/>
      <c r="T17" s="42"/>
      <c r="U17" s="87"/>
      <c r="W17" s="117"/>
      <c r="X17" s="118"/>
      <c r="Y17" s="118"/>
      <c r="Z17" s="118"/>
      <c r="AA17" s="118"/>
      <c r="AB17" s="118"/>
      <c r="AC17" s="118"/>
      <c r="AD17" s="118"/>
      <c r="AE17" s="118"/>
      <c r="AF17" s="118"/>
      <c r="AG17" s="118"/>
      <c r="AH17" s="118"/>
      <c r="AI17" s="118"/>
      <c r="AJ17" s="118"/>
      <c r="AK17" s="118"/>
      <c r="AL17" s="119"/>
      <c r="AN17" s="7">
        <f t="shared" si="0"/>
        <v>14</v>
      </c>
      <c r="AO17" s="134"/>
      <c r="AP17" s="134"/>
      <c r="AQ17" s="134"/>
      <c r="AR17" s="134"/>
      <c r="AS17" s="134"/>
      <c r="AT17" s="134"/>
      <c r="AU17" s="134"/>
      <c r="AV17" s="134"/>
      <c r="AW17" s="135"/>
      <c r="AY17" s="2" t="s">
        <v>549</v>
      </c>
      <c r="AZ17" s="2">
        <v>12.511200000000001</v>
      </c>
      <c r="BA17" s="2">
        <v>-4.6917</v>
      </c>
      <c r="BB17" s="2">
        <v>-0.161</v>
      </c>
      <c r="BD17" s="2">
        <f>AZ17*1</f>
        <v>12.511200000000001</v>
      </c>
      <c r="BE17" s="2">
        <f>BA17*1.1</f>
        <v>-5.1608700000000001</v>
      </c>
    </row>
    <row r="18" spans="2:57" ht="15" thickBot="1" x14ac:dyDescent="0.25">
      <c r="B18" s="106" t="s">
        <v>181</v>
      </c>
      <c r="C18" s="107" t="s">
        <v>463</v>
      </c>
      <c r="E18" s="144">
        <v>1</v>
      </c>
      <c r="F18" s="169" t="s">
        <v>1882</v>
      </c>
      <c r="G18" s="93" t="s">
        <v>409</v>
      </c>
      <c r="H18" s="93" t="s">
        <v>449</v>
      </c>
      <c r="I18" s="50">
        <v>7</v>
      </c>
      <c r="J18" s="169" t="s">
        <v>1882</v>
      </c>
      <c r="K18" s="92">
        <f t="shared" si="1"/>
        <v>15</v>
      </c>
      <c r="L18" s="199"/>
      <c r="M18" s="199"/>
      <c r="N18" s="199"/>
      <c r="O18" s="42"/>
      <c r="P18" s="42"/>
      <c r="Q18" s="42"/>
      <c r="R18" s="42"/>
      <c r="S18" s="42"/>
      <c r="T18" s="42"/>
      <c r="U18" s="87"/>
      <c r="W18" s="117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9"/>
      <c r="AN18" s="7">
        <f t="shared" si="0"/>
        <v>15</v>
      </c>
      <c r="AO18" s="134"/>
      <c r="AP18" s="134"/>
      <c r="AQ18" s="134"/>
      <c r="AR18" s="134"/>
      <c r="AS18" s="134"/>
      <c r="AT18" s="134"/>
      <c r="AU18" s="134"/>
      <c r="AV18" s="134"/>
      <c r="AW18" s="135"/>
      <c r="AY18" s="2" t="s">
        <v>550</v>
      </c>
      <c r="AZ18" s="2">
        <v>13.847899999999999</v>
      </c>
      <c r="BA18" s="2">
        <v>-12.2133</v>
      </c>
      <c r="BB18" s="2">
        <v>-0.31997999999999999</v>
      </c>
      <c r="BD18" s="2">
        <f t="shared" ref="BD18:BD20" si="2">AZ18*1.1</f>
        <v>15.23269</v>
      </c>
      <c r="BE18" s="2">
        <f t="shared" ref="BE18:BE20" si="3">BA18*1.1</f>
        <v>-13.434630000000002</v>
      </c>
    </row>
    <row r="19" spans="2:57" ht="15" thickBot="1" x14ac:dyDescent="0.25">
      <c r="B19" s="223" t="s">
        <v>439</v>
      </c>
      <c r="C19" s="224"/>
      <c r="E19" s="86">
        <v>1</v>
      </c>
      <c r="F19" s="169" t="s">
        <v>1882</v>
      </c>
      <c r="G19" s="93" t="s">
        <v>409</v>
      </c>
      <c r="H19" s="93" t="s">
        <v>449</v>
      </c>
      <c r="I19" s="50">
        <v>7</v>
      </c>
      <c r="J19" s="169" t="s">
        <v>1882</v>
      </c>
      <c r="K19" s="92">
        <f t="shared" si="1"/>
        <v>16</v>
      </c>
      <c r="L19" s="199"/>
      <c r="M19" s="199"/>
      <c r="N19" s="199"/>
      <c r="O19" s="42"/>
      <c r="P19" s="42"/>
      <c r="Q19" s="42"/>
      <c r="R19" s="42"/>
      <c r="S19" s="42"/>
      <c r="T19" s="42"/>
      <c r="U19" s="87"/>
      <c r="W19" s="117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9"/>
      <c r="AN19" s="7">
        <f t="shared" si="0"/>
        <v>16</v>
      </c>
      <c r="AO19" s="134"/>
      <c r="AP19" s="134"/>
      <c r="AQ19" s="134"/>
      <c r="AR19" s="134"/>
      <c r="AS19" s="134"/>
      <c r="AT19" s="134"/>
      <c r="AU19" s="134"/>
      <c r="AV19" s="134"/>
      <c r="AW19" s="135"/>
      <c r="AY19" s="2" t="s">
        <v>551</v>
      </c>
      <c r="AZ19" s="2">
        <v>13.0246</v>
      </c>
      <c r="BA19" s="2">
        <v>-10.487299999999999</v>
      </c>
      <c r="BB19" s="2">
        <v>-0.19072</v>
      </c>
      <c r="BD19" s="2">
        <f t="shared" si="2"/>
        <v>14.327060000000001</v>
      </c>
      <c r="BE19" s="2">
        <f t="shared" si="3"/>
        <v>-11.53603</v>
      </c>
    </row>
    <row r="20" spans="2:57" ht="15" thickBot="1" x14ac:dyDescent="0.25">
      <c r="B20" s="104" t="s">
        <v>381</v>
      </c>
      <c r="C20" s="105" t="s">
        <v>81</v>
      </c>
      <c r="E20" s="144">
        <v>1</v>
      </c>
      <c r="F20" s="169" t="s">
        <v>1883</v>
      </c>
      <c r="G20" s="93" t="s">
        <v>409</v>
      </c>
      <c r="H20" s="93" t="s">
        <v>449</v>
      </c>
      <c r="I20" s="50">
        <v>7</v>
      </c>
      <c r="J20" s="169" t="s">
        <v>1883</v>
      </c>
      <c r="K20" s="92">
        <f t="shared" si="1"/>
        <v>17</v>
      </c>
      <c r="L20" s="199"/>
      <c r="M20" s="199"/>
      <c r="N20" s="199"/>
      <c r="O20" s="42"/>
      <c r="P20" s="42"/>
      <c r="Q20" s="42"/>
      <c r="R20" s="42"/>
      <c r="S20" s="42"/>
      <c r="T20" s="42"/>
      <c r="U20" s="87"/>
      <c r="W20" s="117"/>
      <c r="X20" s="118"/>
      <c r="Y20" s="118"/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8"/>
      <c r="AL20" s="119"/>
      <c r="AN20" s="7">
        <f t="shared" si="0"/>
        <v>17</v>
      </c>
      <c r="AO20" s="134"/>
      <c r="AP20" s="134"/>
      <c r="AQ20" s="134"/>
      <c r="AR20" s="134"/>
      <c r="AS20" s="134"/>
      <c r="AT20" s="134"/>
      <c r="AU20" s="134"/>
      <c r="AV20" s="134"/>
      <c r="AW20" s="135"/>
      <c r="AY20" s="2" t="s">
        <v>552</v>
      </c>
      <c r="AZ20" s="2">
        <v>22.8443</v>
      </c>
      <c r="BA20" s="2">
        <v>-4.6920000000000002</v>
      </c>
      <c r="BB20" s="2">
        <v>-2.4398</v>
      </c>
      <c r="BD20" s="2">
        <f t="shared" si="2"/>
        <v>25.128730000000001</v>
      </c>
      <c r="BE20" s="2">
        <f t="shared" si="3"/>
        <v>-5.1612000000000009</v>
      </c>
    </row>
    <row r="21" spans="2:57" ht="15" thickBot="1" x14ac:dyDescent="0.25">
      <c r="B21" s="106" t="s">
        <v>389</v>
      </c>
      <c r="C21" s="107" t="s">
        <v>184</v>
      </c>
      <c r="E21" s="86">
        <v>1</v>
      </c>
      <c r="F21" s="169" t="s">
        <v>1883</v>
      </c>
      <c r="G21" s="93" t="s">
        <v>409</v>
      </c>
      <c r="H21" s="93" t="s">
        <v>449</v>
      </c>
      <c r="I21" s="50">
        <v>7</v>
      </c>
      <c r="J21" s="169" t="s">
        <v>1883</v>
      </c>
      <c r="K21" s="92">
        <f t="shared" si="1"/>
        <v>18</v>
      </c>
      <c r="L21" s="199"/>
      <c r="M21" s="199"/>
      <c r="N21" s="199"/>
      <c r="O21" s="42"/>
      <c r="P21" s="42"/>
      <c r="Q21" s="42"/>
      <c r="R21" s="42"/>
      <c r="S21" s="42"/>
      <c r="T21" s="42"/>
      <c r="U21" s="87"/>
      <c r="W21" s="117"/>
      <c r="X21" s="118"/>
      <c r="Y21" s="118"/>
      <c r="Z21" s="118"/>
      <c r="AA21" s="118"/>
      <c r="AB21" s="118"/>
      <c r="AC21" s="118"/>
      <c r="AD21" s="118"/>
      <c r="AE21" s="118"/>
      <c r="AF21" s="118"/>
      <c r="AG21" s="118"/>
      <c r="AH21" s="118"/>
      <c r="AI21" s="118"/>
      <c r="AJ21" s="118"/>
      <c r="AK21" s="118"/>
      <c r="AL21" s="119"/>
      <c r="AN21" s="7">
        <f t="shared" si="0"/>
        <v>18</v>
      </c>
      <c r="AO21" s="134"/>
      <c r="AP21" s="134"/>
      <c r="AQ21" s="134"/>
      <c r="AR21" s="134"/>
      <c r="AS21" s="134"/>
      <c r="AT21" s="134"/>
      <c r="AU21" s="134"/>
      <c r="AV21" s="134"/>
      <c r="AW21" s="135"/>
    </row>
    <row r="22" spans="2:57" ht="15" thickBot="1" x14ac:dyDescent="0.25">
      <c r="B22" s="108" t="s">
        <v>237</v>
      </c>
      <c r="C22" s="109" t="s">
        <v>409</v>
      </c>
      <c r="E22" s="144">
        <v>1</v>
      </c>
      <c r="F22" s="169" t="s">
        <v>1883</v>
      </c>
      <c r="G22" s="93" t="s">
        <v>409</v>
      </c>
      <c r="H22" s="93" t="s">
        <v>449</v>
      </c>
      <c r="I22" s="50">
        <v>7</v>
      </c>
      <c r="J22" s="169" t="s">
        <v>1883</v>
      </c>
      <c r="K22" s="92">
        <f t="shared" si="1"/>
        <v>19</v>
      </c>
      <c r="L22" s="199"/>
      <c r="M22" s="199"/>
      <c r="N22" s="199"/>
      <c r="O22" s="42"/>
      <c r="P22" s="42"/>
      <c r="Q22" s="42"/>
      <c r="R22" s="42"/>
      <c r="S22" s="42"/>
      <c r="T22" s="42"/>
      <c r="U22" s="87"/>
      <c r="W22" s="117"/>
      <c r="X22" s="118"/>
      <c r="Y22" s="118"/>
      <c r="Z22" s="118"/>
      <c r="AA22" s="118"/>
      <c r="AB22" s="118"/>
      <c r="AC22" s="118"/>
      <c r="AD22" s="118"/>
      <c r="AE22" s="118"/>
      <c r="AF22" s="118"/>
      <c r="AG22" s="118"/>
      <c r="AH22" s="118"/>
      <c r="AI22" s="118"/>
      <c r="AJ22" s="118"/>
      <c r="AK22" s="118"/>
      <c r="AL22" s="119"/>
      <c r="AN22" s="7">
        <f t="shared" si="0"/>
        <v>19</v>
      </c>
      <c r="AO22" s="134"/>
      <c r="AP22" s="134"/>
      <c r="AQ22" s="134"/>
      <c r="AR22" s="134"/>
      <c r="AS22" s="134"/>
      <c r="AT22" s="134"/>
      <c r="AU22" s="134"/>
      <c r="AV22" s="134"/>
      <c r="AW22" s="135"/>
    </row>
    <row r="23" spans="2:57" ht="15" thickBot="1" x14ac:dyDescent="0.25">
      <c r="B23" s="106" t="s">
        <v>436</v>
      </c>
      <c r="C23" s="112" t="s">
        <v>1814</v>
      </c>
      <c r="E23" s="86">
        <v>1</v>
      </c>
      <c r="F23" s="169" t="s">
        <v>1883</v>
      </c>
      <c r="G23" s="93" t="s">
        <v>409</v>
      </c>
      <c r="H23" s="93" t="s">
        <v>449</v>
      </c>
      <c r="I23" s="50">
        <v>7</v>
      </c>
      <c r="J23" s="169" t="s">
        <v>1883</v>
      </c>
      <c r="K23" s="92">
        <f t="shared" si="1"/>
        <v>20</v>
      </c>
      <c r="L23" s="199"/>
      <c r="M23" s="199"/>
      <c r="N23" s="199"/>
      <c r="O23" s="42"/>
      <c r="P23" s="42"/>
      <c r="Q23" s="42"/>
      <c r="R23" s="42"/>
      <c r="S23" s="42"/>
      <c r="T23" s="42"/>
      <c r="U23" s="87"/>
      <c r="W23" s="117"/>
      <c r="X23" s="118"/>
      <c r="Y23" s="118"/>
      <c r="Z23" s="118"/>
      <c r="AA23" s="118"/>
      <c r="AB23" s="118"/>
      <c r="AC23" s="118"/>
      <c r="AD23" s="118"/>
      <c r="AE23" s="118"/>
      <c r="AF23" s="118"/>
      <c r="AG23" s="118"/>
      <c r="AH23" s="118"/>
      <c r="AI23" s="118"/>
      <c r="AJ23" s="118"/>
      <c r="AK23" s="118"/>
      <c r="AL23" s="119"/>
      <c r="AN23" s="7">
        <f t="shared" si="0"/>
        <v>20</v>
      </c>
      <c r="AO23" s="134"/>
      <c r="AP23" s="134"/>
      <c r="AQ23" s="134"/>
      <c r="AR23" s="134"/>
      <c r="AS23" s="134"/>
      <c r="AT23" s="134"/>
      <c r="AU23" s="134"/>
      <c r="AV23" s="134"/>
      <c r="AW23" s="135"/>
    </row>
    <row r="24" spans="2:57" ht="15" thickBot="1" x14ac:dyDescent="0.25">
      <c r="B24" s="106" t="s">
        <v>238</v>
      </c>
      <c r="C24" s="112">
        <v>33</v>
      </c>
      <c r="E24" s="144">
        <v>1</v>
      </c>
      <c r="F24" s="169" t="s">
        <v>1883</v>
      </c>
      <c r="G24" s="93" t="s">
        <v>409</v>
      </c>
      <c r="H24" s="93" t="s">
        <v>449</v>
      </c>
      <c r="I24" s="50">
        <v>7</v>
      </c>
      <c r="J24" s="169" t="s">
        <v>1883</v>
      </c>
      <c r="K24" s="92">
        <f t="shared" si="1"/>
        <v>21</v>
      </c>
      <c r="L24" s="199"/>
      <c r="M24" s="199"/>
      <c r="N24" s="199"/>
      <c r="O24" s="42"/>
      <c r="P24" s="42"/>
      <c r="Q24" s="42"/>
      <c r="R24" s="42"/>
      <c r="S24" s="42"/>
      <c r="T24" s="42"/>
      <c r="U24" s="87"/>
      <c r="W24" s="117"/>
      <c r="X24" s="118"/>
      <c r="Y24" s="118"/>
      <c r="Z24" s="118"/>
      <c r="AA24" s="118"/>
      <c r="AB24" s="118"/>
      <c r="AC24" s="118"/>
      <c r="AD24" s="118"/>
      <c r="AE24" s="118"/>
      <c r="AF24" s="118"/>
      <c r="AG24" s="118"/>
      <c r="AH24" s="118"/>
      <c r="AI24" s="118"/>
      <c r="AJ24" s="118"/>
      <c r="AK24" s="118"/>
      <c r="AL24" s="119"/>
      <c r="AN24" s="7">
        <f t="shared" si="0"/>
        <v>21</v>
      </c>
      <c r="AO24" s="134"/>
      <c r="AP24" s="134"/>
      <c r="AQ24" s="134"/>
      <c r="AR24" s="134"/>
      <c r="AS24" s="134"/>
      <c r="AT24" s="134"/>
      <c r="AU24" s="134"/>
      <c r="AV24" s="134"/>
      <c r="AW24" s="135"/>
    </row>
    <row r="25" spans="2:57" ht="15" thickBot="1" x14ac:dyDescent="0.25">
      <c r="B25" s="110" t="s">
        <v>440</v>
      </c>
      <c r="C25" s="111" t="s">
        <v>1778</v>
      </c>
      <c r="E25" s="86"/>
      <c r="F25" s="23"/>
      <c r="G25" s="23"/>
      <c r="H25" s="23"/>
      <c r="I25" s="23"/>
      <c r="J25" s="23"/>
      <c r="K25" s="92" t="str">
        <f>IF('Control Panel'!$E25="","",K24+1)</f>
        <v/>
      </c>
      <c r="L25" s="199"/>
      <c r="M25" s="199"/>
      <c r="N25" s="199"/>
      <c r="O25" s="42"/>
      <c r="P25" s="42"/>
      <c r="Q25" s="42"/>
      <c r="R25" s="42"/>
      <c r="S25" s="42"/>
      <c r="T25" s="42"/>
      <c r="U25" s="87"/>
      <c r="W25" s="117"/>
      <c r="X25" s="118"/>
      <c r="Y25" s="118"/>
      <c r="Z25" s="118"/>
      <c r="AA25" s="118"/>
      <c r="AB25" s="118"/>
      <c r="AC25" s="118"/>
      <c r="AD25" s="118"/>
      <c r="AE25" s="118"/>
      <c r="AF25" s="118"/>
      <c r="AG25" s="118"/>
      <c r="AH25" s="118"/>
      <c r="AI25" s="118"/>
      <c r="AJ25" s="118"/>
      <c r="AK25" s="118"/>
      <c r="AL25" s="119"/>
      <c r="AN25" s="7" t="str">
        <f t="shared" si="0"/>
        <v/>
      </c>
      <c r="AO25" s="137"/>
      <c r="AP25" s="138"/>
      <c r="AQ25" s="134"/>
      <c r="AR25" s="136"/>
      <c r="AS25" s="134"/>
      <c r="AT25" s="134"/>
      <c r="AU25" s="134"/>
      <c r="AV25" s="134"/>
      <c r="AW25" s="135"/>
    </row>
    <row r="26" spans="2:57" ht="15" thickBot="1" x14ac:dyDescent="0.25">
      <c r="E26" s="144"/>
      <c r="F26" s="23"/>
      <c r="G26" s="23"/>
      <c r="H26" s="23"/>
      <c r="I26" s="23"/>
      <c r="J26" s="23"/>
      <c r="K26" s="92" t="str">
        <f>IF('Control Panel'!$E26="","",K25+1)</f>
        <v/>
      </c>
      <c r="L26" s="199"/>
      <c r="M26" s="199"/>
      <c r="N26" s="199"/>
      <c r="O26" s="42"/>
      <c r="P26" s="42"/>
      <c r="Q26" s="42"/>
      <c r="R26" s="42"/>
      <c r="S26" s="42"/>
      <c r="T26" s="42"/>
      <c r="U26" s="87"/>
      <c r="W26" s="117"/>
      <c r="X26" s="118"/>
      <c r="Y26" s="11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9"/>
      <c r="AN26" s="7" t="str">
        <f t="shared" si="0"/>
        <v/>
      </c>
      <c r="AO26" s="137"/>
      <c r="AP26" s="138"/>
      <c r="AQ26" s="134"/>
      <c r="AR26" s="136"/>
      <c r="AS26" s="134"/>
      <c r="AT26" s="134"/>
      <c r="AU26" s="134"/>
      <c r="AV26" s="134"/>
      <c r="AW26" s="135"/>
    </row>
    <row r="27" spans="2:57" ht="12" thickBot="1" x14ac:dyDescent="0.25">
      <c r="E27" s="86"/>
      <c r="F27" s="23"/>
      <c r="G27" s="23"/>
      <c r="H27" s="23"/>
      <c r="I27" s="23"/>
      <c r="J27" s="23"/>
      <c r="K27" s="92" t="str">
        <f>IF('Control Panel'!$E27="","",K26+1)</f>
        <v/>
      </c>
      <c r="L27" s="199"/>
      <c r="M27" s="199"/>
      <c r="N27" s="199"/>
      <c r="O27" s="42"/>
      <c r="P27" s="42"/>
      <c r="Q27" s="42"/>
      <c r="R27" s="42"/>
      <c r="S27" s="42"/>
      <c r="T27" s="42"/>
      <c r="U27" s="87"/>
      <c r="W27" s="117"/>
      <c r="X27" s="118"/>
      <c r="Y27" s="118"/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9"/>
      <c r="AN27" s="7" t="str">
        <f t="shared" si="0"/>
        <v/>
      </c>
      <c r="AO27" s="134"/>
      <c r="AP27" s="134"/>
      <c r="AQ27" s="134"/>
      <c r="AR27" s="134"/>
      <c r="AS27" s="134"/>
      <c r="AT27" s="134"/>
      <c r="AU27" s="134"/>
      <c r="AV27" s="134"/>
      <c r="AW27" s="135"/>
    </row>
    <row r="28" spans="2:57" ht="12" thickBot="1" x14ac:dyDescent="0.25">
      <c r="E28" s="86"/>
      <c r="F28" s="23"/>
      <c r="G28" s="23"/>
      <c r="H28" s="23"/>
      <c r="I28" s="23"/>
      <c r="J28" s="23"/>
      <c r="K28" s="92" t="str">
        <f>IF('Control Panel'!$E28="","",K27+1)</f>
        <v/>
      </c>
      <c r="L28" s="199"/>
      <c r="M28" s="199"/>
      <c r="N28" s="199"/>
      <c r="O28" s="42"/>
      <c r="P28" s="42"/>
      <c r="Q28" s="42"/>
      <c r="R28" s="42"/>
      <c r="S28" s="42"/>
      <c r="T28" s="42"/>
      <c r="U28" s="87"/>
      <c r="W28" s="117"/>
      <c r="X28" s="118"/>
      <c r="Y28" s="118"/>
      <c r="Z28" s="118"/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9"/>
      <c r="AN28" s="7" t="str">
        <f t="shared" si="0"/>
        <v/>
      </c>
      <c r="AO28" s="134"/>
      <c r="AP28" s="134"/>
      <c r="AQ28" s="134"/>
      <c r="AR28" s="134"/>
      <c r="AS28" s="134"/>
      <c r="AT28" s="134"/>
      <c r="AU28" s="134"/>
      <c r="AV28" s="134"/>
      <c r="AW28" s="135"/>
    </row>
    <row r="29" spans="2:57" ht="12" thickBot="1" x14ac:dyDescent="0.25">
      <c r="E29" s="86"/>
      <c r="F29" s="23"/>
      <c r="G29" s="23"/>
      <c r="H29" s="23"/>
      <c r="I29" s="23"/>
      <c r="J29" s="23"/>
      <c r="K29" s="92" t="str">
        <f>IF('Control Panel'!$E29="","",K28+1)</f>
        <v/>
      </c>
      <c r="L29" s="199"/>
      <c r="M29" s="199"/>
      <c r="N29" s="199"/>
      <c r="O29" s="42"/>
      <c r="P29" s="42"/>
      <c r="Q29" s="42"/>
      <c r="R29" s="42"/>
      <c r="S29" s="42"/>
      <c r="T29" s="42"/>
      <c r="U29" s="87"/>
      <c r="W29" s="117"/>
      <c r="X29" s="118"/>
      <c r="Y29" s="118"/>
      <c r="Z29" s="118"/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9"/>
      <c r="AN29" s="7"/>
      <c r="AO29" s="134"/>
      <c r="AP29" s="134"/>
      <c r="AQ29" s="134"/>
      <c r="AR29" s="134"/>
      <c r="AS29" s="134"/>
      <c r="AT29" s="134"/>
      <c r="AU29" s="134"/>
      <c r="AV29" s="134"/>
      <c r="AW29" s="135"/>
    </row>
    <row r="30" spans="2:57" ht="15" thickBot="1" x14ac:dyDescent="0.25">
      <c r="B30" s="231" t="s">
        <v>121</v>
      </c>
      <c r="C30" s="232"/>
      <c r="E30" s="86"/>
      <c r="F30" s="23"/>
      <c r="G30" s="23"/>
      <c r="H30" s="23"/>
      <c r="I30" s="23"/>
      <c r="J30" s="23"/>
      <c r="K30" s="92" t="str">
        <f>IF('Control Panel'!$E30="","",K29+1)</f>
        <v/>
      </c>
      <c r="L30" s="199"/>
      <c r="M30" s="199"/>
      <c r="N30" s="199"/>
      <c r="O30" s="42"/>
      <c r="P30" s="42"/>
      <c r="Q30" s="42"/>
      <c r="R30" s="42"/>
      <c r="S30" s="42"/>
      <c r="T30" s="42"/>
      <c r="U30" s="87"/>
      <c r="W30" s="117"/>
      <c r="X30" s="118"/>
      <c r="Y30" s="118"/>
      <c r="Z30" s="118"/>
      <c r="AA30" s="118"/>
      <c r="AB30" s="118"/>
      <c r="AC30" s="118"/>
      <c r="AD30" s="118"/>
      <c r="AE30" s="118"/>
      <c r="AF30" s="118"/>
      <c r="AG30" s="118"/>
      <c r="AH30" s="118"/>
      <c r="AI30" s="118"/>
      <c r="AJ30" s="118"/>
      <c r="AK30" s="118"/>
      <c r="AL30" s="119"/>
      <c r="AN30" s="7"/>
      <c r="AO30" s="137"/>
      <c r="AP30" s="138"/>
      <c r="AQ30" s="134"/>
      <c r="AR30" s="136"/>
      <c r="AS30" s="134"/>
      <c r="AT30" s="134"/>
      <c r="AU30" s="134"/>
      <c r="AV30" s="134"/>
      <c r="AW30" s="135"/>
    </row>
    <row r="31" spans="2:57" ht="12" thickBot="1" x14ac:dyDescent="0.25">
      <c r="B31" s="11" t="s">
        <v>122</v>
      </c>
      <c r="C31" s="94">
        <v>0.01</v>
      </c>
      <c r="E31" s="86"/>
      <c r="F31" s="23"/>
      <c r="G31" s="23"/>
      <c r="H31" s="23"/>
      <c r="I31" s="23"/>
      <c r="J31" s="23"/>
      <c r="K31" s="92" t="str">
        <f>IF('Control Panel'!$E31="","",K30+1)</f>
        <v/>
      </c>
      <c r="L31" s="199"/>
      <c r="M31" s="199"/>
      <c r="N31" s="199"/>
      <c r="O31" s="23"/>
      <c r="P31" s="23"/>
      <c r="Q31" s="23"/>
      <c r="R31" s="42"/>
      <c r="S31" s="42"/>
      <c r="T31" s="42"/>
      <c r="U31" s="87"/>
      <c r="W31" s="117"/>
      <c r="X31" s="118"/>
      <c r="Y31" s="118"/>
      <c r="Z31" s="118"/>
      <c r="AA31" s="118"/>
      <c r="AB31" s="118"/>
      <c r="AC31" s="118"/>
      <c r="AD31" s="118"/>
      <c r="AE31" s="118"/>
      <c r="AF31" s="118"/>
      <c r="AG31" s="118"/>
      <c r="AH31" s="118"/>
      <c r="AI31" s="118"/>
      <c r="AJ31" s="118"/>
      <c r="AK31" s="118"/>
      <c r="AL31" s="119"/>
      <c r="AN31" s="7"/>
      <c r="AO31" s="134"/>
      <c r="AP31" s="134"/>
      <c r="AQ31" s="134"/>
      <c r="AR31" s="134"/>
      <c r="AS31" s="134"/>
      <c r="AT31" s="134"/>
      <c r="AU31" s="134"/>
      <c r="AV31" s="134"/>
      <c r="AW31" s="135"/>
    </row>
    <row r="32" spans="2:57" ht="12" thickBot="1" x14ac:dyDescent="0.25">
      <c r="B32" s="12" t="s">
        <v>123</v>
      </c>
      <c r="C32" s="95">
        <v>0.01</v>
      </c>
      <c r="E32" s="86"/>
      <c r="F32" s="23"/>
      <c r="G32" s="23"/>
      <c r="H32" s="23"/>
      <c r="I32" s="23"/>
      <c r="J32" s="23"/>
      <c r="K32" s="92" t="str">
        <f>IF('Control Panel'!$E32="","",K31+1)</f>
        <v/>
      </c>
      <c r="L32" s="199"/>
      <c r="M32" s="199"/>
      <c r="N32" s="199"/>
      <c r="O32" s="23"/>
      <c r="P32" s="23"/>
      <c r="Q32" s="23"/>
      <c r="R32" s="23"/>
      <c r="S32" s="23"/>
      <c r="T32" s="23"/>
      <c r="U32" s="88"/>
      <c r="W32" s="120"/>
      <c r="X32" s="121"/>
      <c r="Y32" s="121"/>
      <c r="Z32" s="121"/>
      <c r="AA32" s="122"/>
      <c r="AB32" s="118"/>
      <c r="AC32" s="118"/>
      <c r="AD32" s="118"/>
      <c r="AE32" s="121"/>
      <c r="AF32" s="121"/>
      <c r="AG32" s="121"/>
      <c r="AH32" s="118"/>
      <c r="AI32" s="118"/>
      <c r="AJ32" s="118"/>
      <c r="AK32" s="118"/>
      <c r="AL32" s="119"/>
      <c r="AN32" s="7"/>
      <c r="AO32" s="134"/>
      <c r="AP32" s="134"/>
      <c r="AQ32" s="134"/>
      <c r="AR32" s="134"/>
      <c r="AS32" s="134"/>
      <c r="AT32" s="134"/>
      <c r="AU32" s="134"/>
      <c r="AV32" s="134"/>
      <c r="AW32" s="135"/>
    </row>
    <row r="33" spans="2:49" ht="15" thickBot="1" x14ac:dyDescent="0.25">
      <c r="B33" s="13" t="s">
        <v>124</v>
      </c>
      <c r="C33" s="96">
        <v>0.01</v>
      </c>
      <c r="E33" s="86"/>
      <c r="F33" s="23"/>
      <c r="G33" s="23"/>
      <c r="H33" s="23"/>
      <c r="I33" s="23"/>
      <c r="J33" s="23"/>
      <c r="K33" s="92" t="str">
        <f>IF('Control Panel'!$E33="","",K32+1)</f>
        <v/>
      </c>
      <c r="L33" s="199"/>
      <c r="M33" s="199"/>
      <c r="N33" s="199"/>
      <c r="O33" s="23"/>
      <c r="P33" s="23"/>
      <c r="Q33" s="23"/>
      <c r="R33" s="23"/>
      <c r="S33" s="23"/>
      <c r="T33" s="23"/>
      <c r="U33" s="88"/>
      <c r="W33" s="120"/>
      <c r="X33" s="123"/>
      <c r="Y33" s="123"/>
      <c r="Z33" s="121"/>
      <c r="AA33" s="122"/>
      <c r="AB33" s="118"/>
      <c r="AC33" s="118"/>
      <c r="AD33" s="118"/>
      <c r="AE33" s="121"/>
      <c r="AF33" s="123"/>
      <c r="AG33" s="123"/>
      <c r="AH33" s="118"/>
      <c r="AI33" s="118"/>
      <c r="AJ33" s="118"/>
      <c r="AK33" s="118"/>
      <c r="AL33" s="119"/>
      <c r="AN33" s="7"/>
      <c r="AO33" s="137"/>
      <c r="AP33" s="138"/>
      <c r="AQ33" s="134"/>
      <c r="AR33" s="136"/>
      <c r="AS33" s="134"/>
      <c r="AT33" s="134"/>
      <c r="AU33" s="134"/>
      <c r="AV33" s="134"/>
      <c r="AW33" s="135"/>
    </row>
    <row r="34" spans="2:49" ht="12" thickBot="1" x14ac:dyDescent="0.25">
      <c r="B34" s="12" t="s">
        <v>125</v>
      </c>
      <c r="C34" s="97" t="s">
        <v>197</v>
      </c>
      <c r="E34" s="86"/>
      <c r="F34" s="23"/>
      <c r="G34" s="23"/>
      <c r="H34" s="23"/>
      <c r="I34" s="23"/>
      <c r="J34" s="23"/>
      <c r="K34" s="92" t="str">
        <f>IF('Control Panel'!$E34="","",K33+1)</f>
        <v/>
      </c>
      <c r="L34" s="199"/>
      <c r="M34" s="199"/>
      <c r="N34" s="199"/>
      <c r="O34" s="56"/>
      <c r="P34" s="56"/>
      <c r="Q34" s="56"/>
      <c r="R34" s="56"/>
      <c r="S34" s="56"/>
      <c r="T34" s="56"/>
      <c r="U34" s="89"/>
      <c r="W34" s="124"/>
      <c r="X34" s="125"/>
      <c r="Y34" s="125"/>
      <c r="Z34" s="126"/>
      <c r="AA34" s="126"/>
      <c r="AB34" s="127"/>
      <c r="AC34" s="127"/>
      <c r="AD34" s="127"/>
      <c r="AE34" s="125"/>
      <c r="AF34" s="125"/>
      <c r="AG34" s="125"/>
      <c r="AH34" s="127"/>
      <c r="AI34" s="127"/>
      <c r="AJ34" s="127"/>
      <c r="AK34" s="127"/>
      <c r="AL34" s="128"/>
      <c r="AN34" s="91"/>
      <c r="AO34" s="139"/>
      <c r="AP34" s="139"/>
      <c r="AQ34" s="139"/>
      <c r="AR34" s="139"/>
      <c r="AS34" s="139"/>
      <c r="AT34" s="139"/>
      <c r="AU34" s="139"/>
      <c r="AV34" s="139"/>
      <c r="AW34" s="140"/>
    </row>
    <row r="35" spans="2:49" ht="12" thickBot="1" x14ac:dyDescent="0.25">
      <c r="B35" s="12" t="s">
        <v>126</v>
      </c>
      <c r="C35" s="97" t="s">
        <v>189</v>
      </c>
      <c r="E35" s="23"/>
      <c r="F35" s="23"/>
      <c r="G35" s="23"/>
      <c r="H35" s="23"/>
      <c r="I35" s="23"/>
      <c r="J35" s="23"/>
      <c r="W35" s="47"/>
      <c r="X35" s="47"/>
      <c r="Y35" s="42"/>
      <c r="Z35" s="42"/>
      <c r="AA35" s="42"/>
      <c r="AE35" s="47"/>
      <c r="AF35" s="47"/>
      <c r="AG35" s="42"/>
    </row>
    <row r="36" spans="2:49" ht="12" thickBot="1" x14ac:dyDescent="0.25">
      <c r="B36" s="12" t="s">
        <v>127</v>
      </c>
      <c r="C36" s="95" t="s">
        <v>189</v>
      </c>
      <c r="D36" s="23"/>
      <c r="E36" s="23"/>
      <c r="F36" s="23"/>
      <c r="G36" s="23"/>
      <c r="H36" s="23"/>
      <c r="I36" s="23"/>
      <c r="J36" s="23"/>
      <c r="K36" s="220" t="s">
        <v>130</v>
      </c>
      <c r="L36" s="221"/>
      <c r="M36" s="221"/>
      <c r="N36" s="221"/>
      <c r="O36" s="221"/>
      <c r="P36" s="221"/>
      <c r="Q36" s="221"/>
      <c r="R36" s="221"/>
      <c r="S36" s="221"/>
      <c r="T36" s="221"/>
      <c r="U36" s="222"/>
      <c r="W36" s="47"/>
      <c r="X36" s="47"/>
      <c r="Y36" s="47"/>
      <c r="Z36" s="47"/>
      <c r="AA36" s="42"/>
      <c r="AE36" s="47"/>
      <c r="AF36" s="47"/>
      <c r="AG36" s="47"/>
    </row>
    <row r="37" spans="2:49" ht="12" thickBot="1" x14ac:dyDescent="0.25">
      <c r="B37" s="12" t="s">
        <v>128</v>
      </c>
      <c r="C37" s="95" t="s">
        <v>189</v>
      </c>
      <c r="D37" s="23"/>
      <c r="E37" s="23"/>
      <c r="K37" s="3" t="s">
        <v>82</v>
      </c>
      <c r="L37" s="71" t="str">
        <f>L3</f>
        <v>yB_u_1</v>
      </c>
      <c r="M37" s="72" t="str">
        <f t="shared" ref="M37:U37" si="4">M3</f>
        <v>yB_u_2</v>
      </c>
      <c r="N37" s="72" t="str">
        <f t="shared" si="4"/>
        <v>k_H_1</v>
      </c>
      <c r="O37" s="72" t="str">
        <f>O3</f>
        <v>k_H_2</v>
      </c>
      <c r="P37" s="72" t="str">
        <f t="shared" si="4"/>
        <v>HB_u_1</v>
      </c>
      <c r="Q37" s="72" t="str">
        <f>Q3</f>
        <v>HB_u_2</v>
      </c>
      <c r="R37" s="72" t="str">
        <f t="shared" si="4"/>
        <v>n_H_1</v>
      </c>
      <c r="S37" s="72" t="str">
        <f t="shared" si="4"/>
        <v>NONE</v>
      </c>
      <c r="T37" s="72" t="str">
        <f t="shared" si="4"/>
        <v>NONE</v>
      </c>
      <c r="U37" s="73" t="str">
        <f t="shared" si="4"/>
        <v>NONE</v>
      </c>
      <c r="W37" s="47"/>
      <c r="X37" s="45"/>
      <c r="Y37" s="45"/>
      <c r="Z37" s="47"/>
      <c r="AA37" s="42"/>
      <c r="AD37" s="235" t="s">
        <v>1809</v>
      </c>
      <c r="AE37" s="236"/>
      <c r="AF37" s="236"/>
      <c r="AG37" s="45"/>
    </row>
    <row r="38" spans="2:49" ht="12" thickBot="1" x14ac:dyDescent="0.25">
      <c r="B38" s="12" t="s">
        <v>129</v>
      </c>
      <c r="C38" s="95" t="s">
        <v>189</v>
      </c>
      <c r="K38" s="77">
        <f>IF(K4="","",K4)</f>
        <v>1</v>
      </c>
      <c r="L38" s="74"/>
      <c r="M38" s="74"/>
      <c r="N38" s="75"/>
      <c r="O38" s="75"/>
      <c r="P38" s="75"/>
      <c r="Q38" s="75"/>
      <c r="R38" s="75"/>
      <c r="S38" s="75"/>
      <c r="T38" s="75"/>
      <c r="U38" s="76"/>
      <c r="W38" s="47"/>
      <c r="X38" s="47"/>
      <c r="Y38" s="47"/>
      <c r="Z38" s="42"/>
      <c r="AA38" s="42"/>
      <c r="AD38" s="99" t="s">
        <v>139</v>
      </c>
      <c r="AE38" s="99" t="s">
        <v>83</v>
      </c>
      <c r="AF38" s="99" t="s">
        <v>140</v>
      </c>
      <c r="AG38" s="47"/>
    </row>
    <row r="39" spans="2:49" ht="12" thickBot="1" x14ac:dyDescent="0.25">
      <c r="B39" s="231" t="s">
        <v>457</v>
      </c>
      <c r="C39" s="232"/>
      <c r="J39" s="214" t="s">
        <v>1813</v>
      </c>
      <c r="K39" s="9">
        <f t="shared" ref="K39:K69" si="5">IF(K5="","",K5)</f>
        <v>2</v>
      </c>
      <c r="L39" s="44"/>
      <c r="M39" s="44"/>
      <c r="N39" s="6"/>
      <c r="O39" s="6"/>
      <c r="P39" s="6"/>
      <c r="Q39" s="6"/>
      <c r="R39" s="6"/>
      <c r="S39" s="6"/>
      <c r="T39" s="6"/>
      <c r="U39" s="18"/>
      <c r="W39" s="47"/>
      <c r="X39" s="47"/>
      <c r="Y39" s="42">
        <v>0.99587468435106397</v>
      </c>
      <c r="Z39" s="42">
        <v>37.991732470374799</v>
      </c>
      <c r="AA39" s="42"/>
      <c r="AD39" s="199">
        <v>0.99999640437175497</v>
      </c>
      <c r="AE39" s="199">
        <v>44.502672516347502</v>
      </c>
      <c r="AF39" s="199"/>
      <c r="AG39" s="42"/>
    </row>
    <row r="40" spans="2:49" x14ac:dyDescent="0.2">
      <c r="B40" s="11" t="s">
        <v>458</v>
      </c>
      <c r="C40" s="94">
        <v>1</v>
      </c>
      <c r="K40" s="9">
        <f t="shared" si="5"/>
        <v>3</v>
      </c>
      <c r="L40" s="44"/>
      <c r="M40" s="44"/>
      <c r="N40" s="6"/>
      <c r="O40" s="6"/>
      <c r="P40" s="6"/>
      <c r="Q40" s="6"/>
      <c r="R40" s="6"/>
      <c r="S40" s="6"/>
      <c r="T40" s="6"/>
      <c r="U40" s="18"/>
      <c r="W40" s="47"/>
      <c r="X40" s="47"/>
      <c r="Y40" s="47">
        <v>0.98463588360355503</v>
      </c>
      <c r="Z40" s="47">
        <v>36.1230686603339</v>
      </c>
      <c r="AA40" s="42"/>
      <c r="AD40" s="199">
        <v>0.99999436508032102</v>
      </c>
      <c r="AE40" s="199">
        <v>31.825919320795901</v>
      </c>
      <c r="AF40" s="199"/>
      <c r="AG40" s="47"/>
    </row>
    <row r="41" spans="2:49" ht="14.4" x14ac:dyDescent="0.3">
      <c r="B41" s="12" t="s">
        <v>459</v>
      </c>
      <c r="C41" s="95">
        <v>1</v>
      </c>
      <c r="K41" s="9">
        <f t="shared" si="5"/>
        <v>4</v>
      </c>
      <c r="L41" s="44"/>
      <c r="M41" s="44"/>
      <c r="N41" s="6"/>
      <c r="O41" s="6"/>
      <c r="P41" s="6"/>
      <c r="Q41" s="6"/>
      <c r="R41" s="6"/>
      <c r="S41" s="6"/>
      <c r="T41" s="6"/>
      <c r="U41" s="18"/>
      <c r="W41" s="47"/>
      <c r="X41" s="47"/>
      <c r="Y41" s="47">
        <v>0.60194615269555796</v>
      </c>
      <c r="Z41" s="47">
        <v>38.210826173327497</v>
      </c>
      <c r="AA41" s="47"/>
      <c r="AB41" s="42"/>
      <c r="AD41" s="199">
        <v>0.86675674812413095</v>
      </c>
      <c r="AE41" s="199">
        <v>30.626662422949199</v>
      </c>
      <c r="AF41" s="199"/>
      <c r="AU41"/>
    </row>
    <row r="42" spans="2:49" ht="14.4" x14ac:dyDescent="0.3">
      <c r="B42" s="13" t="s">
        <v>460</v>
      </c>
      <c r="C42" s="96">
        <v>1</v>
      </c>
      <c r="K42" s="9">
        <f t="shared" si="5"/>
        <v>5</v>
      </c>
      <c r="L42" s="44"/>
      <c r="M42" s="44"/>
      <c r="N42" s="6"/>
      <c r="O42" s="6"/>
      <c r="P42" s="6"/>
      <c r="Q42" s="6"/>
      <c r="R42" s="6"/>
      <c r="S42" s="6"/>
      <c r="T42" s="6"/>
      <c r="U42" s="18"/>
      <c r="W42" s="47"/>
      <c r="X42" s="47"/>
      <c r="Y42" s="47"/>
      <c r="Z42" s="47"/>
      <c r="AA42" s="47"/>
      <c r="AB42" s="42"/>
      <c r="AD42" s="199">
        <v>-1.08206900554775</v>
      </c>
      <c r="AE42" s="199">
        <v>199.112601493292</v>
      </c>
      <c r="AF42" s="199">
        <v>0.30959835323217599</v>
      </c>
      <c r="AU42"/>
    </row>
    <row r="43" spans="2:49" ht="15" thickBot="1" x14ac:dyDescent="0.35">
      <c r="B43" s="15" t="s">
        <v>461</v>
      </c>
      <c r="C43" s="98">
        <v>1</v>
      </c>
      <c r="K43" s="9">
        <f t="shared" si="5"/>
        <v>6</v>
      </c>
      <c r="L43" s="44"/>
      <c r="M43" s="44"/>
      <c r="N43" s="6"/>
      <c r="O43" s="6"/>
      <c r="P43" s="6"/>
      <c r="Q43" s="6"/>
      <c r="R43" s="6"/>
      <c r="S43" s="6"/>
      <c r="T43" s="6"/>
      <c r="U43" s="18"/>
      <c r="W43" s="47"/>
      <c r="X43" s="47"/>
      <c r="Y43" s="47"/>
      <c r="Z43" s="47"/>
      <c r="AA43" s="47"/>
      <c r="AB43" s="42"/>
      <c r="AD43" s="199">
        <v>-1.00130096023003</v>
      </c>
      <c r="AE43" s="199">
        <v>199.628926235336</v>
      </c>
      <c r="AF43" s="199">
        <v>0.29337979837472</v>
      </c>
      <c r="AU43"/>
    </row>
    <row r="44" spans="2:49" ht="15" thickBot="1" x14ac:dyDescent="0.35">
      <c r="K44" s="9">
        <f t="shared" si="5"/>
        <v>7</v>
      </c>
      <c r="L44" s="44"/>
      <c r="M44" s="44"/>
      <c r="N44" s="6"/>
      <c r="O44" s="6"/>
      <c r="P44" s="6"/>
      <c r="Q44" s="6"/>
      <c r="R44" s="6"/>
      <c r="S44" s="6"/>
      <c r="T44" s="6"/>
      <c r="U44" s="18"/>
      <c r="W44" s="42"/>
      <c r="X44" s="47"/>
      <c r="Y44" s="45">
        <v>0.57066611961402602</v>
      </c>
      <c r="Z44" s="45">
        <v>30</v>
      </c>
      <c r="AA44" s="47"/>
      <c r="AB44" s="42"/>
      <c r="AD44" s="199">
        <v>0.52803329324386505</v>
      </c>
      <c r="AE44" s="199">
        <v>30</v>
      </c>
      <c r="AF44" s="199"/>
      <c r="AU44"/>
    </row>
    <row r="45" spans="2:49" ht="15" thickBot="1" x14ac:dyDescent="0.35">
      <c r="B45" s="223" t="s">
        <v>485</v>
      </c>
      <c r="C45" s="224"/>
      <c r="K45" s="9">
        <f t="shared" si="5"/>
        <v>8</v>
      </c>
      <c r="L45" s="44"/>
      <c r="M45" s="44"/>
      <c r="N45" s="6"/>
      <c r="O45" s="6"/>
      <c r="P45" s="6"/>
      <c r="Q45" s="6"/>
      <c r="R45" s="6"/>
      <c r="S45" s="6"/>
      <c r="T45" s="6"/>
      <c r="U45" s="18"/>
      <c r="W45" s="47"/>
      <c r="X45" s="47"/>
      <c r="Y45" s="47">
        <v>0.42585318174803499</v>
      </c>
      <c r="Z45" s="47">
        <v>30.0000582843514</v>
      </c>
      <c r="AA45" s="42"/>
      <c r="AB45" s="42"/>
      <c r="AD45" s="199">
        <v>0.29956639149103498</v>
      </c>
      <c r="AE45" s="199">
        <v>30</v>
      </c>
      <c r="AF45" s="199"/>
      <c r="AU45"/>
    </row>
    <row r="46" spans="2:49" ht="14.4" x14ac:dyDescent="0.3">
      <c r="B46" s="104" t="s">
        <v>472</v>
      </c>
      <c r="C46" s="105" t="s">
        <v>81</v>
      </c>
      <c r="K46" s="9">
        <f t="shared" si="5"/>
        <v>9</v>
      </c>
      <c r="L46" s="44"/>
      <c r="M46" s="44"/>
      <c r="N46" s="6"/>
      <c r="O46" s="6"/>
      <c r="P46" s="6"/>
      <c r="Q46" s="6"/>
      <c r="R46" s="6"/>
      <c r="S46" s="6"/>
      <c r="T46" s="6"/>
      <c r="U46" s="18"/>
      <c r="W46" s="47"/>
      <c r="X46" s="47"/>
      <c r="Y46" s="47">
        <v>0.21842704089817699</v>
      </c>
      <c r="Z46" s="42">
        <v>30</v>
      </c>
      <c r="AA46" s="42"/>
      <c r="AB46" s="42"/>
      <c r="AD46" s="199">
        <v>6.8323996698897202E-2</v>
      </c>
      <c r="AE46" s="199">
        <v>30</v>
      </c>
      <c r="AF46" s="199"/>
      <c r="AU46" s="1"/>
    </row>
    <row r="47" spans="2:49" ht="14.4" x14ac:dyDescent="0.3">
      <c r="B47" s="106" t="s">
        <v>473</v>
      </c>
      <c r="C47" s="112" t="s">
        <v>81</v>
      </c>
      <c r="K47" s="9">
        <f t="shared" si="5"/>
        <v>10</v>
      </c>
      <c r="L47" s="44"/>
      <c r="M47" s="44"/>
      <c r="N47" s="6"/>
      <c r="O47" s="6"/>
      <c r="P47" s="6"/>
      <c r="Q47" s="6"/>
      <c r="R47" s="6"/>
      <c r="S47" s="6"/>
      <c r="T47" s="6"/>
      <c r="U47" s="18"/>
      <c r="W47" s="47"/>
      <c r="X47" s="47"/>
      <c r="Y47" s="47">
        <v>6.4942855265569298E-3</v>
      </c>
      <c r="Z47" s="47">
        <v>30.000005881296101</v>
      </c>
      <c r="AA47" s="47"/>
      <c r="AB47" s="42"/>
      <c r="AD47" s="200">
        <v>1.2032249793464501E-2</v>
      </c>
      <c r="AE47" s="199">
        <v>30.000002640921799</v>
      </c>
      <c r="AF47" s="199"/>
      <c r="AU47"/>
    </row>
    <row r="48" spans="2:49" ht="14.4" x14ac:dyDescent="0.3">
      <c r="B48" s="108" t="s">
        <v>474</v>
      </c>
      <c r="C48" s="112" t="s">
        <v>475</v>
      </c>
      <c r="K48" s="9">
        <f t="shared" si="5"/>
        <v>11</v>
      </c>
      <c r="L48" s="44"/>
      <c r="M48" s="44"/>
      <c r="N48" s="6"/>
      <c r="O48" s="6"/>
      <c r="P48" s="6"/>
      <c r="Q48" s="6"/>
      <c r="R48" s="6"/>
      <c r="S48" s="6"/>
      <c r="T48" s="6"/>
      <c r="U48" s="18"/>
      <c r="W48" s="42"/>
      <c r="X48" s="47"/>
      <c r="Y48" s="42">
        <v>9.9630455602135196E-2</v>
      </c>
      <c r="Z48" s="47">
        <v>30.259795806922099</v>
      </c>
      <c r="AA48" s="42"/>
      <c r="AB48" s="42"/>
      <c r="AD48" s="200">
        <v>2.61800702076905E-2</v>
      </c>
      <c r="AE48" s="199">
        <v>30.074674611292799</v>
      </c>
      <c r="AF48" s="199"/>
      <c r="AU48"/>
    </row>
    <row r="49" spans="2:47" ht="14.4" x14ac:dyDescent="0.3">
      <c r="B49" s="106" t="s">
        <v>476</v>
      </c>
      <c r="C49" s="112" t="s">
        <v>477</v>
      </c>
      <c r="K49" s="9">
        <f t="shared" si="5"/>
        <v>12</v>
      </c>
      <c r="L49" s="44"/>
      <c r="M49" s="44"/>
      <c r="N49" s="6"/>
      <c r="O49" s="6"/>
      <c r="P49" s="6"/>
      <c r="Q49" s="6"/>
      <c r="R49" s="6"/>
      <c r="S49" s="6"/>
      <c r="T49" s="6"/>
      <c r="U49" s="18"/>
      <c r="W49" s="47"/>
      <c r="X49" s="47"/>
      <c r="Y49" s="47">
        <v>5.8171125721930797E-4</v>
      </c>
      <c r="Z49" s="47">
        <v>30.017792666129701</v>
      </c>
      <c r="AA49" s="47"/>
      <c r="AB49" s="42"/>
      <c r="AD49" s="200">
        <v>7.4033335406065603E-7</v>
      </c>
      <c r="AE49" s="199">
        <v>30.0168268009967</v>
      </c>
      <c r="AF49" s="199"/>
      <c r="AU49"/>
    </row>
    <row r="50" spans="2:47" ht="14.4" x14ac:dyDescent="0.3">
      <c r="B50" s="106" t="s">
        <v>478</v>
      </c>
      <c r="C50" s="112" t="s">
        <v>479</v>
      </c>
      <c r="K50" s="9">
        <f t="shared" si="5"/>
        <v>13</v>
      </c>
      <c r="L50" s="44"/>
      <c r="M50" s="44"/>
      <c r="N50" s="6"/>
      <c r="O50" s="6"/>
      <c r="P50" s="6"/>
      <c r="Q50" s="6"/>
      <c r="R50" s="6"/>
      <c r="S50" s="6"/>
      <c r="T50" s="6"/>
      <c r="U50" s="18"/>
      <c r="W50" s="47"/>
      <c r="X50" s="47"/>
      <c r="Y50" s="47">
        <v>1.04114126599859E-5</v>
      </c>
      <c r="Z50" s="47">
        <v>30</v>
      </c>
      <c r="AA50" s="42"/>
      <c r="AB50" s="42"/>
      <c r="AD50" s="199">
        <v>1.58947268364174E-11</v>
      </c>
      <c r="AE50" s="199">
        <v>42.031575675644</v>
      </c>
      <c r="AF50" s="199"/>
      <c r="AU50"/>
    </row>
    <row r="51" spans="2:47" ht="14.4" x14ac:dyDescent="0.3">
      <c r="B51" s="106" t="s">
        <v>480</v>
      </c>
      <c r="C51" s="112">
        <v>9.1999999999999993</v>
      </c>
      <c r="K51" s="9">
        <f t="shared" si="5"/>
        <v>14</v>
      </c>
      <c r="L51" s="44"/>
      <c r="M51" s="44"/>
      <c r="N51" s="6"/>
      <c r="O51" s="6"/>
      <c r="P51" s="6"/>
      <c r="Q51" s="6"/>
      <c r="R51" s="6"/>
      <c r="S51" s="6"/>
      <c r="T51" s="6"/>
      <c r="U51" s="18"/>
      <c r="W51" s="48"/>
      <c r="Y51" s="2">
        <v>1.28343326857511E-6</v>
      </c>
      <c r="Z51" s="2">
        <v>129.899470617573</v>
      </c>
      <c r="AA51" s="43"/>
      <c r="AD51" s="199">
        <v>1.4356739639450201E-12</v>
      </c>
      <c r="AE51" s="199">
        <v>53.544005018624702</v>
      </c>
      <c r="AF51" s="199"/>
      <c r="AU51"/>
    </row>
    <row r="52" spans="2:47" ht="14.4" x14ac:dyDescent="0.3">
      <c r="B52" s="106" t="s">
        <v>481</v>
      </c>
      <c r="C52" s="112" t="s">
        <v>482</v>
      </c>
      <c r="K52" s="9">
        <f t="shared" si="5"/>
        <v>15</v>
      </c>
      <c r="L52" s="6"/>
      <c r="M52" s="6"/>
      <c r="N52" s="6"/>
      <c r="O52" s="6"/>
      <c r="P52" s="6"/>
      <c r="Q52" s="6"/>
      <c r="R52" s="6"/>
      <c r="S52" s="6"/>
      <c r="T52" s="6"/>
      <c r="U52" s="18"/>
      <c r="W52" s="48"/>
      <c r="AA52" s="43"/>
      <c r="AD52" s="200">
        <v>-3.25265607321319E-14</v>
      </c>
      <c r="AE52" s="199">
        <v>199.99996277663999</v>
      </c>
      <c r="AF52" s="199">
        <v>0.28457005660873202</v>
      </c>
      <c r="AU52"/>
    </row>
    <row r="53" spans="2:47" ht="14.4" x14ac:dyDescent="0.3">
      <c r="B53" s="106" t="s">
        <v>483</v>
      </c>
      <c r="C53" s="112" t="s">
        <v>484</v>
      </c>
      <c r="K53" s="9">
        <f t="shared" si="5"/>
        <v>16</v>
      </c>
      <c r="L53" s="6"/>
      <c r="M53" s="6"/>
      <c r="N53" s="6"/>
      <c r="O53" s="6"/>
      <c r="P53" s="6"/>
      <c r="Q53" s="6"/>
      <c r="R53" s="6"/>
      <c r="S53" s="6"/>
      <c r="T53" s="6"/>
      <c r="U53" s="18"/>
      <c r="W53" s="48"/>
      <c r="AA53" s="43"/>
      <c r="AD53" s="199">
        <v>-9.6504412164194892E-3</v>
      </c>
      <c r="AE53" s="199">
        <v>199.999989095107</v>
      </c>
      <c r="AF53" s="199">
        <v>0.99150909223920003</v>
      </c>
      <c r="AU53"/>
    </row>
    <row r="54" spans="2:47" ht="15" thickBot="1" x14ac:dyDescent="0.35">
      <c r="B54" s="110" t="s">
        <v>486</v>
      </c>
      <c r="C54" s="111" t="s">
        <v>1849</v>
      </c>
      <c r="K54" s="9">
        <f t="shared" si="5"/>
        <v>17</v>
      </c>
      <c r="L54" s="6"/>
      <c r="M54" s="6"/>
      <c r="N54" s="6"/>
      <c r="O54" s="6"/>
      <c r="P54" s="6"/>
      <c r="Q54" s="6"/>
      <c r="R54" s="6"/>
      <c r="S54" s="6"/>
      <c r="T54" s="6"/>
      <c r="U54" s="18"/>
      <c r="W54" s="48"/>
      <c r="AA54" s="43"/>
      <c r="AD54" s="199">
        <v>-0.41791088503574397</v>
      </c>
      <c r="AE54" s="199">
        <v>199.99999580968901</v>
      </c>
      <c r="AF54" s="199">
        <v>0.80333543751772696</v>
      </c>
      <c r="AU54"/>
    </row>
    <row r="55" spans="2:47" ht="15" thickBot="1" x14ac:dyDescent="0.35">
      <c r="K55" s="9">
        <f t="shared" si="5"/>
        <v>18</v>
      </c>
      <c r="L55" s="6"/>
      <c r="M55" s="6"/>
      <c r="N55" s="6"/>
      <c r="O55" s="6"/>
      <c r="P55" s="6"/>
      <c r="Q55" s="6"/>
      <c r="R55" s="6"/>
      <c r="S55" s="6"/>
      <c r="T55" s="6"/>
      <c r="U55" s="18"/>
      <c r="W55" s="48"/>
      <c r="AA55" s="43"/>
      <c r="AD55" s="199">
        <v>-0.32918999999999998</v>
      </c>
      <c r="AE55" s="199">
        <v>169.47569999999999</v>
      </c>
      <c r="AF55" s="199">
        <v>0.80215000000000003</v>
      </c>
      <c r="AU55"/>
    </row>
    <row r="56" spans="2:47" ht="15" thickBot="1" x14ac:dyDescent="0.35">
      <c r="K56" s="9">
        <f t="shared" si="5"/>
        <v>19</v>
      </c>
      <c r="L56" s="6"/>
      <c r="M56" s="6"/>
      <c r="N56" s="6"/>
      <c r="O56" s="6"/>
      <c r="P56" s="6"/>
      <c r="Q56" s="6"/>
      <c r="R56" s="6"/>
      <c r="S56" s="6"/>
      <c r="T56" s="6"/>
      <c r="U56" s="18"/>
      <c r="W56" s="48"/>
      <c r="Y56" s="99" t="s">
        <v>139</v>
      </c>
      <c r="Z56" s="99" t="s">
        <v>83</v>
      </c>
      <c r="AA56" s="43"/>
      <c r="AU56"/>
    </row>
    <row r="57" spans="2:47" ht="15" thickBot="1" x14ac:dyDescent="0.35">
      <c r="B57" s="233" t="s">
        <v>1766</v>
      </c>
      <c r="C57" s="234"/>
      <c r="K57" s="9">
        <f t="shared" si="5"/>
        <v>20</v>
      </c>
      <c r="L57" s="6"/>
      <c r="M57" s="6"/>
      <c r="N57" s="6"/>
      <c r="O57" s="6"/>
      <c r="P57" s="6"/>
      <c r="Q57" s="6"/>
      <c r="R57" s="6"/>
      <c r="S57" s="6"/>
      <c r="T57" s="6"/>
      <c r="U57" s="18"/>
      <c r="W57" s="48"/>
      <c r="Y57" s="199">
        <v>0.99999640437175497</v>
      </c>
      <c r="Z57" s="199">
        <v>44.502672516347502</v>
      </c>
      <c r="AU57"/>
    </row>
    <row r="58" spans="2:47" ht="12" thickBot="1" x14ac:dyDescent="0.25">
      <c r="B58" s="110" t="s">
        <v>1767</v>
      </c>
      <c r="C58" s="105" t="s">
        <v>1776</v>
      </c>
      <c r="K58" s="9">
        <f t="shared" si="5"/>
        <v>21</v>
      </c>
      <c r="L58" s="6"/>
      <c r="M58" s="6"/>
      <c r="N58" s="6"/>
      <c r="O58" s="6"/>
      <c r="P58" s="6"/>
      <c r="Q58" s="6"/>
      <c r="R58" s="6"/>
      <c r="S58" s="6"/>
      <c r="T58" s="6"/>
      <c r="U58" s="18"/>
      <c r="W58" s="48"/>
      <c r="Y58" s="199">
        <v>0.99999436508032102</v>
      </c>
      <c r="Z58" s="199">
        <v>31.825919320795901</v>
      </c>
    </row>
    <row r="59" spans="2:47" ht="12" thickBot="1" x14ac:dyDescent="0.25">
      <c r="B59" s="110" t="s">
        <v>1768</v>
      </c>
      <c r="C59" s="107" t="s">
        <v>1773</v>
      </c>
      <c r="K59" s="9" t="str">
        <f t="shared" si="5"/>
        <v/>
      </c>
      <c r="L59" s="6"/>
      <c r="M59" s="6"/>
      <c r="N59" s="6"/>
      <c r="O59" s="6"/>
      <c r="P59" s="6"/>
      <c r="Q59" s="6"/>
      <c r="R59" s="6"/>
      <c r="S59" s="6"/>
      <c r="T59" s="6"/>
      <c r="U59" s="18"/>
      <c r="W59" s="48"/>
      <c r="Y59" s="199">
        <v>0.86675674812413095</v>
      </c>
      <c r="Z59" s="199">
        <v>30.626662422949199</v>
      </c>
    </row>
    <row r="60" spans="2:47" ht="12" thickBot="1" x14ac:dyDescent="0.25">
      <c r="B60" s="110" t="s">
        <v>1769</v>
      </c>
      <c r="C60" s="105" t="s">
        <v>81</v>
      </c>
      <c r="K60" s="9" t="str">
        <f t="shared" si="5"/>
        <v/>
      </c>
      <c r="L60" s="6"/>
      <c r="M60" s="6"/>
      <c r="N60" s="6"/>
      <c r="O60" s="6"/>
      <c r="P60" s="6"/>
      <c r="Q60" s="6"/>
      <c r="R60" s="6"/>
      <c r="S60" s="6"/>
      <c r="T60" s="6"/>
      <c r="U60" s="18"/>
      <c r="W60" s="48"/>
      <c r="Y60" s="199"/>
      <c r="Z60" s="199"/>
    </row>
    <row r="61" spans="2:47" ht="12" thickBot="1" x14ac:dyDescent="0.25">
      <c r="B61" s="110" t="s">
        <v>1770</v>
      </c>
      <c r="C61" s="105" t="s">
        <v>81</v>
      </c>
      <c r="K61" s="9" t="str">
        <f t="shared" si="5"/>
        <v/>
      </c>
      <c r="L61" s="6"/>
      <c r="M61" s="6"/>
      <c r="N61" s="6"/>
      <c r="O61" s="6"/>
      <c r="P61" s="6"/>
      <c r="Q61" s="6"/>
      <c r="R61" s="6"/>
      <c r="S61" s="6"/>
      <c r="T61" s="6"/>
      <c r="U61" s="18"/>
      <c r="Y61" s="199"/>
      <c r="Z61" s="199"/>
    </row>
    <row r="62" spans="2:47" x14ac:dyDescent="0.2">
      <c r="K62" s="9" t="str">
        <f t="shared" si="5"/>
        <v/>
      </c>
      <c r="L62" s="6"/>
      <c r="M62" s="6"/>
      <c r="N62" s="6"/>
      <c r="O62" s="6"/>
      <c r="P62" s="6"/>
      <c r="Q62" s="6"/>
      <c r="R62" s="6"/>
      <c r="S62" s="6"/>
      <c r="T62" s="6"/>
      <c r="U62" s="18"/>
      <c r="Y62" s="199">
        <v>0.52803329324386505</v>
      </c>
      <c r="Z62" s="199">
        <v>30</v>
      </c>
    </row>
    <row r="63" spans="2:47" x14ac:dyDescent="0.2">
      <c r="K63" s="9" t="str">
        <f t="shared" si="5"/>
        <v/>
      </c>
      <c r="L63" s="6"/>
      <c r="M63" s="6"/>
      <c r="N63" s="6"/>
      <c r="O63" s="6"/>
      <c r="P63" s="6"/>
      <c r="Q63" s="6"/>
      <c r="R63" s="6"/>
      <c r="S63" s="6"/>
      <c r="T63" s="6"/>
      <c r="U63" s="18"/>
      <c r="Y63" s="199">
        <v>0.29956639149103498</v>
      </c>
      <c r="Z63" s="199">
        <v>30</v>
      </c>
    </row>
    <row r="64" spans="2:47" x14ac:dyDescent="0.2">
      <c r="K64" s="9" t="str">
        <f t="shared" si="5"/>
        <v/>
      </c>
      <c r="L64" s="6"/>
      <c r="M64" s="6"/>
      <c r="N64" s="6"/>
      <c r="O64" s="6"/>
      <c r="P64" s="6"/>
      <c r="Q64" s="6"/>
      <c r="R64" s="6"/>
      <c r="S64" s="6"/>
      <c r="T64" s="6"/>
      <c r="U64" s="18"/>
      <c r="Y64" s="199">
        <v>6.8323996698897202E-2</v>
      </c>
      <c r="Z64" s="199">
        <v>30</v>
      </c>
    </row>
    <row r="65" spans="11:26" x14ac:dyDescent="0.2">
      <c r="K65" s="9" t="str">
        <f t="shared" si="5"/>
        <v/>
      </c>
      <c r="L65" s="6"/>
      <c r="M65" s="6"/>
      <c r="N65" s="6"/>
      <c r="O65" s="6"/>
      <c r="P65" s="6"/>
      <c r="Q65" s="6"/>
      <c r="R65" s="6"/>
      <c r="S65" s="6"/>
      <c r="T65" s="6"/>
      <c r="U65" s="18"/>
      <c r="Y65" s="200">
        <v>1.2032249793464501E-2</v>
      </c>
      <c r="Z65" s="199">
        <v>30.000002640921799</v>
      </c>
    </row>
    <row r="66" spans="11:26" x14ac:dyDescent="0.2">
      <c r="K66" s="9" t="str">
        <f t="shared" si="5"/>
        <v/>
      </c>
      <c r="L66" s="6"/>
      <c r="M66" s="6"/>
      <c r="N66" s="6"/>
      <c r="O66" s="6"/>
      <c r="P66" s="6"/>
      <c r="Q66" s="6"/>
      <c r="R66" s="6"/>
      <c r="S66" s="6"/>
      <c r="T66" s="6"/>
      <c r="U66" s="18"/>
      <c r="Y66" s="200">
        <v>2.61800702076905E-2</v>
      </c>
      <c r="Z66" s="199">
        <v>30.074674611292799</v>
      </c>
    </row>
    <row r="67" spans="11:26" x14ac:dyDescent="0.2">
      <c r="K67" s="9" t="str">
        <f t="shared" si="5"/>
        <v/>
      </c>
      <c r="L67" s="6"/>
      <c r="M67" s="6"/>
      <c r="N67" s="6"/>
      <c r="O67" s="6"/>
      <c r="P67" s="6"/>
      <c r="Q67" s="6"/>
      <c r="R67" s="6"/>
      <c r="S67" s="6"/>
      <c r="T67" s="6"/>
      <c r="U67" s="18"/>
      <c r="Y67" s="200">
        <v>7.4033335406065603E-7</v>
      </c>
      <c r="Z67" s="199">
        <v>30.0168268009967</v>
      </c>
    </row>
    <row r="68" spans="11:26" x14ac:dyDescent="0.2">
      <c r="K68" s="9" t="str">
        <f t="shared" si="5"/>
        <v/>
      </c>
      <c r="L68" s="6"/>
      <c r="M68" s="6"/>
      <c r="N68" s="6"/>
      <c r="O68" s="6"/>
      <c r="P68" s="6"/>
      <c r="Q68" s="6"/>
      <c r="R68" s="6"/>
      <c r="S68" s="6"/>
      <c r="T68" s="6"/>
      <c r="U68" s="18"/>
      <c r="Y68" s="199">
        <v>1.58947268364174E-11</v>
      </c>
      <c r="Z68" s="199">
        <v>42.031575675644</v>
      </c>
    </row>
    <row r="69" spans="11:26" ht="12" thickBot="1" x14ac:dyDescent="0.25">
      <c r="K69" s="78" t="str">
        <f t="shared" si="5"/>
        <v/>
      </c>
      <c r="L69" s="19"/>
      <c r="M69" s="19"/>
      <c r="N69" s="19"/>
      <c r="O69" s="19"/>
      <c r="P69" s="19"/>
      <c r="Q69" s="19"/>
      <c r="R69" s="19"/>
      <c r="S69" s="19"/>
      <c r="T69" s="19"/>
      <c r="U69" s="20"/>
      <c r="Y69" s="199">
        <v>1.4356739639450201E-12</v>
      </c>
      <c r="Z69" s="199">
        <v>53.544005018624702</v>
      </c>
    </row>
    <row r="70" spans="11:26" ht="12" thickBot="1" x14ac:dyDescent="0.25">
      <c r="Y70" s="199"/>
      <c r="Z70" s="199"/>
    </row>
    <row r="71" spans="11:26" ht="12" thickBot="1" x14ac:dyDescent="0.25">
      <c r="K71" s="220" t="s">
        <v>131</v>
      </c>
      <c r="L71" s="221"/>
      <c r="M71" s="221"/>
      <c r="N71" s="221"/>
      <c r="O71" s="221"/>
      <c r="P71" s="221"/>
      <c r="Q71" s="221"/>
      <c r="R71" s="221"/>
      <c r="S71" s="221"/>
      <c r="T71" s="221"/>
      <c r="U71" s="222"/>
      <c r="Y71" s="199"/>
      <c r="Z71" s="199"/>
    </row>
    <row r="72" spans="11:26" ht="12" thickBot="1" x14ac:dyDescent="0.25">
      <c r="K72" s="16" t="s">
        <v>82</v>
      </c>
      <c r="L72" s="30" t="str">
        <f>L$3</f>
        <v>yB_u_1</v>
      </c>
      <c r="M72" s="30" t="str">
        <f t="shared" ref="M72:U72" si="6">M$3</f>
        <v>yB_u_2</v>
      </c>
      <c r="N72" s="30" t="str">
        <f t="shared" si="6"/>
        <v>k_H_1</v>
      </c>
      <c r="O72" s="30" t="str">
        <f>O$3</f>
        <v>k_H_2</v>
      </c>
      <c r="P72" s="30" t="str">
        <f t="shared" si="6"/>
        <v>HB_u_1</v>
      </c>
      <c r="Q72" s="30" t="str">
        <f>Q$3</f>
        <v>HB_u_2</v>
      </c>
      <c r="R72" s="30" t="str">
        <f t="shared" si="6"/>
        <v>n_H_1</v>
      </c>
      <c r="S72" s="30" t="str">
        <f t="shared" si="6"/>
        <v>NONE</v>
      </c>
      <c r="T72" s="30" t="str">
        <f t="shared" si="6"/>
        <v>NONE</v>
      </c>
      <c r="U72" s="30" t="str">
        <f t="shared" si="6"/>
        <v>NONE</v>
      </c>
      <c r="Y72" s="199"/>
      <c r="Z72" s="199"/>
    </row>
    <row r="73" spans="11:26" x14ac:dyDescent="0.2">
      <c r="K73" s="77">
        <f>IF(K4="","",K4)</f>
        <v>1</v>
      </c>
      <c r="L73" s="75"/>
      <c r="M73" s="75"/>
      <c r="N73" s="75"/>
      <c r="O73" s="75"/>
      <c r="P73" s="75"/>
      <c r="Q73" s="75"/>
      <c r="R73" s="75"/>
      <c r="S73" s="75"/>
      <c r="T73" s="75"/>
      <c r="U73" s="76"/>
      <c r="Y73" s="199"/>
      <c r="Z73" s="199"/>
    </row>
    <row r="74" spans="11:26" x14ac:dyDescent="0.2">
      <c r="K74" s="9">
        <f t="shared" ref="K74:K104" si="7">IF(K5="","",K5)</f>
        <v>2</v>
      </c>
      <c r="L74" s="6"/>
      <c r="M74" s="6"/>
      <c r="N74" s="6"/>
      <c r="O74" s="6"/>
      <c r="P74" s="6"/>
      <c r="Q74" s="6"/>
      <c r="R74" s="6"/>
      <c r="S74" s="6"/>
      <c r="T74" s="6"/>
      <c r="U74" s="18"/>
    </row>
    <row r="75" spans="11:26" x14ac:dyDescent="0.2">
      <c r="K75" s="9">
        <f t="shared" si="7"/>
        <v>3</v>
      </c>
      <c r="L75" s="6"/>
      <c r="M75" s="6"/>
      <c r="N75" s="6"/>
      <c r="O75" s="6"/>
      <c r="P75" s="6"/>
      <c r="Q75" s="6"/>
      <c r="R75" s="6"/>
      <c r="S75" s="6"/>
      <c r="T75" s="6"/>
      <c r="U75" s="18"/>
    </row>
    <row r="76" spans="11:26" x14ac:dyDescent="0.2">
      <c r="K76" s="9">
        <f t="shared" si="7"/>
        <v>4</v>
      </c>
      <c r="L76" s="6"/>
      <c r="M76" s="6"/>
      <c r="N76" s="6"/>
      <c r="O76" s="6"/>
      <c r="P76" s="6"/>
      <c r="Q76" s="6"/>
      <c r="R76" s="6"/>
      <c r="S76" s="6"/>
      <c r="T76" s="6"/>
      <c r="U76" s="18"/>
    </row>
    <row r="77" spans="11:26" x14ac:dyDescent="0.2">
      <c r="K77" s="9">
        <f t="shared" si="7"/>
        <v>5</v>
      </c>
      <c r="L77" s="6"/>
      <c r="M77" s="6"/>
      <c r="N77" s="6"/>
      <c r="O77" s="6"/>
      <c r="P77" s="6"/>
      <c r="Q77" s="6"/>
      <c r="R77" s="6"/>
      <c r="S77" s="6"/>
      <c r="T77" s="6"/>
      <c r="U77" s="18"/>
    </row>
    <row r="78" spans="11:26" x14ac:dyDescent="0.2">
      <c r="K78" s="9">
        <f t="shared" si="7"/>
        <v>6</v>
      </c>
      <c r="L78" s="6"/>
      <c r="M78" s="6"/>
      <c r="N78" s="6"/>
      <c r="O78" s="6"/>
      <c r="P78" s="6"/>
      <c r="Q78" s="6"/>
      <c r="R78" s="6"/>
      <c r="S78" s="6"/>
      <c r="T78" s="6"/>
      <c r="U78" s="18"/>
    </row>
    <row r="79" spans="11:26" x14ac:dyDescent="0.2">
      <c r="K79" s="9">
        <f t="shared" si="7"/>
        <v>7</v>
      </c>
      <c r="L79" s="6"/>
      <c r="M79" s="6"/>
      <c r="N79" s="6"/>
      <c r="O79" s="6"/>
      <c r="P79" s="6"/>
      <c r="Q79" s="6"/>
      <c r="R79" s="6"/>
      <c r="S79" s="6"/>
      <c r="T79" s="6"/>
      <c r="U79" s="18"/>
    </row>
    <row r="80" spans="11:26" x14ac:dyDescent="0.2">
      <c r="K80" s="9">
        <f t="shared" si="7"/>
        <v>8</v>
      </c>
      <c r="L80" s="6"/>
      <c r="M80" s="6"/>
      <c r="N80" s="6"/>
      <c r="O80" s="6"/>
      <c r="P80" s="6"/>
      <c r="Q80" s="6"/>
      <c r="R80" s="6"/>
      <c r="S80" s="6"/>
      <c r="T80" s="6"/>
      <c r="U80" s="18"/>
    </row>
    <row r="81" spans="11:21" x14ac:dyDescent="0.2">
      <c r="K81" s="9">
        <f t="shared" si="7"/>
        <v>9</v>
      </c>
      <c r="L81" s="6"/>
      <c r="M81" s="6"/>
      <c r="N81" s="6"/>
      <c r="O81" s="6"/>
      <c r="P81" s="6"/>
      <c r="Q81" s="6"/>
      <c r="R81" s="6"/>
      <c r="S81" s="6"/>
      <c r="T81" s="6"/>
      <c r="U81" s="18"/>
    </row>
    <row r="82" spans="11:21" x14ac:dyDescent="0.2">
      <c r="K82" s="9">
        <f t="shared" si="7"/>
        <v>10</v>
      </c>
      <c r="L82" s="6"/>
      <c r="M82" s="6"/>
      <c r="N82" s="6"/>
      <c r="O82" s="6"/>
      <c r="P82" s="6"/>
      <c r="Q82" s="6"/>
      <c r="R82" s="6"/>
      <c r="S82" s="6"/>
      <c r="T82" s="6"/>
      <c r="U82" s="18"/>
    </row>
    <row r="83" spans="11:21" x14ac:dyDescent="0.2">
      <c r="K83" s="9">
        <f t="shared" si="7"/>
        <v>11</v>
      </c>
      <c r="L83" s="6"/>
      <c r="M83" s="6"/>
      <c r="N83" s="6"/>
      <c r="O83" s="6"/>
      <c r="P83" s="6"/>
      <c r="Q83" s="6"/>
      <c r="R83" s="6"/>
      <c r="S83" s="6"/>
      <c r="T83" s="6"/>
      <c r="U83" s="18"/>
    </row>
    <row r="84" spans="11:21" x14ac:dyDescent="0.2">
      <c r="K84" s="9">
        <f t="shared" si="7"/>
        <v>12</v>
      </c>
      <c r="L84" s="6"/>
      <c r="M84" s="6"/>
      <c r="N84" s="6"/>
      <c r="O84" s="6"/>
      <c r="P84" s="6"/>
      <c r="Q84" s="6"/>
      <c r="R84" s="6"/>
      <c r="S84" s="6"/>
      <c r="T84" s="6"/>
      <c r="U84" s="18"/>
    </row>
    <row r="85" spans="11:21" x14ac:dyDescent="0.2">
      <c r="K85" s="9">
        <f t="shared" si="7"/>
        <v>13</v>
      </c>
      <c r="L85" s="6"/>
      <c r="M85" s="6"/>
      <c r="N85" s="6"/>
      <c r="O85" s="6"/>
      <c r="P85" s="6"/>
      <c r="Q85" s="6"/>
      <c r="R85" s="6"/>
      <c r="S85" s="6"/>
      <c r="T85" s="6"/>
      <c r="U85" s="18"/>
    </row>
    <row r="86" spans="11:21" x14ac:dyDescent="0.2">
      <c r="K86" s="9">
        <f t="shared" si="7"/>
        <v>14</v>
      </c>
      <c r="L86" s="6"/>
      <c r="M86" s="6"/>
      <c r="N86" s="6"/>
      <c r="O86" s="6"/>
      <c r="P86" s="6"/>
      <c r="Q86" s="6"/>
      <c r="R86" s="6"/>
      <c r="S86" s="6"/>
      <c r="T86" s="6"/>
      <c r="U86" s="18"/>
    </row>
    <row r="87" spans="11:21" x14ac:dyDescent="0.2">
      <c r="K87" s="9">
        <f t="shared" si="7"/>
        <v>15</v>
      </c>
      <c r="L87" s="6"/>
      <c r="M87" s="6"/>
      <c r="N87" s="6"/>
      <c r="O87" s="6"/>
      <c r="P87" s="6"/>
      <c r="Q87" s="6"/>
      <c r="R87" s="6"/>
      <c r="S87" s="6"/>
      <c r="T87" s="6"/>
      <c r="U87" s="18"/>
    </row>
    <row r="88" spans="11:21" x14ac:dyDescent="0.2">
      <c r="K88" s="9">
        <f t="shared" si="7"/>
        <v>16</v>
      </c>
      <c r="L88" s="6"/>
      <c r="M88" s="6"/>
      <c r="N88" s="6"/>
      <c r="O88" s="6"/>
      <c r="P88" s="6"/>
      <c r="Q88" s="6"/>
      <c r="R88" s="6"/>
      <c r="S88" s="6"/>
      <c r="T88" s="6"/>
      <c r="U88" s="18"/>
    </row>
    <row r="89" spans="11:21" x14ac:dyDescent="0.2">
      <c r="K89" s="9">
        <f t="shared" si="7"/>
        <v>17</v>
      </c>
      <c r="L89" s="6"/>
      <c r="M89" s="6"/>
      <c r="N89" s="6"/>
      <c r="O89" s="6"/>
      <c r="P89" s="6"/>
      <c r="Q89" s="6"/>
      <c r="R89" s="6"/>
      <c r="S89" s="6"/>
      <c r="T89" s="6"/>
      <c r="U89" s="18"/>
    </row>
    <row r="90" spans="11:21" x14ac:dyDescent="0.2">
      <c r="K90" s="9">
        <f t="shared" si="7"/>
        <v>18</v>
      </c>
      <c r="L90" s="6"/>
      <c r="M90" s="6"/>
      <c r="N90" s="6"/>
      <c r="O90" s="6"/>
      <c r="P90" s="6"/>
      <c r="Q90" s="6"/>
      <c r="R90" s="6"/>
      <c r="S90" s="6"/>
      <c r="T90" s="6"/>
      <c r="U90" s="18"/>
    </row>
    <row r="91" spans="11:21" x14ac:dyDescent="0.2">
      <c r="K91" s="9">
        <f t="shared" si="7"/>
        <v>19</v>
      </c>
      <c r="L91" s="6"/>
      <c r="M91" s="6"/>
      <c r="N91" s="6"/>
      <c r="O91" s="6"/>
      <c r="P91" s="6"/>
      <c r="Q91" s="6"/>
      <c r="R91" s="6"/>
      <c r="S91" s="6"/>
      <c r="T91" s="6"/>
      <c r="U91" s="18"/>
    </row>
    <row r="92" spans="11:21" x14ac:dyDescent="0.2">
      <c r="K92" s="9">
        <f t="shared" si="7"/>
        <v>20</v>
      </c>
      <c r="L92" s="6"/>
      <c r="M92" s="6"/>
      <c r="N92" s="6"/>
      <c r="O92" s="6"/>
      <c r="P92" s="6"/>
      <c r="Q92" s="6"/>
      <c r="R92" s="6"/>
      <c r="S92" s="6"/>
      <c r="T92" s="6"/>
      <c r="U92" s="18"/>
    </row>
    <row r="93" spans="11:21" x14ac:dyDescent="0.2">
      <c r="K93" s="9">
        <f t="shared" si="7"/>
        <v>21</v>
      </c>
      <c r="L93" s="6"/>
      <c r="M93" s="6"/>
      <c r="N93" s="6"/>
      <c r="O93" s="6"/>
      <c r="P93" s="6"/>
      <c r="Q93" s="6"/>
      <c r="R93" s="6"/>
      <c r="S93" s="6"/>
      <c r="T93" s="6"/>
      <c r="U93" s="18"/>
    </row>
    <row r="94" spans="11:21" x14ac:dyDescent="0.2">
      <c r="K94" s="9" t="str">
        <f t="shared" si="7"/>
        <v/>
      </c>
      <c r="L94" s="6"/>
      <c r="M94" s="6"/>
      <c r="N94" s="6"/>
      <c r="O94" s="6"/>
      <c r="P94" s="6"/>
      <c r="Q94" s="6"/>
      <c r="R94" s="6"/>
      <c r="S94" s="6"/>
      <c r="T94" s="6"/>
      <c r="U94" s="18"/>
    </row>
    <row r="95" spans="11:21" x14ac:dyDescent="0.2">
      <c r="K95" s="9" t="str">
        <f t="shared" si="7"/>
        <v/>
      </c>
      <c r="L95" s="6"/>
      <c r="M95" s="6"/>
      <c r="N95" s="6"/>
      <c r="O95" s="6"/>
      <c r="P95" s="6"/>
      <c r="Q95" s="6"/>
      <c r="R95" s="6"/>
      <c r="S95" s="6"/>
      <c r="T95" s="6"/>
      <c r="U95" s="18"/>
    </row>
    <row r="96" spans="11:21" x14ac:dyDescent="0.2">
      <c r="K96" s="9" t="str">
        <f t="shared" si="7"/>
        <v/>
      </c>
      <c r="L96" s="6"/>
      <c r="M96" s="6"/>
      <c r="N96" s="6"/>
      <c r="O96" s="6"/>
      <c r="P96" s="6"/>
      <c r="Q96" s="6"/>
      <c r="R96" s="6"/>
      <c r="S96" s="6"/>
      <c r="T96" s="6"/>
      <c r="U96" s="18"/>
    </row>
    <row r="97" spans="11:21" x14ac:dyDescent="0.2">
      <c r="K97" s="9" t="str">
        <f t="shared" si="7"/>
        <v/>
      </c>
      <c r="L97" s="6"/>
      <c r="M97" s="6"/>
      <c r="N97" s="6"/>
      <c r="O97" s="6"/>
      <c r="P97" s="6"/>
      <c r="Q97" s="6"/>
      <c r="R97" s="6"/>
      <c r="S97" s="6"/>
      <c r="T97" s="6"/>
      <c r="U97" s="18"/>
    </row>
    <row r="98" spans="11:21" x14ac:dyDescent="0.2">
      <c r="K98" s="9" t="str">
        <f t="shared" si="7"/>
        <v/>
      </c>
      <c r="L98" s="6"/>
      <c r="M98" s="6"/>
      <c r="N98" s="6"/>
      <c r="O98" s="6"/>
      <c r="P98" s="6"/>
      <c r="Q98" s="6"/>
      <c r="R98" s="6"/>
      <c r="S98" s="6"/>
      <c r="T98" s="6"/>
      <c r="U98" s="18"/>
    </row>
    <row r="99" spans="11:21" x14ac:dyDescent="0.2">
      <c r="K99" s="9" t="str">
        <f t="shared" si="7"/>
        <v/>
      </c>
      <c r="L99" s="6"/>
      <c r="M99" s="6"/>
      <c r="N99" s="6"/>
      <c r="O99" s="6"/>
      <c r="P99" s="6"/>
      <c r="Q99" s="6"/>
      <c r="R99" s="6"/>
      <c r="S99" s="6"/>
      <c r="T99" s="6"/>
      <c r="U99" s="18"/>
    </row>
    <row r="100" spans="11:21" x14ac:dyDescent="0.2">
      <c r="K100" s="9" t="str">
        <f t="shared" si="7"/>
        <v/>
      </c>
      <c r="L100" s="6"/>
      <c r="M100" s="6"/>
      <c r="N100" s="6"/>
      <c r="O100" s="6"/>
      <c r="P100" s="6"/>
      <c r="Q100" s="6"/>
      <c r="R100" s="6"/>
      <c r="S100" s="6"/>
      <c r="T100" s="6"/>
      <c r="U100" s="18"/>
    </row>
    <row r="101" spans="11:21" x14ac:dyDescent="0.2">
      <c r="K101" s="9" t="str">
        <f t="shared" si="7"/>
        <v/>
      </c>
      <c r="L101" s="6"/>
      <c r="M101" s="6"/>
      <c r="N101" s="6"/>
      <c r="O101" s="6"/>
      <c r="P101" s="6"/>
      <c r="Q101" s="6"/>
      <c r="R101" s="6"/>
      <c r="S101" s="6"/>
      <c r="T101" s="6"/>
      <c r="U101" s="18"/>
    </row>
    <row r="102" spans="11:21" x14ac:dyDescent="0.2">
      <c r="K102" s="9" t="str">
        <f t="shared" si="7"/>
        <v/>
      </c>
      <c r="L102" s="6"/>
      <c r="M102" s="6"/>
      <c r="N102" s="6"/>
      <c r="O102" s="6"/>
      <c r="P102" s="6"/>
      <c r="Q102" s="6"/>
      <c r="R102" s="6"/>
      <c r="S102" s="6"/>
      <c r="T102" s="6"/>
      <c r="U102" s="18"/>
    </row>
    <row r="103" spans="11:21" x14ac:dyDescent="0.2">
      <c r="K103" s="9" t="str">
        <f t="shared" si="7"/>
        <v/>
      </c>
      <c r="L103" s="6"/>
      <c r="M103" s="6"/>
      <c r="N103" s="6"/>
      <c r="O103" s="6"/>
      <c r="P103" s="6"/>
      <c r="Q103" s="6"/>
      <c r="R103" s="6"/>
      <c r="S103" s="6"/>
      <c r="T103" s="6"/>
      <c r="U103" s="18"/>
    </row>
    <row r="104" spans="11:21" ht="12" thickBot="1" x14ac:dyDescent="0.25">
      <c r="K104" s="78" t="str">
        <f t="shared" si="7"/>
        <v/>
      </c>
      <c r="L104" s="19"/>
      <c r="M104" s="19"/>
      <c r="N104" s="19"/>
      <c r="O104" s="19"/>
      <c r="P104" s="19"/>
      <c r="Q104" s="19"/>
      <c r="R104" s="19"/>
      <c r="S104" s="19"/>
      <c r="T104" s="19"/>
      <c r="U104" s="20"/>
    </row>
  </sheetData>
  <mergeCells count="13">
    <mergeCell ref="K71:U71"/>
    <mergeCell ref="B2:C2"/>
    <mergeCell ref="AN2:AW2"/>
    <mergeCell ref="K36:U36"/>
    <mergeCell ref="B19:C19"/>
    <mergeCell ref="W2:AL2"/>
    <mergeCell ref="B10:C10"/>
    <mergeCell ref="B14:C14"/>
    <mergeCell ref="B39:C39"/>
    <mergeCell ref="B30:C30"/>
    <mergeCell ref="B45:C45"/>
    <mergeCell ref="B57:C57"/>
    <mergeCell ref="AD37:AF37"/>
  </mergeCells>
  <phoneticPr fontId="26" type="noConversion"/>
  <dataValidations count="11">
    <dataValidation type="list" allowBlank="1" showInputMessage="1" showErrorMessage="1" sqref="C9" xr:uid="{96FEC19D-CE45-487D-8C04-DAABD1C522FD}">
      <formula1>"SWR_Max, Obs_NP, Other"</formula1>
    </dataValidation>
    <dataValidation type="list" allowBlank="1" showInputMessage="1" showErrorMessage="1" sqref="C8" xr:uid="{299E9590-F2AB-40FB-950D-BFB4DA92BC68}">
      <formula1>"sqpso, lsqnonlin"</formula1>
    </dataValidation>
    <dataValidation type="list" allowBlank="1" showInputMessage="1" showErrorMessage="1" sqref="C7" xr:uid="{3DE2C077-953B-4D69-B80C-642485AA295D}">
      <formula1>"def, mom, defmud, def_mom, def_mom_defmud, mom_defmud, def_defmud"</formula1>
    </dataValidation>
    <dataValidation type="list" allowBlank="1" showInputMessage="1" showErrorMessage="1" sqref="C6" xr:uid="{53D6207A-7749-4658-96EA-68CE5DC8E881}">
      <formula1>"Vector, Scalar, PISA Method"</formula1>
    </dataValidation>
    <dataValidation type="list" allowBlank="1" showInputMessage="1" showErrorMessage="1" sqref="C5" xr:uid="{06FE7553-B02A-4DB8-8AEE-EAD80793D383}">
      <formula1>"Non-linear least square residual, Other"</formula1>
    </dataValidation>
    <dataValidation type="list" allowBlank="1" showInputMessage="1" showErrorMessage="1" sqref="C20:C21 C11:C13 C3 C46:C47 C60:C61" xr:uid="{29957585-1230-4757-9D7B-26EF161F9D87}">
      <formula1>"On, Off"</formula1>
    </dataValidation>
    <dataValidation type="list" allowBlank="1" showInputMessage="1" showErrorMessage="1" sqref="C18" xr:uid="{56722C79-A152-4203-934B-4CBD7934567F}">
      <formula1>"Homogeneous,Layered"</formula1>
    </dataValidation>
    <dataValidation type="list" allowBlank="1" showInputMessage="1" showErrorMessage="1" sqref="AH43:AH51 X76:X86" xr:uid="{D8EA8F07-4F22-4AAB-8806-DC2A56AC4A92}">
      <formula1>#REF!</formula1>
    </dataValidation>
    <dataValidation type="list" allowBlank="1" showInputMessage="1" showErrorMessage="1" sqref="C53" xr:uid="{60B6D4A7-D956-47D4-89F3-E161EAA4EC57}">
      <formula1>"NGI,Dash"</formula1>
    </dataValidation>
    <dataValidation type="list" allowBlank="1" showInputMessage="1" showErrorMessage="1" sqref="C54" xr:uid="{CDE9C0BA-82EB-4C80-8563-8959428BD1D9}">
      <formula1>"Zhang, Normal"</formula1>
    </dataValidation>
    <dataValidation showInputMessage="1" showErrorMessage="1" sqref="F4:F24 J4:J24" xr:uid="{B9E9AB02-B5CA-4D95-90A4-57127FD66403}"/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Refresh">
                <anchor moveWithCells="1" sizeWithCells="1">
                  <from>
                    <xdr:col>1</xdr:col>
                    <xdr:colOff>2308860</xdr:colOff>
                    <xdr:row>25</xdr:row>
                    <xdr:rowOff>106680</xdr:rowOff>
                  </from>
                  <to>
                    <xdr:col>2</xdr:col>
                    <xdr:colOff>2004060</xdr:colOff>
                    <xdr:row>27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RefreshUpdateList">
                <anchor moveWithCells="1" sizeWithCells="1">
                  <from>
                    <xdr:col>1</xdr:col>
                    <xdr:colOff>22860</xdr:colOff>
                    <xdr:row>25</xdr:row>
                    <xdr:rowOff>114300</xdr:rowOff>
                  </from>
                  <to>
                    <xdr:col>1</xdr:col>
                    <xdr:colOff>2179320</xdr:colOff>
                    <xdr:row>27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421D5546-CAAC-4445-A494-937B3E666FB2}">
          <x14:formula1>
            <xm:f>Switch_options_hidden!$D$3:$D$6</xm:f>
          </x14:formula1>
          <xm:sqref>C17</xm:sqref>
        </x14:dataValidation>
        <x14:dataValidation type="list" allowBlank="1" showInputMessage="1" showErrorMessage="1" xr:uid="{0ACF57B2-64E1-4475-B72F-B4796B42F9D6}">
          <x14:formula1>
            <xm:f>Switch_options_hidden!$B$3:$B$5</xm:f>
          </x14:formula1>
          <xm:sqref>C16</xm:sqref>
        </x14:dataValidation>
        <x14:dataValidation type="list" allowBlank="1" showInputMessage="1" showErrorMessage="1" xr:uid="{20FFEB8C-CD58-4B89-931E-C6008BC0BA30}">
          <x14:formula1>
            <xm:f>Exchange!$BJ$3:$BJ$71</xm:f>
          </x14:formula1>
          <xm:sqref>Y34:AB34 AY43:BA43 AV63:BA63 AO3:AW3 W36:AC36 W33:AF33 L3:U3 Y56:Z56 AD38:AF38</xm:sqref>
        </x14:dataValidation>
        <x14:dataValidation type="list" allowBlank="1" showInputMessage="1" showErrorMessage="1" xr:uid="{2056B5AD-8712-4142-8894-B74C90531820}">
          <x14:formula1>
            <xm:f>DataFilter!#REF!</xm:f>
          </x14:formula1>
          <xm:sqref>H4:H24</xm:sqref>
        </x14:dataValidation>
        <x14:dataValidation type="list" allowBlank="1" showInputMessage="1" showErrorMessage="1" xr:uid="{F96ECFBA-3302-4AF8-88D9-18D08CF951D8}">
          <x14:formula1>
            <xm:f>Switch_options_hidden!$F$3:$F$4</xm:f>
          </x14:formula1>
          <xm:sqref>C4</xm:sqref>
        </x14:dataValidation>
        <x14:dataValidation type="list" allowBlank="1" showInputMessage="1" showErrorMessage="1" xr:uid="{B38E3CB3-1D47-4CE6-9A03-F42C151E126E}">
          <x14:formula1>
            <xm:f>Switch_options_hidden!$L$3:$L$6</xm:f>
          </x14:formula1>
          <xm:sqref>C59</xm:sqref>
        </x14:dataValidation>
        <x14:dataValidation type="list" allowBlank="1" showInputMessage="1" showErrorMessage="1" xr:uid="{02AC4813-7E69-462F-95E1-FEA5836FB9C5}">
          <x14:formula1>
            <xm:f>Switch_options_hidden!$M$3:$M$4</xm:f>
          </x14:formula1>
          <xm:sqref>C58</xm:sqref>
        </x14:dataValidation>
        <x14:dataValidation type="list" allowBlank="1" showInputMessage="1" showErrorMessage="1" xr:uid="{D91D42F4-4054-4DF6-A9F2-A07C89042C4D}">
          <x14:formula1>
            <xm:f>DataFilter!$B$2:$B$3526</xm:f>
          </x14:formula1>
          <xm:sqref>F25:F34 G4:G34</xm:sqref>
        </x14:dataValidation>
        <x14:dataValidation type="list" allowBlank="1" showInputMessage="1" showErrorMessage="1" xr:uid="{E231E27B-58C8-448B-87B4-672A6BCB727B}">
          <x14:formula1>
            <xm:f>DataFilter!$D$2:$D$3526</xm:f>
          </x14:formula1>
          <xm:sqref>I4:I24 H25:H34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AD3A0-F8A4-4B32-8BA2-0375C86AABD2}">
  <sheetPr codeName="Sheet107"/>
  <dimension ref="A1:E3526"/>
  <sheetViews>
    <sheetView topLeftCell="A1220" workbookViewId="0">
      <selection activeCell="A7" sqref="A7"/>
    </sheetView>
  </sheetViews>
  <sheetFormatPr defaultRowHeight="14.4" x14ac:dyDescent="0.3"/>
  <cols>
    <col min="1" max="1" width="23.44140625" bestFit="1" customWidth="1"/>
    <col min="2" max="2" width="14.6640625" bestFit="1" customWidth="1"/>
    <col min="3" max="3" width="9.88671875" bestFit="1" customWidth="1"/>
    <col min="4" max="4" width="5.6640625" bestFit="1" customWidth="1"/>
    <col min="5" max="5" width="10.6640625" bestFit="1" customWidth="1"/>
    <col min="6" max="6" width="11" bestFit="1" customWidth="1"/>
    <col min="7" max="7" width="8.109375" bestFit="1" customWidth="1"/>
    <col min="8" max="8" width="11" bestFit="1" customWidth="1"/>
    <col min="9" max="10" width="8.109375" bestFit="1" customWidth="1"/>
    <col min="11" max="11" width="8.33203125" bestFit="1" customWidth="1"/>
    <col min="12" max="12" width="12" bestFit="1" customWidth="1"/>
    <col min="13" max="14" width="12.6640625" bestFit="1" customWidth="1"/>
    <col min="15" max="15" width="8.109375" bestFit="1" customWidth="1"/>
    <col min="16" max="16" width="12.6640625" bestFit="1" customWidth="1"/>
    <col min="17" max="17" width="12" bestFit="1" customWidth="1"/>
    <col min="18" max="18" width="8.109375" bestFit="1" customWidth="1"/>
    <col min="19" max="19" width="8.33203125" bestFit="1" customWidth="1"/>
    <col min="20" max="20" width="12.6640625" bestFit="1" customWidth="1"/>
    <col min="21" max="21" width="12" bestFit="1" customWidth="1"/>
    <col min="22" max="22" width="8.33203125" bestFit="1" customWidth="1"/>
    <col min="23" max="26" width="12.44140625" bestFit="1" customWidth="1"/>
    <col min="27" max="30" width="8.88671875" bestFit="1" customWidth="1"/>
    <col min="31" max="31" width="8.6640625" bestFit="1" customWidth="1"/>
    <col min="32" max="32" width="11.6640625" bestFit="1" customWidth="1"/>
    <col min="33" max="34" width="8.6640625" bestFit="1" customWidth="1"/>
    <col min="35" max="35" width="8.88671875" bestFit="1" customWidth="1"/>
    <col min="36" max="36" width="11" bestFit="1" customWidth="1"/>
    <col min="37" max="38" width="8.88671875" bestFit="1" customWidth="1"/>
    <col min="39" max="39" width="9.33203125" bestFit="1" customWidth="1"/>
    <col min="40" max="40" width="9.6640625" bestFit="1" customWidth="1"/>
    <col min="41" max="42" width="9.33203125" bestFit="1" customWidth="1"/>
    <col min="43" max="43" width="9.5546875" bestFit="1" customWidth="1"/>
    <col min="44" max="44" width="9.6640625" bestFit="1" customWidth="1"/>
    <col min="45" max="46" width="9.5546875" bestFit="1" customWidth="1"/>
    <col min="47" max="47" width="8.33203125" bestFit="1" customWidth="1"/>
    <col min="48" max="48" width="9.6640625" bestFit="1" customWidth="1"/>
    <col min="49" max="50" width="8.33203125" bestFit="1" customWidth="1"/>
    <col min="51" max="51" width="8.44140625" bestFit="1" customWidth="1"/>
    <col min="52" max="52" width="10.6640625" bestFit="1" customWidth="1"/>
    <col min="53" max="53" width="9" bestFit="1" customWidth="1"/>
    <col min="54" max="54" width="8.44140625" bestFit="1" customWidth="1"/>
    <col min="55" max="58" width="13.6640625" bestFit="1" customWidth="1"/>
    <col min="59" max="59" width="10.109375" bestFit="1" customWidth="1"/>
    <col min="60" max="60" width="10.6640625" bestFit="1" customWidth="1"/>
    <col min="61" max="62" width="10.109375" bestFit="1" customWidth="1"/>
    <col min="63" max="66" width="10" bestFit="1" customWidth="1"/>
    <col min="67" max="70" width="10.109375" bestFit="1" customWidth="1"/>
  </cols>
  <sheetData>
    <row r="1" spans="1:5" x14ac:dyDescent="0.3">
      <c r="A1" t="s">
        <v>383</v>
      </c>
      <c r="B1" t="s">
        <v>384</v>
      </c>
      <c r="C1" t="s">
        <v>438</v>
      </c>
      <c r="D1" t="s">
        <v>239</v>
      </c>
      <c r="E1" t="s">
        <v>422</v>
      </c>
    </row>
    <row r="2" spans="1:5" x14ac:dyDescent="0.3">
      <c r="A2" s="49" t="s">
        <v>565</v>
      </c>
      <c r="B2" s="49" t="s">
        <v>409</v>
      </c>
      <c r="C2" s="49" t="s">
        <v>449</v>
      </c>
      <c r="D2">
        <v>0</v>
      </c>
      <c r="E2" s="49" t="s">
        <v>378</v>
      </c>
    </row>
    <row r="3" spans="1:5" x14ac:dyDescent="0.3">
      <c r="A3" s="49" t="s">
        <v>566</v>
      </c>
      <c r="B3" s="49" t="s">
        <v>409</v>
      </c>
      <c r="C3" s="49" t="s">
        <v>449</v>
      </c>
      <c r="D3">
        <v>0</v>
      </c>
      <c r="E3" s="49" t="s">
        <v>378</v>
      </c>
    </row>
    <row r="4" spans="1:5" x14ac:dyDescent="0.3">
      <c r="A4" s="49" t="s">
        <v>567</v>
      </c>
      <c r="B4" s="49" t="s">
        <v>409</v>
      </c>
      <c r="C4" s="49" t="s">
        <v>449</v>
      </c>
      <c r="D4">
        <v>0</v>
      </c>
      <c r="E4" s="49" t="s">
        <v>378</v>
      </c>
    </row>
    <row r="5" spans="1:5" x14ac:dyDescent="0.3">
      <c r="A5" s="49" t="s">
        <v>568</v>
      </c>
      <c r="B5" s="49" t="s">
        <v>409</v>
      </c>
      <c r="C5" s="49" t="s">
        <v>449</v>
      </c>
      <c r="D5">
        <v>0</v>
      </c>
      <c r="E5" s="49" t="s">
        <v>378</v>
      </c>
    </row>
    <row r="6" spans="1:5" x14ac:dyDescent="0.3">
      <c r="A6" s="49" t="s">
        <v>569</v>
      </c>
      <c r="B6" s="49" t="s">
        <v>409</v>
      </c>
      <c r="C6" s="49" t="s">
        <v>449</v>
      </c>
      <c r="D6">
        <v>0</v>
      </c>
      <c r="E6" s="49" t="s">
        <v>378</v>
      </c>
    </row>
    <row r="7" spans="1:5" x14ac:dyDescent="0.3">
      <c r="A7" s="49" t="s">
        <v>570</v>
      </c>
      <c r="B7" s="49" t="s">
        <v>409</v>
      </c>
      <c r="C7" s="49" t="s">
        <v>449</v>
      </c>
      <c r="D7">
        <v>0</v>
      </c>
      <c r="E7" s="49" t="s">
        <v>378</v>
      </c>
    </row>
    <row r="8" spans="1:5" x14ac:dyDescent="0.3">
      <c r="A8" s="49" t="s">
        <v>571</v>
      </c>
      <c r="B8" s="49" t="s">
        <v>409</v>
      </c>
      <c r="C8" s="49" t="s">
        <v>449</v>
      </c>
      <c r="D8">
        <v>0</v>
      </c>
      <c r="E8" s="49" t="s">
        <v>378</v>
      </c>
    </row>
    <row r="9" spans="1:5" x14ac:dyDescent="0.3">
      <c r="A9" s="49" t="s">
        <v>572</v>
      </c>
      <c r="B9" s="49" t="s">
        <v>409</v>
      </c>
      <c r="C9" s="49" t="s">
        <v>449</v>
      </c>
      <c r="D9">
        <v>0</v>
      </c>
      <c r="E9" s="49" t="s">
        <v>378</v>
      </c>
    </row>
    <row r="10" spans="1:5" x14ac:dyDescent="0.3">
      <c r="A10" s="49" t="s">
        <v>573</v>
      </c>
      <c r="B10" s="49" t="s">
        <v>409</v>
      </c>
      <c r="C10" s="49" t="s">
        <v>449</v>
      </c>
      <c r="D10">
        <v>0</v>
      </c>
      <c r="E10" s="49" t="s">
        <v>378</v>
      </c>
    </row>
    <row r="11" spans="1:5" x14ac:dyDescent="0.3">
      <c r="A11" s="49" t="s">
        <v>574</v>
      </c>
      <c r="B11" s="49" t="s">
        <v>409</v>
      </c>
      <c r="C11" s="49" t="s">
        <v>449</v>
      </c>
      <c r="D11">
        <v>0</v>
      </c>
      <c r="E11" s="49" t="s">
        <v>378</v>
      </c>
    </row>
    <row r="12" spans="1:5" x14ac:dyDescent="0.3">
      <c r="A12" s="49" t="s">
        <v>575</v>
      </c>
      <c r="B12" s="49" t="s">
        <v>409</v>
      </c>
      <c r="C12" s="49" t="s">
        <v>449</v>
      </c>
      <c r="D12">
        <v>0</v>
      </c>
      <c r="E12" s="49" t="s">
        <v>378</v>
      </c>
    </row>
    <row r="13" spans="1:5" x14ac:dyDescent="0.3">
      <c r="A13" s="49" t="s">
        <v>576</v>
      </c>
      <c r="B13" s="49" t="s">
        <v>409</v>
      </c>
      <c r="C13" s="49" t="s">
        <v>449</v>
      </c>
      <c r="D13">
        <v>0</v>
      </c>
      <c r="E13" s="49" t="s">
        <v>378</v>
      </c>
    </row>
    <row r="14" spans="1:5" x14ac:dyDescent="0.3">
      <c r="A14" s="49" t="s">
        <v>385</v>
      </c>
      <c r="B14" s="49" t="s">
        <v>244</v>
      </c>
      <c r="C14" s="49" t="s">
        <v>449</v>
      </c>
      <c r="D14">
        <v>0</v>
      </c>
      <c r="E14" s="49" t="s">
        <v>379</v>
      </c>
    </row>
    <row r="15" spans="1:5" x14ac:dyDescent="0.3">
      <c r="A15" s="49" t="s">
        <v>577</v>
      </c>
      <c r="B15" s="49" t="s">
        <v>578</v>
      </c>
      <c r="C15" s="49" t="s">
        <v>449</v>
      </c>
      <c r="D15">
        <v>98</v>
      </c>
      <c r="E15" s="49" t="s">
        <v>378</v>
      </c>
    </row>
    <row r="16" spans="1:5" x14ac:dyDescent="0.3">
      <c r="A16" s="49" t="s">
        <v>577</v>
      </c>
      <c r="B16" s="49" t="s">
        <v>578</v>
      </c>
      <c r="C16" s="49" t="s">
        <v>449</v>
      </c>
      <c r="D16">
        <v>99</v>
      </c>
      <c r="E16" s="49" t="s">
        <v>378</v>
      </c>
    </row>
    <row r="17" spans="1:5" x14ac:dyDescent="0.3">
      <c r="A17" s="49" t="s">
        <v>579</v>
      </c>
      <c r="B17" s="49" t="s">
        <v>578</v>
      </c>
      <c r="C17" s="49" t="s">
        <v>449</v>
      </c>
      <c r="D17">
        <v>98</v>
      </c>
      <c r="E17" s="49" t="s">
        <v>378</v>
      </c>
    </row>
    <row r="18" spans="1:5" x14ac:dyDescent="0.3">
      <c r="A18" s="49" t="s">
        <v>579</v>
      </c>
      <c r="B18" s="49" t="s">
        <v>578</v>
      </c>
      <c r="C18" s="49" t="s">
        <v>449</v>
      </c>
      <c r="D18">
        <v>99</v>
      </c>
      <c r="E18" s="49" t="s">
        <v>378</v>
      </c>
    </row>
    <row r="19" spans="1:5" x14ac:dyDescent="0.3">
      <c r="A19" s="49" t="s">
        <v>580</v>
      </c>
      <c r="B19" s="49" t="s">
        <v>578</v>
      </c>
      <c r="C19" s="49" t="s">
        <v>449</v>
      </c>
      <c r="D19">
        <v>98</v>
      </c>
      <c r="E19" s="49" t="s">
        <v>378</v>
      </c>
    </row>
    <row r="20" spans="1:5" x14ac:dyDescent="0.3">
      <c r="A20" s="49" t="s">
        <v>580</v>
      </c>
      <c r="B20" s="49" t="s">
        <v>578</v>
      </c>
      <c r="C20" s="49" t="s">
        <v>449</v>
      </c>
      <c r="D20">
        <v>99</v>
      </c>
      <c r="E20" s="49" t="s">
        <v>378</v>
      </c>
    </row>
    <row r="21" spans="1:5" x14ac:dyDescent="0.3">
      <c r="A21" s="49" t="s">
        <v>581</v>
      </c>
      <c r="B21" s="49" t="s">
        <v>578</v>
      </c>
      <c r="C21" s="49" t="s">
        <v>449</v>
      </c>
      <c r="D21">
        <v>98</v>
      </c>
      <c r="E21" s="49" t="s">
        <v>378</v>
      </c>
    </row>
    <row r="22" spans="1:5" x14ac:dyDescent="0.3">
      <c r="A22" s="49" t="s">
        <v>581</v>
      </c>
      <c r="B22" s="49" t="s">
        <v>578</v>
      </c>
      <c r="C22" s="49" t="s">
        <v>449</v>
      </c>
      <c r="D22">
        <v>99</v>
      </c>
      <c r="E22" s="49" t="s">
        <v>378</v>
      </c>
    </row>
    <row r="23" spans="1:5" x14ac:dyDescent="0.3">
      <c r="A23" s="49" t="s">
        <v>582</v>
      </c>
      <c r="B23" s="49" t="s">
        <v>578</v>
      </c>
      <c r="C23" s="49" t="s">
        <v>449</v>
      </c>
      <c r="D23">
        <v>98</v>
      </c>
      <c r="E23" s="49" t="s">
        <v>378</v>
      </c>
    </row>
    <row r="24" spans="1:5" x14ac:dyDescent="0.3">
      <c r="A24" s="49" t="s">
        <v>582</v>
      </c>
      <c r="B24" s="49" t="s">
        <v>578</v>
      </c>
      <c r="C24" s="49" t="s">
        <v>449</v>
      </c>
      <c r="D24">
        <v>99</v>
      </c>
      <c r="E24" s="49" t="s">
        <v>378</v>
      </c>
    </row>
    <row r="25" spans="1:5" x14ac:dyDescent="0.3">
      <c r="A25" s="49" t="s">
        <v>583</v>
      </c>
      <c r="B25" s="49" t="s">
        <v>578</v>
      </c>
      <c r="C25" s="49" t="s">
        <v>449</v>
      </c>
      <c r="D25">
        <v>98</v>
      </c>
      <c r="E25" s="49" t="s">
        <v>378</v>
      </c>
    </row>
    <row r="26" spans="1:5" x14ac:dyDescent="0.3">
      <c r="A26" s="49" t="s">
        <v>583</v>
      </c>
      <c r="B26" s="49" t="s">
        <v>578</v>
      </c>
      <c r="C26" s="49" t="s">
        <v>449</v>
      </c>
      <c r="D26">
        <v>99</v>
      </c>
      <c r="E26" s="49" t="s">
        <v>378</v>
      </c>
    </row>
    <row r="27" spans="1:5" x14ac:dyDescent="0.3">
      <c r="A27" s="49" t="s">
        <v>584</v>
      </c>
      <c r="B27" s="49" t="s">
        <v>578</v>
      </c>
      <c r="C27" s="49" t="s">
        <v>449</v>
      </c>
      <c r="D27">
        <v>98</v>
      </c>
      <c r="E27" s="49" t="s">
        <v>378</v>
      </c>
    </row>
    <row r="28" spans="1:5" x14ac:dyDescent="0.3">
      <c r="A28" s="49" t="s">
        <v>584</v>
      </c>
      <c r="B28" s="49" t="s">
        <v>578</v>
      </c>
      <c r="C28" s="49" t="s">
        <v>449</v>
      </c>
      <c r="D28">
        <v>99</v>
      </c>
      <c r="E28" s="49" t="s">
        <v>378</v>
      </c>
    </row>
    <row r="29" spans="1:5" x14ac:dyDescent="0.3">
      <c r="A29" s="49" t="s">
        <v>585</v>
      </c>
      <c r="B29" s="49" t="s">
        <v>578</v>
      </c>
      <c r="C29" s="49" t="s">
        <v>449</v>
      </c>
      <c r="D29">
        <v>98</v>
      </c>
      <c r="E29" s="49" t="s">
        <v>378</v>
      </c>
    </row>
    <row r="30" spans="1:5" x14ac:dyDescent="0.3">
      <c r="A30" s="49" t="s">
        <v>585</v>
      </c>
      <c r="B30" s="49" t="s">
        <v>578</v>
      </c>
      <c r="C30" s="49" t="s">
        <v>449</v>
      </c>
      <c r="D30">
        <v>99</v>
      </c>
      <c r="E30" s="49" t="s">
        <v>378</v>
      </c>
    </row>
    <row r="31" spans="1:5" x14ac:dyDescent="0.3">
      <c r="A31" s="49" t="s">
        <v>586</v>
      </c>
      <c r="B31" s="49" t="s">
        <v>578</v>
      </c>
      <c r="C31" s="49" t="s">
        <v>449</v>
      </c>
      <c r="D31">
        <v>98</v>
      </c>
      <c r="E31" s="49" t="s">
        <v>378</v>
      </c>
    </row>
    <row r="32" spans="1:5" x14ac:dyDescent="0.3">
      <c r="A32" s="49" t="s">
        <v>586</v>
      </c>
      <c r="B32" s="49" t="s">
        <v>578</v>
      </c>
      <c r="C32" s="49" t="s">
        <v>449</v>
      </c>
      <c r="D32">
        <v>99</v>
      </c>
      <c r="E32" s="49" t="s">
        <v>378</v>
      </c>
    </row>
    <row r="33" spans="1:5" x14ac:dyDescent="0.3">
      <c r="A33" s="49" t="s">
        <v>587</v>
      </c>
      <c r="B33" s="49" t="s">
        <v>578</v>
      </c>
      <c r="C33" s="49" t="s">
        <v>449</v>
      </c>
      <c r="D33">
        <v>98</v>
      </c>
      <c r="E33" s="49" t="s">
        <v>378</v>
      </c>
    </row>
    <row r="34" spans="1:5" x14ac:dyDescent="0.3">
      <c r="A34" s="49" t="s">
        <v>587</v>
      </c>
      <c r="B34" s="49" t="s">
        <v>578</v>
      </c>
      <c r="C34" s="49" t="s">
        <v>449</v>
      </c>
      <c r="D34">
        <v>99</v>
      </c>
      <c r="E34" s="49" t="s">
        <v>378</v>
      </c>
    </row>
    <row r="35" spans="1:5" x14ac:dyDescent="0.3">
      <c r="A35" s="49" t="s">
        <v>588</v>
      </c>
      <c r="B35" s="49" t="s">
        <v>578</v>
      </c>
      <c r="C35" s="49" t="s">
        <v>449</v>
      </c>
      <c r="D35">
        <v>98</v>
      </c>
      <c r="E35" s="49" t="s">
        <v>378</v>
      </c>
    </row>
    <row r="36" spans="1:5" x14ac:dyDescent="0.3">
      <c r="A36" s="49" t="s">
        <v>588</v>
      </c>
      <c r="B36" s="49" t="s">
        <v>578</v>
      </c>
      <c r="C36" s="49" t="s">
        <v>449</v>
      </c>
      <c r="D36">
        <v>99</v>
      </c>
      <c r="E36" s="49" t="s">
        <v>378</v>
      </c>
    </row>
    <row r="37" spans="1:5" x14ac:dyDescent="0.3">
      <c r="A37" s="49" t="s">
        <v>589</v>
      </c>
      <c r="B37" s="49" t="s">
        <v>578</v>
      </c>
      <c r="C37" s="49" t="s">
        <v>449</v>
      </c>
      <c r="D37">
        <v>98</v>
      </c>
      <c r="E37" s="49" t="s">
        <v>378</v>
      </c>
    </row>
    <row r="38" spans="1:5" x14ac:dyDescent="0.3">
      <c r="A38" s="49" t="s">
        <v>589</v>
      </c>
      <c r="B38" s="49" t="s">
        <v>578</v>
      </c>
      <c r="C38" s="49" t="s">
        <v>449</v>
      </c>
      <c r="D38">
        <v>99</v>
      </c>
      <c r="E38" s="49" t="s">
        <v>378</v>
      </c>
    </row>
    <row r="39" spans="1:5" x14ac:dyDescent="0.3">
      <c r="A39" s="49" t="s">
        <v>590</v>
      </c>
      <c r="B39" s="49" t="s">
        <v>578</v>
      </c>
      <c r="C39" s="49" t="s">
        <v>449</v>
      </c>
      <c r="D39">
        <v>98</v>
      </c>
      <c r="E39" s="49" t="s">
        <v>378</v>
      </c>
    </row>
    <row r="40" spans="1:5" x14ac:dyDescent="0.3">
      <c r="A40" s="49" t="s">
        <v>590</v>
      </c>
      <c r="B40" s="49" t="s">
        <v>578</v>
      </c>
      <c r="C40" s="49" t="s">
        <v>449</v>
      </c>
      <c r="D40">
        <v>99</v>
      </c>
      <c r="E40" s="49" t="s">
        <v>378</v>
      </c>
    </row>
    <row r="41" spans="1:5" x14ac:dyDescent="0.3">
      <c r="A41" s="49" t="s">
        <v>591</v>
      </c>
      <c r="B41" s="49" t="s">
        <v>578</v>
      </c>
      <c r="C41" s="49" t="s">
        <v>449</v>
      </c>
      <c r="D41">
        <v>98</v>
      </c>
      <c r="E41" s="49" t="s">
        <v>378</v>
      </c>
    </row>
    <row r="42" spans="1:5" x14ac:dyDescent="0.3">
      <c r="A42" s="49" t="s">
        <v>591</v>
      </c>
      <c r="B42" s="49" t="s">
        <v>578</v>
      </c>
      <c r="C42" s="49" t="s">
        <v>449</v>
      </c>
      <c r="D42">
        <v>99</v>
      </c>
      <c r="E42" s="49" t="s">
        <v>378</v>
      </c>
    </row>
    <row r="43" spans="1:5" x14ac:dyDescent="0.3">
      <c r="A43" s="49" t="s">
        <v>592</v>
      </c>
      <c r="B43" s="49" t="s">
        <v>578</v>
      </c>
      <c r="C43" s="49" t="s">
        <v>449</v>
      </c>
      <c r="D43">
        <v>98</v>
      </c>
      <c r="E43" s="49" t="s">
        <v>378</v>
      </c>
    </row>
    <row r="44" spans="1:5" x14ac:dyDescent="0.3">
      <c r="A44" s="49" t="s">
        <v>592</v>
      </c>
      <c r="B44" s="49" t="s">
        <v>578</v>
      </c>
      <c r="C44" s="49" t="s">
        <v>449</v>
      </c>
      <c r="D44">
        <v>99</v>
      </c>
      <c r="E44" s="49" t="s">
        <v>378</v>
      </c>
    </row>
    <row r="45" spans="1:5" x14ac:dyDescent="0.3">
      <c r="A45" s="49" t="s">
        <v>593</v>
      </c>
      <c r="B45" s="49" t="s">
        <v>578</v>
      </c>
      <c r="C45" s="49" t="s">
        <v>449</v>
      </c>
      <c r="D45">
        <v>98</v>
      </c>
      <c r="E45" s="49" t="s">
        <v>378</v>
      </c>
    </row>
    <row r="46" spans="1:5" x14ac:dyDescent="0.3">
      <c r="A46" s="49" t="s">
        <v>593</v>
      </c>
      <c r="B46" s="49" t="s">
        <v>578</v>
      </c>
      <c r="C46" s="49" t="s">
        <v>449</v>
      </c>
      <c r="D46">
        <v>99</v>
      </c>
      <c r="E46" s="49" t="s">
        <v>378</v>
      </c>
    </row>
    <row r="47" spans="1:5" x14ac:dyDescent="0.3">
      <c r="A47" s="49" t="s">
        <v>594</v>
      </c>
      <c r="B47" s="49" t="s">
        <v>578</v>
      </c>
      <c r="C47" s="49" t="s">
        <v>449</v>
      </c>
      <c r="D47">
        <v>98</v>
      </c>
      <c r="E47" s="49" t="s">
        <v>378</v>
      </c>
    </row>
    <row r="48" spans="1:5" x14ac:dyDescent="0.3">
      <c r="A48" s="49" t="s">
        <v>594</v>
      </c>
      <c r="B48" s="49" t="s">
        <v>578</v>
      </c>
      <c r="C48" s="49" t="s">
        <v>449</v>
      </c>
      <c r="D48">
        <v>99</v>
      </c>
      <c r="E48" s="49" t="s">
        <v>378</v>
      </c>
    </row>
    <row r="49" spans="1:5" x14ac:dyDescent="0.3">
      <c r="A49" s="49" t="s">
        <v>595</v>
      </c>
      <c r="B49" s="49" t="s">
        <v>578</v>
      </c>
      <c r="C49" s="49" t="s">
        <v>449</v>
      </c>
      <c r="D49">
        <v>98</v>
      </c>
      <c r="E49" s="49" t="s">
        <v>378</v>
      </c>
    </row>
    <row r="50" spans="1:5" x14ac:dyDescent="0.3">
      <c r="A50" s="49" t="s">
        <v>595</v>
      </c>
      <c r="B50" s="49" t="s">
        <v>578</v>
      </c>
      <c r="C50" s="49" t="s">
        <v>449</v>
      </c>
      <c r="D50">
        <v>99</v>
      </c>
      <c r="E50" s="49" t="s">
        <v>378</v>
      </c>
    </row>
    <row r="51" spans="1:5" x14ac:dyDescent="0.3">
      <c r="A51" s="49" t="s">
        <v>596</v>
      </c>
      <c r="B51" s="49" t="s">
        <v>578</v>
      </c>
      <c r="C51" s="49" t="s">
        <v>449</v>
      </c>
      <c r="D51">
        <v>98</v>
      </c>
      <c r="E51" s="49" t="s">
        <v>378</v>
      </c>
    </row>
    <row r="52" spans="1:5" x14ac:dyDescent="0.3">
      <c r="A52" s="49" t="s">
        <v>596</v>
      </c>
      <c r="B52" s="49" t="s">
        <v>578</v>
      </c>
      <c r="C52" s="49" t="s">
        <v>449</v>
      </c>
      <c r="D52">
        <v>99</v>
      </c>
      <c r="E52" s="49" t="s">
        <v>378</v>
      </c>
    </row>
    <row r="53" spans="1:5" x14ac:dyDescent="0.3">
      <c r="A53" s="49" t="s">
        <v>597</v>
      </c>
      <c r="B53" s="49" t="s">
        <v>578</v>
      </c>
      <c r="C53" s="49" t="s">
        <v>449</v>
      </c>
      <c r="D53">
        <v>98</v>
      </c>
      <c r="E53" s="49" t="s">
        <v>378</v>
      </c>
    </row>
    <row r="54" spans="1:5" x14ac:dyDescent="0.3">
      <c r="A54" s="49" t="s">
        <v>597</v>
      </c>
      <c r="B54" s="49" t="s">
        <v>578</v>
      </c>
      <c r="C54" s="49" t="s">
        <v>449</v>
      </c>
      <c r="D54">
        <v>99</v>
      </c>
      <c r="E54" s="49" t="s">
        <v>378</v>
      </c>
    </row>
    <row r="55" spans="1:5" x14ac:dyDescent="0.3">
      <c r="A55" s="49" t="s">
        <v>598</v>
      </c>
      <c r="B55" s="49" t="s">
        <v>578</v>
      </c>
      <c r="C55" s="49" t="s">
        <v>449</v>
      </c>
      <c r="D55">
        <v>98</v>
      </c>
      <c r="E55" s="49" t="s">
        <v>378</v>
      </c>
    </row>
    <row r="56" spans="1:5" x14ac:dyDescent="0.3">
      <c r="A56" s="49" t="s">
        <v>598</v>
      </c>
      <c r="B56" s="49" t="s">
        <v>578</v>
      </c>
      <c r="C56" s="49" t="s">
        <v>449</v>
      </c>
      <c r="D56">
        <v>99</v>
      </c>
      <c r="E56" s="49" t="s">
        <v>378</v>
      </c>
    </row>
    <row r="57" spans="1:5" x14ac:dyDescent="0.3">
      <c r="A57" s="49" t="s">
        <v>599</v>
      </c>
      <c r="B57" s="49" t="s">
        <v>578</v>
      </c>
      <c r="C57" s="49" t="s">
        <v>449</v>
      </c>
      <c r="D57">
        <v>98</v>
      </c>
      <c r="E57" s="49" t="s">
        <v>378</v>
      </c>
    </row>
    <row r="58" spans="1:5" x14ac:dyDescent="0.3">
      <c r="A58" s="49" t="s">
        <v>599</v>
      </c>
      <c r="B58" s="49" t="s">
        <v>578</v>
      </c>
      <c r="C58" s="49" t="s">
        <v>449</v>
      </c>
      <c r="D58">
        <v>99</v>
      </c>
      <c r="E58" s="49" t="s">
        <v>378</v>
      </c>
    </row>
    <row r="59" spans="1:5" x14ac:dyDescent="0.3">
      <c r="A59" s="49" t="s">
        <v>600</v>
      </c>
      <c r="B59" s="49" t="s">
        <v>578</v>
      </c>
      <c r="C59" s="49" t="s">
        <v>449</v>
      </c>
      <c r="D59">
        <v>98</v>
      </c>
      <c r="E59" s="49" t="s">
        <v>378</v>
      </c>
    </row>
    <row r="60" spans="1:5" x14ac:dyDescent="0.3">
      <c r="A60" s="49" t="s">
        <v>600</v>
      </c>
      <c r="B60" s="49" t="s">
        <v>578</v>
      </c>
      <c r="C60" s="49" t="s">
        <v>449</v>
      </c>
      <c r="D60">
        <v>99</v>
      </c>
      <c r="E60" s="49" t="s">
        <v>378</v>
      </c>
    </row>
    <row r="61" spans="1:5" x14ac:dyDescent="0.3">
      <c r="A61" s="49" t="s">
        <v>601</v>
      </c>
      <c r="B61" s="49" t="s">
        <v>578</v>
      </c>
      <c r="C61" s="49" t="s">
        <v>449</v>
      </c>
      <c r="D61">
        <v>98</v>
      </c>
      <c r="E61" s="49" t="s">
        <v>378</v>
      </c>
    </row>
    <row r="62" spans="1:5" x14ac:dyDescent="0.3">
      <c r="A62" s="49" t="s">
        <v>601</v>
      </c>
      <c r="B62" s="49" t="s">
        <v>578</v>
      </c>
      <c r="C62" s="49" t="s">
        <v>449</v>
      </c>
      <c r="D62">
        <v>99</v>
      </c>
      <c r="E62" s="49" t="s">
        <v>378</v>
      </c>
    </row>
    <row r="63" spans="1:5" x14ac:dyDescent="0.3">
      <c r="A63" s="49" t="s">
        <v>602</v>
      </c>
      <c r="B63" s="49" t="s">
        <v>578</v>
      </c>
      <c r="C63" s="49" t="s">
        <v>449</v>
      </c>
      <c r="D63">
        <v>98</v>
      </c>
      <c r="E63" s="49" t="s">
        <v>378</v>
      </c>
    </row>
    <row r="64" spans="1:5" x14ac:dyDescent="0.3">
      <c r="A64" s="49" t="s">
        <v>602</v>
      </c>
      <c r="B64" s="49" t="s">
        <v>578</v>
      </c>
      <c r="C64" s="49" t="s">
        <v>449</v>
      </c>
      <c r="D64">
        <v>99</v>
      </c>
      <c r="E64" s="49" t="s">
        <v>378</v>
      </c>
    </row>
    <row r="65" spans="1:5" x14ac:dyDescent="0.3">
      <c r="A65" s="49" t="s">
        <v>603</v>
      </c>
      <c r="B65" s="49" t="s">
        <v>578</v>
      </c>
      <c r="C65" s="49" t="s">
        <v>449</v>
      </c>
      <c r="D65">
        <v>98</v>
      </c>
      <c r="E65" s="49" t="s">
        <v>378</v>
      </c>
    </row>
    <row r="66" spans="1:5" x14ac:dyDescent="0.3">
      <c r="A66" s="49" t="s">
        <v>603</v>
      </c>
      <c r="B66" s="49" t="s">
        <v>578</v>
      </c>
      <c r="C66" s="49" t="s">
        <v>449</v>
      </c>
      <c r="D66">
        <v>99</v>
      </c>
      <c r="E66" s="49" t="s">
        <v>378</v>
      </c>
    </row>
    <row r="67" spans="1:5" x14ac:dyDescent="0.3">
      <c r="A67" s="49" t="s">
        <v>604</v>
      </c>
      <c r="B67" s="49" t="s">
        <v>578</v>
      </c>
      <c r="C67" s="49" t="s">
        <v>449</v>
      </c>
      <c r="D67">
        <v>98</v>
      </c>
      <c r="E67" s="49" t="s">
        <v>378</v>
      </c>
    </row>
    <row r="68" spans="1:5" x14ac:dyDescent="0.3">
      <c r="A68" s="49" t="s">
        <v>604</v>
      </c>
      <c r="B68" s="49" t="s">
        <v>578</v>
      </c>
      <c r="C68" s="49" t="s">
        <v>449</v>
      </c>
      <c r="D68">
        <v>99</v>
      </c>
      <c r="E68" s="49" t="s">
        <v>378</v>
      </c>
    </row>
    <row r="69" spans="1:5" x14ac:dyDescent="0.3">
      <c r="A69" s="49" t="s">
        <v>605</v>
      </c>
      <c r="B69" s="49" t="s">
        <v>578</v>
      </c>
      <c r="C69" s="49" t="s">
        <v>449</v>
      </c>
      <c r="D69">
        <v>98</v>
      </c>
      <c r="E69" s="49" t="s">
        <v>378</v>
      </c>
    </row>
    <row r="70" spans="1:5" x14ac:dyDescent="0.3">
      <c r="A70" s="49" t="s">
        <v>605</v>
      </c>
      <c r="B70" s="49" t="s">
        <v>578</v>
      </c>
      <c r="C70" s="49" t="s">
        <v>449</v>
      </c>
      <c r="D70">
        <v>99</v>
      </c>
      <c r="E70" s="49" t="s">
        <v>378</v>
      </c>
    </row>
    <row r="71" spans="1:5" x14ac:dyDescent="0.3">
      <c r="A71" s="49" t="s">
        <v>606</v>
      </c>
      <c r="B71" s="49" t="s">
        <v>578</v>
      </c>
      <c r="C71" s="49" t="s">
        <v>449</v>
      </c>
      <c r="D71">
        <v>98</v>
      </c>
      <c r="E71" s="49" t="s">
        <v>378</v>
      </c>
    </row>
    <row r="72" spans="1:5" x14ac:dyDescent="0.3">
      <c r="A72" s="49" t="s">
        <v>606</v>
      </c>
      <c r="B72" s="49" t="s">
        <v>578</v>
      </c>
      <c r="C72" s="49" t="s">
        <v>449</v>
      </c>
      <c r="D72">
        <v>99</v>
      </c>
      <c r="E72" s="49" t="s">
        <v>378</v>
      </c>
    </row>
    <row r="73" spans="1:5" x14ac:dyDescent="0.3">
      <c r="A73" s="49" t="s">
        <v>607</v>
      </c>
      <c r="B73" s="49" t="s">
        <v>578</v>
      </c>
      <c r="C73" s="49" t="s">
        <v>449</v>
      </c>
      <c r="D73">
        <v>98</v>
      </c>
      <c r="E73" s="49" t="s">
        <v>378</v>
      </c>
    </row>
    <row r="74" spans="1:5" x14ac:dyDescent="0.3">
      <c r="A74" s="49" t="s">
        <v>607</v>
      </c>
      <c r="B74" s="49" t="s">
        <v>578</v>
      </c>
      <c r="C74" s="49" t="s">
        <v>449</v>
      </c>
      <c r="D74">
        <v>99</v>
      </c>
      <c r="E74" s="49" t="s">
        <v>378</v>
      </c>
    </row>
    <row r="75" spans="1:5" x14ac:dyDescent="0.3">
      <c r="A75" s="49" t="s">
        <v>608</v>
      </c>
      <c r="B75" s="49" t="s">
        <v>578</v>
      </c>
      <c r="C75" s="49" t="s">
        <v>449</v>
      </c>
      <c r="D75">
        <v>98</v>
      </c>
      <c r="E75" s="49" t="s">
        <v>378</v>
      </c>
    </row>
    <row r="76" spans="1:5" x14ac:dyDescent="0.3">
      <c r="A76" s="49" t="s">
        <v>608</v>
      </c>
      <c r="B76" s="49" t="s">
        <v>578</v>
      </c>
      <c r="C76" s="49" t="s">
        <v>449</v>
      </c>
      <c r="D76">
        <v>99</v>
      </c>
      <c r="E76" s="49" t="s">
        <v>378</v>
      </c>
    </row>
    <row r="77" spans="1:5" x14ac:dyDescent="0.3">
      <c r="A77" s="49" t="s">
        <v>609</v>
      </c>
      <c r="B77" s="49" t="s">
        <v>578</v>
      </c>
      <c r="C77" s="49" t="s">
        <v>449</v>
      </c>
      <c r="D77">
        <v>98</v>
      </c>
      <c r="E77" s="49" t="s">
        <v>378</v>
      </c>
    </row>
    <row r="78" spans="1:5" x14ac:dyDescent="0.3">
      <c r="A78" s="49" t="s">
        <v>609</v>
      </c>
      <c r="B78" s="49" t="s">
        <v>578</v>
      </c>
      <c r="C78" s="49" t="s">
        <v>449</v>
      </c>
      <c r="D78">
        <v>99</v>
      </c>
      <c r="E78" s="49" t="s">
        <v>378</v>
      </c>
    </row>
    <row r="79" spans="1:5" x14ac:dyDescent="0.3">
      <c r="A79" s="49" t="s">
        <v>610</v>
      </c>
      <c r="B79" s="49" t="s">
        <v>578</v>
      </c>
      <c r="C79" s="49" t="s">
        <v>449</v>
      </c>
      <c r="D79">
        <v>98</v>
      </c>
      <c r="E79" s="49" t="s">
        <v>378</v>
      </c>
    </row>
    <row r="80" spans="1:5" x14ac:dyDescent="0.3">
      <c r="A80" s="49" t="s">
        <v>610</v>
      </c>
      <c r="B80" s="49" t="s">
        <v>578</v>
      </c>
      <c r="C80" s="49" t="s">
        <v>449</v>
      </c>
      <c r="D80">
        <v>99</v>
      </c>
      <c r="E80" s="49" t="s">
        <v>378</v>
      </c>
    </row>
    <row r="81" spans="1:5" x14ac:dyDescent="0.3">
      <c r="A81" s="49" t="s">
        <v>611</v>
      </c>
      <c r="B81" s="49" t="s">
        <v>578</v>
      </c>
      <c r="C81" s="49" t="s">
        <v>449</v>
      </c>
      <c r="D81">
        <v>98</v>
      </c>
      <c r="E81" s="49" t="s">
        <v>378</v>
      </c>
    </row>
    <row r="82" spans="1:5" x14ac:dyDescent="0.3">
      <c r="A82" s="49" t="s">
        <v>611</v>
      </c>
      <c r="B82" s="49" t="s">
        <v>578</v>
      </c>
      <c r="C82" s="49" t="s">
        <v>449</v>
      </c>
      <c r="D82">
        <v>99</v>
      </c>
      <c r="E82" s="49" t="s">
        <v>378</v>
      </c>
    </row>
    <row r="83" spans="1:5" x14ac:dyDescent="0.3">
      <c r="A83" s="49" t="s">
        <v>612</v>
      </c>
      <c r="B83" s="49" t="s">
        <v>578</v>
      </c>
      <c r="C83" s="49" t="s">
        <v>449</v>
      </c>
      <c r="D83">
        <v>98</v>
      </c>
      <c r="E83" s="49" t="s">
        <v>378</v>
      </c>
    </row>
    <row r="84" spans="1:5" x14ac:dyDescent="0.3">
      <c r="A84" s="49" t="s">
        <v>612</v>
      </c>
      <c r="B84" s="49" t="s">
        <v>578</v>
      </c>
      <c r="C84" s="49" t="s">
        <v>449</v>
      </c>
      <c r="D84">
        <v>99</v>
      </c>
      <c r="E84" s="49" t="s">
        <v>378</v>
      </c>
    </row>
    <row r="85" spans="1:5" x14ac:dyDescent="0.3">
      <c r="A85" s="49" t="s">
        <v>613</v>
      </c>
      <c r="B85" s="49" t="s">
        <v>578</v>
      </c>
      <c r="C85" s="49" t="s">
        <v>449</v>
      </c>
      <c r="D85">
        <v>98</v>
      </c>
      <c r="E85" s="49" t="s">
        <v>378</v>
      </c>
    </row>
    <row r="86" spans="1:5" x14ac:dyDescent="0.3">
      <c r="A86" s="49" t="s">
        <v>613</v>
      </c>
      <c r="B86" s="49" t="s">
        <v>578</v>
      </c>
      <c r="C86" s="49" t="s">
        <v>449</v>
      </c>
      <c r="D86">
        <v>99</v>
      </c>
      <c r="E86" s="49" t="s">
        <v>378</v>
      </c>
    </row>
    <row r="87" spans="1:5" x14ac:dyDescent="0.3">
      <c r="A87" s="49" t="s">
        <v>614</v>
      </c>
      <c r="B87" s="49" t="s">
        <v>578</v>
      </c>
      <c r="C87" s="49" t="s">
        <v>449</v>
      </c>
      <c r="D87">
        <v>98</v>
      </c>
      <c r="E87" s="49" t="s">
        <v>378</v>
      </c>
    </row>
    <row r="88" spans="1:5" x14ac:dyDescent="0.3">
      <c r="A88" s="49" t="s">
        <v>614</v>
      </c>
      <c r="B88" s="49" t="s">
        <v>578</v>
      </c>
      <c r="C88" s="49" t="s">
        <v>449</v>
      </c>
      <c r="D88">
        <v>99</v>
      </c>
      <c r="E88" s="49" t="s">
        <v>378</v>
      </c>
    </row>
    <row r="89" spans="1:5" x14ac:dyDescent="0.3">
      <c r="A89" s="49" t="s">
        <v>615</v>
      </c>
      <c r="B89" s="49" t="s">
        <v>578</v>
      </c>
      <c r="C89" s="49" t="s">
        <v>449</v>
      </c>
      <c r="D89">
        <v>98</v>
      </c>
      <c r="E89" s="49" t="s">
        <v>378</v>
      </c>
    </row>
    <row r="90" spans="1:5" x14ac:dyDescent="0.3">
      <c r="A90" s="49" t="s">
        <v>615</v>
      </c>
      <c r="B90" s="49" t="s">
        <v>578</v>
      </c>
      <c r="C90" s="49" t="s">
        <v>449</v>
      </c>
      <c r="D90">
        <v>99</v>
      </c>
      <c r="E90" s="49" t="s">
        <v>378</v>
      </c>
    </row>
    <row r="91" spans="1:5" x14ac:dyDescent="0.3">
      <c r="A91" s="49" t="s">
        <v>616</v>
      </c>
      <c r="B91" s="49" t="s">
        <v>578</v>
      </c>
      <c r="C91" s="49" t="s">
        <v>449</v>
      </c>
      <c r="D91">
        <v>98</v>
      </c>
      <c r="E91" s="49" t="s">
        <v>378</v>
      </c>
    </row>
    <row r="92" spans="1:5" x14ac:dyDescent="0.3">
      <c r="A92" s="49" t="s">
        <v>616</v>
      </c>
      <c r="B92" s="49" t="s">
        <v>578</v>
      </c>
      <c r="C92" s="49" t="s">
        <v>449</v>
      </c>
      <c r="D92">
        <v>99</v>
      </c>
      <c r="E92" s="49" t="s">
        <v>378</v>
      </c>
    </row>
    <row r="93" spans="1:5" x14ac:dyDescent="0.3">
      <c r="A93" s="49" t="s">
        <v>617</v>
      </c>
      <c r="B93" s="49" t="s">
        <v>578</v>
      </c>
      <c r="C93" s="49" t="s">
        <v>449</v>
      </c>
      <c r="D93">
        <v>98</v>
      </c>
      <c r="E93" s="49" t="s">
        <v>378</v>
      </c>
    </row>
    <row r="94" spans="1:5" x14ac:dyDescent="0.3">
      <c r="A94" s="49" t="s">
        <v>617</v>
      </c>
      <c r="B94" s="49" t="s">
        <v>578</v>
      </c>
      <c r="C94" s="49" t="s">
        <v>449</v>
      </c>
      <c r="D94">
        <v>99</v>
      </c>
      <c r="E94" s="49" t="s">
        <v>378</v>
      </c>
    </row>
    <row r="95" spans="1:5" x14ac:dyDescent="0.3">
      <c r="A95" s="49" t="s">
        <v>618</v>
      </c>
      <c r="B95" s="49" t="s">
        <v>578</v>
      </c>
      <c r="C95" s="49" t="s">
        <v>449</v>
      </c>
      <c r="D95">
        <v>98</v>
      </c>
      <c r="E95" s="49" t="s">
        <v>378</v>
      </c>
    </row>
    <row r="96" spans="1:5" x14ac:dyDescent="0.3">
      <c r="A96" s="49" t="s">
        <v>618</v>
      </c>
      <c r="B96" s="49" t="s">
        <v>578</v>
      </c>
      <c r="C96" s="49" t="s">
        <v>449</v>
      </c>
      <c r="D96">
        <v>99</v>
      </c>
      <c r="E96" s="49" t="s">
        <v>378</v>
      </c>
    </row>
    <row r="97" spans="1:5" x14ac:dyDescent="0.3">
      <c r="A97" s="49" t="s">
        <v>619</v>
      </c>
      <c r="B97" s="49" t="s">
        <v>578</v>
      </c>
      <c r="C97" s="49" t="s">
        <v>449</v>
      </c>
      <c r="D97">
        <v>98</v>
      </c>
      <c r="E97" s="49" t="s">
        <v>378</v>
      </c>
    </row>
    <row r="98" spans="1:5" x14ac:dyDescent="0.3">
      <c r="A98" s="49" t="s">
        <v>619</v>
      </c>
      <c r="B98" s="49" t="s">
        <v>578</v>
      </c>
      <c r="C98" s="49" t="s">
        <v>449</v>
      </c>
      <c r="D98">
        <v>99</v>
      </c>
      <c r="E98" s="49" t="s">
        <v>378</v>
      </c>
    </row>
    <row r="99" spans="1:5" x14ac:dyDescent="0.3">
      <c r="A99" s="49" t="s">
        <v>620</v>
      </c>
      <c r="B99" s="49" t="s">
        <v>578</v>
      </c>
      <c r="C99" s="49" t="s">
        <v>449</v>
      </c>
      <c r="D99">
        <v>98</v>
      </c>
      <c r="E99" s="49" t="s">
        <v>378</v>
      </c>
    </row>
    <row r="100" spans="1:5" x14ac:dyDescent="0.3">
      <c r="A100" s="49" t="s">
        <v>620</v>
      </c>
      <c r="B100" s="49" t="s">
        <v>578</v>
      </c>
      <c r="C100" s="49" t="s">
        <v>449</v>
      </c>
      <c r="D100">
        <v>99</v>
      </c>
      <c r="E100" s="49" t="s">
        <v>378</v>
      </c>
    </row>
    <row r="101" spans="1:5" x14ac:dyDescent="0.3">
      <c r="A101" s="49" t="s">
        <v>621</v>
      </c>
      <c r="B101" s="49" t="s">
        <v>578</v>
      </c>
      <c r="C101" s="49" t="s">
        <v>449</v>
      </c>
      <c r="D101">
        <v>98</v>
      </c>
      <c r="E101" s="49" t="s">
        <v>378</v>
      </c>
    </row>
    <row r="102" spans="1:5" x14ac:dyDescent="0.3">
      <c r="A102" s="49" t="s">
        <v>621</v>
      </c>
      <c r="B102" s="49" t="s">
        <v>578</v>
      </c>
      <c r="C102" s="49" t="s">
        <v>449</v>
      </c>
      <c r="D102">
        <v>99</v>
      </c>
      <c r="E102" s="49" t="s">
        <v>378</v>
      </c>
    </row>
    <row r="103" spans="1:5" x14ac:dyDescent="0.3">
      <c r="A103" s="49" t="s">
        <v>622</v>
      </c>
      <c r="B103" s="49" t="s">
        <v>578</v>
      </c>
      <c r="C103" s="49" t="s">
        <v>449</v>
      </c>
      <c r="D103">
        <v>98</v>
      </c>
      <c r="E103" s="49" t="s">
        <v>378</v>
      </c>
    </row>
    <row r="104" spans="1:5" x14ac:dyDescent="0.3">
      <c r="A104" s="49" t="s">
        <v>622</v>
      </c>
      <c r="B104" s="49" t="s">
        <v>578</v>
      </c>
      <c r="C104" s="49" t="s">
        <v>449</v>
      </c>
      <c r="D104">
        <v>99</v>
      </c>
      <c r="E104" s="49" t="s">
        <v>378</v>
      </c>
    </row>
    <row r="105" spans="1:5" x14ac:dyDescent="0.3">
      <c r="A105" s="49" t="s">
        <v>623</v>
      </c>
      <c r="B105" s="49" t="s">
        <v>578</v>
      </c>
      <c r="C105" s="49" t="s">
        <v>449</v>
      </c>
      <c r="D105">
        <v>98</v>
      </c>
      <c r="E105" s="49" t="s">
        <v>378</v>
      </c>
    </row>
    <row r="106" spans="1:5" x14ac:dyDescent="0.3">
      <c r="A106" s="49" t="s">
        <v>623</v>
      </c>
      <c r="B106" s="49" t="s">
        <v>578</v>
      </c>
      <c r="C106" s="49" t="s">
        <v>449</v>
      </c>
      <c r="D106">
        <v>99</v>
      </c>
      <c r="E106" s="49" t="s">
        <v>378</v>
      </c>
    </row>
    <row r="107" spans="1:5" x14ac:dyDescent="0.3">
      <c r="A107" s="49" t="s">
        <v>624</v>
      </c>
      <c r="B107" s="49" t="s">
        <v>578</v>
      </c>
      <c r="C107" s="49" t="s">
        <v>449</v>
      </c>
      <c r="D107">
        <v>98</v>
      </c>
      <c r="E107" s="49" t="s">
        <v>378</v>
      </c>
    </row>
    <row r="108" spans="1:5" x14ac:dyDescent="0.3">
      <c r="A108" s="49" t="s">
        <v>624</v>
      </c>
      <c r="B108" s="49" t="s">
        <v>578</v>
      </c>
      <c r="C108" s="49" t="s">
        <v>449</v>
      </c>
      <c r="D108">
        <v>99</v>
      </c>
      <c r="E108" s="49" t="s">
        <v>378</v>
      </c>
    </row>
    <row r="109" spans="1:5" x14ac:dyDescent="0.3">
      <c r="A109" s="49" t="s">
        <v>625</v>
      </c>
      <c r="B109" s="49" t="s">
        <v>578</v>
      </c>
      <c r="C109" s="49" t="s">
        <v>449</v>
      </c>
      <c r="D109">
        <v>98</v>
      </c>
      <c r="E109" s="49" t="s">
        <v>378</v>
      </c>
    </row>
    <row r="110" spans="1:5" x14ac:dyDescent="0.3">
      <c r="A110" s="49" t="s">
        <v>625</v>
      </c>
      <c r="B110" s="49" t="s">
        <v>578</v>
      </c>
      <c r="C110" s="49" t="s">
        <v>449</v>
      </c>
      <c r="D110">
        <v>99</v>
      </c>
      <c r="E110" s="49" t="s">
        <v>378</v>
      </c>
    </row>
    <row r="111" spans="1:5" x14ac:dyDescent="0.3">
      <c r="A111" s="49" t="s">
        <v>626</v>
      </c>
      <c r="B111" s="49" t="s">
        <v>578</v>
      </c>
      <c r="C111" s="49" t="s">
        <v>449</v>
      </c>
      <c r="D111">
        <v>98</v>
      </c>
      <c r="E111" s="49" t="s">
        <v>378</v>
      </c>
    </row>
    <row r="112" spans="1:5" x14ac:dyDescent="0.3">
      <c r="A112" s="49" t="s">
        <v>626</v>
      </c>
      <c r="B112" s="49" t="s">
        <v>578</v>
      </c>
      <c r="C112" s="49" t="s">
        <v>449</v>
      </c>
      <c r="D112">
        <v>99</v>
      </c>
      <c r="E112" s="49" t="s">
        <v>378</v>
      </c>
    </row>
    <row r="113" spans="1:5" x14ac:dyDescent="0.3">
      <c r="A113" s="49" t="s">
        <v>627</v>
      </c>
      <c r="B113" s="49" t="s">
        <v>578</v>
      </c>
      <c r="C113" s="49" t="s">
        <v>449</v>
      </c>
      <c r="D113">
        <v>98</v>
      </c>
      <c r="E113" s="49" t="s">
        <v>378</v>
      </c>
    </row>
    <row r="114" spans="1:5" x14ac:dyDescent="0.3">
      <c r="A114" s="49" t="s">
        <v>627</v>
      </c>
      <c r="B114" s="49" t="s">
        <v>578</v>
      </c>
      <c r="C114" s="49" t="s">
        <v>449</v>
      </c>
      <c r="D114">
        <v>99</v>
      </c>
      <c r="E114" s="49" t="s">
        <v>378</v>
      </c>
    </row>
    <row r="115" spans="1:5" x14ac:dyDescent="0.3">
      <c r="A115" s="49" t="s">
        <v>628</v>
      </c>
      <c r="B115" s="49" t="s">
        <v>578</v>
      </c>
      <c r="C115" s="49" t="s">
        <v>449</v>
      </c>
      <c r="D115">
        <v>98</v>
      </c>
      <c r="E115" s="49" t="s">
        <v>378</v>
      </c>
    </row>
    <row r="116" spans="1:5" x14ac:dyDescent="0.3">
      <c r="A116" s="49" t="s">
        <v>628</v>
      </c>
      <c r="B116" s="49" t="s">
        <v>578</v>
      </c>
      <c r="C116" s="49" t="s">
        <v>449</v>
      </c>
      <c r="D116">
        <v>99</v>
      </c>
      <c r="E116" s="49" t="s">
        <v>378</v>
      </c>
    </row>
    <row r="117" spans="1:5" x14ac:dyDescent="0.3">
      <c r="A117" s="49" t="s">
        <v>629</v>
      </c>
      <c r="B117" s="49" t="s">
        <v>578</v>
      </c>
      <c r="C117" s="49" t="s">
        <v>449</v>
      </c>
      <c r="D117">
        <v>98</v>
      </c>
      <c r="E117" s="49" t="s">
        <v>378</v>
      </c>
    </row>
    <row r="118" spans="1:5" x14ac:dyDescent="0.3">
      <c r="A118" s="49" t="s">
        <v>629</v>
      </c>
      <c r="B118" s="49" t="s">
        <v>578</v>
      </c>
      <c r="C118" s="49" t="s">
        <v>449</v>
      </c>
      <c r="D118">
        <v>99</v>
      </c>
      <c r="E118" s="49" t="s">
        <v>378</v>
      </c>
    </row>
    <row r="119" spans="1:5" x14ac:dyDescent="0.3">
      <c r="A119" s="49" t="s">
        <v>630</v>
      </c>
      <c r="B119" s="49" t="s">
        <v>578</v>
      </c>
      <c r="C119" s="49" t="s">
        <v>449</v>
      </c>
      <c r="D119">
        <v>98</v>
      </c>
      <c r="E119" s="49" t="s">
        <v>378</v>
      </c>
    </row>
    <row r="120" spans="1:5" x14ac:dyDescent="0.3">
      <c r="A120" s="49" t="s">
        <v>630</v>
      </c>
      <c r="B120" s="49" t="s">
        <v>578</v>
      </c>
      <c r="C120" s="49" t="s">
        <v>449</v>
      </c>
      <c r="D120">
        <v>99</v>
      </c>
      <c r="E120" s="49" t="s">
        <v>378</v>
      </c>
    </row>
    <row r="121" spans="1:5" x14ac:dyDescent="0.3">
      <c r="A121" s="49" t="s">
        <v>631</v>
      </c>
      <c r="B121" s="49" t="s">
        <v>578</v>
      </c>
      <c r="C121" s="49" t="s">
        <v>449</v>
      </c>
      <c r="D121">
        <v>98</v>
      </c>
      <c r="E121" s="49" t="s">
        <v>378</v>
      </c>
    </row>
    <row r="122" spans="1:5" x14ac:dyDescent="0.3">
      <c r="A122" s="49" t="s">
        <v>631</v>
      </c>
      <c r="B122" s="49" t="s">
        <v>578</v>
      </c>
      <c r="C122" s="49" t="s">
        <v>449</v>
      </c>
      <c r="D122">
        <v>99</v>
      </c>
      <c r="E122" s="49" t="s">
        <v>378</v>
      </c>
    </row>
    <row r="123" spans="1:5" x14ac:dyDescent="0.3">
      <c r="A123" s="49" t="s">
        <v>632</v>
      </c>
      <c r="B123" s="49" t="s">
        <v>578</v>
      </c>
      <c r="C123" s="49" t="s">
        <v>449</v>
      </c>
      <c r="D123">
        <v>98</v>
      </c>
      <c r="E123" s="49" t="s">
        <v>378</v>
      </c>
    </row>
    <row r="124" spans="1:5" x14ac:dyDescent="0.3">
      <c r="A124" s="49" t="s">
        <v>632</v>
      </c>
      <c r="B124" s="49" t="s">
        <v>578</v>
      </c>
      <c r="C124" s="49" t="s">
        <v>449</v>
      </c>
      <c r="D124">
        <v>99</v>
      </c>
      <c r="E124" s="49" t="s">
        <v>378</v>
      </c>
    </row>
    <row r="125" spans="1:5" x14ac:dyDescent="0.3">
      <c r="A125" s="49" t="s">
        <v>633</v>
      </c>
      <c r="B125" s="49" t="s">
        <v>578</v>
      </c>
      <c r="C125" s="49" t="s">
        <v>449</v>
      </c>
      <c r="D125">
        <v>98</v>
      </c>
      <c r="E125" s="49" t="s">
        <v>378</v>
      </c>
    </row>
    <row r="126" spans="1:5" x14ac:dyDescent="0.3">
      <c r="A126" s="49" t="s">
        <v>633</v>
      </c>
      <c r="B126" s="49" t="s">
        <v>578</v>
      </c>
      <c r="C126" s="49" t="s">
        <v>449</v>
      </c>
      <c r="D126">
        <v>99</v>
      </c>
      <c r="E126" s="49" t="s">
        <v>378</v>
      </c>
    </row>
    <row r="127" spans="1:5" x14ac:dyDescent="0.3">
      <c r="A127" s="49" t="s">
        <v>634</v>
      </c>
      <c r="B127" s="49" t="s">
        <v>578</v>
      </c>
      <c r="C127" s="49" t="s">
        <v>449</v>
      </c>
      <c r="D127">
        <v>98</v>
      </c>
      <c r="E127" s="49" t="s">
        <v>378</v>
      </c>
    </row>
    <row r="128" spans="1:5" x14ac:dyDescent="0.3">
      <c r="A128" s="49" t="s">
        <v>634</v>
      </c>
      <c r="B128" s="49" t="s">
        <v>578</v>
      </c>
      <c r="C128" s="49" t="s">
        <v>449</v>
      </c>
      <c r="D128">
        <v>99</v>
      </c>
      <c r="E128" s="49" t="s">
        <v>378</v>
      </c>
    </row>
    <row r="129" spans="1:5" x14ac:dyDescent="0.3">
      <c r="A129" s="49" t="s">
        <v>635</v>
      </c>
      <c r="B129" s="49" t="s">
        <v>578</v>
      </c>
      <c r="C129" s="49" t="s">
        <v>449</v>
      </c>
      <c r="D129">
        <v>98</v>
      </c>
      <c r="E129" s="49" t="s">
        <v>378</v>
      </c>
    </row>
    <row r="130" spans="1:5" x14ac:dyDescent="0.3">
      <c r="A130" s="49" t="s">
        <v>635</v>
      </c>
      <c r="B130" s="49" t="s">
        <v>578</v>
      </c>
      <c r="C130" s="49" t="s">
        <v>449</v>
      </c>
      <c r="D130">
        <v>99</v>
      </c>
      <c r="E130" s="49" t="s">
        <v>378</v>
      </c>
    </row>
    <row r="131" spans="1:5" x14ac:dyDescent="0.3">
      <c r="A131" s="49" t="s">
        <v>636</v>
      </c>
      <c r="B131" s="49" t="s">
        <v>578</v>
      </c>
      <c r="C131" s="49" t="s">
        <v>449</v>
      </c>
      <c r="D131">
        <v>98</v>
      </c>
      <c r="E131" s="49" t="s">
        <v>378</v>
      </c>
    </row>
    <row r="132" spans="1:5" x14ac:dyDescent="0.3">
      <c r="A132" s="49" t="s">
        <v>636</v>
      </c>
      <c r="B132" s="49" t="s">
        <v>578</v>
      </c>
      <c r="C132" s="49" t="s">
        <v>449</v>
      </c>
      <c r="D132">
        <v>99</v>
      </c>
      <c r="E132" s="49" t="s">
        <v>378</v>
      </c>
    </row>
    <row r="133" spans="1:5" x14ac:dyDescent="0.3">
      <c r="A133" s="49" t="s">
        <v>637</v>
      </c>
      <c r="B133" s="49" t="s">
        <v>578</v>
      </c>
      <c r="C133" s="49" t="s">
        <v>449</v>
      </c>
      <c r="D133">
        <v>98</v>
      </c>
      <c r="E133" s="49" t="s">
        <v>378</v>
      </c>
    </row>
    <row r="134" spans="1:5" x14ac:dyDescent="0.3">
      <c r="A134" s="49" t="s">
        <v>637</v>
      </c>
      <c r="B134" s="49" t="s">
        <v>578</v>
      </c>
      <c r="C134" s="49" t="s">
        <v>449</v>
      </c>
      <c r="D134">
        <v>99</v>
      </c>
      <c r="E134" s="49" t="s">
        <v>378</v>
      </c>
    </row>
    <row r="135" spans="1:5" x14ac:dyDescent="0.3">
      <c r="A135" s="49" t="s">
        <v>638</v>
      </c>
      <c r="B135" s="49" t="s">
        <v>578</v>
      </c>
      <c r="C135" s="49" t="s">
        <v>449</v>
      </c>
      <c r="D135">
        <v>98</v>
      </c>
      <c r="E135" s="49" t="s">
        <v>378</v>
      </c>
    </row>
    <row r="136" spans="1:5" x14ac:dyDescent="0.3">
      <c r="A136" s="49" t="s">
        <v>638</v>
      </c>
      <c r="B136" s="49" t="s">
        <v>578</v>
      </c>
      <c r="C136" s="49" t="s">
        <v>449</v>
      </c>
      <c r="D136">
        <v>99</v>
      </c>
      <c r="E136" s="49" t="s">
        <v>378</v>
      </c>
    </row>
    <row r="137" spans="1:5" x14ac:dyDescent="0.3">
      <c r="A137" s="49" t="s">
        <v>639</v>
      </c>
      <c r="B137" s="49" t="s">
        <v>578</v>
      </c>
      <c r="C137" s="49" t="s">
        <v>449</v>
      </c>
      <c r="D137">
        <v>98</v>
      </c>
      <c r="E137" s="49" t="s">
        <v>378</v>
      </c>
    </row>
    <row r="138" spans="1:5" x14ac:dyDescent="0.3">
      <c r="A138" s="49" t="s">
        <v>639</v>
      </c>
      <c r="B138" s="49" t="s">
        <v>578</v>
      </c>
      <c r="C138" s="49" t="s">
        <v>449</v>
      </c>
      <c r="D138">
        <v>99</v>
      </c>
      <c r="E138" s="49" t="s">
        <v>378</v>
      </c>
    </row>
    <row r="139" spans="1:5" x14ac:dyDescent="0.3">
      <c r="A139" s="49" t="s">
        <v>640</v>
      </c>
      <c r="B139" s="49" t="s">
        <v>578</v>
      </c>
      <c r="C139" s="49" t="s">
        <v>449</v>
      </c>
      <c r="D139">
        <v>98</v>
      </c>
      <c r="E139" s="49" t="s">
        <v>378</v>
      </c>
    </row>
    <row r="140" spans="1:5" x14ac:dyDescent="0.3">
      <c r="A140" s="49" t="s">
        <v>640</v>
      </c>
      <c r="B140" s="49" t="s">
        <v>578</v>
      </c>
      <c r="C140" s="49" t="s">
        <v>449</v>
      </c>
      <c r="D140">
        <v>99</v>
      </c>
      <c r="E140" s="49" t="s">
        <v>378</v>
      </c>
    </row>
    <row r="141" spans="1:5" x14ac:dyDescent="0.3">
      <c r="A141" s="49" t="s">
        <v>641</v>
      </c>
      <c r="B141" s="49" t="s">
        <v>578</v>
      </c>
      <c r="C141" s="49" t="s">
        <v>449</v>
      </c>
      <c r="D141">
        <v>98</v>
      </c>
      <c r="E141" s="49" t="s">
        <v>378</v>
      </c>
    </row>
    <row r="142" spans="1:5" x14ac:dyDescent="0.3">
      <c r="A142" s="49" t="s">
        <v>641</v>
      </c>
      <c r="B142" s="49" t="s">
        <v>578</v>
      </c>
      <c r="C142" s="49" t="s">
        <v>449</v>
      </c>
      <c r="D142">
        <v>99</v>
      </c>
      <c r="E142" s="49" t="s">
        <v>378</v>
      </c>
    </row>
    <row r="143" spans="1:5" x14ac:dyDescent="0.3">
      <c r="A143" s="49" t="s">
        <v>642</v>
      </c>
      <c r="B143" s="49" t="s">
        <v>578</v>
      </c>
      <c r="C143" s="49" t="s">
        <v>449</v>
      </c>
      <c r="D143">
        <v>98</v>
      </c>
      <c r="E143" s="49" t="s">
        <v>378</v>
      </c>
    </row>
    <row r="144" spans="1:5" x14ac:dyDescent="0.3">
      <c r="A144" s="49" t="s">
        <v>642</v>
      </c>
      <c r="B144" s="49" t="s">
        <v>578</v>
      </c>
      <c r="C144" s="49" t="s">
        <v>449</v>
      </c>
      <c r="D144">
        <v>99</v>
      </c>
      <c r="E144" s="49" t="s">
        <v>378</v>
      </c>
    </row>
    <row r="145" spans="1:5" x14ac:dyDescent="0.3">
      <c r="A145" s="49" t="s">
        <v>643</v>
      </c>
      <c r="B145" s="49" t="s">
        <v>578</v>
      </c>
      <c r="C145" s="49" t="s">
        <v>449</v>
      </c>
      <c r="D145">
        <v>98</v>
      </c>
      <c r="E145" s="49" t="s">
        <v>378</v>
      </c>
    </row>
    <row r="146" spans="1:5" x14ac:dyDescent="0.3">
      <c r="A146" s="49" t="s">
        <v>643</v>
      </c>
      <c r="B146" s="49" t="s">
        <v>578</v>
      </c>
      <c r="C146" s="49" t="s">
        <v>449</v>
      </c>
      <c r="D146">
        <v>99</v>
      </c>
      <c r="E146" s="49" t="s">
        <v>378</v>
      </c>
    </row>
    <row r="147" spans="1:5" x14ac:dyDescent="0.3">
      <c r="A147" s="49" t="s">
        <v>644</v>
      </c>
      <c r="B147" s="49" t="s">
        <v>578</v>
      </c>
      <c r="C147" s="49" t="s">
        <v>449</v>
      </c>
      <c r="D147">
        <v>98</v>
      </c>
      <c r="E147" s="49" t="s">
        <v>378</v>
      </c>
    </row>
    <row r="148" spans="1:5" x14ac:dyDescent="0.3">
      <c r="A148" s="49" t="s">
        <v>644</v>
      </c>
      <c r="B148" s="49" t="s">
        <v>578</v>
      </c>
      <c r="C148" s="49" t="s">
        <v>449</v>
      </c>
      <c r="D148">
        <v>99</v>
      </c>
      <c r="E148" s="49" t="s">
        <v>378</v>
      </c>
    </row>
    <row r="149" spans="1:5" x14ac:dyDescent="0.3">
      <c r="A149" s="49" t="s">
        <v>645</v>
      </c>
      <c r="B149" s="49" t="s">
        <v>578</v>
      </c>
      <c r="C149" s="49" t="s">
        <v>449</v>
      </c>
      <c r="D149">
        <v>98</v>
      </c>
      <c r="E149" s="49" t="s">
        <v>378</v>
      </c>
    </row>
    <row r="150" spans="1:5" x14ac:dyDescent="0.3">
      <c r="A150" s="49" t="s">
        <v>645</v>
      </c>
      <c r="B150" s="49" t="s">
        <v>578</v>
      </c>
      <c r="C150" s="49" t="s">
        <v>449</v>
      </c>
      <c r="D150">
        <v>99</v>
      </c>
      <c r="E150" s="49" t="s">
        <v>378</v>
      </c>
    </row>
    <row r="151" spans="1:5" x14ac:dyDescent="0.3">
      <c r="A151" s="49" t="s">
        <v>646</v>
      </c>
      <c r="B151" s="49" t="s">
        <v>578</v>
      </c>
      <c r="C151" s="49" t="s">
        <v>449</v>
      </c>
      <c r="D151">
        <v>98</v>
      </c>
      <c r="E151" s="49" t="s">
        <v>378</v>
      </c>
    </row>
    <row r="152" spans="1:5" x14ac:dyDescent="0.3">
      <c r="A152" s="49" t="s">
        <v>646</v>
      </c>
      <c r="B152" s="49" t="s">
        <v>578</v>
      </c>
      <c r="C152" s="49" t="s">
        <v>449</v>
      </c>
      <c r="D152">
        <v>99</v>
      </c>
      <c r="E152" s="49" t="s">
        <v>378</v>
      </c>
    </row>
    <row r="153" spans="1:5" x14ac:dyDescent="0.3">
      <c r="A153" s="49" t="s">
        <v>647</v>
      </c>
      <c r="B153" s="49" t="s">
        <v>578</v>
      </c>
      <c r="C153" s="49" t="s">
        <v>449</v>
      </c>
      <c r="D153">
        <v>98</v>
      </c>
      <c r="E153" s="49" t="s">
        <v>378</v>
      </c>
    </row>
    <row r="154" spans="1:5" x14ac:dyDescent="0.3">
      <c r="A154" s="49" t="s">
        <v>647</v>
      </c>
      <c r="B154" s="49" t="s">
        <v>578</v>
      </c>
      <c r="C154" s="49" t="s">
        <v>449</v>
      </c>
      <c r="D154">
        <v>99</v>
      </c>
      <c r="E154" s="49" t="s">
        <v>378</v>
      </c>
    </row>
    <row r="155" spans="1:5" x14ac:dyDescent="0.3">
      <c r="A155" s="49" t="s">
        <v>648</v>
      </c>
      <c r="B155" s="49" t="s">
        <v>578</v>
      </c>
      <c r="C155" s="49" t="s">
        <v>449</v>
      </c>
      <c r="D155">
        <v>98</v>
      </c>
      <c r="E155" s="49" t="s">
        <v>378</v>
      </c>
    </row>
    <row r="156" spans="1:5" x14ac:dyDescent="0.3">
      <c r="A156" s="49" t="s">
        <v>648</v>
      </c>
      <c r="B156" s="49" t="s">
        <v>578</v>
      </c>
      <c r="C156" s="49" t="s">
        <v>449</v>
      </c>
      <c r="D156">
        <v>99</v>
      </c>
      <c r="E156" s="49" t="s">
        <v>378</v>
      </c>
    </row>
    <row r="157" spans="1:5" x14ac:dyDescent="0.3">
      <c r="A157" s="49" t="s">
        <v>649</v>
      </c>
      <c r="B157" s="49" t="s">
        <v>578</v>
      </c>
      <c r="C157" s="49" t="s">
        <v>449</v>
      </c>
      <c r="D157">
        <v>98</v>
      </c>
      <c r="E157" s="49" t="s">
        <v>378</v>
      </c>
    </row>
    <row r="158" spans="1:5" x14ac:dyDescent="0.3">
      <c r="A158" s="49" t="s">
        <v>649</v>
      </c>
      <c r="B158" s="49" t="s">
        <v>578</v>
      </c>
      <c r="C158" s="49" t="s">
        <v>449</v>
      </c>
      <c r="D158">
        <v>99</v>
      </c>
      <c r="E158" s="49" t="s">
        <v>378</v>
      </c>
    </row>
    <row r="159" spans="1:5" x14ac:dyDescent="0.3">
      <c r="A159" s="49" t="s">
        <v>650</v>
      </c>
      <c r="B159" s="49" t="s">
        <v>578</v>
      </c>
      <c r="C159" s="49" t="s">
        <v>449</v>
      </c>
      <c r="D159">
        <v>98</v>
      </c>
      <c r="E159" s="49" t="s">
        <v>378</v>
      </c>
    </row>
    <row r="160" spans="1:5" x14ac:dyDescent="0.3">
      <c r="A160" s="49" t="s">
        <v>650</v>
      </c>
      <c r="B160" s="49" t="s">
        <v>578</v>
      </c>
      <c r="C160" s="49" t="s">
        <v>449</v>
      </c>
      <c r="D160">
        <v>99</v>
      </c>
      <c r="E160" s="49" t="s">
        <v>378</v>
      </c>
    </row>
    <row r="161" spans="1:5" x14ac:dyDescent="0.3">
      <c r="A161" s="49" t="s">
        <v>651</v>
      </c>
      <c r="B161" s="49" t="s">
        <v>578</v>
      </c>
      <c r="C161" s="49" t="s">
        <v>449</v>
      </c>
      <c r="D161">
        <v>98</v>
      </c>
      <c r="E161" s="49" t="s">
        <v>378</v>
      </c>
    </row>
    <row r="162" spans="1:5" x14ac:dyDescent="0.3">
      <c r="A162" s="49" t="s">
        <v>651</v>
      </c>
      <c r="B162" s="49" t="s">
        <v>578</v>
      </c>
      <c r="C162" s="49" t="s">
        <v>449</v>
      </c>
      <c r="D162">
        <v>99</v>
      </c>
      <c r="E162" s="49" t="s">
        <v>378</v>
      </c>
    </row>
    <row r="163" spans="1:5" x14ac:dyDescent="0.3">
      <c r="A163" s="49" t="s">
        <v>652</v>
      </c>
      <c r="B163" s="49" t="s">
        <v>578</v>
      </c>
      <c r="C163" s="49" t="s">
        <v>449</v>
      </c>
      <c r="D163">
        <v>98</v>
      </c>
      <c r="E163" s="49" t="s">
        <v>378</v>
      </c>
    </row>
    <row r="164" spans="1:5" x14ac:dyDescent="0.3">
      <c r="A164" s="49" t="s">
        <v>652</v>
      </c>
      <c r="B164" s="49" t="s">
        <v>578</v>
      </c>
      <c r="C164" s="49" t="s">
        <v>449</v>
      </c>
      <c r="D164">
        <v>99</v>
      </c>
      <c r="E164" s="49" t="s">
        <v>378</v>
      </c>
    </row>
    <row r="165" spans="1:5" x14ac:dyDescent="0.3">
      <c r="A165" s="49" t="s">
        <v>653</v>
      </c>
      <c r="B165" s="49" t="s">
        <v>578</v>
      </c>
      <c r="C165" s="49" t="s">
        <v>449</v>
      </c>
      <c r="D165">
        <v>98</v>
      </c>
      <c r="E165" s="49" t="s">
        <v>378</v>
      </c>
    </row>
    <row r="166" spans="1:5" x14ac:dyDescent="0.3">
      <c r="A166" s="49" t="s">
        <v>653</v>
      </c>
      <c r="B166" s="49" t="s">
        <v>578</v>
      </c>
      <c r="C166" s="49" t="s">
        <v>449</v>
      </c>
      <c r="D166">
        <v>99</v>
      </c>
      <c r="E166" s="49" t="s">
        <v>378</v>
      </c>
    </row>
    <row r="167" spans="1:5" x14ac:dyDescent="0.3">
      <c r="A167" s="49" t="s">
        <v>654</v>
      </c>
      <c r="B167" s="49" t="s">
        <v>578</v>
      </c>
      <c r="C167" s="49" t="s">
        <v>449</v>
      </c>
      <c r="D167">
        <v>98</v>
      </c>
      <c r="E167" s="49" t="s">
        <v>378</v>
      </c>
    </row>
    <row r="168" spans="1:5" x14ac:dyDescent="0.3">
      <c r="A168" s="49" t="s">
        <v>654</v>
      </c>
      <c r="B168" s="49" t="s">
        <v>578</v>
      </c>
      <c r="C168" s="49" t="s">
        <v>449</v>
      </c>
      <c r="D168">
        <v>99</v>
      </c>
      <c r="E168" s="49" t="s">
        <v>378</v>
      </c>
    </row>
    <row r="169" spans="1:5" x14ac:dyDescent="0.3">
      <c r="A169" s="49" t="s">
        <v>655</v>
      </c>
      <c r="B169" s="49" t="s">
        <v>578</v>
      </c>
      <c r="C169" s="49" t="s">
        <v>449</v>
      </c>
      <c r="D169">
        <v>98</v>
      </c>
      <c r="E169" s="49" t="s">
        <v>378</v>
      </c>
    </row>
    <row r="170" spans="1:5" x14ac:dyDescent="0.3">
      <c r="A170" s="49" t="s">
        <v>655</v>
      </c>
      <c r="B170" s="49" t="s">
        <v>578</v>
      </c>
      <c r="C170" s="49" t="s">
        <v>449</v>
      </c>
      <c r="D170">
        <v>99</v>
      </c>
      <c r="E170" s="49" t="s">
        <v>378</v>
      </c>
    </row>
    <row r="171" spans="1:5" x14ac:dyDescent="0.3">
      <c r="A171" s="49" t="s">
        <v>656</v>
      </c>
      <c r="B171" s="49" t="s">
        <v>578</v>
      </c>
      <c r="C171" s="49" t="s">
        <v>449</v>
      </c>
      <c r="D171">
        <v>98</v>
      </c>
      <c r="E171" s="49" t="s">
        <v>378</v>
      </c>
    </row>
    <row r="172" spans="1:5" x14ac:dyDescent="0.3">
      <c r="A172" s="49" t="s">
        <v>656</v>
      </c>
      <c r="B172" s="49" t="s">
        <v>578</v>
      </c>
      <c r="C172" s="49" t="s">
        <v>449</v>
      </c>
      <c r="D172">
        <v>99</v>
      </c>
      <c r="E172" s="49" t="s">
        <v>378</v>
      </c>
    </row>
    <row r="173" spans="1:5" x14ac:dyDescent="0.3">
      <c r="A173" s="49" t="s">
        <v>657</v>
      </c>
      <c r="B173" s="49" t="s">
        <v>578</v>
      </c>
      <c r="C173" s="49" t="s">
        <v>449</v>
      </c>
      <c r="D173">
        <v>98</v>
      </c>
      <c r="E173" s="49" t="s">
        <v>378</v>
      </c>
    </row>
    <row r="174" spans="1:5" x14ac:dyDescent="0.3">
      <c r="A174" s="49" t="s">
        <v>657</v>
      </c>
      <c r="B174" s="49" t="s">
        <v>578</v>
      </c>
      <c r="C174" s="49" t="s">
        <v>449</v>
      </c>
      <c r="D174">
        <v>99</v>
      </c>
      <c r="E174" s="49" t="s">
        <v>378</v>
      </c>
    </row>
    <row r="175" spans="1:5" x14ac:dyDescent="0.3">
      <c r="A175" s="49" t="s">
        <v>658</v>
      </c>
      <c r="B175" s="49" t="s">
        <v>578</v>
      </c>
      <c r="C175" s="49" t="s">
        <v>449</v>
      </c>
      <c r="D175">
        <v>98</v>
      </c>
      <c r="E175" s="49" t="s">
        <v>378</v>
      </c>
    </row>
    <row r="176" spans="1:5" x14ac:dyDescent="0.3">
      <c r="A176" s="49" t="s">
        <v>658</v>
      </c>
      <c r="B176" s="49" t="s">
        <v>578</v>
      </c>
      <c r="C176" s="49" t="s">
        <v>449</v>
      </c>
      <c r="D176">
        <v>99</v>
      </c>
      <c r="E176" s="49" t="s">
        <v>378</v>
      </c>
    </row>
    <row r="177" spans="1:5" x14ac:dyDescent="0.3">
      <c r="A177" s="49" t="s">
        <v>659</v>
      </c>
      <c r="B177" s="49" t="s">
        <v>578</v>
      </c>
      <c r="C177" s="49" t="s">
        <v>449</v>
      </c>
      <c r="D177">
        <v>98</v>
      </c>
      <c r="E177" s="49" t="s">
        <v>378</v>
      </c>
    </row>
    <row r="178" spans="1:5" x14ac:dyDescent="0.3">
      <c r="A178" s="49" t="s">
        <v>659</v>
      </c>
      <c r="B178" s="49" t="s">
        <v>578</v>
      </c>
      <c r="C178" s="49" t="s">
        <v>449</v>
      </c>
      <c r="D178">
        <v>99</v>
      </c>
      <c r="E178" s="49" t="s">
        <v>378</v>
      </c>
    </row>
    <row r="179" spans="1:5" x14ac:dyDescent="0.3">
      <c r="A179" s="49" t="s">
        <v>660</v>
      </c>
      <c r="B179" s="49" t="s">
        <v>578</v>
      </c>
      <c r="C179" s="49" t="s">
        <v>449</v>
      </c>
      <c r="D179">
        <v>98</v>
      </c>
      <c r="E179" s="49" t="s">
        <v>378</v>
      </c>
    </row>
    <row r="180" spans="1:5" x14ac:dyDescent="0.3">
      <c r="A180" s="49" t="s">
        <v>660</v>
      </c>
      <c r="B180" s="49" t="s">
        <v>578</v>
      </c>
      <c r="C180" s="49" t="s">
        <v>449</v>
      </c>
      <c r="D180">
        <v>99</v>
      </c>
      <c r="E180" s="49" t="s">
        <v>378</v>
      </c>
    </row>
    <row r="181" spans="1:5" x14ac:dyDescent="0.3">
      <c r="A181" s="49" t="s">
        <v>661</v>
      </c>
      <c r="B181" s="49" t="s">
        <v>578</v>
      </c>
      <c r="C181" s="49" t="s">
        <v>449</v>
      </c>
      <c r="D181">
        <v>98</v>
      </c>
      <c r="E181" s="49" t="s">
        <v>378</v>
      </c>
    </row>
    <row r="182" spans="1:5" x14ac:dyDescent="0.3">
      <c r="A182" s="49" t="s">
        <v>661</v>
      </c>
      <c r="B182" s="49" t="s">
        <v>578</v>
      </c>
      <c r="C182" s="49" t="s">
        <v>449</v>
      </c>
      <c r="D182">
        <v>99</v>
      </c>
      <c r="E182" s="49" t="s">
        <v>378</v>
      </c>
    </row>
    <row r="183" spans="1:5" x14ac:dyDescent="0.3">
      <c r="A183" s="49" t="s">
        <v>662</v>
      </c>
      <c r="B183" s="49" t="s">
        <v>578</v>
      </c>
      <c r="C183" s="49" t="s">
        <v>449</v>
      </c>
      <c r="D183">
        <v>98</v>
      </c>
      <c r="E183" s="49" t="s">
        <v>378</v>
      </c>
    </row>
    <row r="184" spans="1:5" x14ac:dyDescent="0.3">
      <c r="A184" s="49" t="s">
        <v>662</v>
      </c>
      <c r="B184" s="49" t="s">
        <v>578</v>
      </c>
      <c r="C184" s="49" t="s">
        <v>449</v>
      </c>
      <c r="D184">
        <v>99</v>
      </c>
      <c r="E184" s="49" t="s">
        <v>378</v>
      </c>
    </row>
    <row r="185" spans="1:5" x14ac:dyDescent="0.3">
      <c r="A185" s="49" t="s">
        <v>663</v>
      </c>
      <c r="B185" s="49" t="s">
        <v>578</v>
      </c>
      <c r="C185" s="49" t="s">
        <v>449</v>
      </c>
      <c r="D185">
        <v>98</v>
      </c>
      <c r="E185" s="49" t="s">
        <v>378</v>
      </c>
    </row>
    <row r="186" spans="1:5" x14ac:dyDescent="0.3">
      <c r="A186" s="49" t="s">
        <v>663</v>
      </c>
      <c r="B186" s="49" t="s">
        <v>578</v>
      </c>
      <c r="C186" s="49" t="s">
        <v>449</v>
      </c>
      <c r="D186">
        <v>99</v>
      </c>
      <c r="E186" s="49" t="s">
        <v>378</v>
      </c>
    </row>
    <row r="187" spans="1:5" x14ac:dyDescent="0.3">
      <c r="A187" s="49" t="s">
        <v>664</v>
      </c>
      <c r="B187" s="49" t="s">
        <v>578</v>
      </c>
      <c r="C187" s="49" t="s">
        <v>449</v>
      </c>
      <c r="D187">
        <v>98</v>
      </c>
      <c r="E187" s="49" t="s">
        <v>378</v>
      </c>
    </row>
    <row r="188" spans="1:5" x14ac:dyDescent="0.3">
      <c r="A188" s="49" t="s">
        <v>664</v>
      </c>
      <c r="B188" s="49" t="s">
        <v>578</v>
      </c>
      <c r="C188" s="49" t="s">
        <v>449</v>
      </c>
      <c r="D188">
        <v>99</v>
      </c>
      <c r="E188" s="49" t="s">
        <v>378</v>
      </c>
    </row>
    <row r="189" spans="1:5" x14ac:dyDescent="0.3">
      <c r="A189" s="49" t="s">
        <v>665</v>
      </c>
      <c r="B189" s="49" t="s">
        <v>578</v>
      </c>
      <c r="C189" s="49" t="s">
        <v>449</v>
      </c>
      <c r="D189">
        <v>98</v>
      </c>
      <c r="E189" s="49" t="s">
        <v>378</v>
      </c>
    </row>
    <row r="190" spans="1:5" x14ac:dyDescent="0.3">
      <c r="A190" s="49" t="s">
        <v>665</v>
      </c>
      <c r="B190" s="49" t="s">
        <v>578</v>
      </c>
      <c r="C190" s="49" t="s">
        <v>449</v>
      </c>
      <c r="D190">
        <v>99</v>
      </c>
      <c r="E190" s="49" t="s">
        <v>378</v>
      </c>
    </row>
    <row r="191" spans="1:5" x14ac:dyDescent="0.3">
      <c r="A191" s="49" t="s">
        <v>666</v>
      </c>
      <c r="B191" s="49" t="s">
        <v>578</v>
      </c>
      <c r="C191" s="49" t="s">
        <v>449</v>
      </c>
      <c r="D191">
        <v>98</v>
      </c>
      <c r="E191" s="49" t="s">
        <v>378</v>
      </c>
    </row>
    <row r="192" spans="1:5" x14ac:dyDescent="0.3">
      <c r="A192" s="49" t="s">
        <v>666</v>
      </c>
      <c r="B192" s="49" t="s">
        <v>578</v>
      </c>
      <c r="C192" s="49" t="s">
        <v>449</v>
      </c>
      <c r="D192">
        <v>99</v>
      </c>
      <c r="E192" s="49" t="s">
        <v>378</v>
      </c>
    </row>
    <row r="193" spans="1:5" x14ac:dyDescent="0.3">
      <c r="A193" s="49" t="s">
        <v>667</v>
      </c>
      <c r="B193" s="49" t="s">
        <v>578</v>
      </c>
      <c r="C193" s="49" t="s">
        <v>449</v>
      </c>
      <c r="D193">
        <v>98</v>
      </c>
      <c r="E193" s="49" t="s">
        <v>378</v>
      </c>
    </row>
    <row r="194" spans="1:5" x14ac:dyDescent="0.3">
      <c r="A194" s="49" t="s">
        <v>667</v>
      </c>
      <c r="B194" s="49" t="s">
        <v>578</v>
      </c>
      <c r="C194" s="49" t="s">
        <v>449</v>
      </c>
      <c r="D194">
        <v>99</v>
      </c>
      <c r="E194" s="49" t="s">
        <v>378</v>
      </c>
    </row>
    <row r="195" spans="1:5" x14ac:dyDescent="0.3">
      <c r="A195" s="49" t="s">
        <v>668</v>
      </c>
      <c r="B195" s="49" t="s">
        <v>578</v>
      </c>
      <c r="C195" s="49" t="s">
        <v>449</v>
      </c>
      <c r="D195">
        <v>98</v>
      </c>
      <c r="E195" s="49" t="s">
        <v>378</v>
      </c>
    </row>
    <row r="196" spans="1:5" x14ac:dyDescent="0.3">
      <c r="A196" s="49" t="s">
        <v>668</v>
      </c>
      <c r="B196" s="49" t="s">
        <v>578</v>
      </c>
      <c r="C196" s="49" t="s">
        <v>449</v>
      </c>
      <c r="D196">
        <v>99</v>
      </c>
      <c r="E196" s="49" t="s">
        <v>378</v>
      </c>
    </row>
    <row r="197" spans="1:5" x14ac:dyDescent="0.3">
      <c r="A197" s="49" t="s">
        <v>669</v>
      </c>
      <c r="B197" s="49" t="s">
        <v>578</v>
      </c>
      <c r="C197" s="49" t="s">
        <v>449</v>
      </c>
      <c r="D197">
        <v>98</v>
      </c>
      <c r="E197" s="49" t="s">
        <v>378</v>
      </c>
    </row>
    <row r="198" spans="1:5" x14ac:dyDescent="0.3">
      <c r="A198" s="49" t="s">
        <v>669</v>
      </c>
      <c r="B198" s="49" t="s">
        <v>578</v>
      </c>
      <c r="C198" s="49" t="s">
        <v>449</v>
      </c>
      <c r="D198">
        <v>99</v>
      </c>
      <c r="E198" s="49" t="s">
        <v>378</v>
      </c>
    </row>
    <row r="199" spans="1:5" x14ac:dyDescent="0.3">
      <c r="A199" s="49" t="s">
        <v>670</v>
      </c>
      <c r="B199" s="49" t="s">
        <v>578</v>
      </c>
      <c r="C199" s="49" t="s">
        <v>449</v>
      </c>
      <c r="D199">
        <v>98</v>
      </c>
      <c r="E199" s="49" t="s">
        <v>378</v>
      </c>
    </row>
    <row r="200" spans="1:5" x14ac:dyDescent="0.3">
      <c r="A200" s="49" t="s">
        <v>670</v>
      </c>
      <c r="B200" s="49" t="s">
        <v>578</v>
      </c>
      <c r="C200" s="49" t="s">
        <v>449</v>
      </c>
      <c r="D200">
        <v>99</v>
      </c>
      <c r="E200" s="49" t="s">
        <v>378</v>
      </c>
    </row>
    <row r="201" spans="1:5" x14ac:dyDescent="0.3">
      <c r="A201" s="49" t="s">
        <v>671</v>
      </c>
      <c r="B201" s="49" t="s">
        <v>578</v>
      </c>
      <c r="C201" s="49" t="s">
        <v>449</v>
      </c>
      <c r="D201">
        <v>98</v>
      </c>
      <c r="E201" s="49" t="s">
        <v>378</v>
      </c>
    </row>
    <row r="202" spans="1:5" x14ac:dyDescent="0.3">
      <c r="A202" s="49" t="s">
        <v>671</v>
      </c>
      <c r="B202" s="49" t="s">
        <v>578</v>
      </c>
      <c r="C202" s="49" t="s">
        <v>449</v>
      </c>
      <c r="D202">
        <v>99</v>
      </c>
      <c r="E202" s="49" t="s">
        <v>378</v>
      </c>
    </row>
    <row r="203" spans="1:5" x14ac:dyDescent="0.3">
      <c r="A203" s="49" t="s">
        <v>672</v>
      </c>
      <c r="B203" s="49" t="s">
        <v>578</v>
      </c>
      <c r="C203" s="49" t="s">
        <v>449</v>
      </c>
      <c r="D203">
        <v>98</v>
      </c>
      <c r="E203" s="49" t="s">
        <v>378</v>
      </c>
    </row>
    <row r="204" spans="1:5" x14ac:dyDescent="0.3">
      <c r="A204" s="49" t="s">
        <v>672</v>
      </c>
      <c r="B204" s="49" t="s">
        <v>578</v>
      </c>
      <c r="C204" s="49" t="s">
        <v>449</v>
      </c>
      <c r="D204">
        <v>99</v>
      </c>
      <c r="E204" s="49" t="s">
        <v>378</v>
      </c>
    </row>
    <row r="205" spans="1:5" x14ac:dyDescent="0.3">
      <c r="A205" s="49" t="s">
        <v>673</v>
      </c>
      <c r="B205" s="49" t="s">
        <v>578</v>
      </c>
      <c r="C205" s="49" t="s">
        <v>449</v>
      </c>
      <c r="D205">
        <v>98</v>
      </c>
      <c r="E205" s="49" t="s">
        <v>378</v>
      </c>
    </row>
    <row r="206" spans="1:5" x14ac:dyDescent="0.3">
      <c r="A206" s="49" t="s">
        <v>673</v>
      </c>
      <c r="B206" s="49" t="s">
        <v>578</v>
      </c>
      <c r="C206" s="49" t="s">
        <v>449</v>
      </c>
      <c r="D206">
        <v>99</v>
      </c>
      <c r="E206" s="49" t="s">
        <v>378</v>
      </c>
    </row>
    <row r="207" spans="1:5" x14ac:dyDescent="0.3">
      <c r="A207" s="49" t="s">
        <v>674</v>
      </c>
      <c r="B207" s="49" t="s">
        <v>578</v>
      </c>
      <c r="C207" s="49" t="s">
        <v>449</v>
      </c>
      <c r="D207">
        <v>98</v>
      </c>
      <c r="E207" s="49" t="s">
        <v>378</v>
      </c>
    </row>
    <row r="208" spans="1:5" x14ac:dyDescent="0.3">
      <c r="A208" s="49" t="s">
        <v>674</v>
      </c>
      <c r="B208" s="49" t="s">
        <v>578</v>
      </c>
      <c r="C208" s="49" t="s">
        <v>449</v>
      </c>
      <c r="D208">
        <v>99</v>
      </c>
      <c r="E208" s="49" t="s">
        <v>378</v>
      </c>
    </row>
    <row r="209" spans="1:5" x14ac:dyDescent="0.3">
      <c r="A209" s="49" t="s">
        <v>675</v>
      </c>
      <c r="B209" s="49" t="s">
        <v>578</v>
      </c>
      <c r="C209" s="49" t="s">
        <v>449</v>
      </c>
      <c r="D209">
        <v>98</v>
      </c>
      <c r="E209" s="49" t="s">
        <v>378</v>
      </c>
    </row>
    <row r="210" spans="1:5" x14ac:dyDescent="0.3">
      <c r="A210" s="49" t="s">
        <v>675</v>
      </c>
      <c r="B210" s="49" t="s">
        <v>578</v>
      </c>
      <c r="C210" s="49" t="s">
        <v>449</v>
      </c>
      <c r="D210">
        <v>99</v>
      </c>
      <c r="E210" s="49" t="s">
        <v>378</v>
      </c>
    </row>
    <row r="211" spans="1:5" x14ac:dyDescent="0.3">
      <c r="A211" s="49" t="s">
        <v>676</v>
      </c>
      <c r="B211" s="49" t="s">
        <v>578</v>
      </c>
      <c r="C211" s="49" t="s">
        <v>449</v>
      </c>
      <c r="D211">
        <v>98</v>
      </c>
      <c r="E211" s="49" t="s">
        <v>378</v>
      </c>
    </row>
    <row r="212" spans="1:5" x14ac:dyDescent="0.3">
      <c r="A212" s="49" t="s">
        <v>676</v>
      </c>
      <c r="B212" s="49" t="s">
        <v>578</v>
      </c>
      <c r="C212" s="49" t="s">
        <v>449</v>
      </c>
      <c r="D212">
        <v>99</v>
      </c>
      <c r="E212" s="49" t="s">
        <v>378</v>
      </c>
    </row>
    <row r="213" spans="1:5" x14ac:dyDescent="0.3">
      <c r="A213" s="49" t="s">
        <v>677</v>
      </c>
      <c r="B213" s="49" t="s">
        <v>578</v>
      </c>
      <c r="C213" s="49" t="s">
        <v>449</v>
      </c>
      <c r="D213">
        <v>98</v>
      </c>
      <c r="E213" s="49" t="s">
        <v>378</v>
      </c>
    </row>
    <row r="214" spans="1:5" x14ac:dyDescent="0.3">
      <c r="A214" s="49" t="s">
        <v>677</v>
      </c>
      <c r="B214" s="49" t="s">
        <v>578</v>
      </c>
      <c r="C214" s="49" t="s">
        <v>449</v>
      </c>
      <c r="D214">
        <v>99</v>
      </c>
      <c r="E214" s="49" t="s">
        <v>378</v>
      </c>
    </row>
    <row r="215" spans="1:5" x14ac:dyDescent="0.3">
      <c r="A215" s="49" t="s">
        <v>678</v>
      </c>
      <c r="B215" s="49" t="s">
        <v>578</v>
      </c>
      <c r="C215" s="49" t="s">
        <v>449</v>
      </c>
      <c r="D215">
        <v>98</v>
      </c>
      <c r="E215" s="49" t="s">
        <v>378</v>
      </c>
    </row>
    <row r="216" spans="1:5" x14ac:dyDescent="0.3">
      <c r="A216" s="49" t="s">
        <v>678</v>
      </c>
      <c r="B216" s="49" t="s">
        <v>578</v>
      </c>
      <c r="C216" s="49" t="s">
        <v>449</v>
      </c>
      <c r="D216">
        <v>99</v>
      </c>
      <c r="E216" s="49" t="s">
        <v>378</v>
      </c>
    </row>
    <row r="217" spans="1:5" x14ac:dyDescent="0.3">
      <c r="A217" s="49" t="s">
        <v>679</v>
      </c>
      <c r="B217" s="49" t="s">
        <v>578</v>
      </c>
      <c r="C217" s="49" t="s">
        <v>449</v>
      </c>
      <c r="D217">
        <v>98</v>
      </c>
      <c r="E217" s="49" t="s">
        <v>378</v>
      </c>
    </row>
    <row r="218" spans="1:5" x14ac:dyDescent="0.3">
      <c r="A218" s="49" t="s">
        <v>679</v>
      </c>
      <c r="B218" s="49" t="s">
        <v>578</v>
      </c>
      <c r="C218" s="49" t="s">
        <v>449</v>
      </c>
      <c r="D218">
        <v>99</v>
      </c>
      <c r="E218" s="49" t="s">
        <v>378</v>
      </c>
    </row>
    <row r="219" spans="1:5" x14ac:dyDescent="0.3">
      <c r="A219" s="49" t="s">
        <v>680</v>
      </c>
      <c r="B219" s="49" t="s">
        <v>578</v>
      </c>
      <c r="C219" s="49" t="s">
        <v>449</v>
      </c>
      <c r="D219">
        <v>98</v>
      </c>
      <c r="E219" s="49" t="s">
        <v>378</v>
      </c>
    </row>
    <row r="220" spans="1:5" x14ac:dyDescent="0.3">
      <c r="A220" s="49" t="s">
        <v>680</v>
      </c>
      <c r="B220" s="49" t="s">
        <v>578</v>
      </c>
      <c r="C220" s="49" t="s">
        <v>449</v>
      </c>
      <c r="D220">
        <v>99</v>
      </c>
      <c r="E220" s="49" t="s">
        <v>378</v>
      </c>
    </row>
    <row r="221" spans="1:5" x14ac:dyDescent="0.3">
      <c r="A221" s="49" t="s">
        <v>681</v>
      </c>
      <c r="B221" s="49" t="s">
        <v>578</v>
      </c>
      <c r="C221" s="49" t="s">
        <v>449</v>
      </c>
      <c r="D221">
        <v>98</v>
      </c>
      <c r="E221" s="49" t="s">
        <v>378</v>
      </c>
    </row>
    <row r="222" spans="1:5" x14ac:dyDescent="0.3">
      <c r="A222" s="49" t="s">
        <v>681</v>
      </c>
      <c r="B222" s="49" t="s">
        <v>578</v>
      </c>
      <c r="C222" s="49" t="s">
        <v>449</v>
      </c>
      <c r="D222">
        <v>99</v>
      </c>
      <c r="E222" s="49" t="s">
        <v>378</v>
      </c>
    </row>
    <row r="223" spans="1:5" x14ac:dyDescent="0.3">
      <c r="A223" s="49" t="s">
        <v>682</v>
      </c>
      <c r="B223" s="49" t="s">
        <v>578</v>
      </c>
      <c r="C223" s="49" t="s">
        <v>449</v>
      </c>
      <c r="D223">
        <v>98</v>
      </c>
      <c r="E223" s="49" t="s">
        <v>378</v>
      </c>
    </row>
    <row r="224" spans="1:5" x14ac:dyDescent="0.3">
      <c r="A224" s="49" t="s">
        <v>682</v>
      </c>
      <c r="B224" s="49" t="s">
        <v>578</v>
      </c>
      <c r="C224" s="49" t="s">
        <v>449</v>
      </c>
      <c r="D224">
        <v>99</v>
      </c>
      <c r="E224" s="49" t="s">
        <v>378</v>
      </c>
    </row>
    <row r="225" spans="1:5" x14ac:dyDescent="0.3">
      <c r="A225" s="49" t="s">
        <v>683</v>
      </c>
      <c r="B225" s="49" t="s">
        <v>578</v>
      </c>
      <c r="C225" s="49" t="s">
        <v>449</v>
      </c>
      <c r="D225">
        <v>98</v>
      </c>
      <c r="E225" s="49" t="s">
        <v>378</v>
      </c>
    </row>
    <row r="226" spans="1:5" x14ac:dyDescent="0.3">
      <c r="A226" s="49" t="s">
        <v>683</v>
      </c>
      <c r="B226" s="49" t="s">
        <v>578</v>
      </c>
      <c r="C226" s="49" t="s">
        <v>449</v>
      </c>
      <c r="D226">
        <v>99</v>
      </c>
      <c r="E226" s="49" t="s">
        <v>378</v>
      </c>
    </row>
    <row r="227" spans="1:5" x14ac:dyDescent="0.3">
      <c r="A227" s="49" t="s">
        <v>684</v>
      </c>
      <c r="B227" s="49" t="s">
        <v>578</v>
      </c>
      <c r="C227" s="49" t="s">
        <v>449</v>
      </c>
      <c r="D227">
        <v>98</v>
      </c>
      <c r="E227" s="49" t="s">
        <v>378</v>
      </c>
    </row>
    <row r="228" spans="1:5" x14ac:dyDescent="0.3">
      <c r="A228" s="49" t="s">
        <v>684</v>
      </c>
      <c r="B228" s="49" t="s">
        <v>578</v>
      </c>
      <c r="C228" s="49" t="s">
        <v>449</v>
      </c>
      <c r="D228">
        <v>99</v>
      </c>
      <c r="E228" s="49" t="s">
        <v>378</v>
      </c>
    </row>
    <row r="229" spans="1:5" x14ac:dyDescent="0.3">
      <c r="A229" s="49" t="s">
        <v>685</v>
      </c>
      <c r="B229" s="49" t="s">
        <v>578</v>
      </c>
      <c r="C229" s="49" t="s">
        <v>449</v>
      </c>
      <c r="D229">
        <v>98</v>
      </c>
      <c r="E229" s="49" t="s">
        <v>378</v>
      </c>
    </row>
    <row r="230" spans="1:5" x14ac:dyDescent="0.3">
      <c r="A230" s="49" t="s">
        <v>685</v>
      </c>
      <c r="B230" s="49" t="s">
        <v>578</v>
      </c>
      <c r="C230" s="49" t="s">
        <v>449</v>
      </c>
      <c r="D230">
        <v>99</v>
      </c>
      <c r="E230" s="49" t="s">
        <v>378</v>
      </c>
    </row>
    <row r="231" spans="1:5" x14ac:dyDescent="0.3">
      <c r="A231" s="49" t="s">
        <v>686</v>
      </c>
      <c r="B231" s="49" t="s">
        <v>578</v>
      </c>
      <c r="C231" s="49" t="s">
        <v>449</v>
      </c>
      <c r="D231">
        <v>98</v>
      </c>
      <c r="E231" s="49" t="s">
        <v>378</v>
      </c>
    </row>
    <row r="232" spans="1:5" x14ac:dyDescent="0.3">
      <c r="A232" s="49" t="s">
        <v>686</v>
      </c>
      <c r="B232" s="49" t="s">
        <v>578</v>
      </c>
      <c r="C232" s="49" t="s">
        <v>449</v>
      </c>
      <c r="D232">
        <v>99</v>
      </c>
      <c r="E232" s="49" t="s">
        <v>378</v>
      </c>
    </row>
    <row r="233" spans="1:5" x14ac:dyDescent="0.3">
      <c r="A233" s="49" t="s">
        <v>687</v>
      </c>
      <c r="B233" s="49" t="s">
        <v>578</v>
      </c>
      <c r="C233" s="49" t="s">
        <v>449</v>
      </c>
      <c r="D233">
        <v>98</v>
      </c>
      <c r="E233" s="49" t="s">
        <v>378</v>
      </c>
    </row>
    <row r="234" spans="1:5" x14ac:dyDescent="0.3">
      <c r="A234" s="49" t="s">
        <v>687</v>
      </c>
      <c r="B234" s="49" t="s">
        <v>578</v>
      </c>
      <c r="C234" s="49" t="s">
        <v>449</v>
      </c>
      <c r="D234">
        <v>99</v>
      </c>
      <c r="E234" s="49" t="s">
        <v>378</v>
      </c>
    </row>
    <row r="235" spans="1:5" x14ac:dyDescent="0.3">
      <c r="A235" s="49" t="s">
        <v>688</v>
      </c>
      <c r="B235" s="49" t="s">
        <v>578</v>
      </c>
      <c r="C235" s="49" t="s">
        <v>449</v>
      </c>
      <c r="D235">
        <v>98</v>
      </c>
      <c r="E235" s="49" t="s">
        <v>378</v>
      </c>
    </row>
    <row r="236" spans="1:5" x14ac:dyDescent="0.3">
      <c r="A236" s="49" t="s">
        <v>688</v>
      </c>
      <c r="B236" s="49" t="s">
        <v>578</v>
      </c>
      <c r="C236" s="49" t="s">
        <v>449</v>
      </c>
      <c r="D236">
        <v>99</v>
      </c>
      <c r="E236" s="49" t="s">
        <v>378</v>
      </c>
    </row>
    <row r="237" spans="1:5" x14ac:dyDescent="0.3">
      <c r="A237" s="49" t="s">
        <v>689</v>
      </c>
      <c r="B237" s="49" t="s">
        <v>578</v>
      </c>
      <c r="C237" s="49" t="s">
        <v>449</v>
      </c>
      <c r="D237">
        <v>98</v>
      </c>
      <c r="E237" s="49" t="s">
        <v>378</v>
      </c>
    </row>
    <row r="238" spans="1:5" x14ac:dyDescent="0.3">
      <c r="A238" s="49" t="s">
        <v>689</v>
      </c>
      <c r="B238" s="49" t="s">
        <v>578</v>
      </c>
      <c r="C238" s="49" t="s">
        <v>449</v>
      </c>
      <c r="D238">
        <v>99</v>
      </c>
      <c r="E238" s="49" t="s">
        <v>378</v>
      </c>
    </row>
    <row r="239" spans="1:5" x14ac:dyDescent="0.3">
      <c r="A239" s="49" t="s">
        <v>690</v>
      </c>
      <c r="B239" s="49" t="s">
        <v>578</v>
      </c>
      <c r="C239" s="49" t="s">
        <v>449</v>
      </c>
      <c r="D239">
        <v>98</v>
      </c>
      <c r="E239" s="49" t="s">
        <v>378</v>
      </c>
    </row>
    <row r="240" spans="1:5" x14ac:dyDescent="0.3">
      <c r="A240" s="49" t="s">
        <v>690</v>
      </c>
      <c r="B240" s="49" t="s">
        <v>578</v>
      </c>
      <c r="C240" s="49" t="s">
        <v>449</v>
      </c>
      <c r="D240">
        <v>99</v>
      </c>
      <c r="E240" s="49" t="s">
        <v>378</v>
      </c>
    </row>
    <row r="241" spans="1:5" x14ac:dyDescent="0.3">
      <c r="A241" s="49" t="s">
        <v>691</v>
      </c>
      <c r="B241" s="49" t="s">
        <v>578</v>
      </c>
      <c r="C241" s="49" t="s">
        <v>449</v>
      </c>
      <c r="D241">
        <v>98</v>
      </c>
      <c r="E241" s="49" t="s">
        <v>378</v>
      </c>
    </row>
    <row r="242" spans="1:5" x14ac:dyDescent="0.3">
      <c r="A242" s="49" t="s">
        <v>691</v>
      </c>
      <c r="B242" s="49" t="s">
        <v>578</v>
      </c>
      <c r="C242" s="49" t="s">
        <v>449</v>
      </c>
      <c r="D242">
        <v>99</v>
      </c>
      <c r="E242" s="49" t="s">
        <v>378</v>
      </c>
    </row>
    <row r="243" spans="1:5" x14ac:dyDescent="0.3">
      <c r="A243" s="49" t="s">
        <v>692</v>
      </c>
      <c r="B243" s="49" t="s">
        <v>578</v>
      </c>
      <c r="C243" s="49" t="s">
        <v>449</v>
      </c>
      <c r="D243">
        <v>98</v>
      </c>
      <c r="E243" s="49" t="s">
        <v>378</v>
      </c>
    </row>
    <row r="244" spans="1:5" x14ac:dyDescent="0.3">
      <c r="A244" s="49" t="s">
        <v>692</v>
      </c>
      <c r="B244" s="49" t="s">
        <v>578</v>
      </c>
      <c r="C244" s="49" t="s">
        <v>449</v>
      </c>
      <c r="D244">
        <v>99</v>
      </c>
      <c r="E244" s="49" t="s">
        <v>378</v>
      </c>
    </row>
    <row r="245" spans="1:5" x14ac:dyDescent="0.3">
      <c r="A245" s="49" t="s">
        <v>693</v>
      </c>
      <c r="B245" s="49" t="s">
        <v>578</v>
      </c>
      <c r="C245" s="49" t="s">
        <v>449</v>
      </c>
      <c r="D245">
        <v>98</v>
      </c>
      <c r="E245" s="49" t="s">
        <v>378</v>
      </c>
    </row>
    <row r="246" spans="1:5" x14ac:dyDescent="0.3">
      <c r="A246" s="49" t="s">
        <v>693</v>
      </c>
      <c r="B246" s="49" t="s">
        <v>578</v>
      </c>
      <c r="C246" s="49" t="s">
        <v>449</v>
      </c>
      <c r="D246">
        <v>99</v>
      </c>
      <c r="E246" s="49" t="s">
        <v>378</v>
      </c>
    </row>
    <row r="247" spans="1:5" x14ac:dyDescent="0.3">
      <c r="A247" s="49" t="s">
        <v>694</v>
      </c>
      <c r="B247" s="49" t="s">
        <v>578</v>
      </c>
      <c r="C247" s="49" t="s">
        <v>449</v>
      </c>
      <c r="D247">
        <v>98</v>
      </c>
      <c r="E247" s="49" t="s">
        <v>378</v>
      </c>
    </row>
    <row r="248" spans="1:5" x14ac:dyDescent="0.3">
      <c r="A248" s="49" t="s">
        <v>694</v>
      </c>
      <c r="B248" s="49" t="s">
        <v>578</v>
      </c>
      <c r="C248" s="49" t="s">
        <v>449</v>
      </c>
      <c r="D248">
        <v>99</v>
      </c>
      <c r="E248" s="49" t="s">
        <v>378</v>
      </c>
    </row>
    <row r="249" spans="1:5" x14ac:dyDescent="0.3">
      <c r="A249" s="49" t="s">
        <v>695</v>
      </c>
      <c r="B249" s="49" t="s">
        <v>578</v>
      </c>
      <c r="C249" s="49" t="s">
        <v>449</v>
      </c>
      <c r="D249">
        <v>98</v>
      </c>
      <c r="E249" s="49" t="s">
        <v>378</v>
      </c>
    </row>
    <row r="250" spans="1:5" x14ac:dyDescent="0.3">
      <c r="A250" s="49" t="s">
        <v>695</v>
      </c>
      <c r="B250" s="49" t="s">
        <v>578</v>
      </c>
      <c r="C250" s="49" t="s">
        <v>449</v>
      </c>
      <c r="D250">
        <v>99</v>
      </c>
      <c r="E250" s="49" t="s">
        <v>378</v>
      </c>
    </row>
    <row r="251" spans="1:5" x14ac:dyDescent="0.3">
      <c r="A251" s="49" t="s">
        <v>696</v>
      </c>
      <c r="B251" s="49" t="s">
        <v>578</v>
      </c>
      <c r="C251" s="49" t="s">
        <v>449</v>
      </c>
      <c r="D251">
        <v>98</v>
      </c>
      <c r="E251" s="49" t="s">
        <v>378</v>
      </c>
    </row>
    <row r="252" spans="1:5" x14ac:dyDescent="0.3">
      <c r="A252" s="49" t="s">
        <v>696</v>
      </c>
      <c r="B252" s="49" t="s">
        <v>578</v>
      </c>
      <c r="C252" s="49" t="s">
        <v>449</v>
      </c>
      <c r="D252">
        <v>99</v>
      </c>
      <c r="E252" s="49" t="s">
        <v>378</v>
      </c>
    </row>
    <row r="253" spans="1:5" x14ac:dyDescent="0.3">
      <c r="A253" s="49" t="s">
        <v>697</v>
      </c>
      <c r="B253" s="49" t="s">
        <v>578</v>
      </c>
      <c r="C253" s="49" t="s">
        <v>449</v>
      </c>
      <c r="D253">
        <v>98</v>
      </c>
      <c r="E253" s="49" t="s">
        <v>378</v>
      </c>
    </row>
    <row r="254" spans="1:5" x14ac:dyDescent="0.3">
      <c r="A254" s="49" t="s">
        <v>697</v>
      </c>
      <c r="B254" s="49" t="s">
        <v>578</v>
      </c>
      <c r="C254" s="49" t="s">
        <v>449</v>
      </c>
      <c r="D254">
        <v>99</v>
      </c>
      <c r="E254" s="49" t="s">
        <v>378</v>
      </c>
    </row>
    <row r="255" spans="1:5" x14ac:dyDescent="0.3">
      <c r="A255" s="49" t="s">
        <v>698</v>
      </c>
      <c r="B255" s="49" t="s">
        <v>578</v>
      </c>
      <c r="C255" s="49" t="s">
        <v>449</v>
      </c>
      <c r="D255">
        <v>98</v>
      </c>
      <c r="E255" s="49" t="s">
        <v>378</v>
      </c>
    </row>
    <row r="256" spans="1:5" x14ac:dyDescent="0.3">
      <c r="A256" s="49" t="s">
        <v>698</v>
      </c>
      <c r="B256" s="49" t="s">
        <v>578</v>
      </c>
      <c r="C256" s="49" t="s">
        <v>449</v>
      </c>
      <c r="D256">
        <v>99</v>
      </c>
      <c r="E256" s="49" t="s">
        <v>378</v>
      </c>
    </row>
    <row r="257" spans="1:5" x14ac:dyDescent="0.3">
      <c r="A257" s="49" t="s">
        <v>699</v>
      </c>
      <c r="B257" s="49" t="s">
        <v>578</v>
      </c>
      <c r="C257" s="49" t="s">
        <v>449</v>
      </c>
      <c r="D257">
        <v>98</v>
      </c>
      <c r="E257" s="49" t="s">
        <v>378</v>
      </c>
    </row>
    <row r="258" spans="1:5" x14ac:dyDescent="0.3">
      <c r="A258" s="49" t="s">
        <v>699</v>
      </c>
      <c r="B258" s="49" t="s">
        <v>578</v>
      </c>
      <c r="C258" s="49" t="s">
        <v>449</v>
      </c>
      <c r="D258">
        <v>99</v>
      </c>
      <c r="E258" s="49" t="s">
        <v>378</v>
      </c>
    </row>
    <row r="259" spans="1:5" x14ac:dyDescent="0.3">
      <c r="A259" s="49" t="s">
        <v>700</v>
      </c>
      <c r="B259" s="49" t="s">
        <v>578</v>
      </c>
      <c r="C259" s="49" t="s">
        <v>449</v>
      </c>
      <c r="D259">
        <v>98</v>
      </c>
      <c r="E259" s="49" t="s">
        <v>378</v>
      </c>
    </row>
    <row r="260" spans="1:5" x14ac:dyDescent="0.3">
      <c r="A260" s="49" t="s">
        <v>700</v>
      </c>
      <c r="B260" s="49" t="s">
        <v>578</v>
      </c>
      <c r="C260" s="49" t="s">
        <v>449</v>
      </c>
      <c r="D260">
        <v>99</v>
      </c>
      <c r="E260" s="49" t="s">
        <v>378</v>
      </c>
    </row>
    <row r="261" spans="1:5" x14ac:dyDescent="0.3">
      <c r="A261" s="49" t="s">
        <v>701</v>
      </c>
      <c r="B261" s="49" t="s">
        <v>578</v>
      </c>
      <c r="C261" s="49" t="s">
        <v>449</v>
      </c>
      <c r="D261">
        <v>98</v>
      </c>
      <c r="E261" s="49" t="s">
        <v>378</v>
      </c>
    </row>
    <row r="262" spans="1:5" x14ac:dyDescent="0.3">
      <c r="A262" s="49" t="s">
        <v>701</v>
      </c>
      <c r="B262" s="49" t="s">
        <v>578</v>
      </c>
      <c r="C262" s="49" t="s">
        <v>449</v>
      </c>
      <c r="D262">
        <v>99</v>
      </c>
      <c r="E262" s="49" t="s">
        <v>378</v>
      </c>
    </row>
    <row r="263" spans="1:5" x14ac:dyDescent="0.3">
      <c r="A263" s="49" t="s">
        <v>702</v>
      </c>
      <c r="B263" s="49" t="s">
        <v>578</v>
      </c>
      <c r="C263" s="49" t="s">
        <v>449</v>
      </c>
      <c r="D263">
        <v>98</v>
      </c>
      <c r="E263" s="49" t="s">
        <v>378</v>
      </c>
    </row>
    <row r="264" spans="1:5" x14ac:dyDescent="0.3">
      <c r="A264" s="49" t="s">
        <v>702</v>
      </c>
      <c r="B264" s="49" t="s">
        <v>578</v>
      </c>
      <c r="C264" s="49" t="s">
        <v>449</v>
      </c>
      <c r="D264">
        <v>99</v>
      </c>
      <c r="E264" s="49" t="s">
        <v>378</v>
      </c>
    </row>
    <row r="265" spans="1:5" x14ac:dyDescent="0.3">
      <c r="A265" s="49" t="s">
        <v>703</v>
      </c>
      <c r="B265" s="49" t="s">
        <v>578</v>
      </c>
      <c r="C265" s="49" t="s">
        <v>449</v>
      </c>
      <c r="D265">
        <v>98</v>
      </c>
      <c r="E265" s="49" t="s">
        <v>378</v>
      </c>
    </row>
    <row r="266" spans="1:5" x14ac:dyDescent="0.3">
      <c r="A266" s="49" t="s">
        <v>703</v>
      </c>
      <c r="B266" s="49" t="s">
        <v>578</v>
      </c>
      <c r="C266" s="49" t="s">
        <v>449</v>
      </c>
      <c r="D266">
        <v>99</v>
      </c>
      <c r="E266" s="49" t="s">
        <v>378</v>
      </c>
    </row>
    <row r="267" spans="1:5" x14ac:dyDescent="0.3">
      <c r="A267" s="49" t="s">
        <v>704</v>
      </c>
      <c r="B267" s="49" t="s">
        <v>578</v>
      </c>
      <c r="C267" s="49" t="s">
        <v>449</v>
      </c>
      <c r="D267">
        <v>98</v>
      </c>
      <c r="E267" s="49" t="s">
        <v>378</v>
      </c>
    </row>
    <row r="268" spans="1:5" x14ac:dyDescent="0.3">
      <c r="A268" s="49" t="s">
        <v>704</v>
      </c>
      <c r="B268" s="49" t="s">
        <v>578</v>
      </c>
      <c r="C268" s="49" t="s">
        <v>449</v>
      </c>
      <c r="D268">
        <v>99</v>
      </c>
      <c r="E268" s="49" t="s">
        <v>378</v>
      </c>
    </row>
    <row r="269" spans="1:5" x14ac:dyDescent="0.3">
      <c r="A269" s="49" t="s">
        <v>705</v>
      </c>
      <c r="B269" s="49" t="s">
        <v>578</v>
      </c>
      <c r="C269" s="49" t="s">
        <v>449</v>
      </c>
      <c r="D269">
        <v>98</v>
      </c>
      <c r="E269" s="49" t="s">
        <v>378</v>
      </c>
    </row>
    <row r="270" spans="1:5" x14ac:dyDescent="0.3">
      <c r="A270" s="49" t="s">
        <v>705</v>
      </c>
      <c r="B270" s="49" t="s">
        <v>578</v>
      </c>
      <c r="C270" s="49" t="s">
        <v>449</v>
      </c>
      <c r="D270">
        <v>99</v>
      </c>
      <c r="E270" s="49" t="s">
        <v>378</v>
      </c>
    </row>
    <row r="271" spans="1:5" x14ac:dyDescent="0.3">
      <c r="A271" s="49" t="s">
        <v>706</v>
      </c>
      <c r="B271" s="49" t="s">
        <v>578</v>
      </c>
      <c r="C271" s="49" t="s">
        <v>449</v>
      </c>
      <c r="D271">
        <v>98</v>
      </c>
      <c r="E271" s="49" t="s">
        <v>378</v>
      </c>
    </row>
    <row r="272" spans="1:5" x14ac:dyDescent="0.3">
      <c r="A272" s="49" t="s">
        <v>706</v>
      </c>
      <c r="B272" s="49" t="s">
        <v>578</v>
      </c>
      <c r="C272" s="49" t="s">
        <v>449</v>
      </c>
      <c r="D272">
        <v>99</v>
      </c>
      <c r="E272" s="49" t="s">
        <v>378</v>
      </c>
    </row>
    <row r="273" spans="1:5" x14ac:dyDescent="0.3">
      <c r="A273" s="49" t="s">
        <v>707</v>
      </c>
      <c r="B273" s="49" t="s">
        <v>578</v>
      </c>
      <c r="C273" s="49" t="s">
        <v>449</v>
      </c>
      <c r="D273">
        <v>98</v>
      </c>
      <c r="E273" s="49" t="s">
        <v>378</v>
      </c>
    </row>
    <row r="274" spans="1:5" x14ac:dyDescent="0.3">
      <c r="A274" s="49" t="s">
        <v>707</v>
      </c>
      <c r="B274" s="49" t="s">
        <v>578</v>
      </c>
      <c r="C274" s="49" t="s">
        <v>449</v>
      </c>
      <c r="D274">
        <v>99</v>
      </c>
      <c r="E274" s="49" t="s">
        <v>378</v>
      </c>
    </row>
    <row r="275" spans="1:5" x14ac:dyDescent="0.3">
      <c r="A275" s="49" t="s">
        <v>708</v>
      </c>
      <c r="B275" s="49" t="s">
        <v>578</v>
      </c>
      <c r="C275" s="49" t="s">
        <v>449</v>
      </c>
      <c r="D275">
        <v>98</v>
      </c>
      <c r="E275" s="49" t="s">
        <v>378</v>
      </c>
    </row>
    <row r="276" spans="1:5" x14ac:dyDescent="0.3">
      <c r="A276" s="49" t="s">
        <v>708</v>
      </c>
      <c r="B276" s="49" t="s">
        <v>578</v>
      </c>
      <c r="C276" s="49" t="s">
        <v>449</v>
      </c>
      <c r="D276">
        <v>99</v>
      </c>
      <c r="E276" s="49" t="s">
        <v>378</v>
      </c>
    </row>
    <row r="277" spans="1:5" x14ac:dyDescent="0.3">
      <c r="A277" s="49" t="s">
        <v>709</v>
      </c>
      <c r="B277" s="49" t="s">
        <v>578</v>
      </c>
      <c r="C277" s="49" t="s">
        <v>449</v>
      </c>
      <c r="D277">
        <v>98</v>
      </c>
      <c r="E277" s="49" t="s">
        <v>378</v>
      </c>
    </row>
    <row r="278" spans="1:5" x14ac:dyDescent="0.3">
      <c r="A278" s="49" t="s">
        <v>709</v>
      </c>
      <c r="B278" s="49" t="s">
        <v>578</v>
      </c>
      <c r="C278" s="49" t="s">
        <v>449</v>
      </c>
      <c r="D278">
        <v>99</v>
      </c>
      <c r="E278" s="49" t="s">
        <v>378</v>
      </c>
    </row>
    <row r="279" spans="1:5" x14ac:dyDescent="0.3">
      <c r="A279" s="49" t="s">
        <v>710</v>
      </c>
      <c r="B279" s="49" t="s">
        <v>578</v>
      </c>
      <c r="C279" s="49" t="s">
        <v>449</v>
      </c>
      <c r="D279">
        <v>98</v>
      </c>
      <c r="E279" s="49" t="s">
        <v>378</v>
      </c>
    </row>
    <row r="280" spans="1:5" x14ac:dyDescent="0.3">
      <c r="A280" s="49" t="s">
        <v>710</v>
      </c>
      <c r="B280" s="49" t="s">
        <v>578</v>
      </c>
      <c r="C280" s="49" t="s">
        <v>449</v>
      </c>
      <c r="D280">
        <v>99</v>
      </c>
      <c r="E280" s="49" t="s">
        <v>378</v>
      </c>
    </row>
    <row r="281" spans="1:5" x14ac:dyDescent="0.3">
      <c r="A281" s="49" t="s">
        <v>711</v>
      </c>
      <c r="B281" s="49" t="s">
        <v>578</v>
      </c>
      <c r="C281" s="49" t="s">
        <v>449</v>
      </c>
      <c r="D281">
        <v>98</v>
      </c>
      <c r="E281" s="49" t="s">
        <v>378</v>
      </c>
    </row>
    <row r="282" spans="1:5" x14ac:dyDescent="0.3">
      <c r="A282" s="49" t="s">
        <v>711</v>
      </c>
      <c r="B282" s="49" t="s">
        <v>578</v>
      </c>
      <c r="C282" s="49" t="s">
        <v>449</v>
      </c>
      <c r="D282">
        <v>99</v>
      </c>
      <c r="E282" s="49" t="s">
        <v>378</v>
      </c>
    </row>
    <row r="283" spans="1:5" x14ac:dyDescent="0.3">
      <c r="A283" s="49" t="s">
        <v>712</v>
      </c>
      <c r="B283" s="49" t="s">
        <v>578</v>
      </c>
      <c r="C283" s="49" t="s">
        <v>449</v>
      </c>
      <c r="D283">
        <v>98</v>
      </c>
      <c r="E283" s="49" t="s">
        <v>378</v>
      </c>
    </row>
    <row r="284" spans="1:5" x14ac:dyDescent="0.3">
      <c r="A284" s="49" t="s">
        <v>712</v>
      </c>
      <c r="B284" s="49" t="s">
        <v>578</v>
      </c>
      <c r="C284" s="49" t="s">
        <v>449</v>
      </c>
      <c r="D284">
        <v>99</v>
      </c>
      <c r="E284" s="49" t="s">
        <v>378</v>
      </c>
    </row>
    <row r="285" spans="1:5" x14ac:dyDescent="0.3">
      <c r="A285" s="49" t="s">
        <v>713</v>
      </c>
      <c r="B285" s="49" t="s">
        <v>578</v>
      </c>
      <c r="C285" s="49" t="s">
        <v>449</v>
      </c>
      <c r="D285">
        <v>98</v>
      </c>
      <c r="E285" s="49" t="s">
        <v>378</v>
      </c>
    </row>
    <row r="286" spans="1:5" x14ac:dyDescent="0.3">
      <c r="A286" s="49" t="s">
        <v>713</v>
      </c>
      <c r="B286" s="49" t="s">
        <v>578</v>
      </c>
      <c r="C286" s="49" t="s">
        <v>449</v>
      </c>
      <c r="D286">
        <v>99</v>
      </c>
      <c r="E286" s="49" t="s">
        <v>378</v>
      </c>
    </row>
    <row r="287" spans="1:5" x14ac:dyDescent="0.3">
      <c r="A287" s="49" t="s">
        <v>714</v>
      </c>
      <c r="B287" s="49" t="s">
        <v>578</v>
      </c>
      <c r="C287" s="49" t="s">
        <v>449</v>
      </c>
      <c r="D287">
        <v>98</v>
      </c>
      <c r="E287" s="49" t="s">
        <v>378</v>
      </c>
    </row>
    <row r="288" spans="1:5" x14ac:dyDescent="0.3">
      <c r="A288" s="49" t="s">
        <v>714</v>
      </c>
      <c r="B288" s="49" t="s">
        <v>578</v>
      </c>
      <c r="C288" s="49" t="s">
        <v>449</v>
      </c>
      <c r="D288">
        <v>99</v>
      </c>
      <c r="E288" s="49" t="s">
        <v>378</v>
      </c>
    </row>
    <row r="289" spans="1:5" x14ac:dyDescent="0.3">
      <c r="A289" s="49" t="s">
        <v>715</v>
      </c>
      <c r="B289" s="49" t="s">
        <v>578</v>
      </c>
      <c r="C289" s="49" t="s">
        <v>449</v>
      </c>
      <c r="D289">
        <v>98</v>
      </c>
      <c r="E289" s="49" t="s">
        <v>378</v>
      </c>
    </row>
    <row r="290" spans="1:5" x14ac:dyDescent="0.3">
      <c r="A290" s="49" t="s">
        <v>715</v>
      </c>
      <c r="B290" s="49" t="s">
        <v>578</v>
      </c>
      <c r="C290" s="49" t="s">
        <v>449</v>
      </c>
      <c r="D290">
        <v>99</v>
      </c>
      <c r="E290" s="49" t="s">
        <v>378</v>
      </c>
    </row>
    <row r="291" spans="1:5" x14ac:dyDescent="0.3">
      <c r="A291" s="49" t="s">
        <v>716</v>
      </c>
      <c r="B291" s="49" t="s">
        <v>578</v>
      </c>
      <c r="C291" s="49" t="s">
        <v>449</v>
      </c>
      <c r="D291">
        <v>98</v>
      </c>
      <c r="E291" s="49" t="s">
        <v>378</v>
      </c>
    </row>
    <row r="292" spans="1:5" x14ac:dyDescent="0.3">
      <c r="A292" s="49" t="s">
        <v>716</v>
      </c>
      <c r="B292" s="49" t="s">
        <v>578</v>
      </c>
      <c r="C292" s="49" t="s">
        <v>449</v>
      </c>
      <c r="D292">
        <v>99</v>
      </c>
      <c r="E292" s="49" t="s">
        <v>378</v>
      </c>
    </row>
    <row r="293" spans="1:5" x14ac:dyDescent="0.3">
      <c r="A293" s="49" t="s">
        <v>717</v>
      </c>
      <c r="B293" s="49" t="s">
        <v>578</v>
      </c>
      <c r="C293" s="49" t="s">
        <v>449</v>
      </c>
      <c r="D293">
        <v>98</v>
      </c>
      <c r="E293" s="49" t="s">
        <v>378</v>
      </c>
    </row>
    <row r="294" spans="1:5" x14ac:dyDescent="0.3">
      <c r="A294" s="49" t="s">
        <v>717</v>
      </c>
      <c r="B294" s="49" t="s">
        <v>578</v>
      </c>
      <c r="C294" s="49" t="s">
        <v>449</v>
      </c>
      <c r="D294">
        <v>99</v>
      </c>
      <c r="E294" s="49" t="s">
        <v>378</v>
      </c>
    </row>
    <row r="295" spans="1:5" x14ac:dyDescent="0.3">
      <c r="A295" s="49" t="s">
        <v>718</v>
      </c>
      <c r="B295" s="49" t="s">
        <v>578</v>
      </c>
      <c r="C295" s="49" t="s">
        <v>449</v>
      </c>
      <c r="D295">
        <v>98</v>
      </c>
      <c r="E295" s="49" t="s">
        <v>378</v>
      </c>
    </row>
    <row r="296" spans="1:5" x14ac:dyDescent="0.3">
      <c r="A296" s="49" t="s">
        <v>718</v>
      </c>
      <c r="B296" s="49" t="s">
        <v>578</v>
      </c>
      <c r="C296" s="49" t="s">
        <v>449</v>
      </c>
      <c r="D296">
        <v>99</v>
      </c>
      <c r="E296" s="49" t="s">
        <v>378</v>
      </c>
    </row>
    <row r="297" spans="1:5" x14ac:dyDescent="0.3">
      <c r="A297" s="49" t="s">
        <v>719</v>
      </c>
      <c r="B297" s="49" t="s">
        <v>578</v>
      </c>
      <c r="C297" s="49" t="s">
        <v>449</v>
      </c>
      <c r="D297">
        <v>98</v>
      </c>
      <c r="E297" s="49" t="s">
        <v>378</v>
      </c>
    </row>
    <row r="298" spans="1:5" x14ac:dyDescent="0.3">
      <c r="A298" s="49" t="s">
        <v>719</v>
      </c>
      <c r="B298" s="49" t="s">
        <v>578</v>
      </c>
      <c r="C298" s="49" t="s">
        <v>449</v>
      </c>
      <c r="D298">
        <v>99</v>
      </c>
      <c r="E298" s="49" t="s">
        <v>378</v>
      </c>
    </row>
    <row r="299" spans="1:5" x14ac:dyDescent="0.3">
      <c r="A299" s="49" t="s">
        <v>720</v>
      </c>
      <c r="B299" s="49" t="s">
        <v>578</v>
      </c>
      <c r="C299" s="49" t="s">
        <v>449</v>
      </c>
      <c r="D299">
        <v>98</v>
      </c>
      <c r="E299" s="49" t="s">
        <v>378</v>
      </c>
    </row>
    <row r="300" spans="1:5" x14ac:dyDescent="0.3">
      <c r="A300" s="49" t="s">
        <v>720</v>
      </c>
      <c r="B300" s="49" t="s">
        <v>578</v>
      </c>
      <c r="C300" s="49" t="s">
        <v>449</v>
      </c>
      <c r="D300">
        <v>99</v>
      </c>
      <c r="E300" s="49" t="s">
        <v>378</v>
      </c>
    </row>
    <row r="301" spans="1:5" x14ac:dyDescent="0.3">
      <c r="A301" s="49" t="s">
        <v>721</v>
      </c>
      <c r="B301" s="49" t="s">
        <v>578</v>
      </c>
      <c r="C301" s="49" t="s">
        <v>449</v>
      </c>
      <c r="D301">
        <v>98</v>
      </c>
      <c r="E301" s="49" t="s">
        <v>378</v>
      </c>
    </row>
    <row r="302" spans="1:5" x14ac:dyDescent="0.3">
      <c r="A302" s="49" t="s">
        <v>721</v>
      </c>
      <c r="B302" s="49" t="s">
        <v>578</v>
      </c>
      <c r="C302" s="49" t="s">
        <v>449</v>
      </c>
      <c r="D302">
        <v>99</v>
      </c>
      <c r="E302" s="49" t="s">
        <v>378</v>
      </c>
    </row>
    <row r="303" spans="1:5" x14ac:dyDescent="0.3">
      <c r="A303" s="49" t="s">
        <v>722</v>
      </c>
      <c r="B303" s="49" t="s">
        <v>578</v>
      </c>
      <c r="C303" s="49" t="s">
        <v>449</v>
      </c>
      <c r="D303">
        <v>98</v>
      </c>
      <c r="E303" s="49" t="s">
        <v>378</v>
      </c>
    </row>
    <row r="304" spans="1:5" x14ac:dyDescent="0.3">
      <c r="A304" s="49" t="s">
        <v>722</v>
      </c>
      <c r="B304" s="49" t="s">
        <v>578</v>
      </c>
      <c r="C304" s="49" t="s">
        <v>449</v>
      </c>
      <c r="D304">
        <v>99</v>
      </c>
      <c r="E304" s="49" t="s">
        <v>378</v>
      </c>
    </row>
    <row r="305" spans="1:5" x14ac:dyDescent="0.3">
      <c r="A305" s="49" t="s">
        <v>723</v>
      </c>
      <c r="B305" s="49" t="s">
        <v>578</v>
      </c>
      <c r="C305" s="49" t="s">
        <v>449</v>
      </c>
      <c r="D305">
        <v>98</v>
      </c>
      <c r="E305" s="49" t="s">
        <v>378</v>
      </c>
    </row>
    <row r="306" spans="1:5" x14ac:dyDescent="0.3">
      <c r="A306" s="49" t="s">
        <v>723</v>
      </c>
      <c r="B306" s="49" t="s">
        <v>578</v>
      </c>
      <c r="C306" s="49" t="s">
        <v>449</v>
      </c>
      <c r="D306">
        <v>99</v>
      </c>
      <c r="E306" s="49" t="s">
        <v>378</v>
      </c>
    </row>
    <row r="307" spans="1:5" x14ac:dyDescent="0.3">
      <c r="A307" s="49" t="s">
        <v>724</v>
      </c>
      <c r="B307" s="49" t="s">
        <v>578</v>
      </c>
      <c r="C307" s="49" t="s">
        <v>449</v>
      </c>
      <c r="D307">
        <v>98</v>
      </c>
      <c r="E307" s="49" t="s">
        <v>378</v>
      </c>
    </row>
    <row r="308" spans="1:5" x14ac:dyDescent="0.3">
      <c r="A308" s="49" t="s">
        <v>724</v>
      </c>
      <c r="B308" s="49" t="s">
        <v>578</v>
      </c>
      <c r="C308" s="49" t="s">
        <v>449</v>
      </c>
      <c r="D308">
        <v>99</v>
      </c>
      <c r="E308" s="49" t="s">
        <v>378</v>
      </c>
    </row>
    <row r="309" spans="1:5" x14ac:dyDescent="0.3">
      <c r="A309" s="49" t="s">
        <v>725</v>
      </c>
      <c r="B309" s="49" t="s">
        <v>578</v>
      </c>
      <c r="C309" s="49" t="s">
        <v>449</v>
      </c>
      <c r="D309">
        <v>98</v>
      </c>
      <c r="E309" s="49" t="s">
        <v>378</v>
      </c>
    </row>
    <row r="310" spans="1:5" x14ac:dyDescent="0.3">
      <c r="A310" s="49" t="s">
        <v>725</v>
      </c>
      <c r="B310" s="49" t="s">
        <v>578</v>
      </c>
      <c r="C310" s="49" t="s">
        <v>449</v>
      </c>
      <c r="D310">
        <v>99</v>
      </c>
      <c r="E310" s="49" t="s">
        <v>378</v>
      </c>
    </row>
    <row r="311" spans="1:5" x14ac:dyDescent="0.3">
      <c r="A311" s="49" t="s">
        <v>726</v>
      </c>
      <c r="B311" s="49" t="s">
        <v>578</v>
      </c>
      <c r="C311" s="49" t="s">
        <v>449</v>
      </c>
      <c r="D311">
        <v>98</v>
      </c>
      <c r="E311" s="49" t="s">
        <v>378</v>
      </c>
    </row>
    <row r="312" spans="1:5" x14ac:dyDescent="0.3">
      <c r="A312" s="49" t="s">
        <v>726</v>
      </c>
      <c r="B312" s="49" t="s">
        <v>578</v>
      </c>
      <c r="C312" s="49" t="s">
        <v>449</v>
      </c>
      <c r="D312">
        <v>99</v>
      </c>
      <c r="E312" s="49" t="s">
        <v>378</v>
      </c>
    </row>
    <row r="313" spans="1:5" x14ac:dyDescent="0.3">
      <c r="A313" s="49" t="s">
        <v>727</v>
      </c>
      <c r="B313" s="49" t="s">
        <v>578</v>
      </c>
      <c r="C313" s="49" t="s">
        <v>449</v>
      </c>
      <c r="D313">
        <v>98</v>
      </c>
      <c r="E313" s="49" t="s">
        <v>378</v>
      </c>
    </row>
    <row r="314" spans="1:5" x14ac:dyDescent="0.3">
      <c r="A314" s="49" t="s">
        <v>727</v>
      </c>
      <c r="B314" s="49" t="s">
        <v>578</v>
      </c>
      <c r="C314" s="49" t="s">
        <v>449</v>
      </c>
      <c r="D314">
        <v>99</v>
      </c>
      <c r="E314" s="49" t="s">
        <v>378</v>
      </c>
    </row>
    <row r="315" spans="1:5" x14ac:dyDescent="0.3">
      <c r="A315" s="49" t="s">
        <v>728</v>
      </c>
      <c r="B315" s="49" t="s">
        <v>578</v>
      </c>
      <c r="C315" s="49" t="s">
        <v>449</v>
      </c>
      <c r="D315">
        <v>98</v>
      </c>
      <c r="E315" s="49" t="s">
        <v>378</v>
      </c>
    </row>
    <row r="316" spans="1:5" x14ac:dyDescent="0.3">
      <c r="A316" s="49" t="s">
        <v>728</v>
      </c>
      <c r="B316" s="49" t="s">
        <v>578</v>
      </c>
      <c r="C316" s="49" t="s">
        <v>449</v>
      </c>
      <c r="D316">
        <v>99</v>
      </c>
      <c r="E316" s="49" t="s">
        <v>378</v>
      </c>
    </row>
    <row r="317" spans="1:5" x14ac:dyDescent="0.3">
      <c r="A317" s="49" t="s">
        <v>729</v>
      </c>
      <c r="B317" s="49" t="s">
        <v>578</v>
      </c>
      <c r="C317" s="49" t="s">
        <v>449</v>
      </c>
      <c r="D317">
        <v>98</v>
      </c>
      <c r="E317" s="49" t="s">
        <v>378</v>
      </c>
    </row>
    <row r="318" spans="1:5" x14ac:dyDescent="0.3">
      <c r="A318" s="49" t="s">
        <v>729</v>
      </c>
      <c r="B318" s="49" t="s">
        <v>578</v>
      </c>
      <c r="C318" s="49" t="s">
        <v>449</v>
      </c>
      <c r="D318">
        <v>99</v>
      </c>
      <c r="E318" s="49" t="s">
        <v>378</v>
      </c>
    </row>
    <row r="319" spans="1:5" x14ac:dyDescent="0.3">
      <c r="A319" s="49" t="s">
        <v>730</v>
      </c>
      <c r="B319" s="49" t="s">
        <v>578</v>
      </c>
      <c r="C319" s="49" t="s">
        <v>449</v>
      </c>
      <c r="D319">
        <v>98</v>
      </c>
      <c r="E319" s="49" t="s">
        <v>378</v>
      </c>
    </row>
    <row r="320" spans="1:5" x14ac:dyDescent="0.3">
      <c r="A320" s="49" t="s">
        <v>730</v>
      </c>
      <c r="B320" s="49" t="s">
        <v>578</v>
      </c>
      <c r="C320" s="49" t="s">
        <v>449</v>
      </c>
      <c r="D320">
        <v>99</v>
      </c>
      <c r="E320" s="49" t="s">
        <v>378</v>
      </c>
    </row>
    <row r="321" spans="1:5" x14ac:dyDescent="0.3">
      <c r="A321" s="49" t="s">
        <v>731</v>
      </c>
      <c r="B321" s="49" t="s">
        <v>578</v>
      </c>
      <c r="C321" s="49" t="s">
        <v>449</v>
      </c>
      <c r="D321">
        <v>98</v>
      </c>
      <c r="E321" s="49" t="s">
        <v>378</v>
      </c>
    </row>
    <row r="322" spans="1:5" x14ac:dyDescent="0.3">
      <c r="A322" s="49" t="s">
        <v>731</v>
      </c>
      <c r="B322" s="49" t="s">
        <v>578</v>
      </c>
      <c r="C322" s="49" t="s">
        <v>449</v>
      </c>
      <c r="D322">
        <v>99</v>
      </c>
      <c r="E322" s="49" t="s">
        <v>378</v>
      </c>
    </row>
    <row r="323" spans="1:5" x14ac:dyDescent="0.3">
      <c r="A323" s="49" t="s">
        <v>732</v>
      </c>
      <c r="B323" s="49" t="s">
        <v>578</v>
      </c>
      <c r="C323" s="49" t="s">
        <v>449</v>
      </c>
      <c r="D323">
        <v>98</v>
      </c>
      <c r="E323" s="49" t="s">
        <v>378</v>
      </c>
    </row>
    <row r="324" spans="1:5" x14ac:dyDescent="0.3">
      <c r="A324" s="49" t="s">
        <v>732</v>
      </c>
      <c r="B324" s="49" t="s">
        <v>578</v>
      </c>
      <c r="C324" s="49" t="s">
        <v>449</v>
      </c>
      <c r="D324">
        <v>99</v>
      </c>
      <c r="E324" s="49" t="s">
        <v>378</v>
      </c>
    </row>
    <row r="325" spans="1:5" x14ac:dyDescent="0.3">
      <c r="A325" s="49" t="s">
        <v>733</v>
      </c>
      <c r="B325" s="49" t="s">
        <v>578</v>
      </c>
      <c r="C325" s="49" t="s">
        <v>449</v>
      </c>
      <c r="D325">
        <v>98</v>
      </c>
      <c r="E325" s="49" t="s">
        <v>378</v>
      </c>
    </row>
    <row r="326" spans="1:5" x14ac:dyDescent="0.3">
      <c r="A326" s="49" t="s">
        <v>733</v>
      </c>
      <c r="B326" s="49" t="s">
        <v>578</v>
      </c>
      <c r="C326" s="49" t="s">
        <v>449</v>
      </c>
      <c r="D326">
        <v>99</v>
      </c>
      <c r="E326" s="49" t="s">
        <v>378</v>
      </c>
    </row>
    <row r="327" spans="1:5" x14ac:dyDescent="0.3">
      <c r="A327" s="49" t="s">
        <v>734</v>
      </c>
      <c r="B327" s="49" t="s">
        <v>578</v>
      </c>
      <c r="C327" s="49" t="s">
        <v>449</v>
      </c>
      <c r="D327">
        <v>98</v>
      </c>
      <c r="E327" s="49" t="s">
        <v>378</v>
      </c>
    </row>
    <row r="328" spans="1:5" x14ac:dyDescent="0.3">
      <c r="A328" s="49" t="s">
        <v>734</v>
      </c>
      <c r="B328" s="49" t="s">
        <v>578</v>
      </c>
      <c r="C328" s="49" t="s">
        <v>449</v>
      </c>
      <c r="D328">
        <v>99</v>
      </c>
      <c r="E328" s="49" t="s">
        <v>378</v>
      </c>
    </row>
    <row r="329" spans="1:5" x14ac:dyDescent="0.3">
      <c r="A329" s="49" t="s">
        <v>735</v>
      </c>
      <c r="B329" s="49" t="s">
        <v>578</v>
      </c>
      <c r="C329" s="49" t="s">
        <v>449</v>
      </c>
      <c r="D329">
        <v>98</v>
      </c>
      <c r="E329" s="49" t="s">
        <v>378</v>
      </c>
    </row>
    <row r="330" spans="1:5" x14ac:dyDescent="0.3">
      <c r="A330" s="49" t="s">
        <v>735</v>
      </c>
      <c r="B330" s="49" t="s">
        <v>578</v>
      </c>
      <c r="C330" s="49" t="s">
        <v>449</v>
      </c>
      <c r="D330">
        <v>99</v>
      </c>
      <c r="E330" s="49" t="s">
        <v>378</v>
      </c>
    </row>
    <row r="331" spans="1:5" x14ac:dyDescent="0.3">
      <c r="A331" s="49" t="s">
        <v>736</v>
      </c>
      <c r="B331" s="49" t="s">
        <v>578</v>
      </c>
      <c r="C331" s="49" t="s">
        <v>449</v>
      </c>
      <c r="D331">
        <v>98</v>
      </c>
      <c r="E331" s="49" t="s">
        <v>378</v>
      </c>
    </row>
    <row r="332" spans="1:5" x14ac:dyDescent="0.3">
      <c r="A332" s="49" t="s">
        <v>736</v>
      </c>
      <c r="B332" s="49" t="s">
        <v>578</v>
      </c>
      <c r="C332" s="49" t="s">
        <v>449</v>
      </c>
      <c r="D332">
        <v>99</v>
      </c>
      <c r="E332" s="49" t="s">
        <v>378</v>
      </c>
    </row>
    <row r="333" spans="1:5" x14ac:dyDescent="0.3">
      <c r="A333" s="49" t="s">
        <v>737</v>
      </c>
      <c r="B333" s="49" t="s">
        <v>578</v>
      </c>
      <c r="C333" s="49" t="s">
        <v>449</v>
      </c>
      <c r="D333">
        <v>98</v>
      </c>
      <c r="E333" s="49" t="s">
        <v>378</v>
      </c>
    </row>
    <row r="334" spans="1:5" x14ac:dyDescent="0.3">
      <c r="A334" s="49" t="s">
        <v>737</v>
      </c>
      <c r="B334" s="49" t="s">
        <v>578</v>
      </c>
      <c r="C334" s="49" t="s">
        <v>449</v>
      </c>
      <c r="D334">
        <v>99</v>
      </c>
      <c r="E334" s="49" t="s">
        <v>378</v>
      </c>
    </row>
    <row r="335" spans="1:5" x14ac:dyDescent="0.3">
      <c r="A335" s="49" t="s">
        <v>738</v>
      </c>
      <c r="B335" s="49" t="s">
        <v>578</v>
      </c>
      <c r="C335" s="49" t="s">
        <v>449</v>
      </c>
      <c r="D335">
        <v>98</v>
      </c>
      <c r="E335" s="49" t="s">
        <v>378</v>
      </c>
    </row>
    <row r="336" spans="1:5" x14ac:dyDescent="0.3">
      <c r="A336" s="49" t="s">
        <v>738</v>
      </c>
      <c r="B336" s="49" t="s">
        <v>578</v>
      </c>
      <c r="C336" s="49" t="s">
        <v>449</v>
      </c>
      <c r="D336">
        <v>99</v>
      </c>
      <c r="E336" s="49" t="s">
        <v>378</v>
      </c>
    </row>
    <row r="337" spans="1:5" x14ac:dyDescent="0.3">
      <c r="A337" s="49" t="s">
        <v>739</v>
      </c>
      <c r="B337" s="49" t="s">
        <v>578</v>
      </c>
      <c r="C337" s="49" t="s">
        <v>449</v>
      </c>
      <c r="D337">
        <v>98</v>
      </c>
      <c r="E337" s="49" t="s">
        <v>378</v>
      </c>
    </row>
    <row r="338" spans="1:5" x14ac:dyDescent="0.3">
      <c r="A338" s="49" t="s">
        <v>739</v>
      </c>
      <c r="B338" s="49" t="s">
        <v>578</v>
      </c>
      <c r="C338" s="49" t="s">
        <v>449</v>
      </c>
      <c r="D338">
        <v>99</v>
      </c>
      <c r="E338" s="49" t="s">
        <v>378</v>
      </c>
    </row>
    <row r="339" spans="1:5" x14ac:dyDescent="0.3">
      <c r="A339" s="49" t="s">
        <v>740</v>
      </c>
      <c r="B339" s="49" t="s">
        <v>578</v>
      </c>
      <c r="C339" s="49" t="s">
        <v>449</v>
      </c>
      <c r="D339">
        <v>98</v>
      </c>
      <c r="E339" s="49" t="s">
        <v>378</v>
      </c>
    </row>
    <row r="340" spans="1:5" x14ac:dyDescent="0.3">
      <c r="A340" s="49" t="s">
        <v>740</v>
      </c>
      <c r="B340" s="49" t="s">
        <v>578</v>
      </c>
      <c r="C340" s="49" t="s">
        <v>449</v>
      </c>
      <c r="D340">
        <v>99</v>
      </c>
      <c r="E340" s="49" t="s">
        <v>378</v>
      </c>
    </row>
    <row r="341" spans="1:5" x14ac:dyDescent="0.3">
      <c r="A341" s="49" t="s">
        <v>741</v>
      </c>
      <c r="B341" s="49" t="s">
        <v>578</v>
      </c>
      <c r="C341" s="49" t="s">
        <v>449</v>
      </c>
      <c r="D341">
        <v>98</v>
      </c>
      <c r="E341" s="49" t="s">
        <v>378</v>
      </c>
    </row>
    <row r="342" spans="1:5" x14ac:dyDescent="0.3">
      <c r="A342" s="49" t="s">
        <v>741</v>
      </c>
      <c r="B342" s="49" t="s">
        <v>578</v>
      </c>
      <c r="C342" s="49" t="s">
        <v>449</v>
      </c>
      <c r="D342">
        <v>99</v>
      </c>
      <c r="E342" s="49" t="s">
        <v>378</v>
      </c>
    </row>
    <row r="343" spans="1:5" x14ac:dyDescent="0.3">
      <c r="A343" s="49" t="s">
        <v>742</v>
      </c>
      <c r="B343" s="49" t="s">
        <v>578</v>
      </c>
      <c r="C343" s="49" t="s">
        <v>449</v>
      </c>
      <c r="D343">
        <v>98</v>
      </c>
      <c r="E343" s="49" t="s">
        <v>378</v>
      </c>
    </row>
    <row r="344" spans="1:5" x14ac:dyDescent="0.3">
      <c r="A344" s="49" t="s">
        <v>742</v>
      </c>
      <c r="B344" s="49" t="s">
        <v>578</v>
      </c>
      <c r="C344" s="49" t="s">
        <v>449</v>
      </c>
      <c r="D344">
        <v>99</v>
      </c>
      <c r="E344" s="49" t="s">
        <v>378</v>
      </c>
    </row>
    <row r="345" spans="1:5" x14ac:dyDescent="0.3">
      <c r="A345" s="49" t="s">
        <v>743</v>
      </c>
      <c r="B345" s="49" t="s">
        <v>578</v>
      </c>
      <c r="C345" s="49" t="s">
        <v>449</v>
      </c>
      <c r="D345">
        <v>98</v>
      </c>
      <c r="E345" s="49" t="s">
        <v>378</v>
      </c>
    </row>
    <row r="346" spans="1:5" x14ac:dyDescent="0.3">
      <c r="A346" s="49" t="s">
        <v>743</v>
      </c>
      <c r="B346" s="49" t="s">
        <v>578</v>
      </c>
      <c r="C346" s="49" t="s">
        <v>449</v>
      </c>
      <c r="D346">
        <v>99</v>
      </c>
      <c r="E346" s="49" t="s">
        <v>378</v>
      </c>
    </row>
    <row r="347" spans="1:5" x14ac:dyDescent="0.3">
      <c r="A347" s="49" t="s">
        <v>744</v>
      </c>
      <c r="B347" s="49" t="s">
        <v>578</v>
      </c>
      <c r="C347" s="49" t="s">
        <v>449</v>
      </c>
      <c r="D347">
        <v>98</v>
      </c>
      <c r="E347" s="49" t="s">
        <v>378</v>
      </c>
    </row>
    <row r="348" spans="1:5" x14ac:dyDescent="0.3">
      <c r="A348" s="49" t="s">
        <v>744</v>
      </c>
      <c r="B348" s="49" t="s">
        <v>578</v>
      </c>
      <c r="C348" s="49" t="s">
        <v>449</v>
      </c>
      <c r="D348">
        <v>99</v>
      </c>
      <c r="E348" s="49" t="s">
        <v>378</v>
      </c>
    </row>
    <row r="349" spans="1:5" x14ac:dyDescent="0.3">
      <c r="A349" s="49" t="s">
        <v>745</v>
      </c>
      <c r="B349" s="49" t="s">
        <v>578</v>
      </c>
      <c r="C349" s="49" t="s">
        <v>449</v>
      </c>
      <c r="D349">
        <v>98</v>
      </c>
      <c r="E349" s="49" t="s">
        <v>378</v>
      </c>
    </row>
    <row r="350" spans="1:5" x14ac:dyDescent="0.3">
      <c r="A350" s="49" t="s">
        <v>745</v>
      </c>
      <c r="B350" s="49" t="s">
        <v>578</v>
      </c>
      <c r="C350" s="49" t="s">
        <v>449</v>
      </c>
      <c r="D350">
        <v>99</v>
      </c>
      <c r="E350" s="49" t="s">
        <v>378</v>
      </c>
    </row>
    <row r="351" spans="1:5" x14ac:dyDescent="0.3">
      <c r="A351" s="49" t="s">
        <v>746</v>
      </c>
      <c r="B351" s="49" t="s">
        <v>578</v>
      </c>
      <c r="C351" s="49" t="s">
        <v>449</v>
      </c>
      <c r="D351">
        <v>98</v>
      </c>
      <c r="E351" s="49" t="s">
        <v>378</v>
      </c>
    </row>
    <row r="352" spans="1:5" x14ac:dyDescent="0.3">
      <c r="A352" s="49" t="s">
        <v>746</v>
      </c>
      <c r="B352" s="49" t="s">
        <v>578</v>
      </c>
      <c r="C352" s="49" t="s">
        <v>449</v>
      </c>
      <c r="D352">
        <v>99</v>
      </c>
      <c r="E352" s="49" t="s">
        <v>378</v>
      </c>
    </row>
    <row r="353" spans="1:5" x14ac:dyDescent="0.3">
      <c r="A353" s="49" t="s">
        <v>747</v>
      </c>
      <c r="B353" s="49" t="s">
        <v>578</v>
      </c>
      <c r="C353" s="49" t="s">
        <v>449</v>
      </c>
      <c r="D353">
        <v>98</v>
      </c>
      <c r="E353" s="49" t="s">
        <v>378</v>
      </c>
    </row>
    <row r="354" spans="1:5" x14ac:dyDescent="0.3">
      <c r="A354" s="49" t="s">
        <v>747</v>
      </c>
      <c r="B354" s="49" t="s">
        <v>578</v>
      </c>
      <c r="C354" s="49" t="s">
        <v>449</v>
      </c>
      <c r="D354">
        <v>99</v>
      </c>
      <c r="E354" s="49" t="s">
        <v>378</v>
      </c>
    </row>
    <row r="355" spans="1:5" x14ac:dyDescent="0.3">
      <c r="A355" s="49" t="s">
        <v>748</v>
      </c>
      <c r="B355" s="49" t="s">
        <v>578</v>
      </c>
      <c r="C355" s="49" t="s">
        <v>449</v>
      </c>
      <c r="D355">
        <v>98</v>
      </c>
      <c r="E355" s="49" t="s">
        <v>378</v>
      </c>
    </row>
    <row r="356" spans="1:5" x14ac:dyDescent="0.3">
      <c r="A356" s="49" t="s">
        <v>748</v>
      </c>
      <c r="B356" s="49" t="s">
        <v>578</v>
      </c>
      <c r="C356" s="49" t="s">
        <v>449</v>
      </c>
      <c r="D356">
        <v>99</v>
      </c>
      <c r="E356" s="49" t="s">
        <v>378</v>
      </c>
    </row>
    <row r="357" spans="1:5" x14ac:dyDescent="0.3">
      <c r="A357" s="49" t="s">
        <v>749</v>
      </c>
      <c r="B357" s="49" t="s">
        <v>578</v>
      </c>
      <c r="C357" s="49" t="s">
        <v>449</v>
      </c>
      <c r="D357">
        <v>98</v>
      </c>
      <c r="E357" s="49" t="s">
        <v>378</v>
      </c>
    </row>
    <row r="358" spans="1:5" x14ac:dyDescent="0.3">
      <c r="A358" s="49" t="s">
        <v>749</v>
      </c>
      <c r="B358" s="49" t="s">
        <v>578</v>
      </c>
      <c r="C358" s="49" t="s">
        <v>449</v>
      </c>
      <c r="D358">
        <v>99</v>
      </c>
      <c r="E358" s="49" t="s">
        <v>378</v>
      </c>
    </row>
    <row r="359" spans="1:5" x14ac:dyDescent="0.3">
      <c r="A359" s="49" t="s">
        <v>750</v>
      </c>
      <c r="B359" s="49" t="s">
        <v>578</v>
      </c>
      <c r="C359" s="49" t="s">
        <v>449</v>
      </c>
      <c r="D359">
        <v>98</v>
      </c>
      <c r="E359" s="49" t="s">
        <v>378</v>
      </c>
    </row>
    <row r="360" spans="1:5" x14ac:dyDescent="0.3">
      <c r="A360" s="49" t="s">
        <v>750</v>
      </c>
      <c r="B360" s="49" t="s">
        <v>578</v>
      </c>
      <c r="C360" s="49" t="s">
        <v>449</v>
      </c>
      <c r="D360">
        <v>99</v>
      </c>
      <c r="E360" s="49" t="s">
        <v>378</v>
      </c>
    </row>
    <row r="361" spans="1:5" x14ac:dyDescent="0.3">
      <c r="A361" s="49" t="s">
        <v>751</v>
      </c>
      <c r="B361" s="49" t="s">
        <v>578</v>
      </c>
      <c r="C361" s="49" t="s">
        <v>449</v>
      </c>
      <c r="D361">
        <v>98</v>
      </c>
      <c r="E361" s="49" t="s">
        <v>378</v>
      </c>
    </row>
    <row r="362" spans="1:5" x14ac:dyDescent="0.3">
      <c r="A362" s="49" t="s">
        <v>751</v>
      </c>
      <c r="B362" s="49" t="s">
        <v>578</v>
      </c>
      <c r="C362" s="49" t="s">
        <v>449</v>
      </c>
      <c r="D362">
        <v>99</v>
      </c>
      <c r="E362" s="49" t="s">
        <v>378</v>
      </c>
    </row>
    <row r="363" spans="1:5" x14ac:dyDescent="0.3">
      <c r="A363" s="49" t="s">
        <v>752</v>
      </c>
      <c r="B363" s="49" t="s">
        <v>578</v>
      </c>
      <c r="C363" s="49" t="s">
        <v>449</v>
      </c>
      <c r="D363">
        <v>98</v>
      </c>
      <c r="E363" s="49" t="s">
        <v>378</v>
      </c>
    </row>
    <row r="364" spans="1:5" x14ac:dyDescent="0.3">
      <c r="A364" s="49" t="s">
        <v>752</v>
      </c>
      <c r="B364" s="49" t="s">
        <v>578</v>
      </c>
      <c r="C364" s="49" t="s">
        <v>449</v>
      </c>
      <c r="D364">
        <v>99</v>
      </c>
      <c r="E364" s="49" t="s">
        <v>378</v>
      </c>
    </row>
    <row r="365" spans="1:5" x14ac:dyDescent="0.3">
      <c r="A365" s="49" t="s">
        <v>753</v>
      </c>
      <c r="B365" s="49" t="s">
        <v>578</v>
      </c>
      <c r="C365" s="49" t="s">
        <v>449</v>
      </c>
      <c r="D365">
        <v>98</v>
      </c>
      <c r="E365" s="49" t="s">
        <v>378</v>
      </c>
    </row>
    <row r="366" spans="1:5" x14ac:dyDescent="0.3">
      <c r="A366" s="49" t="s">
        <v>753</v>
      </c>
      <c r="B366" s="49" t="s">
        <v>578</v>
      </c>
      <c r="C366" s="49" t="s">
        <v>449</v>
      </c>
      <c r="D366">
        <v>99</v>
      </c>
      <c r="E366" s="49" t="s">
        <v>378</v>
      </c>
    </row>
    <row r="367" spans="1:5" x14ac:dyDescent="0.3">
      <c r="A367" s="49" t="s">
        <v>754</v>
      </c>
      <c r="B367" s="49" t="s">
        <v>578</v>
      </c>
      <c r="C367" s="49" t="s">
        <v>449</v>
      </c>
      <c r="D367">
        <v>98</v>
      </c>
      <c r="E367" s="49" t="s">
        <v>378</v>
      </c>
    </row>
    <row r="368" spans="1:5" x14ac:dyDescent="0.3">
      <c r="A368" s="49" t="s">
        <v>754</v>
      </c>
      <c r="B368" s="49" t="s">
        <v>578</v>
      </c>
      <c r="C368" s="49" t="s">
        <v>449</v>
      </c>
      <c r="D368">
        <v>99</v>
      </c>
      <c r="E368" s="49" t="s">
        <v>378</v>
      </c>
    </row>
    <row r="369" spans="1:5" x14ac:dyDescent="0.3">
      <c r="A369" s="49" t="s">
        <v>755</v>
      </c>
      <c r="B369" s="49" t="s">
        <v>578</v>
      </c>
      <c r="C369" s="49" t="s">
        <v>449</v>
      </c>
      <c r="D369">
        <v>98</v>
      </c>
      <c r="E369" s="49" t="s">
        <v>378</v>
      </c>
    </row>
    <row r="370" spans="1:5" x14ac:dyDescent="0.3">
      <c r="A370" s="49" t="s">
        <v>755</v>
      </c>
      <c r="B370" s="49" t="s">
        <v>578</v>
      </c>
      <c r="C370" s="49" t="s">
        <v>449</v>
      </c>
      <c r="D370">
        <v>99</v>
      </c>
      <c r="E370" s="49" t="s">
        <v>378</v>
      </c>
    </row>
    <row r="371" spans="1:5" x14ac:dyDescent="0.3">
      <c r="A371" s="49" t="s">
        <v>756</v>
      </c>
      <c r="B371" s="49" t="s">
        <v>578</v>
      </c>
      <c r="C371" s="49" t="s">
        <v>449</v>
      </c>
      <c r="D371">
        <v>98</v>
      </c>
      <c r="E371" s="49" t="s">
        <v>378</v>
      </c>
    </row>
    <row r="372" spans="1:5" x14ac:dyDescent="0.3">
      <c r="A372" s="49" t="s">
        <v>756</v>
      </c>
      <c r="B372" s="49" t="s">
        <v>578</v>
      </c>
      <c r="C372" s="49" t="s">
        <v>449</v>
      </c>
      <c r="D372">
        <v>99</v>
      </c>
      <c r="E372" s="49" t="s">
        <v>378</v>
      </c>
    </row>
    <row r="373" spans="1:5" x14ac:dyDescent="0.3">
      <c r="A373" s="49" t="s">
        <v>757</v>
      </c>
      <c r="B373" s="49" t="s">
        <v>578</v>
      </c>
      <c r="C373" s="49" t="s">
        <v>449</v>
      </c>
      <c r="D373">
        <v>98</v>
      </c>
      <c r="E373" s="49" t="s">
        <v>378</v>
      </c>
    </row>
    <row r="374" spans="1:5" x14ac:dyDescent="0.3">
      <c r="A374" s="49" t="s">
        <v>757</v>
      </c>
      <c r="B374" s="49" t="s">
        <v>578</v>
      </c>
      <c r="C374" s="49" t="s">
        <v>449</v>
      </c>
      <c r="D374">
        <v>99</v>
      </c>
      <c r="E374" s="49" t="s">
        <v>378</v>
      </c>
    </row>
    <row r="375" spans="1:5" x14ac:dyDescent="0.3">
      <c r="A375" s="49" t="s">
        <v>758</v>
      </c>
      <c r="B375" s="49" t="s">
        <v>578</v>
      </c>
      <c r="C375" s="49" t="s">
        <v>449</v>
      </c>
      <c r="D375">
        <v>98</v>
      </c>
      <c r="E375" s="49" t="s">
        <v>378</v>
      </c>
    </row>
    <row r="376" spans="1:5" x14ac:dyDescent="0.3">
      <c r="A376" s="49" t="s">
        <v>758</v>
      </c>
      <c r="B376" s="49" t="s">
        <v>578</v>
      </c>
      <c r="C376" s="49" t="s">
        <v>449</v>
      </c>
      <c r="D376">
        <v>99</v>
      </c>
      <c r="E376" s="49" t="s">
        <v>378</v>
      </c>
    </row>
    <row r="377" spans="1:5" x14ac:dyDescent="0.3">
      <c r="A377" s="49" t="s">
        <v>759</v>
      </c>
      <c r="B377" s="49" t="s">
        <v>578</v>
      </c>
      <c r="C377" s="49" t="s">
        <v>449</v>
      </c>
      <c r="D377">
        <v>98</v>
      </c>
      <c r="E377" s="49" t="s">
        <v>378</v>
      </c>
    </row>
    <row r="378" spans="1:5" x14ac:dyDescent="0.3">
      <c r="A378" s="49" t="s">
        <v>759</v>
      </c>
      <c r="B378" s="49" t="s">
        <v>578</v>
      </c>
      <c r="C378" s="49" t="s">
        <v>449</v>
      </c>
      <c r="D378">
        <v>99</v>
      </c>
      <c r="E378" s="49" t="s">
        <v>378</v>
      </c>
    </row>
    <row r="379" spans="1:5" x14ac:dyDescent="0.3">
      <c r="A379" s="49" t="s">
        <v>760</v>
      </c>
      <c r="B379" s="49" t="s">
        <v>578</v>
      </c>
      <c r="C379" s="49" t="s">
        <v>449</v>
      </c>
      <c r="D379">
        <v>98</v>
      </c>
      <c r="E379" s="49" t="s">
        <v>378</v>
      </c>
    </row>
    <row r="380" spans="1:5" x14ac:dyDescent="0.3">
      <c r="A380" s="49" t="s">
        <v>760</v>
      </c>
      <c r="B380" s="49" t="s">
        <v>578</v>
      </c>
      <c r="C380" s="49" t="s">
        <v>449</v>
      </c>
      <c r="D380">
        <v>99</v>
      </c>
      <c r="E380" s="49" t="s">
        <v>378</v>
      </c>
    </row>
    <row r="381" spans="1:5" x14ac:dyDescent="0.3">
      <c r="A381" s="49" t="s">
        <v>761</v>
      </c>
      <c r="B381" s="49" t="s">
        <v>578</v>
      </c>
      <c r="C381" s="49" t="s">
        <v>449</v>
      </c>
      <c r="D381">
        <v>98</v>
      </c>
      <c r="E381" s="49" t="s">
        <v>378</v>
      </c>
    </row>
    <row r="382" spans="1:5" x14ac:dyDescent="0.3">
      <c r="A382" s="49" t="s">
        <v>761</v>
      </c>
      <c r="B382" s="49" t="s">
        <v>578</v>
      </c>
      <c r="C382" s="49" t="s">
        <v>449</v>
      </c>
      <c r="D382">
        <v>99</v>
      </c>
      <c r="E382" s="49" t="s">
        <v>378</v>
      </c>
    </row>
    <row r="383" spans="1:5" x14ac:dyDescent="0.3">
      <c r="A383" s="49" t="s">
        <v>762</v>
      </c>
      <c r="B383" s="49" t="s">
        <v>578</v>
      </c>
      <c r="C383" s="49" t="s">
        <v>449</v>
      </c>
      <c r="D383">
        <v>98</v>
      </c>
      <c r="E383" s="49" t="s">
        <v>378</v>
      </c>
    </row>
    <row r="384" spans="1:5" x14ac:dyDescent="0.3">
      <c r="A384" s="49" t="s">
        <v>762</v>
      </c>
      <c r="B384" s="49" t="s">
        <v>578</v>
      </c>
      <c r="C384" s="49" t="s">
        <v>449</v>
      </c>
      <c r="D384">
        <v>99</v>
      </c>
      <c r="E384" s="49" t="s">
        <v>378</v>
      </c>
    </row>
    <row r="385" spans="1:5" x14ac:dyDescent="0.3">
      <c r="A385" s="49" t="s">
        <v>763</v>
      </c>
      <c r="B385" s="49" t="s">
        <v>578</v>
      </c>
      <c r="C385" s="49" t="s">
        <v>449</v>
      </c>
      <c r="D385">
        <v>98</v>
      </c>
      <c r="E385" s="49" t="s">
        <v>378</v>
      </c>
    </row>
    <row r="386" spans="1:5" x14ac:dyDescent="0.3">
      <c r="A386" s="49" t="s">
        <v>763</v>
      </c>
      <c r="B386" s="49" t="s">
        <v>578</v>
      </c>
      <c r="C386" s="49" t="s">
        <v>449</v>
      </c>
      <c r="D386">
        <v>99</v>
      </c>
      <c r="E386" s="49" t="s">
        <v>378</v>
      </c>
    </row>
    <row r="387" spans="1:5" x14ac:dyDescent="0.3">
      <c r="A387" s="49" t="s">
        <v>764</v>
      </c>
      <c r="B387" s="49" t="s">
        <v>578</v>
      </c>
      <c r="C387" s="49" t="s">
        <v>449</v>
      </c>
      <c r="D387">
        <v>98</v>
      </c>
      <c r="E387" s="49" t="s">
        <v>378</v>
      </c>
    </row>
    <row r="388" spans="1:5" x14ac:dyDescent="0.3">
      <c r="A388" s="49" t="s">
        <v>764</v>
      </c>
      <c r="B388" s="49" t="s">
        <v>578</v>
      </c>
      <c r="C388" s="49" t="s">
        <v>449</v>
      </c>
      <c r="D388">
        <v>99</v>
      </c>
      <c r="E388" s="49" t="s">
        <v>378</v>
      </c>
    </row>
    <row r="389" spans="1:5" x14ac:dyDescent="0.3">
      <c r="A389" s="49" t="s">
        <v>765</v>
      </c>
      <c r="B389" s="49" t="s">
        <v>578</v>
      </c>
      <c r="C389" s="49" t="s">
        <v>449</v>
      </c>
      <c r="D389">
        <v>98</v>
      </c>
      <c r="E389" s="49" t="s">
        <v>378</v>
      </c>
    </row>
    <row r="390" spans="1:5" x14ac:dyDescent="0.3">
      <c r="A390" s="49" t="s">
        <v>765</v>
      </c>
      <c r="B390" s="49" t="s">
        <v>578</v>
      </c>
      <c r="C390" s="49" t="s">
        <v>449</v>
      </c>
      <c r="D390">
        <v>99</v>
      </c>
      <c r="E390" s="49" t="s">
        <v>378</v>
      </c>
    </row>
    <row r="391" spans="1:5" x14ac:dyDescent="0.3">
      <c r="A391" s="49" t="s">
        <v>766</v>
      </c>
      <c r="B391" s="49" t="s">
        <v>578</v>
      </c>
      <c r="C391" s="49" t="s">
        <v>449</v>
      </c>
      <c r="D391">
        <v>98</v>
      </c>
      <c r="E391" s="49" t="s">
        <v>378</v>
      </c>
    </row>
    <row r="392" spans="1:5" x14ac:dyDescent="0.3">
      <c r="A392" s="49" t="s">
        <v>766</v>
      </c>
      <c r="B392" s="49" t="s">
        <v>578</v>
      </c>
      <c r="C392" s="49" t="s">
        <v>449</v>
      </c>
      <c r="D392">
        <v>99</v>
      </c>
      <c r="E392" s="49" t="s">
        <v>378</v>
      </c>
    </row>
    <row r="393" spans="1:5" x14ac:dyDescent="0.3">
      <c r="A393" s="49" t="s">
        <v>767</v>
      </c>
      <c r="B393" s="49" t="s">
        <v>578</v>
      </c>
      <c r="C393" s="49" t="s">
        <v>449</v>
      </c>
      <c r="D393">
        <v>98</v>
      </c>
      <c r="E393" s="49" t="s">
        <v>378</v>
      </c>
    </row>
    <row r="394" spans="1:5" x14ac:dyDescent="0.3">
      <c r="A394" s="49" t="s">
        <v>767</v>
      </c>
      <c r="B394" s="49" t="s">
        <v>578</v>
      </c>
      <c r="C394" s="49" t="s">
        <v>449</v>
      </c>
      <c r="D394">
        <v>99</v>
      </c>
      <c r="E394" s="49" t="s">
        <v>378</v>
      </c>
    </row>
    <row r="395" spans="1:5" x14ac:dyDescent="0.3">
      <c r="A395" s="49" t="s">
        <v>768</v>
      </c>
      <c r="B395" s="49" t="s">
        <v>578</v>
      </c>
      <c r="C395" s="49" t="s">
        <v>449</v>
      </c>
      <c r="D395">
        <v>98</v>
      </c>
      <c r="E395" s="49" t="s">
        <v>378</v>
      </c>
    </row>
    <row r="396" spans="1:5" x14ac:dyDescent="0.3">
      <c r="A396" s="49" t="s">
        <v>768</v>
      </c>
      <c r="B396" s="49" t="s">
        <v>578</v>
      </c>
      <c r="C396" s="49" t="s">
        <v>449</v>
      </c>
      <c r="D396">
        <v>99</v>
      </c>
      <c r="E396" s="49" t="s">
        <v>378</v>
      </c>
    </row>
    <row r="397" spans="1:5" x14ac:dyDescent="0.3">
      <c r="A397" s="49" t="s">
        <v>769</v>
      </c>
      <c r="B397" s="49" t="s">
        <v>578</v>
      </c>
      <c r="C397" s="49" t="s">
        <v>449</v>
      </c>
      <c r="D397">
        <v>98</v>
      </c>
      <c r="E397" s="49" t="s">
        <v>378</v>
      </c>
    </row>
    <row r="398" spans="1:5" x14ac:dyDescent="0.3">
      <c r="A398" s="49" t="s">
        <v>769</v>
      </c>
      <c r="B398" s="49" t="s">
        <v>578</v>
      </c>
      <c r="C398" s="49" t="s">
        <v>449</v>
      </c>
      <c r="D398">
        <v>99</v>
      </c>
      <c r="E398" s="49" t="s">
        <v>378</v>
      </c>
    </row>
    <row r="399" spans="1:5" x14ac:dyDescent="0.3">
      <c r="A399" s="49" t="s">
        <v>770</v>
      </c>
      <c r="B399" s="49" t="s">
        <v>578</v>
      </c>
      <c r="C399" s="49" t="s">
        <v>449</v>
      </c>
      <c r="D399">
        <v>98</v>
      </c>
      <c r="E399" s="49" t="s">
        <v>378</v>
      </c>
    </row>
    <row r="400" spans="1:5" x14ac:dyDescent="0.3">
      <c r="A400" s="49" t="s">
        <v>770</v>
      </c>
      <c r="B400" s="49" t="s">
        <v>578</v>
      </c>
      <c r="C400" s="49" t="s">
        <v>449</v>
      </c>
      <c r="D400">
        <v>99</v>
      </c>
      <c r="E400" s="49" t="s">
        <v>378</v>
      </c>
    </row>
    <row r="401" spans="1:5" x14ac:dyDescent="0.3">
      <c r="A401" s="49" t="s">
        <v>771</v>
      </c>
      <c r="B401" s="49" t="s">
        <v>578</v>
      </c>
      <c r="C401" s="49" t="s">
        <v>449</v>
      </c>
      <c r="D401">
        <v>98</v>
      </c>
      <c r="E401" s="49" t="s">
        <v>378</v>
      </c>
    </row>
    <row r="402" spans="1:5" x14ac:dyDescent="0.3">
      <c r="A402" s="49" t="s">
        <v>771</v>
      </c>
      <c r="B402" s="49" t="s">
        <v>578</v>
      </c>
      <c r="C402" s="49" t="s">
        <v>449</v>
      </c>
      <c r="D402">
        <v>99</v>
      </c>
      <c r="E402" s="49" t="s">
        <v>378</v>
      </c>
    </row>
    <row r="403" spans="1:5" x14ac:dyDescent="0.3">
      <c r="A403" s="49" t="s">
        <v>772</v>
      </c>
      <c r="B403" s="49" t="s">
        <v>578</v>
      </c>
      <c r="C403" s="49" t="s">
        <v>449</v>
      </c>
      <c r="D403">
        <v>98</v>
      </c>
      <c r="E403" s="49" t="s">
        <v>378</v>
      </c>
    </row>
    <row r="404" spans="1:5" x14ac:dyDescent="0.3">
      <c r="A404" s="49" t="s">
        <v>772</v>
      </c>
      <c r="B404" s="49" t="s">
        <v>578</v>
      </c>
      <c r="C404" s="49" t="s">
        <v>449</v>
      </c>
      <c r="D404">
        <v>99</v>
      </c>
      <c r="E404" s="49" t="s">
        <v>378</v>
      </c>
    </row>
    <row r="405" spans="1:5" x14ac:dyDescent="0.3">
      <c r="A405" s="49" t="s">
        <v>773</v>
      </c>
      <c r="B405" s="49" t="s">
        <v>578</v>
      </c>
      <c r="C405" s="49" t="s">
        <v>449</v>
      </c>
      <c r="D405">
        <v>98</v>
      </c>
      <c r="E405" s="49" t="s">
        <v>378</v>
      </c>
    </row>
    <row r="406" spans="1:5" x14ac:dyDescent="0.3">
      <c r="A406" s="49" t="s">
        <v>773</v>
      </c>
      <c r="B406" s="49" t="s">
        <v>578</v>
      </c>
      <c r="C406" s="49" t="s">
        <v>449</v>
      </c>
      <c r="D406">
        <v>99</v>
      </c>
      <c r="E406" s="49" t="s">
        <v>378</v>
      </c>
    </row>
    <row r="407" spans="1:5" x14ac:dyDescent="0.3">
      <c r="A407" s="49" t="s">
        <v>774</v>
      </c>
      <c r="B407" s="49" t="s">
        <v>578</v>
      </c>
      <c r="C407" s="49" t="s">
        <v>449</v>
      </c>
      <c r="D407">
        <v>98</v>
      </c>
      <c r="E407" s="49" t="s">
        <v>378</v>
      </c>
    </row>
    <row r="408" spans="1:5" x14ac:dyDescent="0.3">
      <c r="A408" s="49" t="s">
        <v>774</v>
      </c>
      <c r="B408" s="49" t="s">
        <v>578</v>
      </c>
      <c r="C408" s="49" t="s">
        <v>449</v>
      </c>
      <c r="D408">
        <v>99</v>
      </c>
      <c r="E408" s="49" t="s">
        <v>378</v>
      </c>
    </row>
    <row r="409" spans="1:5" x14ac:dyDescent="0.3">
      <c r="A409" s="49" t="s">
        <v>775</v>
      </c>
      <c r="B409" s="49" t="s">
        <v>578</v>
      </c>
      <c r="C409" s="49" t="s">
        <v>449</v>
      </c>
      <c r="D409">
        <v>98</v>
      </c>
      <c r="E409" s="49" t="s">
        <v>378</v>
      </c>
    </row>
    <row r="410" spans="1:5" x14ac:dyDescent="0.3">
      <c r="A410" s="49" t="s">
        <v>775</v>
      </c>
      <c r="B410" s="49" t="s">
        <v>578</v>
      </c>
      <c r="C410" s="49" t="s">
        <v>449</v>
      </c>
      <c r="D410">
        <v>99</v>
      </c>
      <c r="E410" s="49" t="s">
        <v>378</v>
      </c>
    </row>
    <row r="411" spans="1:5" x14ac:dyDescent="0.3">
      <c r="A411" s="49" t="s">
        <v>776</v>
      </c>
      <c r="B411" s="49" t="s">
        <v>578</v>
      </c>
      <c r="C411" s="49" t="s">
        <v>449</v>
      </c>
      <c r="D411">
        <v>98</v>
      </c>
      <c r="E411" s="49" t="s">
        <v>378</v>
      </c>
    </row>
    <row r="412" spans="1:5" x14ac:dyDescent="0.3">
      <c r="A412" s="49" t="s">
        <v>776</v>
      </c>
      <c r="B412" s="49" t="s">
        <v>578</v>
      </c>
      <c r="C412" s="49" t="s">
        <v>449</v>
      </c>
      <c r="D412">
        <v>99</v>
      </c>
      <c r="E412" s="49" t="s">
        <v>378</v>
      </c>
    </row>
    <row r="413" spans="1:5" x14ac:dyDescent="0.3">
      <c r="A413" s="49" t="s">
        <v>777</v>
      </c>
      <c r="B413" s="49" t="s">
        <v>578</v>
      </c>
      <c r="C413" s="49" t="s">
        <v>449</v>
      </c>
      <c r="D413">
        <v>98</v>
      </c>
      <c r="E413" s="49" t="s">
        <v>378</v>
      </c>
    </row>
    <row r="414" spans="1:5" x14ac:dyDescent="0.3">
      <c r="A414" s="49" t="s">
        <v>777</v>
      </c>
      <c r="B414" s="49" t="s">
        <v>578</v>
      </c>
      <c r="C414" s="49" t="s">
        <v>449</v>
      </c>
      <c r="D414">
        <v>99</v>
      </c>
      <c r="E414" s="49" t="s">
        <v>378</v>
      </c>
    </row>
    <row r="415" spans="1:5" x14ac:dyDescent="0.3">
      <c r="A415" s="49" t="s">
        <v>386</v>
      </c>
      <c r="B415" s="49" t="s">
        <v>257</v>
      </c>
      <c r="C415" s="49" t="s">
        <v>449</v>
      </c>
      <c r="D415">
        <v>1</v>
      </c>
      <c r="E415" s="49" t="s">
        <v>379</v>
      </c>
    </row>
    <row r="416" spans="1:5" x14ac:dyDescent="0.3">
      <c r="A416" s="49" t="s">
        <v>778</v>
      </c>
      <c r="B416" s="49" t="s">
        <v>578</v>
      </c>
      <c r="C416" s="49" t="s">
        <v>449</v>
      </c>
      <c r="D416">
        <v>99</v>
      </c>
      <c r="E416" s="49" t="s">
        <v>379</v>
      </c>
    </row>
    <row r="417" spans="1:5" x14ac:dyDescent="0.3">
      <c r="A417" s="49" t="s">
        <v>779</v>
      </c>
      <c r="B417" s="49" t="s">
        <v>578</v>
      </c>
      <c r="C417" s="49" t="s">
        <v>449</v>
      </c>
      <c r="D417">
        <v>99</v>
      </c>
      <c r="E417" s="49" t="s">
        <v>379</v>
      </c>
    </row>
    <row r="418" spans="1:5" x14ac:dyDescent="0.3">
      <c r="A418" s="49" t="s">
        <v>780</v>
      </c>
      <c r="B418" s="49" t="s">
        <v>578</v>
      </c>
      <c r="C418" s="49" t="s">
        <v>449</v>
      </c>
      <c r="D418">
        <v>98</v>
      </c>
      <c r="E418" s="49" t="s">
        <v>379</v>
      </c>
    </row>
    <row r="419" spans="1:5" x14ac:dyDescent="0.3">
      <c r="A419" s="49" t="s">
        <v>553</v>
      </c>
      <c r="B419" s="49" t="s">
        <v>578</v>
      </c>
      <c r="C419" s="49" t="s">
        <v>449</v>
      </c>
      <c r="D419">
        <v>98</v>
      </c>
      <c r="E419" s="49" t="s">
        <v>379</v>
      </c>
    </row>
    <row r="420" spans="1:5" x14ac:dyDescent="0.3">
      <c r="A420" s="49" t="s">
        <v>781</v>
      </c>
      <c r="B420" s="49" t="s">
        <v>578</v>
      </c>
      <c r="C420" s="49" t="s">
        <v>449</v>
      </c>
      <c r="D420">
        <v>98</v>
      </c>
      <c r="E420" s="49" t="s">
        <v>379</v>
      </c>
    </row>
    <row r="421" spans="1:5" x14ac:dyDescent="0.3">
      <c r="A421" s="49" t="s">
        <v>782</v>
      </c>
      <c r="B421" s="49" t="s">
        <v>578</v>
      </c>
      <c r="C421" s="49" t="s">
        <v>449</v>
      </c>
      <c r="D421">
        <v>98</v>
      </c>
      <c r="E421" s="49" t="s">
        <v>379</v>
      </c>
    </row>
    <row r="422" spans="1:5" x14ac:dyDescent="0.3">
      <c r="A422" s="49" t="s">
        <v>783</v>
      </c>
      <c r="B422" s="49" t="s">
        <v>578</v>
      </c>
      <c r="C422" s="49" t="s">
        <v>449</v>
      </c>
      <c r="D422">
        <v>98</v>
      </c>
      <c r="E422" s="49" t="s">
        <v>379</v>
      </c>
    </row>
    <row r="423" spans="1:5" x14ac:dyDescent="0.3">
      <c r="A423" s="49" t="s">
        <v>784</v>
      </c>
      <c r="B423" s="49" t="s">
        <v>578</v>
      </c>
      <c r="C423" s="49" t="s">
        <v>449</v>
      </c>
      <c r="D423">
        <v>98</v>
      </c>
      <c r="E423" s="49" t="s">
        <v>379</v>
      </c>
    </row>
    <row r="424" spans="1:5" x14ac:dyDescent="0.3">
      <c r="A424" s="49" t="s">
        <v>785</v>
      </c>
      <c r="B424" s="49" t="s">
        <v>578</v>
      </c>
      <c r="C424" s="49" t="s">
        <v>449</v>
      </c>
      <c r="D424">
        <v>98</v>
      </c>
      <c r="E424" s="49" t="s">
        <v>379</v>
      </c>
    </row>
    <row r="425" spans="1:5" x14ac:dyDescent="0.3">
      <c r="A425" s="49" t="s">
        <v>558</v>
      </c>
      <c r="B425" s="49" t="s">
        <v>578</v>
      </c>
      <c r="C425" s="49" t="s">
        <v>449</v>
      </c>
      <c r="D425">
        <v>98</v>
      </c>
      <c r="E425" s="49" t="s">
        <v>379</v>
      </c>
    </row>
    <row r="426" spans="1:5" x14ac:dyDescent="0.3">
      <c r="A426" s="49" t="s">
        <v>382</v>
      </c>
      <c r="B426" s="49" t="s">
        <v>244</v>
      </c>
      <c r="C426" s="49" t="s">
        <v>449</v>
      </c>
      <c r="D426">
        <v>0</v>
      </c>
      <c r="E426" s="49" t="s">
        <v>379</v>
      </c>
    </row>
    <row r="427" spans="1:5" x14ac:dyDescent="0.3">
      <c r="A427" s="49" t="s">
        <v>786</v>
      </c>
      <c r="B427" s="49" t="s">
        <v>409</v>
      </c>
      <c r="C427" s="49" t="s">
        <v>449</v>
      </c>
      <c r="D427">
        <v>7</v>
      </c>
      <c r="E427" s="49" t="s">
        <v>378</v>
      </c>
    </row>
    <row r="428" spans="1:5" x14ac:dyDescent="0.3">
      <c r="A428" s="49" t="s">
        <v>786</v>
      </c>
      <c r="B428" s="49" t="s">
        <v>409</v>
      </c>
      <c r="C428" s="49" t="s">
        <v>449</v>
      </c>
      <c r="D428">
        <v>8</v>
      </c>
      <c r="E428" s="49" t="s">
        <v>378</v>
      </c>
    </row>
    <row r="429" spans="1:5" x14ac:dyDescent="0.3">
      <c r="A429" s="49" t="s">
        <v>786</v>
      </c>
      <c r="B429" s="49" t="s">
        <v>409</v>
      </c>
      <c r="C429" s="49" t="s">
        <v>449</v>
      </c>
      <c r="D429">
        <v>9</v>
      </c>
      <c r="E429" s="49" t="s">
        <v>378</v>
      </c>
    </row>
    <row r="430" spans="1:5" x14ac:dyDescent="0.3">
      <c r="A430" s="49" t="s">
        <v>787</v>
      </c>
      <c r="B430" s="49" t="s">
        <v>409</v>
      </c>
      <c r="C430" s="49" t="s">
        <v>449</v>
      </c>
      <c r="D430">
        <v>7</v>
      </c>
      <c r="E430" s="49" t="s">
        <v>378</v>
      </c>
    </row>
    <row r="431" spans="1:5" x14ac:dyDescent="0.3">
      <c r="A431" s="49" t="s">
        <v>787</v>
      </c>
      <c r="B431" s="49" t="s">
        <v>409</v>
      </c>
      <c r="C431" s="49" t="s">
        <v>449</v>
      </c>
      <c r="D431">
        <v>8</v>
      </c>
      <c r="E431" s="49" t="s">
        <v>378</v>
      </c>
    </row>
    <row r="432" spans="1:5" x14ac:dyDescent="0.3">
      <c r="A432" s="49" t="s">
        <v>787</v>
      </c>
      <c r="B432" s="49" t="s">
        <v>409</v>
      </c>
      <c r="C432" s="49" t="s">
        <v>449</v>
      </c>
      <c r="D432">
        <v>9</v>
      </c>
      <c r="E432" s="49" t="s">
        <v>378</v>
      </c>
    </row>
    <row r="433" spans="1:5" x14ac:dyDescent="0.3">
      <c r="A433" s="49" t="s">
        <v>788</v>
      </c>
      <c r="B433" s="49" t="s">
        <v>409</v>
      </c>
      <c r="C433" s="49" t="s">
        <v>449</v>
      </c>
      <c r="D433">
        <v>7</v>
      </c>
      <c r="E433" s="49" t="s">
        <v>378</v>
      </c>
    </row>
    <row r="434" spans="1:5" x14ac:dyDescent="0.3">
      <c r="A434" s="49" t="s">
        <v>788</v>
      </c>
      <c r="B434" s="49" t="s">
        <v>409</v>
      </c>
      <c r="C434" s="49" t="s">
        <v>449</v>
      </c>
      <c r="D434">
        <v>8</v>
      </c>
      <c r="E434" s="49" t="s">
        <v>378</v>
      </c>
    </row>
    <row r="435" spans="1:5" x14ac:dyDescent="0.3">
      <c r="A435" s="49" t="s">
        <v>788</v>
      </c>
      <c r="B435" s="49" t="s">
        <v>409</v>
      </c>
      <c r="C435" s="49" t="s">
        <v>449</v>
      </c>
      <c r="D435">
        <v>9</v>
      </c>
      <c r="E435" s="49" t="s">
        <v>378</v>
      </c>
    </row>
    <row r="436" spans="1:5" x14ac:dyDescent="0.3">
      <c r="A436" s="49" t="s">
        <v>789</v>
      </c>
      <c r="B436" s="49" t="s">
        <v>409</v>
      </c>
      <c r="C436" s="49" t="s">
        <v>449</v>
      </c>
      <c r="D436">
        <v>7</v>
      </c>
      <c r="E436" s="49" t="s">
        <v>379</v>
      </c>
    </row>
    <row r="437" spans="1:5" x14ac:dyDescent="0.3">
      <c r="A437" s="49" t="s">
        <v>789</v>
      </c>
      <c r="B437" s="49" t="s">
        <v>409</v>
      </c>
      <c r="C437" s="49" t="s">
        <v>449</v>
      </c>
      <c r="D437">
        <v>8</v>
      </c>
      <c r="E437" s="49" t="s">
        <v>379</v>
      </c>
    </row>
    <row r="438" spans="1:5" x14ac:dyDescent="0.3">
      <c r="A438" s="49" t="s">
        <v>789</v>
      </c>
      <c r="B438" s="49" t="s">
        <v>409</v>
      </c>
      <c r="C438" s="49" t="s">
        <v>449</v>
      </c>
      <c r="D438">
        <v>9</v>
      </c>
      <c r="E438" s="49" t="s">
        <v>379</v>
      </c>
    </row>
    <row r="439" spans="1:5" x14ac:dyDescent="0.3">
      <c r="A439" s="49" t="s">
        <v>790</v>
      </c>
      <c r="B439" s="49" t="s">
        <v>409</v>
      </c>
      <c r="C439" s="49" t="s">
        <v>449</v>
      </c>
      <c r="D439">
        <v>7</v>
      </c>
      <c r="E439" s="49" t="s">
        <v>379</v>
      </c>
    </row>
    <row r="440" spans="1:5" x14ac:dyDescent="0.3">
      <c r="A440" s="49" t="s">
        <v>790</v>
      </c>
      <c r="B440" s="49" t="s">
        <v>409</v>
      </c>
      <c r="C440" s="49" t="s">
        <v>449</v>
      </c>
      <c r="D440">
        <v>8</v>
      </c>
      <c r="E440" s="49" t="s">
        <v>379</v>
      </c>
    </row>
    <row r="441" spans="1:5" x14ac:dyDescent="0.3">
      <c r="A441" s="49" t="s">
        <v>790</v>
      </c>
      <c r="B441" s="49" t="s">
        <v>409</v>
      </c>
      <c r="C441" s="49" t="s">
        <v>449</v>
      </c>
      <c r="D441">
        <v>9</v>
      </c>
      <c r="E441" s="49" t="s">
        <v>379</v>
      </c>
    </row>
    <row r="442" spans="1:5" x14ac:dyDescent="0.3">
      <c r="A442" s="49" t="s">
        <v>791</v>
      </c>
      <c r="B442" s="49" t="s">
        <v>409</v>
      </c>
      <c r="C442" s="49" t="s">
        <v>449</v>
      </c>
      <c r="D442">
        <v>7</v>
      </c>
      <c r="E442" s="49" t="s">
        <v>379</v>
      </c>
    </row>
    <row r="443" spans="1:5" x14ac:dyDescent="0.3">
      <c r="A443" s="49" t="s">
        <v>791</v>
      </c>
      <c r="B443" s="49" t="s">
        <v>409</v>
      </c>
      <c r="C443" s="49" t="s">
        <v>449</v>
      </c>
      <c r="D443">
        <v>8</v>
      </c>
      <c r="E443" s="49" t="s">
        <v>379</v>
      </c>
    </row>
    <row r="444" spans="1:5" x14ac:dyDescent="0.3">
      <c r="A444" s="49" t="s">
        <v>791</v>
      </c>
      <c r="B444" s="49" t="s">
        <v>409</v>
      </c>
      <c r="C444" s="49" t="s">
        <v>449</v>
      </c>
      <c r="D444">
        <v>9</v>
      </c>
      <c r="E444" s="49" t="s">
        <v>379</v>
      </c>
    </row>
    <row r="445" spans="1:5" x14ac:dyDescent="0.3">
      <c r="A445" s="49" t="s">
        <v>792</v>
      </c>
      <c r="B445" s="49" t="s">
        <v>409</v>
      </c>
      <c r="C445" s="49" t="s">
        <v>449</v>
      </c>
      <c r="D445">
        <v>7</v>
      </c>
      <c r="E445" s="49" t="s">
        <v>379</v>
      </c>
    </row>
    <row r="446" spans="1:5" x14ac:dyDescent="0.3">
      <c r="A446" s="49" t="s">
        <v>792</v>
      </c>
      <c r="B446" s="49" t="s">
        <v>409</v>
      </c>
      <c r="C446" s="49" t="s">
        <v>449</v>
      </c>
      <c r="D446">
        <v>8</v>
      </c>
      <c r="E446" s="49" t="s">
        <v>379</v>
      </c>
    </row>
    <row r="447" spans="1:5" x14ac:dyDescent="0.3">
      <c r="A447" s="49" t="s">
        <v>792</v>
      </c>
      <c r="B447" s="49" t="s">
        <v>409</v>
      </c>
      <c r="C447" s="49" t="s">
        <v>449</v>
      </c>
      <c r="D447">
        <v>9</v>
      </c>
      <c r="E447" s="49" t="s">
        <v>379</v>
      </c>
    </row>
    <row r="448" spans="1:5" x14ac:dyDescent="0.3">
      <c r="A448" s="49" t="s">
        <v>793</v>
      </c>
      <c r="B448" s="49" t="s">
        <v>409</v>
      </c>
      <c r="C448" s="49" t="s">
        <v>449</v>
      </c>
      <c r="D448">
        <v>7</v>
      </c>
      <c r="E448" s="49" t="s">
        <v>378</v>
      </c>
    </row>
    <row r="449" spans="1:5" x14ac:dyDescent="0.3">
      <c r="A449" s="49" t="s">
        <v>793</v>
      </c>
      <c r="B449" s="49" t="s">
        <v>409</v>
      </c>
      <c r="C449" s="49" t="s">
        <v>449</v>
      </c>
      <c r="D449">
        <v>8</v>
      </c>
      <c r="E449" s="49" t="s">
        <v>378</v>
      </c>
    </row>
    <row r="450" spans="1:5" x14ac:dyDescent="0.3">
      <c r="A450" s="49" t="s">
        <v>793</v>
      </c>
      <c r="B450" s="49" t="s">
        <v>409</v>
      </c>
      <c r="C450" s="49" t="s">
        <v>449</v>
      </c>
      <c r="D450">
        <v>9</v>
      </c>
      <c r="E450" s="49" t="s">
        <v>378</v>
      </c>
    </row>
    <row r="451" spans="1:5" x14ac:dyDescent="0.3">
      <c r="A451" s="49" t="s">
        <v>794</v>
      </c>
      <c r="B451" s="49" t="s">
        <v>409</v>
      </c>
      <c r="C451" s="49" t="s">
        <v>449</v>
      </c>
      <c r="D451">
        <v>7</v>
      </c>
      <c r="E451" s="49" t="s">
        <v>378</v>
      </c>
    </row>
    <row r="452" spans="1:5" x14ac:dyDescent="0.3">
      <c r="A452" s="49" t="s">
        <v>794</v>
      </c>
      <c r="B452" s="49" t="s">
        <v>409</v>
      </c>
      <c r="C452" s="49" t="s">
        <v>449</v>
      </c>
      <c r="D452">
        <v>8</v>
      </c>
      <c r="E452" s="49" t="s">
        <v>378</v>
      </c>
    </row>
    <row r="453" spans="1:5" x14ac:dyDescent="0.3">
      <c r="A453" s="49" t="s">
        <v>794</v>
      </c>
      <c r="B453" s="49" t="s">
        <v>409</v>
      </c>
      <c r="C453" s="49" t="s">
        <v>449</v>
      </c>
      <c r="D453">
        <v>9</v>
      </c>
      <c r="E453" s="49" t="s">
        <v>378</v>
      </c>
    </row>
    <row r="454" spans="1:5" x14ac:dyDescent="0.3">
      <c r="A454" s="49" t="s">
        <v>795</v>
      </c>
      <c r="B454" s="49" t="s">
        <v>409</v>
      </c>
      <c r="C454" s="49" t="s">
        <v>449</v>
      </c>
      <c r="D454">
        <v>7</v>
      </c>
      <c r="E454" s="49" t="s">
        <v>379</v>
      </c>
    </row>
    <row r="455" spans="1:5" x14ac:dyDescent="0.3">
      <c r="A455" s="49" t="s">
        <v>795</v>
      </c>
      <c r="B455" s="49" t="s">
        <v>409</v>
      </c>
      <c r="C455" s="49" t="s">
        <v>449</v>
      </c>
      <c r="D455">
        <v>8</v>
      </c>
      <c r="E455" s="49" t="s">
        <v>379</v>
      </c>
    </row>
    <row r="456" spans="1:5" x14ac:dyDescent="0.3">
      <c r="A456" s="49" t="s">
        <v>795</v>
      </c>
      <c r="B456" s="49" t="s">
        <v>409</v>
      </c>
      <c r="C456" s="49" t="s">
        <v>449</v>
      </c>
      <c r="D456">
        <v>9</v>
      </c>
      <c r="E456" s="49" t="s">
        <v>379</v>
      </c>
    </row>
    <row r="457" spans="1:5" x14ac:dyDescent="0.3">
      <c r="A457" s="49" t="s">
        <v>796</v>
      </c>
      <c r="B457" s="49" t="s">
        <v>409</v>
      </c>
      <c r="C457" s="49" t="s">
        <v>449</v>
      </c>
      <c r="D457">
        <v>7</v>
      </c>
      <c r="E457" s="49" t="s">
        <v>379</v>
      </c>
    </row>
    <row r="458" spans="1:5" x14ac:dyDescent="0.3">
      <c r="A458" s="49" t="s">
        <v>796</v>
      </c>
      <c r="B458" s="49" t="s">
        <v>409</v>
      </c>
      <c r="C458" s="49" t="s">
        <v>449</v>
      </c>
      <c r="D458">
        <v>8</v>
      </c>
      <c r="E458" s="49" t="s">
        <v>379</v>
      </c>
    </row>
    <row r="459" spans="1:5" x14ac:dyDescent="0.3">
      <c r="A459" s="49" t="s">
        <v>796</v>
      </c>
      <c r="B459" s="49" t="s">
        <v>409</v>
      </c>
      <c r="C459" s="49" t="s">
        <v>449</v>
      </c>
      <c r="D459">
        <v>9</v>
      </c>
      <c r="E459" s="49" t="s">
        <v>379</v>
      </c>
    </row>
    <row r="460" spans="1:5" x14ac:dyDescent="0.3">
      <c r="A460" s="49" t="s">
        <v>797</v>
      </c>
      <c r="B460" s="49" t="s">
        <v>409</v>
      </c>
      <c r="C460" s="49" t="s">
        <v>449</v>
      </c>
      <c r="D460">
        <v>7</v>
      </c>
      <c r="E460" s="49" t="s">
        <v>378</v>
      </c>
    </row>
    <row r="461" spans="1:5" x14ac:dyDescent="0.3">
      <c r="A461" s="49" t="s">
        <v>797</v>
      </c>
      <c r="B461" s="49" t="s">
        <v>409</v>
      </c>
      <c r="C461" s="49" t="s">
        <v>449</v>
      </c>
      <c r="D461">
        <v>8</v>
      </c>
      <c r="E461" s="49" t="s">
        <v>378</v>
      </c>
    </row>
    <row r="462" spans="1:5" x14ac:dyDescent="0.3">
      <c r="A462" s="49" t="s">
        <v>797</v>
      </c>
      <c r="B462" s="49" t="s">
        <v>409</v>
      </c>
      <c r="C462" s="49" t="s">
        <v>449</v>
      </c>
      <c r="D462">
        <v>9</v>
      </c>
      <c r="E462" s="49" t="s">
        <v>378</v>
      </c>
    </row>
    <row r="463" spans="1:5" x14ac:dyDescent="0.3">
      <c r="A463" s="49" t="s">
        <v>798</v>
      </c>
      <c r="B463" s="49" t="s">
        <v>409</v>
      </c>
      <c r="C463" s="49" t="s">
        <v>449</v>
      </c>
      <c r="D463">
        <v>7</v>
      </c>
      <c r="E463" s="49" t="s">
        <v>378</v>
      </c>
    </row>
    <row r="464" spans="1:5" x14ac:dyDescent="0.3">
      <c r="A464" s="49" t="s">
        <v>798</v>
      </c>
      <c r="B464" s="49" t="s">
        <v>409</v>
      </c>
      <c r="C464" s="49" t="s">
        <v>449</v>
      </c>
      <c r="D464">
        <v>8</v>
      </c>
      <c r="E464" s="49" t="s">
        <v>378</v>
      </c>
    </row>
    <row r="465" spans="1:5" x14ac:dyDescent="0.3">
      <c r="A465" s="49" t="s">
        <v>798</v>
      </c>
      <c r="B465" s="49" t="s">
        <v>409</v>
      </c>
      <c r="C465" s="49" t="s">
        <v>449</v>
      </c>
      <c r="D465">
        <v>9</v>
      </c>
      <c r="E465" s="49" t="s">
        <v>378</v>
      </c>
    </row>
    <row r="466" spans="1:5" x14ac:dyDescent="0.3">
      <c r="A466" s="49" t="s">
        <v>799</v>
      </c>
      <c r="B466" s="49" t="s">
        <v>409</v>
      </c>
      <c r="C466" s="49" t="s">
        <v>449</v>
      </c>
      <c r="D466">
        <v>7</v>
      </c>
      <c r="E466" s="49" t="s">
        <v>378</v>
      </c>
    </row>
    <row r="467" spans="1:5" x14ac:dyDescent="0.3">
      <c r="A467" s="49" t="s">
        <v>799</v>
      </c>
      <c r="B467" s="49" t="s">
        <v>409</v>
      </c>
      <c r="C467" s="49" t="s">
        <v>449</v>
      </c>
      <c r="D467">
        <v>8</v>
      </c>
      <c r="E467" s="49" t="s">
        <v>378</v>
      </c>
    </row>
    <row r="468" spans="1:5" x14ac:dyDescent="0.3">
      <c r="A468" s="49" t="s">
        <v>799</v>
      </c>
      <c r="B468" s="49" t="s">
        <v>409</v>
      </c>
      <c r="C468" s="49" t="s">
        <v>449</v>
      </c>
      <c r="D468">
        <v>9</v>
      </c>
      <c r="E468" s="49" t="s">
        <v>378</v>
      </c>
    </row>
    <row r="469" spans="1:5" x14ac:dyDescent="0.3">
      <c r="A469" s="49" t="s">
        <v>800</v>
      </c>
      <c r="B469" s="49" t="s">
        <v>409</v>
      </c>
      <c r="C469" s="49" t="s">
        <v>449</v>
      </c>
      <c r="D469">
        <v>7</v>
      </c>
      <c r="E469" s="49" t="s">
        <v>378</v>
      </c>
    </row>
    <row r="470" spans="1:5" x14ac:dyDescent="0.3">
      <c r="A470" s="49" t="s">
        <v>800</v>
      </c>
      <c r="B470" s="49" t="s">
        <v>409</v>
      </c>
      <c r="C470" s="49" t="s">
        <v>449</v>
      </c>
      <c r="D470">
        <v>8</v>
      </c>
      <c r="E470" s="49" t="s">
        <v>378</v>
      </c>
    </row>
    <row r="471" spans="1:5" x14ac:dyDescent="0.3">
      <c r="A471" s="49" t="s">
        <v>800</v>
      </c>
      <c r="B471" s="49" t="s">
        <v>409</v>
      </c>
      <c r="C471" s="49" t="s">
        <v>449</v>
      </c>
      <c r="D471">
        <v>9</v>
      </c>
      <c r="E471" s="49" t="s">
        <v>378</v>
      </c>
    </row>
    <row r="472" spans="1:5" x14ac:dyDescent="0.3">
      <c r="A472" s="49" t="s">
        <v>531</v>
      </c>
      <c r="B472" s="49" t="s">
        <v>409</v>
      </c>
      <c r="C472" s="49" t="s">
        <v>1777</v>
      </c>
      <c r="D472">
        <v>31</v>
      </c>
      <c r="E472" s="49" t="s">
        <v>378</v>
      </c>
    </row>
    <row r="473" spans="1:5" x14ac:dyDescent="0.3">
      <c r="A473" s="49" t="s">
        <v>531</v>
      </c>
      <c r="B473" s="49" t="s">
        <v>409</v>
      </c>
      <c r="C473" s="49" t="s">
        <v>1777</v>
      </c>
      <c r="D473">
        <v>33</v>
      </c>
      <c r="E473" s="49" t="s">
        <v>378</v>
      </c>
    </row>
    <row r="474" spans="1:5" x14ac:dyDescent="0.3">
      <c r="A474" s="49" t="s">
        <v>531</v>
      </c>
      <c r="B474" s="49" t="s">
        <v>409</v>
      </c>
      <c r="C474" s="49" t="s">
        <v>449</v>
      </c>
      <c r="D474">
        <v>5</v>
      </c>
      <c r="E474" s="49" t="s">
        <v>378</v>
      </c>
    </row>
    <row r="475" spans="1:5" x14ac:dyDescent="0.3">
      <c r="A475" s="49" t="s">
        <v>531</v>
      </c>
      <c r="B475" s="49" t="s">
        <v>409</v>
      </c>
      <c r="C475" s="49" t="s">
        <v>449</v>
      </c>
      <c r="D475">
        <v>8</v>
      </c>
      <c r="E475" s="49" t="s">
        <v>378</v>
      </c>
    </row>
    <row r="476" spans="1:5" x14ac:dyDescent="0.3">
      <c r="A476" s="49" t="s">
        <v>531</v>
      </c>
      <c r="B476" s="49" t="s">
        <v>409</v>
      </c>
      <c r="C476" s="49" t="s">
        <v>449</v>
      </c>
      <c r="D476">
        <v>9</v>
      </c>
      <c r="E476" s="49" t="s">
        <v>378</v>
      </c>
    </row>
    <row r="477" spans="1:5" x14ac:dyDescent="0.3">
      <c r="A477" s="49" t="s">
        <v>531</v>
      </c>
      <c r="B477" s="49" t="s">
        <v>409</v>
      </c>
      <c r="C477" s="49" t="s">
        <v>449</v>
      </c>
      <c r="D477">
        <v>10</v>
      </c>
      <c r="E477" s="49" t="s">
        <v>378</v>
      </c>
    </row>
    <row r="478" spans="1:5" x14ac:dyDescent="0.3">
      <c r="A478" s="49" t="s">
        <v>531</v>
      </c>
      <c r="B478" s="49" t="s">
        <v>409</v>
      </c>
      <c r="C478" s="49" t="s">
        <v>449</v>
      </c>
      <c r="D478">
        <v>11</v>
      </c>
      <c r="E478" s="49" t="s">
        <v>378</v>
      </c>
    </row>
    <row r="479" spans="1:5" x14ac:dyDescent="0.3">
      <c r="A479" s="49" t="s">
        <v>547</v>
      </c>
      <c r="B479" s="49" t="s">
        <v>409</v>
      </c>
      <c r="C479" s="49" t="s">
        <v>1777</v>
      </c>
      <c r="D479">
        <v>33</v>
      </c>
      <c r="E479" s="49" t="s">
        <v>378</v>
      </c>
    </row>
    <row r="480" spans="1:5" x14ac:dyDescent="0.3">
      <c r="A480" s="49" t="s">
        <v>547</v>
      </c>
      <c r="B480" s="49" t="s">
        <v>409</v>
      </c>
      <c r="C480" s="49" t="s">
        <v>449</v>
      </c>
      <c r="D480">
        <v>5</v>
      </c>
      <c r="E480" s="49" t="s">
        <v>378</v>
      </c>
    </row>
    <row r="481" spans="1:5" x14ac:dyDescent="0.3">
      <c r="A481" s="49" t="s">
        <v>547</v>
      </c>
      <c r="B481" s="49" t="s">
        <v>409</v>
      </c>
      <c r="C481" s="49" t="s">
        <v>449</v>
      </c>
      <c r="D481">
        <v>8</v>
      </c>
      <c r="E481" s="49" t="s">
        <v>378</v>
      </c>
    </row>
    <row r="482" spans="1:5" x14ac:dyDescent="0.3">
      <c r="A482" s="49" t="s">
        <v>547</v>
      </c>
      <c r="B482" s="49" t="s">
        <v>409</v>
      </c>
      <c r="C482" s="49" t="s">
        <v>449</v>
      </c>
      <c r="D482">
        <v>9</v>
      </c>
      <c r="E482" s="49" t="s">
        <v>378</v>
      </c>
    </row>
    <row r="483" spans="1:5" x14ac:dyDescent="0.3">
      <c r="A483" s="49" t="s">
        <v>547</v>
      </c>
      <c r="B483" s="49" t="s">
        <v>409</v>
      </c>
      <c r="C483" s="49" t="s">
        <v>449</v>
      </c>
      <c r="D483">
        <v>10</v>
      </c>
      <c r="E483" s="49" t="s">
        <v>378</v>
      </c>
    </row>
    <row r="484" spans="1:5" x14ac:dyDescent="0.3">
      <c r="A484" s="49" t="s">
        <v>547</v>
      </c>
      <c r="B484" s="49" t="s">
        <v>409</v>
      </c>
      <c r="C484" s="49" t="s">
        <v>449</v>
      </c>
      <c r="D484">
        <v>11</v>
      </c>
      <c r="E484" s="49" t="s">
        <v>378</v>
      </c>
    </row>
    <row r="485" spans="1:5" x14ac:dyDescent="0.3">
      <c r="A485" s="49" t="s">
        <v>548</v>
      </c>
      <c r="B485" s="49" t="s">
        <v>409</v>
      </c>
      <c r="C485" s="49" t="s">
        <v>1777</v>
      </c>
      <c r="D485">
        <v>33</v>
      </c>
      <c r="E485" s="49" t="s">
        <v>378</v>
      </c>
    </row>
    <row r="486" spans="1:5" x14ac:dyDescent="0.3">
      <c r="A486" s="49" t="s">
        <v>548</v>
      </c>
      <c r="B486" s="49" t="s">
        <v>409</v>
      </c>
      <c r="C486" s="49" t="s">
        <v>449</v>
      </c>
      <c r="D486">
        <v>5</v>
      </c>
      <c r="E486" s="49" t="s">
        <v>378</v>
      </c>
    </row>
    <row r="487" spans="1:5" x14ac:dyDescent="0.3">
      <c r="A487" s="49" t="s">
        <v>548</v>
      </c>
      <c r="B487" s="49" t="s">
        <v>409</v>
      </c>
      <c r="C487" s="49" t="s">
        <v>449</v>
      </c>
      <c r="D487">
        <v>8</v>
      </c>
      <c r="E487" s="49" t="s">
        <v>378</v>
      </c>
    </row>
    <row r="488" spans="1:5" x14ac:dyDescent="0.3">
      <c r="A488" s="49" t="s">
        <v>548</v>
      </c>
      <c r="B488" s="49" t="s">
        <v>409</v>
      </c>
      <c r="C488" s="49" t="s">
        <v>449</v>
      </c>
      <c r="D488">
        <v>9</v>
      </c>
      <c r="E488" s="49" t="s">
        <v>378</v>
      </c>
    </row>
    <row r="489" spans="1:5" x14ac:dyDescent="0.3">
      <c r="A489" s="49" t="s">
        <v>548</v>
      </c>
      <c r="B489" s="49" t="s">
        <v>409</v>
      </c>
      <c r="C489" s="49" t="s">
        <v>449</v>
      </c>
      <c r="D489">
        <v>10</v>
      </c>
      <c r="E489" s="49" t="s">
        <v>378</v>
      </c>
    </row>
    <row r="490" spans="1:5" x14ac:dyDescent="0.3">
      <c r="A490" s="49" t="s">
        <v>548</v>
      </c>
      <c r="B490" s="49" t="s">
        <v>409</v>
      </c>
      <c r="C490" s="49" t="s">
        <v>449</v>
      </c>
      <c r="D490">
        <v>11</v>
      </c>
      <c r="E490" s="49" t="s">
        <v>378</v>
      </c>
    </row>
    <row r="491" spans="1:5" x14ac:dyDescent="0.3">
      <c r="A491" s="49" t="s">
        <v>549</v>
      </c>
      <c r="B491" s="49" t="s">
        <v>409</v>
      </c>
      <c r="C491" s="49" t="s">
        <v>1777</v>
      </c>
      <c r="D491">
        <v>33</v>
      </c>
      <c r="E491" s="49" t="s">
        <v>378</v>
      </c>
    </row>
    <row r="492" spans="1:5" x14ac:dyDescent="0.3">
      <c r="A492" s="49" t="s">
        <v>549</v>
      </c>
      <c r="B492" s="49" t="s">
        <v>409</v>
      </c>
      <c r="C492" s="49" t="s">
        <v>449</v>
      </c>
      <c r="D492">
        <v>5</v>
      </c>
      <c r="E492" s="49" t="s">
        <v>379</v>
      </c>
    </row>
    <row r="493" spans="1:5" x14ac:dyDescent="0.3">
      <c r="A493" s="49" t="s">
        <v>549</v>
      </c>
      <c r="B493" s="49" t="s">
        <v>409</v>
      </c>
      <c r="C493" s="49" t="s">
        <v>449</v>
      </c>
      <c r="D493">
        <v>8</v>
      </c>
      <c r="E493" s="49" t="s">
        <v>379</v>
      </c>
    </row>
    <row r="494" spans="1:5" x14ac:dyDescent="0.3">
      <c r="A494" s="49" t="s">
        <v>549</v>
      </c>
      <c r="B494" s="49" t="s">
        <v>409</v>
      </c>
      <c r="C494" s="49" t="s">
        <v>449</v>
      </c>
      <c r="D494">
        <v>9</v>
      </c>
      <c r="E494" s="49" t="s">
        <v>379</v>
      </c>
    </row>
    <row r="495" spans="1:5" x14ac:dyDescent="0.3">
      <c r="A495" s="49" t="s">
        <v>549</v>
      </c>
      <c r="B495" s="49" t="s">
        <v>409</v>
      </c>
      <c r="C495" s="49" t="s">
        <v>449</v>
      </c>
      <c r="D495">
        <v>10</v>
      </c>
      <c r="E495" s="49" t="s">
        <v>379</v>
      </c>
    </row>
    <row r="496" spans="1:5" x14ac:dyDescent="0.3">
      <c r="A496" s="49" t="s">
        <v>549</v>
      </c>
      <c r="B496" s="49" t="s">
        <v>409</v>
      </c>
      <c r="C496" s="49" t="s">
        <v>449</v>
      </c>
      <c r="D496">
        <v>11</v>
      </c>
      <c r="E496" s="49" t="s">
        <v>379</v>
      </c>
    </row>
    <row r="497" spans="1:5" x14ac:dyDescent="0.3">
      <c r="A497" s="49" t="s">
        <v>550</v>
      </c>
      <c r="B497" s="49" t="s">
        <v>409</v>
      </c>
      <c r="C497" s="49" t="s">
        <v>1777</v>
      </c>
      <c r="D497">
        <v>33</v>
      </c>
      <c r="E497" s="49" t="s">
        <v>378</v>
      </c>
    </row>
    <row r="498" spans="1:5" x14ac:dyDescent="0.3">
      <c r="A498" s="49" t="s">
        <v>550</v>
      </c>
      <c r="B498" s="49" t="s">
        <v>409</v>
      </c>
      <c r="C498" s="49" t="s">
        <v>449</v>
      </c>
      <c r="D498">
        <v>5</v>
      </c>
      <c r="E498" s="49" t="s">
        <v>379</v>
      </c>
    </row>
    <row r="499" spans="1:5" x14ac:dyDescent="0.3">
      <c r="A499" s="49" t="s">
        <v>550</v>
      </c>
      <c r="B499" s="49" t="s">
        <v>409</v>
      </c>
      <c r="C499" s="49" t="s">
        <v>449</v>
      </c>
      <c r="D499">
        <v>8</v>
      </c>
      <c r="E499" s="49" t="s">
        <v>379</v>
      </c>
    </row>
    <row r="500" spans="1:5" x14ac:dyDescent="0.3">
      <c r="A500" s="49" t="s">
        <v>550</v>
      </c>
      <c r="B500" s="49" t="s">
        <v>409</v>
      </c>
      <c r="C500" s="49" t="s">
        <v>449</v>
      </c>
      <c r="D500">
        <v>9</v>
      </c>
      <c r="E500" s="49" t="s">
        <v>379</v>
      </c>
    </row>
    <row r="501" spans="1:5" x14ac:dyDescent="0.3">
      <c r="A501" s="49" t="s">
        <v>550</v>
      </c>
      <c r="B501" s="49" t="s">
        <v>409</v>
      </c>
      <c r="C501" s="49" t="s">
        <v>449</v>
      </c>
      <c r="D501">
        <v>10</v>
      </c>
      <c r="E501" s="49" t="s">
        <v>379</v>
      </c>
    </row>
    <row r="502" spans="1:5" x14ac:dyDescent="0.3">
      <c r="A502" s="49" t="s">
        <v>550</v>
      </c>
      <c r="B502" s="49" t="s">
        <v>409</v>
      </c>
      <c r="C502" s="49" t="s">
        <v>449</v>
      </c>
      <c r="D502">
        <v>11</v>
      </c>
      <c r="E502" s="49" t="s">
        <v>379</v>
      </c>
    </row>
    <row r="503" spans="1:5" x14ac:dyDescent="0.3">
      <c r="A503" s="49" t="s">
        <v>551</v>
      </c>
      <c r="B503" s="49" t="s">
        <v>409</v>
      </c>
      <c r="C503" s="49" t="s">
        <v>1777</v>
      </c>
      <c r="D503">
        <v>33</v>
      </c>
      <c r="E503" s="49" t="s">
        <v>379</v>
      </c>
    </row>
    <row r="504" spans="1:5" x14ac:dyDescent="0.3">
      <c r="A504" s="49" t="s">
        <v>551</v>
      </c>
      <c r="B504" s="49" t="s">
        <v>409</v>
      </c>
      <c r="C504" s="49" t="s">
        <v>449</v>
      </c>
      <c r="D504">
        <v>5</v>
      </c>
      <c r="E504" s="49" t="s">
        <v>379</v>
      </c>
    </row>
    <row r="505" spans="1:5" x14ac:dyDescent="0.3">
      <c r="A505" s="49" t="s">
        <v>551</v>
      </c>
      <c r="B505" s="49" t="s">
        <v>409</v>
      </c>
      <c r="C505" s="49" t="s">
        <v>449</v>
      </c>
      <c r="D505">
        <v>8</v>
      </c>
      <c r="E505" s="49" t="s">
        <v>379</v>
      </c>
    </row>
    <row r="506" spans="1:5" x14ac:dyDescent="0.3">
      <c r="A506" s="49" t="s">
        <v>551</v>
      </c>
      <c r="B506" s="49" t="s">
        <v>409</v>
      </c>
      <c r="C506" s="49" t="s">
        <v>449</v>
      </c>
      <c r="D506">
        <v>9</v>
      </c>
      <c r="E506" s="49" t="s">
        <v>379</v>
      </c>
    </row>
    <row r="507" spans="1:5" x14ac:dyDescent="0.3">
      <c r="A507" s="49" t="s">
        <v>551</v>
      </c>
      <c r="B507" s="49" t="s">
        <v>409</v>
      </c>
      <c r="C507" s="49" t="s">
        <v>449</v>
      </c>
      <c r="D507">
        <v>10</v>
      </c>
      <c r="E507" s="49" t="s">
        <v>379</v>
      </c>
    </row>
    <row r="508" spans="1:5" x14ac:dyDescent="0.3">
      <c r="A508" s="49" t="s">
        <v>551</v>
      </c>
      <c r="B508" s="49" t="s">
        <v>409</v>
      </c>
      <c r="C508" s="49" t="s">
        <v>449</v>
      </c>
      <c r="D508">
        <v>11</v>
      </c>
      <c r="E508" s="49" t="s">
        <v>379</v>
      </c>
    </row>
    <row r="509" spans="1:5" x14ac:dyDescent="0.3">
      <c r="A509" s="49" t="s">
        <v>552</v>
      </c>
      <c r="B509" s="49" t="s">
        <v>409</v>
      </c>
      <c r="C509" s="49" t="s">
        <v>1777</v>
      </c>
      <c r="D509">
        <v>33</v>
      </c>
      <c r="E509" s="49" t="s">
        <v>379</v>
      </c>
    </row>
    <row r="510" spans="1:5" x14ac:dyDescent="0.3">
      <c r="A510" s="49" t="s">
        <v>552</v>
      </c>
      <c r="B510" s="49" t="s">
        <v>409</v>
      </c>
      <c r="C510" s="49" t="s">
        <v>449</v>
      </c>
      <c r="D510">
        <v>5</v>
      </c>
      <c r="E510" s="49" t="s">
        <v>379</v>
      </c>
    </row>
    <row r="511" spans="1:5" x14ac:dyDescent="0.3">
      <c r="A511" s="49" t="s">
        <v>552</v>
      </c>
      <c r="B511" s="49" t="s">
        <v>409</v>
      </c>
      <c r="C511" s="49" t="s">
        <v>449</v>
      </c>
      <c r="D511">
        <v>8</v>
      </c>
      <c r="E511" s="49" t="s">
        <v>379</v>
      </c>
    </row>
    <row r="512" spans="1:5" x14ac:dyDescent="0.3">
      <c r="A512" s="49" t="s">
        <v>552</v>
      </c>
      <c r="B512" s="49" t="s">
        <v>409</v>
      </c>
      <c r="C512" s="49" t="s">
        <v>449</v>
      </c>
      <c r="D512">
        <v>9</v>
      </c>
      <c r="E512" s="49" t="s">
        <v>379</v>
      </c>
    </row>
    <row r="513" spans="1:5" x14ac:dyDescent="0.3">
      <c r="A513" s="49" t="s">
        <v>552</v>
      </c>
      <c r="B513" s="49" t="s">
        <v>409</v>
      </c>
      <c r="C513" s="49" t="s">
        <v>449</v>
      </c>
      <c r="D513">
        <v>10</v>
      </c>
      <c r="E513" s="49" t="s">
        <v>379</v>
      </c>
    </row>
    <row r="514" spans="1:5" x14ac:dyDescent="0.3">
      <c r="A514" s="49" t="s">
        <v>552</v>
      </c>
      <c r="B514" s="49" t="s">
        <v>409</v>
      </c>
      <c r="C514" s="49" t="s">
        <v>449</v>
      </c>
      <c r="D514">
        <v>11</v>
      </c>
      <c r="E514" s="49" t="s">
        <v>379</v>
      </c>
    </row>
    <row r="515" spans="1:5" x14ac:dyDescent="0.3">
      <c r="A515" s="49" t="s">
        <v>1779</v>
      </c>
      <c r="B515" s="49" t="s">
        <v>409</v>
      </c>
      <c r="C515" s="49" t="s">
        <v>1777</v>
      </c>
      <c r="D515">
        <v>33</v>
      </c>
      <c r="E515" s="49" t="s">
        <v>379</v>
      </c>
    </row>
    <row r="516" spans="1:5" x14ac:dyDescent="0.3">
      <c r="A516" s="49" t="s">
        <v>1780</v>
      </c>
      <c r="B516" s="49" t="s">
        <v>409</v>
      </c>
      <c r="C516" s="49" t="s">
        <v>1777</v>
      </c>
      <c r="D516">
        <v>33</v>
      </c>
      <c r="E516" s="49" t="s">
        <v>379</v>
      </c>
    </row>
    <row r="517" spans="1:5" x14ac:dyDescent="0.3">
      <c r="A517" s="49" t="s">
        <v>534</v>
      </c>
      <c r="B517" s="49" t="s">
        <v>409</v>
      </c>
      <c r="C517" s="49" t="s">
        <v>1777</v>
      </c>
      <c r="D517">
        <v>31</v>
      </c>
      <c r="E517" s="49" t="s">
        <v>378</v>
      </c>
    </row>
    <row r="518" spans="1:5" x14ac:dyDescent="0.3">
      <c r="A518" s="49" t="s">
        <v>534</v>
      </c>
      <c r="B518" s="49" t="s">
        <v>409</v>
      </c>
      <c r="C518" s="49" t="s">
        <v>1777</v>
      </c>
      <c r="D518">
        <v>33</v>
      </c>
      <c r="E518" s="49" t="s">
        <v>378</v>
      </c>
    </row>
    <row r="519" spans="1:5" x14ac:dyDescent="0.3">
      <c r="A519" s="49" t="s">
        <v>534</v>
      </c>
      <c r="B519" s="49" t="s">
        <v>409</v>
      </c>
      <c r="C519" s="49" t="s">
        <v>449</v>
      </c>
      <c r="D519">
        <v>5</v>
      </c>
      <c r="E519" s="49" t="s">
        <v>378</v>
      </c>
    </row>
    <row r="520" spans="1:5" x14ac:dyDescent="0.3">
      <c r="A520" s="49" t="s">
        <v>534</v>
      </c>
      <c r="B520" s="49" t="s">
        <v>409</v>
      </c>
      <c r="C520" s="49" t="s">
        <v>449</v>
      </c>
      <c r="D520">
        <v>8</v>
      </c>
      <c r="E520" s="49" t="s">
        <v>378</v>
      </c>
    </row>
    <row r="521" spans="1:5" x14ac:dyDescent="0.3">
      <c r="A521" s="49" t="s">
        <v>534</v>
      </c>
      <c r="B521" s="49" t="s">
        <v>409</v>
      </c>
      <c r="C521" s="49" t="s">
        <v>449</v>
      </c>
      <c r="D521">
        <v>9</v>
      </c>
      <c r="E521" s="49" t="s">
        <v>378</v>
      </c>
    </row>
    <row r="522" spans="1:5" x14ac:dyDescent="0.3">
      <c r="A522" s="49" t="s">
        <v>534</v>
      </c>
      <c r="B522" s="49" t="s">
        <v>409</v>
      </c>
      <c r="C522" s="49" t="s">
        <v>449</v>
      </c>
      <c r="D522">
        <v>10</v>
      </c>
      <c r="E522" s="49" t="s">
        <v>378</v>
      </c>
    </row>
    <row r="523" spans="1:5" x14ac:dyDescent="0.3">
      <c r="A523" s="49" t="s">
        <v>534</v>
      </c>
      <c r="B523" s="49" t="s">
        <v>409</v>
      </c>
      <c r="C523" s="49" t="s">
        <v>449</v>
      </c>
      <c r="D523">
        <v>11</v>
      </c>
      <c r="E523" s="49" t="s">
        <v>378</v>
      </c>
    </row>
    <row r="524" spans="1:5" x14ac:dyDescent="0.3">
      <c r="A524" s="49" t="s">
        <v>536</v>
      </c>
      <c r="B524" s="49" t="s">
        <v>409</v>
      </c>
      <c r="C524" s="49" t="s">
        <v>1777</v>
      </c>
      <c r="D524">
        <v>31</v>
      </c>
      <c r="E524" s="49" t="s">
        <v>378</v>
      </c>
    </row>
    <row r="525" spans="1:5" x14ac:dyDescent="0.3">
      <c r="A525" s="49" t="s">
        <v>536</v>
      </c>
      <c r="B525" s="49" t="s">
        <v>409</v>
      </c>
      <c r="C525" s="49" t="s">
        <v>1777</v>
      </c>
      <c r="D525">
        <v>33</v>
      </c>
      <c r="E525" s="49" t="s">
        <v>378</v>
      </c>
    </row>
    <row r="526" spans="1:5" x14ac:dyDescent="0.3">
      <c r="A526" s="49" t="s">
        <v>536</v>
      </c>
      <c r="B526" s="49" t="s">
        <v>409</v>
      </c>
      <c r="C526" s="49" t="s">
        <v>449</v>
      </c>
      <c r="D526">
        <v>5</v>
      </c>
      <c r="E526" s="49" t="s">
        <v>378</v>
      </c>
    </row>
    <row r="527" spans="1:5" x14ac:dyDescent="0.3">
      <c r="A527" s="49" t="s">
        <v>536</v>
      </c>
      <c r="B527" s="49" t="s">
        <v>409</v>
      </c>
      <c r="C527" s="49" t="s">
        <v>449</v>
      </c>
      <c r="D527">
        <v>8</v>
      </c>
      <c r="E527" s="49" t="s">
        <v>378</v>
      </c>
    </row>
    <row r="528" spans="1:5" x14ac:dyDescent="0.3">
      <c r="A528" s="49" t="s">
        <v>536</v>
      </c>
      <c r="B528" s="49" t="s">
        <v>409</v>
      </c>
      <c r="C528" s="49" t="s">
        <v>449</v>
      </c>
      <c r="D528">
        <v>9</v>
      </c>
      <c r="E528" s="49" t="s">
        <v>378</v>
      </c>
    </row>
    <row r="529" spans="1:5" x14ac:dyDescent="0.3">
      <c r="A529" s="49" t="s">
        <v>536</v>
      </c>
      <c r="B529" s="49" t="s">
        <v>409</v>
      </c>
      <c r="C529" s="49" t="s">
        <v>449</v>
      </c>
      <c r="D529">
        <v>10</v>
      </c>
      <c r="E529" s="49" t="s">
        <v>378</v>
      </c>
    </row>
    <row r="530" spans="1:5" x14ac:dyDescent="0.3">
      <c r="A530" s="49" t="s">
        <v>536</v>
      </c>
      <c r="B530" s="49" t="s">
        <v>409</v>
      </c>
      <c r="C530" s="49" t="s">
        <v>449</v>
      </c>
      <c r="D530">
        <v>11</v>
      </c>
      <c r="E530" s="49" t="s">
        <v>378</v>
      </c>
    </row>
    <row r="531" spans="1:5" x14ac:dyDescent="0.3">
      <c r="A531" s="49" t="s">
        <v>538</v>
      </c>
      <c r="B531" s="49" t="s">
        <v>409</v>
      </c>
      <c r="C531" s="49" t="s">
        <v>1777</v>
      </c>
      <c r="D531">
        <v>31</v>
      </c>
      <c r="E531" s="49" t="s">
        <v>379</v>
      </c>
    </row>
    <row r="532" spans="1:5" x14ac:dyDescent="0.3">
      <c r="A532" s="49" t="s">
        <v>538</v>
      </c>
      <c r="B532" s="49" t="s">
        <v>409</v>
      </c>
      <c r="C532" s="49" t="s">
        <v>1777</v>
      </c>
      <c r="D532">
        <v>33</v>
      </c>
      <c r="E532" s="49" t="s">
        <v>379</v>
      </c>
    </row>
    <row r="533" spans="1:5" x14ac:dyDescent="0.3">
      <c r="A533" s="49" t="s">
        <v>538</v>
      </c>
      <c r="B533" s="49" t="s">
        <v>409</v>
      </c>
      <c r="C533" s="49" t="s">
        <v>449</v>
      </c>
      <c r="D533">
        <v>5</v>
      </c>
      <c r="E533" s="49" t="s">
        <v>379</v>
      </c>
    </row>
    <row r="534" spans="1:5" x14ac:dyDescent="0.3">
      <c r="A534" s="49" t="s">
        <v>538</v>
      </c>
      <c r="B534" s="49" t="s">
        <v>409</v>
      </c>
      <c r="C534" s="49" t="s">
        <v>449</v>
      </c>
      <c r="D534">
        <v>8</v>
      </c>
      <c r="E534" s="49" t="s">
        <v>379</v>
      </c>
    </row>
    <row r="535" spans="1:5" x14ac:dyDescent="0.3">
      <c r="A535" s="49" t="s">
        <v>538</v>
      </c>
      <c r="B535" s="49" t="s">
        <v>409</v>
      </c>
      <c r="C535" s="49" t="s">
        <v>449</v>
      </c>
      <c r="D535">
        <v>9</v>
      </c>
      <c r="E535" s="49" t="s">
        <v>379</v>
      </c>
    </row>
    <row r="536" spans="1:5" x14ac:dyDescent="0.3">
      <c r="A536" s="49" t="s">
        <v>538</v>
      </c>
      <c r="B536" s="49" t="s">
        <v>409</v>
      </c>
      <c r="C536" s="49" t="s">
        <v>449</v>
      </c>
      <c r="D536">
        <v>10</v>
      </c>
      <c r="E536" s="49" t="s">
        <v>379</v>
      </c>
    </row>
    <row r="537" spans="1:5" x14ac:dyDescent="0.3">
      <c r="A537" s="49" t="s">
        <v>538</v>
      </c>
      <c r="B537" s="49" t="s">
        <v>409</v>
      </c>
      <c r="C537" s="49" t="s">
        <v>449</v>
      </c>
      <c r="D537">
        <v>11</v>
      </c>
      <c r="E537" s="49" t="s">
        <v>379</v>
      </c>
    </row>
    <row r="538" spans="1:5" x14ac:dyDescent="0.3">
      <c r="A538" s="49" t="s">
        <v>539</v>
      </c>
      <c r="B538" s="49" t="s">
        <v>409</v>
      </c>
      <c r="C538" s="49" t="s">
        <v>1777</v>
      </c>
      <c r="D538">
        <v>31</v>
      </c>
      <c r="E538" s="49" t="s">
        <v>379</v>
      </c>
    </row>
    <row r="539" spans="1:5" x14ac:dyDescent="0.3">
      <c r="A539" s="49" t="s">
        <v>539</v>
      </c>
      <c r="B539" s="49" t="s">
        <v>409</v>
      </c>
      <c r="C539" s="49" t="s">
        <v>1777</v>
      </c>
      <c r="D539">
        <v>33</v>
      </c>
      <c r="E539" s="49" t="s">
        <v>379</v>
      </c>
    </row>
    <row r="540" spans="1:5" x14ac:dyDescent="0.3">
      <c r="A540" s="49" t="s">
        <v>539</v>
      </c>
      <c r="B540" s="49" t="s">
        <v>409</v>
      </c>
      <c r="C540" s="49" t="s">
        <v>449</v>
      </c>
      <c r="D540">
        <v>5</v>
      </c>
      <c r="E540" s="49" t="s">
        <v>379</v>
      </c>
    </row>
    <row r="541" spans="1:5" x14ac:dyDescent="0.3">
      <c r="A541" s="49" t="s">
        <v>539</v>
      </c>
      <c r="B541" s="49" t="s">
        <v>409</v>
      </c>
      <c r="C541" s="49" t="s">
        <v>449</v>
      </c>
      <c r="D541">
        <v>8</v>
      </c>
      <c r="E541" s="49" t="s">
        <v>379</v>
      </c>
    </row>
    <row r="542" spans="1:5" x14ac:dyDescent="0.3">
      <c r="A542" s="49" t="s">
        <v>539</v>
      </c>
      <c r="B542" s="49" t="s">
        <v>409</v>
      </c>
      <c r="C542" s="49" t="s">
        <v>449</v>
      </c>
      <c r="D542">
        <v>9</v>
      </c>
      <c r="E542" s="49" t="s">
        <v>379</v>
      </c>
    </row>
    <row r="543" spans="1:5" x14ac:dyDescent="0.3">
      <c r="A543" s="49" t="s">
        <v>539</v>
      </c>
      <c r="B543" s="49" t="s">
        <v>409</v>
      </c>
      <c r="C543" s="49" t="s">
        <v>449</v>
      </c>
      <c r="D543">
        <v>10</v>
      </c>
      <c r="E543" s="49" t="s">
        <v>379</v>
      </c>
    </row>
    <row r="544" spans="1:5" x14ac:dyDescent="0.3">
      <c r="A544" s="49" t="s">
        <v>539</v>
      </c>
      <c r="B544" s="49" t="s">
        <v>409</v>
      </c>
      <c r="C544" s="49" t="s">
        <v>449</v>
      </c>
      <c r="D544">
        <v>11</v>
      </c>
      <c r="E544" s="49" t="s">
        <v>379</v>
      </c>
    </row>
    <row r="545" spans="1:5" x14ac:dyDescent="0.3">
      <c r="A545" s="49" t="s">
        <v>541</v>
      </c>
      <c r="B545" s="49" t="s">
        <v>409</v>
      </c>
      <c r="C545" s="49" t="s">
        <v>1777</v>
      </c>
      <c r="D545">
        <v>31</v>
      </c>
      <c r="E545" s="49" t="s">
        <v>378</v>
      </c>
    </row>
    <row r="546" spans="1:5" x14ac:dyDescent="0.3">
      <c r="A546" s="49" t="s">
        <v>541</v>
      </c>
      <c r="B546" s="49" t="s">
        <v>409</v>
      </c>
      <c r="C546" s="49" t="s">
        <v>1777</v>
      </c>
      <c r="D546">
        <v>33</v>
      </c>
      <c r="E546" s="49" t="s">
        <v>378</v>
      </c>
    </row>
    <row r="547" spans="1:5" x14ac:dyDescent="0.3">
      <c r="A547" s="49" t="s">
        <v>541</v>
      </c>
      <c r="B547" s="49" t="s">
        <v>409</v>
      </c>
      <c r="C547" s="49" t="s">
        <v>449</v>
      </c>
      <c r="D547">
        <v>5</v>
      </c>
      <c r="E547" s="49" t="s">
        <v>378</v>
      </c>
    </row>
    <row r="548" spans="1:5" x14ac:dyDescent="0.3">
      <c r="A548" s="49" t="s">
        <v>541</v>
      </c>
      <c r="B548" s="49" t="s">
        <v>409</v>
      </c>
      <c r="C548" s="49" t="s">
        <v>449</v>
      </c>
      <c r="D548">
        <v>8</v>
      </c>
      <c r="E548" s="49" t="s">
        <v>378</v>
      </c>
    </row>
    <row r="549" spans="1:5" x14ac:dyDescent="0.3">
      <c r="A549" s="49" t="s">
        <v>541</v>
      </c>
      <c r="B549" s="49" t="s">
        <v>409</v>
      </c>
      <c r="C549" s="49" t="s">
        <v>449</v>
      </c>
      <c r="D549">
        <v>9</v>
      </c>
      <c r="E549" s="49" t="s">
        <v>378</v>
      </c>
    </row>
    <row r="550" spans="1:5" x14ac:dyDescent="0.3">
      <c r="A550" s="49" t="s">
        <v>541</v>
      </c>
      <c r="B550" s="49" t="s">
        <v>409</v>
      </c>
      <c r="C550" s="49" t="s">
        <v>449</v>
      </c>
      <c r="D550">
        <v>10</v>
      </c>
      <c r="E550" s="49" t="s">
        <v>378</v>
      </c>
    </row>
    <row r="551" spans="1:5" x14ac:dyDescent="0.3">
      <c r="A551" s="49" t="s">
        <v>541</v>
      </c>
      <c r="B551" s="49" t="s">
        <v>409</v>
      </c>
      <c r="C551" s="49" t="s">
        <v>449</v>
      </c>
      <c r="D551">
        <v>11</v>
      </c>
      <c r="E551" s="49" t="s">
        <v>378</v>
      </c>
    </row>
    <row r="552" spans="1:5" x14ac:dyDescent="0.3">
      <c r="A552" s="49" t="s">
        <v>542</v>
      </c>
      <c r="B552" s="49" t="s">
        <v>409</v>
      </c>
      <c r="C552" s="49" t="s">
        <v>1777</v>
      </c>
      <c r="D552">
        <v>31</v>
      </c>
      <c r="E552" s="49" t="s">
        <v>378</v>
      </c>
    </row>
    <row r="553" spans="1:5" x14ac:dyDescent="0.3">
      <c r="A553" s="49" t="s">
        <v>542</v>
      </c>
      <c r="B553" s="49" t="s">
        <v>409</v>
      </c>
      <c r="C553" s="49" t="s">
        <v>1777</v>
      </c>
      <c r="D553">
        <v>33</v>
      </c>
      <c r="E553" s="49" t="s">
        <v>378</v>
      </c>
    </row>
    <row r="554" spans="1:5" x14ac:dyDescent="0.3">
      <c r="A554" s="49" t="s">
        <v>542</v>
      </c>
      <c r="B554" s="49" t="s">
        <v>409</v>
      </c>
      <c r="C554" s="49" t="s">
        <v>449</v>
      </c>
      <c r="D554">
        <v>5</v>
      </c>
      <c r="E554" s="49" t="s">
        <v>378</v>
      </c>
    </row>
    <row r="555" spans="1:5" x14ac:dyDescent="0.3">
      <c r="A555" s="49" t="s">
        <v>542</v>
      </c>
      <c r="B555" s="49" t="s">
        <v>409</v>
      </c>
      <c r="C555" s="49" t="s">
        <v>449</v>
      </c>
      <c r="D555">
        <v>8</v>
      </c>
      <c r="E555" s="49" t="s">
        <v>378</v>
      </c>
    </row>
    <row r="556" spans="1:5" x14ac:dyDescent="0.3">
      <c r="A556" s="49" t="s">
        <v>542</v>
      </c>
      <c r="B556" s="49" t="s">
        <v>409</v>
      </c>
      <c r="C556" s="49" t="s">
        <v>449</v>
      </c>
      <c r="D556">
        <v>9</v>
      </c>
      <c r="E556" s="49" t="s">
        <v>378</v>
      </c>
    </row>
    <row r="557" spans="1:5" x14ac:dyDescent="0.3">
      <c r="A557" s="49" t="s">
        <v>542</v>
      </c>
      <c r="B557" s="49" t="s">
        <v>409</v>
      </c>
      <c r="C557" s="49" t="s">
        <v>449</v>
      </c>
      <c r="D557">
        <v>10</v>
      </c>
      <c r="E557" s="49" t="s">
        <v>378</v>
      </c>
    </row>
    <row r="558" spans="1:5" x14ac:dyDescent="0.3">
      <c r="A558" s="49" t="s">
        <v>542</v>
      </c>
      <c r="B558" s="49" t="s">
        <v>409</v>
      </c>
      <c r="C558" s="49" t="s">
        <v>449</v>
      </c>
      <c r="D558">
        <v>11</v>
      </c>
      <c r="E558" s="49" t="s">
        <v>378</v>
      </c>
    </row>
    <row r="559" spans="1:5" x14ac:dyDescent="0.3">
      <c r="A559" s="49" t="s">
        <v>545</v>
      </c>
      <c r="B559" s="49" t="s">
        <v>409</v>
      </c>
      <c r="C559" s="49" t="s">
        <v>1777</v>
      </c>
      <c r="D559">
        <v>31</v>
      </c>
      <c r="E559" s="49" t="s">
        <v>378</v>
      </c>
    </row>
    <row r="560" spans="1:5" x14ac:dyDescent="0.3">
      <c r="A560" s="49" t="s">
        <v>545</v>
      </c>
      <c r="B560" s="49" t="s">
        <v>409</v>
      </c>
      <c r="C560" s="49" t="s">
        <v>1777</v>
      </c>
      <c r="D560">
        <v>33</v>
      </c>
      <c r="E560" s="49" t="s">
        <v>378</v>
      </c>
    </row>
    <row r="561" spans="1:5" x14ac:dyDescent="0.3">
      <c r="A561" s="49" t="s">
        <v>545</v>
      </c>
      <c r="B561" s="49" t="s">
        <v>409</v>
      </c>
      <c r="C561" s="49" t="s">
        <v>449</v>
      </c>
      <c r="D561">
        <v>5</v>
      </c>
      <c r="E561" s="49" t="s">
        <v>378</v>
      </c>
    </row>
    <row r="562" spans="1:5" x14ac:dyDescent="0.3">
      <c r="A562" s="49" t="s">
        <v>545</v>
      </c>
      <c r="B562" s="49" t="s">
        <v>409</v>
      </c>
      <c r="C562" s="49" t="s">
        <v>449</v>
      </c>
      <c r="D562">
        <v>8</v>
      </c>
      <c r="E562" s="49" t="s">
        <v>378</v>
      </c>
    </row>
    <row r="563" spans="1:5" x14ac:dyDescent="0.3">
      <c r="A563" s="49" t="s">
        <v>545</v>
      </c>
      <c r="B563" s="49" t="s">
        <v>409</v>
      </c>
      <c r="C563" s="49" t="s">
        <v>449</v>
      </c>
      <c r="D563">
        <v>9</v>
      </c>
      <c r="E563" s="49" t="s">
        <v>378</v>
      </c>
    </row>
    <row r="564" spans="1:5" x14ac:dyDescent="0.3">
      <c r="A564" s="49" t="s">
        <v>545</v>
      </c>
      <c r="B564" s="49" t="s">
        <v>409</v>
      </c>
      <c r="C564" s="49" t="s">
        <v>449</v>
      </c>
      <c r="D564">
        <v>10</v>
      </c>
      <c r="E564" s="49" t="s">
        <v>378</v>
      </c>
    </row>
    <row r="565" spans="1:5" x14ac:dyDescent="0.3">
      <c r="A565" s="49" t="s">
        <v>545</v>
      </c>
      <c r="B565" s="49" t="s">
        <v>409</v>
      </c>
      <c r="C565" s="49" t="s">
        <v>449</v>
      </c>
      <c r="D565">
        <v>11</v>
      </c>
      <c r="E565" s="49" t="s">
        <v>378</v>
      </c>
    </row>
    <row r="566" spans="1:5" x14ac:dyDescent="0.3">
      <c r="A566" s="49" t="s">
        <v>546</v>
      </c>
      <c r="B566" s="49" t="s">
        <v>409</v>
      </c>
      <c r="C566" s="49" t="s">
        <v>1777</v>
      </c>
      <c r="D566">
        <v>33</v>
      </c>
      <c r="E566" s="49" t="s">
        <v>378</v>
      </c>
    </row>
    <row r="567" spans="1:5" x14ac:dyDescent="0.3">
      <c r="A567" s="49" t="s">
        <v>546</v>
      </c>
      <c r="B567" s="49" t="s">
        <v>409</v>
      </c>
      <c r="C567" s="49" t="s">
        <v>449</v>
      </c>
      <c r="D567">
        <v>5</v>
      </c>
      <c r="E567" s="49" t="s">
        <v>378</v>
      </c>
    </row>
    <row r="568" spans="1:5" x14ac:dyDescent="0.3">
      <c r="A568" s="49" t="s">
        <v>546</v>
      </c>
      <c r="B568" s="49" t="s">
        <v>409</v>
      </c>
      <c r="C568" s="49" t="s">
        <v>449</v>
      </c>
      <c r="D568">
        <v>8</v>
      </c>
      <c r="E568" s="49" t="s">
        <v>378</v>
      </c>
    </row>
    <row r="569" spans="1:5" x14ac:dyDescent="0.3">
      <c r="A569" s="49" t="s">
        <v>546</v>
      </c>
      <c r="B569" s="49" t="s">
        <v>409</v>
      </c>
      <c r="C569" s="49" t="s">
        <v>449</v>
      </c>
      <c r="D569">
        <v>9</v>
      </c>
      <c r="E569" s="49" t="s">
        <v>378</v>
      </c>
    </row>
    <row r="570" spans="1:5" x14ac:dyDescent="0.3">
      <c r="A570" s="49" t="s">
        <v>546</v>
      </c>
      <c r="B570" s="49" t="s">
        <v>409</v>
      </c>
      <c r="C570" s="49" t="s">
        <v>449</v>
      </c>
      <c r="D570">
        <v>10</v>
      </c>
      <c r="E570" s="49" t="s">
        <v>378</v>
      </c>
    </row>
    <row r="571" spans="1:5" x14ac:dyDescent="0.3">
      <c r="A571" s="49" t="s">
        <v>546</v>
      </c>
      <c r="B571" s="49" t="s">
        <v>409</v>
      </c>
      <c r="C571" s="49" t="s">
        <v>449</v>
      </c>
      <c r="D571">
        <v>11</v>
      </c>
      <c r="E571" s="49" t="s">
        <v>378</v>
      </c>
    </row>
    <row r="572" spans="1:5" x14ac:dyDescent="0.3">
      <c r="A572" s="49" t="s">
        <v>215</v>
      </c>
      <c r="B572" s="49" t="s">
        <v>258</v>
      </c>
      <c r="C572" s="49" t="s">
        <v>466</v>
      </c>
      <c r="D572">
        <v>1</v>
      </c>
      <c r="E572" s="49" t="s">
        <v>378</v>
      </c>
    </row>
    <row r="573" spans="1:5" x14ac:dyDescent="0.3">
      <c r="A573" s="49" t="s">
        <v>216</v>
      </c>
      <c r="B573" s="49" t="s">
        <v>258</v>
      </c>
      <c r="C573" s="49" t="s">
        <v>466</v>
      </c>
      <c r="D573">
        <v>1</v>
      </c>
      <c r="E573" s="49" t="s">
        <v>378</v>
      </c>
    </row>
    <row r="574" spans="1:5" x14ac:dyDescent="0.3">
      <c r="A574" s="49" t="s">
        <v>217</v>
      </c>
      <c r="B574" s="49" t="s">
        <v>258</v>
      </c>
      <c r="C574" s="49" t="s">
        <v>466</v>
      </c>
      <c r="D574">
        <v>1</v>
      </c>
      <c r="E574" s="49" t="s">
        <v>378</v>
      </c>
    </row>
    <row r="575" spans="1:5" x14ac:dyDescent="0.3">
      <c r="A575" s="49" t="s">
        <v>213</v>
      </c>
      <c r="B575" s="49" t="s">
        <v>258</v>
      </c>
      <c r="C575" s="49" t="s">
        <v>466</v>
      </c>
      <c r="D575">
        <v>1</v>
      </c>
      <c r="E575" s="49" t="s">
        <v>378</v>
      </c>
    </row>
    <row r="576" spans="1:5" x14ac:dyDescent="0.3">
      <c r="A576" s="49" t="s">
        <v>218</v>
      </c>
      <c r="B576" s="49" t="s">
        <v>258</v>
      </c>
      <c r="C576" s="49" t="s">
        <v>466</v>
      </c>
      <c r="D576">
        <v>1</v>
      </c>
      <c r="E576" s="49" t="s">
        <v>378</v>
      </c>
    </row>
    <row r="577" spans="1:5" x14ac:dyDescent="0.3">
      <c r="A577" s="49" t="s">
        <v>219</v>
      </c>
      <c r="B577" s="49" t="s">
        <v>258</v>
      </c>
      <c r="C577" s="49" t="s">
        <v>466</v>
      </c>
      <c r="D577">
        <v>1</v>
      </c>
      <c r="E577" s="49" t="s">
        <v>378</v>
      </c>
    </row>
    <row r="578" spans="1:5" x14ac:dyDescent="0.3">
      <c r="A578" s="49" t="s">
        <v>220</v>
      </c>
      <c r="B578" s="49" t="s">
        <v>258</v>
      </c>
      <c r="C578" s="49" t="s">
        <v>466</v>
      </c>
      <c r="D578">
        <v>1</v>
      </c>
      <c r="E578" s="49" t="s">
        <v>378</v>
      </c>
    </row>
    <row r="579" spans="1:5" x14ac:dyDescent="0.3">
      <c r="A579" s="49" t="s">
        <v>221</v>
      </c>
      <c r="B579" s="49" t="s">
        <v>258</v>
      </c>
      <c r="C579" s="49" t="s">
        <v>466</v>
      </c>
      <c r="D579">
        <v>1</v>
      </c>
      <c r="E579" s="49" t="s">
        <v>378</v>
      </c>
    </row>
    <row r="580" spans="1:5" x14ac:dyDescent="0.3">
      <c r="A580" s="49" t="s">
        <v>222</v>
      </c>
      <c r="B580" s="49" t="s">
        <v>258</v>
      </c>
      <c r="C580" s="49" t="s">
        <v>466</v>
      </c>
      <c r="D580">
        <v>1</v>
      </c>
      <c r="E580" s="49" t="s">
        <v>378</v>
      </c>
    </row>
    <row r="581" spans="1:5" x14ac:dyDescent="0.3">
      <c r="A581" s="49" t="s">
        <v>223</v>
      </c>
      <c r="B581" s="49" t="s">
        <v>258</v>
      </c>
      <c r="C581" s="49" t="s">
        <v>466</v>
      </c>
      <c r="D581">
        <v>1</v>
      </c>
      <c r="E581" s="49" t="s">
        <v>378</v>
      </c>
    </row>
    <row r="582" spans="1:5" x14ac:dyDescent="0.3">
      <c r="A582" s="49" t="s">
        <v>224</v>
      </c>
      <c r="B582" s="49" t="s">
        <v>258</v>
      </c>
      <c r="C582" s="49" t="s">
        <v>466</v>
      </c>
      <c r="D582">
        <v>1</v>
      </c>
      <c r="E582" s="49" t="s">
        <v>378</v>
      </c>
    </row>
    <row r="583" spans="1:5" x14ac:dyDescent="0.3">
      <c r="A583" s="49" t="s">
        <v>225</v>
      </c>
      <c r="B583" s="49" t="s">
        <v>258</v>
      </c>
      <c r="C583" s="49" t="s">
        <v>466</v>
      </c>
      <c r="D583">
        <v>1</v>
      </c>
      <c r="E583" s="49" t="s">
        <v>378</v>
      </c>
    </row>
    <row r="584" spans="1:5" x14ac:dyDescent="0.3">
      <c r="A584" s="49" t="s">
        <v>226</v>
      </c>
      <c r="B584" s="49" t="s">
        <v>258</v>
      </c>
      <c r="C584" s="49" t="s">
        <v>466</v>
      </c>
      <c r="D584">
        <v>1</v>
      </c>
      <c r="E584" s="49" t="s">
        <v>378</v>
      </c>
    </row>
    <row r="585" spans="1:5" x14ac:dyDescent="0.3">
      <c r="A585" s="49" t="s">
        <v>214</v>
      </c>
      <c r="B585" s="49" t="s">
        <v>258</v>
      </c>
      <c r="C585" s="49" t="s">
        <v>466</v>
      </c>
      <c r="D585">
        <v>1</v>
      </c>
      <c r="E585" s="49" t="s">
        <v>379</v>
      </c>
    </row>
    <row r="586" spans="1:5" x14ac:dyDescent="0.3">
      <c r="A586" s="49" t="s">
        <v>259</v>
      </c>
      <c r="B586" s="49" t="s">
        <v>258</v>
      </c>
      <c r="C586" s="49" t="s">
        <v>466</v>
      </c>
      <c r="D586">
        <v>1</v>
      </c>
      <c r="E586" s="49" t="s">
        <v>378</v>
      </c>
    </row>
    <row r="587" spans="1:5" x14ac:dyDescent="0.3">
      <c r="A587" s="49" t="s">
        <v>245</v>
      </c>
      <c r="B587" s="49" t="s">
        <v>258</v>
      </c>
      <c r="C587" s="49" t="s">
        <v>466</v>
      </c>
      <c r="D587">
        <v>1</v>
      </c>
      <c r="E587" s="49" t="s">
        <v>378</v>
      </c>
    </row>
    <row r="588" spans="1:5" x14ac:dyDescent="0.3">
      <c r="A588" s="49" t="s">
        <v>246</v>
      </c>
      <c r="B588" s="49" t="s">
        <v>258</v>
      </c>
      <c r="C588" s="49" t="s">
        <v>466</v>
      </c>
      <c r="D588">
        <v>1</v>
      </c>
      <c r="E588" s="49" t="s">
        <v>378</v>
      </c>
    </row>
    <row r="589" spans="1:5" x14ac:dyDescent="0.3">
      <c r="A589" s="49" t="s">
        <v>247</v>
      </c>
      <c r="B589" s="49" t="s">
        <v>258</v>
      </c>
      <c r="C589" s="49" t="s">
        <v>466</v>
      </c>
      <c r="D589">
        <v>1</v>
      </c>
      <c r="E589" s="49" t="s">
        <v>378</v>
      </c>
    </row>
    <row r="590" spans="1:5" x14ac:dyDescent="0.3">
      <c r="A590" s="49" t="s">
        <v>248</v>
      </c>
      <c r="B590" s="49" t="s">
        <v>258</v>
      </c>
      <c r="C590" s="49" t="s">
        <v>466</v>
      </c>
      <c r="D590">
        <v>1</v>
      </c>
      <c r="E590" s="49" t="s">
        <v>378</v>
      </c>
    </row>
    <row r="591" spans="1:5" x14ac:dyDescent="0.3">
      <c r="A591" s="49" t="s">
        <v>249</v>
      </c>
      <c r="B591" s="49" t="s">
        <v>258</v>
      </c>
      <c r="C591" s="49" t="s">
        <v>466</v>
      </c>
      <c r="D591">
        <v>1</v>
      </c>
      <c r="E591" s="49" t="s">
        <v>378</v>
      </c>
    </row>
    <row r="592" spans="1:5" x14ac:dyDescent="0.3">
      <c r="A592" s="49" t="s">
        <v>260</v>
      </c>
      <c r="B592" s="49" t="s">
        <v>258</v>
      </c>
      <c r="C592" s="49" t="s">
        <v>466</v>
      </c>
      <c r="D592">
        <v>1</v>
      </c>
      <c r="E592" s="49" t="s">
        <v>379</v>
      </c>
    </row>
    <row r="593" spans="1:5" x14ac:dyDescent="0.3">
      <c r="A593" s="49" t="s">
        <v>250</v>
      </c>
      <c r="B593" s="49" t="s">
        <v>258</v>
      </c>
      <c r="C593" s="49" t="s">
        <v>466</v>
      </c>
      <c r="D593">
        <v>1</v>
      </c>
      <c r="E593" s="49" t="s">
        <v>378</v>
      </c>
    </row>
    <row r="594" spans="1:5" x14ac:dyDescent="0.3">
      <c r="A594" s="49" t="s">
        <v>251</v>
      </c>
      <c r="B594" s="49" t="s">
        <v>258</v>
      </c>
      <c r="C594" s="49" t="s">
        <v>466</v>
      </c>
      <c r="D594">
        <v>1</v>
      </c>
      <c r="E594" s="49" t="s">
        <v>378</v>
      </c>
    </row>
    <row r="595" spans="1:5" x14ac:dyDescent="0.3">
      <c r="A595" s="49" t="s">
        <v>252</v>
      </c>
      <c r="B595" s="49" t="s">
        <v>258</v>
      </c>
      <c r="C595" s="49" t="s">
        <v>466</v>
      </c>
      <c r="D595">
        <v>1</v>
      </c>
      <c r="E595" s="49" t="s">
        <v>378</v>
      </c>
    </row>
    <row r="596" spans="1:5" x14ac:dyDescent="0.3">
      <c r="A596" s="49" t="s">
        <v>253</v>
      </c>
      <c r="B596" s="49" t="s">
        <v>258</v>
      </c>
      <c r="C596" s="49" t="s">
        <v>466</v>
      </c>
      <c r="D596">
        <v>1</v>
      </c>
      <c r="E596" s="49" t="s">
        <v>378</v>
      </c>
    </row>
    <row r="597" spans="1:5" x14ac:dyDescent="0.3">
      <c r="A597" s="49" t="s">
        <v>254</v>
      </c>
      <c r="B597" s="49" t="s">
        <v>258</v>
      </c>
      <c r="C597" s="49" t="s">
        <v>466</v>
      </c>
      <c r="D597">
        <v>1</v>
      </c>
      <c r="E597" s="49" t="s">
        <v>378</v>
      </c>
    </row>
    <row r="598" spans="1:5" x14ac:dyDescent="0.3">
      <c r="A598" s="49" t="s">
        <v>255</v>
      </c>
      <c r="B598" s="49" t="s">
        <v>258</v>
      </c>
      <c r="C598" s="49" t="s">
        <v>466</v>
      </c>
      <c r="D598">
        <v>1</v>
      </c>
      <c r="E598" s="49" t="s">
        <v>378</v>
      </c>
    </row>
    <row r="599" spans="1:5" x14ac:dyDescent="0.3">
      <c r="A599" s="49" t="s">
        <v>256</v>
      </c>
      <c r="B599" s="49" t="s">
        <v>258</v>
      </c>
      <c r="C599" s="49" t="s">
        <v>466</v>
      </c>
      <c r="D599">
        <v>1</v>
      </c>
      <c r="E599" s="49" t="s">
        <v>378</v>
      </c>
    </row>
    <row r="600" spans="1:5" x14ac:dyDescent="0.3">
      <c r="A600" s="49" t="s">
        <v>261</v>
      </c>
      <c r="B600" s="49" t="s">
        <v>258</v>
      </c>
      <c r="C600" s="49" t="s">
        <v>467</v>
      </c>
      <c r="D600">
        <v>1</v>
      </c>
      <c r="E600" s="49" t="s">
        <v>378</v>
      </c>
    </row>
    <row r="601" spans="1:5" x14ac:dyDescent="0.3">
      <c r="A601" s="49" t="s">
        <v>262</v>
      </c>
      <c r="B601" s="49" t="s">
        <v>258</v>
      </c>
      <c r="C601" s="49" t="s">
        <v>467</v>
      </c>
      <c r="D601">
        <v>1</v>
      </c>
      <c r="E601" s="49" t="s">
        <v>378</v>
      </c>
    </row>
    <row r="602" spans="1:5" x14ac:dyDescent="0.3">
      <c r="A602" s="49" t="s">
        <v>263</v>
      </c>
      <c r="B602" s="49" t="s">
        <v>258</v>
      </c>
      <c r="C602" s="49" t="s">
        <v>467</v>
      </c>
      <c r="D602">
        <v>1</v>
      </c>
      <c r="E602" s="49" t="s">
        <v>378</v>
      </c>
    </row>
    <row r="603" spans="1:5" x14ac:dyDescent="0.3">
      <c r="A603" s="49" t="s">
        <v>264</v>
      </c>
      <c r="B603" s="49" t="s">
        <v>258</v>
      </c>
      <c r="C603" s="49" t="s">
        <v>467</v>
      </c>
      <c r="D603">
        <v>1</v>
      </c>
      <c r="E603" s="49" t="s">
        <v>378</v>
      </c>
    </row>
    <row r="604" spans="1:5" x14ac:dyDescent="0.3">
      <c r="A604" s="49" t="s">
        <v>265</v>
      </c>
      <c r="B604" s="49" t="s">
        <v>258</v>
      </c>
      <c r="C604" s="49" t="s">
        <v>467</v>
      </c>
      <c r="D604">
        <v>1</v>
      </c>
      <c r="E604" s="49" t="s">
        <v>378</v>
      </c>
    </row>
    <row r="605" spans="1:5" x14ac:dyDescent="0.3">
      <c r="A605" s="49" t="s">
        <v>266</v>
      </c>
      <c r="B605" s="49" t="s">
        <v>258</v>
      </c>
      <c r="C605" s="49" t="s">
        <v>467</v>
      </c>
      <c r="D605">
        <v>1</v>
      </c>
      <c r="E605" s="49" t="s">
        <v>379</v>
      </c>
    </row>
    <row r="606" spans="1:5" x14ac:dyDescent="0.3">
      <c r="A606" s="49" t="s">
        <v>267</v>
      </c>
      <c r="B606" s="49" t="s">
        <v>258</v>
      </c>
      <c r="C606" s="49" t="s">
        <v>467</v>
      </c>
      <c r="D606">
        <v>1</v>
      </c>
      <c r="E606" s="49" t="s">
        <v>379</v>
      </c>
    </row>
    <row r="607" spans="1:5" x14ac:dyDescent="0.3">
      <c r="A607" s="49" t="s">
        <v>268</v>
      </c>
      <c r="B607" s="49" t="s">
        <v>258</v>
      </c>
      <c r="C607" s="49" t="s">
        <v>467</v>
      </c>
      <c r="D607">
        <v>1</v>
      </c>
      <c r="E607" s="49" t="s">
        <v>378</v>
      </c>
    </row>
    <row r="608" spans="1:5" x14ac:dyDescent="0.3">
      <c r="A608" s="49" t="s">
        <v>269</v>
      </c>
      <c r="B608" s="49" t="s">
        <v>258</v>
      </c>
      <c r="C608" s="49" t="s">
        <v>467</v>
      </c>
      <c r="D608">
        <v>1</v>
      </c>
      <c r="E608" s="49" t="s">
        <v>378</v>
      </c>
    </row>
    <row r="609" spans="1:5" x14ac:dyDescent="0.3">
      <c r="A609" s="49" t="s">
        <v>270</v>
      </c>
      <c r="B609" s="49" t="s">
        <v>258</v>
      </c>
      <c r="C609" s="49" t="s">
        <v>467</v>
      </c>
      <c r="D609">
        <v>1</v>
      </c>
      <c r="E609" s="49" t="s">
        <v>378</v>
      </c>
    </row>
    <row r="610" spans="1:5" x14ac:dyDescent="0.3">
      <c r="A610" s="49" t="s">
        <v>271</v>
      </c>
      <c r="B610" s="49" t="s">
        <v>258</v>
      </c>
      <c r="C610" s="49" t="s">
        <v>467</v>
      </c>
      <c r="D610">
        <v>1</v>
      </c>
      <c r="E610" s="49" t="s">
        <v>378</v>
      </c>
    </row>
    <row r="611" spans="1:5" x14ac:dyDescent="0.3">
      <c r="A611" s="49" t="s">
        <v>272</v>
      </c>
      <c r="B611" s="49" t="s">
        <v>258</v>
      </c>
      <c r="C611" s="49" t="s">
        <v>467</v>
      </c>
      <c r="D611">
        <v>1</v>
      </c>
      <c r="E611" s="49" t="s">
        <v>378</v>
      </c>
    </row>
    <row r="612" spans="1:5" x14ac:dyDescent="0.3">
      <c r="A612" s="49" t="s">
        <v>273</v>
      </c>
      <c r="B612" s="49" t="s">
        <v>258</v>
      </c>
      <c r="C612" s="49" t="s">
        <v>467</v>
      </c>
      <c r="D612">
        <v>1</v>
      </c>
      <c r="E612" s="49" t="s">
        <v>379</v>
      </c>
    </row>
    <row r="613" spans="1:5" x14ac:dyDescent="0.3">
      <c r="A613" s="49" t="s">
        <v>274</v>
      </c>
      <c r="B613" s="49" t="s">
        <v>258</v>
      </c>
      <c r="C613" s="49" t="s">
        <v>467</v>
      </c>
      <c r="D613">
        <v>1</v>
      </c>
      <c r="E613" s="49" t="s">
        <v>379</v>
      </c>
    </row>
    <row r="614" spans="1:5" x14ac:dyDescent="0.3">
      <c r="A614" s="49" t="s">
        <v>231</v>
      </c>
      <c r="B614" s="49" t="s">
        <v>258</v>
      </c>
      <c r="C614" s="49" t="s">
        <v>468</v>
      </c>
      <c r="D614">
        <v>1</v>
      </c>
      <c r="E614" s="49" t="s">
        <v>378</v>
      </c>
    </row>
    <row r="615" spans="1:5" x14ac:dyDescent="0.3">
      <c r="A615" s="49" t="s">
        <v>234</v>
      </c>
      <c r="B615" s="49" t="s">
        <v>258</v>
      </c>
      <c r="C615" s="49" t="s">
        <v>468</v>
      </c>
      <c r="D615">
        <v>1</v>
      </c>
      <c r="E615" s="49" t="s">
        <v>378</v>
      </c>
    </row>
    <row r="616" spans="1:5" x14ac:dyDescent="0.3">
      <c r="A616" s="49" t="s">
        <v>232</v>
      </c>
      <c r="B616" s="49" t="s">
        <v>258</v>
      </c>
      <c r="C616" s="49" t="s">
        <v>468</v>
      </c>
      <c r="D616">
        <v>1</v>
      </c>
      <c r="E616" s="49" t="s">
        <v>379</v>
      </c>
    </row>
    <row r="617" spans="1:5" x14ac:dyDescent="0.3">
      <c r="A617" s="49" t="s">
        <v>233</v>
      </c>
      <c r="B617" s="49" t="s">
        <v>258</v>
      </c>
      <c r="C617" s="49" t="s">
        <v>468</v>
      </c>
      <c r="D617">
        <v>1</v>
      </c>
      <c r="E617" s="49" t="s">
        <v>379</v>
      </c>
    </row>
    <row r="618" spans="1:5" x14ac:dyDescent="0.3">
      <c r="A618" s="49" t="s">
        <v>236</v>
      </c>
      <c r="B618" s="49" t="s">
        <v>258</v>
      </c>
      <c r="C618" s="49" t="s">
        <v>468</v>
      </c>
      <c r="D618">
        <v>1</v>
      </c>
      <c r="E618" s="49" t="s">
        <v>378</v>
      </c>
    </row>
    <row r="619" spans="1:5" x14ac:dyDescent="0.3">
      <c r="A619" s="49" t="s">
        <v>235</v>
      </c>
      <c r="B619" s="49" t="s">
        <v>258</v>
      </c>
      <c r="C619" s="49" t="s">
        <v>468</v>
      </c>
      <c r="D619">
        <v>1</v>
      </c>
      <c r="E619" s="49" t="s">
        <v>378</v>
      </c>
    </row>
    <row r="620" spans="1:5" x14ac:dyDescent="0.3">
      <c r="A620" s="49" t="s">
        <v>227</v>
      </c>
      <c r="B620" s="49" t="s">
        <v>258</v>
      </c>
      <c r="C620" s="49" t="s">
        <v>468</v>
      </c>
      <c r="D620">
        <v>1</v>
      </c>
      <c r="E620" s="49" t="s">
        <v>378</v>
      </c>
    </row>
    <row r="621" spans="1:5" x14ac:dyDescent="0.3">
      <c r="A621" s="49" t="s">
        <v>228</v>
      </c>
      <c r="B621" s="49" t="s">
        <v>258</v>
      </c>
      <c r="C621" s="49" t="s">
        <v>468</v>
      </c>
      <c r="D621">
        <v>1</v>
      </c>
      <c r="E621" s="49" t="s">
        <v>379</v>
      </c>
    </row>
    <row r="622" spans="1:5" x14ac:dyDescent="0.3">
      <c r="A622" s="49" t="s">
        <v>229</v>
      </c>
      <c r="B622" s="49" t="s">
        <v>258</v>
      </c>
      <c r="C622" s="49" t="s">
        <v>468</v>
      </c>
      <c r="D622">
        <v>1</v>
      </c>
      <c r="E622" s="49" t="s">
        <v>379</v>
      </c>
    </row>
    <row r="623" spans="1:5" x14ac:dyDescent="0.3">
      <c r="A623" s="49" t="s">
        <v>230</v>
      </c>
      <c r="B623" s="49" t="s">
        <v>258</v>
      </c>
      <c r="C623" s="49" t="s">
        <v>468</v>
      </c>
      <c r="D623">
        <v>1</v>
      </c>
      <c r="E623" s="49" t="s">
        <v>379</v>
      </c>
    </row>
    <row r="624" spans="1:5" x14ac:dyDescent="0.3">
      <c r="A624" s="49" t="s">
        <v>200</v>
      </c>
      <c r="B624" s="49" t="s">
        <v>258</v>
      </c>
      <c r="C624" s="49" t="s">
        <v>469</v>
      </c>
      <c r="D624">
        <v>1</v>
      </c>
      <c r="E624" s="49" t="s">
        <v>378</v>
      </c>
    </row>
    <row r="625" spans="1:5" x14ac:dyDescent="0.3">
      <c r="A625" s="49" t="s">
        <v>201</v>
      </c>
      <c r="B625" s="49" t="s">
        <v>258</v>
      </c>
      <c r="C625" s="49" t="s">
        <v>469</v>
      </c>
      <c r="D625">
        <v>1</v>
      </c>
      <c r="E625" s="49" t="s">
        <v>378</v>
      </c>
    </row>
    <row r="626" spans="1:5" x14ac:dyDescent="0.3">
      <c r="A626" s="49" t="s">
        <v>202</v>
      </c>
      <c r="B626" s="49" t="s">
        <v>258</v>
      </c>
      <c r="C626" s="49" t="s">
        <v>469</v>
      </c>
      <c r="D626">
        <v>1</v>
      </c>
      <c r="E626" s="49" t="s">
        <v>378</v>
      </c>
    </row>
    <row r="627" spans="1:5" x14ac:dyDescent="0.3">
      <c r="A627" s="49" t="s">
        <v>203</v>
      </c>
      <c r="B627" s="49" t="s">
        <v>258</v>
      </c>
      <c r="C627" s="49" t="s">
        <v>469</v>
      </c>
      <c r="D627">
        <v>1</v>
      </c>
      <c r="E627" s="49" t="s">
        <v>378</v>
      </c>
    </row>
    <row r="628" spans="1:5" x14ac:dyDescent="0.3">
      <c r="A628" s="49" t="s">
        <v>204</v>
      </c>
      <c r="B628" s="49" t="s">
        <v>258</v>
      </c>
      <c r="C628" s="49" t="s">
        <v>469</v>
      </c>
      <c r="D628">
        <v>1</v>
      </c>
      <c r="E628" s="49" t="s">
        <v>379</v>
      </c>
    </row>
    <row r="629" spans="1:5" x14ac:dyDescent="0.3">
      <c r="A629" s="49" t="s">
        <v>205</v>
      </c>
      <c r="B629" s="49" t="s">
        <v>258</v>
      </c>
      <c r="C629" s="49" t="s">
        <v>469</v>
      </c>
      <c r="D629">
        <v>1</v>
      </c>
      <c r="E629" s="49" t="s">
        <v>378</v>
      </c>
    </row>
    <row r="630" spans="1:5" x14ac:dyDescent="0.3">
      <c r="A630" s="49" t="s">
        <v>206</v>
      </c>
      <c r="B630" s="49" t="s">
        <v>258</v>
      </c>
      <c r="C630" s="49" t="s">
        <v>469</v>
      </c>
      <c r="D630">
        <v>1</v>
      </c>
      <c r="E630" s="49" t="s">
        <v>378</v>
      </c>
    </row>
    <row r="631" spans="1:5" x14ac:dyDescent="0.3">
      <c r="A631" s="49" t="s">
        <v>207</v>
      </c>
      <c r="B631" s="49" t="s">
        <v>258</v>
      </c>
      <c r="C631" s="49" t="s">
        <v>469</v>
      </c>
      <c r="D631">
        <v>1</v>
      </c>
      <c r="E631" s="49" t="s">
        <v>378</v>
      </c>
    </row>
    <row r="632" spans="1:5" x14ac:dyDescent="0.3">
      <c r="A632" s="49" t="s">
        <v>208</v>
      </c>
      <c r="B632" s="49" t="s">
        <v>258</v>
      </c>
      <c r="C632" s="49" t="s">
        <v>469</v>
      </c>
      <c r="D632">
        <v>1</v>
      </c>
      <c r="E632" s="49" t="s">
        <v>379</v>
      </c>
    </row>
    <row r="633" spans="1:5" x14ac:dyDescent="0.3">
      <c r="A633" s="49" t="s">
        <v>198</v>
      </c>
      <c r="B633" s="49" t="s">
        <v>258</v>
      </c>
      <c r="C633" s="49" t="s">
        <v>469</v>
      </c>
      <c r="D633">
        <v>1</v>
      </c>
      <c r="E633" s="49" t="s">
        <v>379</v>
      </c>
    </row>
    <row r="634" spans="1:5" x14ac:dyDescent="0.3">
      <c r="A634" s="49" t="s">
        <v>199</v>
      </c>
      <c r="B634" s="49" t="s">
        <v>258</v>
      </c>
      <c r="C634" s="49" t="s">
        <v>469</v>
      </c>
      <c r="D634">
        <v>1</v>
      </c>
      <c r="E634" s="49" t="s">
        <v>378</v>
      </c>
    </row>
    <row r="635" spans="1:5" x14ac:dyDescent="0.3">
      <c r="A635" s="49" t="s">
        <v>1834</v>
      </c>
      <c r="B635" s="49" t="s">
        <v>409</v>
      </c>
      <c r="C635" s="49" t="s">
        <v>449</v>
      </c>
      <c r="D635">
        <v>0</v>
      </c>
      <c r="E635" s="49" t="s">
        <v>378</v>
      </c>
    </row>
    <row r="636" spans="1:5" x14ac:dyDescent="0.3">
      <c r="A636" s="49" t="s">
        <v>1834</v>
      </c>
      <c r="B636" s="49" t="s">
        <v>409</v>
      </c>
      <c r="C636" s="49" t="s">
        <v>449</v>
      </c>
      <c r="D636">
        <v>1</v>
      </c>
      <c r="E636" s="49" t="s">
        <v>378</v>
      </c>
    </row>
    <row r="637" spans="1:5" x14ac:dyDescent="0.3">
      <c r="A637" s="49" t="s">
        <v>1834</v>
      </c>
      <c r="B637" s="49" t="s">
        <v>409</v>
      </c>
      <c r="C637" s="49" t="s">
        <v>449</v>
      </c>
      <c r="D637">
        <v>2</v>
      </c>
      <c r="E637" s="49" t="s">
        <v>378</v>
      </c>
    </row>
    <row r="638" spans="1:5" x14ac:dyDescent="0.3">
      <c r="A638" s="49" t="s">
        <v>1834</v>
      </c>
      <c r="B638" s="49" t="s">
        <v>409</v>
      </c>
      <c r="C638" s="49" t="s">
        <v>449</v>
      </c>
      <c r="D638">
        <v>3</v>
      </c>
      <c r="E638" s="49" t="s">
        <v>378</v>
      </c>
    </row>
    <row r="639" spans="1:5" x14ac:dyDescent="0.3">
      <c r="A639" s="49" t="s">
        <v>1834</v>
      </c>
      <c r="B639" s="49" t="s">
        <v>409</v>
      </c>
      <c r="C639" s="49" t="s">
        <v>449</v>
      </c>
      <c r="D639">
        <v>4</v>
      </c>
      <c r="E639" s="49" t="s">
        <v>378</v>
      </c>
    </row>
    <row r="640" spans="1:5" x14ac:dyDescent="0.3">
      <c r="A640" s="49" t="s">
        <v>1834</v>
      </c>
      <c r="B640" s="49" t="s">
        <v>409</v>
      </c>
      <c r="C640" s="49" t="s">
        <v>449</v>
      </c>
      <c r="D640">
        <v>5</v>
      </c>
      <c r="E640" s="49" t="s">
        <v>378</v>
      </c>
    </row>
    <row r="641" spans="1:5" x14ac:dyDescent="0.3">
      <c r="A641" s="49" t="s">
        <v>1834</v>
      </c>
      <c r="B641" s="49" t="s">
        <v>409</v>
      </c>
      <c r="C641" s="49" t="s">
        <v>449</v>
      </c>
      <c r="D641">
        <v>6</v>
      </c>
      <c r="E641" s="49" t="s">
        <v>378</v>
      </c>
    </row>
    <row r="642" spans="1:5" x14ac:dyDescent="0.3">
      <c r="A642" s="49" t="s">
        <v>1834</v>
      </c>
      <c r="B642" s="49" t="s">
        <v>409</v>
      </c>
      <c r="C642" s="49" t="s">
        <v>449</v>
      </c>
      <c r="D642">
        <v>7</v>
      </c>
      <c r="E642" s="49" t="s">
        <v>378</v>
      </c>
    </row>
    <row r="643" spans="1:5" x14ac:dyDescent="0.3">
      <c r="A643" s="49" t="s">
        <v>1834</v>
      </c>
      <c r="B643" s="49" t="s">
        <v>409</v>
      </c>
      <c r="C643" s="49" t="s">
        <v>449</v>
      </c>
      <c r="D643">
        <v>8</v>
      </c>
      <c r="E643" s="49" t="s">
        <v>378</v>
      </c>
    </row>
    <row r="644" spans="1:5" x14ac:dyDescent="0.3">
      <c r="A644" s="49" t="s">
        <v>1835</v>
      </c>
      <c r="B644" s="49" t="s">
        <v>409</v>
      </c>
      <c r="C644" s="49" t="s">
        <v>449</v>
      </c>
      <c r="D644">
        <v>0</v>
      </c>
      <c r="E644" s="49" t="s">
        <v>378</v>
      </c>
    </row>
    <row r="645" spans="1:5" x14ac:dyDescent="0.3">
      <c r="A645" s="49" t="s">
        <v>1835</v>
      </c>
      <c r="B645" s="49" t="s">
        <v>409</v>
      </c>
      <c r="C645" s="49" t="s">
        <v>449</v>
      </c>
      <c r="D645">
        <v>1</v>
      </c>
      <c r="E645" s="49" t="s">
        <v>378</v>
      </c>
    </row>
    <row r="646" spans="1:5" x14ac:dyDescent="0.3">
      <c r="A646" s="49" t="s">
        <v>1835</v>
      </c>
      <c r="B646" s="49" t="s">
        <v>409</v>
      </c>
      <c r="C646" s="49" t="s">
        <v>449</v>
      </c>
      <c r="D646">
        <v>2</v>
      </c>
      <c r="E646" s="49" t="s">
        <v>378</v>
      </c>
    </row>
    <row r="647" spans="1:5" x14ac:dyDescent="0.3">
      <c r="A647" s="49" t="s">
        <v>1835</v>
      </c>
      <c r="B647" s="49" t="s">
        <v>409</v>
      </c>
      <c r="C647" s="49" t="s">
        <v>449</v>
      </c>
      <c r="D647">
        <v>3</v>
      </c>
      <c r="E647" s="49" t="s">
        <v>378</v>
      </c>
    </row>
    <row r="648" spans="1:5" x14ac:dyDescent="0.3">
      <c r="A648" s="49" t="s">
        <v>1835</v>
      </c>
      <c r="B648" s="49" t="s">
        <v>409</v>
      </c>
      <c r="C648" s="49" t="s">
        <v>449</v>
      </c>
      <c r="D648">
        <v>4</v>
      </c>
      <c r="E648" s="49" t="s">
        <v>378</v>
      </c>
    </row>
    <row r="649" spans="1:5" x14ac:dyDescent="0.3">
      <c r="A649" s="49" t="s">
        <v>1835</v>
      </c>
      <c r="B649" s="49" t="s">
        <v>409</v>
      </c>
      <c r="C649" s="49" t="s">
        <v>449</v>
      </c>
      <c r="D649">
        <v>5</v>
      </c>
      <c r="E649" s="49" t="s">
        <v>378</v>
      </c>
    </row>
    <row r="650" spans="1:5" x14ac:dyDescent="0.3">
      <c r="A650" s="49" t="s">
        <v>1835</v>
      </c>
      <c r="B650" s="49" t="s">
        <v>409</v>
      </c>
      <c r="C650" s="49" t="s">
        <v>449</v>
      </c>
      <c r="D650">
        <v>6</v>
      </c>
      <c r="E650" s="49" t="s">
        <v>378</v>
      </c>
    </row>
    <row r="651" spans="1:5" x14ac:dyDescent="0.3">
      <c r="A651" s="49" t="s">
        <v>1835</v>
      </c>
      <c r="B651" s="49" t="s">
        <v>409</v>
      </c>
      <c r="C651" s="49" t="s">
        <v>449</v>
      </c>
      <c r="D651">
        <v>7</v>
      </c>
      <c r="E651" s="49" t="s">
        <v>378</v>
      </c>
    </row>
    <row r="652" spans="1:5" x14ac:dyDescent="0.3">
      <c r="A652" s="49" t="s">
        <v>1835</v>
      </c>
      <c r="B652" s="49" t="s">
        <v>409</v>
      </c>
      <c r="C652" s="49" t="s">
        <v>449</v>
      </c>
      <c r="D652">
        <v>8</v>
      </c>
      <c r="E652" s="49" t="s">
        <v>378</v>
      </c>
    </row>
    <row r="653" spans="1:5" x14ac:dyDescent="0.3">
      <c r="A653" s="49" t="s">
        <v>1836</v>
      </c>
      <c r="B653" s="49" t="s">
        <v>409</v>
      </c>
      <c r="C653" s="49" t="s">
        <v>449</v>
      </c>
      <c r="D653">
        <v>0</v>
      </c>
      <c r="E653" s="49" t="s">
        <v>378</v>
      </c>
    </row>
    <row r="654" spans="1:5" x14ac:dyDescent="0.3">
      <c r="A654" s="49" t="s">
        <v>1836</v>
      </c>
      <c r="B654" s="49" t="s">
        <v>409</v>
      </c>
      <c r="C654" s="49" t="s">
        <v>449</v>
      </c>
      <c r="D654">
        <v>1</v>
      </c>
      <c r="E654" s="49" t="s">
        <v>378</v>
      </c>
    </row>
    <row r="655" spans="1:5" x14ac:dyDescent="0.3">
      <c r="A655" s="49" t="s">
        <v>1836</v>
      </c>
      <c r="B655" s="49" t="s">
        <v>409</v>
      </c>
      <c r="C655" s="49" t="s">
        <v>449</v>
      </c>
      <c r="D655">
        <v>2</v>
      </c>
      <c r="E655" s="49" t="s">
        <v>378</v>
      </c>
    </row>
    <row r="656" spans="1:5" x14ac:dyDescent="0.3">
      <c r="A656" s="49" t="s">
        <v>1836</v>
      </c>
      <c r="B656" s="49" t="s">
        <v>409</v>
      </c>
      <c r="C656" s="49" t="s">
        <v>449</v>
      </c>
      <c r="D656">
        <v>3</v>
      </c>
      <c r="E656" s="49" t="s">
        <v>378</v>
      </c>
    </row>
    <row r="657" spans="1:5" x14ac:dyDescent="0.3">
      <c r="A657" s="49" t="s">
        <v>1836</v>
      </c>
      <c r="B657" s="49" t="s">
        <v>409</v>
      </c>
      <c r="C657" s="49" t="s">
        <v>449</v>
      </c>
      <c r="D657">
        <v>4</v>
      </c>
      <c r="E657" s="49" t="s">
        <v>378</v>
      </c>
    </row>
    <row r="658" spans="1:5" x14ac:dyDescent="0.3">
      <c r="A658" s="49" t="s">
        <v>1836</v>
      </c>
      <c r="B658" s="49" t="s">
        <v>409</v>
      </c>
      <c r="C658" s="49" t="s">
        <v>449</v>
      </c>
      <c r="D658">
        <v>5</v>
      </c>
      <c r="E658" s="49" t="s">
        <v>378</v>
      </c>
    </row>
    <row r="659" spans="1:5" x14ac:dyDescent="0.3">
      <c r="A659" s="49" t="s">
        <v>1836</v>
      </c>
      <c r="B659" s="49" t="s">
        <v>409</v>
      </c>
      <c r="C659" s="49" t="s">
        <v>449</v>
      </c>
      <c r="D659">
        <v>6</v>
      </c>
      <c r="E659" s="49" t="s">
        <v>378</v>
      </c>
    </row>
    <row r="660" spans="1:5" x14ac:dyDescent="0.3">
      <c r="A660" s="49" t="s">
        <v>1836</v>
      </c>
      <c r="B660" s="49" t="s">
        <v>409</v>
      </c>
      <c r="C660" s="49" t="s">
        <v>449</v>
      </c>
      <c r="D660">
        <v>7</v>
      </c>
      <c r="E660" s="49" t="s">
        <v>378</v>
      </c>
    </row>
    <row r="661" spans="1:5" x14ac:dyDescent="0.3">
      <c r="A661" s="49" t="s">
        <v>1836</v>
      </c>
      <c r="B661" s="49" t="s">
        <v>409</v>
      </c>
      <c r="C661" s="49" t="s">
        <v>449</v>
      </c>
      <c r="D661">
        <v>8</v>
      </c>
      <c r="E661" s="49" t="s">
        <v>378</v>
      </c>
    </row>
    <row r="662" spans="1:5" x14ac:dyDescent="0.3">
      <c r="A662" s="49" t="s">
        <v>1837</v>
      </c>
      <c r="B662" s="49" t="s">
        <v>409</v>
      </c>
      <c r="C662" s="49" t="s">
        <v>449</v>
      </c>
      <c r="D662">
        <v>0</v>
      </c>
      <c r="E662" s="49" t="s">
        <v>378</v>
      </c>
    </row>
    <row r="663" spans="1:5" x14ac:dyDescent="0.3">
      <c r="A663" s="49" t="s">
        <v>1837</v>
      </c>
      <c r="B663" s="49" t="s">
        <v>409</v>
      </c>
      <c r="C663" s="49" t="s">
        <v>449</v>
      </c>
      <c r="D663">
        <v>1</v>
      </c>
      <c r="E663" s="49" t="s">
        <v>378</v>
      </c>
    </row>
    <row r="664" spans="1:5" x14ac:dyDescent="0.3">
      <c r="A664" s="49" t="s">
        <v>1837</v>
      </c>
      <c r="B664" s="49" t="s">
        <v>409</v>
      </c>
      <c r="C664" s="49" t="s">
        <v>449</v>
      </c>
      <c r="D664">
        <v>2</v>
      </c>
      <c r="E664" s="49" t="s">
        <v>378</v>
      </c>
    </row>
    <row r="665" spans="1:5" x14ac:dyDescent="0.3">
      <c r="A665" s="49" t="s">
        <v>1837</v>
      </c>
      <c r="B665" s="49" t="s">
        <v>409</v>
      </c>
      <c r="C665" s="49" t="s">
        <v>449</v>
      </c>
      <c r="D665">
        <v>3</v>
      </c>
      <c r="E665" s="49" t="s">
        <v>378</v>
      </c>
    </row>
    <row r="666" spans="1:5" x14ac:dyDescent="0.3">
      <c r="A666" s="49" t="s">
        <v>1837</v>
      </c>
      <c r="B666" s="49" t="s">
        <v>409</v>
      </c>
      <c r="C666" s="49" t="s">
        <v>449</v>
      </c>
      <c r="D666">
        <v>4</v>
      </c>
      <c r="E666" s="49" t="s">
        <v>378</v>
      </c>
    </row>
    <row r="667" spans="1:5" x14ac:dyDescent="0.3">
      <c r="A667" s="49" t="s">
        <v>1837</v>
      </c>
      <c r="B667" s="49" t="s">
        <v>409</v>
      </c>
      <c r="C667" s="49" t="s">
        <v>449</v>
      </c>
      <c r="D667">
        <v>5</v>
      </c>
      <c r="E667" s="49" t="s">
        <v>378</v>
      </c>
    </row>
    <row r="668" spans="1:5" x14ac:dyDescent="0.3">
      <c r="A668" s="49" t="s">
        <v>1837</v>
      </c>
      <c r="B668" s="49" t="s">
        <v>409</v>
      </c>
      <c r="C668" s="49" t="s">
        <v>449</v>
      </c>
      <c r="D668">
        <v>6</v>
      </c>
      <c r="E668" s="49" t="s">
        <v>378</v>
      </c>
    </row>
    <row r="669" spans="1:5" x14ac:dyDescent="0.3">
      <c r="A669" s="49" t="s">
        <v>1837</v>
      </c>
      <c r="B669" s="49" t="s">
        <v>409</v>
      </c>
      <c r="C669" s="49" t="s">
        <v>449</v>
      </c>
      <c r="D669">
        <v>7</v>
      </c>
      <c r="E669" s="49" t="s">
        <v>378</v>
      </c>
    </row>
    <row r="670" spans="1:5" x14ac:dyDescent="0.3">
      <c r="A670" s="49" t="s">
        <v>1837</v>
      </c>
      <c r="B670" s="49" t="s">
        <v>409</v>
      </c>
      <c r="C670" s="49" t="s">
        <v>449</v>
      </c>
      <c r="D670">
        <v>8</v>
      </c>
      <c r="E670" s="49" t="s">
        <v>378</v>
      </c>
    </row>
    <row r="671" spans="1:5" x14ac:dyDescent="0.3">
      <c r="A671" s="49" t="s">
        <v>1838</v>
      </c>
      <c r="B671" s="49" t="s">
        <v>409</v>
      </c>
      <c r="C671" s="49" t="s">
        <v>449</v>
      </c>
      <c r="D671">
        <v>0</v>
      </c>
      <c r="E671" s="49" t="s">
        <v>378</v>
      </c>
    </row>
    <row r="672" spans="1:5" x14ac:dyDescent="0.3">
      <c r="A672" s="49" t="s">
        <v>1838</v>
      </c>
      <c r="B672" s="49" t="s">
        <v>409</v>
      </c>
      <c r="C672" s="49" t="s">
        <v>449</v>
      </c>
      <c r="D672">
        <v>1</v>
      </c>
      <c r="E672" s="49" t="s">
        <v>378</v>
      </c>
    </row>
    <row r="673" spans="1:5" x14ac:dyDescent="0.3">
      <c r="A673" s="49" t="s">
        <v>1838</v>
      </c>
      <c r="B673" s="49" t="s">
        <v>409</v>
      </c>
      <c r="C673" s="49" t="s">
        <v>449</v>
      </c>
      <c r="D673">
        <v>2</v>
      </c>
      <c r="E673" s="49" t="s">
        <v>378</v>
      </c>
    </row>
    <row r="674" spans="1:5" x14ac:dyDescent="0.3">
      <c r="A674" s="49" t="s">
        <v>1838</v>
      </c>
      <c r="B674" s="49" t="s">
        <v>409</v>
      </c>
      <c r="C674" s="49" t="s">
        <v>449</v>
      </c>
      <c r="D674">
        <v>3</v>
      </c>
      <c r="E674" s="49" t="s">
        <v>378</v>
      </c>
    </row>
    <row r="675" spans="1:5" x14ac:dyDescent="0.3">
      <c r="A675" s="49" t="s">
        <v>1838</v>
      </c>
      <c r="B675" s="49" t="s">
        <v>409</v>
      </c>
      <c r="C675" s="49" t="s">
        <v>449</v>
      </c>
      <c r="D675">
        <v>4</v>
      </c>
      <c r="E675" s="49" t="s">
        <v>378</v>
      </c>
    </row>
    <row r="676" spans="1:5" x14ac:dyDescent="0.3">
      <c r="A676" s="49" t="s">
        <v>1838</v>
      </c>
      <c r="B676" s="49" t="s">
        <v>409</v>
      </c>
      <c r="C676" s="49" t="s">
        <v>449</v>
      </c>
      <c r="D676">
        <v>5</v>
      </c>
      <c r="E676" s="49" t="s">
        <v>378</v>
      </c>
    </row>
    <row r="677" spans="1:5" x14ac:dyDescent="0.3">
      <c r="A677" s="49" t="s">
        <v>1838</v>
      </c>
      <c r="B677" s="49" t="s">
        <v>409</v>
      </c>
      <c r="C677" s="49" t="s">
        <v>449</v>
      </c>
      <c r="D677">
        <v>6</v>
      </c>
      <c r="E677" s="49" t="s">
        <v>378</v>
      </c>
    </row>
    <row r="678" spans="1:5" x14ac:dyDescent="0.3">
      <c r="A678" s="49" t="s">
        <v>1838</v>
      </c>
      <c r="B678" s="49" t="s">
        <v>409</v>
      </c>
      <c r="C678" s="49" t="s">
        <v>449</v>
      </c>
      <c r="D678">
        <v>7</v>
      </c>
      <c r="E678" s="49" t="s">
        <v>378</v>
      </c>
    </row>
    <row r="679" spans="1:5" x14ac:dyDescent="0.3">
      <c r="A679" s="49" t="s">
        <v>1838</v>
      </c>
      <c r="B679" s="49" t="s">
        <v>409</v>
      </c>
      <c r="C679" s="49" t="s">
        <v>449</v>
      </c>
      <c r="D679">
        <v>8</v>
      </c>
      <c r="E679" s="49" t="s">
        <v>378</v>
      </c>
    </row>
    <row r="680" spans="1:5" x14ac:dyDescent="0.3">
      <c r="A680" s="49" t="s">
        <v>1839</v>
      </c>
      <c r="B680" s="49" t="s">
        <v>409</v>
      </c>
      <c r="C680" s="49" t="s">
        <v>449</v>
      </c>
      <c r="D680">
        <v>0</v>
      </c>
      <c r="E680" s="49" t="s">
        <v>379</v>
      </c>
    </row>
    <row r="681" spans="1:5" x14ac:dyDescent="0.3">
      <c r="A681" s="49" t="s">
        <v>1839</v>
      </c>
      <c r="B681" s="49" t="s">
        <v>409</v>
      </c>
      <c r="C681" s="49" t="s">
        <v>449</v>
      </c>
      <c r="D681">
        <v>1</v>
      </c>
      <c r="E681" s="49" t="s">
        <v>379</v>
      </c>
    </row>
    <row r="682" spans="1:5" x14ac:dyDescent="0.3">
      <c r="A682" s="49" t="s">
        <v>1839</v>
      </c>
      <c r="B682" s="49" t="s">
        <v>409</v>
      </c>
      <c r="C682" s="49" t="s">
        <v>449</v>
      </c>
      <c r="D682">
        <v>2</v>
      </c>
      <c r="E682" s="49" t="s">
        <v>379</v>
      </c>
    </row>
    <row r="683" spans="1:5" x14ac:dyDescent="0.3">
      <c r="A683" s="49" t="s">
        <v>1839</v>
      </c>
      <c r="B683" s="49" t="s">
        <v>409</v>
      </c>
      <c r="C683" s="49" t="s">
        <v>449</v>
      </c>
      <c r="D683">
        <v>3</v>
      </c>
      <c r="E683" s="49" t="s">
        <v>379</v>
      </c>
    </row>
    <row r="684" spans="1:5" x14ac:dyDescent="0.3">
      <c r="A684" s="49" t="s">
        <v>1839</v>
      </c>
      <c r="B684" s="49" t="s">
        <v>409</v>
      </c>
      <c r="C684" s="49" t="s">
        <v>449</v>
      </c>
      <c r="D684">
        <v>4</v>
      </c>
      <c r="E684" s="49" t="s">
        <v>379</v>
      </c>
    </row>
    <row r="685" spans="1:5" x14ac:dyDescent="0.3">
      <c r="A685" s="49" t="s">
        <v>1839</v>
      </c>
      <c r="B685" s="49" t="s">
        <v>409</v>
      </c>
      <c r="C685" s="49" t="s">
        <v>449</v>
      </c>
      <c r="D685">
        <v>5</v>
      </c>
      <c r="E685" s="49" t="s">
        <v>379</v>
      </c>
    </row>
    <row r="686" spans="1:5" x14ac:dyDescent="0.3">
      <c r="A686" s="49" t="s">
        <v>1839</v>
      </c>
      <c r="B686" s="49" t="s">
        <v>409</v>
      </c>
      <c r="C686" s="49" t="s">
        <v>449</v>
      </c>
      <c r="D686">
        <v>6</v>
      </c>
      <c r="E686" s="49" t="s">
        <v>379</v>
      </c>
    </row>
    <row r="687" spans="1:5" x14ac:dyDescent="0.3">
      <c r="A687" s="49" t="s">
        <v>1839</v>
      </c>
      <c r="B687" s="49" t="s">
        <v>409</v>
      </c>
      <c r="C687" s="49" t="s">
        <v>449</v>
      </c>
      <c r="D687">
        <v>7</v>
      </c>
      <c r="E687" s="49" t="s">
        <v>379</v>
      </c>
    </row>
    <row r="688" spans="1:5" x14ac:dyDescent="0.3">
      <c r="A688" s="49" t="s">
        <v>1839</v>
      </c>
      <c r="B688" s="49" t="s">
        <v>409</v>
      </c>
      <c r="C688" s="49" t="s">
        <v>449</v>
      </c>
      <c r="D688">
        <v>8</v>
      </c>
      <c r="E688" s="49" t="s">
        <v>379</v>
      </c>
    </row>
    <row r="689" spans="1:5" x14ac:dyDescent="0.3">
      <c r="A689" s="49" t="s">
        <v>1840</v>
      </c>
      <c r="B689" s="49" t="s">
        <v>409</v>
      </c>
      <c r="C689" s="49" t="s">
        <v>449</v>
      </c>
      <c r="D689">
        <v>0</v>
      </c>
      <c r="E689" s="49" t="s">
        <v>379</v>
      </c>
    </row>
    <row r="690" spans="1:5" x14ac:dyDescent="0.3">
      <c r="A690" s="49" t="s">
        <v>1840</v>
      </c>
      <c r="B690" s="49" t="s">
        <v>409</v>
      </c>
      <c r="C690" s="49" t="s">
        <v>449</v>
      </c>
      <c r="D690">
        <v>1</v>
      </c>
      <c r="E690" s="49" t="s">
        <v>379</v>
      </c>
    </row>
    <row r="691" spans="1:5" x14ac:dyDescent="0.3">
      <c r="A691" s="49" t="s">
        <v>1840</v>
      </c>
      <c r="B691" s="49" t="s">
        <v>409</v>
      </c>
      <c r="C691" s="49" t="s">
        <v>449</v>
      </c>
      <c r="D691">
        <v>2</v>
      </c>
      <c r="E691" s="49" t="s">
        <v>379</v>
      </c>
    </row>
    <row r="692" spans="1:5" x14ac:dyDescent="0.3">
      <c r="A692" s="49" t="s">
        <v>1840</v>
      </c>
      <c r="B692" s="49" t="s">
        <v>409</v>
      </c>
      <c r="C692" s="49" t="s">
        <v>449</v>
      </c>
      <c r="D692">
        <v>3</v>
      </c>
      <c r="E692" s="49" t="s">
        <v>379</v>
      </c>
    </row>
    <row r="693" spans="1:5" x14ac:dyDescent="0.3">
      <c r="A693" s="49" t="s">
        <v>1840</v>
      </c>
      <c r="B693" s="49" t="s">
        <v>409</v>
      </c>
      <c r="C693" s="49" t="s">
        <v>449</v>
      </c>
      <c r="D693">
        <v>4</v>
      </c>
      <c r="E693" s="49" t="s">
        <v>379</v>
      </c>
    </row>
    <row r="694" spans="1:5" x14ac:dyDescent="0.3">
      <c r="A694" s="49" t="s">
        <v>1840</v>
      </c>
      <c r="B694" s="49" t="s">
        <v>409</v>
      </c>
      <c r="C694" s="49" t="s">
        <v>449</v>
      </c>
      <c r="D694">
        <v>5</v>
      </c>
      <c r="E694" s="49" t="s">
        <v>379</v>
      </c>
    </row>
    <row r="695" spans="1:5" x14ac:dyDescent="0.3">
      <c r="A695" s="49" t="s">
        <v>1840</v>
      </c>
      <c r="B695" s="49" t="s">
        <v>409</v>
      </c>
      <c r="C695" s="49" t="s">
        <v>449</v>
      </c>
      <c r="D695">
        <v>6</v>
      </c>
      <c r="E695" s="49" t="s">
        <v>379</v>
      </c>
    </row>
    <row r="696" spans="1:5" x14ac:dyDescent="0.3">
      <c r="A696" s="49" t="s">
        <v>1840</v>
      </c>
      <c r="B696" s="49" t="s">
        <v>409</v>
      </c>
      <c r="C696" s="49" t="s">
        <v>449</v>
      </c>
      <c r="D696">
        <v>7</v>
      </c>
      <c r="E696" s="49" t="s">
        <v>379</v>
      </c>
    </row>
    <row r="697" spans="1:5" x14ac:dyDescent="0.3">
      <c r="A697" s="49" t="s">
        <v>1840</v>
      </c>
      <c r="B697" s="49" t="s">
        <v>409</v>
      </c>
      <c r="C697" s="49" t="s">
        <v>449</v>
      </c>
      <c r="D697">
        <v>8</v>
      </c>
      <c r="E697" s="49" t="s">
        <v>379</v>
      </c>
    </row>
    <row r="698" spans="1:5" x14ac:dyDescent="0.3">
      <c r="A698" s="49" t="s">
        <v>1841</v>
      </c>
      <c r="B698" s="49" t="s">
        <v>409</v>
      </c>
      <c r="C698" s="49" t="s">
        <v>449</v>
      </c>
      <c r="D698">
        <v>0</v>
      </c>
      <c r="E698" s="49" t="s">
        <v>378</v>
      </c>
    </row>
    <row r="699" spans="1:5" x14ac:dyDescent="0.3">
      <c r="A699" s="49" t="s">
        <v>1841</v>
      </c>
      <c r="B699" s="49" t="s">
        <v>409</v>
      </c>
      <c r="C699" s="49" t="s">
        <v>449</v>
      </c>
      <c r="D699">
        <v>1</v>
      </c>
      <c r="E699" s="49" t="s">
        <v>378</v>
      </c>
    </row>
    <row r="700" spans="1:5" x14ac:dyDescent="0.3">
      <c r="A700" s="49" t="s">
        <v>1841</v>
      </c>
      <c r="B700" s="49" t="s">
        <v>409</v>
      </c>
      <c r="C700" s="49" t="s">
        <v>449</v>
      </c>
      <c r="D700">
        <v>2</v>
      </c>
      <c r="E700" s="49" t="s">
        <v>378</v>
      </c>
    </row>
    <row r="701" spans="1:5" x14ac:dyDescent="0.3">
      <c r="A701" s="49" t="s">
        <v>1841</v>
      </c>
      <c r="B701" s="49" t="s">
        <v>409</v>
      </c>
      <c r="C701" s="49" t="s">
        <v>449</v>
      </c>
      <c r="D701">
        <v>3</v>
      </c>
      <c r="E701" s="49" t="s">
        <v>378</v>
      </c>
    </row>
    <row r="702" spans="1:5" x14ac:dyDescent="0.3">
      <c r="A702" s="49" t="s">
        <v>1841</v>
      </c>
      <c r="B702" s="49" t="s">
        <v>409</v>
      </c>
      <c r="C702" s="49" t="s">
        <v>449</v>
      </c>
      <c r="D702">
        <v>4</v>
      </c>
      <c r="E702" s="49" t="s">
        <v>378</v>
      </c>
    </row>
    <row r="703" spans="1:5" x14ac:dyDescent="0.3">
      <c r="A703" s="49" t="s">
        <v>1841</v>
      </c>
      <c r="B703" s="49" t="s">
        <v>409</v>
      </c>
      <c r="C703" s="49" t="s">
        <v>449</v>
      </c>
      <c r="D703">
        <v>5</v>
      </c>
      <c r="E703" s="49" t="s">
        <v>378</v>
      </c>
    </row>
    <row r="704" spans="1:5" x14ac:dyDescent="0.3">
      <c r="A704" s="49" t="s">
        <v>1841</v>
      </c>
      <c r="B704" s="49" t="s">
        <v>409</v>
      </c>
      <c r="C704" s="49" t="s">
        <v>449</v>
      </c>
      <c r="D704">
        <v>6</v>
      </c>
      <c r="E704" s="49" t="s">
        <v>378</v>
      </c>
    </row>
    <row r="705" spans="1:5" x14ac:dyDescent="0.3">
      <c r="A705" s="49" t="s">
        <v>1841</v>
      </c>
      <c r="B705" s="49" t="s">
        <v>409</v>
      </c>
      <c r="C705" s="49" t="s">
        <v>449</v>
      </c>
      <c r="D705">
        <v>7</v>
      </c>
      <c r="E705" s="49" t="s">
        <v>378</v>
      </c>
    </row>
    <row r="706" spans="1:5" x14ac:dyDescent="0.3">
      <c r="A706" s="49" t="s">
        <v>1841</v>
      </c>
      <c r="B706" s="49" t="s">
        <v>409</v>
      </c>
      <c r="C706" s="49" t="s">
        <v>449</v>
      </c>
      <c r="D706">
        <v>8</v>
      </c>
      <c r="E706" s="49" t="s">
        <v>378</v>
      </c>
    </row>
    <row r="707" spans="1:5" x14ac:dyDescent="0.3">
      <c r="A707" s="49" t="s">
        <v>1842</v>
      </c>
      <c r="B707" s="49" t="s">
        <v>409</v>
      </c>
      <c r="C707" s="49" t="s">
        <v>449</v>
      </c>
      <c r="D707">
        <v>0</v>
      </c>
      <c r="E707" s="49" t="s">
        <v>378</v>
      </c>
    </row>
    <row r="708" spans="1:5" x14ac:dyDescent="0.3">
      <c r="A708" s="49" t="s">
        <v>1842</v>
      </c>
      <c r="B708" s="49" t="s">
        <v>409</v>
      </c>
      <c r="C708" s="49" t="s">
        <v>449</v>
      </c>
      <c r="D708">
        <v>1</v>
      </c>
      <c r="E708" s="49" t="s">
        <v>378</v>
      </c>
    </row>
    <row r="709" spans="1:5" x14ac:dyDescent="0.3">
      <c r="A709" s="49" t="s">
        <v>1842</v>
      </c>
      <c r="B709" s="49" t="s">
        <v>409</v>
      </c>
      <c r="C709" s="49" t="s">
        <v>449</v>
      </c>
      <c r="D709">
        <v>2</v>
      </c>
      <c r="E709" s="49" t="s">
        <v>378</v>
      </c>
    </row>
    <row r="710" spans="1:5" x14ac:dyDescent="0.3">
      <c r="A710" s="49" t="s">
        <v>1842</v>
      </c>
      <c r="B710" s="49" t="s">
        <v>409</v>
      </c>
      <c r="C710" s="49" t="s">
        <v>449</v>
      </c>
      <c r="D710">
        <v>3</v>
      </c>
      <c r="E710" s="49" t="s">
        <v>378</v>
      </c>
    </row>
    <row r="711" spans="1:5" x14ac:dyDescent="0.3">
      <c r="A711" s="49" t="s">
        <v>1842</v>
      </c>
      <c r="B711" s="49" t="s">
        <v>409</v>
      </c>
      <c r="C711" s="49" t="s">
        <v>449</v>
      </c>
      <c r="D711">
        <v>4</v>
      </c>
      <c r="E711" s="49" t="s">
        <v>378</v>
      </c>
    </row>
    <row r="712" spans="1:5" x14ac:dyDescent="0.3">
      <c r="A712" s="49" t="s">
        <v>1842</v>
      </c>
      <c r="B712" s="49" t="s">
        <v>409</v>
      </c>
      <c r="C712" s="49" t="s">
        <v>449</v>
      </c>
      <c r="D712">
        <v>5</v>
      </c>
      <c r="E712" s="49" t="s">
        <v>378</v>
      </c>
    </row>
    <row r="713" spans="1:5" x14ac:dyDescent="0.3">
      <c r="A713" s="49" t="s">
        <v>1842</v>
      </c>
      <c r="B713" s="49" t="s">
        <v>409</v>
      </c>
      <c r="C713" s="49" t="s">
        <v>449</v>
      </c>
      <c r="D713">
        <v>6</v>
      </c>
      <c r="E713" s="49" t="s">
        <v>378</v>
      </c>
    </row>
    <row r="714" spans="1:5" x14ac:dyDescent="0.3">
      <c r="A714" s="49" t="s">
        <v>1842</v>
      </c>
      <c r="B714" s="49" t="s">
        <v>409</v>
      </c>
      <c r="C714" s="49" t="s">
        <v>449</v>
      </c>
      <c r="D714">
        <v>7</v>
      </c>
      <c r="E714" s="49" t="s">
        <v>378</v>
      </c>
    </row>
    <row r="715" spans="1:5" x14ac:dyDescent="0.3">
      <c r="A715" s="49" t="s">
        <v>1842</v>
      </c>
      <c r="B715" s="49" t="s">
        <v>409</v>
      </c>
      <c r="C715" s="49" t="s">
        <v>449</v>
      </c>
      <c r="D715">
        <v>8</v>
      </c>
      <c r="E715" s="49" t="s">
        <v>378</v>
      </c>
    </row>
    <row r="716" spans="1:5" x14ac:dyDescent="0.3">
      <c r="A716" s="49" t="s">
        <v>1843</v>
      </c>
      <c r="B716" s="49" t="s">
        <v>409</v>
      </c>
      <c r="C716" s="49" t="s">
        <v>449</v>
      </c>
      <c r="D716">
        <v>0</v>
      </c>
      <c r="E716" s="49" t="s">
        <v>378</v>
      </c>
    </row>
    <row r="717" spans="1:5" x14ac:dyDescent="0.3">
      <c r="A717" s="49" t="s">
        <v>1843</v>
      </c>
      <c r="B717" s="49" t="s">
        <v>409</v>
      </c>
      <c r="C717" s="49" t="s">
        <v>449</v>
      </c>
      <c r="D717">
        <v>1</v>
      </c>
      <c r="E717" s="49" t="s">
        <v>378</v>
      </c>
    </row>
    <row r="718" spans="1:5" x14ac:dyDescent="0.3">
      <c r="A718" s="49" t="s">
        <v>1843</v>
      </c>
      <c r="B718" s="49" t="s">
        <v>409</v>
      </c>
      <c r="C718" s="49" t="s">
        <v>449</v>
      </c>
      <c r="D718">
        <v>2</v>
      </c>
      <c r="E718" s="49" t="s">
        <v>378</v>
      </c>
    </row>
    <row r="719" spans="1:5" x14ac:dyDescent="0.3">
      <c r="A719" s="49" t="s">
        <v>1843</v>
      </c>
      <c r="B719" s="49" t="s">
        <v>409</v>
      </c>
      <c r="C719" s="49" t="s">
        <v>449</v>
      </c>
      <c r="D719">
        <v>3</v>
      </c>
      <c r="E719" s="49" t="s">
        <v>378</v>
      </c>
    </row>
    <row r="720" spans="1:5" x14ac:dyDescent="0.3">
      <c r="A720" s="49" t="s">
        <v>1843</v>
      </c>
      <c r="B720" s="49" t="s">
        <v>409</v>
      </c>
      <c r="C720" s="49" t="s">
        <v>449</v>
      </c>
      <c r="D720">
        <v>4</v>
      </c>
      <c r="E720" s="49" t="s">
        <v>378</v>
      </c>
    </row>
    <row r="721" spans="1:5" x14ac:dyDescent="0.3">
      <c r="A721" s="49" t="s">
        <v>1843</v>
      </c>
      <c r="B721" s="49" t="s">
        <v>409</v>
      </c>
      <c r="C721" s="49" t="s">
        <v>449</v>
      </c>
      <c r="D721">
        <v>5</v>
      </c>
      <c r="E721" s="49" t="s">
        <v>378</v>
      </c>
    </row>
    <row r="722" spans="1:5" x14ac:dyDescent="0.3">
      <c r="A722" s="49" t="s">
        <v>1843</v>
      </c>
      <c r="B722" s="49" t="s">
        <v>409</v>
      </c>
      <c r="C722" s="49" t="s">
        <v>449</v>
      </c>
      <c r="D722">
        <v>6</v>
      </c>
      <c r="E722" s="49" t="s">
        <v>378</v>
      </c>
    </row>
    <row r="723" spans="1:5" x14ac:dyDescent="0.3">
      <c r="A723" s="49" t="s">
        <v>1843</v>
      </c>
      <c r="B723" s="49" t="s">
        <v>409</v>
      </c>
      <c r="C723" s="49" t="s">
        <v>449</v>
      </c>
      <c r="D723">
        <v>7</v>
      </c>
      <c r="E723" s="49" t="s">
        <v>378</v>
      </c>
    </row>
    <row r="724" spans="1:5" x14ac:dyDescent="0.3">
      <c r="A724" s="49" t="s">
        <v>1843</v>
      </c>
      <c r="B724" s="49" t="s">
        <v>409</v>
      </c>
      <c r="C724" s="49" t="s">
        <v>449</v>
      </c>
      <c r="D724">
        <v>8</v>
      </c>
      <c r="E724" s="49" t="s">
        <v>378</v>
      </c>
    </row>
    <row r="725" spans="1:5" x14ac:dyDescent="0.3">
      <c r="A725" s="49" t="s">
        <v>1844</v>
      </c>
      <c r="B725" s="49" t="s">
        <v>409</v>
      </c>
      <c r="C725" s="49" t="s">
        <v>449</v>
      </c>
      <c r="D725">
        <v>0</v>
      </c>
      <c r="E725" s="49" t="s">
        <v>378</v>
      </c>
    </row>
    <row r="726" spans="1:5" x14ac:dyDescent="0.3">
      <c r="A726" s="49" t="s">
        <v>1844</v>
      </c>
      <c r="B726" s="49" t="s">
        <v>409</v>
      </c>
      <c r="C726" s="49" t="s">
        <v>449</v>
      </c>
      <c r="D726">
        <v>1</v>
      </c>
      <c r="E726" s="49" t="s">
        <v>378</v>
      </c>
    </row>
    <row r="727" spans="1:5" x14ac:dyDescent="0.3">
      <c r="A727" s="49" t="s">
        <v>1844</v>
      </c>
      <c r="B727" s="49" t="s">
        <v>409</v>
      </c>
      <c r="C727" s="49" t="s">
        <v>449</v>
      </c>
      <c r="D727">
        <v>2</v>
      </c>
      <c r="E727" s="49" t="s">
        <v>378</v>
      </c>
    </row>
    <row r="728" spans="1:5" x14ac:dyDescent="0.3">
      <c r="A728" s="49" t="s">
        <v>1844</v>
      </c>
      <c r="B728" s="49" t="s">
        <v>409</v>
      </c>
      <c r="C728" s="49" t="s">
        <v>449</v>
      </c>
      <c r="D728">
        <v>3</v>
      </c>
      <c r="E728" s="49" t="s">
        <v>378</v>
      </c>
    </row>
    <row r="729" spans="1:5" x14ac:dyDescent="0.3">
      <c r="A729" s="49" t="s">
        <v>1844</v>
      </c>
      <c r="B729" s="49" t="s">
        <v>409</v>
      </c>
      <c r="C729" s="49" t="s">
        <v>449</v>
      </c>
      <c r="D729">
        <v>4</v>
      </c>
      <c r="E729" s="49" t="s">
        <v>378</v>
      </c>
    </row>
    <row r="730" spans="1:5" x14ac:dyDescent="0.3">
      <c r="A730" s="49" t="s">
        <v>1844</v>
      </c>
      <c r="B730" s="49" t="s">
        <v>409</v>
      </c>
      <c r="C730" s="49" t="s">
        <v>449</v>
      </c>
      <c r="D730">
        <v>5</v>
      </c>
      <c r="E730" s="49" t="s">
        <v>378</v>
      </c>
    </row>
    <row r="731" spans="1:5" x14ac:dyDescent="0.3">
      <c r="A731" s="49" t="s">
        <v>1844</v>
      </c>
      <c r="B731" s="49" t="s">
        <v>409</v>
      </c>
      <c r="C731" s="49" t="s">
        <v>449</v>
      </c>
      <c r="D731">
        <v>6</v>
      </c>
      <c r="E731" s="49" t="s">
        <v>378</v>
      </c>
    </row>
    <row r="732" spans="1:5" x14ac:dyDescent="0.3">
      <c r="A732" s="49" t="s">
        <v>1844</v>
      </c>
      <c r="B732" s="49" t="s">
        <v>409</v>
      </c>
      <c r="C732" s="49" t="s">
        <v>449</v>
      </c>
      <c r="D732">
        <v>7</v>
      </c>
      <c r="E732" s="49" t="s">
        <v>378</v>
      </c>
    </row>
    <row r="733" spans="1:5" x14ac:dyDescent="0.3">
      <c r="A733" s="49" t="s">
        <v>1844</v>
      </c>
      <c r="B733" s="49" t="s">
        <v>409</v>
      </c>
      <c r="C733" s="49" t="s">
        <v>449</v>
      </c>
      <c r="D733">
        <v>8</v>
      </c>
      <c r="E733" s="49" t="s">
        <v>378</v>
      </c>
    </row>
    <row r="734" spans="1:5" x14ac:dyDescent="0.3">
      <c r="A734" s="49" t="s">
        <v>1845</v>
      </c>
      <c r="B734" s="49" t="s">
        <v>409</v>
      </c>
      <c r="C734" s="49" t="s">
        <v>449</v>
      </c>
      <c r="D734">
        <v>0</v>
      </c>
      <c r="E734" s="49" t="s">
        <v>378</v>
      </c>
    </row>
    <row r="735" spans="1:5" x14ac:dyDescent="0.3">
      <c r="A735" s="49" t="s">
        <v>1845</v>
      </c>
      <c r="B735" s="49" t="s">
        <v>409</v>
      </c>
      <c r="C735" s="49" t="s">
        <v>449</v>
      </c>
      <c r="D735">
        <v>1</v>
      </c>
      <c r="E735" s="49" t="s">
        <v>378</v>
      </c>
    </row>
    <row r="736" spans="1:5" x14ac:dyDescent="0.3">
      <c r="A736" s="49" t="s">
        <v>1845</v>
      </c>
      <c r="B736" s="49" t="s">
        <v>409</v>
      </c>
      <c r="C736" s="49" t="s">
        <v>449</v>
      </c>
      <c r="D736">
        <v>2</v>
      </c>
      <c r="E736" s="49" t="s">
        <v>378</v>
      </c>
    </row>
    <row r="737" spans="1:5" x14ac:dyDescent="0.3">
      <c r="A737" s="49" t="s">
        <v>1845</v>
      </c>
      <c r="B737" s="49" t="s">
        <v>409</v>
      </c>
      <c r="C737" s="49" t="s">
        <v>449</v>
      </c>
      <c r="D737">
        <v>3</v>
      </c>
      <c r="E737" s="49" t="s">
        <v>378</v>
      </c>
    </row>
    <row r="738" spans="1:5" x14ac:dyDescent="0.3">
      <c r="A738" s="49" t="s">
        <v>1845</v>
      </c>
      <c r="B738" s="49" t="s">
        <v>409</v>
      </c>
      <c r="C738" s="49" t="s">
        <v>449</v>
      </c>
      <c r="D738">
        <v>4</v>
      </c>
      <c r="E738" s="49" t="s">
        <v>378</v>
      </c>
    </row>
    <row r="739" spans="1:5" x14ac:dyDescent="0.3">
      <c r="A739" s="49" t="s">
        <v>1845</v>
      </c>
      <c r="B739" s="49" t="s">
        <v>409</v>
      </c>
      <c r="C739" s="49" t="s">
        <v>449</v>
      </c>
      <c r="D739">
        <v>5</v>
      </c>
      <c r="E739" s="49" t="s">
        <v>378</v>
      </c>
    </row>
    <row r="740" spans="1:5" x14ac:dyDescent="0.3">
      <c r="A740" s="49" t="s">
        <v>1845</v>
      </c>
      <c r="B740" s="49" t="s">
        <v>409</v>
      </c>
      <c r="C740" s="49" t="s">
        <v>449</v>
      </c>
      <c r="D740">
        <v>6</v>
      </c>
      <c r="E740" s="49" t="s">
        <v>378</v>
      </c>
    </row>
    <row r="741" spans="1:5" x14ac:dyDescent="0.3">
      <c r="A741" s="49" t="s">
        <v>1845</v>
      </c>
      <c r="B741" s="49" t="s">
        <v>409</v>
      </c>
      <c r="C741" s="49" t="s">
        <v>449</v>
      </c>
      <c r="D741">
        <v>7</v>
      </c>
      <c r="E741" s="49" t="s">
        <v>378</v>
      </c>
    </row>
    <row r="742" spans="1:5" x14ac:dyDescent="0.3">
      <c r="A742" s="49" t="s">
        <v>1845</v>
      </c>
      <c r="B742" s="49" t="s">
        <v>409</v>
      </c>
      <c r="C742" s="49" t="s">
        <v>449</v>
      </c>
      <c r="D742">
        <v>8</v>
      </c>
      <c r="E742" s="49" t="s">
        <v>378</v>
      </c>
    </row>
    <row r="743" spans="1:5" x14ac:dyDescent="0.3">
      <c r="A743" s="49" t="s">
        <v>1846</v>
      </c>
      <c r="B743" s="49" t="s">
        <v>409</v>
      </c>
      <c r="C743" s="49" t="s">
        <v>449</v>
      </c>
      <c r="D743">
        <v>0</v>
      </c>
      <c r="E743" s="49" t="s">
        <v>379</v>
      </c>
    </row>
    <row r="744" spans="1:5" x14ac:dyDescent="0.3">
      <c r="A744" s="49" t="s">
        <v>1846</v>
      </c>
      <c r="B744" s="49" t="s">
        <v>409</v>
      </c>
      <c r="C744" s="49" t="s">
        <v>449</v>
      </c>
      <c r="D744">
        <v>1</v>
      </c>
      <c r="E744" s="49" t="s">
        <v>379</v>
      </c>
    </row>
    <row r="745" spans="1:5" x14ac:dyDescent="0.3">
      <c r="A745" s="49" t="s">
        <v>1846</v>
      </c>
      <c r="B745" s="49" t="s">
        <v>409</v>
      </c>
      <c r="C745" s="49" t="s">
        <v>449</v>
      </c>
      <c r="D745">
        <v>2</v>
      </c>
      <c r="E745" s="49" t="s">
        <v>379</v>
      </c>
    </row>
    <row r="746" spans="1:5" x14ac:dyDescent="0.3">
      <c r="A746" s="49" t="s">
        <v>1846</v>
      </c>
      <c r="B746" s="49" t="s">
        <v>409</v>
      </c>
      <c r="C746" s="49" t="s">
        <v>449</v>
      </c>
      <c r="D746">
        <v>3</v>
      </c>
      <c r="E746" s="49" t="s">
        <v>379</v>
      </c>
    </row>
    <row r="747" spans="1:5" x14ac:dyDescent="0.3">
      <c r="A747" s="49" t="s">
        <v>1846</v>
      </c>
      <c r="B747" s="49" t="s">
        <v>409</v>
      </c>
      <c r="C747" s="49" t="s">
        <v>449</v>
      </c>
      <c r="D747">
        <v>4</v>
      </c>
      <c r="E747" s="49" t="s">
        <v>379</v>
      </c>
    </row>
    <row r="748" spans="1:5" x14ac:dyDescent="0.3">
      <c r="A748" s="49" t="s">
        <v>1846</v>
      </c>
      <c r="B748" s="49" t="s">
        <v>409</v>
      </c>
      <c r="C748" s="49" t="s">
        <v>449</v>
      </c>
      <c r="D748">
        <v>5</v>
      </c>
      <c r="E748" s="49" t="s">
        <v>379</v>
      </c>
    </row>
    <row r="749" spans="1:5" x14ac:dyDescent="0.3">
      <c r="A749" s="49" t="s">
        <v>1846</v>
      </c>
      <c r="B749" s="49" t="s">
        <v>409</v>
      </c>
      <c r="C749" s="49" t="s">
        <v>449</v>
      </c>
      <c r="D749">
        <v>6</v>
      </c>
      <c r="E749" s="49" t="s">
        <v>379</v>
      </c>
    </row>
    <row r="750" spans="1:5" x14ac:dyDescent="0.3">
      <c r="A750" s="49" t="s">
        <v>1846</v>
      </c>
      <c r="B750" s="49" t="s">
        <v>409</v>
      </c>
      <c r="C750" s="49" t="s">
        <v>449</v>
      </c>
      <c r="D750">
        <v>7</v>
      </c>
      <c r="E750" s="49" t="s">
        <v>379</v>
      </c>
    </row>
    <row r="751" spans="1:5" x14ac:dyDescent="0.3">
      <c r="A751" s="49" t="s">
        <v>1846</v>
      </c>
      <c r="B751" s="49" t="s">
        <v>409</v>
      </c>
      <c r="C751" s="49" t="s">
        <v>449</v>
      </c>
      <c r="D751">
        <v>8</v>
      </c>
      <c r="E751" s="49" t="s">
        <v>379</v>
      </c>
    </row>
    <row r="752" spans="1:5" x14ac:dyDescent="0.3">
      <c r="A752" s="49" t="s">
        <v>1847</v>
      </c>
      <c r="B752" s="49" t="s">
        <v>409</v>
      </c>
      <c r="C752" s="49" t="s">
        <v>449</v>
      </c>
      <c r="D752">
        <v>0</v>
      </c>
      <c r="E752" s="49" t="s">
        <v>378</v>
      </c>
    </row>
    <row r="753" spans="1:5" x14ac:dyDescent="0.3">
      <c r="A753" s="49" t="s">
        <v>1847</v>
      </c>
      <c r="B753" s="49" t="s">
        <v>409</v>
      </c>
      <c r="C753" s="49" t="s">
        <v>449</v>
      </c>
      <c r="D753">
        <v>1</v>
      </c>
      <c r="E753" s="49" t="s">
        <v>378</v>
      </c>
    </row>
    <row r="754" spans="1:5" x14ac:dyDescent="0.3">
      <c r="A754" s="49" t="s">
        <v>1847</v>
      </c>
      <c r="B754" s="49" t="s">
        <v>409</v>
      </c>
      <c r="C754" s="49" t="s">
        <v>449</v>
      </c>
      <c r="D754">
        <v>2</v>
      </c>
      <c r="E754" s="49" t="s">
        <v>378</v>
      </c>
    </row>
    <row r="755" spans="1:5" x14ac:dyDescent="0.3">
      <c r="A755" s="49" t="s">
        <v>1847</v>
      </c>
      <c r="B755" s="49" t="s">
        <v>409</v>
      </c>
      <c r="C755" s="49" t="s">
        <v>449</v>
      </c>
      <c r="D755">
        <v>3</v>
      </c>
      <c r="E755" s="49" t="s">
        <v>378</v>
      </c>
    </row>
    <row r="756" spans="1:5" x14ac:dyDescent="0.3">
      <c r="A756" s="49" t="s">
        <v>1847</v>
      </c>
      <c r="B756" s="49" t="s">
        <v>409</v>
      </c>
      <c r="C756" s="49" t="s">
        <v>449</v>
      </c>
      <c r="D756">
        <v>4</v>
      </c>
      <c r="E756" s="49" t="s">
        <v>378</v>
      </c>
    </row>
    <row r="757" spans="1:5" x14ac:dyDescent="0.3">
      <c r="A757" s="49" t="s">
        <v>1847</v>
      </c>
      <c r="B757" s="49" t="s">
        <v>409</v>
      </c>
      <c r="C757" s="49" t="s">
        <v>449</v>
      </c>
      <c r="D757">
        <v>5</v>
      </c>
      <c r="E757" s="49" t="s">
        <v>378</v>
      </c>
    </row>
    <row r="758" spans="1:5" x14ac:dyDescent="0.3">
      <c r="A758" s="49" t="s">
        <v>1847</v>
      </c>
      <c r="B758" s="49" t="s">
        <v>409</v>
      </c>
      <c r="C758" s="49" t="s">
        <v>449</v>
      </c>
      <c r="D758">
        <v>6</v>
      </c>
      <c r="E758" s="49" t="s">
        <v>378</v>
      </c>
    </row>
    <row r="759" spans="1:5" x14ac:dyDescent="0.3">
      <c r="A759" s="49" t="s">
        <v>1847</v>
      </c>
      <c r="B759" s="49" t="s">
        <v>409</v>
      </c>
      <c r="C759" s="49" t="s">
        <v>449</v>
      </c>
      <c r="D759">
        <v>7</v>
      </c>
      <c r="E759" s="49" t="s">
        <v>378</v>
      </c>
    </row>
    <row r="760" spans="1:5" x14ac:dyDescent="0.3">
      <c r="A760" s="49" t="s">
        <v>1847</v>
      </c>
      <c r="B760" s="49" t="s">
        <v>409</v>
      </c>
      <c r="C760" s="49" t="s">
        <v>449</v>
      </c>
      <c r="D760">
        <v>8</v>
      </c>
      <c r="E760" s="49" t="s">
        <v>378</v>
      </c>
    </row>
    <row r="761" spans="1:5" x14ac:dyDescent="0.3">
      <c r="A761" s="49" t="s">
        <v>1848</v>
      </c>
      <c r="B761" s="49" t="s">
        <v>409</v>
      </c>
      <c r="C761" s="49" t="s">
        <v>449</v>
      </c>
      <c r="D761">
        <v>0</v>
      </c>
      <c r="E761" s="49" t="s">
        <v>378</v>
      </c>
    </row>
    <row r="762" spans="1:5" x14ac:dyDescent="0.3">
      <c r="A762" s="49" t="s">
        <v>1848</v>
      </c>
      <c r="B762" s="49" t="s">
        <v>409</v>
      </c>
      <c r="C762" s="49" t="s">
        <v>449</v>
      </c>
      <c r="D762">
        <v>1</v>
      </c>
      <c r="E762" s="49" t="s">
        <v>378</v>
      </c>
    </row>
    <row r="763" spans="1:5" x14ac:dyDescent="0.3">
      <c r="A763" s="49" t="s">
        <v>1848</v>
      </c>
      <c r="B763" s="49" t="s">
        <v>409</v>
      </c>
      <c r="C763" s="49" t="s">
        <v>449</v>
      </c>
      <c r="D763">
        <v>2</v>
      </c>
      <c r="E763" s="49" t="s">
        <v>378</v>
      </c>
    </row>
    <row r="764" spans="1:5" x14ac:dyDescent="0.3">
      <c r="A764" s="49" t="s">
        <v>1848</v>
      </c>
      <c r="B764" s="49" t="s">
        <v>409</v>
      </c>
      <c r="C764" s="49" t="s">
        <v>449</v>
      </c>
      <c r="D764">
        <v>3</v>
      </c>
      <c r="E764" s="49" t="s">
        <v>378</v>
      </c>
    </row>
    <row r="765" spans="1:5" x14ac:dyDescent="0.3">
      <c r="A765" s="49" t="s">
        <v>1848</v>
      </c>
      <c r="B765" s="49" t="s">
        <v>409</v>
      </c>
      <c r="C765" s="49" t="s">
        <v>449</v>
      </c>
      <c r="D765">
        <v>4</v>
      </c>
      <c r="E765" s="49" t="s">
        <v>378</v>
      </c>
    </row>
    <row r="766" spans="1:5" x14ac:dyDescent="0.3">
      <c r="A766" s="49" t="s">
        <v>1848</v>
      </c>
      <c r="B766" s="49" t="s">
        <v>409</v>
      </c>
      <c r="C766" s="49" t="s">
        <v>449</v>
      </c>
      <c r="D766">
        <v>5</v>
      </c>
      <c r="E766" s="49" t="s">
        <v>378</v>
      </c>
    </row>
    <row r="767" spans="1:5" x14ac:dyDescent="0.3">
      <c r="A767" s="49" t="s">
        <v>1848</v>
      </c>
      <c r="B767" s="49" t="s">
        <v>409</v>
      </c>
      <c r="C767" s="49" t="s">
        <v>449</v>
      </c>
      <c r="D767">
        <v>6</v>
      </c>
      <c r="E767" s="49" t="s">
        <v>378</v>
      </c>
    </row>
    <row r="768" spans="1:5" x14ac:dyDescent="0.3">
      <c r="A768" s="49" t="s">
        <v>1848</v>
      </c>
      <c r="B768" s="49" t="s">
        <v>409</v>
      </c>
      <c r="C768" s="49" t="s">
        <v>449</v>
      </c>
      <c r="D768">
        <v>7</v>
      </c>
      <c r="E768" s="49" t="s">
        <v>378</v>
      </c>
    </row>
    <row r="769" spans="1:5" x14ac:dyDescent="0.3">
      <c r="A769" s="49" t="s">
        <v>1848</v>
      </c>
      <c r="B769" s="49" t="s">
        <v>409</v>
      </c>
      <c r="C769" s="49" t="s">
        <v>449</v>
      </c>
      <c r="D769">
        <v>8</v>
      </c>
      <c r="E769" s="49" t="s">
        <v>378</v>
      </c>
    </row>
    <row r="770" spans="1:5" x14ac:dyDescent="0.3">
      <c r="A770" s="49" t="s">
        <v>387</v>
      </c>
      <c r="B770" s="49" t="s">
        <v>257</v>
      </c>
      <c r="C770" s="49" t="s">
        <v>449</v>
      </c>
      <c r="D770">
        <v>1</v>
      </c>
      <c r="E770" s="49" t="s">
        <v>379</v>
      </c>
    </row>
    <row r="771" spans="1:5" x14ac:dyDescent="0.3">
      <c r="A771" s="49" t="s">
        <v>801</v>
      </c>
      <c r="B771" s="49" t="s">
        <v>578</v>
      </c>
      <c r="C771" s="49" t="s">
        <v>449</v>
      </c>
      <c r="D771">
        <v>98</v>
      </c>
      <c r="E771" s="49" t="s">
        <v>378</v>
      </c>
    </row>
    <row r="772" spans="1:5" x14ac:dyDescent="0.3">
      <c r="A772" s="49" t="s">
        <v>801</v>
      </c>
      <c r="B772" s="49" t="s">
        <v>578</v>
      </c>
      <c r="C772" s="49" t="s">
        <v>449</v>
      </c>
      <c r="D772">
        <v>99</v>
      </c>
      <c r="E772" s="49" t="s">
        <v>378</v>
      </c>
    </row>
    <row r="773" spans="1:5" x14ac:dyDescent="0.3">
      <c r="A773" s="49" t="s">
        <v>802</v>
      </c>
      <c r="B773" s="49" t="s">
        <v>578</v>
      </c>
      <c r="C773" s="49" t="s">
        <v>449</v>
      </c>
      <c r="D773">
        <v>98</v>
      </c>
      <c r="E773" s="49" t="s">
        <v>378</v>
      </c>
    </row>
    <row r="774" spans="1:5" x14ac:dyDescent="0.3">
      <c r="A774" s="49" t="s">
        <v>802</v>
      </c>
      <c r="B774" s="49" t="s">
        <v>578</v>
      </c>
      <c r="C774" s="49" t="s">
        <v>449</v>
      </c>
      <c r="D774">
        <v>99</v>
      </c>
      <c r="E774" s="49" t="s">
        <v>378</v>
      </c>
    </row>
    <row r="775" spans="1:5" x14ac:dyDescent="0.3">
      <c r="A775" s="49" t="s">
        <v>803</v>
      </c>
      <c r="B775" s="49" t="s">
        <v>578</v>
      </c>
      <c r="C775" s="49" t="s">
        <v>449</v>
      </c>
      <c r="D775">
        <v>98</v>
      </c>
      <c r="E775" s="49" t="s">
        <v>378</v>
      </c>
    </row>
    <row r="776" spans="1:5" x14ac:dyDescent="0.3">
      <c r="A776" s="49" t="s">
        <v>803</v>
      </c>
      <c r="B776" s="49" t="s">
        <v>578</v>
      </c>
      <c r="C776" s="49" t="s">
        <v>449</v>
      </c>
      <c r="D776">
        <v>99</v>
      </c>
      <c r="E776" s="49" t="s">
        <v>378</v>
      </c>
    </row>
    <row r="777" spans="1:5" x14ac:dyDescent="0.3">
      <c r="A777" s="49" t="s">
        <v>804</v>
      </c>
      <c r="B777" s="49" t="s">
        <v>578</v>
      </c>
      <c r="C777" s="49" t="s">
        <v>449</v>
      </c>
      <c r="D777">
        <v>98</v>
      </c>
      <c r="E777" s="49" t="s">
        <v>378</v>
      </c>
    </row>
    <row r="778" spans="1:5" x14ac:dyDescent="0.3">
      <c r="A778" s="49" t="s">
        <v>804</v>
      </c>
      <c r="B778" s="49" t="s">
        <v>578</v>
      </c>
      <c r="C778" s="49" t="s">
        <v>449</v>
      </c>
      <c r="D778">
        <v>99</v>
      </c>
      <c r="E778" s="49" t="s">
        <v>378</v>
      </c>
    </row>
    <row r="779" spans="1:5" x14ac:dyDescent="0.3">
      <c r="A779" s="49" t="s">
        <v>805</v>
      </c>
      <c r="B779" s="49" t="s">
        <v>578</v>
      </c>
      <c r="C779" s="49" t="s">
        <v>449</v>
      </c>
      <c r="D779">
        <v>98</v>
      </c>
      <c r="E779" s="49" t="s">
        <v>378</v>
      </c>
    </row>
    <row r="780" spans="1:5" x14ac:dyDescent="0.3">
      <c r="A780" s="49" t="s">
        <v>805</v>
      </c>
      <c r="B780" s="49" t="s">
        <v>578</v>
      </c>
      <c r="C780" s="49" t="s">
        <v>449</v>
      </c>
      <c r="D780">
        <v>99</v>
      </c>
      <c r="E780" s="49" t="s">
        <v>378</v>
      </c>
    </row>
    <row r="781" spans="1:5" x14ac:dyDescent="0.3">
      <c r="A781" s="49" t="s">
        <v>806</v>
      </c>
      <c r="B781" s="49" t="s">
        <v>578</v>
      </c>
      <c r="C781" s="49" t="s">
        <v>449</v>
      </c>
      <c r="D781">
        <v>98</v>
      </c>
      <c r="E781" s="49" t="s">
        <v>378</v>
      </c>
    </row>
    <row r="782" spans="1:5" x14ac:dyDescent="0.3">
      <c r="A782" s="49" t="s">
        <v>806</v>
      </c>
      <c r="B782" s="49" t="s">
        <v>578</v>
      </c>
      <c r="C782" s="49" t="s">
        <v>449</v>
      </c>
      <c r="D782">
        <v>99</v>
      </c>
      <c r="E782" s="49" t="s">
        <v>378</v>
      </c>
    </row>
    <row r="783" spans="1:5" x14ac:dyDescent="0.3">
      <c r="A783" s="49" t="s">
        <v>807</v>
      </c>
      <c r="B783" s="49" t="s">
        <v>578</v>
      </c>
      <c r="C783" s="49" t="s">
        <v>449</v>
      </c>
      <c r="D783">
        <v>98</v>
      </c>
      <c r="E783" s="49" t="s">
        <v>378</v>
      </c>
    </row>
    <row r="784" spans="1:5" x14ac:dyDescent="0.3">
      <c r="A784" s="49" t="s">
        <v>807</v>
      </c>
      <c r="B784" s="49" t="s">
        <v>578</v>
      </c>
      <c r="C784" s="49" t="s">
        <v>449</v>
      </c>
      <c r="D784">
        <v>99</v>
      </c>
      <c r="E784" s="49" t="s">
        <v>378</v>
      </c>
    </row>
    <row r="785" spans="1:5" x14ac:dyDescent="0.3">
      <c r="A785" s="49" t="s">
        <v>808</v>
      </c>
      <c r="B785" s="49" t="s">
        <v>578</v>
      </c>
      <c r="C785" s="49" t="s">
        <v>449</v>
      </c>
      <c r="D785">
        <v>98</v>
      </c>
      <c r="E785" s="49" t="s">
        <v>378</v>
      </c>
    </row>
    <row r="786" spans="1:5" x14ac:dyDescent="0.3">
      <c r="A786" s="49" t="s">
        <v>808</v>
      </c>
      <c r="B786" s="49" t="s">
        <v>578</v>
      </c>
      <c r="C786" s="49" t="s">
        <v>449</v>
      </c>
      <c r="D786">
        <v>99</v>
      </c>
      <c r="E786" s="49" t="s">
        <v>378</v>
      </c>
    </row>
    <row r="787" spans="1:5" x14ac:dyDescent="0.3">
      <c r="A787" s="49" t="s">
        <v>809</v>
      </c>
      <c r="B787" s="49" t="s">
        <v>578</v>
      </c>
      <c r="C787" s="49" t="s">
        <v>449</v>
      </c>
      <c r="D787">
        <v>98</v>
      </c>
      <c r="E787" s="49" t="s">
        <v>378</v>
      </c>
    </row>
    <row r="788" spans="1:5" x14ac:dyDescent="0.3">
      <c r="A788" s="49" t="s">
        <v>809</v>
      </c>
      <c r="B788" s="49" t="s">
        <v>578</v>
      </c>
      <c r="C788" s="49" t="s">
        <v>449</v>
      </c>
      <c r="D788">
        <v>99</v>
      </c>
      <c r="E788" s="49" t="s">
        <v>378</v>
      </c>
    </row>
    <row r="789" spans="1:5" x14ac:dyDescent="0.3">
      <c r="A789" s="49" t="s">
        <v>810</v>
      </c>
      <c r="B789" s="49" t="s">
        <v>578</v>
      </c>
      <c r="C789" s="49" t="s">
        <v>449</v>
      </c>
      <c r="D789">
        <v>98</v>
      </c>
      <c r="E789" s="49" t="s">
        <v>378</v>
      </c>
    </row>
    <row r="790" spans="1:5" x14ac:dyDescent="0.3">
      <c r="A790" s="49" t="s">
        <v>810</v>
      </c>
      <c r="B790" s="49" t="s">
        <v>578</v>
      </c>
      <c r="C790" s="49" t="s">
        <v>449</v>
      </c>
      <c r="D790">
        <v>99</v>
      </c>
      <c r="E790" s="49" t="s">
        <v>378</v>
      </c>
    </row>
    <row r="791" spans="1:5" x14ac:dyDescent="0.3">
      <c r="A791" s="49" t="s">
        <v>811</v>
      </c>
      <c r="B791" s="49" t="s">
        <v>578</v>
      </c>
      <c r="C791" s="49" t="s">
        <v>449</v>
      </c>
      <c r="D791">
        <v>98</v>
      </c>
      <c r="E791" s="49" t="s">
        <v>378</v>
      </c>
    </row>
    <row r="792" spans="1:5" x14ac:dyDescent="0.3">
      <c r="A792" s="49" t="s">
        <v>811</v>
      </c>
      <c r="B792" s="49" t="s">
        <v>578</v>
      </c>
      <c r="C792" s="49" t="s">
        <v>449</v>
      </c>
      <c r="D792">
        <v>99</v>
      </c>
      <c r="E792" s="49" t="s">
        <v>378</v>
      </c>
    </row>
    <row r="793" spans="1:5" x14ac:dyDescent="0.3">
      <c r="A793" s="49" t="s">
        <v>812</v>
      </c>
      <c r="B793" s="49" t="s">
        <v>578</v>
      </c>
      <c r="C793" s="49" t="s">
        <v>449</v>
      </c>
      <c r="D793">
        <v>98</v>
      </c>
      <c r="E793" s="49" t="s">
        <v>378</v>
      </c>
    </row>
    <row r="794" spans="1:5" x14ac:dyDescent="0.3">
      <c r="A794" s="49" t="s">
        <v>812</v>
      </c>
      <c r="B794" s="49" t="s">
        <v>578</v>
      </c>
      <c r="C794" s="49" t="s">
        <v>449</v>
      </c>
      <c r="D794">
        <v>99</v>
      </c>
      <c r="E794" s="49" t="s">
        <v>378</v>
      </c>
    </row>
    <row r="795" spans="1:5" x14ac:dyDescent="0.3">
      <c r="A795" s="49" t="s">
        <v>813</v>
      </c>
      <c r="B795" s="49" t="s">
        <v>578</v>
      </c>
      <c r="C795" s="49" t="s">
        <v>449</v>
      </c>
      <c r="D795">
        <v>98</v>
      </c>
      <c r="E795" s="49" t="s">
        <v>378</v>
      </c>
    </row>
    <row r="796" spans="1:5" x14ac:dyDescent="0.3">
      <c r="A796" s="49" t="s">
        <v>813</v>
      </c>
      <c r="B796" s="49" t="s">
        <v>578</v>
      </c>
      <c r="C796" s="49" t="s">
        <v>449</v>
      </c>
      <c r="D796">
        <v>99</v>
      </c>
      <c r="E796" s="49" t="s">
        <v>378</v>
      </c>
    </row>
    <row r="797" spans="1:5" x14ac:dyDescent="0.3">
      <c r="A797" s="49" t="s">
        <v>814</v>
      </c>
      <c r="B797" s="49" t="s">
        <v>578</v>
      </c>
      <c r="C797" s="49" t="s">
        <v>449</v>
      </c>
      <c r="D797">
        <v>98</v>
      </c>
      <c r="E797" s="49" t="s">
        <v>378</v>
      </c>
    </row>
    <row r="798" spans="1:5" x14ac:dyDescent="0.3">
      <c r="A798" s="49" t="s">
        <v>814</v>
      </c>
      <c r="B798" s="49" t="s">
        <v>578</v>
      </c>
      <c r="C798" s="49" t="s">
        <v>449</v>
      </c>
      <c r="D798">
        <v>99</v>
      </c>
      <c r="E798" s="49" t="s">
        <v>378</v>
      </c>
    </row>
    <row r="799" spans="1:5" x14ac:dyDescent="0.3">
      <c r="A799" s="49" t="s">
        <v>815</v>
      </c>
      <c r="B799" s="49" t="s">
        <v>578</v>
      </c>
      <c r="C799" s="49" t="s">
        <v>449</v>
      </c>
      <c r="D799">
        <v>98</v>
      </c>
      <c r="E799" s="49" t="s">
        <v>378</v>
      </c>
    </row>
    <row r="800" spans="1:5" x14ac:dyDescent="0.3">
      <c r="A800" s="49" t="s">
        <v>815</v>
      </c>
      <c r="B800" s="49" t="s">
        <v>578</v>
      </c>
      <c r="C800" s="49" t="s">
        <v>449</v>
      </c>
      <c r="D800">
        <v>99</v>
      </c>
      <c r="E800" s="49" t="s">
        <v>378</v>
      </c>
    </row>
    <row r="801" spans="1:5" x14ac:dyDescent="0.3">
      <c r="A801" s="49" t="s">
        <v>816</v>
      </c>
      <c r="B801" s="49" t="s">
        <v>578</v>
      </c>
      <c r="C801" s="49" t="s">
        <v>449</v>
      </c>
      <c r="D801">
        <v>98</v>
      </c>
      <c r="E801" s="49" t="s">
        <v>378</v>
      </c>
    </row>
    <row r="802" spans="1:5" x14ac:dyDescent="0.3">
      <c r="A802" s="49" t="s">
        <v>816</v>
      </c>
      <c r="B802" s="49" t="s">
        <v>578</v>
      </c>
      <c r="C802" s="49" t="s">
        <v>449</v>
      </c>
      <c r="D802">
        <v>99</v>
      </c>
      <c r="E802" s="49" t="s">
        <v>378</v>
      </c>
    </row>
    <row r="803" spans="1:5" x14ac:dyDescent="0.3">
      <c r="A803" s="49" t="s">
        <v>817</v>
      </c>
      <c r="B803" s="49" t="s">
        <v>578</v>
      </c>
      <c r="C803" s="49" t="s">
        <v>449</v>
      </c>
      <c r="D803">
        <v>98</v>
      </c>
      <c r="E803" s="49" t="s">
        <v>378</v>
      </c>
    </row>
    <row r="804" spans="1:5" x14ac:dyDescent="0.3">
      <c r="A804" s="49" t="s">
        <v>817</v>
      </c>
      <c r="B804" s="49" t="s">
        <v>578</v>
      </c>
      <c r="C804" s="49" t="s">
        <v>449</v>
      </c>
      <c r="D804">
        <v>99</v>
      </c>
      <c r="E804" s="49" t="s">
        <v>378</v>
      </c>
    </row>
    <row r="805" spans="1:5" x14ac:dyDescent="0.3">
      <c r="A805" s="49" t="s">
        <v>818</v>
      </c>
      <c r="B805" s="49" t="s">
        <v>578</v>
      </c>
      <c r="C805" s="49" t="s">
        <v>449</v>
      </c>
      <c r="D805">
        <v>98</v>
      </c>
      <c r="E805" s="49" t="s">
        <v>378</v>
      </c>
    </row>
    <row r="806" spans="1:5" x14ac:dyDescent="0.3">
      <c r="A806" s="49" t="s">
        <v>818</v>
      </c>
      <c r="B806" s="49" t="s">
        <v>578</v>
      </c>
      <c r="C806" s="49" t="s">
        <v>449</v>
      </c>
      <c r="D806">
        <v>99</v>
      </c>
      <c r="E806" s="49" t="s">
        <v>378</v>
      </c>
    </row>
    <row r="807" spans="1:5" x14ac:dyDescent="0.3">
      <c r="A807" s="49" t="s">
        <v>819</v>
      </c>
      <c r="B807" s="49" t="s">
        <v>578</v>
      </c>
      <c r="C807" s="49" t="s">
        <v>449</v>
      </c>
      <c r="D807">
        <v>98</v>
      </c>
      <c r="E807" s="49" t="s">
        <v>378</v>
      </c>
    </row>
    <row r="808" spans="1:5" x14ac:dyDescent="0.3">
      <c r="A808" s="49" t="s">
        <v>819</v>
      </c>
      <c r="B808" s="49" t="s">
        <v>578</v>
      </c>
      <c r="C808" s="49" t="s">
        <v>449</v>
      </c>
      <c r="D808">
        <v>99</v>
      </c>
      <c r="E808" s="49" t="s">
        <v>378</v>
      </c>
    </row>
    <row r="809" spans="1:5" x14ac:dyDescent="0.3">
      <c r="A809" s="49" t="s">
        <v>820</v>
      </c>
      <c r="B809" s="49" t="s">
        <v>578</v>
      </c>
      <c r="C809" s="49" t="s">
        <v>449</v>
      </c>
      <c r="D809">
        <v>98</v>
      </c>
      <c r="E809" s="49" t="s">
        <v>378</v>
      </c>
    </row>
    <row r="810" spans="1:5" x14ac:dyDescent="0.3">
      <c r="A810" s="49" t="s">
        <v>820</v>
      </c>
      <c r="B810" s="49" t="s">
        <v>578</v>
      </c>
      <c r="C810" s="49" t="s">
        <v>449</v>
      </c>
      <c r="D810">
        <v>99</v>
      </c>
      <c r="E810" s="49" t="s">
        <v>378</v>
      </c>
    </row>
    <row r="811" spans="1:5" x14ac:dyDescent="0.3">
      <c r="A811" s="49" t="s">
        <v>821</v>
      </c>
      <c r="B811" s="49" t="s">
        <v>578</v>
      </c>
      <c r="C811" s="49" t="s">
        <v>449</v>
      </c>
      <c r="D811">
        <v>98</v>
      </c>
      <c r="E811" s="49" t="s">
        <v>378</v>
      </c>
    </row>
    <row r="812" spans="1:5" x14ac:dyDescent="0.3">
      <c r="A812" s="49" t="s">
        <v>821</v>
      </c>
      <c r="B812" s="49" t="s">
        <v>578</v>
      </c>
      <c r="C812" s="49" t="s">
        <v>449</v>
      </c>
      <c r="D812">
        <v>99</v>
      </c>
      <c r="E812" s="49" t="s">
        <v>378</v>
      </c>
    </row>
    <row r="813" spans="1:5" x14ac:dyDescent="0.3">
      <c r="A813" s="49" t="s">
        <v>822</v>
      </c>
      <c r="B813" s="49" t="s">
        <v>578</v>
      </c>
      <c r="C813" s="49" t="s">
        <v>449</v>
      </c>
      <c r="D813">
        <v>98</v>
      </c>
      <c r="E813" s="49" t="s">
        <v>378</v>
      </c>
    </row>
    <row r="814" spans="1:5" x14ac:dyDescent="0.3">
      <c r="A814" s="49" t="s">
        <v>822</v>
      </c>
      <c r="B814" s="49" t="s">
        <v>578</v>
      </c>
      <c r="C814" s="49" t="s">
        <v>449</v>
      </c>
      <c r="D814">
        <v>99</v>
      </c>
      <c r="E814" s="49" t="s">
        <v>378</v>
      </c>
    </row>
    <row r="815" spans="1:5" x14ac:dyDescent="0.3">
      <c r="A815" s="49" t="s">
        <v>823</v>
      </c>
      <c r="B815" s="49" t="s">
        <v>578</v>
      </c>
      <c r="C815" s="49" t="s">
        <v>449</v>
      </c>
      <c r="D815">
        <v>98</v>
      </c>
      <c r="E815" s="49" t="s">
        <v>378</v>
      </c>
    </row>
    <row r="816" spans="1:5" x14ac:dyDescent="0.3">
      <c r="A816" s="49" t="s">
        <v>823</v>
      </c>
      <c r="B816" s="49" t="s">
        <v>578</v>
      </c>
      <c r="C816" s="49" t="s">
        <v>449</v>
      </c>
      <c r="D816">
        <v>99</v>
      </c>
      <c r="E816" s="49" t="s">
        <v>378</v>
      </c>
    </row>
    <row r="817" spans="1:5" x14ac:dyDescent="0.3">
      <c r="A817" s="49" t="s">
        <v>824</v>
      </c>
      <c r="B817" s="49" t="s">
        <v>578</v>
      </c>
      <c r="C817" s="49" t="s">
        <v>449</v>
      </c>
      <c r="D817">
        <v>98</v>
      </c>
      <c r="E817" s="49" t="s">
        <v>378</v>
      </c>
    </row>
    <row r="818" spans="1:5" x14ac:dyDescent="0.3">
      <c r="A818" s="49" t="s">
        <v>824</v>
      </c>
      <c r="B818" s="49" t="s">
        <v>578</v>
      </c>
      <c r="C818" s="49" t="s">
        <v>449</v>
      </c>
      <c r="D818">
        <v>99</v>
      </c>
      <c r="E818" s="49" t="s">
        <v>378</v>
      </c>
    </row>
    <row r="819" spans="1:5" x14ac:dyDescent="0.3">
      <c r="A819" s="49" t="s">
        <v>825</v>
      </c>
      <c r="B819" s="49" t="s">
        <v>578</v>
      </c>
      <c r="C819" s="49" t="s">
        <v>449</v>
      </c>
      <c r="D819">
        <v>98</v>
      </c>
      <c r="E819" s="49" t="s">
        <v>378</v>
      </c>
    </row>
    <row r="820" spans="1:5" x14ac:dyDescent="0.3">
      <c r="A820" s="49" t="s">
        <v>825</v>
      </c>
      <c r="B820" s="49" t="s">
        <v>578</v>
      </c>
      <c r="C820" s="49" t="s">
        <v>449</v>
      </c>
      <c r="D820">
        <v>99</v>
      </c>
      <c r="E820" s="49" t="s">
        <v>378</v>
      </c>
    </row>
    <row r="821" spans="1:5" x14ac:dyDescent="0.3">
      <c r="A821" s="49" t="s">
        <v>826</v>
      </c>
      <c r="B821" s="49" t="s">
        <v>578</v>
      </c>
      <c r="C821" s="49" t="s">
        <v>449</v>
      </c>
      <c r="D821">
        <v>98</v>
      </c>
      <c r="E821" s="49" t="s">
        <v>378</v>
      </c>
    </row>
    <row r="822" spans="1:5" x14ac:dyDescent="0.3">
      <c r="A822" s="49" t="s">
        <v>826</v>
      </c>
      <c r="B822" s="49" t="s">
        <v>578</v>
      </c>
      <c r="C822" s="49" t="s">
        <v>449</v>
      </c>
      <c r="D822">
        <v>99</v>
      </c>
      <c r="E822" s="49" t="s">
        <v>378</v>
      </c>
    </row>
    <row r="823" spans="1:5" x14ac:dyDescent="0.3">
      <c r="A823" s="49" t="s">
        <v>827</v>
      </c>
      <c r="B823" s="49" t="s">
        <v>578</v>
      </c>
      <c r="C823" s="49" t="s">
        <v>449</v>
      </c>
      <c r="D823">
        <v>98</v>
      </c>
      <c r="E823" s="49" t="s">
        <v>378</v>
      </c>
    </row>
    <row r="824" spans="1:5" x14ac:dyDescent="0.3">
      <c r="A824" s="49" t="s">
        <v>827</v>
      </c>
      <c r="B824" s="49" t="s">
        <v>578</v>
      </c>
      <c r="C824" s="49" t="s">
        <v>449</v>
      </c>
      <c r="D824">
        <v>99</v>
      </c>
      <c r="E824" s="49" t="s">
        <v>378</v>
      </c>
    </row>
    <row r="825" spans="1:5" x14ac:dyDescent="0.3">
      <c r="A825" s="49" t="s">
        <v>828</v>
      </c>
      <c r="B825" s="49" t="s">
        <v>578</v>
      </c>
      <c r="C825" s="49" t="s">
        <v>449</v>
      </c>
      <c r="D825">
        <v>98</v>
      </c>
      <c r="E825" s="49" t="s">
        <v>378</v>
      </c>
    </row>
    <row r="826" spans="1:5" x14ac:dyDescent="0.3">
      <c r="A826" s="49" t="s">
        <v>828</v>
      </c>
      <c r="B826" s="49" t="s">
        <v>578</v>
      </c>
      <c r="C826" s="49" t="s">
        <v>449</v>
      </c>
      <c r="D826">
        <v>99</v>
      </c>
      <c r="E826" s="49" t="s">
        <v>378</v>
      </c>
    </row>
    <row r="827" spans="1:5" x14ac:dyDescent="0.3">
      <c r="A827" s="49" t="s">
        <v>829</v>
      </c>
      <c r="B827" s="49" t="s">
        <v>578</v>
      </c>
      <c r="C827" s="49" t="s">
        <v>449</v>
      </c>
      <c r="D827">
        <v>98</v>
      </c>
      <c r="E827" s="49" t="s">
        <v>378</v>
      </c>
    </row>
    <row r="828" spans="1:5" x14ac:dyDescent="0.3">
      <c r="A828" s="49" t="s">
        <v>829</v>
      </c>
      <c r="B828" s="49" t="s">
        <v>578</v>
      </c>
      <c r="C828" s="49" t="s">
        <v>449</v>
      </c>
      <c r="D828">
        <v>99</v>
      </c>
      <c r="E828" s="49" t="s">
        <v>378</v>
      </c>
    </row>
    <row r="829" spans="1:5" x14ac:dyDescent="0.3">
      <c r="A829" s="49" t="s">
        <v>830</v>
      </c>
      <c r="B829" s="49" t="s">
        <v>578</v>
      </c>
      <c r="C829" s="49" t="s">
        <v>449</v>
      </c>
      <c r="D829">
        <v>98</v>
      </c>
      <c r="E829" s="49" t="s">
        <v>378</v>
      </c>
    </row>
    <row r="830" spans="1:5" x14ac:dyDescent="0.3">
      <c r="A830" s="49" t="s">
        <v>830</v>
      </c>
      <c r="B830" s="49" t="s">
        <v>578</v>
      </c>
      <c r="C830" s="49" t="s">
        <v>449</v>
      </c>
      <c r="D830">
        <v>99</v>
      </c>
      <c r="E830" s="49" t="s">
        <v>378</v>
      </c>
    </row>
    <row r="831" spans="1:5" x14ac:dyDescent="0.3">
      <c r="A831" s="49" t="s">
        <v>831</v>
      </c>
      <c r="B831" s="49" t="s">
        <v>578</v>
      </c>
      <c r="C831" s="49" t="s">
        <v>449</v>
      </c>
      <c r="D831">
        <v>98</v>
      </c>
      <c r="E831" s="49" t="s">
        <v>378</v>
      </c>
    </row>
    <row r="832" spans="1:5" x14ac:dyDescent="0.3">
      <c r="A832" s="49" t="s">
        <v>831</v>
      </c>
      <c r="B832" s="49" t="s">
        <v>578</v>
      </c>
      <c r="C832" s="49" t="s">
        <v>449</v>
      </c>
      <c r="D832">
        <v>99</v>
      </c>
      <c r="E832" s="49" t="s">
        <v>378</v>
      </c>
    </row>
    <row r="833" spans="1:5" x14ac:dyDescent="0.3">
      <c r="A833" s="49" t="s">
        <v>832</v>
      </c>
      <c r="B833" s="49" t="s">
        <v>578</v>
      </c>
      <c r="C833" s="49" t="s">
        <v>449</v>
      </c>
      <c r="D833">
        <v>98</v>
      </c>
      <c r="E833" s="49" t="s">
        <v>378</v>
      </c>
    </row>
    <row r="834" spans="1:5" x14ac:dyDescent="0.3">
      <c r="A834" s="49" t="s">
        <v>832</v>
      </c>
      <c r="B834" s="49" t="s">
        <v>578</v>
      </c>
      <c r="C834" s="49" t="s">
        <v>449</v>
      </c>
      <c r="D834">
        <v>99</v>
      </c>
      <c r="E834" s="49" t="s">
        <v>378</v>
      </c>
    </row>
    <row r="835" spans="1:5" x14ac:dyDescent="0.3">
      <c r="A835" s="49" t="s">
        <v>833</v>
      </c>
      <c r="B835" s="49" t="s">
        <v>578</v>
      </c>
      <c r="C835" s="49" t="s">
        <v>449</v>
      </c>
      <c r="D835">
        <v>98</v>
      </c>
      <c r="E835" s="49" t="s">
        <v>378</v>
      </c>
    </row>
    <row r="836" spans="1:5" x14ac:dyDescent="0.3">
      <c r="A836" s="49" t="s">
        <v>833</v>
      </c>
      <c r="B836" s="49" t="s">
        <v>578</v>
      </c>
      <c r="C836" s="49" t="s">
        <v>449</v>
      </c>
      <c r="D836">
        <v>99</v>
      </c>
      <c r="E836" s="49" t="s">
        <v>378</v>
      </c>
    </row>
    <row r="837" spans="1:5" x14ac:dyDescent="0.3">
      <c r="A837" s="49" t="s">
        <v>834</v>
      </c>
      <c r="B837" s="49" t="s">
        <v>578</v>
      </c>
      <c r="C837" s="49" t="s">
        <v>449</v>
      </c>
      <c r="D837">
        <v>98</v>
      </c>
      <c r="E837" s="49" t="s">
        <v>378</v>
      </c>
    </row>
    <row r="838" spans="1:5" x14ac:dyDescent="0.3">
      <c r="A838" s="49" t="s">
        <v>834</v>
      </c>
      <c r="B838" s="49" t="s">
        <v>578</v>
      </c>
      <c r="C838" s="49" t="s">
        <v>449</v>
      </c>
      <c r="D838">
        <v>99</v>
      </c>
      <c r="E838" s="49" t="s">
        <v>378</v>
      </c>
    </row>
    <row r="839" spans="1:5" x14ac:dyDescent="0.3">
      <c r="A839" s="49" t="s">
        <v>835</v>
      </c>
      <c r="B839" s="49" t="s">
        <v>578</v>
      </c>
      <c r="C839" s="49" t="s">
        <v>449</v>
      </c>
      <c r="D839">
        <v>98</v>
      </c>
      <c r="E839" s="49" t="s">
        <v>378</v>
      </c>
    </row>
    <row r="840" spans="1:5" x14ac:dyDescent="0.3">
      <c r="A840" s="49" t="s">
        <v>835</v>
      </c>
      <c r="B840" s="49" t="s">
        <v>578</v>
      </c>
      <c r="C840" s="49" t="s">
        <v>449</v>
      </c>
      <c r="D840">
        <v>99</v>
      </c>
      <c r="E840" s="49" t="s">
        <v>378</v>
      </c>
    </row>
    <row r="841" spans="1:5" x14ac:dyDescent="0.3">
      <c r="A841" s="49" t="s">
        <v>836</v>
      </c>
      <c r="B841" s="49" t="s">
        <v>578</v>
      </c>
      <c r="C841" s="49" t="s">
        <v>449</v>
      </c>
      <c r="D841">
        <v>98</v>
      </c>
      <c r="E841" s="49" t="s">
        <v>378</v>
      </c>
    </row>
    <row r="842" spans="1:5" x14ac:dyDescent="0.3">
      <c r="A842" s="49" t="s">
        <v>836</v>
      </c>
      <c r="B842" s="49" t="s">
        <v>578</v>
      </c>
      <c r="C842" s="49" t="s">
        <v>449</v>
      </c>
      <c r="D842">
        <v>99</v>
      </c>
      <c r="E842" s="49" t="s">
        <v>378</v>
      </c>
    </row>
    <row r="843" spans="1:5" x14ac:dyDescent="0.3">
      <c r="A843" s="49" t="s">
        <v>837</v>
      </c>
      <c r="B843" s="49" t="s">
        <v>578</v>
      </c>
      <c r="C843" s="49" t="s">
        <v>449</v>
      </c>
      <c r="D843">
        <v>98</v>
      </c>
      <c r="E843" s="49" t="s">
        <v>378</v>
      </c>
    </row>
    <row r="844" spans="1:5" x14ac:dyDescent="0.3">
      <c r="A844" s="49" t="s">
        <v>837</v>
      </c>
      <c r="B844" s="49" t="s">
        <v>578</v>
      </c>
      <c r="C844" s="49" t="s">
        <v>449</v>
      </c>
      <c r="D844">
        <v>99</v>
      </c>
      <c r="E844" s="49" t="s">
        <v>378</v>
      </c>
    </row>
    <row r="845" spans="1:5" x14ac:dyDescent="0.3">
      <c r="A845" s="49" t="s">
        <v>838</v>
      </c>
      <c r="B845" s="49" t="s">
        <v>578</v>
      </c>
      <c r="C845" s="49" t="s">
        <v>449</v>
      </c>
      <c r="D845">
        <v>98</v>
      </c>
      <c r="E845" s="49" t="s">
        <v>378</v>
      </c>
    </row>
    <row r="846" spans="1:5" x14ac:dyDescent="0.3">
      <c r="A846" s="49" t="s">
        <v>838</v>
      </c>
      <c r="B846" s="49" t="s">
        <v>578</v>
      </c>
      <c r="C846" s="49" t="s">
        <v>449</v>
      </c>
      <c r="D846">
        <v>99</v>
      </c>
      <c r="E846" s="49" t="s">
        <v>378</v>
      </c>
    </row>
    <row r="847" spans="1:5" x14ac:dyDescent="0.3">
      <c r="A847" s="49" t="s">
        <v>839</v>
      </c>
      <c r="B847" s="49" t="s">
        <v>578</v>
      </c>
      <c r="C847" s="49" t="s">
        <v>449</v>
      </c>
      <c r="D847">
        <v>98</v>
      </c>
      <c r="E847" s="49" t="s">
        <v>378</v>
      </c>
    </row>
    <row r="848" spans="1:5" x14ac:dyDescent="0.3">
      <c r="A848" s="49" t="s">
        <v>839</v>
      </c>
      <c r="B848" s="49" t="s">
        <v>578</v>
      </c>
      <c r="C848" s="49" t="s">
        <v>449</v>
      </c>
      <c r="D848">
        <v>99</v>
      </c>
      <c r="E848" s="49" t="s">
        <v>378</v>
      </c>
    </row>
    <row r="849" spans="1:5" x14ac:dyDescent="0.3">
      <c r="A849" s="49" t="s">
        <v>840</v>
      </c>
      <c r="B849" s="49" t="s">
        <v>578</v>
      </c>
      <c r="C849" s="49" t="s">
        <v>449</v>
      </c>
      <c r="D849">
        <v>98</v>
      </c>
      <c r="E849" s="49" t="s">
        <v>378</v>
      </c>
    </row>
    <row r="850" spans="1:5" x14ac:dyDescent="0.3">
      <c r="A850" s="49" t="s">
        <v>840</v>
      </c>
      <c r="B850" s="49" t="s">
        <v>578</v>
      </c>
      <c r="C850" s="49" t="s">
        <v>449</v>
      </c>
      <c r="D850">
        <v>99</v>
      </c>
      <c r="E850" s="49" t="s">
        <v>378</v>
      </c>
    </row>
    <row r="851" spans="1:5" x14ac:dyDescent="0.3">
      <c r="A851" s="49" t="s">
        <v>841</v>
      </c>
      <c r="B851" s="49" t="s">
        <v>578</v>
      </c>
      <c r="C851" s="49" t="s">
        <v>449</v>
      </c>
      <c r="D851">
        <v>98</v>
      </c>
      <c r="E851" s="49" t="s">
        <v>378</v>
      </c>
    </row>
    <row r="852" spans="1:5" x14ac:dyDescent="0.3">
      <c r="A852" s="49" t="s">
        <v>841</v>
      </c>
      <c r="B852" s="49" t="s">
        <v>578</v>
      </c>
      <c r="C852" s="49" t="s">
        <v>449</v>
      </c>
      <c r="D852">
        <v>99</v>
      </c>
      <c r="E852" s="49" t="s">
        <v>378</v>
      </c>
    </row>
    <row r="853" spans="1:5" x14ac:dyDescent="0.3">
      <c r="A853" s="49" t="s">
        <v>842</v>
      </c>
      <c r="B853" s="49" t="s">
        <v>578</v>
      </c>
      <c r="C853" s="49" t="s">
        <v>449</v>
      </c>
      <c r="D853">
        <v>98</v>
      </c>
      <c r="E853" s="49" t="s">
        <v>378</v>
      </c>
    </row>
    <row r="854" spans="1:5" x14ac:dyDescent="0.3">
      <c r="A854" s="49" t="s">
        <v>842</v>
      </c>
      <c r="B854" s="49" t="s">
        <v>578</v>
      </c>
      <c r="C854" s="49" t="s">
        <v>449</v>
      </c>
      <c r="D854">
        <v>99</v>
      </c>
      <c r="E854" s="49" t="s">
        <v>378</v>
      </c>
    </row>
    <row r="855" spans="1:5" x14ac:dyDescent="0.3">
      <c r="A855" s="49" t="s">
        <v>843</v>
      </c>
      <c r="B855" s="49" t="s">
        <v>578</v>
      </c>
      <c r="C855" s="49" t="s">
        <v>449</v>
      </c>
      <c r="D855">
        <v>98</v>
      </c>
      <c r="E855" s="49" t="s">
        <v>378</v>
      </c>
    </row>
    <row r="856" spans="1:5" x14ac:dyDescent="0.3">
      <c r="A856" s="49" t="s">
        <v>843</v>
      </c>
      <c r="B856" s="49" t="s">
        <v>578</v>
      </c>
      <c r="C856" s="49" t="s">
        <v>449</v>
      </c>
      <c r="D856">
        <v>99</v>
      </c>
      <c r="E856" s="49" t="s">
        <v>378</v>
      </c>
    </row>
    <row r="857" spans="1:5" x14ac:dyDescent="0.3">
      <c r="A857" s="49" t="s">
        <v>844</v>
      </c>
      <c r="B857" s="49" t="s">
        <v>578</v>
      </c>
      <c r="C857" s="49" t="s">
        <v>449</v>
      </c>
      <c r="D857">
        <v>98</v>
      </c>
      <c r="E857" s="49" t="s">
        <v>378</v>
      </c>
    </row>
    <row r="858" spans="1:5" x14ac:dyDescent="0.3">
      <c r="A858" s="49" t="s">
        <v>844</v>
      </c>
      <c r="B858" s="49" t="s">
        <v>578</v>
      </c>
      <c r="C858" s="49" t="s">
        <v>449</v>
      </c>
      <c r="D858">
        <v>99</v>
      </c>
      <c r="E858" s="49" t="s">
        <v>378</v>
      </c>
    </row>
    <row r="859" spans="1:5" x14ac:dyDescent="0.3">
      <c r="A859" s="49" t="s">
        <v>845</v>
      </c>
      <c r="B859" s="49" t="s">
        <v>578</v>
      </c>
      <c r="C859" s="49" t="s">
        <v>449</v>
      </c>
      <c r="D859">
        <v>98</v>
      </c>
      <c r="E859" s="49" t="s">
        <v>378</v>
      </c>
    </row>
    <row r="860" spans="1:5" x14ac:dyDescent="0.3">
      <c r="A860" s="49" t="s">
        <v>845</v>
      </c>
      <c r="B860" s="49" t="s">
        <v>578</v>
      </c>
      <c r="C860" s="49" t="s">
        <v>449</v>
      </c>
      <c r="D860">
        <v>99</v>
      </c>
      <c r="E860" s="49" t="s">
        <v>378</v>
      </c>
    </row>
    <row r="861" spans="1:5" x14ac:dyDescent="0.3">
      <c r="A861" s="49" t="s">
        <v>846</v>
      </c>
      <c r="B861" s="49" t="s">
        <v>578</v>
      </c>
      <c r="C861" s="49" t="s">
        <v>449</v>
      </c>
      <c r="D861">
        <v>98</v>
      </c>
      <c r="E861" s="49" t="s">
        <v>378</v>
      </c>
    </row>
    <row r="862" spans="1:5" x14ac:dyDescent="0.3">
      <c r="A862" s="49" t="s">
        <v>846</v>
      </c>
      <c r="B862" s="49" t="s">
        <v>578</v>
      </c>
      <c r="C862" s="49" t="s">
        <v>449</v>
      </c>
      <c r="D862">
        <v>99</v>
      </c>
      <c r="E862" s="49" t="s">
        <v>378</v>
      </c>
    </row>
    <row r="863" spans="1:5" x14ac:dyDescent="0.3">
      <c r="A863" s="49" t="s">
        <v>847</v>
      </c>
      <c r="B863" s="49" t="s">
        <v>578</v>
      </c>
      <c r="C863" s="49" t="s">
        <v>449</v>
      </c>
      <c r="D863">
        <v>98</v>
      </c>
      <c r="E863" s="49" t="s">
        <v>378</v>
      </c>
    </row>
    <row r="864" spans="1:5" x14ac:dyDescent="0.3">
      <c r="A864" s="49" t="s">
        <v>847</v>
      </c>
      <c r="B864" s="49" t="s">
        <v>578</v>
      </c>
      <c r="C864" s="49" t="s">
        <v>449</v>
      </c>
      <c r="D864">
        <v>99</v>
      </c>
      <c r="E864" s="49" t="s">
        <v>378</v>
      </c>
    </row>
    <row r="865" spans="1:5" x14ac:dyDescent="0.3">
      <c r="A865" s="49" t="s">
        <v>848</v>
      </c>
      <c r="B865" s="49" t="s">
        <v>578</v>
      </c>
      <c r="C865" s="49" t="s">
        <v>449</v>
      </c>
      <c r="D865">
        <v>98</v>
      </c>
      <c r="E865" s="49" t="s">
        <v>378</v>
      </c>
    </row>
    <row r="866" spans="1:5" x14ac:dyDescent="0.3">
      <c r="A866" s="49" t="s">
        <v>848</v>
      </c>
      <c r="B866" s="49" t="s">
        <v>578</v>
      </c>
      <c r="C866" s="49" t="s">
        <v>449</v>
      </c>
      <c r="D866">
        <v>99</v>
      </c>
      <c r="E866" s="49" t="s">
        <v>378</v>
      </c>
    </row>
    <row r="867" spans="1:5" x14ac:dyDescent="0.3">
      <c r="A867" s="49" t="s">
        <v>849</v>
      </c>
      <c r="B867" s="49" t="s">
        <v>578</v>
      </c>
      <c r="C867" s="49" t="s">
        <v>449</v>
      </c>
      <c r="D867">
        <v>98</v>
      </c>
      <c r="E867" s="49" t="s">
        <v>378</v>
      </c>
    </row>
    <row r="868" spans="1:5" x14ac:dyDescent="0.3">
      <c r="A868" s="49" t="s">
        <v>849</v>
      </c>
      <c r="B868" s="49" t="s">
        <v>578</v>
      </c>
      <c r="C868" s="49" t="s">
        <v>449</v>
      </c>
      <c r="D868">
        <v>99</v>
      </c>
      <c r="E868" s="49" t="s">
        <v>378</v>
      </c>
    </row>
    <row r="869" spans="1:5" x14ac:dyDescent="0.3">
      <c r="A869" s="49" t="s">
        <v>850</v>
      </c>
      <c r="B869" s="49" t="s">
        <v>578</v>
      </c>
      <c r="C869" s="49" t="s">
        <v>449</v>
      </c>
      <c r="D869">
        <v>98</v>
      </c>
      <c r="E869" s="49" t="s">
        <v>378</v>
      </c>
    </row>
    <row r="870" spans="1:5" x14ac:dyDescent="0.3">
      <c r="A870" s="49" t="s">
        <v>850</v>
      </c>
      <c r="B870" s="49" t="s">
        <v>578</v>
      </c>
      <c r="C870" s="49" t="s">
        <v>449</v>
      </c>
      <c r="D870">
        <v>99</v>
      </c>
      <c r="E870" s="49" t="s">
        <v>378</v>
      </c>
    </row>
    <row r="871" spans="1:5" x14ac:dyDescent="0.3">
      <c r="A871" s="49" t="s">
        <v>851</v>
      </c>
      <c r="B871" s="49" t="s">
        <v>578</v>
      </c>
      <c r="C871" s="49" t="s">
        <v>449</v>
      </c>
      <c r="D871">
        <v>98</v>
      </c>
      <c r="E871" s="49" t="s">
        <v>378</v>
      </c>
    </row>
    <row r="872" spans="1:5" x14ac:dyDescent="0.3">
      <c r="A872" s="49" t="s">
        <v>851</v>
      </c>
      <c r="B872" s="49" t="s">
        <v>578</v>
      </c>
      <c r="C872" s="49" t="s">
        <v>449</v>
      </c>
      <c r="D872">
        <v>99</v>
      </c>
      <c r="E872" s="49" t="s">
        <v>378</v>
      </c>
    </row>
    <row r="873" spans="1:5" x14ac:dyDescent="0.3">
      <c r="A873" s="49" t="s">
        <v>852</v>
      </c>
      <c r="B873" s="49" t="s">
        <v>578</v>
      </c>
      <c r="C873" s="49" t="s">
        <v>449</v>
      </c>
      <c r="D873">
        <v>98</v>
      </c>
      <c r="E873" s="49" t="s">
        <v>378</v>
      </c>
    </row>
    <row r="874" spans="1:5" x14ac:dyDescent="0.3">
      <c r="A874" s="49" t="s">
        <v>852</v>
      </c>
      <c r="B874" s="49" t="s">
        <v>578</v>
      </c>
      <c r="C874" s="49" t="s">
        <v>449</v>
      </c>
      <c r="D874">
        <v>99</v>
      </c>
      <c r="E874" s="49" t="s">
        <v>378</v>
      </c>
    </row>
    <row r="875" spans="1:5" x14ac:dyDescent="0.3">
      <c r="A875" s="49" t="s">
        <v>853</v>
      </c>
      <c r="B875" s="49" t="s">
        <v>578</v>
      </c>
      <c r="C875" s="49" t="s">
        <v>449</v>
      </c>
      <c r="D875">
        <v>98</v>
      </c>
      <c r="E875" s="49" t="s">
        <v>378</v>
      </c>
    </row>
    <row r="876" spans="1:5" x14ac:dyDescent="0.3">
      <c r="A876" s="49" t="s">
        <v>853</v>
      </c>
      <c r="B876" s="49" t="s">
        <v>578</v>
      </c>
      <c r="C876" s="49" t="s">
        <v>449</v>
      </c>
      <c r="D876">
        <v>99</v>
      </c>
      <c r="E876" s="49" t="s">
        <v>378</v>
      </c>
    </row>
    <row r="877" spans="1:5" x14ac:dyDescent="0.3">
      <c r="A877" s="49" t="s">
        <v>854</v>
      </c>
      <c r="B877" s="49" t="s">
        <v>578</v>
      </c>
      <c r="C877" s="49" t="s">
        <v>449</v>
      </c>
      <c r="D877">
        <v>98</v>
      </c>
      <c r="E877" s="49" t="s">
        <v>378</v>
      </c>
    </row>
    <row r="878" spans="1:5" x14ac:dyDescent="0.3">
      <c r="A878" s="49" t="s">
        <v>854</v>
      </c>
      <c r="B878" s="49" t="s">
        <v>578</v>
      </c>
      <c r="C878" s="49" t="s">
        <v>449</v>
      </c>
      <c r="D878">
        <v>99</v>
      </c>
      <c r="E878" s="49" t="s">
        <v>378</v>
      </c>
    </row>
    <row r="879" spans="1:5" x14ac:dyDescent="0.3">
      <c r="A879" s="49" t="s">
        <v>855</v>
      </c>
      <c r="B879" s="49" t="s">
        <v>578</v>
      </c>
      <c r="C879" s="49" t="s">
        <v>449</v>
      </c>
      <c r="D879">
        <v>98</v>
      </c>
      <c r="E879" s="49" t="s">
        <v>378</v>
      </c>
    </row>
    <row r="880" spans="1:5" x14ac:dyDescent="0.3">
      <c r="A880" s="49" t="s">
        <v>855</v>
      </c>
      <c r="B880" s="49" t="s">
        <v>578</v>
      </c>
      <c r="C880" s="49" t="s">
        <v>449</v>
      </c>
      <c r="D880">
        <v>99</v>
      </c>
      <c r="E880" s="49" t="s">
        <v>378</v>
      </c>
    </row>
    <row r="881" spans="1:5" x14ac:dyDescent="0.3">
      <c r="A881" s="49" t="s">
        <v>856</v>
      </c>
      <c r="B881" s="49" t="s">
        <v>578</v>
      </c>
      <c r="C881" s="49" t="s">
        <v>449</v>
      </c>
      <c r="D881">
        <v>98</v>
      </c>
      <c r="E881" s="49" t="s">
        <v>378</v>
      </c>
    </row>
    <row r="882" spans="1:5" x14ac:dyDescent="0.3">
      <c r="A882" s="49" t="s">
        <v>856</v>
      </c>
      <c r="B882" s="49" t="s">
        <v>578</v>
      </c>
      <c r="C882" s="49" t="s">
        <v>449</v>
      </c>
      <c r="D882">
        <v>99</v>
      </c>
      <c r="E882" s="49" t="s">
        <v>378</v>
      </c>
    </row>
    <row r="883" spans="1:5" x14ac:dyDescent="0.3">
      <c r="A883" s="49" t="s">
        <v>857</v>
      </c>
      <c r="B883" s="49" t="s">
        <v>578</v>
      </c>
      <c r="C883" s="49" t="s">
        <v>449</v>
      </c>
      <c r="D883">
        <v>98</v>
      </c>
      <c r="E883" s="49" t="s">
        <v>378</v>
      </c>
    </row>
    <row r="884" spans="1:5" x14ac:dyDescent="0.3">
      <c r="A884" s="49" t="s">
        <v>857</v>
      </c>
      <c r="B884" s="49" t="s">
        <v>578</v>
      </c>
      <c r="C884" s="49" t="s">
        <v>449</v>
      </c>
      <c r="D884">
        <v>99</v>
      </c>
      <c r="E884" s="49" t="s">
        <v>378</v>
      </c>
    </row>
    <row r="885" spans="1:5" x14ac:dyDescent="0.3">
      <c r="A885" s="49" t="s">
        <v>858</v>
      </c>
      <c r="B885" s="49" t="s">
        <v>578</v>
      </c>
      <c r="C885" s="49" t="s">
        <v>449</v>
      </c>
      <c r="D885">
        <v>98</v>
      </c>
      <c r="E885" s="49" t="s">
        <v>378</v>
      </c>
    </row>
    <row r="886" spans="1:5" x14ac:dyDescent="0.3">
      <c r="A886" s="49" t="s">
        <v>858</v>
      </c>
      <c r="B886" s="49" t="s">
        <v>578</v>
      </c>
      <c r="C886" s="49" t="s">
        <v>449</v>
      </c>
      <c r="D886">
        <v>99</v>
      </c>
      <c r="E886" s="49" t="s">
        <v>378</v>
      </c>
    </row>
    <row r="887" spans="1:5" x14ac:dyDescent="0.3">
      <c r="A887" s="49" t="s">
        <v>859</v>
      </c>
      <c r="B887" s="49" t="s">
        <v>578</v>
      </c>
      <c r="C887" s="49" t="s">
        <v>449</v>
      </c>
      <c r="D887">
        <v>98</v>
      </c>
      <c r="E887" s="49" t="s">
        <v>378</v>
      </c>
    </row>
    <row r="888" spans="1:5" x14ac:dyDescent="0.3">
      <c r="A888" s="49" t="s">
        <v>859</v>
      </c>
      <c r="B888" s="49" t="s">
        <v>578</v>
      </c>
      <c r="C888" s="49" t="s">
        <v>449</v>
      </c>
      <c r="D888">
        <v>99</v>
      </c>
      <c r="E888" s="49" t="s">
        <v>378</v>
      </c>
    </row>
    <row r="889" spans="1:5" x14ac:dyDescent="0.3">
      <c r="A889" s="49" t="s">
        <v>860</v>
      </c>
      <c r="B889" s="49" t="s">
        <v>578</v>
      </c>
      <c r="C889" s="49" t="s">
        <v>449</v>
      </c>
      <c r="D889">
        <v>98</v>
      </c>
      <c r="E889" s="49" t="s">
        <v>378</v>
      </c>
    </row>
    <row r="890" spans="1:5" x14ac:dyDescent="0.3">
      <c r="A890" s="49" t="s">
        <v>860</v>
      </c>
      <c r="B890" s="49" t="s">
        <v>578</v>
      </c>
      <c r="C890" s="49" t="s">
        <v>449</v>
      </c>
      <c r="D890">
        <v>99</v>
      </c>
      <c r="E890" s="49" t="s">
        <v>378</v>
      </c>
    </row>
    <row r="891" spans="1:5" x14ac:dyDescent="0.3">
      <c r="A891" s="49" t="s">
        <v>861</v>
      </c>
      <c r="B891" s="49" t="s">
        <v>578</v>
      </c>
      <c r="C891" s="49" t="s">
        <v>449</v>
      </c>
      <c r="D891">
        <v>98</v>
      </c>
      <c r="E891" s="49" t="s">
        <v>378</v>
      </c>
    </row>
    <row r="892" spans="1:5" x14ac:dyDescent="0.3">
      <c r="A892" s="49" t="s">
        <v>861</v>
      </c>
      <c r="B892" s="49" t="s">
        <v>578</v>
      </c>
      <c r="C892" s="49" t="s">
        <v>449</v>
      </c>
      <c r="D892">
        <v>99</v>
      </c>
      <c r="E892" s="49" t="s">
        <v>378</v>
      </c>
    </row>
    <row r="893" spans="1:5" x14ac:dyDescent="0.3">
      <c r="A893" s="49" t="s">
        <v>862</v>
      </c>
      <c r="B893" s="49" t="s">
        <v>578</v>
      </c>
      <c r="C893" s="49" t="s">
        <v>449</v>
      </c>
      <c r="D893">
        <v>98</v>
      </c>
      <c r="E893" s="49" t="s">
        <v>378</v>
      </c>
    </row>
    <row r="894" spans="1:5" x14ac:dyDescent="0.3">
      <c r="A894" s="49" t="s">
        <v>862</v>
      </c>
      <c r="B894" s="49" t="s">
        <v>578</v>
      </c>
      <c r="C894" s="49" t="s">
        <v>449</v>
      </c>
      <c r="D894">
        <v>99</v>
      </c>
      <c r="E894" s="49" t="s">
        <v>378</v>
      </c>
    </row>
    <row r="895" spans="1:5" x14ac:dyDescent="0.3">
      <c r="A895" s="49" t="s">
        <v>863</v>
      </c>
      <c r="B895" s="49" t="s">
        <v>578</v>
      </c>
      <c r="C895" s="49" t="s">
        <v>449</v>
      </c>
      <c r="D895">
        <v>98</v>
      </c>
      <c r="E895" s="49" t="s">
        <v>378</v>
      </c>
    </row>
    <row r="896" spans="1:5" x14ac:dyDescent="0.3">
      <c r="A896" s="49" t="s">
        <v>863</v>
      </c>
      <c r="B896" s="49" t="s">
        <v>578</v>
      </c>
      <c r="C896" s="49" t="s">
        <v>449</v>
      </c>
      <c r="D896">
        <v>99</v>
      </c>
      <c r="E896" s="49" t="s">
        <v>378</v>
      </c>
    </row>
    <row r="897" spans="1:5" x14ac:dyDescent="0.3">
      <c r="A897" s="49" t="s">
        <v>864</v>
      </c>
      <c r="B897" s="49" t="s">
        <v>578</v>
      </c>
      <c r="C897" s="49" t="s">
        <v>449</v>
      </c>
      <c r="D897">
        <v>98</v>
      </c>
      <c r="E897" s="49" t="s">
        <v>378</v>
      </c>
    </row>
    <row r="898" spans="1:5" x14ac:dyDescent="0.3">
      <c r="A898" s="49" t="s">
        <v>864</v>
      </c>
      <c r="B898" s="49" t="s">
        <v>578</v>
      </c>
      <c r="C898" s="49" t="s">
        <v>449</v>
      </c>
      <c r="D898">
        <v>99</v>
      </c>
      <c r="E898" s="49" t="s">
        <v>378</v>
      </c>
    </row>
    <row r="899" spans="1:5" x14ac:dyDescent="0.3">
      <c r="A899" s="49" t="s">
        <v>865</v>
      </c>
      <c r="B899" s="49" t="s">
        <v>578</v>
      </c>
      <c r="C899" s="49" t="s">
        <v>449</v>
      </c>
      <c r="D899">
        <v>98</v>
      </c>
      <c r="E899" s="49" t="s">
        <v>378</v>
      </c>
    </row>
    <row r="900" spans="1:5" x14ac:dyDescent="0.3">
      <c r="A900" s="49" t="s">
        <v>865</v>
      </c>
      <c r="B900" s="49" t="s">
        <v>578</v>
      </c>
      <c r="C900" s="49" t="s">
        <v>449</v>
      </c>
      <c r="D900">
        <v>99</v>
      </c>
      <c r="E900" s="49" t="s">
        <v>378</v>
      </c>
    </row>
    <row r="901" spans="1:5" x14ac:dyDescent="0.3">
      <c r="A901" s="49" t="s">
        <v>866</v>
      </c>
      <c r="B901" s="49" t="s">
        <v>578</v>
      </c>
      <c r="C901" s="49" t="s">
        <v>449</v>
      </c>
      <c r="D901">
        <v>98</v>
      </c>
      <c r="E901" s="49" t="s">
        <v>378</v>
      </c>
    </row>
    <row r="902" spans="1:5" x14ac:dyDescent="0.3">
      <c r="A902" s="49" t="s">
        <v>866</v>
      </c>
      <c r="B902" s="49" t="s">
        <v>578</v>
      </c>
      <c r="C902" s="49" t="s">
        <v>449</v>
      </c>
      <c r="D902">
        <v>99</v>
      </c>
      <c r="E902" s="49" t="s">
        <v>378</v>
      </c>
    </row>
    <row r="903" spans="1:5" x14ac:dyDescent="0.3">
      <c r="A903" s="49" t="s">
        <v>867</v>
      </c>
      <c r="B903" s="49" t="s">
        <v>578</v>
      </c>
      <c r="C903" s="49" t="s">
        <v>449</v>
      </c>
      <c r="D903">
        <v>98</v>
      </c>
      <c r="E903" s="49" t="s">
        <v>378</v>
      </c>
    </row>
    <row r="904" spans="1:5" x14ac:dyDescent="0.3">
      <c r="A904" s="49" t="s">
        <v>867</v>
      </c>
      <c r="B904" s="49" t="s">
        <v>578</v>
      </c>
      <c r="C904" s="49" t="s">
        <v>449</v>
      </c>
      <c r="D904">
        <v>99</v>
      </c>
      <c r="E904" s="49" t="s">
        <v>378</v>
      </c>
    </row>
    <row r="905" spans="1:5" x14ac:dyDescent="0.3">
      <c r="A905" s="49" t="s">
        <v>868</v>
      </c>
      <c r="B905" s="49" t="s">
        <v>578</v>
      </c>
      <c r="C905" s="49" t="s">
        <v>449</v>
      </c>
      <c r="D905">
        <v>98</v>
      </c>
      <c r="E905" s="49" t="s">
        <v>378</v>
      </c>
    </row>
    <row r="906" spans="1:5" x14ac:dyDescent="0.3">
      <c r="A906" s="49" t="s">
        <v>868</v>
      </c>
      <c r="B906" s="49" t="s">
        <v>578</v>
      </c>
      <c r="C906" s="49" t="s">
        <v>449</v>
      </c>
      <c r="D906">
        <v>99</v>
      </c>
      <c r="E906" s="49" t="s">
        <v>378</v>
      </c>
    </row>
    <row r="907" spans="1:5" x14ac:dyDescent="0.3">
      <c r="A907" s="49" t="s">
        <v>869</v>
      </c>
      <c r="B907" s="49" t="s">
        <v>578</v>
      </c>
      <c r="C907" s="49" t="s">
        <v>449</v>
      </c>
      <c r="D907">
        <v>98</v>
      </c>
      <c r="E907" s="49" t="s">
        <v>378</v>
      </c>
    </row>
    <row r="908" spans="1:5" x14ac:dyDescent="0.3">
      <c r="A908" s="49" t="s">
        <v>869</v>
      </c>
      <c r="B908" s="49" t="s">
        <v>578</v>
      </c>
      <c r="C908" s="49" t="s">
        <v>449</v>
      </c>
      <c r="D908">
        <v>99</v>
      </c>
      <c r="E908" s="49" t="s">
        <v>378</v>
      </c>
    </row>
    <row r="909" spans="1:5" x14ac:dyDescent="0.3">
      <c r="A909" s="49" t="s">
        <v>870</v>
      </c>
      <c r="B909" s="49" t="s">
        <v>578</v>
      </c>
      <c r="C909" s="49" t="s">
        <v>449</v>
      </c>
      <c r="D909">
        <v>98</v>
      </c>
      <c r="E909" s="49" t="s">
        <v>378</v>
      </c>
    </row>
    <row r="910" spans="1:5" x14ac:dyDescent="0.3">
      <c r="A910" s="49" t="s">
        <v>870</v>
      </c>
      <c r="B910" s="49" t="s">
        <v>578</v>
      </c>
      <c r="C910" s="49" t="s">
        <v>449</v>
      </c>
      <c r="D910">
        <v>99</v>
      </c>
      <c r="E910" s="49" t="s">
        <v>378</v>
      </c>
    </row>
    <row r="911" spans="1:5" x14ac:dyDescent="0.3">
      <c r="A911" s="49" t="s">
        <v>871</v>
      </c>
      <c r="B911" s="49" t="s">
        <v>578</v>
      </c>
      <c r="C911" s="49" t="s">
        <v>449</v>
      </c>
      <c r="D911">
        <v>98</v>
      </c>
      <c r="E911" s="49" t="s">
        <v>378</v>
      </c>
    </row>
    <row r="912" spans="1:5" x14ac:dyDescent="0.3">
      <c r="A912" s="49" t="s">
        <v>871</v>
      </c>
      <c r="B912" s="49" t="s">
        <v>578</v>
      </c>
      <c r="C912" s="49" t="s">
        <v>449</v>
      </c>
      <c r="D912">
        <v>99</v>
      </c>
      <c r="E912" s="49" t="s">
        <v>378</v>
      </c>
    </row>
    <row r="913" spans="1:5" x14ac:dyDescent="0.3">
      <c r="A913" s="49" t="s">
        <v>872</v>
      </c>
      <c r="B913" s="49" t="s">
        <v>578</v>
      </c>
      <c r="C913" s="49" t="s">
        <v>449</v>
      </c>
      <c r="D913">
        <v>98</v>
      </c>
      <c r="E913" s="49" t="s">
        <v>378</v>
      </c>
    </row>
    <row r="914" spans="1:5" x14ac:dyDescent="0.3">
      <c r="A914" s="49" t="s">
        <v>872</v>
      </c>
      <c r="B914" s="49" t="s">
        <v>578</v>
      </c>
      <c r="C914" s="49" t="s">
        <v>449</v>
      </c>
      <c r="D914">
        <v>99</v>
      </c>
      <c r="E914" s="49" t="s">
        <v>378</v>
      </c>
    </row>
    <row r="915" spans="1:5" x14ac:dyDescent="0.3">
      <c r="A915" s="49" t="s">
        <v>873</v>
      </c>
      <c r="B915" s="49" t="s">
        <v>578</v>
      </c>
      <c r="C915" s="49" t="s">
        <v>449</v>
      </c>
      <c r="D915">
        <v>98</v>
      </c>
      <c r="E915" s="49" t="s">
        <v>378</v>
      </c>
    </row>
    <row r="916" spans="1:5" x14ac:dyDescent="0.3">
      <c r="A916" s="49" t="s">
        <v>873</v>
      </c>
      <c r="B916" s="49" t="s">
        <v>578</v>
      </c>
      <c r="C916" s="49" t="s">
        <v>449</v>
      </c>
      <c r="D916">
        <v>99</v>
      </c>
      <c r="E916" s="49" t="s">
        <v>378</v>
      </c>
    </row>
    <row r="917" spans="1:5" x14ac:dyDescent="0.3">
      <c r="A917" s="49" t="s">
        <v>874</v>
      </c>
      <c r="B917" s="49" t="s">
        <v>578</v>
      </c>
      <c r="C917" s="49" t="s">
        <v>449</v>
      </c>
      <c r="D917">
        <v>98</v>
      </c>
      <c r="E917" s="49" t="s">
        <v>378</v>
      </c>
    </row>
    <row r="918" spans="1:5" x14ac:dyDescent="0.3">
      <c r="A918" s="49" t="s">
        <v>874</v>
      </c>
      <c r="B918" s="49" t="s">
        <v>578</v>
      </c>
      <c r="C918" s="49" t="s">
        <v>449</v>
      </c>
      <c r="D918">
        <v>99</v>
      </c>
      <c r="E918" s="49" t="s">
        <v>378</v>
      </c>
    </row>
    <row r="919" spans="1:5" x14ac:dyDescent="0.3">
      <c r="A919" s="49" t="s">
        <v>875</v>
      </c>
      <c r="B919" s="49" t="s">
        <v>578</v>
      </c>
      <c r="C919" s="49" t="s">
        <v>449</v>
      </c>
      <c r="D919">
        <v>98</v>
      </c>
      <c r="E919" s="49" t="s">
        <v>378</v>
      </c>
    </row>
    <row r="920" spans="1:5" x14ac:dyDescent="0.3">
      <c r="A920" s="49" t="s">
        <v>875</v>
      </c>
      <c r="B920" s="49" t="s">
        <v>578</v>
      </c>
      <c r="C920" s="49" t="s">
        <v>449</v>
      </c>
      <c r="D920">
        <v>99</v>
      </c>
      <c r="E920" s="49" t="s">
        <v>378</v>
      </c>
    </row>
    <row r="921" spans="1:5" x14ac:dyDescent="0.3">
      <c r="A921" s="49" t="s">
        <v>876</v>
      </c>
      <c r="B921" s="49" t="s">
        <v>578</v>
      </c>
      <c r="C921" s="49" t="s">
        <v>449</v>
      </c>
      <c r="D921">
        <v>98</v>
      </c>
      <c r="E921" s="49" t="s">
        <v>378</v>
      </c>
    </row>
    <row r="922" spans="1:5" x14ac:dyDescent="0.3">
      <c r="A922" s="49" t="s">
        <v>876</v>
      </c>
      <c r="B922" s="49" t="s">
        <v>578</v>
      </c>
      <c r="C922" s="49" t="s">
        <v>449</v>
      </c>
      <c r="D922">
        <v>99</v>
      </c>
      <c r="E922" s="49" t="s">
        <v>378</v>
      </c>
    </row>
    <row r="923" spans="1:5" x14ac:dyDescent="0.3">
      <c r="A923" s="49" t="s">
        <v>877</v>
      </c>
      <c r="B923" s="49" t="s">
        <v>578</v>
      </c>
      <c r="C923" s="49" t="s">
        <v>449</v>
      </c>
      <c r="D923">
        <v>98</v>
      </c>
      <c r="E923" s="49" t="s">
        <v>378</v>
      </c>
    </row>
    <row r="924" spans="1:5" x14ac:dyDescent="0.3">
      <c r="A924" s="49" t="s">
        <v>877</v>
      </c>
      <c r="B924" s="49" t="s">
        <v>578</v>
      </c>
      <c r="C924" s="49" t="s">
        <v>449</v>
      </c>
      <c r="D924">
        <v>99</v>
      </c>
      <c r="E924" s="49" t="s">
        <v>378</v>
      </c>
    </row>
    <row r="925" spans="1:5" x14ac:dyDescent="0.3">
      <c r="A925" s="49" t="s">
        <v>878</v>
      </c>
      <c r="B925" s="49" t="s">
        <v>578</v>
      </c>
      <c r="C925" s="49" t="s">
        <v>449</v>
      </c>
      <c r="D925">
        <v>98</v>
      </c>
      <c r="E925" s="49" t="s">
        <v>378</v>
      </c>
    </row>
    <row r="926" spans="1:5" x14ac:dyDescent="0.3">
      <c r="A926" s="49" t="s">
        <v>878</v>
      </c>
      <c r="B926" s="49" t="s">
        <v>578</v>
      </c>
      <c r="C926" s="49" t="s">
        <v>449</v>
      </c>
      <c r="D926">
        <v>99</v>
      </c>
      <c r="E926" s="49" t="s">
        <v>378</v>
      </c>
    </row>
    <row r="927" spans="1:5" x14ac:dyDescent="0.3">
      <c r="A927" s="49" t="s">
        <v>879</v>
      </c>
      <c r="B927" s="49" t="s">
        <v>578</v>
      </c>
      <c r="C927" s="49" t="s">
        <v>449</v>
      </c>
      <c r="D927">
        <v>98</v>
      </c>
      <c r="E927" s="49" t="s">
        <v>378</v>
      </c>
    </row>
    <row r="928" spans="1:5" x14ac:dyDescent="0.3">
      <c r="A928" s="49" t="s">
        <v>879</v>
      </c>
      <c r="B928" s="49" t="s">
        <v>578</v>
      </c>
      <c r="C928" s="49" t="s">
        <v>449</v>
      </c>
      <c r="D928">
        <v>99</v>
      </c>
      <c r="E928" s="49" t="s">
        <v>378</v>
      </c>
    </row>
    <row r="929" spans="1:5" x14ac:dyDescent="0.3">
      <c r="A929" s="49" t="s">
        <v>880</v>
      </c>
      <c r="B929" s="49" t="s">
        <v>578</v>
      </c>
      <c r="C929" s="49" t="s">
        <v>449</v>
      </c>
      <c r="D929">
        <v>98</v>
      </c>
      <c r="E929" s="49" t="s">
        <v>378</v>
      </c>
    </row>
    <row r="930" spans="1:5" x14ac:dyDescent="0.3">
      <c r="A930" s="49" t="s">
        <v>880</v>
      </c>
      <c r="B930" s="49" t="s">
        <v>578</v>
      </c>
      <c r="C930" s="49" t="s">
        <v>449</v>
      </c>
      <c r="D930">
        <v>99</v>
      </c>
      <c r="E930" s="49" t="s">
        <v>378</v>
      </c>
    </row>
    <row r="931" spans="1:5" x14ac:dyDescent="0.3">
      <c r="A931" s="49" t="s">
        <v>881</v>
      </c>
      <c r="B931" s="49" t="s">
        <v>578</v>
      </c>
      <c r="C931" s="49" t="s">
        <v>449</v>
      </c>
      <c r="D931">
        <v>98</v>
      </c>
      <c r="E931" s="49" t="s">
        <v>378</v>
      </c>
    </row>
    <row r="932" spans="1:5" x14ac:dyDescent="0.3">
      <c r="A932" s="49" t="s">
        <v>881</v>
      </c>
      <c r="B932" s="49" t="s">
        <v>578</v>
      </c>
      <c r="C932" s="49" t="s">
        <v>449</v>
      </c>
      <c r="D932">
        <v>99</v>
      </c>
      <c r="E932" s="49" t="s">
        <v>378</v>
      </c>
    </row>
    <row r="933" spans="1:5" x14ac:dyDescent="0.3">
      <c r="A933" s="49" t="s">
        <v>882</v>
      </c>
      <c r="B933" s="49" t="s">
        <v>578</v>
      </c>
      <c r="C933" s="49" t="s">
        <v>449</v>
      </c>
      <c r="D933">
        <v>98</v>
      </c>
      <c r="E933" s="49" t="s">
        <v>378</v>
      </c>
    </row>
    <row r="934" spans="1:5" x14ac:dyDescent="0.3">
      <c r="A934" s="49" t="s">
        <v>882</v>
      </c>
      <c r="B934" s="49" t="s">
        <v>578</v>
      </c>
      <c r="C934" s="49" t="s">
        <v>449</v>
      </c>
      <c r="D934">
        <v>99</v>
      </c>
      <c r="E934" s="49" t="s">
        <v>378</v>
      </c>
    </row>
    <row r="935" spans="1:5" x14ac:dyDescent="0.3">
      <c r="A935" s="49" t="s">
        <v>883</v>
      </c>
      <c r="B935" s="49" t="s">
        <v>578</v>
      </c>
      <c r="C935" s="49" t="s">
        <v>449</v>
      </c>
      <c r="D935">
        <v>98</v>
      </c>
      <c r="E935" s="49" t="s">
        <v>378</v>
      </c>
    </row>
    <row r="936" spans="1:5" x14ac:dyDescent="0.3">
      <c r="A936" s="49" t="s">
        <v>883</v>
      </c>
      <c r="B936" s="49" t="s">
        <v>578</v>
      </c>
      <c r="C936" s="49" t="s">
        <v>449</v>
      </c>
      <c r="D936">
        <v>99</v>
      </c>
      <c r="E936" s="49" t="s">
        <v>378</v>
      </c>
    </row>
    <row r="937" spans="1:5" x14ac:dyDescent="0.3">
      <c r="A937" s="49" t="s">
        <v>884</v>
      </c>
      <c r="B937" s="49" t="s">
        <v>578</v>
      </c>
      <c r="C937" s="49" t="s">
        <v>449</v>
      </c>
      <c r="D937">
        <v>98</v>
      </c>
      <c r="E937" s="49" t="s">
        <v>378</v>
      </c>
    </row>
    <row r="938" spans="1:5" x14ac:dyDescent="0.3">
      <c r="A938" s="49" t="s">
        <v>884</v>
      </c>
      <c r="B938" s="49" t="s">
        <v>578</v>
      </c>
      <c r="C938" s="49" t="s">
        <v>449</v>
      </c>
      <c r="D938">
        <v>99</v>
      </c>
      <c r="E938" s="49" t="s">
        <v>378</v>
      </c>
    </row>
    <row r="939" spans="1:5" x14ac:dyDescent="0.3">
      <c r="A939" s="49" t="s">
        <v>885</v>
      </c>
      <c r="B939" s="49" t="s">
        <v>578</v>
      </c>
      <c r="C939" s="49" t="s">
        <v>449</v>
      </c>
      <c r="D939">
        <v>98</v>
      </c>
      <c r="E939" s="49" t="s">
        <v>378</v>
      </c>
    </row>
    <row r="940" spans="1:5" x14ac:dyDescent="0.3">
      <c r="A940" s="49" t="s">
        <v>885</v>
      </c>
      <c r="B940" s="49" t="s">
        <v>578</v>
      </c>
      <c r="C940" s="49" t="s">
        <v>449</v>
      </c>
      <c r="D940">
        <v>99</v>
      </c>
      <c r="E940" s="49" t="s">
        <v>378</v>
      </c>
    </row>
    <row r="941" spans="1:5" x14ac:dyDescent="0.3">
      <c r="A941" s="49" t="s">
        <v>886</v>
      </c>
      <c r="B941" s="49" t="s">
        <v>578</v>
      </c>
      <c r="C941" s="49" t="s">
        <v>449</v>
      </c>
      <c r="D941">
        <v>98</v>
      </c>
      <c r="E941" s="49" t="s">
        <v>378</v>
      </c>
    </row>
    <row r="942" spans="1:5" x14ac:dyDescent="0.3">
      <c r="A942" s="49" t="s">
        <v>886</v>
      </c>
      <c r="B942" s="49" t="s">
        <v>578</v>
      </c>
      <c r="C942" s="49" t="s">
        <v>449</v>
      </c>
      <c r="D942">
        <v>99</v>
      </c>
      <c r="E942" s="49" t="s">
        <v>378</v>
      </c>
    </row>
    <row r="943" spans="1:5" x14ac:dyDescent="0.3">
      <c r="A943" s="49" t="s">
        <v>887</v>
      </c>
      <c r="B943" s="49" t="s">
        <v>578</v>
      </c>
      <c r="C943" s="49" t="s">
        <v>449</v>
      </c>
      <c r="D943">
        <v>98</v>
      </c>
      <c r="E943" s="49" t="s">
        <v>378</v>
      </c>
    </row>
    <row r="944" spans="1:5" x14ac:dyDescent="0.3">
      <c r="A944" s="49" t="s">
        <v>887</v>
      </c>
      <c r="B944" s="49" t="s">
        <v>578</v>
      </c>
      <c r="C944" s="49" t="s">
        <v>449</v>
      </c>
      <c r="D944">
        <v>99</v>
      </c>
      <c r="E944" s="49" t="s">
        <v>378</v>
      </c>
    </row>
    <row r="945" spans="1:5" x14ac:dyDescent="0.3">
      <c r="A945" s="49" t="s">
        <v>888</v>
      </c>
      <c r="B945" s="49" t="s">
        <v>578</v>
      </c>
      <c r="C945" s="49" t="s">
        <v>449</v>
      </c>
      <c r="D945">
        <v>98</v>
      </c>
      <c r="E945" s="49" t="s">
        <v>378</v>
      </c>
    </row>
    <row r="946" spans="1:5" x14ac:dyDescent="0.3">
      <c r="A946" s="49" t="s">
        <v>888</v>
      </c>
      <c r="B946" s="49" t="s">
        <v>578</v>
      </c>
      <c r="C946" s="49" t="s">
        <v>449</v>
      </c>
      <c r="D946">
        <v>99</v>
      </c>
      <c r="E946" s="49" t="s">
        <v>378</v>
      </c>
    </row>
    <row r="947" spans="1:5" x14ac:dyDescent="0.3">
      <c r="A947" s="49" t="s">
        <v>889</v>
      </c>
      <c r="B947" s="49" t="s">
        <v>578</v>
      </c>
      <c r="C947" s="49" t="s">
        <v>449</v>
      </c>
      <c r="D947">
        <v>98</v>
      </c>
      <c r="E947" s="49" t="s">
        <v>378</v>
      </c>
    </row>
    <row r="948" spans="1:5" x14ac:dyDescent="0.3">
      <c r="A948" s="49" t="s">
        <v>889</v>
      </c>
      <c r="B948" s="49" t="s">
        <v>578</v>
      </c>
      <c r="C948" s="49" t="s">
        <v>449</v>
      </c>
      <c r="D948">
        <v>99</v>
      </c>
      <c r="E948" s="49" t="s">
        <v>378</v>
      </c>
    </row>
    <row r="949" spans="1:5" x14ac:dyDescent="0.3">
      <c r="A949" s="49" t="s">
        <v>890</v>
      </c>
      <c r="B949" s="49" t="s">
        <v>578</v>
      </c>
      <c r="C949" s="49" t="s">
        <v>449</v>
      </c>
      <c r="D949">
        <v>98</v>
      </c>
      <c r="E949" s="49" t="s">
        <v>378</v>
      </c>
    </row>
    <row r="950" spans="1:5" x14ac:dyDescent="0.3">
      <c r="A950" s="49" t="s">
        <v>890</v>
      </c>
      <c r="B950" s="49" t="s">
        <v>578</v>
      </c>
      <c r="C950" s="49" t="s">
        <v>449</v>
      </c>
      <c r="D950">
        <v>99</v>
      </c>
      <c r="E950" s="49" t="s">
        <v>378</v>
      </c>
    </row>
    <row r="951" spans="1:5" x14ac:dyDescent="0.3">
      <c r="A951" s="49" t="s">
        <v>891</v>
      </c>
      <c r="B951" s="49" t="s">
        <v>578</v>
      </c>
      <c r="C951" s="49" t="s">
        <v>449</v>
      </c>
      <c r="D951">
        <v>98</v>
      </c>
      <c r="E951" s="49" t="s">
        <v>378</v>
      </c>
    </row>
    <row r="952" spans="1:5" x14ac:dyDescent="0.3">
      <c r="A952" s="49" t="s">
        <v>891</v>
      </c>
      <c r="B952" s="49" t="s">
        <v>578</v>
      </c>
      <c r="C952" s="49" t="s">
        <v>449</v>
      </c>
      <c r="D952">
        <v>99</v>
      </c>
      <c r="E952" s="49" t="s">
        <v>378</v>
      </c>
    </row>
    <row r="953" spans="1:5" x14ac:dyDescent="0.3">
      <c r="A953" s="49" t="s">
        <v>892</v>
      </c>
      <c r="B953" s="49" t="s">
        <v>578</v>
      </c>
      <c r="C953" s="49" t="s">
        <v>449</v>
      </c>
      <c r="D953">
        <v>98</v>
      </c>
      <c r="E953" s="49" t="s">
        <v>378</v>
      </c>
    </row>
    <row r="954" spans="1:5" x14ac:dyDescent="0.3">
      <c r="A954" s="49" t="s">
        <v>892</v>
      </c>
      <c r="B954" s="49" t="s">
        <v>578</v>
      </c>
      <c r="C954" s="49" t="s">
        <v>449</v>
      </c>
      <c r="D954">
        <v>99</v>
      </c>
      <c r="E954" s="49" t="s">
        <v>378</v>
      </c>
    </row>
    <row r="955" spans="1:5" x14ac:dyDescent="0.3">
      <c r="A955" s="49" t="s">
        <v>893</v>
      </c>
      <c r="B955" s="49" t="s">
        <v>578</v>
      </c>
      <c r="C955" s="49" t="s">
        <v>449</v>
      </c>
      <c r="D955">
        <v>98</v>
      </c>
      <c r="E955" s="49" t="s">
        <v>378</v>
      </c>
    </row>
    <row r="956" spans="1:5" x14ac:dyDescent="0.3">
      <c r="A956" s="49" t="s">
        <v>893</v>
      </c>
      <c r="B956" s="49" t="s">
        <v>578</v>
      </c>
      <c r="C956" s="49" t="s">
        <v>449</v>
      </c>
      <c r="D956">
        <v>99</v>
      </c>
      <c r="E956" s="49" t="s">
        <v>378</v>
      </c>
    </row>
    <row r="957" spans="1:5" x14ac:dyDescent="0.3">
      <c r="A957" s="49" t="s">
        <v>894</v>
      </c>
      <c r="B957" s="49" t="s">
        <v>578</v>
      </c>
      <c r="C957" s="49" t="s">
        <v>449</v>
      </c>
      <c r="D957">
        <v>98</v>
      </c>
      <c r="E957" s="49" t="s">
        <v>378</v>
      </c>
    </row>
    <row r="958" spans="1:5" x14ac:dyDescent="0.3">
      <c r="A958" s="49" t="s">
        <v>894</v>
      </c>
      <c r="B958" s="49" t="s">
        <v>578</v>
      </c>
      <c r="C958" s="49" t="s">
        <v>449</v>
      </c>
      <c r="D958">
        <v>99</v>
      </c>
      <c r="E958" s="49" t="s">
        <v>378</v>
      </c>
    </row>
    <row r="959" spans="1:5" x14ac:dyDescent="0.3">
      <c r="A959" s="49" t="s">
        <v>895</v>
      </c>
      <c r="B959" s="49" t="s">
        <v>578</v>
      </c>
      <c r="C959" s="49" t="s">
        <v>449</v>
      </c>
      <c r="D959">
        <v>98</v>
      </c>
      <c r="E959" s="49" t="s">
        <v>378</v>
      </c>
    </row>
    <row r="960" spans="1:5" x14ac:dyDescent="0.3">
      <c r="A960" s="49" t="s">
        <v>895</v>
      </c>
      <c r="B960" s="49" t="s">
        <v>578</v>
      </c>
      <c r="C960" s="49" t="s">
        <v>449</v>
      </c>
      <c r="D960">
        <v>99</v>
      </c>
      <c r="E960" s="49" t="s">
        <v>378</v>
      </c>
    </row>
    <row r="961" spans="1:5" x14ac:dyDescent="0.3">
      <c r="A961" s="49" t="s">
        <v>896</v>
      </c>
      <c r="B961" s="49" t="s">
        <v>578</v>
      </c>
      <c r="C961" s="49" t="s">
        <v>449</v>
      </c>
      <c r="D961">
        <v>98</v>
      </c>
      <c r="E961" s="49" t="s">
        <v>378</v>
      </c>
    </row>
    <row r="962" spans="1:5" x14ac:dyDescent="0.3">
      <c r="A962" s="49" t="s">
        <v>896</v>
      </c>
      <c r="B962" s="49" t="s">
        <v>578</v>
      </c>
      <c r="C962" s="49" t="s">
        <v>449</v>
      </c>
      <c r="D962">
        <v>99</v>
      </c>
      <c r="E962" s="49" t="s">
        <v>378</v>
      </c>
    </row>
    <row r="963" spans="1:5" x14ac:dyDescent="0.3">
      <c r="A963" s="49" t="s">
        <v>897</v>
      </c>
      <c r="B963" s="49" t="s">
        <v>578</v>
      </c>
      <c r="C963" s="49" t="s">
        <v>449</v>
      </c>
      <c r="D963">
        <v>98</v>
      </c>
      <c r="E963" s="49" t="s">
        <v>378</v>
      </c>
    </row>
    <row r="964" spans="1:5" x14ac:dyDescent="0.3">
      <c r="A964" s="49" t="s">
        <v>897</v>
      </c>
      <c r="B964" s="49" t="s">
        <v>578</v>
      </c>
      <c r="C964" s="49" t="s">
        <v>449</v>
      </c>
      <c r="D964">
        <v>99</v>
      </c>
      <c r="E964" s="49" t="s">
        <v>378</v>
      </c>
    </row>
    <row r="965" spans="1:5" x14ac:dyDescent="0.3">
      <c r="A965" s="49" t="s">
        <v>898</v>
      </c>
      <c r="B965" s="49" t="s">
        <v>578</v>
      </c>
      <c r="C965" s="49" t="s">
        <v>449</v>
      </c>
      <c r="D965">
        <v>98</v>
      </c>
      <c r="E965" s="49" t="s">
        <v>378</v>
      </c>
    </row>
    <row r="966" spans="1:5" x14ac:dyDescent="0.3">
      <c r="A966" s="49" t="s">
        <v>898</v>
      </c>
      <c r="B966" s="49" t="s">
        <v>578</v>
      </c>
      <c r="C966" s="49" t="s">
        <v>449</v>
      </c>
      <c r="D966">
        <v>99</v>
      </c>
      <c r="E966" s="49" t="s">
        <v>378</v>
      </c>
    </row>
    <row r="967" spans="1:5" x14ac:dyDescent="0.3">
      <c r="A967" s="49" t="s">
        <v>899</v>
      </c>
      <c r="B967" s="49" t="s">
        <v>578</v>
      </c>
      <c r="C967" s="49" t="s">
        <v>449</v>
      </c>
      <c r="D967">
        <v>98</v>
      </c>
      <c r="E967" s="49" t="s">
        <v>378</v>
      </c>
    </row>
    <row r="968" spans="1:5" x14ac:dyDescent="0.3">
      <c r="A968" s="49" t="s">
        <v>899</v>
      </c>
      <c r="B968" s="49" t="s">
        <v>578</v>
      </c>
      <c r="C968" s="49" t="s">
        <v>449</v>
      </c>
      <c r="D968">
        <v>99</v>
      </c>
      <c r="E968" s="49" t="s">
        <v>378</v>
      </c>
    </row>
    <row r="969" spans="1:5" x14ac:dyDescent="0.3">
      <c r="A969" s="49" t="s">
        <v>900</v>
      </c>
      <c r="B969" s="49" t="s">
        <v>578</v>
      </c>
      <c r="C969" s="49" t="s">
        <v>449</v>
      </c>
      <c r="D969">
        <v>98</v>
      </c>
      <c r="E969" s="49" t="s">
        <v>378</v>
      </c>
    </row>
    <row r="970" spans="1:5" x14ac:dyDescent="0.3">
      <c r="A970" s="49" t="s">
        <v>900</v>
      </c>
      <c r="B970" s="49" t="s">
        <v>578</v>
      </c>
      <c r="C970" s="49" t="s">
        <v>449</v>
      </c>
      <c r="D970">
        <v>99</v>
      </c>
      <c r="E970" s="49" t="s">
        <v>378</v>
      </c>
    </row>
    <row r="971" spans="1:5" x14ac:dyDescent="0.3">
      <c r="A971" s="49" t="s">
        <v>901</v>
      </c>
      <c r="B971" s="49" t="s">
        <v>409</v>
      </c>
      <c r="C971" s="49" t="s">
        <v>902</v>
      </c>
      <c r="D971">
        <v>0</v>
      </c>
      <c r="E971" s="49" t="s">
        <v>378</v>
      </c>
    </row>
    <row r="972" spans="1:5" x14ac:dyDescent="0.3">
      <c r="A972" s="49" t="s">
        <v>901</v>
      </c>
      <c r="B972" s="49" t="s">
        <v>409</v>
      </c>
      <c r="C972" s="49" t="s">
        <v>902</v>
      </c>
      <c r="D972">
        <v>1</v>
      </c>
      <c r="E972" s="49" t="s">
        <v>378</v>
      </c>
    </row>
    <row r="973" spans="1:5" x14ac:dyDescent="0.3">
      <c r="A973" s="49" t="s">
        <v>901</v>
      </c>
      <c r="B973" s="49" t="s">
        <v>409</v>
      </c>
      <c r="C973" s="49" t="s">
        <v>902</v>
      </c>
      <c r="D973">
        <v>2</v>
      </c>
      <c r="E973" s="49" t="s">
        <v>378</v>
      </c>
    </row>
    <row r="974" spans="1:5" x14ac:dyDescent="0.3">
      <c r="A974" s="49" t="s">
        <v>901</v>
      </c>
      <c r="B974" s="49" t="s">
        <v>409</v>
      </c>
      <c r="C974" s="49" t="s">
        <v>902</v>
      </c>
      <c r="D974">
        <v>3</v>
      </c>
      <c r="E974" s="49" t="s">
        <v>378</v>
      </c>
    </row>
    <row r="975" spans="1:5" x14ac:dyDescent="0.3">
      <c r="A975" s="49" t="s">
        <v>901</v>
      </c>
      <c r="B975" s="49" t="s">
        <v>409</v>
      </c>
      <c r="C975" s="49" t="s">
        <v>902</v>
      </c>
      <c r="D975">
        <v>4</v>
      </c>
      <c r="E975" s="49" t="s">
        <v>378</v>
      </c>
    </row>
    <row r="976" spans="1:5" x14ac:dyDescent="0.3">
      <c r="A976" s="49" t="s">
        <v>903</v>
      </c>
      <c r="B976" s="49" t="s">
        <v>409</v>
      </c>
      <c r="C976" s="49" t="s">
        <v>902</v>
      </c>
      <c r="D976">
        <v>0</v>
      </c>
      <c r="E976" s="49" t="s">
        <v>378</v>
      </c>
    </row>
    <row r="977" spans="1:5" x14ac:dyDescent="0.3">
      <c r="A977" s="49" t="s">
        <v>903</v>
      </c>
      <c r="B977" s="49" t="s">
        <v>409</v>
      </c>
      <c r="C977" s="49" t="s">
        <v>902</v>
      </c>
      <c r="D977">
        <v>1</v>
      </c>
      <c r="E977" s="49" t="s">
        <v>378</v>
      </c>
    </row>
    <row r="978" spans="1:5" x14ac:dyDescent="0.3">
      <c r="A978" s="49" t="s">
        <v>903</v>
      </c>
      <c r="B978" s="49" t="s">
        <v>409</v>
      </c>
      <c r="C978" s="49" t="s">
        <v>902</v>
      </c>
      <c r="D978">
        <v>2</v>
      </c>
      <c r="E978" s="49" t="s">
        <v>378</v>
      </c>
    </row>
    <row r="979" spans="1:5" x14ac:dyDescent="0.3">
      <c r="A979" s="49" t="s">
        <v>903</v>
      </c>
      <c r="B979" s="49" t="s">
        <v>409</v>
      </c>
      <c r="C979" s="49" t="s">
        <v>902</v>
      </c>
      <c r="D979">
        <v>3</v>
      </c>
      <c r="E979" s="49" t="s">
        <v>378</v>
      </c>
    </row>
    <row r="980" spans="1:5" x14ac:dyDescent="0.3">
      <c r="A980" s="49" t="s">
        <v>903</v>
      </c>
      <c r="B980" s="49" t="s">
        <v>409</v>
      </c>
      <c r="C980" s="49" t="s">
        <v>902</v>
      </c>
      <c r="D980">
        <v>4</v>
      </c>
      <c r="E980" s="49" t="s">
        <v>378</v>
      </c>
    </row>
    <row r="981" spans="1:5" x14ac:dyDescent="0.3">
      <c r="A981" s="49" t="s">
        <v>904</v>
      </c>
      <c r="B981" s="49" t="s">
        <v>409</v>
      </c>
      <c r="C981" s="49" t="s">
        <v>449</v>
      </c>
      <c r="D981">
        <v>5</v>
      </c>
      <c r="E981" s="49" t="s">
        <v>379</v>
      </c>
    </row>
    <row r="982" spans="1:5" x14ac:dyDescent="0.3">
      <c r="A982" s="49" t="s">
        <v>904</v>
      </c>
      <c r="B982" s="49" t="s">
        <v>578</v>
      </c>
      <c r="C982" s="49" t="s">
        <v>449</v>
      </c>
      <c r="D982">
        <v>99</v>
      </c>
      <c r="E982" s="49" t="s">
        <v>379</v>
      </c>
    </row>
    <row r="983" spans="1:5" x14ac:dyDescent="0.3">
      <c r="A983" s="49" t="s">
        <v>905</v>
      </c>
      <c r="B983" s="49" t="s">
        <v>409</v>
      </c>
      <c r="C983" s="49" t="s">
        <v>449</v>
      </c>
      <c r="D983">
        <v>5</v>
      </c>
      <c r="E983" s="49" t="s">
        <v>379</v>
      </c>
    </row>
    <row r="984" spans="1:5" x14ac:dyDescent="0.3">
      <c r="A984" s="49" t="s">
        <v>905</v>
      </c>
      <c r="B984" s="49" t="s">
        <v>578</v>
      </c>
      <c r="C984" s="49" t="s">
        <v>449</v>
      </c>
      <c r="D984">
        <v>99</v>
      </c>
      <c r="E984" s="49" t="s">
        <v>379</v>
      </c>
    </row>
    <row r="985" spans="1:5" x14ac:dyDescent="0.3">
      <c r="A985" s="49" t="s">
        <v>906</v>
      </c>
      <c r="B985" s="49" t="s">
        <v>409</v>
      </c>
      <c r="C985" s="49" t="s">
        <v>449</v>
      </c>
      <c r="D985">
        <v>5</v>
      </c>
      <c r="E985" s="49" t="s">
        <v>379</v>
      </c>
    </row>
    <row r="986" spans="1:5" x14ac:dyDescent="0.3">
      <c r="A986" s="49" t="s">
        <v>906</v>
      </c>
      <c r="B986" s="49" t="s">
        <v>578</v>
      </c>
      <c r="C986" s="49" t="s">
        <v>449</v>
      </c>
      <c r="D986">
        <v>99</v>
      </c>
      <c r="E986" s="49" t="s">
        <v>379</v>
      </c>
    </row>
    <row r="987" spans="1:5" x14ac:dyDescent="0.3">
      <c r="A987" s="49" t="s">
        <v>907</v>
      </c>
      <c r="B987" s="49" t="s">
        <v>409</v>
      </c>
      <c r="C987" s="49" t="s">
        <v>449</v>
      </c>
      <c r="D987">
        <v>5</v>
      </c>
      <c r="E987" s="49" t="s">
        <v>379</v>
      </c>
    </row>
    <row r="988" spans="1:5" x14ac:dyDescent="0.3">
      <c r="A988" s="49" t="s">
        <v>907</v>
      </c>
      <c r="B988" s="49" t="s">
        <v>578</v>
      </c>
      <c r="C988" s="49" t="s">
        <v>449</v>
      </c>
      <c r="D988">
        <v>99</v>
      </c>
      <c r="E988" s="49" t="s">
        <v>379</v>
      </c>
    </row>
    <row r="989" spans="1:5" x14ac:dyDescent="0.3">
      <c r="A989" s="49" t="s">
        <v>908</v>
      </c>
      <c r="B989" s="49" t="s">
        <v>409</v>
      </c>
      <c r="C989" s="49" t="s">
        <v>449</v>
      </c>
      <c r="D989">
        <v>5</v>
      </c>
      <c r="E989" s="49" t="s">
        <v>379</v>
      </c>
    </row>
    <row r="990" spans="1:5" x14ac:dyDescent="0.3">
      <c r="A990" s="49" t="s">
        <v>908</v>
      </c>
      <c r="B990" s="49" t="s">
        <v>578</v>
      </c>
      <c r="C990" s="49" t="s">
        <v>449</v>
      </c>
      <c r="D990">
        <v>99</v>
      </c>
      <c r="E990" s="49" t="s">
        <v>379</v>
      </c>
    </row>
    <row r="991" spans="1:5" x14ac:dyDescent="0.3">
      <c r="A991" s="49" t="s">
        <v>909</v>
      </c>
      <c r="B991" s="49" t="s">
        <v>409</v>
      </c>
      <c r="C991" s="49" t="s">
        <v>449</v>
      </c>
      <c r="D991">
        <v>5</v>
      </c>
      <c r="E991" s="49" t="s">
        <v>379</v>
      </c>
    </row>
    <row r="992" spans="1:5" x14ac:dyDescent="0.3">
      <c r="A992" s="49" t="s">
        <v>909</v>
      </c>
      <c r="B992" s="49" t="s">
        <v>578</v>
      </c>
      <c r="C992" s="49" t="s">
        <v>449</v>
      </c>
      <c r="D992">
        <v>99</v>
      </c>
      <c r="E992" s="49" t="s">
        <v>379</v>
      </c>
    </row>
    <row r="993" spans="1:5" x14ac:dyDescent="0.3">
      <c r="A993" s="49" t="s">
        <v>910</v>
      </c>
      <c r="B993" s="49" t="s">
        <v>409</v>
      </c>
      <c r="C993" s="49" t="s">
        <v>449</v>
      </c>
      <c r="D993">
        <v>5</v>
      </c>
      <c r="E993" s="49" t="s">
        <v>379</v>
      </c>
    </row>
    <row r="994" spans="1:5" x14ac:dyDescent="0.3">
      <c r="A994" s="49" t="s">
        <v>910</v>
      </c>
      <c r="B994" s="49" t="s">
        <v>578</v>
      </c>
      <c r="C994" s="49" t="s">
        <v>449</v>
      </c>
      <c r="D994">
        <v>99</v>
      </c>
      <c r="E994" s="49" t="s">
        <v>379</v>
      </c>
    </row>
    <row r="995" spans="1:5" x14ac:dyDescent="0.3">
      <c r="A995" s="49" t="s">
        <v>911</v>
      </c>
      <c r="B995" s="49" t="s">
        <v>409</v>
      </c>
      <c r="C995" s="49" t="s">
        <v>449</v>
      </c>
      <c r="D995">
        <v>5</v>
      </c>
      <c r="E995" s="49" t="s">
        <v>379</v>
      </c>
    </row>
    <row r="996" spans="1:5" x14ac:dyDescent="0.3">
      <c r="A996" s="49" t="s">
        <v>911</v>
      </c>
      <c r="B996" s="49" t="s">
        <v>578</v>
      </c>
      <c r="C996" s="49" t="s">
        <v>449</v>
      </c>
      <c r="D996">
        <v>99</v>
      </c>
      <c r="E996" s="49" t="s">
        <v>379</v>
      </c>
    </row>
    <row r="997" spans="1:5" x14ac:dyDescent="0.3">
      <c r="A997" s="49" t="s">
        <v>912</v>
      </c>
      <c r="B997" s="49" t="s">
        <v>409</v>
      </c>
      <c r="C997" s="49" t="s">
        <v>449</v>
      </c>
      <c r="D997">
        <v>5</v>
      </c>
      <c r="E997" s="49" t="s">
        <v>379</v>
      </c>
    </row>
    <row r="998" spans="1:5" x14ac:dyDescent="0.3">
      <c r="A998" s="49" t="s">
        <v>912</v>
      </c>
      <c r="B998" s="49" t="s">
        <v>578</v>
      </c>
      <c r="C998" s="49" t="s">
        <v>449</v>
      </c>
      <c r="D998">
        <v>99</v>
      </c>
      <c r="E998" s="49" t="s">
        <v>379</v>
      </c>
    </row>
    <row r="999" spans="1:5" x14ac:dyDescent="0.3">
      <c r="A999" s="49" t="s">
        <v>913</v>
      </c>
      <c r="B999" s="49" t="s">
        <v>409</v>
      </c>
      <c r="C999" s="49" t="s">
        <v>449</v>
      </c>
      <c r="D999">
        <v>5</v>
      </c>
      <c r="E999" s="49" t="s">
        <v>378</v>
      </c>
    </row>
    <row r="1000" spans="1:5" x14ac:dyDescent="0.3">
      <c r="A1000" s="49" t="s">
        <v>913</v>
      </c>
      <c r="B1000" s="49" t="s">
        <v>578</v>
      </c>
      <c r="C1000" s="49" t="s">
        <v>449</v>
      </c>
      <c r="D1000">
        <v>99</v>
      </c>
      <c r="E1000" s="49" t="s">
        <v>378</v>
      </c>
    </row>
    <row r="1001" spans="1:5" x14ac:dyDescent="0.3">
      <c r="A1001" s="49" t="s">
        <v>914</v>
      </c>
      <c r="B1001" s="49" t="s">
        <v>409</v>
      </c>
      <c r="C1001" s="49" t="s">
        <v>449</v>
      </c>
      <c r="D1001">
        <v>5</v>
      </c>
      <c r="E1001" s="49" t="s">
        <v>378</v>
      </c>
    </row>
    <row r="1002" spans="1:5" x14ac:dyDescent="0.3">
      <c r="A1002" s="49" t="s">
        <v>914</v>
      </c>
      <c r="B1002" s="49" t="s">
        <v>578</v>
      </c>
      <c r="C1002" s="49" t="s">
        <v>449</v>
      </c>
      <c r="D1002">
        <v>99</v>
      </c>
      <c r="E1002" s="49" t="s">
        <v>378</v>
      </c>
    </row>
    <row r="1003" spans="1:5" x14ac:dyDescent="0.3">
      <c r="A1003" s="49" t="s">
        <v>915</v>
      </c>
      <c r="B1003" s="49" t="s">
        <v>409</v>
      </c>
      <c r="C1003" s="49" t="s">
        <v>449</v>
      </c>
      <c r="D1003">
        <v>5</v>
      </c>
      <c r="E1003" s="49" t="s">
        <v>378</v>
      </c>
    </row>
    <row r="1004" spans="1:5" x14ac:dyDescent="0.3">
      <c r="A1004" s="49" t="s">
        <v>915</v>
      </c>
      <c r="B1004" s="49" t="s">
        <v>578</v>
      </c>
      <c r="C1004" s="49" t="s">
        <v>449</v>
      </c>
      <c r="D1004">
        <v>99</v>
      </c>
      <c r="E1004" s="49" t="s">
        <v>378</v>
      </c>
    </row>
    <row r="1005" spans="1:5" x14ac:dyDescent="0.3">
      <c r="A1005" s="49" t="s">
        <v>916</v>
      </c>
      <c r="B1005" s="49" t="s">
        <v>409</v>
      </c>
      <c r="C1005" s="49" t="s">
        <v>449</v>
      </c>
      <c r="D1005">
        <v>5</v>
      </c>
      <c r="E1005" s="49" t="s">
        <v>378</v>
      </c>
    </row>
    <row r="1006" spans="1:5" x14ac:dyDescent="0.3">
      <c r="A1006" s="49" t="s">
        <v>916</v>
      </c>
      <c r="B1006" s="49" t="s">
        <v>578</v>
      </c>
      <c r="C1006" s="49" t="s">
        <v>449</v>
      </c>
      <c r="D1006">
        <v>99</v>
      </c>
      <c r="E1006" s="49" t="s">
        <v>378</v>
      </c>
    </row>
    <row r="1007" spans="1:5" x14ac:dyDescent="0.3">
      <c r="A1007" s="49" t="s">
        <v>917</v>
      </c>
      <c r="B1007" s="49" t="s">
        <v>409</v>
      </c>
      <c r="C1007" s="49" t="s">
        <v>449</v>
      </c>
      <c r="D1007">
        <v>5</v>
      </c>
      <c r="E1007" s="49" t="s">
        <v>378</v>
      </c>
    </row>
    <row r="1008" spans="1:5" x14ac:dyDescent="0.3">
      <c r="A1008" s="49" t="s">
        <v>917</v>
      </c>
      <c r="B1008" s="49" t="s">
        <v>578</v>
      </c>
      <c r="C1008" s="49" t="s">
        <v>449</v>
      </c>
      <c r="D1008">
        <v>99</v>
      </c>
      <c r="E1008" s="49" t="s">
        <v>378</v>
      </c>
    </row>
    <row r="1009" spans="1:5" x14ac:dyDescent="0.3">
      <c r="A1009" s="49" t="s">
        <v>918</v>
      </c>
      <c r="B1009" s="49" t="s">
        <v>409</v>
      </c>
      <c r="C1009" s="49" t="s">
        <v>449</v>
      </c>
      <c r="D1009">
        <v>5</v>
      </c>
      <c r="E1009" s="49" t="s">
        <v>378</v>
      </c>
    </row>
    <row r="1010" spans="1:5" x14ac:dyDescent="0.3">
      <c r="A1010" s="49" t="s">
        <v>918</v>
      </c>
      <c r="B1010" s="49" t="s">
        <v>578</v>
      </c>
      <c r="C1010" s="49" t="s">
        <v>449</v>
      </c>
      <c r="D1010">
        <v>99</v>
      </c>
      <c r="E1010" s="49" t="s">
        <v>378</v>
      </c>
    </row>
    <row r="1011" spans="1:5" x14ac:dyDescent="0.3">
      <c r="A1011" s="49" t="s">
        <v>441</v>
      </c>
      <c r="B1011" s="49" t="s">
        <v>409</v>
      </c>
      <c r="C1011" s="49" t="s">
        <v>470</v>
      </c>
      <c r="D1011">
        <v>13</v>
      </c>
      <c r="E1011" s="49" t="s">
        <v>379</v>
      </c>
    </row>
    <row r="1012" spans="1:5" x14ac:dyDescent="0.3">
      <c r="A1012" s="49" t="s">
        <v>442</v>
      </c>
      <c r="B1012" s="49" t="s">
        <v>409</v>
      </c>
      <c r="C1012" s="49" t="s">
        <v>470</v>
      </c>
      <c r="D1012">
        <v>13</v>
      </c>
      <c r="E1012" s="49" t="s">
        <v>379</v>
      </c>
    </row>
    <row r="1013" spans="1:5" x14ac:dyDescent="0.3">
      <c r="A1013" s="49" t="s">
        <v>443</v>
      </c>
      <c r="B1013" s="49" t="s">
        <v>409</v>
      </c>
      <c r="C1013" s="49" t="s">
        <v>470</v>
      </c>
      <c r="D1013">
        <v>13</v>
      </c>
      <c r="E1013" s="49" t="s">
        <v>379</v>
      </c>
    </row>
    <row r="1014" spans="1:5" x14ac:dyDescent="0.3">
      <c r="A1014" s="49" t="s">
        <v>444</v>
      </c>
      <c r="B1014" s="49" t="s">
        <v>409</v>
      </c>
      <c r="C1014" s="49" t="s">
        <v>470</v>
      </c>
      <c r="D1014">
        <v>13</v>
      </c>
      <c r="E1014" s="49" t="s">
        <v>379</v>
      </c>
    </row>
    <row r="1015" spans="1:5" x14ac:dyDescent="0.3">
      <c r="A1015" s="49" t="s">
        <v>445</v>
      </c>
      <c r="B1015" s="49" t="s">
        <v>409</v>
      </c>
      <c r="C1015" s="49" t="s">
        <v>470</v>
      </c>
      <c r="D1015">
        <v>13</v>
      </c>
      <c r="E1015" s="49" t="s">
        <v>378</v>
      </c>
    </row>
    <row r="1016" spans="1:5" x14ac:dyDescent="0.3">
      <c r="A1016" s="49" t="s">
        <v>446</v>
      </c>
      <c r="B1016" s="49" t="s">
        <v>409</v>
      </c>
      <c r="C1016" s="49" t="s">
        <v>470</v>
      </c>
      <c r="D1016">
        <v>13</v>
      </c>
      <c r="E1016" s="49" t="s">
        <v>378</v>
      </c>
    </row>
    <row r="1017" spans="1:5" x14ac:dyDescent="0.3">
      <c r="A1017" s="49" t="s">
        <v>447</v>
      </c>
      <c r="B1017" s="49" t="s">
        <v>409</v>
      </c>
      <c r="C1017" s="49" t="s">
        <v>470</v>
      </c>
      <c r="D1017">
        <v>13</v>
      </c>
      <c r="E1017" s="49" t="s">
        <v>378</v>
      </c>
    </row>
    <row r="1018" spans="1:5" x14ac:dyDescent="0.3">
      <c r="A1018" s="49" t="s">
        <v>448</v>
      </c>
      <c r="B1018" s="49" t="s">
        <v>409</v>
      </c>
      <c r="C1018" s="49" t="s">
        <v>470</v>
      </c>
      <c r="D1018">
        <v>13</v>
      </c>
      <c r="E1018" s="49" t="s">
        <v>378</v>
      </c>
    </row>
    <row r="1019" spans="1:5" x14ac:dyDescent="0.3">
      <c r="A1019" s="49" t="s">
        <v>919</v>
      </c>
      <c r="B1019" s="49" t="s">
        <v>409</v>
      </c>
      <c r="C1019" s="49" t="s">
        <v>449</v>
      </c>
      <c r="D1019">
        <v>7</v>
      </c>
      <c r="E1019" s="49" t="s">
        <v>379</v>
      </c>
    </row>
    <row r="1020" spans="1:5" x14ac:dyDescent="0.3">
      <c r="A1020" s="49" t="s">
        <v>919</v>
      </c>
      <c r="B1020" s="49" t="s">
        <v>578</v>
      </c>
      <c r="C1020" s="49" t="s">
        <v>449</v>
      </c>
      <c r="D1020">
        <v>99</v>
      </c>
      <c r="E1020" s="49" t="s">
        <v>379</v>
      </c>
    </row>
    <row r="1021" spans="1:5" x14ac:dyDescent="0.3">
      <c r="A1021" s="49" t="s">
        <v>920</v>
      </c>
      <c r="B1021" s="49" t="s">
        <v>409</v>
      </c>
      <c r="C1021" s="49" t="s">
        <v>449</v>
      </c>
      <c r="D1021">
        <v>7</v>
      </c>
      <c r="E1021" s="49" t="s">
        <v>379</v>
      </c>
    </row>
    <row r="1022" spans="1:5" x14ac:dyDescent="0.3">
      <c r="A1022" s="49" t="s">
        <v>920</v>
      </c>
      <c r="B1022" s="49" t="s">
        <v>578</v>
      </c>
      <c r="C1022" s="49" t="s">
        <v>449</v>
      </c>
      <c r="D1022">
        <v>99</v>
      </c>
      <c r="E1022" s="49" t="s">
        <v>379</v>
      </c>
    </row>
    <row r="1023" spans="1:5" x14ac:dyDescent="0.3">
      <c r="A1023" s="49" t="s">
        <v>921</v>
      </c>
      <c r="B1023" s="49" t="s">
        <v>409</v>
      </c>
      <c r="C1023" s="49" t="s">
        <v>449</v>
      </c>
      <c r="D1023">
        <v>7</v>
      </c>
      <c r="E1023" s="49" t="s">
        <v>379</v>
      </c>
    </row>
    <row r="1024" spans="1:5" x14ac:dyDescent="0.3">
      <c r="A1024" s="49" t="s">
        <v>921</v>
      </c>
      <c r="B1024" s="49" t="s">
        <v>578</v>
      </c>
      <c r="C1024" s="49" t="s">
        <v>449</v>
      </c>
      <c r="D1024">
        <v>99</v>
      </c>
      <c r="E1024" s="49" t="s">
        <v>379</v>
      </c>
    </row>
    <row r="1025" spans="1:5" x14ac:dyDescent="0.3">
      <c r="A1025" s="49" t="s">
        <v>922</v>
      </c>
      <c r="B1025" s="49" t="s">
        <v>409</v>
      </c>
      <c r="C1025" s="49" t="s">
        <v>449</v>
      </c>
      <c r="D1025">
        <v>7</v>
      </c>
      <c r="E1025" s="49" t="s">
        <v>379</v>
      </c>
    </row>
    <row r="1026" spans="1:5" x14ac:dyDescent="0.3">
      <c r="A1026" s="49" t="s">
        <v>922</v>
      </c>
      <c r="B1026" s="49" t="s">
        <v>578</v>
      </c>
      <c r="C1026" s="49" t="s">
        <v>449</v>
      </c>
      <c r="D1026">
        <v>99</v>
      </c>
      <c r="E1026" s="49" t="s">
        <v>379</v>
      </c>
    </row>
    <row r="1027" spans="1:5" x14ac:dyDescent="0.3">
      <c r="A1027" s="49" t="s">
        <v>923</v>
      </c>
      <c r="B1027" s="49" t="s">
        <v>409</v>
      </c>
      <c r="C1027" s="49" t="s">
        <v>449</v>
      </c>
      <c r="D1027">
        <v>7</v>
      </c>
      <c r="E1027" s="49" t="s">
        <v>379</v>
      </c>
    </row>
    <row r="1028" spans="1:5" x14ac:dyDescent="0.3">
      <c r="A1028" s="49" t="s">
        <v>923</v>
      </c>
      <c r="B1028" s="49" t="s">
        <v>578</v>
      </c>
      <c r="C1028" s="49" t="s">
        <v>449</v>
      </c>
      <c r="D1028">
        <v>99</v>
      </c>
      <c r="E1028" s="49" t="s">
        <v>379</v>
      </c>
    </row>
    <row r="1029" spans="1:5" x14ac:dyDescent="0.3">
      <c r="A1029" s="49" t="s">
        <v>924</v>
      </c>
      <c r="B1029" s="49" t="s">
        <v>409</v>
      </c>
      <c r="C1029" s="49" t="s">
        <v>449</v>
      </c>
      <c r="D1029">
        <v>7</v>
      </c>
      <c r="E1029" s="49" t="s">
        <v>378</v>
      </c>
    </row>
    <row r="1030" spans="1:5" x14ac:dyDescent="0.3">
      <c r="A1030" s="49" t="s">
        <v>924</v>
      </c>
      <c r="B1030" s="49" t="s">
        <v>578</v>
      </c>
      <c r="C1030" s="49" t="s">
        <v>449</v>
      </c>
      <c r="D1030">
        <v>99</v>
      </c>
      <c r="E1030" s="49" t="s">
        <v>378</v>
      </c>
    </row>
    <row r="1031" spans="1:5" x14ac:dyDescent="0.3">
      <c r="A1031" s="49" t="s">
        <v>925</v>
      </c>
      <c r="B1031" s="49" t="s">
        <v>409</v>
      </c>
      <c r="C1031" s="49" t="s">
        <v>449</v>
      </c>
      <c r="D1031">
        <v>7</v>
      </c>
      <c r="E1031" s="49" t="s">
        <v>378</v>
      </c>
    </row>
    <row r="1032" spans="1:5" x14ac:dyDescent="0.3">
      <c r="A1032" s="49" t="s">
        <v>925</v>
      </c>
      <c r="B1032" s="49" t="s">
        <v>578</v>
      </c>
      <c r="C1032" s="49" t="s">
        <v>449</v>
      </c>
      <c r="D1032">
        <v>99</v>
      </c>
      <c r="E1032" s="49" t="s">
        <v>378</v>
      </c>
    </row>
    <row r="1033" spans="1:5" x14ac:dyDescent="0.3">
      <c r="A1033" s="49" t="s">
        <v>926</v>
      </c>
      <c r="B1033" s="49" t="s">
        <v>409</v>
      </c>
      <c r="C1033" s="49" t="s">
        <v>449</v>
      </c>
      <c r="D1033">
        <v>7</v>
      </c>
      <c r="E1033" s="49" t="s">
        <v>378</v>
      </c>
    </row>
    <row r="1034" spans="1:5" x14ac:dyDescent="0.3">
      <c r="A1034" s="49" t="s">
        <v>926</v>
      </c>
      <c r="B1034" s="49" t="s">
        <v>578</v>
      </c>
      <c r="C1034" s="49" t="s">
        <v>449</v>
      </c>
      <c r="D1034">
        <v>99</v>
      </c>
      <c r="E1034" s="49" t="s">
        <v>378</v>
      </c>
    </row>
    <row r="1035" spans="1:5" x14ac:dyDescent="0.3">
      <c r="A1035" s="49" t="s">
        <v>927</v>
      </c>
      <c r="B1035" s="49" t="s">
        <v>409</v>
      </c>
      <c r="C1035" s="49" t="s">
        <v>449</v>
      </c>
      <c r="D1035">
        <v>7</v>
      </c>
      <c r="E1035" s="49" t="s">
        <v>378</v>
      </c>
    </row>
    <row r="1036" spans="1:5" x14ac:dyDescent="0.3">
      <c r="A1036" s="49" t="s">
        <v>927</v>
      </c>
      <c r="B1036" s="49" t="s">
        <v>578</v>
      </c>
      <c r="C1036" s="49" t="s">
        <v>449</v>
      </c>
      <c r="D1036">
        <v>99</v>
      </c>
      <c r="E1036" s="49" t="s">
        <v>378</v>
      </c>
    </row>
    <row r="1037" spans="1:5" x14ac:dyDescent="0.3">
      <c r="A1037" s="49" t="s">
        <v>928</v>
      </c>
      <c r="B1037" s="49" t="s">
        <v>409</v>
      </c>
      <c r="C1037" s="49" t="s">
        <v>449</v>
      </c>
      <c r="D1037">
        <v>7</v>
      </c>
      <c r="E1037" s="49" t="s">
        <v>378</v>
      </c>
    </row>
    <row r="1038" spans="1:5" x14ac:dyDescent="0.3">
      <c r="A1038" s="49" t="s">
        <v>928</v>
      </c>
      <c r="B1038" s="49" t="s">
        <v>578</v>
      </c>
      <c r="C1038" s="49" t="s">
        <v>449</v>
      </c>
      <c r="D1038">
        <v>99</v>
      </c>
      <c r="E1038" s="49" t="s">
        <v>378</v>
      </c>
    </row>
    <row r="1039" spans="1:5" x14ac:dyDescent="0.3">
      <c r="A1039" s="49" t="s">
        <v>929</v>
      </c>
      <c r="B1039" s="49" t="s">
        <v>409</v>
      </c>
      <c r="C1039" s="49" t="s">
        <v>449</v>
      </c>
      <c r="D1039">
        <v>7</v>
      </c>
      <c r="E1039" s="49" t="s">
        <v>378</v>
      </c>
    </row>
    <row r="1040" spans="1:5" x14ac:dyDescent="0.3">
      <c r="A1040" s="49" t="s">
        <v>929</v>
      </c>
      <c r="B1040" s="49" t="s">
        <v>578</v>
      </c>
      <c r="C1040" s="49" t="s">
        <v>449</v>
      </c>
      <c r="D1040">
        <v>99</v>
      </c>
      <c r="E1040" s="49" t="s">
        <v>378</v>
      </c>
    </row>
    <row r="1041" spans="1:5" x14ac:dyDescent="0.3">
      <c r="A1041" s="49" t="s">
        <v>930</v>
      </c>
      <c r="B1041" s="49" t="s">
        <v>409</v>
      </c>
      <c r="C1041" s="49" t="s">
        <v>449</v>
      </c>
      <c r="D1041">
        <v>7</v>
      </c>
      <c r="E1041" s="49" t="s">
        <v>378</v>
      </c>
    </row>
    <row r="1042" spans="1:5" x14ac:dyDescent="0.3">
      <c r="A1042" s="49" t="s">
        <v>930</v>
      </c>
      <c r="B1042" s="49" t="s">
        <v>578</v>
      </c>
      <c r="C1042" s="49" t="s">
        <v>449</v>
      </c>
      <c r="D1042">
        <v>99</v>
      </c>
      <c r="E1042" s="49" t="s">
        <v>378</v>
      </c>
    </row>
    <row r="1043" spans="1:5" x14ac:dyDescent="0.3">
      <c r="A1043" s="49" t="s">
        <v>931</v>
      </c>
      <c r="B1043" s="49" t="s">
        <v>409</v>
      </c>
      <c r="C1043" s="49" t="s">
        <v>449</v>
      </c>
      <c r="D1043">
        <v>7</v>
      </c>
      <c r="E1043" s="49" t="s">
        <v>378</v>
      </c>
    </row>
    <row r="1044" spans="1:5" x14ac:dyDescent="0.3">
      <c r="A1044" s="49" t="s">
        <v>931</v>
      </c>
      <c r="B1044" s="49" t="s">
        <v>578</v>
      </c>
      <c r="C1044" s="49" t="s">
        <v>449</v>
      </c>
      <c r="D1044">
        <v>99</v>
      </c>
      <c r="E1044" s="49" t="s">
        <v>378</v>
      </c>
    </row>
    <row r="1045" spans="1:5" x14ac:dyDescent="0.3">
      <c r="A1045" s="49" t="s">
        <v>932</v>
      </c>
      <c r="B1045" s="49" t="s">
        <v>409</v>
      </c>
      <c r="C1045" s="49" t="s">
        <v>449</v>
      </c>
      <c r="D1045">
        <v>7</v>
      </c>
      <c r="E1045" s="49" t="s">
        <v>378</v>
      </c>
    </row>
    <row r="1046" spans="1:5" x14ac:dyDescent="0.3">
      <c r="A1046" s="49" t="s">
        <v>932</v>
      </c>
      <c r="B1046" s="49" t="s">
        <v>578</v>
      </c>
      <c r="C1046" s="49" t="s">
        <v>449</v>
      </c>
      <c r="D1046">
        <v>99</v>
      </c>
      <c r="E1046" s="49" t="s">
        <v>378</v>
      </c>
    </row>
    <row r="1047" spans="1:5" x14ac:dyDescent="0.3">
      <c r="A1047" s="49" t="s">
        <v>933</v>
      </c>
      <c r="B1047" s="49" t="s">
        <v>409</v>
      </c>
      <c r="C1047" s="49" t="s">
        <v>449</v>
      </c>
      <c r="D1047">
        <v>7</v>
      </c>
      <c r="E1047" s="49" t="s">
        <v>378</v>
      </c>
    </row>
    <row r="1048" spans="1:5" x14ac:dyDescent="0.3">
      <c r="A1048" s="49" t="s">
        <v>933</v>
      </c>
      <c r="B1048" s="49" t="s">
        <v>578</v>
      </c>
      <c r="C1048" s="49" t="s">
        <v>449</v>
      </c>
      <c r="D1048">
        <v>99</v>
      </c>
      <c r="E1048" s="49" t="s">
        <v>378</v>
      </c>
    </row>
    <row r="1049" spans="1:5" x14ac:dyDescent="0.3">
      <c r="A1049" s="49" t="s">
        <v>934</v>
      </c>
      <c r="B1049" s="49" t="s">
        <v>409</v>
      </c>
      <c r="C1049" s="49" t="s">
        <v>449</v>
      </c>
      <c r="D1049">
        <v>7</v>
      </c>
      <c r="E1049" s="49" t="s">
        <v>378</v>
      </c>
    </row>
    <row r="1050" spans="1:5" x14ac:dyDescent="0.3">
      <c r="A1050" s="49" t="s">
        <v>934</v>
      </c>
      <c r="B1050" s="49" t="s">
        <v>578</v>
      </c>
      <c r="C1050" s="49" t="s">
        <v>449</v>
      </c>
      <c r="D1050">
        <v>99</v>
      </c>
      <c r="E1050" s="49" t="s">
        <v>378</v>
      </c>
    </row>
    <row r="1051" spans="1:5" x14ac:dyDescent="0.3">
      <c r="A1051" s="49" t="s">
        <v>935</v>
      </c>
      <c r="B1051" s="49" t="s">
        <v>409</v>
      </c>
      <c r="C1051" s="49" t="s">
        <v>449</v>
      </c>
      <c r="D1051">
        <v>7</v>
      </c>
      <c r="E1051" s="49" t="s">
        <v>378</v>
      </c>
    </row>
    <row r="1052" spans="1:5" x14ac:dyDescent="0.3">
      <c r="A1052" s="49" t="s">
        <v>935</v>
      </c>
      <c r="B1052" s="49" t="s">
        <v>578</v>
      </c>
      <c r="C1052" s="49" t="s">
        <v>449</v>
      </c>
      <c r="D1052">
        <v>99</v>
      </c>
      <c r="E1052" s="49" t="s">
        <v>378</v>
      </c>
    </row>
    <row r="1053" spans="1:5" x14ac:dyDescent="0.3">
      <c r="A1053" s="49" t="s">
        <v>936</v>
      </c>
      <c r="B1053" s="49" t="s">
        <v>409</v>
      </c>
      <c r="C1053" s="49" t="s">
        <v>449</v>
      </c>
      <c r="D1053">
        <v>7</v>
      </c>
      <c r="E1053" s="49" t="s">
        <v>378</v>
      </c>
    </row>
    <row r="1054" spans="1:5" x14ac:dyDescent="0.3">
      <c r="A1054" s="49" t="s">
        <v>936</v>
      </c>
      <c r="B1054" s="49" t="s">
        <v>578</v>
      </c>
      <c r="C1054" s="49" t="s">
        <v>449</v>
      </c>
      <c r="D1054">
        <v>99</v>
      </c>
      <c r="E1054" s="49" t="s">
        <v>378</v>
      </c>
    </row>
    <row r="1055" spans="1:5" x14ac:dyDescent="0.3">
      <c r="A1055" s="49" t="s">
        <v>937</v>
      </c>
      <c r="B1055" s="49" t="s">
        <v>409</v>
      </c>
      <c r="C1055" s="49" t="s">
        <v>449</v>
      </c>
      <c r="D1055">
        <v>7</v>
      </c>
      <c r="E1055" s="49" t="s">
        <v>378</v>
      </c>
    </row>
    <row r="1056" spans="1:5" x14ac:dyDescent="0.3">
      <c r="A1056" s="49" t="s">
        <v>937</v>
      </c>
      <c r="B1056" s="49" t="s">
        <v>578</v>
      </c>
      <c r="C1056" s="49" t="s">
        <v>449</v>
      </c>
      <c r="D1056">
        <v>99</v>
      </c>
      <c r="E1056" s="49" t="s">
        <v>378</v>
      </c>
    </row>
    <row r="1057" spans="1:5" x14ac:dyDescent="0.3">
      <c r="A1057" s="49" t="s">
        <v>938</v>
      </c>
      <c r="B1057" s="49" t="s">
        <v>409</v>
      </c>
      <c r="C1057" s="49" t="s">
        <v>449</v>
      </c>
      <c r="D1057">
        <v>7</v>
      </c>
      <c r="E1057" s="49" t="s">
        <v>378</v>
      </c>
    </row>
    <row r="1058" spans="1:5" x14ac:dyDescent="0.3">
      <c r="A1058" s="49" t="s">
        <v>938</v>
      </c>
      <c r="B1058" s="49" t="s">
        <v>578</v>
      </c>
      <c r="C1058" s="49" t="s">
        <v>449</v>
      </c>
      <c r="D1058">
        <v>99</v>
      </c>
      <c r="E1058" s="49" t="s">
        <v>378</v>
      </c>
    </row>
    <row r="1059" spans="1:5" x14ac:dyDescent="0.3">
      <c r="A1059" s="49" t="s">
        <v>939</v>
      </c>
      <c r="B1059" s="49" t="s">
        <v>409</v>
      </c>
      <c r="C1059" s="49" t="s">
        <v>449</v>
      </c>
      <c r="D1059">
        <v>7</v>
      </c>
      <c r="E1059" s="49" t="s">
        <v>378</v>
      </c>
    </row>
    <row r="1060" spans="1:5" x14ac:dyDescent="0.3">
      <c r="A1060" s="49" t="s">
        <v>939</v>
      </c>
      <c r="B1060" s="49" t="s">
        <v>578</v>
      </c>
      <c r="C1060" s="49" t="s">
        <v>449</v>
      </c>
      <c r="D1060">
        <v>99</v>
      </c>
      <c r="E1060" s="49" t="s">
        <v>378</v>
      </c>
    </row>
    <row r="1061" spans="1:5" x14ac:dyDescent="0.3">
      <c r="A1061" s="49" t="s">
        <v>940</v>
      </c>
      <c r="B1061" s="49" t="s">
        <v>409</v>
      </c>
      <c r="C1061" s="49" t="s">
        <v>449</v>
      </c>
      <c r="D1061">
        <v>7</v>
      </c>
      <c r="E1061" s="49" t="s">
        <v>378</v>
      </c>
    </row>
    <row r="1062" spans="1:5" x14ac:dyDescent="0.3">
      <c r="A1062" s="49" t="s">
        <v>940</v>
      </c>
      <c r="B1062" s="49" t="s">
        <v>578</v>
      </c>
      <c r="C1062" s="49" t="s">
        <v>449</v>
      </c>
      <c r="D1062">
        <v>99</v>
      </c>
      <c r="E1062" s="49" t="s">
        <v>378</v>
      </c>
    </row>
    <row r="1063" spans="1:5" x14ac:dyDescent="0.3">
      <c r="A1063" s="49" t="s">
        <v>941</v>
      </c>
      <c r="B1063" s="49" t="s">
        <v>409</v>
      </c>
      <c r="C1063" s="49" t="s">
        <v>449</v>
      </c>
      <c r="D1063">
        <v>7</v>
      </c>
      <c r="E1063" s="49" t="s">
        <v>378</v>
      </c>
    </row>
    <row r="1064" spans="1:5" x14ac:dyDescent="0.3">
      <c r="A1064" s="49" t="s">
        <v>941</v>
      </c>
      <c r="B1064" s="49" t="s">
        <v>578</v>
      </c>
      <c r="C1064" s="49" t="s">
        <v>449</v>
      </c>
      <c r="D1064">
        <v>99</v>
      </c>
      <c r="E1064" s="49" t="s">
        <v>378</v>
      </c>
    </row>
    <row r="1065" spans="1:5" x14ac:dyDescent="0.3">
      <c r="A1065" s="49" t="s">
        <v>942</v>
      </c>
      <c r="B1065" s="49" t="s">
        <v>409</v>
      </c>
      <c r="C1065" s="49" t="s">
        <v>449</v>
      </c>
      <c r="D1065">
        <v>6</v>
      </c>
      <c r="E1065" s="49" t="s">
        <v>379</v>
      </c>
    </row>
    <row r="1066" spans="1:5" x14ac:dyDescent="0.3">
      <c r="A1066" s="49" t="s">
        <v>942</v>
      </c>
      <c r="B1066" s="49" t="s">
        <v>578</v>
      </c>
      <c r="C1066" s="49" t="s">
        <v>449</v>
      </c>
      <c r="D1066">
        <v>99</v>
      </c>
      <c r="E1066" s="49" t="s">
        <v>379</v>
      </c>
    </row>
    <row r="1067" spans="1:5" x14ac:dyDescent="0.3">
      <c r="A1067" s="49" t="s">
        <v>943</v>
      </c>
      <c r="B1067" s="49" t="s">
        <v>409</v>
      </c>
      <c r="C1067" s="49" t="s">
        <v>449</v>
      </c>
      <c r="D1067">
        <v>6</v>
      </c>
      <c r="E1067" s="49" t="s">
        <v>379</v>
      </c>
    </row>
    <row r="1068" spans="1:5" x14ac:dyDescent="0.3">
      <c r="A1068" s="49" t="s">
        <v>943</v>
      </c>
      <c r="B1068" s="49" t="s">
        <v>578</v>
      </c>
      <c r="C1068" s="49" t="s">
        <v>449</v>
      </c>
      <c r="D1068">
        <v>99</v>
      </c>
      <c r="E1068" s="49" t="s">
        <v>379</v>
      </c>
    </row>
    <row r="1069" spans="1:5" x14ac:dyDescent="0.3">
      <c r="A1069" s="49" t="s">
        <v>944</v>
      </c>
      <c r="B1069" s="49" t="s">
        <v>409</v>
      </c>
      <c r="C1069" s="49" t="s">
        <v>449</v>
      </c>
      <c r="D1069">
        <v>6</v>
      </c>
      <c r="E1069" s="49" t="s">
        <v>378</v>
      </c>
    </row>
    <row r="1070" spans="1:5" x14ac:dyDescent="0.3">
      <c r="A1070" s="49" t="s">
        <v>944</v>
      </c>
      <c r="B1070" s="49" t="s">
        <v>578</v>
      </c>
      <c r="C1070" s="49" t="s">
        <v>449</v>
      </c>
      <c r="D1070">
        <v>99</v>
      </c>
      <c r="E1070" s="49" t="s">
        <v>378</v>
      </c>
    </row>
    <row r="1071" spans="1:5" x14ac:dyDescent="0.3">
      <c r="A1071" s="49" t="s">
        <v>945</v>
      </c>
      <c r="B1071" s="49" t="s">
        <v>409</v>
      </c>
      <c r="C1071" s="49" t="s">
        <v>449</v>
      </c>
      <c r="D1071">
        <v>6</v>
      </c>
      <c r="E1071" s="49" t="s">
        <v>378</v>
      </c>
    </row>
    <row r="1072" spans="1:5" x14ac:dyDescent="0.3">
      <c r="A1072" s="49" t="s">
        <v>945</v>
      </c>
      <c r="B1072" s="49" t="s">
        <v>578</v>
      </c>
      <c r="C1072" s="49" t="s">
        <v>449</v>
      </c>
      <c r="D1072">
        <v>99</v>
      </c>
      <c r="E1072" s="49" t="s">
        <v>378</v>
      </c>
    </row>
    <row r="1073" spans="1:5" x14ac:dyDescent="0.3">
      <c r="A1073" s="49" t="s">
        <v>946</v>
      </c>
      <c r="B1073" s="49" t="s">
        <v>409</v>
      </c>
      <c r="C1073" s="49" t="s">
        <v>449</v>
      </c>
      <c r="D1073">
        <v>6</v>
      </c>
      <c r="E1073" s="49" t="s">
        <v>378</v>
      </c>
    </row>
    <row r="1074" spans="1:5" x14ac:dyDescent="0.3">
      <c r="A1074" s="49" t="s">
        <v>946</v>
      </c>
      <c r="B1074" s="49" t="s">
        <v>578</v>
      </c>
      <c r="C1074" s="49" t="s">
        <v>449</v>
      </c>
      <c r="D1074">
        <v>99</v>
      </c>
      <c r="E1074" s="49" t="s">
        <v>378</v>
      </c>
    </row>
    <row r="1075" spans="1:5" x14ac:dyDescent="0.3">
      <c r="A1075" s="49" t="s">
        <v>947</v>
      </c>
      <c r="B1075" s="49" t="s">
        <v>409</v>
      </c>
      <c r="C1075" s="49" t="s">
        <v>449</v>
      </c>
      <c r="D1075">
        <v>6</v>
      </c>
      <c r="E1075" s="49" t="s">
        <v>378</v>
      </c>
    </row>
    <row r="1076" spans="1:5" x14ac:dyDescent="0.3">
      <c r="A1076" s="49" t="s">
        <v>947</v>
      </c>
      <c r="B1076" s="49" t="s">
        <v>578</v>
      </c>
      <c r="C1076" s="49" t="s">
        <v>449</v>
      </c>
      <c r="D1076">
        <v>99</v>
      </c>
      <c r="E1076" s="49" t="s">
        <v>378</v>
      </c>
    </row>
    <row r="1077" spans="1:5" x14ac:dyDescent="0.3">
      <c r="A1077" s="49" t="s">
        <v>948</v>
      </c>
      <c r="B1077" s="49" t="s">
        <v>409</v>
      </c>
      <c r="C1077" s="49" t="s">
        <v>449</v>
      </c>
      <c r="D1077">
        <v>6</v>
      </c>
      <c r="E1077" s="49" t="s">
        <v>378</v>
      </c>
    </row>
    <row r="1078" spans="1:5" x14ac:dyDescent="0.3">
      <c r="A1078" s="49" t="s">
        <v>948</v>
      </c>
      <c r="B1078" s="49" t="s">
        <v>578</v>
      </c>
      <c r="C1078" s="49" t="s">
        <v>449</v>
      </c>
      <c r="D1078">
        <v>99</v>
      </c>
      <c r="E1078" s="49" t="s">
        <v>378</v>
      </c>
    </row>
    <row r="1079" spans="1:5" x14ac:dyDescent="0.3">
      <c r="A1079" s="49" t="s">
        <v>949</v>
      </c>
      <c r="B1079" s="49" t="s">
        <v>409</v>
      </c>
      <c r="C1079" s="49" t="s">
        <v>449</v>
      </c>
      <c r="D1079">
        <v>6</v>
      </c>
      <c r="E1079" s="49" t="s">
        <v>378</v>
      </c>
    </row>
    <row r="1080" spans="1:5" x14ac:dyDescent="0.3">
      <c r="A1080" s="49" t="s">
        <v>949</v>
      </c>
      <c r="B1080" s="49" t="s">
        <v>578</v>
      </c>
      <c r="C1080" s="49" t="s">
        <v>449</v>
      </c>
      <c r="D1080">
        <v>99</v>
      </c>
      <c r="E1080" s="49" t="s">
        <v>378</v>
      </c>
    </row>
    <row r="1081" spans="1:5" x14ac:dyDescent="0.3">
      <c r="A1081" s="49" t="s">
        <v>950</v>
      </c>
      <c r="B1081" s="49" t="s">
        <v>409</v>
      </c>
      <c r="C1081" s="49" t="s">
        <v>449</v>
      </c>
      <c r="D1081">
        <v>6</v>
      </c>
      <c r="E1081" s="49" t="s">
        <v>378</v>
      </c>
    </row>
    <row r="1082" spans="1:5" x14ac:dyDescent="0.3">
      <c r="A1082" s="49" t="s">
        <v>950</v>
      </c>
      <c r="B1082" s="49" t="s">
        <v>578</v>
      </c>
      <c r="C1082" s="49" t="s">
        <v>449</v>
      </c>
      <c r="D1082">
        <v>99</v>
      </c>
      <c r="E1082" s="49" t="s">
        <v>378</v>
      </c>
    </row>
    <row r="1083" spans="1:5" x14ac:dyDescent="0.3">
      <c r="A1083" s="49" t="s">
        <v>951</v>
      </c>
      <c r="B1083" s="49" t="s">
        <v>409</v>
      </c>
      <c r="C1083" s="49" t="s">
        <v>449</v>
      </c>
      <c r="D1083">
        <v>6</v>
      </c>
      <c r="E1083" s="49" t="s">
        <v>378</v>
      </c>
    </row>
    <row r="1084" spans="1:5" x14ac:dyDescent="0.3">
      <c r="A1084" s="49" t="s">
        <v>951</v>
      </c>
      <c r="B1084" s="49" t="s">
        <v>578</v>
      </c>
      <c r="C1084" s="49" t="s">
        <v>449</v>
      </c>
      <c r="D1084">
        <v>99</v>
      </c>
      <c r="E1084" s="49" t="s">
        <v>378</v>
      </c>
    </row>
    <row r="1085" spans="1:5" x14ac:dyDescent="0.3">
      <c r="A1085" s="49" t="s">
        <v>952</v>
      </c>
      <c r="B1085" s="49" t="s">
        <v>409</v>
      </c>
      <c r="C1085" s="49" t="s">
        <v>449</v>
      </c>
      <c r="D1085">
        <v>6</v>
      </c>
      <c r="E1085" s="49" t="s">
        <v>378</v>
      </c>
    </row>
    <row r="1086" spans="1:5" x14ac:dyDescent="0.3">
      <c r="A1086" s="49" t="s">
        <v>952</v>
      </c>
      <c r="B1086" s="49" t="s">
        <v>578</v>
      </c>
      <c r="C1086" s="49" t="s">
        <v>449</v>
      </c>
      <c r="D1086">
        <v>99</v>
      </c>
      <c r="E1086" s="49" t="s">
        <v>378</v>
      </c>
    </row>
    <row r="1087" spans="1:5" x14ac:dyDescent="0.3">
      <c r="A1087" s="49" t="s">
        <v>953</v>
      </c>
      <c r="B1087" s="49" t="s">
        <v>409</v>
      </c>
      <c r="C1087" s="49" t="s">
        <v>449</v>
      </c>
      <c r="D1087">
        <v>6</v>
      </c>
      <c r="E1087" s="49" t="s">
        <v>378</v>
      </c>
    </row>
    <row r="1088" spans="1:5" x14ac:dyDescent="0.3">
      <c r="A1088" s="49" t="s">
        <v>953</v>
      </c>
      <c r="B1088" s="49" t="s">
        <v>578</v>
      </c>
      <c r="C1088" s="49" t="s">
        <v>449</v>
      </c>
      <c r="D1088">
        <v>99</v>
      </c>
      <c r="E1088" s="49" t="s">
        <v>378</v>
      </c>
    </row>
    <row r="1089" spans="1:5" x14ac:dyDescent="0.3">
      <c r="A1089" s="49" t="s">
        <v>410</v>
      </c>
      <c r="B1089" s="49" t="s">
        <v>409</v>
      </c>
      <c r="C1089" s="49" t="s">
        <v>954</v>
      </c>
      <c r="D1089">
        <v>28</v>
      </c>
      <c r="E1089" s="49" t="s">
        <v>379</v>
      </c>
    </row>
    <row r="1090" spans="1:5" x14ac:dyDescent="0.3">
      <c r="A1090" s="49" t="s">
        <v>410</v>
      </c>
      <c r="B1090" s="49" t="s">
        <v>409</v>
      </c>
      <c r="C1090" s="49" t="s">
        <v>449</v>
      </c>
      <c r="D1090">
        <v>22</v>
      </c>
      <c r="E1090" s="49" t="s">
        <v>395</v>
      </c>
    </row>
    <row r="1091" spans="1:5" x14ac:dyDescent="0.3">
      <c r="A1091" s="49" t="s">
        <v>410</v>
      </c>
      <c r="B1091" s="49" t="s">
        <v>409</v>
      </c>
      <c r="C1091" s="49" t="s">
        <v>449</v>
      </c>
      <c r="D1091">
        <v>26</v>
      </c>
      <c r="E1091" s="49" t="s">
        <v>379</v>
      </c>
    </row>
    <row r="1092" spans="1:5" x14ac:dyDescent="0.3">
      <c r="A1092" s="49" t="s">
        <v>410</v>
      </c>
      <c r="B1092" s="49" t="s">
        <v>409</v>
      </c>
      <c r="C1092" s="49" t="s">
        <v>449</v>
      </c>
      <c r="D1092">
        <v>27</v>
      </c>
      <c r="E1092" s="49" t="s">
        <v>379</v>
      </c>
    </row>
    <row r="1093" spans="1:5" x14ac:dyDescent="0.3">
      <c r="A1093" s="49" t="s">
        <v>416</v>
      </c>
      <c r="B1093" s="49" t="s">
        <v>409</v>
      </c>
      <c r="C1093" s="49" t="s">
        <v>469</v>
      </c>
      <c r="D1093">
        <v>16</v>
      </c>
      <c r="E1093" s="49" t="s">
        <v>379</v>
      </c>
    </row>
    <row r="1094" spans="1:5" x14ac:dyDescent="0.3">
      <c r="A1094" s="49" t="s">
        <v>416</v>
      </c>
      <c r="B1094" s="49" t="s">
        <v>409</v>
      </c>
      <c r="C1094" s="49" t="s">
        <v>954</v>
      </c>
      <c r="D1094">
        <v>28</v>
      </c>
      <c r="E1094" s="49" t="s">
        <v>379</v>
      </c>
    </row>
    <row r="1095" spans="1:5" x14ac:dyDescent="0.3">
      <c r="A1095" s="49" t="s">
        <v>416</v>
      </c>
      <c r="B1095" s="49" t="s">
        <v>409</v>
      </c>
      <c r="C1095" s="49" t="s">
        <v>449</v>
      </c>
      <c r="D1095">
        <v>26</v>
      </c>
      <c r="E1095" s="49" t="s">
        <v>379</v>
      </c>
    </row>
    <row r="1096" spans="1:5" x14ac:dyDescent="0.3">
      <c r="A1096" s="49" t="s">
        <v>416</v>
      </c>
      <c r="B1096" s="49" t="s">
        <v>409</v>
      </c>
      <c r="C1096" s="49" t="s">
        <v>449</v>
      </c>
      <c r="D1096">
        <v>27</v>
      </c>
      <c r="E1096" s="49" t="s">
        <v>379</v>
      </c>
    </row>
    <row r="1097" spans="1:5" x14ac:dyDescent="0.3">
      <c r="A1097" s="49" t="s">
        <v>417</v>
      </c>
      <c r="B1097" s="49" t="s">
        <v>409</v>
      </c>
      <c r="C1097" s="49" t="s">
        <v>449</v>
      </c>
      <c r="D1097">
        <v>23</v>
      </c>
      <c r="E1097" s="49" t="s">
        <v>379</v>
      </c>
    </row>
    <row r="1098" spans="1:5" x14ac:dyDescent="0.3">
      <c r="A1098" s="49" t="s">
        <v>417</v>
      </c>
      <c r="B1098" s="49" t="s">
        <v>409</v>
      </c>
      <c r="C1098" s="49" t="s">
        <v>449</v>
      </c>
      <c r="D1098">
        <v>24</v>
      </c>
      <c r="E1098" s="49" t="s">
        <v>379</v>
      </c>
    </row>
    <row r="1099" spans="1:5" x14ac:dyDescent="0.3">
      <c r="A1099" s="49" t="s">
        <v>417</v>
      </c>
      <c r="B1099" s="49" t="s">
        <v>409</v>
      </c>
      <c r="C1099" s="49" t="s">
        <v>449</v>
      </c>
      <c r="D1099">
        <v>25</v>
      </c>
      <c r="E1099" s="49" t="s">
        <v>379</v>
      </c>
    </row>
    <row r="1100" spans="1:5" x14ac:dyDescent="0.3">
      <c r="A1100" s="49" t="s">
        <v>411</v>
      </c>
      <c r="B1100" s="49" t="s">
        <v>409</v>
      </c>
      <c r="C1100" s="49" t="s">
        <v>469</v>
      </c>
      <c r="D1100">
        <v>16</v>
      </c>
      <c r="E1100" s="49" t="s">
        <v>378</v>
      </c>
    </row>
    <row r="1101" spans="1:5" x14ac:dyDescent="0.3">
      <c r="A1101" s="49" t="s">
        <v>411</v>
      </c>
      <c r="B1101" s="49" t="s">
        <v>409</v>
      </c>
      <c r="C1101" s="49" t="s">
        <v>954</v>
      </c>
      <c r="D1101">
        <v>28</v>
      </c>
      <c r="E1101" s="49" t="s">
        <v>378</v>
      </c>
    </row>
    <row r="1102" spans="1:5" x14ac:dyDescent="0.3">
      <c r="A1102" s="49" t="s">
        <v>411</v>
      </c>
      <c r="B1102" s="49" t="s">
        <v>409</v>
      </c>
      <c r="C1102" s="49" t="s">
        <v>449</v>
      </c>
      <c r="D1102">
        <v>22</v>
      </c>
      <c r="E1102" s="49" t="s">
        <v>395</v>
      </c>
    </row>
    <row r="1103" spans="1:5" x14ac:dyDescent="0.3">
      <c r="A1103" s="49" t="s">
        <v>411</v>
      </c>
      <c r="B1103" s="49" t="s">
        <v>409</v>
      </c>
      <c r="C1103" s="49" t="s">
        <v>449</v>
      </c>
      <c r="D1103">
        <v>23</v>
      </c>
      <c r="E1103" s="49" t="s">
        <v>378</v>
      </c>
    </row>
    <row r="1104" spans="1:5" x14ac:dyDescent="0.3">
      <c r="A1104" s="49" t="s">
        <v>411</v>
      </c>
      <c r="B1104" s="49" t="s">
        <v>409</v>
      </c>
      <c r="C1104" s="49" t="s">
        <v>449</v>
      </c>
      <c r="D1104">
        <v>24</v>
      </c>
      <c r="E1104" s="49" t="s">
        <v>378</v>
      </c>
    </row>
    <row r="1105" spans="1:5" x14ac:dyDescent="0.3">
      <c r="A1105" s="49" t="s">
        <v>411</v>
      </c>
      <c r="B1105" s="49" t="s">
        <v>409</v>
      </c>
      <c r="C1105" s="49" t="s">
        <v>449</v>
      </c>
      <c r="D1105">
        <v>25</v>
      </c>
      <c r="E1105" s="49" t="s">
        <v>378</v>
      </c>
    </row>
    <row r="1106" spans="1:5" x14ac:dyDescent="0.3">
      <c r="A1106" s="49" t="s">
        <v>411</v>
      </c>
      <c r="B1106" s="49" t="s">
        <v>409</v>
      </c>
      <c r="C1106" s="49" t="s">
        <v>449</v>
      </c>
      <c r="D1106">
        <v>26</v>
      </c>
      <c r="E1106" s="49" t="s">
        <v>378</v>
      </c>
    </row>
    <row r="1107" spans="1:5" x14ac:dyDescent="0.3">
      <c r="A1107" s="49" t="s">
        <v>411</v>
      </c>
      <c r="B1107" s="49" t="s">
        <v>409</v>
      </c>
      <c r="C1107" s="49" t="s">
        <v>449</v>
      </c>
      <c r="D1107">
        <v>27</v>
      </c>
      <c r="E1107" s="49" t="s">
        <v>378</v>
      </c>
    </row>
    <row r="1108" spans="1:5" x14ac:dyDescent="0.3">
      <c r="A1108" s="49" t="s">
        <v>412</v>
      </c>
      <c r="B1108" s="49" t="s">
        <v>409</v>
      </c>
      <c r="C1108" s="49" t="s">
        <v>469</v>
      </c>
      <c r="D1108">
        <v>16</v>
      </c>
      <c r="E1108" s="49" t="s">
        <v>378</v>
      </c>
    </row>
    <row r="1109" spans="1:5" x14ac:dyDescent="0.3">
      <c r="A1109" s="49" t="s">
        <v>412</v>
      </c>
      <c r="B1109" s="49" t="s">
        <v>409</v>
      </c>
      <c r="C1109" s="49" t="s">
        <v>954</v>
      </c>
      <c r="D1109">
        <v>28</v>
      </c>
      <c r="E1109" s="49" t="s">
        <v>378</v>
      </c>
    </row>
    <row r="1110" spans="1:5" x14ac:dyDescent="0.3">
      <c r="A1110" s="49" t="s">
        <v>412</v>
      </c>
      <c r="B1110" s="49" t="s">
        <v>409</v>
      </c>
      <c r="C1110" s="49" t="s">
        <v>449</v>
      </c>
      <c r="D1110">
        <v>22</v>
      </c>
      <c r="E1110" s="49" t="s">
        <v>395</v>
      </c>
    </row>
    <row r="1111" spans="1:5" x14ac:dyDescent="0.3">
      <c r="A1111" s="49" t="s">
        <v>412</v>
      </c>
      <c r="B1111" s="49" t="s">
        <v>409</v>
      </c>
      <c r="C1111" s="49" t="s">
        <v>449</v>
      </c>
      <c r="D1111">
        <v>23</v>
      </c>
      <c r="E1111" s="49" t="s">
        <v>378</v>
      </c>
    </row>
    <row r="1112" spans="1:5" x14ac:dyDescent="0.3">
      <c r="A1112" s="49" t="s">
        <v>412</v>
      </c>
      <c r="B1112" s="49" t="s">
        <v>409</v>
      </c>
      <c r="C1112" s="49" t="s">
        <v>449</v>
      </c>
      <c r="D1112">
        <v>24</v>
      </c>
      <c r="E1112" s="49" t="s">
        <v>378</v>
      </c>
    </row>
    <row r="1113" spans="1:5" x14ac:dyDescent="0.3">
      <c r="A1113" s="49" t="s">
        <v>412</v>
      </c>
      <c r="B1113" s="49" t="s">
        <v>409</v>
      </c>
      <c r="C1113" s="49" t="s">
        <v>449</v>
      </c>
      <c r="D1113">
        <v>25</v>
      </c>
      <c r="E1113" s="49" t="s">
        <v>378</v>
      </c>
    </row>
    <row r="1114" spans="1:5" x14ac:dyDescent="0.3">
      <c r="A1114" s="49" t="s">
        <v>412</v>
      </c>
      <c r="B1114" s="49" t="s">
        <v>409</v>
      </c>
      <c r="C1114" s="49" t="s">
        <v>449</v>
      </c>
      <c r="D1114">
        <v>26</v>
      </c>
      <c r="E1114" s="49" t="s">
        <v>378</v>
      </c>
    </row>
    <row r="1115" spans="1:5" x14ac:dyDescent="0.3">
      <c r="A1115" s="49" t="s">
        <v>412</v>
      </c>
      <c r="B1115" s="49" t="s">
        <v>409</v>
      </c>
      <c r="C1115" s="49" t="s">
        <v>449</v>
      </c>
      <c r="D1115">
        <v>27</v>
      </c>
      <c r="E1115" s="49" t="s">
        <v>378</v>
      </c>
    </row>
    <row r="1116" spans="1:5" x14ac:dyDescent="0.3">
      <c r="A1116" s="49" t="s">
        <v>413</v>
      </c>
      <c r="B1116" s="49" t="s">
        <v>409</v>
      </c>
      <c r="C1116" s="49" t="s">
        <v>469</v>
      </c>
      <c r="D1116">
        <v>16</v>
      </c>
      <c r="E1116" s="49" t="s">
        <v>378</v>
      </c>
    </row>
    <row r="1117" spans="1:5" x14ac:dyDescent="0.3">
      <c r="A1117" s="49" t="s">
        <v>413</v>
      </c>
      <c r="B1117" s="49" t="s">
        <v>409</v>
      </c>
      <c r="C1117" s="49" t="s">
        <v>954</v>
      </c>
      <c r="D1117">
        <v>28</v>
      </c>
      <c r="E1117" s="49" t="s">
        <v>378</v>
      </c>
    </row>
    <row r="1118" spans="1:5" x14ac:dyDescent="0.3">
      <c r="A1118" s="49" t="s">
        <v>413</v>
      </c>
      <c r="B1118" s="49" t="s">
        <v>409</v>
      </c>
      <c r="C1118" s="49" t="s">
        <v>449</v>
      </c>
      <c r="D1118">
        <v>22</v>
      </c>
      <c r="E1118" s="49" t="s">
        <v>395</v>
      </c>
    </row>
    <row r="1119" spans="1:5" x14ac:dyDescent="0.3">
      <c r="A1119" s="49" t="s">
        <v>413</v>
      </c>
      <c r="B1119" s="49" t="s">
        <v>409</v>
      </c>
      <c r="C1119" s="49" t="s">
        <v>449</v>
      </c>
      <c r="D1119">
        <v>23</v>
      </c>
      <c r="E1119" s="49" t="s">
        <v>378</v>
      </c>
    </row>
    <row r="1120" spans="1:5" x14ac:dyDescent="0.3">
      <c r="A1120" s="49" t="s">
        <v>413</v>
      </c>
      <c r="B1120" s="49" t="s">
        <v>409</v>
      </c>
      <c r="C1120" s="49" t="s">
        <v>449</v>
      </c>
      <c r="D1120">
        <v>24</v>
      </c>
      <c r="E1120" s="49" t="s">
        <v>378</v>
      </c>
    </row>
    <row r="1121" spans="1:5" x14ac:dyDescent="0.3">
      <c r="A1121" s="49" t="s">
        <v>413</v>
      </c>
      <c r="B1121" s="49" t="s">
        <v>409</v>
      </c>
      <c r="C1121" s="49" t="s">
        <v>449</v>
      </c>
      <c r="D1121">
        <v>25</v>
      </c>
      <c r="E1121" s="49" t="s">
        <v>378</v>
      </c>
    </row>
    <row r="1122" spans="1:5" x14ac:dyDescent="0.3">
      <c r="A1122" s="49" t="s">
        <v>413</v>
      </c>
      <c r="B1122" s="49" t="s">
        <v>409</v>
      </c>
      <c r="C1122" s="49" t="s">
        <v>449</v>
      </c>
      <c r="D1122">
        <v>26</v>
      </c>
      <c r="E1122" s="49" t="s">
        <v>378</v>
      </c>
    </row>
    <row r="1123" spans="1:5" x14ac:dyDescent="0.3">
      <c r="A1123" s="49" t="s">
        <v>413</v>
      </c>
      <c r="B1123" s="49" t="s">
        <v>409</v>
      </c>
      <c r="C1123" s="49" t="s">
        <v>449</v>
      </c>
      <c r="D1123">
        <v>27</v>
      </c>
      <c r="E1123" s="49" t="s">
        <v>378</v>
      </c>
    </row>
    <row r="1124" spans="1:5" x14ac:dyDescent="0.3">
      <c r="A1124" s="49" t="s">
        <v>414</v>
      </c>
      <c r="B1124" s="49" t="s">
        <v>409</v>
      </c>
      <c r="C1124" s="49" t="s">
        <v>469</v>
      </c>
      <c r="D1124">
        <v>16</v>
      </c>
      <c r="E1124" s="49" t="s">
        <v>378</v>
      </c>
    </row>
    <row r="1125" spans="1:5" x14ac:dyDescent="0.3">
      <c r="A1125" s="49" t="s">
        <v>414</v>
      </c>
      <c r="B1125" s="49" t="s">
        <v>409</v>
      </c>
      <c r="C1125" s="49" t="s">
        <v>954</v>
      </c>
      <c r="D1125">
        <v>28</v>
      </c>
      <c r="E1125" s="49" t="s">
        <v>378</v>
      </c>
    </row>
    <row r="1126" spans="1:5" x14ac:dyDescent="0.3">
      <c r="A1126" s="49" t="s">
        <v>414</v>
      </c>
      <c r="B1126" s="49" t="s">
        <v>409</v>
      </c>
      <c r="C1126" s="49" t="s">
        <v>449</v>
      </c>
      <c r="D1126">
        <v>22</v>
      </c>
      <c r="E1126" s="49" t="s">
        <v>395</v>
      </c>
    </row>
    <row r="1127" spans="1:5" x14ac:dyDescent="0.3">
      <c r="A1127" s="49" t="s">
        <v>414</v>
      </c>
      <c r="B1127" s="49" t="s">
        <v>409</v>
      </c>
      <c r="C1127" s="49" t="s">
        <v>449</v>
      </c>
      <c r="D1127">
        <v>23</v>
      </c>
      <c r="E1127" s="49" t="s">
        <v>378</v>
      </c>
    </row>
    <row r="1128" spans="1:5" x14ac:dyDescent="0.3">
      <c r="A1128" s="49" t="s">
        <v>414</v>
      </c>
      <c r="B1128" s="49" t="s">
        <v>409</v>
      </c>
      <c r="C1128" s="49" t="s">
        <v>449</v>
      </c>
      <c r="D1128">
        <v>24</v>
      </c>
      <c r="E1128" s="49" t="s">
        <v>378</v>
      </c>
    </row>
    <row r="1129" spans="1:5" x14ac:dyDescent="0.3">
      <c r="A1129" s="49" t="s">
        <v>414</v>
      </c>
      <c r="B1129" s="49" t="s">
        <v>409</v>
      </c>
      <c r="C1129" s="49" t="s">
        <v>449</v>
      </c>
      <c r="D1129">
        <v>25</v>
      </c>
      <c r="E1129" s="49" t="s">
        <v>378</v>
      </c>
    </row>
    <row r="1130" spans="1:5" x14ac:dyDescent="0.3">
      <c r="A1130" s="49" t="s">
        <v>414</v>
      </c>
      <c r="B1130" s="49" t="s">
        <v>409</v>
      </c>
      <c r="C1130" s="49" t="s">
        <v>449</v>
      </c>
      <c r="D1130">
        <v>26</v>
      </c>
      <c r="E1130" s="49" t="s">
        <v>378</v>
      </c>
    </row>
    <row r="1131" spans="1:5" x14ac:dyDescent="0.3">
      <c r="A1131" s="49" t="s">
        <v>414</v>
      </c>
      <c r="B1131" s="49" t="s">
        <v>409</v>
      </c>
      <c r="C1131" s="49" t="s">
        <v>449</v>
      </c>
      <c r="D1131">
        <v>27</v>
      </c>
      <c r="E1131" s="49" t="s">
        <v>378</v>
      </c>
    </row>
    <row r="1132" spans="1:5" x14ac:dyDescent="0.3">
      <c r="A1132" s="49" t="s">
        <v>415</v>
      </c>
      <c r="B1132" s="49" t="s">
        <v>409</v>
      </c>
      <c r="C1132" s="49" t="s">
        <v>954</v>
      </c>
      <c r="D1132">
        <v>28</v>
      </c>
      <c r="E1132" s="49" t="s">
        <v>378</v>
      </c>
    </row>
    <row r="1133" spans="1:5" x14ac:dyDescent="0.3">
      <c r="A1133" s="49" t="s">
        <v>415</v>
      </c>
      <c r="B1133" s="49" t="s">
        <v>409</v>
      </c>
      <c r="C1133" s="49" t="s">
        <v>449</v>
      </c>
      <c r="D1133">
        <v>22</v>
      </c>
      <c r="E1133" s="49" t="s">
        <v>395</v>
      </c>
    </row>
    <row r="1134" spans="1:5" x14ac:dyDescent="0.3">
      <c r="A1134" s="49" t="s">
        <v>415</v>
      </c>
      <c r="B1134" s="49" t="s">
        <v>409</v>
      </c>
      <c r="C1134" s="49" t="s">
        <v>449</v>
      </c>
      <c r="D1134">
        <v>23</v>
      </c>
      <c r="E1134" s="49" t="s">
        <v>378</v>
      </c>
    </row>
    <row r="1135" spans="1:5" x14ac:dyDescent="0.3">
      <c r="A1135" s="49" t="s">
        <v>415</v>
      </c>
      <c r="B1135" s="49" t="s">
        <v>409</v>
      </c>
      <c r="C1135" s="49" t="s">
        <v>449</v>
      </c>
      <c r="D1135">
        <v>24</v>
      </c>
      <c r="E1135" s="49" t="s">
        <v>378</v>
      </c>
    </row>
    <row r="1136" spans="1:5" x14ac:dyDescent="0.3">
      <c r="A1136" s="49" t="s">
        <v>415</v>
      </c>
      <c r="B1136" s="49" t="s">
        <v>409</v>
      </c>
      <c r="C1136" s="49" t="s">
        <v>449</v>
      </c>
      <c r="D1136">
        <v>25</v>
      </c>
      <c r="E1136" s="49" t="s">
        <v>378</v>
      </c>
    </row>
    <row r="1137" spans="1:5" x14ac:dyDescent="0.3">
      <c r="A1137" s="49" t="s">
        <v>415</v>
      </c>
      <c r="B1137" s="49" t="s">
        <v>409</v>
      </c>
      <c r="C1137" s="49" t="s">
        <v>449</v>
      </c>
      <c r="D1137">
        <v>26</v>
      </c>
      <c r="E1137" s="49" t="s">
        <v>378</v>
      </c>
    </row>
    <row r="1138" spans="1:5" x14ac:dyDescent="0.3">
      <c r="A1138" s="49" t="s">
        <v>415</v>
      </c>
      <c r="B1138" s="49" t="s">
        <v>409</v>
      </c>
      <c r="C1138" s="49" t="s">
        <v>449</v>
      </c>
      <c r="D1138">
        <v>27</v>
      </c>
      <c r="E1138" s="49" t="s">
        <v>378</v>
      </c>
    </row>
    <row r="1139" spans="1:5" x14ac:dyDescent="0.3">
      <c r="A1139" s="49" t="s">
        <v>418</v>
      </c>
      <c r="B1139" s="49" t="s">
        <v>409</v>
      </c>
      <c r="C1139" s="49" t="s">
        <v>954</v>
      </c>
      <c r="D1139">
        <v>28</v>
      </c>
      <c r="E1139" s="49" t="s">
        <v>378</v>
      </c>
    </row>
    <row r="1140" spans="1:5" x14ac:dyDescent="0.3">
      <c r="A1140" s="49" t="s">
        <v>418</v>
      </c>
      <c r="B1140" s="49" t="s">
        <v>409</v>
      </c>
      <c r="C1140" s="49" t="s">
        <v>449</v>
      </c>
      <c r="D1140">
        <v>23</v>
      </c>
      <c r="E1140" s="49" t="s">
        <v>378</v>
      </c>
    </row>
    <row r="1141" spans="1:5" x14ac:dyDescent="0.3">
      <c r="A1141" s="49" t="s">
        <v>418</v>
      </c>
      <c r="B1141" s="49" t="s">
        <v>409</v>
      </c>
      <c r="C1141" s="49" t="s">
        <v>449</v>
      </c>
      <c r="D1141">
        <v>24</v>
      </c>
      <c r="E1141" s="49" t="s">
        <v>378</v>
      </c>
    </row>
    <row r="1142" spans="1:5" x14ac:dyDescent="0.3">
      <c r="A1142" s="49" t="s">
        <v>418</v>
      </c>
      <c r="B1142" s="49" t="s">
        <v>409</v>
      </c>
      <c r="C1142" s="49" t="s">
        <v>449</v>
      </c>
      <c r="D1142">
        <v>25</v>
      </c>
      <c r="E1142" s="49" t="s">
        <v>378</v>
      </c>
    </row>
    <row r="1143" spans="1:5" x14ac:dyDescent="0.3">
      <c r="A1143" s="49" t="s">
        <v>418</v>
      </c>
      <c r="B1143" s="49" t="s">
        <v>409</v>
      </c>
      <c r="C1143" s="49" t="s">
        <v>449</v>
      </c>
      <c r="D1143">
        <v>26</v>
      </c>
      <c r="E1143" s="49" t="s">
        <v>378</v>
      </c>
    </row>
    <row r="1144" spans="1:5" x14ac:dyDescent="0.3">
      <c r="A1144" s="49" t="s">
        <v>418</v>
      </c>
      <c r="B1144" s="49" t="s">
        <v>409</v>
      </c>
      <c r="C1144" s="49" t="s">
        <v>449</v>
      </c>
      <c r="D1144">
        <v>27</v>
      </c>
      <c r="E1144" s="49" t="s">
        <v>378</v>
      </c>
    </row>
    <row r="1145" spans="1:5" x14ac:dyDescent="0.3">
      <c r="A1145" s="49" t="s">
        <v>435</v>
      </c>
      <c r="B1145" s="49" t="s">
        <v>409</v>
      </c>
      <c r="C1145" s="49" t="s">
        <v>449</v>
      </c>
      <c r="D1145">
        <v>23</v>
      </c>
      <c r="E1145" s="49" t="s">
        <v>378</v>
      </c>
    </row>
    <row r="1146" spans="1:5" x14ac:dyDescent="0.3">
      <c r="A1146" s="49" t="s">
        <v>435</v>
      </c>
      <c r="B1146" s="49" t="s">
        <v>409</v>
      </c>
      <c r="C1146" s="49" t="s">
        <v>449</v>
      </c>
      <c r="D1146">
        <v>24</v>
      </c>
      <c r="E1146" s="49" t="s">
        <v>378</v>
      </c>
    </row>
    <row r="1147" spans="1:5" x14ac:dyDescent="0.3">
      <c r="A1147" s="49" t="s">
        <v>435</v>
      </c>
      <c r="B1147" s="49" t="s">
        <v>409</v>
      </c>
      <c r="C1147" s="49" t="s">
        <v>449</v>
      </c>
      <c r="D1147">
        <v>25</v>
      </c>
      <c r="E1147" s="49" t="s">
        <v>378</v>
      </c>
    </row>
    <row r="1148" spans="1:5" x14ac:dyDescent="0.3">
      <c r="A1148" s="49" t="s">
        <v>1818</v>
      </c>
      <c r="B1148" s="49" t="s">
        <v>409</v>
      </c>
      <c r="C1148" s="49" t="s">
        <v>449</v>
      </c>
      <c r="D1148">
        <v>0</v>
      </c>
      <c r="E1148" s="49" t="s">
        <v>378</v>
      </c>
    </row>
    <row r="1149" spans="1:5" x14ac:dyDescent="0.3">
      <c r="A1149" s="49" t="s">
        <v>1818</v>
      </c>
      <c r="B1149" s="49" t="s">
        <v>409</v>
      </c>
      <c r="C1149" s="49" t="s">
        <v>449</v>
      </c>
      <c r="D1149">
        <v>1</v>
      </c>
      <c r="E1149" s="49" t="s">
        <v>378</v>
      </c>
    </row>
    <row r="1150" spans="1:5" x14ac:dyDescent="0.3">
      <c r="A1150" s="49" t="s">
        <v>1818</v>
      </c>
      <c r="B1150" s="49" t="s">
        <v>409</v>
      </c>
      <c r="C1150" s="49" t="s">
        <v>449</v>
      </c>
      <c r="D1150">
        <v>2</v>
      </c>
      <c r="E1150" s="49" t="s">
        <v>378</v>
      </c>
    </row>
    <row r="1151" spans="1:5" x14ac:dyDescent="0.3">
      <c r="A1151" s="49" t="s">
        <v>1818</v>
      </c>
      <c r="B1151" s="49" t="s">
        <v>409</v>
      </c>
      <c r="C1151" s="49" t="s">
        <v>449</v>
      </c>
      <c r="D1151">
        <v>3</v>
      </c>
      <c r="E1151" s="49" t="s">
        <v>378</v>
      </c>
    </row>
    <row r="1152" spans="1:5" x14ac:dyDescent="0.3">
      <c r="A1152" s="49" t="s">
        <v>1818</v>
      </c>
      <c r="B1152" s="49" t="s">
        <v>409</v>
      </c>
      <c r="C1152" s="49" t="s">
        <v>449</v>
      </c>
      <c r="D1152">
        <v>4</v>
      </c>
      <c r="E1152" s="49" t="s">
        <v>378</v>
      </c>
    </row>
    <row r="1153" spans="1:5" x14ac:dyDescent="0.3">
      <c r="A1153" s="49" t="s">
        <v>1818</v>
      </c>
      <c r="B1153" s="49" t="s">
        <v>409</v>
      </c>
      <c r="C1153" s="49" t="s">
        <v>449</v>
      </c>
      <c r="D1153">
        <v>5</v>
      </c>
      <c r="E1153" s="49" t="s">
        <v>378</v>
      </c>
    </row>
    <row r="1154" spans="1:5" x14ac:dyDescent="0.3">
      <c r="A1154" s="49" t="s">
        <v>1818</v>
      </c>
      <c r="B1154" s="49" t="s">
        <v>409</v>
      </c>
      <c r="C1154" s="49" t="s">
        <v>449</v>
      </c>
      <c r="D1154">
        <v>6</v>
      </c>
      <c r="E1154" s="49" t="s">
        <v>378</v>
      </c>
    </row>
    <row r="1155" spans="1:5" x14ac:dyDescent="0.3">
      <c r="A1155" s="49" t="s">
        <v>1818</v>
      </c>
      <c r="B1155" s="49" t="s">
        <v>409</v>
      </c>
      <c r="C1155" s="49" t="s">
        <v>449</v>
      </c>
      <c r="D1155">
        <v>7</v>
      </c>
      <c r="E1155" s="49" t="s">
        <v>378</v>
      </c>
    </row>
    <row r="1156" spans="1:5" x14ac:dyDescent="0.3">
      <c r="A1156" s="49" t="s">
        <v>1818</v>
      </c>
      <c r="B1156" s="49" t="s">
        <v>409</v>
      </c>
      <c r="C1156" s="49" t="s">
        <v>449</v>
      </c>
      <c r="D1156">
        <v>8</v>
      </c>
      <c r="E1156" s="49" t="s">
        <v>378</v>
      </c>
    </row>
    <row r="1157" spans="1:5" x14ac:dyDescent="0.3">
      <c r="A1157" s="49" t="s">
        <v>1818</v>
      </c>
      <c r="B1157" s="49" t="s">
        <v>409</v>
      </c>
      <c r="C1157" s="49" t="s">
        <v>449</v>
      </c>
      <c r="D1157">
        <v>9</v>
      </c>
      <c r="E1157" s="49" t="s">
        <v>378</v>
      </c>
    </row>
    <row r="1158" spans="1:5" x14ac:dyDescent="0.3">
      <c r="A1158" s="49" t="s">
        <v>1818</v>
      </c>
      <c r="B1158" s="49" t="s">
        <v>409</v>
      </c>
      <c r="C1158" s="49" t="s">
        <v>449</v>
      </c>
      <c r="D1158">
        <v>10</v>
      </c>
      <c r="E1158" s="49" t="s">
        <v>378</v>
      </c>
    </row>
    <row r="1159" spans="1:5" x14ac:dyDescent="0.3">
      <c r="A1159" s="49" t="s">
        <v>1818</v>
      </c>
      <c r="B1159" s="49" t="s">
        <v>409</v>
      </c>
      <c r="C1159" s="49" t="s">
        <v>449</v>
      </c>
      <c r="D1159">
        <v>11</v>
      </c>
      <c r="E1159" s="49" t="s">
        <v>378</v>
      </c>
    </row>
    <row r="1160" spans="1:5" x14ac:dyDescent="0.3">
      <c r="A1160" s="49" t="s">
        <v>1818</v>
      </c>
      <c r="B1160" s="49" t="s">
        <v>409</v>
      </c>
      <c r="C1160" s="49" t="s">
        <v>449</v>
      </c>
      <c r="D1160">
        <v>12</v>
      </c>
      <c r="E1160" s="49" t="s">
        <v>378</v>
      </c>
    </row>
    <row r="1161" spans="1:5" x14ac:dyDescent="0.3">
      <c r="A1161" s="49" t="s">
        <v>1818</v>
      </c>
      <c r="B1161" s="49" t="s">
        <v>409</v>
      </c>
      <c r="C1161" s="49" t="s">
        <v>449</v>
      </c>
      <c r="D1161">
        <v>13</v>
      </c>
      <c r="E1161" s="49" t="s">
        <v>378</v>
      </c>
    </row>
    <row r="1162" spans="1:5" x14ac:dyDescent="0.3">
      <c r="A1162" s="49" t="s">
        <v>1818</v>
      </c>
      <c r="B1162" s="49" t="s">
        <v>409</v>
      </c>
      <c r="C1162" s="49" t="s">
        <v>449</v>
      </c>
      <c r="D1162">
        <v>14</v>
      </c>
      <c r="E1162" s="49" t="s">
        <v>378</v>
      </c>
    </row>
    <row r="1163" spans="1:5" x14ac:dyDescent="0.3">
      <c r="A1163" s="49" t="s">
        <v>1818</v>
      </c>
      <c r="B1163" s="49" t="s">
        <v>409</v>
      </c>
      <c r="C1163" s="49" t="s">
        <v>449</v>
      </c>
      <c r="D1163">
        <v>15</v>
      </c>
      <c r="E1163" s="49" t="s">
        <v>378</v>
      </c>
    </row>
    <row r="1164" spans="1:5" x14ac:dyDescent="0.3">
      <c r="A1164" s="49" t="s">
        <v>1818</v>
      </c>
      <c r="B1164" s="49" t="s">
        <v>409</v>
      </c>
      <c r="C1164" s="49" t="s">
        <v>449</v>
      </c>
      <c r="D1164">
        <v>16</v>
      </c>
      <c r="E1164" s="49" t="s">
        <v>378</v>
      </c>
    </row>
    <row r="1165" spans="1:5" x14ac:dyDescent="0.3">
      <c r="A1165" s="49" t="s">
        <v>1818</v>
      </c>
      <c r="B1165" s="49" t="s">
        <v>409</v>
      </c>
      <c r="C1165" s="49" t="s">
        <v>449</v>
      </c>
      <c r="D1165">
        <v>17</v>
      </c>
      <c r="E1165" s="49" t="s">
        <v>378</v>
      </c>
    </row>
    <row r="1166" spans="1:5" x14ac:dyDescent="0.3">
      <c r="A1166" s="49" t="s">
        <v>1818</v>
      </c>
      <c r="B1166" s="49" t="s">
        <v>409</v>
      </c>
      <c r="C1166" s="49" t="s">
        <v>449</v>
      </c>
      <c r="D1166">
        <v>18</v>
      </c>
      <c r="E1166" s="49" t="s">
        <v>378</v>
      </c>
    </row>
    <row r="1167" spans="1:5" x14ac:dyDescent="0.3">
      <c r="A1167" s="49" t="s">
        <v>1827</v>
      </c>
      <c r="B1167" s="49" t="s">
        <v>409</v>
      </c>
      <c r="C1167" s="49" t="s">
        <v>449</v>
      </c>
      <c r="D1167">
        <v>0</v>
      </c>
      <c r="E1167" s="49" t="s">
        <v>378</v>
      </c>
    </row>
    <row r="1168" spans="1:5" x14ac:dyDescent="0.3">
      <c r="A1168" s="49" t="s">
        <v>1827</v>
      </c>
      <c r="B1168" s="49" t="s">
        <v>409</v>
      </c>
      <c r="C1168" s="49" t="s">
        <v>449</v>
      </c>
      <c r="D1168">
        <v>1</v>
      </c>
      <c r="E1168" s="49" t="s">
        <v>378</v>
      </c>
    </row>
    <row r="1169" spans="1:5" x14ac:dyDescent="0.3">
      <c r="A1169" s="49" t="s">
        <v>1827</v>
      </c>
      <c r="B1169" s="49" t="s">
        <v>409</v>
      </c>
      <c r="C1169" s="49" t="s">
        <v>449</v>
      </c>
      <c r="D1169">
        <v>2</v>
      </c>
      <c r="E1169" s="49" t="s">
        <v>378</v>
      </c>
    </row>
    <row r="1170" spans="1:5" x14ac:dyDescent="0.3">
      <c r="A1170" s="49" t="s">
        <v>1827</v>
      </c>
      <c r="B1170" s="49" t="s">
        <v>409</v>
      </c>
      <c r="C1170" s="49" t="s">
        <v>449</v>
      </c>
      <c r="D1170">
        <v>3</v>
      </c>
      <c r="E1170" s="49" t="s">
        <v>378</v>
      </c>
    </row>
    <row r="1171" spans="1:5" x14ac:dyDescent="0.3">
      <c r="A1171" s="49" t="s">
        <v>1827</v>
      </c>
      <c r="B1171" s="49" t="s">
        <v>409</v>
      </c>
      <c r="C1171" s="49" t="s">
        <v>449</v>
      </c>
      <c r="D1171">
        <v>4</v>
      </c>
      <c r="E1171" s="49" t="s">
        <v>378</v>
      </c>
    </row>
    <row r="1172" spans="1:5" x14ac:dyDescent="0.3">
      <c r="A1172" s="49" t="s">
        <v>1827</v>
      </c>
      <c r="B1172" s="49" t="s">
        <v>409</v>
      </c>
      <c r="C1172" s="49" t="s">
        <v>449</v>
      </c>
      <c r="D1172">
        <v>5</v>
      </c>
      <c r="E1172" s="49" t="s">
        <v>378</v>
      </c>
    </row>
    <row r="1173" spans="1:5" x14ac:dyDescent="0.3">
      <c r="A1173" s="49" t="s">
        <v>1827</v>
      </c>
      <c r="B1173" s="49" t="s">
        <v>409</v>
      </c>
      <c r="C1173" s="49" t="s">
        <v>449</v>
      </c>
      <c r="D1173">
        <v>6</v>
      </c>
      <c r="E1173" s="49" t="s">
        <v>378</v>
      </c>
    </row>
    <row r="1174" spans="1:5" x14ac:dyDescent="0.3">
      <c r="A1174" s="49" t="s">
        <v>1827</v>
      </c>
      <c r="B1174" s="49" t="s">
        <v>409</v>
      </c>
      <c r="C1174" s="49" t="s">
        <v>449</v>
      </c>
      <c r="D1174">
        <v>7</v>
      </c>
      <c r="E1174" s="49" t="s">
        <v>378</v>
      </c>
    </row>
    <row r="1175" spans="1:5" x14ac:dyDescent="0.3">
      <c r="A1175" s="49" t="s">
        <v>1827</v>
      </c>
      <c r="B1175" s="49" t="s">
        <v>409</v>
      </c>
      <c r="C1175" s="49" t="s">
        <v>449</v>
      </c>
      <c r="D1175">
        <v>8</v>
      </c>
      <c r="E1175" s="49" t="s">
        <v>378</v>
      </c>
    </row>
    <row r="1176" spans="1:5" x14ac:dyDescent="0.3">
      <c r="A1176" s="49" t="s">
        <v>1827</v>
      </c>
      <c r="B1176" s="49" t="s">
        <v>409</v>
      </c>
      <c r="C1176" s="49" t="s">
        <v>449</v>
      </c>
      <c r="D1176">
        <v>9</v>
      </c>
      <c r="E1176" s="49" t="s">
        <v>378</v>
      </c>
    </row>
    <row r="1177" spans="1:5" x14ac:dyDescent="0.3">
      <c r="A1177" s="49" t="s">
        <v>1827</v>
      </c>
      <c r="B1177" s="49" t="s">
        <v>409</v>
      </c>
      <c r="C1177" s="49" t="s">
        <v>449</v>
      </c>
      <c r="D1177">
        <v>10</v>
      </c>
      <c r="E1177" s="49" t="s">
        <v>378</v>
      </c>
    </row>
    <row r="1178" spans="1:5" x14ac:dyDescent="0.3">
      <c r="A1178" s="49" t="s">
        <v>1827</v>
      </c>
      <c r="B1178" s="49" t="s">
        <v>409</v>
      </c>
      <c r="C1178" s="49" t="s">
        <v>449</v>
      </c>
      <c r="D1178">
        <v>11</v>
      </c>
      <c r="E1178" s="49" t="s">
        <v>378</v>
      </c>
    </row>
    <row r="1179" spans="1:5" x14ac:dyDescent="0.3">
      <c r="A1179" s="49" t="s">
        <v>1827</v>
      </c>
      <c r="B1179" s="49" t="s">
        <v>409</v>
      </c>
      <c r="C1179" s="49" t="s">
        <v>449</v>
      </c>
      <c r="D1179">
        <v>12</v>
      </c>
      <c r="E1179" s="49" t="s">
        <v>378</v>
      </c>
    </row>
    <row r="1180" spans="1:5" x14ac:dyDescent="0.3">
      <c r="A1180" s="49" t="s">
        <v>1827</v>
      </c>
      <c r="B1180" s="49" t="s">
        <v>409</v>
      </c>
      <c r="C1180" s="49" t="s">
        <v>449</v>
      </c>
      <c r="D1180">
        <v>13</v>
      </c>
      <c r="E1180" s="49" t="s">
        <v>378</v>
      </c>
    </row>
    <row r="1181" spans="1:5" x14ac:dyDescent="0.3">
      <c r="A1181" s="49" t="s">
        <v>1827</v>
      </c>
      <c r="B1181" s="49" t="s">
        <v>409</v>
      </c>
      <c r="C1181" s="49" t="s">
        <v>449</v>
      </c>
      <c r="D1181">
        <v>14</v>
      </c>
      <c r="E1181" s="49" t="s">
        <v>378</v>
      </c>
    </row>
    <row r="1182" spans="1:5" x14ac:dyDescent="0.3">
      <c r="A1182" s="49" t="s">
        <v>1827</v>
      </c>
      <c r="B1182" s="49" t="s">
        <v>409</v>
      </c>
      <c r="C1182" s="49" t="s">
        <v>449</v>
      </c>
      <c r="D1182">
        <v>15</v>
      </c>
      <c r="E1182" s="49" t="s">
        <v>378</v>
      </c>
    </row>
    <row r="1183" spans="1:5" x14ac:dyDescent="0.3">
      <c r="A1183" s="49" t="s">
        <v>1827</v>
      </c>
      <c r="B1183" s="49" t="s">
        <v>409</v>
      </c>
      <c r="C1183" s="49" t="s">
        <v>449</v>
      </c>
      <c r="D1183">
        <v>16</v>
      </c>
      <c r="E1183" s="49" t="s">
        <v>378</v>
      </c>
    </row>
    <row r="1184" spans="1:5" x14ac:dyDescent="0.3">
      <c r="A1184" s="49" t="s">
        <v>1827</v>
      </c>
      <c r="B1184" s="49" t="s">
        <v>409</v>
      </c>
      <c r="C1184" s="49" t="s">
        <v>449</v>
      </c>
      <c r="D1184">
        <v>17</v>
      </c>
      <c r="E1184" s="49" t="s">
        <v>378</v>
      </c>
    </row>
    <row r="1185" spans="1:5" x14ac:dyDescent="0.3">
      <c r="A1185" s="49" t="s">
        <v>1827</v>
      </c>
      <c r="B1185" s="49" t="s">
        <v>409</v>
      </c>
      <c r="C1185" s="49" t="s">
        <v>449</v>
      </c>
      <c r="D1185">
        <v>18</v>
      </c>
      <c r="E1185" s="49" t="s">
        <v>378</v>
      </c>
    </row>
    <row r="1186" spans="1:5" x14ac:dyDescent="0.3">
      <c r="A1186" s="49" t="s">
        <v>1828</v>
      </c>
      <c r="B1186" s="49" t="s">
        <v>409</v>
      </c>
      <c r="C1186" s="49" t="s">
        <v>449</v>
      </c>
      <c r="D1186">
        <v>0</v>
      </c>
      <c r="E1186" s="49" t="s">
        <v>378</v>
      </c>
    </row>
    <row r="1187" spans="1:5" x14ac:dyDescent="0.3">
      <c r="A1187" s="49" t="s">
        <v>1828</v>
      </c>
      <c r="B1187" s="49" t="s">
        <v>409</v>
      </c>
      <c r="C1187" s="49" t="s">
        <v>449</v>
      </c>
      <c r="D1187">
        <v>1</v>
      </c>
      <c r="E1187" s="49" t="s">
        <v>378</v>
      </c>
    </row>
    <row r="1188" spans="1:5" x14ac:dyDescent="0.3">
      <c r="A1188" s="49" t="s">
        <v>1828</v>
      </c>
      <c r="B1188" s="49" t="s">
        <v>409</v>
      </c>
      <c r="C1188" s="49" t="s">
        <v>449</v>
      </c>
      <c r="D1188">
        <v>2</v>
      </c>
      <c r="E1188" s="49" t="s">
        <v>378</v>
      </c>
    </row>
    <row r="1189" spans="1:5" x14ac:dyDescent="0.3">
      <c r="A1189" s="49" t="s">
        <v>1828</v>
      </c>
      <c r="B1189" s="49" t="s">
        <v>409</v>
      </c>
      <c r="C1189" s="49" t="s">
        <v>449</v>
      </c>
      <c r="D1189">
        <v>3</v>
      </c>
      <c r="E1189" s="49" t="s">
        <v>378</v>
      </c>
    </row>
    <row r="1190" spans="1:5" x14ac:dyDescent="0.3">
      <c r="A1190" s="49" t="s">
        <v>1828</v>
      </c>
      <c r="B1190" s="49" t="s">
        <v>409</v>
      </c>
      <c r="C1190" s="49" t="s">
        <v>449</v>
      </c>
      <c r="D1190">
        <v>4</v>
      </c>
      <c r="E1190" s="49" t="s">
        <v>378</v>
      </c>
    </row>
    <row r="1191" spans="1:5" x14ac:dyDescent="0.3">
      <c r="A1191" s="49" t="s">
        <v>1828</v>
      </c>
      <c r="B1191" s="49" t="s">
        <v>409</v>
      </c>
      <c r="C1191" s="49" t="s">
        <v>449</v>
      </c>
      <c r="D1191">
        <v>5</v>
      </c>
      <c r="E1191" s="49" t="s">
        <v>378</v>
      </c>
    </row>
    <row r="1192" spans="1:5" x14ac:dyDescent="0.3">
      <c r="A1192" s="49" t="s">
        <v>1828</v>
      </c>
      <c r="B1192" s="49" t="s">
        <v>409</v>
      </c>
      <c r="C1192" s="49" t="s">
        <v>449</v>
      </c>
      <c r="D1192">
        <v>6</v>
      </c>
      <c r="E1192" s="49" t="s">
        <v>378</v>
      </c>
    </row>
    <row r="1193" spans="1:5" x14ac:dyDescent="0.3">
      <c r="A1193" s="49" t="s">
        <v>1828</v>
      </c>
      <c r="B1193" s="49" t="s">
        <v>409</v>
      </c>
      <c r="C1193" s="49" t="s">
        <v>449</v>
      </c>
      <c r="D1193">
        <v>7</v>
      </c>
      <c r="E1193" s="49" t="s">
        <v>378</v>
      </c>
    </row>
    <row r="1194" spans="1:5" x14ac:dyDescent="0.3">
      <c r="A1194" s="49" t="s">
        <v>1828</v>
      </c>
      <c r="B1194" s="49" t="s">
        <v>409</v>
      </c>
      <c r="C1194" s="49" t="s">
        <v>449</v>
      </c>
      <c r="D1194">
        <v>8</v>
      </c>
      <c r="E1194" s="49" t="s">
        <v>378</v>
      </c>
    </row>
    <row r="1195" spans="1:5" x14ac:dyDescent="0.3">
      <c r="A1195" s="49" t="s">
        <v>1828</v>
      </c>
      <c r="B1195" s="49" t="s">
        <v>409</v>
      </c>
      <c r="C1195" s="49" t="s">
        <v>449</v>
      </c>
      <c r="D1195">
        <v>9</v>
      </c>
      <c r="E1195" s="49" t="s">
        <v>378</v>
      </c>
    </row>
    <row r="1196" spans="1:5" x14ac:dyDescent="0.3">
      <c r="A1196" s="49" t="s">
        <v>1828</v>
      </c>
      <c r="B1196" s="49" t="s">
        <v>409</v>
      </c>
      <c r="C1196" s="49" t="s">
        <v>449</v>
      </c>
      <c r="D1196">
        <v>10</v>
      </c>
      <c r="E1196" s="49" t="s">
        <v>378</v>
      </c>
    </row>
    <row r="1197" spans="1:5" x14ac:dyDescent="0.3">
      <c r="A1197" s="49" t="s">
        <v>1828</v>
      </c>
      <c r="B1197" s="49" t="s">
        <v>409</v>
      </c>
      <c r="C1197" s="49" t="s">
        <v>449</v>
      </c>
      <c r="D1197">
        <v>11</v>
      </c>
      <c r="E1197" s="49" t="s">
        <v>378</v>
      </c>
    </row>
    <row r="1198" spans="1:5" x14ac:dyDescent="0.3">
      <c r="A1198" s="49" t="s">
        <v>1828</v>
      </c>
      <c r="B1198" s="49" t="s">
        <v>409</v>
      </c>
      <c r="C1198" s="49" t="s">
        <v>449</v>
      </c>
      <c r="D1198">
        <v>12</v>
      </c>
      <c r="E1198" s="49" t="s">
        <v>378</v>
      </c>
    </row>
    <row r="1199" spans="1:5" x14ac:dyDescent="0.3">
      <c r="A1199" s="49" t="s">
        <v>1828</v>
      </c>
      <c r="B1199" s="49" t="s">
        <v>409</v>
      </c>
      <c r="C1199" s="49" t="s">
        <v>449</v>
      </c>
      <c r="D1199">
        <v>13</v>
      </c>
      <c r="E1199" s="49" t="s">
        <v>378</v>
      </c>
    </row>
    <row r="1200" spans="1:5" x14ac:dyDescent="0.3">
      <c r="A1200" s="49" t="s">
        <v>1828</v>
      </c>
      <c r="B1200" s="49" t="s">
        <v>409</v>
      </c>
      <c r="C1200" s="49" t="s">
        <v>449</v>
      </c>
      <c r="D1200">
        <v>14</v>
      </c>
      <c r="E1200" s="49" t="s">
        <v>378</v>
      </c>
    </row>
    <row r="1201" spans="1:5" x14ac:dyDescent="0.3">
      <c r="A1201" s="49" t="s">
        <v>1828</v>
      </c>
      <c r="B1201" s="49" t="s">
        <v>409</v>
      </c>
      <c r="C1201" s="49" t="s">
        <v>449</v>
      </c>
      <c r="D1201">
        <v>15</v>
      </c>
      <c r="E1201" s="49" t="s">
        <v>378</v>
      </c>
    </row>
    <row r="1202" spans="1:5" x14ac:dyDescent="0.3">
      <c r="A1202" s="49" t="s">
        <v>1828</v>
      </c>
      <c r="B1202" s="49" t="s">
        <v>409</v>
      </c>
      <c r="C1202" s="49" t="s">
        <v>449</v>
      </c>
      <c r="D1202">
        <v>16</v>
      </c>
      <c r="E1202" s="49" t="s">
        <v>378</v>
      </c>
    </row>
    <row r="1203" spans="1:5" x14ac:dyDescent="0.3">
      <c r="A1203" s="49" t="s">
        <v>1828</v>
      </c>
      <c r="B1203" s="49" t="s">
        <v>409</v>
      </c>
      <c r="C1203" s="49" t="s">
        <v>449</v>
      </c>
      <c r="D1203">
        <v>17</v>
      </c>
      <c r="E1203" s="49" t="s">
        <v>378</v>
      </c>
    </row>
    <row r="1204" spans="1:5" x14ac:dyDescent="0.3">
      <c r="A1204" s="49" t="s">
        <v>1828</v>
      </c>
      <c r="B1204" s="49" t="s">
        <v>409</v>
      </c>
      <c r="C1204" s="49" t="s">
        <v>449</v>
      </c>
      <c r="D1204">
        <v>18</v>
      </c>
      <c r="E1204" s="49" t="s">
        <v>378</v>
      </c>
    </row>
    <row r="1205" spans="1:5" x14ac:dyDescent="0.3">
      <c r="A1205" s="49" t="s">
        <v>1829</v>
      </c>
      <c r="B1205" s="49" t="s">
        <v>409</v>
      </c>
      <c r="C1205" s="49" t="s">
        <v>449</v>
      </c>
      <c r="D1205">
        <v>0</v>
      </c>
      <c r="E1205" s="49" t="s">
        <v>378</v>
      </c>
    </row>
    <row r="1206" spans="1:5" x14ac:dyDescent="0.3">
      <c r="A1206" s="49" t="s">
        <v>1829</v>
      </c>
      <c r="B1206" s="49" t="s">
        <v>409</v>
      </c>
      <c r="C1206" s="49" t="s">
        <v>449</v>
      </c>
      <c r="D1206">
        <v>1</v>
      </c>
      <c r="E1206" s="49" t="s">
        <v>378</v>
      </c>
    </row>
    <row r="1207" spans="1:5" x14ac:dyDescent="0.3">
      <c r="A1207" s="49" t="s">
        <v>1829</v>
      </c>
      <c r="B1207" s="49" t="s">
        <v>409</v>
      </c>
      <c r="C1207" s="49" t="s">
        <v>449</v>
      </c>
      <c r="D1207">
        <v>2</v>
      </c>
      <c r="E1207" s="49" t="s">
        <v>378</v>
      </c>
    </row>
    <row r="1208" spans="1:5" x14ac:dyDescent="0.3">
      <c r="A1208" s="49" t="s">
        <v>1829</v>
      </c>
      <c r="B1208" s="49" t="s">
        <v>409</v>
      </c>
      <c r="C1208" s="49" t="s">
        <v>449</v>
      </c>
      <c r="D1208">
        <v>3</v>
      </c>
      <c r="E1208" s="49" t="s">
        <v>378</v>
      </c>
    </row>
    <row r="1209" spans="1:5" x14ac:dyDescent="0.3">
      <c r="A1209" s="49" t="s">
        <v>1829</v>
      </c>
      <c r="B1209" s="49" t="s">
        <v>409</v>
      </c>
      <c r="C1209" s="49" t="s">
        <v>449</v>
      </c>
      <c r="D1209">
        <v>4</v>
      </c>
      <c r="E1209" s="49" t="s">
        <v>378</v>
      </c>
    </row>
    <row r="1210" spans="1:5" x14ac:dyDescent="0.3">
      <c r="A1210" s="49" t="s">
        <v>1829</v>
      </c>
      <c r="B1210" s="49" t="s">
        <v>409</v>
      </c>
      <c r="C1210" s="49" t="s">
        <v>449</v>
      </c>
      <c r="D1210">
        <v>5</v>
      </c>
      <c r="E1210" s="49" t="s">
        <v>378</v>
      </c>
    </row>
    <row r="1211" spans="1:5" x14ac:dyDescent="0.3">
      <c r="A1211" s="49" t="s">
        <v>1829</v>
      </c>
      <c r="B1211" s="49" t="s">
        <v>409</v>
      </c>
      <c r="C1211" s="49" t="s">
        <v>449</v>
      </c>
      <c r="D1211">
        <v>6</v>
      </c>
      <c r="E1211" s="49" t="s">
        <v>378</v>
      </c>
    </row>
    <row r="1212" spans="1:5" x14ac:dyDescent="0.3">
      <c r="A1212" s="49" t="s">
        <v>1829</v>
      </c>
      <c r="B1212" s="49" t="s">
        <v>409</v>
      </c>
      <c r="C1212" s="49" t="s">
        <v>449</v>
      </c>
      <c r="D1212">
        <v>7</v>
      </c>
      <c r="E1212" s="49" t="s">
        <v>378</v>
      </c>
    </row>
    <row r="1213" spans="1:5" x14ac:dyDescent="0.3">
      <c r="A1213" s="49" t="s">
        <v>1829</v>
      </c>
      <c r="B1213" s="49" t="s">
        <v>409</v>
      </c>
      <c r="C1213" s="49" t="s">
        <v>449</v>
      </c>
      <c r="D1213">
        <v>8</v>
      </c>
      <c r="E1213" s="49" t="s">
        <v>378</v>
      </c>
    </row>
    <row r="1214" spans="1:5" x14ac:dyDescent="0.3">
      <c r="A1214" s="49" t="s">
        <v>1829</v>
      </c>
      <c r="B1214" s="49" t="s">
        <v>409</v>
      </c>
      <c r="C1214" s="49" t="s">
        <v>449</v>
      </c>
      <c r="D1214">
        <v>9</v>
      </c>
      <c r="E1214" s="49" t="s">
        <v>378</v>
      </c>
    </row>
    <row r="1215" spans="1:5" x14ac:dyDescent="0.3">
      <c r="A1215" s="49" t="s">
        <v>1829</v>
      </c>
      <c r="B1215" s="49" t="s">
        <v>409</v>
      </c>
      <c r="C1215" s="49" t="s">
        <v>449</v>
      </c>
      <c r="D1215">
        <v>10</v>
      </c>
      <c r="E1215" s="49" t="s">
        <v>378</v>
      </c>
    </row>
    <row r="1216" spans="1:5" x14ac:dyDescent="0.3">
      <c r="A1216" s="49" t="s">
        <v>1829</v>
      </c>
      <c r="B1216" s="49" t="s">
        <v>409</v>
      </c>
      <c r="C1216" s="49" t="s">
        <v>449</v>
      </c>
      <c r="D1216">
        <v>11</v>
      </c>
      <c r="E1216" s="49" t="s">
        <v>378</v>
      </c>
    </row>
    <row r="1217" spans="1:5" x14ac:dyDescent="0.3">
      <c r="A1217" s="49" t="s">
        <v>1829</v>
      </c>
      <c r="B1217" s="49" t="s">
        <v>409</v>
      </c>
      <c r="C1217" s="49" t="s">
        <v>449</v>
      </c>
      <c r="D1217">
        <v>12</v>
      </c>
      <c r="E1217" s="49" t="s">
        <v>378</v>
      </c>
    </row>
    <row r="1218" spans="1:5" x14ac:dyDescent="0.3">
      <c r="A1218" s="49" t="s">
        <v>1829</v>
      </c>
      <c r="B1218" s="49" t="s">
        <v>409</v>
      </c>
      <c r="C1218" s="49" t="s">
        <v>449</v>
      </c>
      <c r="D1218">
        <v>13</v>
      </c>
      <c r="E1218" s="49" t="s">
        <v>378</v>
      </c>
    </row>
    <row r="1219" spans="1:5" x14ac:dyDescent="0.3">
      <c r="A1219" s="49" t="s">
        <v>1829</v>
      </c>
      <c r="B1219" s="49" t="s">
        <v>409</v>
      </c>
      <c r="C1219" s="49" t="s">
        <v>449</v>
      </c>
      <c r="D1219">
        <v>14</v>
      </c>
      <c r="E1219" s="49" t="s">
        <v>378</v>
      </c>
    </row>
    <row r="1220" spans="1:5" x14ac:dyDescent="0.3">
      <c r="A1220" s="49" t="s">
        <v>1829</v>
      </c>
      <c r="B1220" s="49" t="s">
        <v>409</v>
      </c>
      <c r="C1220" s="49" t="s">
        <v>449</v>
      </c>
      <c r="D1220">
        <v>15</v>
      </c>
      <c r="E1220" s="49" t="s">
        <v>378</v>
      </c>
    </row>
    <row r="1221" spans="1:5" x14ac:dyDescent="0.3">
      <c r="A1221" s="49" t="s">
        <v>1829</v>
      </c>
      <c r="B1221" s="49" t="s">
        <v>409</v>
      </c>
      <c r="C1221" s="49" t="s">
        <v>449</v>
      </c>
      <c r="D1221">
        <v>16</v>
      </c>
      <c r="E1221" s="49" t="s">
        <v>378</v>
      </c>
    </row>
    <row r="1222" spans="1:5" x14ac:dyDescent="0.3">
      <c r="A1222" s="49" t="s">
        <v>1829</v>
      </c>
      <c r="B1222" s="49" t="s">
        <v>409</v>
      </c>
      <c r="C1222" s="49" t="s">
        <v>449</v>
      </c>
      <c r="D1222">
        <v>17</v>
      </c>
      <c r="E1222" s="49" t="s">
        <v>378</v>
      </c>
    </row>
    <row r="1223" spans="1:5" x14ac:dyDescent="0.3">
      <c r="A1223" s="49" t="s">
        <v>1829</v>
      </c>
      <c r="B1223" s="49" t="s">
        <v>409</v>
      </c>
      <c r="C1223" s="49" t="s">
        <v>449</v>
      </c>
      <c r="D1223">
        <v>18</v>
      </c>
      <c r="E1223" s="49" t="s">
        <v>378</v>
      </c>
    </row>
    <row r="1224" spans="1:5" x14ac:dyDescent="0.3">
      <c r="A1224" s="49" t="s">
        <v>1830</v>
      </c>
      <c r="B1224" s="49" t="s">
        <v>409</v>
      </c>
      <c r="C1224" s="49" t="s">
        <v>449</v>
      </c>
      <c r="D1224">
        <v>0</v>
      </c>
      <c r="E1224" s="49" t="s">
        <v>378</v>
      </c>
    </row>
    <row r="1225" spans="1:5" x14ac:dyDescent="0.3">
      <c r="A1225" s="49" t="s">
        <v>1830</v>
      </c>
      <c r="B1225" s="49" t="s">
        <v>409</v>
      </c>
      <c r="C1225" s="49" t="s">
        <v>449</v>
      </c>
      <c r="D1225">
        <v>1</v>
      </c>
      <c r="E1225" s="49" t="s">
        <v>378</v>
      </c>
    </row>
    <row r="1226" spans="1:5" x14ac:dyDescent="0.3">
      <c r="A1226" s="49" t="s">
        <v>1830</v>
      </c>
      <c r="B1226" s="49" t="s">
        <v>409</v>
      </c>
      <c r="C1226" s="49" t="s">
        <v>449</v>
      </c>
      <c r="D1226">
        <v>2</v>
      </c>
      <c r="E1226" s="49" t="s">
        <v>378</v>
      </c>
    </row>
    <row r="1227" spans="1:5" x14ac:dyDescent="0.3">
      <c r="A1227" s="49" t="s">
        <v>1830</v>
      </c>
      <c r="B1227" s="49" t="s">
        <v>409</v>
      </c>
      <c r="C1227" s="49" t="s">
        <v>449</v>
      </c>
      <c r="D1227">
        <v>3</v>
      </c>
      <c r="E1227" s="49" t="s">
        <v>378</v>
      </c>
    </row>
    <row r="1228" spans="1:5" x14ac:dyDescent="0.3">
      <c r="A1228" s="49" t="s">
        <v>1830</v>
      </c>
      <c r="B1228" s="49" t="s">
        <v>409</v>
      </c>
      <c r="C1228" s="49" t="s">
        <v>449</v>
      </c>
      <c r="D1228">
        <v>4</v>
      </c>
      <c r="E1228" s="49" t="s">
        <v>378</v>
      </c>
    </row>
    <row r="1229" spans="1:5" x14ac:dyDescent="0.3">
      <c r="A1229" s="49" t="s">
        <v>1830</v>
      </c>
      <c r="B1229" s="49" t="s">
        <v>409</v>
      </c>
      <c r="C1229" s="49" t="s">
        <v>449</v>
      </c>
      <c r="D1229">
        <v>5</v>
      </c>
      <c r="E1229" s="49" t="s">
        <v>378</v>
      </c>
    </row>
    <row r="1230" spans="1:5" x14ac:dyDescent="0.3">
      <c r="A1230" s="49" t="s">
        <v>1830</v>
      </c>
      <c r="B1230" s="49" t="s">
        <v>409</v>
      </c>
      <c r="C1230" s="49" t="s">
        <v>449</v>
      </c>
      <c r="D1230">
        <v>6</v>
      </c>
      <c r="E1230" s="49" t="s">
        <v>378</v>
      </c>
    </row>
    <row r="1231" spans="1:5" x14ac:dyDescent="0.3">
      <c r="A1231" s="49" t="s">
        <v>1830</v>
      </c>
      <c r="B1231" s="49" t="s">
        <v>409</v>
      </c>
      <c r="C1231" s="49" t="s">
        <v>449</v>
      </c>
      <c r="D1231">
        <v>7</v>
      </c>
      <c r="E1231" s="49" t="s">
        <v>378</v>
      </c>
    </row>
    <row r="1232" spans="1:5" x14ac:dyDescent="0.3">
      <c r="A1232" s="49" t="s">
        <v>1830</v>
      </c>
      <c r="B1232" s="49" t="s">
        <v>409</v>
      </c>
      <c r="C1232" s="49" t="s">
        <v>449</v>
      </c>
      <c r="D1232">
        <v>8</v>
      </c>
      <c r="E1232" s="49" t="s">
        <v>378</v>
      </c>
    </row>
    <row r="1233" spans="1:5" x14ac:dyDescent="0.3">
      <c r="A1233" s="49" t="s">
        <v>1830</v>
      </c>
      <c r="B1233" s="49" t="s">
        <v>409</v>
      </c>
      <c r="C1233" s="49" t="s">
        <v>449</v>
      </c>
      <c r="D1233">
        <v>9</v>
      </c>
      <c r="E1233" s="49" t="s">
        <v>378</v>
      </c>
    </row>
    <row r="1234" spans="1:5" x14ac:dyDescent="0.3">
      <c r="A1234" s="49" t="s">
        <v>1830</v>
      </c>
      <c r="B1234" s="49" t="s">
        <v>409</v>
      </c>
      <c r="C1234" s="49" t="s">
        <v>449</v>
      </c>
      <c r="D1234">
        <v>10</v>
      </c>
      <c r="E1234" s="49" t="s">
        <v>378</v>
      </c>
    </row>
    <row r="1235" spans="1:5" x14ac:dyDescent="0.3">
      <c r="A1235" s="49" t="s">
        <v>1830</v>
      </c>
      <c r="B1235" s="49" t="s">
        <v>409</v>
      </c>
      <c r="C1235" s="49" t="s">
        <v>449</v>
      </c>
      <c r="D1235">
        <v>11</v>
      </c>
      <c r="E1235" s="49" t="s">
        <v>378</v>
      </c>
    </row>
    <row r="1236" spans="1:5" x14ac:dyDescent="0.3">
      <c r="A1236" s="49" t="s">
        <v>1830</v>
      </c>
      <c r="B1236" s="49" t="s">
        <v>409</v>
      </c>
      <c r="C1236" s="49" t="s">
        <v>449</v>
      </c>
      <c r="D1236">
        <v>12</v>
      </c>
      <c r="E1236" s="49" t="s">
        <v>378</v>
      </c>
    </row>
    <row r="1237" spans="1:5" x14ac:dyDescent="0.3">
      <c r="A1237" s="49" t="s">
        <v>1830</v>
      </c>
      <c r="B1237" s="49" t="s">
        <v>409</v>
      </c>
      <c r="C1237" s="49" t="s">
        <v>449</v>
      </c>
      <c r="D1237">
        <v>13</v>
      </c>
      <c r="E1237" s="49" t="s">
        <v>378</v>
      </c>
    </row>
    <row r="1238" spans="1:5" x14ac:dyDescent="0.3">
      <c r="A1238" s="49" t="s">
        <v>1830</v>
      </c>
      <c r="B1238" s="49" t="s">
        <v>409</v>
      </c>
      <c r="C1238" s="49" t="s">
        <v>449</v>
      </c>
      <c r="D1238">
        <v>14</v>
      </c>
      <c r="E1238" s="49" t="s">
        <v>378</v>
      </c>
    </row>
    <row r="1239" spans="1:5" x14ac:dyDescent="0.3">
      <c r="A1239" s="49" t="s">
        <v>1830</v>
      </c>
      <c r="B1239" s="49" t="s">
        <v>409</v>
      </c>
      <c r="C1239" s="49" t="s">
        <v>449</v>
      </c>
      <c r="D1239">
        <v>15</v>
      </c>
      <c r="E1239" s="49" t="s">
        <v>378</v>
      </c>
    </row>
    <row r="1240" spans="1:5" x14ac:dyDescent="0.3">
      <c r="A1240" s="49" t="s">
        <v>1830</v>
      </c>
      <c r="B1240" s="49" t="s">
        <v>409</v>
      </c>
      <c r="C1240" s="49" t="s">
        <v>449</v>
      </c>
      <c r="D1240">
        <v>16</v>
      </c>
      <c r="E1240" s="49" t="s">
        <v>378</v>
      </c>
    </row>
    <row r="1241" spans="1:5" x14ac:dyDescent="0.3">
      <c r="A1241" s="49" t="s">
        <v>1830</v>
      </c>
      <c r="B1241" s="49" t="s">
        <v>409</v>
      </c>
      <c r="C1241" s="49" t="s">
        <v>449</v>
      </c>
      <c r="D1241">
        <v>17</v>
      </c>
      <c r="E1241" s="49" t="s">
        <v>378</v>
      </c>
    </row>
    <row r="1242" spans="1:5" x14ac:dyDescent="0.3">
      <c r="A1242" s="49" t="s">
        <v>1830</v>
      </c>
      <c r="B1242" s="49" t="s">
        <v>409</v>
      </c>
      <c r="C1242" s="49" t="s">
        <v>449</v>
      </c>
      <c r="D1242">
        <v>18</v>
      </c>
      <c r="E1242" s="49" t="s">
        <v>378</v>
      </c>
    </row>
    <row r="1243" spans="1:5" x14ac:dyDescent="0.3">
      <c r="A1243" s="49" t="s">
        <v>1832</v>
      </c>
      <c r="B1243" s="49" t="s">
        <v>409</v>
      </c>
      <c r="C1243" s="49" t="s">
        <v>449</v>
      </c>
      <c r="D1243">
        <v>0</v>
      </c>
      <c r="E1243" s="49" t="s">
        <v>379</v>
      </c>
    </row>
    <row r="1244" spans="1:5" x14ac:dyDescent="0.3">
      <c r="A1244" s="49" t="s">
        <v>1832</v>
      </c>
      <c r="B1244" s="49" t="s">
        <v>409</v>
      </c>
      <c r="C1244" s="49" t="s">
        <v>449</v>
      </c>
      <c r="D1244">
        <v>1</v>
      </c>
      <c r="E1244" s="49" t="s">
        <v>379</v>
      </c>
    </row>
    <row r="1245" spans="1:5" x14ac:dyDescent="0.3">
      <c r="A1245" s="49" t="s">
        <v>1832</v>
      </c>
      <c r="B1245" s="49" t="s">
        <v>409</v>
      </c>
      <c r="C1245" s="49" t="s">
        <v>449</v>
      </c>
      <c r="D1245">
        <v>2</v>
      </c>
      <c r="E1245" s="49" t="s">
        <v>379</v>
      </c>
    </row>
    <row r="1246" spans="1:5" x14ac:dyDescent="0.3">
      <c r="A1246" s="49" t="s">
        <v>1832</v>
      </c>
      <c r="B1246" s="49" t="s">
        <v>409</v>
      </c>
      <c r="C1246" s="49" t="s">
        <v>449</v>
      </c>
      <c r="D1246">
        <v>3</v>
      </c>
      <c r="E1246" s="49" t="s">
        <v>379</v>
      </c>
    </row>
    <row r="1247" spans="1:5" x14ac:dyDescent="0.3">
      <c r="A1247" s="49" t="s">
        <v>1832</v>
      </c>
      <c r="B1247" s="49" t="s">
        <v>409</v>
      </c>
      <c r="C1247" s="49" t="s">
        <v>449</v>
      </c>
      <c r="D1247">
        <v>4</v>
      </c>
      <c r="E1247" s="49" t="s">
        <v>379</v>
      </c>
    </row>
    <row r="1248" spans="1:5" x14ac:dyDescent="0.3">
      <c r="A1248" s="49" t="s">
        <v>1832</v>
      </c>
      <c r="B1248" s="49" t="s">
        <v>409</v>
      </c>
      <c r="C1248" s="49" t="s">
        <v>449</v>
      </c>
      <c r="D1248">
        <v>5</v>
      </c>
      <c r="E1248" s="49" t="s">
        <v>379</v>
      </c>
    </row>
    <row r="1249" spans="1:5" x14ac:dyDescent="0.3">
      <c r="A1249" s="49" t="s">
        <v>1832</v>
      </c>
      <c r="B1249" s="49" t="s">
        <v>409</v>
      </c>
      <c r="C1249" s="49" t="s">
        <v>449</v>
      </c>
      <c r="D1249">
        <v>6</v>
      </c>
      <c r="E1249" s="49" t="s">
        <v>379</v>
      </c>
    </row>
    <row r="1250" spans="1:5" x14ac:dyDescent="0.3">
      <c r="A1250" s="49" t="s">
        <v>1832</v>
      </c>
      <c r="B1250" s="49" t="s">
        <v>409</v>
      </c>
      <c r="C1250" s="49" t="s">
        <v>449</v>
      </c>
      <c r="D1250">
        <v>7</v>
      </c>
      <c r="E1250" s="49" t="s">
        <v>379</v>
      </c>
    </row>
    <row r="1251" spans="1:5" x14ac:dyDescent="0.3">
      <c r="A1251" s="49" t="s">
        <v>1832</v>
      </c>
      <c r="B1251" s="49" t="s">
        <v>409</v>
      </c>
      <c r="C1251" s="49" t="s">
        <v>449</v>
      </c>
      <c r="D1251">
        <v>8</v>
      </c>
      <c r="E1251" s="49" t="s">
        <v>379</v>
      </c>
    </row>
    <row r="1252" spans="1:5" x14ac:dyDescent="0.3">
      <c r="A1252" s="49" t="s">
        <v>1832</v>
      </c>
      <c r="B1252" s="49" t="s">
        <v>409</v>
      </c>
      <c r="C1252" s="49" t="s">
        <v>449</v>
      </c>
      <c r="D1252">
        <v>9</v>
      </c>
      <c r="E1252" s="49" t="s">
        <v>379</v>
      </c>
    </row>
    <row r="1253" spans="1:5" x14ac:dyDescent="0.3">
      <c r="A1253" s="49" t="s">
        <v>1832</v>
      </c>
      <c r="B1253" s="49" t="s">
        <v>409</v>
      </c>
      <c r="C1253" s="49" t="s">
        <v>449</v>
      </c>
      <c r="D1253">
        <v>10</v>
      </c>
      <c r="E1253" s="49" t="s">
        <v>379</v>
      </c>
    </row>
    <row r="1254" spans="1:5" x14ac:dyDescent="0.3">
      <c r="A1254" s="49" t="s">
        <v>1832</v>
      </c>
      <c r="B1254" s="49" t="s">
        <v>409</v>
      </c>
      <c r="C1254" s="49" t="s">
        <v>449</v>
      </c>
      <c r="D1254">
        <v>11</v>
      </c>
      <c r="E1254" s="49" t="s">
        <v>379</v>
      </c>
    </row>
    <row r="1255" spans="1:5" x14ac:dyDescent="0.3">
      <c r="A1255" s="49" t="s">
        <v>1832</v>
      </c>
      <c r="B1255" s="49" t="s">
        <v>409</v>
      </c>
      <c r="C1255" s="49" t="s">
        <v>449</v>
      </c>
      <c r="D1255">
        <v>12</v>
      </c>
      <c r="E1255" s="49" t="s">
        <v>379</v>
      </c>
    </row>
    <row r="1256" spans="1:5" x14ac:dyDescent="0.3">
      <c r="A1256" s="49" t="s">
        <v>1832</v>
      </c>
      <c r="B1256" s="49" t="s">
        <v>409</v>
      </c>
      <c r="C1256" s="49" t="s">
        <v>449</v>
      </c>
      <c r="D1256">
        <v>13</v>
      </c>
      <c r="E1256" s="49" t="s">
        <v>379</v>
      </c>
    </row>
    <row r="1257" spans="1:5" x14ac:dyDescent="0.3">
      <c r="A1257" s="49" t="s">
        <v>1832</v>
      </c>
      <c r="B1257" s="49" t="s">
        <v>409</v>
      </c>
      <c r="C1257" s="49" t="s">
        <v>449</v>
      </c>
      <c r="D1257">
        <v>14</v>
      </c>
      <c r="E1257" s="49" t="s">
        <v>379</v>
      </c>
    </row>
    <row r="1258" spans="1:5" x14ac:dyDescent="0.3">
      <c r="A1258" s="49" t="s">
        <v>1832</v>
      </c>
      <c r="B1258" s="49" t="s">
        <v>409</v>
      </c>
      <c r="C1258" s="49" t="s">
        <v>449</v>
      </c>
      <c r="D1258">
        <v>15</v>
      </c>
      <c r="E1258" s="49" t="s">
        <v>379</v>
      </c>
    </row>
    <row r="1259" spans="1:5" x14ac:dyDescent="0.3">
      <c r="A1259" s="49" t="s">
        <v>1832</v>
      </c>
      <c r="B1259" s="49" t="s">
        <v>409</v>
      </c>
      <c r="C1259" s="49" t="s">
        <v>449</v>
      </c>
      <c r="D1259">
        <v>16</v>
      </c>
      <c r="E1259" s="49" t="s">
        <v>379</v>
      </c>
    </row>
    <row r="1260" spans="1:5" x14ac:dyDescent="0.3">
      <c r="A1260" s="49" t="s">
        <v>1832</v>
      </c>
      <c r="B1260" s="49" t="s">
        <v>409</v>
      </c>
      <c r="C1260" s="49" t="s">
        <v>449</v>
      </c>
      <c r="D1260">
        <v>17</v>
      </c>
      <c r="E1260" s="49" t="s">
        <v>379</v>
      </c>
    </row>
    <row r="1261" spans="1:5" x14ac:dyDescent="0.3">
      <c r="A1261" s="49" t="s">
        <v>1832</v>
      </c>
      <c r="B1261" s="49" t="s">
        <v>409</v>
      </c>
      <c r="C1261" s="49" t="s">
        <v>449</v>
      </c>
      <c r="D1261">
        <v>18</v>
      </c>
      <c r="E1261" s="49" t="s">
        <v>379</v>
      </c>
    </row>
    <row r="1262" spans="1:5" x14ac:dyDescent="0.3">
      <c r="A1262" s="49" t="s">
        <v>1833</v>
      </c>
      <c r="B1262" s="49" t="s">
        <v>409</v>
      </c>
      <c r="C1262" s="49" t="s">
        <v>449</v>
      </c>
      <c r="D1262">
        <v>0</v>
      </c>
      <c r="E1262" s="49" t="s">
        <v>379</v>
      </c>
    </row>
    <row r="1263" spans="1:5" x14ac:dyDescent="0.3">
      <c r="A1263" s="49" t="s">
        <v>1833</v>
      </c>
      <c r="B1263" s="49" t="s">
        <v>409</v>
      </c>
      <c r="C1263" s="49" t="s">
        <v>449</v>
      </c>
      <c r="D1263">
        <v>1</v>
      </c>
      <c r="E1263" s="49" t="s">
        <v>379</v>
      </c>
    </row>
    <row r="1264" spans="1:5" x14ac:dyDescent="0.3">
      <c r="A1264" s="49" t="s">
        <v>1833</v>
      </c>
      <c r="B1264" s="49" t="s">
        <v>409</v>
      </c>
      <c r="C1264" s="49" t="s">
        <v>449</v>
      </c>
      <c r="D1264">
        <v>2</v>
      </c>
      <c r="E1264" s="49" t="s">
        <v>379</v>
      </c>
    </row>
    <row r="1265" spans="1:5" x14ac:dyDescent="0.3">
      <c r="A1265" s="49" t="s">
        <v>1833</v>
      </c>
      <c r="B1265" s="49" t="s">
        <v>409</v>
      </c>
      <c r="C1265" s="49" t="s">
        <v>449</v>
      </c>
      <c r="D1265">
        <v>3</v>
      </c>
      <c r="E1265" s="49" t="s">
        <v>379</v>
      </c>
    </row>
    <row r="1266" spans="1:5" x14ac:dyDescent="0.3">
      <c r="A1266" s="49" t="s">
        <v>1833</v>
      </c>
      <c r="B1266" s="49" t="s">
        <v>409</v>
      </c>
      <c r="C1266" s="49" t="s">
        <v>449</v>
      </c>
      <c r="D1266">
        <v>4</v>
      </c>
      <c r="E1266" s="49" t="s">
        <v>379</v>
      </c>
    </row>
    <row r="1267" spans="1:5" x14ac:dyDescent="0.3">
      <c r="A1267" s="49" t="s">
        <v>1833</v>
      </c>
      <c r="B1267" s="49" t="s">
        <v>409</v>
      </c>
      <c r="C1267" s="49" t="s">
        <v>449</v>
      </c>
      <c r="D1267">
        <v>5</v>
      </c>
      <c r="E1267" s="49" t="s">
        <v>379</v>
      </c>
    </row>
    <row r="1268" spans="1:5" x14ac:dyDescent="0.3">
      <c r="A1268" s="49" t="s">
        <v>1833</v>
      </c>
      <c r="B1268" s="49" t="s">
        <v>409</v>
      </c>
      <c r="C1268" s="49" t="s">
        <v>449</v>
      </c>
      <c r="D1268">
        <v>6</v>
      </c>
      <c r="E1268" s="49" t="s">
        <v>379</v>
      </c>
    </row>
    <row r="1269" spans="1:5" x14ac:dyDescent="0.3">
      <c r="A1269" s="49" t="s">
        <v>1833</v>
      </c>
      <c r="B1269" s="49" t="s">
        <v>409</v>
      </c>
      <c r="C1269" s="49" t="s">
        <v>449</v>
      </c>
      <c r="D1269">
        <v>7</v>
      </c>
      <c r="E1269" s="49" t="s">
        <v>379</v>
      </c>
    </row>
    <row r="1270" spans="1:5" x14ac:dyDescent="0.3">
      <c r="A1270" s="49" t="s">
        <v>1833</v>
      </c>
      <c r="B1270" s="49" t="s">
        <v>409</v>
      </c>
      <c r="C1270" s="49" t="s">
        <v>449</v>
      </c>
      <c r="D1270">
        <v>13</v>
      </c>
      <c r="E1270" s="49" t="s">
        <v>379</v>
      </c>
    </row>
    <row r="1271" spans="1:5" x14ac:dyDescent="0.3">
      <c r="A1271" s="49" t="s">
        <v>1833</v>
      </c>
      <c r="B1271" s="49" t="s">
        <v>409</v>
      </c>
      <c r="C1271" s="49" t="s">
        <v>449</v>
      </c>
      <c r="D1271">
        <v>14</v>
      </c>
      <c r="E1271" s="49" t="s">
        <v>379</v>
      </c>
    </row>
    <row r="1272" spans="1:5" x14ac:dyDescent="0.3">
      <c r="A1272" s="49" t="s">
        <v>1833</v>
      </c>
      <c r="B1272" s="49" t="s">
        <v>409</v>
      </c>
      <c r="C1272" s="49" t="s">
        <v>449</v>
      </c>
      <c r="D1272">
        <v>15</v>
      </c>
      <c r="E1272" s="49" t="s">
        <v>379</v>
      </c>
    </row>
    <row r="1273" spans="1:5" x14ac:dyDescent="0.3">
      <c r="A1273" s="49" t="s">
        <v>1833</v>
      </c>
      <c r="B1273" s="49" t="s">
        <v>409</v>
      </c>
      <c r="C1273" s="49" t="s">
        <v>449</v>
      </c>
      <c r="D1273">
        <v>16</v>
      </c>
      <c r="E1273" s="49" t="s">
        <v>379</v>
      </c>
    </row>
    <row r="1274" spans="1:5" x14ac:dyDescent="0.3">
      <c r="A1274" s="49" t="s">
        <v>1833</v>
      </c>
      <c r="B1274" s="49" t="s">
        <v>409</v>
      </c>
      <c r="C1274" s="49" t="s">
        <v>449</v>
      </c>
      <c r="D1274">
        <v>17</v>
      </c>
      <c r="E1274" s="49" t="s">
        <v>379</v>
      </c>
    </row>
    <row r="1275" spans="1:5" x14ac:dyDescent="0.3">
      <c r="A1275" s="49" t="s">
        <v>1833</v>
      </c>
      <c r="B1275" s="49" t="s">
        <v>409</v>
      </c>
      <c r="C1275" s="49" t="s">
        <v>449</v>
      </c>
      <c r="D1275">
        <v>18</v>
      </c>
      <c r="E1275" s="49" t="s">
        <v>379</v>
      </c>
    </row>
    <row r="1276" spans="1:5" x14ac:dyDescent="0.3">
      <c r="A1276" s="49" t="s">
        <v>1819</v>
      </c>
      <c r="B1276" s="49" t="s">
        <v>409</v>
      </c>
      <c r="C1276" s="49" t="s">
        <v>449</v>
      </c>
      <c r="D1276">
        <v>0</v>
      </c>
      <c r="E1276" s="49" t="s">
        <v>378</v>
      </c>
    </row>
    <row r="1277" spans="1:5" x14ac:dyDescent="0.3">
      <c r="A1277" s="49" t="s">
        <v>1819</v>
      </c>
      <c r="B1277" s="49" t="s">
        <v>409</v>
      </c>
      <c r="C1277" s="49" t="s">
        <v>449</v>
      </c>
      <c r="D1277">
        <v>1</v>
      </c>
      <c r="E1277" s="49" t="s">
        <v>378</v>
      </c>
    </row>
    <row r="1278" spans="1:5" x14ac:dyDescent="0.3">
      <c r="A1278" s="49" t="s">
        <v>1819</v>
      </c>
      <c r="B1278" s="49" t="s">
        <v>409</v>
      </c>
      <c r="C1278" s="49" t="s">
        <v>449</v>
      </c>
      <c r="D1278">
        <v>2</v>
      </c>
      <c r="E1278" s="49" t="s">
        <v>378</v>
      </c>
    </row>
    <row r="1279" spans="1:5" x14ac:dyDescent="0.3">
      <c r="A1279" s="49" t="s">
        <v>1819</v>
      </c>
      <c r="B1279" s="49" t="s">
        <v>409</v>
      </c>
      <c r="C1279" s="49" t="s">
        <v>449</v>
      </c>
      <c r="D1279">
        <v>3</v>
      </c>
      <c r="E1279" s="49" t="s">
        <v>378</v>
      </c>
    </row>
    <row r="1280" spans="1:5" x14ac:dyDescent="0.3">
      <c r="A1280" s="49" t="s">
        <v>1819</v>
      </c>
      <c r="B1280" s="49" t="s">
        <v>409</v>
      </c>
      <c r="C1280" s="49" t="s">
        <v>449</v>
      </c>
      <c r="D1280">
        <v>4</v>
      </c>
      <c r="E1280" s="49" t="s">
        <v>378</v>
      </c>
    </row>
    <row r="1281" spans="1:5" x14ac:dyDescent="0.3">
      <c r="A1281" s="49" t="s">
        <v>1819</v>
      </c>
      <c r="B1281" s="49" t="s">
        <v>409</v>
      </c>
      <c r="C1281" s="49" t="s">
        <v>449</v>
      </c>
      <c r="D1281">
        <v>5</v>
      </c>
      <c r="E1281" s="49" t="s">
        <v>378</v>
      </c>
    </row>
    <row r="1282" spans="1:5" x14ac:dyDescent="0.3">
      <c r="A1282" s="49" t="s">
        <v>1819</v>
      </c>
      <c r="B1282" s="49" t="s">
        <v>409</v>
      </c>
      <c r="C1282" s="49" t="s">
        <v>449</v>
      </c>
      <c r="D1282">
        <v>6</v>
      </c>
      <c r="E1282" s="49" t="s">
        <v>378</v>
      </c>
    </row>
    <row r="1283" spans="1:5" x14ac:dyDescent="0.3">
      <c r="A1283" s="49" t="s">
        <v>1819</v>
      </c>
      <c r="B1283" s="49" t="s">
        <v>409</v>
      </c>
      <c r="C1283" s="49" t="s">
        <v>449</v>
      </c>
      <c r="D1283">
        <v>7</v>
      </c>
      <c r="E1283" s="49" t="s">
        <v>378</v>
      </c>
    </row>
    <row r="1284" spans="1:5" x14ac:dyDescent="0.3">
      <c r="A1284" s="49" t="s">
        <v>1819</v>
      </c>
      <c r="B1284" s="49" t="s">
        <v>409</v>
      </c>
      <c r="C1284" s="49" t="s">
        <v>449</v>
      </c>
      <c r="D1284">
        <v>8</v>
      </c>
      <c r="E1284" s="49" t="s">
        <v>378</v>
      </c>
    </row>
    <row r="1285" spans="1:5" x14ac:dyDescent="0.3">
      <c r="A1285" s="49" t="s">
        <v>1819</v>
      </c>
      <c r="B1285" s="49" t="s">
        <v>409</v>
      </c>
      <c r="C1285" s="49" t="s">
        <v>449</v>
      </c>
      <c r="D1285">
        <v>9</v>
      </c>
      <c r="E1285" s="49" t="s">
        <v>378</v>
      </c>
    </row>
    <row r="1286" spans="1:5" x14ac:dyDescent="0.3">
      <c r="A1286" s="49" t="s">
        <v>1819</v>
      </c>
      <c r="B1286" s="49" t="s">
        <v>409</v>
      </c>
      <c r="C1286" s="49" t="s">
        <v>449</v>
      </c>
      <c r="D1286">
        <v>10</v>
      </c>
      <c r="E1286" s="49" t="s">
        <v>378</v>
      </c>
    </row>
    <row r="1287" spans="1:5" x14ac:dyDescent="0.3">
      <c r="A1287" s="49" t="s">
        <v>1819</v>
      </c>
      <c r="B1287" s="49" t="s">
        <v>409</v>
      </c>
      <c r="C1287" s="49" t="s">
        <v>449</v>
      </c>
      <c r="D1287">
        <v>11</v>
      </c>
      <c r="E1287" s="49" t="s">
        <v>378</v>
      </c>
    </row>
    <row r="1288" spans="1:5" x14ac:dyDescent="0.3">
      <c r="A1288" s="49" t="s">
        <v>1819</v>
      </c>
      <c r="B1288" s="49" t="s">
        <v>409</v>
      </c>
      <c r="C1288" s="49" t="s">
        <v>449</v>
      </c>
      <c r="D1288">
        <v>12</v>
      </c>
      <c r="E1288" s="49" t="s">
        <v>378</v>
      </c>
    </row>
    <row r="1289" spans="1:5" x14ac:dyDescent="0.3">
      <c r="A1289" s="49" t="s">
        <v>1819</v>
      </c>
      <c r="B1289" s="49" t="s">
        <v>409</v>
      </c>
      <c r="C1289" s="49" t="s">
        <v>449</v>
      </c>
      <c r="D1289">
        <v>13</v>
      </c>
      <c r="E1289" s="49" t="s">
        <v>378</v>
      </c>
    </row>
    <row r="1290" spans="1:5" x14ac:dyDescent="0.3">
      <c r="A1290" s="49" t="s">
        <v>1819</v>
      </c>
      <c r="B1290" s="49" t="s">
        <v>409</v>
      </c>
      <c r="C1290" s="49" t="s">
        <v>449</v>
      </c>
      <c r="D1290">
        <v>14</v>
      </c>
      <c r="E1290" s="49" t="s">
        <v>378</v>
      </c>
    </row>
    <row r="1291" spans="1:5" x14ac:dyDescent="0.3">
      <c r="A1291" s="49" t="s">
        <v>1819</v>
      </c>
      <c r="B1291" s="49" t="s">
        <v>409</v>
      </c>
      <c r="C1291" s="49" t="s">
        <v>449</v>
      </c>
      <c r="D1291">
        <v>15</v>
      </c>
      <c r="E1291" s="49" t="s">
        <v>378</v>
      </c>
    </row>
    <row r="1292" spans="1:5" x14ac:dyDescent="0.3">
      <c r="A1292" s="49" t="s">
        <v>1819</v>
      </c>
      <c r="B1292" s="49" t="s">
        <v>409</v>
      </c>
      <c r="C1292" s="49" t="s">
        <v>449</v>
      </c>
      <c r="D1292">
        <v>16</v>
      </c>
      <c r="E1292" s="49" t="s">
        <v>378</v>
      </c>
    </row>
    <row r="1293" spans="1:5" x14ac:dyDescent="0.3">
      <c r="A1293" s="49" t="s">
        <v>1819</v>
      </c>
      <c r="B1293" s="49" t="s">
        <v>409</v>
      </c>
      <c r="C1293" s="49" t="s">
        <v>449</v>
      </c>
      <c r="D1293">
        <v>17</v>
      </c>
      <c r="E1293" s="49" t="s">
        <v>378</v>
      </c>
    </row>
    <row r="1294" spans="1:5" x14ac:dyDescent="0.3">
      <c r="A1294" s="49" t="s">
        <v>1819</v>
      </c>
      <c r="B1294" s="49" t="s">
        <v>409</v>
      </c>
      <c r="C1294" s="49" t="s">
        <v>449</v>
      </c>
      <c r="D1294">
        <v>18</v>
      </c>
      <c r="E1294" s="49" t="s">
        <v>378</v>
      </c>
    </row>
    <row r="1295" spans="1:5" x14ac:dyDescent="0.3">
      <c r="A1295" s="49" t="s">
        <v>1820</v>
      </c>
      <c r="B1295" s="49" t="s">
        <v>409</v>
      </c>
      <c r="C1295" s="49" t="s">
        <v>449</v>
      </c>
      <c r="D1295">
        <v>0</v>
      </c>
      <c r="E1295" s="49" t="s">
        <v>378</v>
      </c>
    </row>
    <row r="1296" spans="1:5" x14ac:dyDescent="0.3">
      <c r="A1296" s="49" t="s">
        <v>1820</v>
      </c>
      <c r="B1296" s="49" t="s">
        <v>409</v>
      </c>
      <c r="C1296" s="49" t="s">
        <v>449</v>
      </c>
      <c r="D1296">
        <v>1</v>
      </c>
      <c r="E1296" s="49" t="s">
        <v>378</v>
      </c>
    </row>
    <row r="1297" spans="1:5" x14ac:dyDescent="0.3">
      <c r="A1297" s="49" t="s">
        <v>1820</v>
      </c>
      <c r="B1297" s="49" t="s">
        <v>409</v>
      </c>
      <c r="C1297" s="49" t="s">
        <v>449</v>
      </c>
      <c r="D1297">
        <v>2</v>
      </c>
      <c r="E1297" s="49" t="s">
        <v>378</v>
      </c>
    </row>
    <row r="1298" spans="1:5" x14ac:dyDescent="0.3">
      <c r="A1298" s="49" t="s">
        <v>1820</v>
      </c>
      <c r="B1298" s="49" t="s">
        <v>409</v>
      </c>
      <c r="C1298" s="49" t="s">
        <v>449</v>
      </c>
      <c r="D1298">
        <v>3</v>
      </c>
      <c r="E1298" s="49" t="s">
        <v>378</v>
      </c>
    </row>
    <row r="1299" spans="1:5" x14ac:dyDescent="0.3">
      <c r="A1299" s="49" t="s">
        <v>1820</v>
      </c>
      <c r="B1299" s="49" t="s">
        <v>409</v>
      </c>
      <c r="C1299" s="49" t="s">
        <v>449</v>
      </c>
      <c r="D1299">
        <v>4</v>
      </c>
      <c r="E1299" s="49" t="s">
        <v>378</v>
      </c>
    </row>
    <row r="1300" spans="1:5" x14ac:dyDescent="0.3">
      <c r="A1300" s="49" t="s">
        <v>1820</v>
      </c>
      <c r="B1300" s="49" t="s">
        <v>409</v>
      </c>
      <c r="C1300" s="49" t="s">
        <v>449</v>
      </c>
      <c r="D1300">
        <v>5</v>
      </c>
      <c r="E1300" s="49" t="s">
        <v>378</v>
      </c>
    </row>
    <row r="1301" spans="1:5" x14ac:dyDescent="0.3">
      <c r="A1301" s="49" t="s">
        <v>1820</v>
      </c>
      <c r="B1301" s="49" t="s">
        <v>409</v>
      </c>
      <c r="C1301" s="49" t="s">
        <v>449</v>
      </c>
      <c r="D1301">
        <v>6</v>
      </c>
      <c r="E1301" s="49" t="s">
        <v>378</v>
      </c>
    </row>
    <row r="1302" spans="1:5" x14ac:dyDescent="0.3">
      <c r="A1302" s="49" t="s">
        <v>1820</v>
      </c>
      <c r="B1302" s="49" t="s">
        <v>409</v>
      </c>
      <c r="C1302" s="49" t="s">
        <v>449</v>
      </c>
      <c r="D1302">
        <v>7</v>
      </c>
      <c r="E1302" s="49" t="s">
        <v>378</v>
      </c>
    </row>
    <row r="1303" spans="1:5" x14ac:dyDescent="0.3">
      <c r="A1303" s="49" t="s">
        <v>1820</v>
      </c>
      <c r="B1303" s="49" t="s">
        <v>409</v>
      </c>
      <c r="C1303" s="49" t="s">
        <v>449</v>
      </c>
      <c r="D1303">
        <v>8</v>
      </c>
      <c r="E1303" s="49" t="s">
        <v>378</v>
      </c>
    </row>
    <row r="1304" spans="1:5" x14ac:dyDescent="0.3">
      <c r="A1304" s="49" t="s">
        <v>1820</v>
      </c>
      <c r="B1304" s="49" t="s">
        <v>409</v>
      </c>
      <c r="C1304" s="49" t="s">
        <v>449</v>
      </c>
      <c r="D1304">
        <v>9</v>
      </c>
      <c r="E1304" s="49" t="s">
        <v>378</v>
      </c>
    </row>
    <row r="1305" spans="1:5" x14ac:dyDescent="0.3">
      <c r="A1305" s="49" t="s">
        <v>1820</v>
      </c>
      <c r="B1305" s="49" t="s">
        <v>409</v>
      </c>
      <c r="C1305" s="49" t="s">
        <v>449</v>
      </c>
      <c r="D1305">
        <v>10</v>
      </c>
      <c r="E1305" s="49" t="s">
        <v>378</v>
      </c>
    </row>
    <row r="1306" spans="1:5" x14ac:dyDescent="0.3">
      <c r="A1306" s="49" t="s">
        <v>1820</v>
      </c>
      <c r="B1306" s="49" t="s">
        <v>409</v>
      </c>
      <c r="C1306" s="49" t="s">
        <v>449</v>
      </c>
      <c r="D1306">
        <v>11</v>
      </c>
      <c r="E1306" s="49" t="s">
        <v>378</v>
      </c>
    </row>
    <row r="1307" spans="1:5" x14ac:dyDescent="0.3">
      <c r="A1307" s="49" t="s">
        <v>1820</v>
      </c>
      <c r="B1307" s="49" t="s">
        <v>409</v>
      </c>
      <c r="C1307" s="49" t="s">
        <v>449</v>
      </c>
      <c r="D1307">
        <v>12</v>
      </c>
      <c r="E1307" s="49" t="s">
        <v>378</v>
      </c>
    </row>
    <row r="1308" spans="1:5" x14ac:dyDescent="0.3">
      <c r="A1308" s="49" t="s">
        <v>1820</v>
      </c>
      <c r="B1308" s="49" t="s">
        <v>409</v>
      </c>
      <c r="C1308" s="49" t="s">
        <v>449</v>
      </c>
      <c r="D1308">
        <v>13</v>
      </c>
      <c r="E1308" s="49" t="s">
        <v>378</v>
      </c>
    </row>
    <row r="1309" spans="1:5" x14ac:dyDescent="0.3">
      <c r="A1309" s="49" t="s">
        <v>1820</v>
      </c>
      <c r="B1309" s="49" t="s">
        <v>409</v>
      </c>
      <c r="C1309" s="49" t="s">
        <v>449</v>
      </c>
      <c r="D1309">
        <v>14</v>
      </c>
      <c r="E1309" s="49" t="s">
        <v>378</v>
      </c>
    </row>
    <row r="1310" spans="1:5" x14ac:dyDescent="0.3">
      <c r="A1310" s="49" t="s">
        <v>1820</v>
      </c>
      <c r="B1310" s="49" t="s">
        <v>409</v>
      </c>
      <c r="C1310" s="49" t="s">
        <v>449</v>
      </c>
      <c r="D1310">
        <v>15</v>
      </c>
      <c r="E1310" s="49" t="s">
        <v>378</v>
      </c>
    </row>
    <row r="1311" spans="1:5" x14ac:dyDescent="0.3">
      <c r="A1311" s="49" t="s">
        <v>1820</v>
      </c>
      <c r="B1311" s="49" t="s">
        <v>409</v>
      </c>
      <c r="C1311" s="49" t="s">
        <v>449</v>
      </c>
      <c r="D1311">
        <v>16</v>
      </c>
      <c r="E1311" s="49" t="s">
        <v>378</v>
      </c>
    </row>
    <row r="1312" spans="1:5" x14ac:dyDescent="0.3">
      <c r="A1312" s="49" t="s">
        <v>1820</v>
      </c>
      <c r="B1312" s="49" t="s">
        <v>409</v>
      </c>
      <c r="C1312" s="49" t="s">
        <v>449</v>
      </c>
      <c r="D1312">
        <v>17</v>
      </c>
      <c r="E1312" s="49" t="s">
        <v>378</v>
      </c>
    </row>
    <row r="1313" spans="1:5" x14ac:dyDescent="0.3">
      <c r="A1313" s="49" t="s">
        <v>1820</v>
      </c>
      <c r="B1313" s="49" t="s">
        <v>409</v>
      </c>
      <c r="C1313" s="49" t="s">
        <v>449</v>
      </c>
      <c r="D1313">
        <v>18</v>
      </c>
      <c r="E1313" s="49" t="s">
        <v>378</v>
      </c>
    </row>
    <row r="1314" spans="1:5" x14ac:dyDescent="0.3">
      <c r="A1314" s="49" t="s">
        <v>1821</v>
      </c>
      <c r="B1314" s="49" t="s">
        <v>409</v>
      </c>
      <c r="C1314" s="49" t="s">
        <v>449</v>
      </c>
      <c r="D1314">
        <v>0</v>
      </c>
      <c r="E1314" s="49" t="s">
        <v>378</v>
      </c>
    </row>
    <row r="1315" spans="1:5" x14ac:dyDescent="0.3">
      <c r="A1315" s="49" t="s">
        <v>1821</v>
      </c>
      <c r="B1315" s="49" t="s">
        <v>409</v>
      </c>
      <c r="C1315" s="49" t="s">
        <v>449</v>
      </c>
      <c r="D1315">
        <v>1</v>
      </c>
      <c r="E1315" s="49" t="s">
        <v>378</v>
      </c>
    </row>
    <row r="1316" spans="1:5" x14ac:dyDescent="0.3">
      <c r="A1316" s="49" t="s">
        <v>1821</v>
      </c>
      <c r="B1316" s="49" t="s">
        <v>409</v>
      </c>
      <c r="C1316" s="49" t="s">
        <v>449</v>
      </c>
      <c r="D1316">
        <v>2</v>
      </c>
      <c r="E1316" s="49" t="s">
        <v>378</v>
      </c>
    </row>
    <row r="1317" spans="1:5" x14ac:dyDescent="0.3">
      <c r="A1317" s="49" t="s">
        <v>1821</v>
      </c>
      <c r="B1317" s="49" t="s">
        <v>409</v>
      </c>
      <c r="C1317" s="49" t="s">
        <v>449</v>
      </c>
      <c r="D1317">
        <v>3</v>
      </c>
      <c r="E1317" s="49" t="s">
        <v>378</v>
      </c>
    </row>
    <row r="1318" spans="1:5" x14ac:dyDescent="0.3">
      <c r="A1318" s="49" t="s">
        <v>1821</v>
      </c>
      <c r="B1318" s="49" t="s">
        <v>409</v>
      </c>
      <c r="C1318" s="49" t="s">
        <v>449</v>
      </c>
      <c r="D1318">
        <v>4</v>
      </c>
      <c r="E1318" s="49" t="s">
        <v>378</v>
      </c>
    </row>
    <row r="1319" spans="1:5" x14ac:dyDescent="0.3">
      <c r="A1319" s="49" t="s">
        <v>1821</v>
      </c>
      <c r="B1319" s="49" t="s">
        <v>409</v>
      </c>
      <c r="C1319" s="49" t="s">
        <v>449</v>
      </c>
      <c r="D1319">
        <v>5</v>
      </c>
      <c r="E1319" s="49" t="s">
        <v>378</v>
      </c>
    </row>
    <row r="1320" spans="1:5" x14ac:dyDescent="0.3">
      <c r="A1320" s="49" t="s">
        <v>1821</v>
      </c>
      <c r="B1320" s="49" t="s">
        <v>409</v>
      </c>
      <c r="C1320" s="49" t="s">
        <v>449</v>
      </c>
      <c r="D1320">
        <v>6</v>
      </c>
      <c r="E1320" s="49" t="s">
        <v>378</v>
      </c>
    </row>
    <row r="1321" spans="1:5" x14ac:dyDescent="0.3">
      <c r="A1321" s="49" t="s">
        <v>1821</v>
      </c>
      <c r="B1321" s="49" t="s">
        <v>409</v>
      </c>
      <c r="C1321" s="49" t="s">
        <v>449</v>
      </c>
      <c r="D1321">
        <v>7</v>
      </c>
      <c r="E1321" s="49" t="s">
        <v>378</v>
      </c>
    </row>
    <row r="1322" spans="1:5" x14ac:dyDescent="0.3">
      <c r="A1322" s="49" t="s">
        <v>1821</v>
      </c>
      <c r="B1322" s="49" t="s">
        <v>409</v>
      </c>
      <c r="C1322" s="49" t="s">
        <v>449</v>
      </c>
      <c r="D1322">
        <v>8</v>
      </c>
      <c r="E1322" s="49" t="s">
        <v>378</v>
      </c>
    </row>
    <row r="1323" spans="1:5" x14ac:dyDescent="0.3">
      <c r="A1323" s="49" t="s">
        <v>1821</v>
      </c>
      <c r="B1323" s="49" t="s">
        <v>409</v>
      </c>
      <c r="C1323" s="49" t="s">
        <v>449</v>
      </c>
      <c r="D1323">
        <v>9</v>
      </c>
      <c r="E1323" s="49" t="s">
        <v>378</v>
      </c>
    </row>
    <row r="1324" spans="1:5" x14ac:dyDescent="0.3">
      <c r="A1324" s="49" t="s">
        <v>1821</v>
      </c>
      <c r="B1324" s="49" t="s">
        <v>409</v>
      </c>
      <c r="C1324" s="49" t="s">
        <v>449</v>
      </c>
      <c r="D1324">
        <v>10</v>
      </c>
      <c r="E1324" s="49" t="s">
        <v>378</v>
      </c>
    </row>
    <row r="1325" spans="1:5" x14ac:dyDescent="0.3">
      <c r="A1325" s="49" t="s">
        <v>1821</v>
      </c>
      <c r="B1325" s="49" t="s">
        <v>409</v>
      </c>
      <c r="C1325" s="49" t="s">
        <v>449</v>
      </c>
      <c r="D1325">
        <v>11</v>
      </c>
      <c r="E1325" s="49" t="s">
        <v>378</v>
      </c>
    </row>
    <row r="1326" spans="1:5" x14ac:dyDescent="0.3">
      <c r="A1326" s="49" t="s">
        <v>1821</v>
      </c>
      <c r="B1326" s="49" t="s">
        <v>409</v>
      </c>
      <c r="C1326" s="49" t="s">
        <v>449</v>
      </c>
      <c r="D1326">
        <v>12</v>
      </c>
      <c r="E1326" s="49" t="s">
        <v>378</v>
      </c>
    </row>
    <row r="1327" spans="1:5" x14ac:dyDescent="0.3">
      <c r="A1327" s="49" t="s">
        <v>1821</v>
      </c>
      <c r="B1327" s="49" t="s">
        <v>409</v>
      </c>
      <c r="C1327" s="49" t="s">
        <v>449</v>
      </c>
      <c r="D1327">
        <v>13</v>
      </c>
      <c r="E1327" s="49" t="s">
        <v>378</v>
      </c>
    </row>
    <row r="1328" spans="1:5" x14ac:dyDescent="0.3">
      <c r="A1328" s="49" t="s">
        <v>1821</v>
      </c>
      <c r="B1328" s="49" t="s">
        <v>409</v>
      </c>
      <c r="C1328" s="49" t="s">
        <v>449</v>
      </c>
      <c r="D1328">
        <v>14</v>
      </c>
      <c r="E1328" s="49" t="s">
        <v>378</v>
      </c>
    </row>
    <row r="1329" spans="1:5" x14ac:dyDescent="0.3">
      <c r="A1329" s="49" t="s">
        <v>1821</v>
      </c>
      <c r="B1329" s="49" t="s">
        <v>409</v>
      </c>
      <c r="C1329" s="49" t="s">
        <v>449</v>
      </c>
      <c r="D1329">
        <v>15</v>
      </c>
      <c r="E1329" s="49" t="s">
        <v>378</v>
      </c>
    </row>
    <row r="1330" spans="1:5" x14ac:dyDescent="0.3">
      <c r="A1330" s="49" t="s">
        <v>1821</v>
      </c>
      <c r="B1330" s="49" t="s">
        <v>409</v>
      </c>
      <c r="C1330" s="49" t="s">
        <v>449</v>
      </c>
      <c r="D1330">
        <v>16</v>
      </c>
      <c r="E1330" s="49" t="s">
        <v>378</v>
      </c>
    </row>
    <row r="1331" spans="1:5" x14ac:dyDescent="0.3">
      <c r="A1331" s="49" t="s">
        <v>1821</v>
      </c>
      <c r="B1331" s="49" t="s">
        <v>409</v>
      </c>
      <c r="C1331" s="49" t="s">
        <v>449</v>
      </c>
      <c r="D1331">
        <v>17</v>
      </c>
      <c r="E1331" s="49" t="s">
        <v>378</v>
      </c>
    </row>
    <row r="1332" spans="1:5" x14ac:dyDescent="0.3">
      <c r="A1332" s="49" t="s">
        <v>1821</v>
      </c>
      <c r="B1332" s="49" t="s">
        <v>409</v>
      </c>
      <c r="C1332" s="49" t="s">
        <v>449</v>
      </c>
      <c r="D1332">
        <v>18</v>
      </c>
      <c r="E1332" s="49" t="s">
        <v>378</v>
      </c>
    </row>
    <row r="1333" spans="1:5" x14ac:dyDescent="0.3">
      <c r="A1333" s="49" t="s">
        <v>1822</v>
      </c>
      <c r="B1333" s="49" t="s">
        <v>409</v>
      </c>
      <c r="C1333" s="49" t="s">
        <v>449</v>
      </c>
      <c r="D1333">
        <v>0</v>
      </c>
      <c r="E1333" s="49" t="s">
        <v>378</v>
      </c>
    </row>
    <row r="1334" spans="1:5" x14ac:dyDescent="0.3">
      <c r="A1334" s="49" t="s">
        <v>1822</v>
      </c>
      <c r="B1334" s="49" t="s">
        <v>409</v>
      </c>
      <c r="C1334" s="49" t="s">
        <v>449</v>
      </c>
      <c r="D1334">
        <v>1</v>
      </c>
      <c r="E1334" s="49" t="s">
        <v>378</v>
      </c>
    </row>
    <row r="1335" spans="1:5" x14ac:dyDescent="0.3">
      <c r="A1335" s="49" t="s">
        <v>1822</v>
      </c>
      <c r="B1335" s="49" t="s">
        <v>409</v>
      </c>
      <c r="C1335" s="49" t="s">
        <v>449</v>
      </c>
      <c r="D1335">
        <v>2</v>
      </c>
      <c r="E1335" s="49" t="s">
        <v>378</v>
      </c>
    </row>
    <row r="1336" spans="1:5" x14ac:dyDescent="0.3">
      <c r="A1336" s="49" t="s">
        <v>1822</v>
      </c>
      <c r="B1336" s="49" t="s">
        <v>409</v>
      </c>
      <c r="C1336" s="49" t="s">
        <v>449</v>
      </c>
      <c r="D1336">
        <v>3</v>
      </c>
      <c r="E1336" s="49" t="s">
        <v>378</v>
      </c>
    </row>
    <row r="1337" spans="1:5" x14ac:dyDescent="0.3">
      <c r="A1337" s="49" t="s">
        <v>1822</v>
      </c>
      <c r="B1337" s="49" t="s">
        <v>409</v>
      </c>
      <c r="C1337" s="49" t="s">
        <v>449</v>
      </c>
      <c r="D1337">
        <v>4</v>
      </c>
      <c r="E1337" s="49" t="s">
        <v>378</v>
      </c>
    </row>
    <row r="1338" spans="1:5" x14ac:dyDescent="0.3">
      <c r="A1338" s="49" t="s">
        <v>1822</v>
      </c>
      <c r="B1338" s="49" t="s">
        <v>409</v>
      </c>
      <c r="C1338" s="49" t="s">
        <v>449</v>
      </c>
      <c r="D1338">
        <v>5</v>
      </c>
      <c r="E1338" s="49" t="s">
        <v>378</v>
      </c>
    </row>
    <row r="1339" spans="1:5" x14ac:dyDescent="0.3">
      <c r="A1339" s="49" t="s">
        <v>1822</v>
      </c>
      <c r="B1339" s="49" t="s">
        <v>409</v>
      </c>
      <c r="C1339" s="49" t="s">
        <v>449</v>
      </c>
      <c r="D1339">
        <v>6</v>
      </c>
      <c r="E1339" s="49" t="s">
        <v>378</v>
      </c>
    </row>
    <row r="1340" spans="1:5" x14ac:dyDescent="0.3">
      <c r="A1340" s="49" t="s">
        <v>1822</v>
      </c>
      <c r="B1340" s="49" t="s">
        <v>409</v>
      </c>
      <c r="C1340" s="49" t="s">
        <v>449</v>
      </c>
      <c r="D1340">
        <v>7</v>
      </c>
      <c r="E1340" s="49" t="s">
        <v>378</v>
      </c>
    </row>
    <row r="1341" spans="1:5" x14ac:dyDescent="0.3">
      <c r="A1341" s="49" t="s">
        <v>1822</v>
      </c>
      <c r="B1341" s="49" t="s">
        <v>409</v>
      </c>
      <c r="C1341" s="49" t="s">
        <v>449</v>
      </c>
      <c r="D1341">
        <v>8</v>
      </c>
      <c r="E1341" s="49" t="s">
        <v>378</v>
      </c>
    </row>
    <row r="1342" spans="1:5" x14ac:dyDescent="0.3">
      <c r="A1342" s="49" t="s">
        <v>1822</v>
      </c>
      <c r="B1342" s="49" t="s">
        <v>409</v>
      </c>
      <c r="C1342" s="49" t="s">
        <v>449</v>
      </c>
      <c r="D1342">
        <v>9</v>
      </c>
      <c r="E1342" s="49" t="s">
        <v>378</v>
      </c>
    </row>
    <row r="1343" spans="1:5" x14ac:dyDescent="0.3">
      <c r="A1343" s="49" t="s">
        <v>1822</v>
      </c>
      <c r="B1343" s="49" t="s">
        <v>409</v>
      </c>
      <c r="C1343" s="49" t="s">
        <v>449</v>
      </c>
      <c r="D1343">
        <v>10</v>
      </c>
      <c r="E1343" s="49" t="s">
        <v>378</v>
      </c>
    </row>
    <row r="1344" spans="1:5" x14ac:dyDescent="0.3">
      <c r="A1344" s="49" t="s">
        <v>1822</v>
      </c>
      <c r="B1344" s="49" t="s">
        <v>409</v>
      </c>
      <c r="C1344" s="49" t="s">
        <v>449</v>
      </c>
      <c r="D1344">
        <v>11</v>
      </c>
      <c r="E1344" s="49" t="s">
        <v>378</v>
      </c>
    </row>
    <row r="1345" spans="1:5" x14ac:dyDescent="0.3">
      <c r="A1345" s="49" t="s">
        <v>1822</v>
      </c>
      <c r="B1345" s="49" t="s">
        <v>409</v>
      </c>
      <c r="C1345" s="49" t="s">
        <v>449</v>
      </c>
      <c r="D1345">
        <v>12</v>
      </c>
      <c r="E1345" s="49" t="s">
        <v>378</v>
      </c>
    </row>
    <row r="1346" spans="1:5" x14ac:dyDescent="0.3">
      <c r="A1346" s="49" t="s">
        <v>1822</v>
      </c>
      <c r="B1346" s="49" t="s">
        <v>409</v>
      </c>
      <c r="C1346" s="49" t="s">
        <v>449</v>
      </c>
      <c r="D1346">
        <v>13</v>
      </c>
      <c r="E1346" s="49" t="s">
        <v>378</v>
      </c>
    </row>
    <row r="1347" spans="1:5" x14ac:dyDescent="0.3">
      <c r="A1347" s="49" t="s">
        <v>1822</v>
      </c>
      <c r="B1347" s="49" t="s">
        <v>409</v>
      </c>
      <c r="C1347" s="49" t="s">
        <v>449</v>
      </c>
      <c r="D1347">
        <v>14</v>
      </c>
      <c r="E1347" s="49" t="s">
        <v>378</v>
      </c>
    </row>
    <row r="1348" spans="1:5" x14ac:dyDescent="0.3">
      <c r="A1348" s="49" t="s">
        <v>1822</v>
      </c>
      <c r="B1348" s="49" t="s">
        <v>409</v>
      </c>
      <c r="C1348" s="49" t="s">
        <v>449</v>
      </c>
      <c r="D1348">
        <v>15</v>
      </c>
      <c r="E1348" s="49" t="s">
        <v>378</v>
      </c>
    </row>
    <row r="1349" spans="1:5" x14ac:dyDescent="0.3">
      <c r="A1349" s="49" t="s">
        <v>1822</v>
      </c>
      <c r="B1349" s="49" t="s">
        <v>409</v>
      </c>
      <c r="C1349" s="49" t="s">
        <v>449</v>
      </c>
      <c r="D1349">
        <v>16</v>
      </c>
      <c r="E1349" s="49" t="s">
        <v>378</v>
      </c>
    </row>
    <row r="1350" spans="1:5" x14ac:dyDescent="0.3">
      <c r="A1350" s="49" t="s">
        <v>1822</v>
      </c>
      <c r="B1350" s="49" t="s">
        <v>409</v>
      </c>
      <c r="C1350" s="49" t="s">
        <v>449</v>
      </c>
      <c r="D1350">
        <v>17</v>
      </c>
      <c r="E1350" s="49" t="s">
        <v>378</v>
      </c>
    </row>
    <row r="1351" spans="1:5" x14ac:dyDescent="0.3">
      <c r="A1351" s="49" t="s">
        <v>1822</v>
      </c>
      <c r="B1351" s="49" t="s">
        <v>409</v>
      </c>
      <c r="C1351" s="49" t="s">
        <v>449</v>
      </c>
      <c r="D1351">
        <v>18</v>
      </c>
      <c r="E1351" s="49" t="s">
        <v>378</v>
      </c>
    </row>
    <row r="1352" spans="1:5" x14ac:dyDescent="0.3">
      <c r="A1352" s="49" t="s">
        <v>1823</v>
      </c>
      <c r="B1352" s="49" t="s">
        <v>409</v>
      </c>
      <c r="C1352" s="49" t="s">
        <v>449</v>
      </c>
      <c r="D1352">
        <v>0</v>
      </c>
      <c r="E1352" s="49" t="s">
        <v>378</v>
      </c>
    </row>
    <row r="1353" spans="1:5" x14ac:dyDescent="0.3">
      <c r="A1353" s="49" t="s">
        <v>1823</v>
      </c>
      <c r="B1353" s="49" t="s">
        <v>409</v>
      </c>
      <c r="C1353" s="49" t="s">
        <v>449</v>
      </c>
      <c r="D1353">
        <v>1</v>
      </c>
      <c r="E1353" s="49" t="s">
        <v>378</v>
      </c>
    </row>
    <row r="1354" spans="1:5" x14ac:dyDescent="0.3">
      <c r="A1354" s="49" t="s">
        <v>1823</v>
      </c>
      <c r="B1354" s="49" t="s">
        <v>409</v>
      </c>
      <c r="C1354" s="49" t="s">
        <v>449</v>
      </c>
      <c r="D1354">
        <v>2</v>
      </c>
      <c r="E1354" s="49" t="s">
        <v>378</v>
      </c>
    </row>
    <row r="1355" spans="1:5" x14ac:dyDescent="0.3">
      <c r="A1355" s="49" t="s">
        <v>1823</v>
      </c>
      <c r="B1355" s="49" t="s">
        <v>409</v>
      </c>
      <c r="C1355" s="49" t="s">
        <v>449</v>
      </c>
      <c r="D1355">
        <v>3</v>
      </c>
      <c r="E1355" s="49" t="s">
        <v>378</v>
      </c>
    </row>
    <row r="1356" spans="1:5" x14ac:dyDescent="0.3">
      <c r="A1356" s="49" t="s">
        <v>1823</v>
      </c>
      <c r="B1356" s="49" t="s">
        <v>409</v>
      </c>
      <c r="C1356" s="49" t="s">
        <v>449</v>
      </c>
      <c r="D1356">
        <v>4</v>
      </c>
      <c r="E1356" s="49" t="s">
        <v>378</v>
      </c>
    </row>
    <row r="1357" spans="1:5" x14ac:dyDescent="0.3">
      <c r="A1357" s="49" t="s">
        <v>1823</v>
      </c>
      <c r="B1357" s="49" t="s">
        <v>409</v>
      </c>
      <c r="C1357" s="49" t="s">
        <v>449</v>
      </c>
      <c r="D1357">
        <v>5</v>
      </c>
      <c r="E1357" s="49" t="s">
        <v>378</v>
      </c>
    </row>
    <row r="1358" spans="1:5" x14ac:dyDescent="0.3">
      <c r="A1358" s="49" t="s">
        <v>1823</v>
      </c>
      <c r="B1358" s="49" t="s">
        <v>409</v>
      </c>
      <c r="C1358" s="49" t="s">
        <v>449</v>
      </c>
      <c r="D1358">
        <v>6</v>
      </c>
      <c r="E1358" s="49" t="s">
        <v>378</v>
      </c>
    </row>
    <row r="1359" spans="1:5" x14ac:dyDescent="0.3">
      <c r="A1359" s="49" t="s">
        <v>1823</v>
      </c>
      <c r="B1359" s="49" t="s">
        <v>409</v>
      </c>
      <c r="C1359" s="49" t="s">
        <v>449</v>
      </c>
      <c r="D1359">
        <v>7</v>
      </c>
      <c r="E1359" s="49" t="s">
        <v>378</v>
      </c>
    </row>
    <row r="1360" spans="1:5" x14ac:dyDescent="0.3">
      <c r="A1360" s="49" t="s">
        <v>1823</v>
      </c>
      <c r="B1360" s="49" t="s">
        <v>409</v>
      </c>
      <c r="C1360" s="49" t="s">
        <v>449</v>
      </c>
      <c r="D1360">
        <v>8</v>
      </c>
      <c r="E1360" s="49" t="s">
        <v>378</v>
      </c>
    </row>
    <row r="1361" spans="1:5" x14ac:dyDescent="0.3">
      <c r="A1361" s="49" t="s">
        <v>1823</v>
      </c>
      <c r="B1361" s="49" t="s">
        <v>409</v>
      </c>
      <c r="C1361" s="49" t="s">
        <v>449</v>
      </c>
      <c r="D1361">
        <v>9</v>
      </c>
      <c r="E1361" s="49" t="s">
        <v>378</v>
      </c>
    </row>
    <row r="1362" spans="1:5" x14ac:dyDescent="0.3">
      <c r="A1362" s="49" t="s">
        <v>1823</v>
      </c>
      <c r="B1362" s="49" t="s">
        <v>409</v>
      </c>
      <c r="C1362" s="49" t="s">
        <v>449</v>
      </c>
      <c r="D1362">
        <v>10</v>
      </c>
      <c r="E1362" s="49" t="s">
        <v>378</v>
      </c>
    </row>
    <row r="1363" spans="1:5" x14ac:dyDescent="0.3">
      <c r="A1363" s="49" t="s">
        <v>1823</v>
      </c>
      <c r="B1363" s="49" t="s">
        <v>409</v>
      </c>
      <c r="C1363" s="49" t="s">
        <v>449</v>
      </c>
      <c r="D1363">
        <v>11</v>
      </c>
      <c r="E1363" s="49" t="s">
        <v>378</v>
      </c>
    </row>
    <row r="1364" spans="1:5" x14ac:dyDescent="0.3">
      <c r="A1364" s="49" t="s">
        <v>1823</v>
      </c>
      <c r="B1364" s="49" t="s">
        <v>409</v>
      </c>
      <c r="C1364" s="49" t="s">
        <v>449</v>
      </c>
      <c r="D1364">
        <v>12</v>
      </c>
      <c r="E1364" s="49" t="s">
        <v>378</v>
      </c>
    </row>
    <row r="1365" spans="1:5" x14ac:dyDescent="0.3">
      <c r="A1365" s="49" t="s">
        <v>1823</v>
      </c>
      <c r="B1365" s="49" t="s">
        <v>409</v>
      </c>
      <c r="C1365" s="49" t="s">
        <v>449</v>
      </c>
      <c r="D1365">
        <v>13</v>
      </c>
      <c r="E1365" s="49" t="s">
        <v>378</v>
      </c>
    </row>
    <row r="1366" spans="1:5" x14ac:dyDescent="0.3">
      <c r="A1366" s="49" t="s">
        <v>1823</v>
      </c>
      <c r="B1366" s="49" t="s">
        <v>409</v>
      </c>
      <c r="C1366" s="49" t="s">
        <v>449</v>
      </c>
      <c r="D1366">
        <v>14</v>
      </c>
      <c r="E1366" s="49" t="s">
        <v>378</v>
      </c>
    </row>
    <row r="1367" spans="1:5" x14ac:dyDescent="0.3">
      <c r="A1367" s="49" t="s">
        <v>1823</v>
      </c>
      <c r="B1367" s="49" t="s">
        <v>409</v>
      </c>
      <c r="C1367" s="49" t="s">
        <v>449</v>
      </c>
      <c r="D1367">
        <v>15</v>
      </c>
      <c r="E1367" s="49" t="s">
        <v>378</v>
      </c>
    </row>
    <row r="1368" spans="1:5" x14ac:dyDescent="0.3">
      <c r="A1368" s="49" t="s">
        <v>1823</v>
      </c>
      <c r="B1368" s="49" t="s">
        <v>409</v>
      </c>
      <c r="C1368" s="49" t="s">
        <v>449</v>
      </c>
      <c r="D1368">
        <v>16</v>
      </c>
      <c r="E1368" s="49" t="s">
        <v>378</v>
      </c>
    </row>
    <row r="1369" spans="1:5" x14ac:dyDescent="0.3">
      <c r="A1369" s="49" t="s">
        <v>1823</v>
      </c>
      <c r="B1369" s="49" t="s">
        <v>409</v>
      </c>
      <c r="C1369" s="49" t="s">
        <v>449</v>
      </c>
      <c r="D1369">
        <v>17</v>
      </c>
      <c r="E1369" s="49" t="s">
        <v>378</v>
      </c>
    </row>
    <row r="1370" spans="1:5" x14ac:dyDescent="0.3">
      <c r="A1370" s="49" t="s">
        <v>1823</v>
      </c>
      <c r="B1370" s="49" t="s">
        <v>409</v>
      </c>
      <c r="C1370" s="49" t="s">
        <v>449</v>
      </c>
      <c r="D1370">
        <v>18</v>
      </c>
      <c r="E1370" s="49" t="s">
        <v>378</v>
      </c>
    </row>
    <row r="1371" spans="1:5" x14ac:dyDescent="0.3">
      <c r="A1371" s="49" t="s">
        <v>1824</v>
      </c>
      <c r="B1371" s="49" t="s">
        <v>409</v>
      </c>
      <c r="C1371" s="49" t="s">
        <v>449</v>
      </c>
      <c r="D1371">
        <v>0</v>
      </c>
      <c r="E1371" s="49" t="s">
        <v>379</v>
      </c>
    </row>
    <row r="1372" spans="1:5" x14ac:dyDescent="0.3">
      <c r="A1372" s="49" t="s">
        <v>1824</v>
      </c>
      <c r="B1372" s="49" t="s">
        <v>409</v>
      </c>
      <c r="C1372" s="49" t="s">
        <v>449</v>
      </c>
      <c r="D1372">
        <v>1</v>
      </c>
      <c r="E1372" s="49" t="s">
        <v>379</v>
      </c>
    </row>
    <row r="1373" spans="1:5" x14ac:dyDescent="0.3">
      <c r="A1373" s="49" t="s">
        <v>1824</v>
      </c>
      <c r="B1373" s="49" t="s">
        <v>409</v>
      </c>
      <c r="C1373" s="49" t="s">
        <v>449</v>
      </c>
      <c r="D1373">
        <v>2</v>
      </c>
      <c r="E1373" s="49" t="s">
        <v>379</v>
      </c>
    </row>
    <row r="1374" spans="1:5" x14ac:dyDescent="0.3">
      <c r="A1374" s="49" t="s">
        <v>1824</v>
      </c>
      <c r="B1374" s="49" t="s">
        <v>409</v>
      </c>
      <c r="C1374" s="49" t="s">
        <v>449</v>
      </c>
      <c r="D1374">
        <v>3</v>
      </c>
      <c r="E1374" s="49" t="s">
        <v>379</v>
      </c>
    </row>
    <row r="1375" spans="1:5" x14ac:dyDescent="0.3">
      <c r="A1375" s="49" t="s">
        <v>1824</v>
      </c>
      <c r="B1375" s="49" t="s">
        <v>409</v>
      </c>
      <c r="C1375" s="49" t="s">
        <v>449</v>
      </c>
      <c r="D1375">
        <v>4</v>
      </c>
      <c r="E1375" s="49" t="s">
        <v>379</v>
      </c>
    </row>
    <row r="1376" spans="1:5" x14ac:dyDescent="0.3">
      <c r="A1376" s="49" t="s">
        <v>1824</v>
      </c>
      <c r="B1376" s="49" t="s">
        <v>409</v>
      </c>
      <c r="C1376" s="49" t="s">
        <v>449</v>
      </c>
      <c r="D1376">
        <v>5</v>
      </c>
      <c r="E1376" s="49" t="s">
        <v>379</v>
      </c>
    </row>
    <row r="1377" spans="1:5" x14ac:dyDescent="0.3">
      <c r="A1377" s="49" t="s">
        <v>1824</v>
      </c>
      <c r="B1377" s="49" t="s">
        <v>409</v>
      </c>
      <c r="C1377" s="49" t="s">
        <v>449</v>
      </c>
      <c r="D1377">
        <v>6</v>
      </c>
      <c r="E1377" s="49" t="s">
        <v>379</v>
      </c>
    </row>
    <row r="1378" spans="1:5" x14ac:dyDescent="0.3">
      <c r="A1378" s="49" t="s">
        <v>1824</v>
      </c>
      <c r="B1378" s="49" t="s">
        <v>409</v>
      </c>
      <c r="C1378" s="49" t="s">
        <v>449</v>
      </c>
      <c r="D1378">
        <v>7</v>
      </c>
      <c r="E1378" s="49" t="s">
        <v>379</v>
      </c>
    </row>
    <row r="1379" spans="1:5" x14ac:dyDescent="0.3">
      <c r="A1379" s="49" t="s">
        <v>1824</v>
      </c>
      <c r="B1379" s="49" t="s">
        <v>409</v>
      </c>
      <c r="C1379" s="49" t="s">
        <v>449</v>
      </c>
      <c r="D1379">
        <v>8</v>
      </c>
      <c r="E1379" s="49" t="s">
        <v>379</v>
      </c>
    </row>
    <row r="1380" spans="1:5" x14ac:dyDescent="0.3">
      <c r="A1380" s="49" t="s">
        <v>1824</v>
      </c>
      <c r="B1380" s="49" t="s">
        <v>409</v>
      </c>
      <c r="C1380" s="49" t="s">
        <v>449</v>
      </c>
      <c r="D1380">
        <v>9</v>
      </c>
      <c r="E1380" s="49" t="s">
        <v>379</v>
      </c>
    </row>
    <row r="1381" spans="1:5" x14ac:dyDescent="0.3">
      <c r="A1381" s="49" t="s">
        <v>1824</v>
      </c>
      <c r="B1381" s="49" t="s">
        <v>409</v>
      </c>
      <c r="C1381" s="49" t="s">
        <v>449</v>
      </c>
      <c r="D1381">
        <v>10</v>
      </c>
      <c r="E1381" s="49" t="s">
        <v>379</v>
      </c>
    </row>
    <row r="1382" spans="1:5" x14ac:dyDescent="0.3">
      <c r="A1382" s="49" t="s">
        <v>1824</v>
      </c>
      <c r="B1382" s="49" t="s">
        <v>409</v>
      </c>
      <c r="C1382" s="49" t="s">
        <v>449</v>
      </c>
      <c r="D1382">
        <v>11</v>
      </c>
      <c r="E1382" s="49" t="s">
        <v>379</v>
      </c>
    </row>
    <row r="1383" spans="1:5" x14ac:dyDescent="0.3">
      <c r="A1383" s="49" t="s">
        <v>1824</v>
      </c>
      <c r="B1383" s="49" t="s">
        <v>409</v>
      </c>
      <c r="C1383" s="49" t="s">
        <v>449</v>
      </c>
      <c r="D1383">
        <v>12</v>
      </c>
      <c r="E1383" s="49" t="s">
        <v>379</v>
      </c>
    </row>
    <row r="1384" spans="1:5" x14ac:dyDescent="0.3">
      <c r="A1384" s="49" t="s">
        <v>1824</v>
      </c>
      <c r="B1384" s="49" t="s">
        <v>409</v>
      </c>
      <c r="C1384" s="49" t="s">
        <v>449</v>
      </c>
      <c r="D1384">
        <v>13</v>
      </c>
      <c r="E1384" s="49" t="s">
        <v>379</v>
      </c>
    </row>
    <row r="1385" spans="1:5" x14ac:dyDescent="0.3">
      <c r="A1385" s="49" t="s">
        <v>1824</v>
      </c>
      <c r="B1385" s="49" t="s">
        <v>409</v>
      </c>
      <c r="C1385" s="49" t="s">
        <v>449</v>
      </c>
      <c r="D1385">
        <v>14</v>
      </c>
      <c r="E1385" s="49" t="s">
        <v>379</v>
      </c>
    </row>
    <row r="1386" spans="1:5" x14ac:dyDescent="0.3">
      <c r="A1386" s="49" t="s">
        <v>1824</v>
      </c>
      <c r="B1386" s="49" t="s">
        <v>409</v>
      </c>
      <c r="C1386" s="49" t="s">
        <v>449</v>
      </c>
      <c r="D1386">
        <v>15</v>
      </c>
      <c r="E1386" s="49" t="s">
        <v>379</v>
      </c>
    </row>
    <row r="1387" spans="1:5" x14ac:dyDescent="0.3">
      <c r="A1387" s="49" t="s">
        <v>1824</v>
      </c>
      <c r="B1387" s="49" t="s">
        <v>409</v>
      </c>
      <c r="C1387" s="49" t="s">
        <v>449</v>
      </c>
      <c r="D1387">
        <v>16</v>
      </c>
      <c r="E1387" s="49" t="s">
        <v>379</v>
      </c>
    </row>
    <row r="1388" spans="1:5" x14ac:dyDescent="0.3">
      <c r="A1388" s="49" t="s">
        <v>1824</v>
      </c>
      <c r="B1388" s="49" t="s">
        <v>409</v>
      </c>
      <c r="C1388" s="49" t="s">
        <v>449</v>
      </c>
      <c r="D1388">
        <v>17</v>
      </c>
      <c r="E1388" s="49" t="s">
        <v>379</v>
      </c>
    </row>
    <row r="1389" spans="1:5" x14ac:dyDescent="0.3">
      <c r="A1389" s="49" t="s">
        <v>1824</v>
      </c>
      <c r="B1389" s="49" t="s">
        <v>409</v>
      </c>
      <c r="C1389" s="49" t="s">
        <v>449</v>
      </c>
      <c r="D1389">
        <v>18</v>
      </c>
      <c r="E1389" s="49" t="s">
        <v>379</v>
      </c>
    </row>
    <row r="1390" spans="1:5" x14ac:dyDescent="0.3">
      <c r="A1390" s="49" t="s">
        <v>1825</v>
      </c>
      <c r="B1390" s="49" t="s">
        <v>409</v>
      </c>
      <c r="C1390" s="49" t="s">
        <v>449</v>
      </c>
      <c r="D1390">
        <v>0</v>
      </c>
      <c r="E1390" s="49" t="s">
        <v>378</v>
      </c>
    </row>
    <row r="1391" spans="1:5" x14ac:dyDescent="0.3">
      <c r="A1391" s="49" t="s">
        <v>1825</v>
      </c>
      <c r="B1391" s="49" t="s">
        <v>409</v>
      </c>
      <c r="C1391" s="49" t="s">
        <v>449</v>
      </c>
      <c r="D1391">
        <v>1</v>
      </c>
      <c r="E1391" s="49" t="s">
        <v>378</v>
      </c>
    </row>
    <row r="1392" spans="1:5" x14ac:dyDescent="0.3">
      <c r="A1392" s="49" t="s">
        <v>1825</v>
      </c>
      <c r="B1392" s="49" t="s">
        <v>409</v>
      </c>
      <c r="C1392" s="49" t="s">
        <v>449</v>
      </c>
      <c r="D1392">
        <v>2</v>
      </c>
      <c r="E1392" s="49" t="s">
        <v>378</v>
      </c>
    </row>
    <row r="1393" spans="1:5" x14ac:dyDescent="0.3">
      <c r="A1393" s="49" t="s">
        <v>1825</v>
      </c>
      <c r="B1393" s="49" t="s">
        <v>409</v>
      </c>
      <c r="C1393" s="49" t="s">
        <v>449</v>
      </c>
      <c r="D1393">
        <v>3</v>
      </c>
      <c r="E1393" s="49" t="s">
        <v>378</v>
      </c>
    </row>
    <row r="1394" spans="1:5" x14ac:dyDescent="0.3">
      <c r="A1394" s="49" t="s">
        <v>1825</v>
      </c>
      <c r="B1394" s="49" t="s">
        <v>409</v>
      </c>
      <c r="C1394" s="49" t="s">
        <v>449</v>
      </c>
      <c r="D1394">
        <v>4</v>
      </c>
      <c r="E1394" s="49" t="s">
        <v>378</v>
      </c>
    </row>
    <row r="1395" spans="1:5" x14ac:dyDescent="0.3">
      <c r="A1395" s="49" t="s">
        <v>1825</v>
      </c>
      <c r="B1395" s="49" t="s">
        <v>409</v>
      </c>
      <c r="C1395" s="49" t="s">
        <v>449</v>
      </c>
      <c r="D1395">
        <v>5</v>
      </c>
      <c r="E1395" s="49" t="s">
        <v>378</v>
      </c>
    </row>
    <row r="1396" spans="1:5" x14ac:dyDescent="0.3">
      <c r="A1396" s="49" t="s">
        <v>1825</v>
      </c>
      <c r="B1396" s="49" t="s">
        <v>409</v>
      </c>
      <c r="C1396" s="49" t="s">
        <v>449</v>
      </c>
      <c r="D1396">
        <v>6</v>
      </c>
      <c r="E1396" s="49" t="s">
        <v>378</v>
      </c>
    </row>
    <row r="1397" spans="1:5" x14ac:dyDescent="0.3">
      <c r="A1397" s="49" t="s">
        <v>1825</v>
      </c>
      <c r="B1397" s="49" t="s">
        <v>409</v>
      </c>
      <c r="C1397" s="49" t="s">
        <v>449</v>
      </c>
      <c r="D1397">
        <v>7</v>
      </c>
      <c r="E1397" s="49" t="s">
        <v>378</v>
      </c>
    </row>
    <row r="1398" spans="1:5" x14ac:dyDescent="0.3">
      <c r="A1398" s="49" t="s">
        <v>1825</v>
      </c>
      <c r="B1398" s="49" t="s">
        <v>409</v>
      </c>
      <c r="C1398" s="49" t="s">
        <v>449</v>
      </c>
      <c r="D1398">
        <v>8</v>
      </c>
      <c r="E1398" s="49" t="s">
        <v>378</v>
      </c>
    </row>
    <row r="1399" spans="1:5" x14ac:dyDescent="0.3">
      <c r="A1399" s="49" t="s">
        <v>1825</v>
      </c>
      <c r="B1399" s="49" t="s">
        <v>409</v>
      </c>
      <c r="C1399" s="49" t="s">
        <v>449</v>
      </c>
      <c r="D1399">
        <v>9</v>
      </c>
      <c r="E1399" s="49" t="s">
        <v>378</v>
      </c>
    </row>
    <row r="1400" spans="1:5" x14ac:dyDescent="0.3">
      <c r="A1400" s="49" t="s">
        <v>1825</v>
      </c>
      <c r="B1400" s="49" t="s">
        <v>409</v>
      </c>
      <c r="C1400" s="49" t="s">
        <v>449</v>
      </c>
      <c r="D1400">
        <v>10</v>
      </c>
      <c r="E1400" s="49" t="s">
        <v>378</v>
      </c>
    </row>
    <row r="1401" spans="1:5" x14ac:dyDescent="0.3">
      <c r="A1401" s="49" t="s">
        <v>1825</v>
      </c>
      <c r="B1401" s="49" t="s">
        <v>409</v>
      </c>
      <c r="C1401" s="49" t="s">
        <v>449</v>
      </c>
      <c r="D1401">
        <v>11</v>
      </c>
      <c r="E1401" s="49" t="s">
        <v>378</v>
      </c>
    </row>
    <row r="1402" spans="1:5" x14ac:dyDescent="0.3">
      <c r="A1402" s="49" t="s">
        <v>1825</v>
      </c>
      <c r="B1402" s="49" t="s">
        <v>409</v>
      </c>
      <c r="C1402" s="49" t="s">
        <v>449</v>
      </c>
      <c r="D1402">
        <v>12</v>
      </c>
      <c r="E1402" s="49" t="s">
        <v>378</v>
      </c>
    </row>
    <row r="1403" spans="1:5" x14ac:dyDescent="0.3">
      <c r="A1403" s="49" t="s">
        <v>1825</v>
      </c>
      <c r="B1403" s="49" t="s">
        <v>409</v>
      </c>
      <c r="C1403" s="49" t="s">
        <v>449</v>
      </c>
      <c r="D1403">
        <v>13</v>
      </c>
      <c r="E1403" s="49" t="s">
        <v>378</v>
      </c>
    </row>
    <row r="1404" spans="1:5" x14ac:dyDescent="0.3">
      <c r="A1404" s="49" t="s">
        <v>1825</v>
      </c>
      <c r="B1404" s="49" t="s">
        <v>409</v>
      </c>
      <c r="C1404" s="49" t="s">
        <v>449</v>
      </c>
      <c r="D1404">
        <v>14</v>
      </c>
      <c r="E1404" s="49" t="s">
        <v>378</v>
      </c>
    </row>
    <row r="1405" spans="1:5" x14ac:dyDescent="0.3">
      <c r="A1405" s="49" t="s">
        <v>1825</v>
      </c>
      <c r="B1405" s="49" t="s">
        <v>409</v>
      </c>
      <c r="C1405" s="49" t="s">
        <v>449</v>
      </c>
      <c r="D1405">
        <v>15</v>
      </c>
      <c r="E1405" s="49" t="s">
        <v>378</v>
      </c>
    </row>
    <row r="1406" spans="1:5" x14ac:dyDescent="0.3">
      <c r="A1406" s="49" t="s">
        <v>1825</v>
      </c>
      <c r="B1406" s="49" t="s">
        <v>409</v>
      </c>
      <c r="C1406" s="49" t="s">
        <v>449</v>
      </c>
      <c r="D1406">
        <v>16</v>
      </c>
      <c r="E1406" s="49" t="s">
        <v>378</v>
      </c>
    </row>
    <row r="1407" spans="1:5" x14ac:dyDescent="0.3">
      <c r="A1407" s="49" t="s">
        <v>1825</v>
      </c>
      <c r="B1407" s="49" t="s">
        <v>409</v>
      </c>
      <c r="C1407" s="49" t="s">
        <v>449</v>
      </c>
      <c r="D1407">
        <v>17</v>
      </c>
      <c r="E1407" s="49" t="s">
        <v>378</v>
      </c>
    </row>
    <row r="1408" spans="1:5" x14ac:dyDescent="0.3">
      <c r="A1408" s="49" t="s">
        <v>1825</v>
      </c>
      <c r="B1408" s="49" t="s">
        <v>409</v>
      </c>
      <c r="C1408" s="49" t="s">
        <v>449</v>
      </c>
      <c r="D1408">
        <v>18</v>
      </c>
      <c r="E1408" s="49" t="s">
        <v>378</v>
      </c>
    </row>
    <row r="1409" spans="1:5" x14ac:dyDescent="0.3">
      <c r="A1409" s="49" t="s">
        <v>1826</v>
      </c>
      <c r="B1409" s="49" t="s">
        <v>409</v>
      </c>
      <c r="C1409" s="49" t="s">
        <v>449</v>
      </c>
      <c r="D1409">
        <v>0</v>
      </c>
      <c r="E1409" s="49" t="s">
        <v>378</v>
      </c>
    </row>
    <row r="1410" spans="1:5" x14ac:dyDescent="0.3">
      <c r="A1410" s="49" t="s">
        <v>1826</v>
      </c>
      <c r="B1410" s="49" t="s">
        <v>409</v>
      </c>
      <c r="C1410" s="49" t="s">
        <v>449</v>
      </c>
      <c r="D1410">
        <v>1</v>
      </c>
      <c r="E1410" s="49" t="s">
        <v>378</v>
      </c>
    </row>
    <row r="1411" spans="1:5" x14ac:dyDescent="0.3">
      <c r="A1411" s="49" t="s">
        <v>1826</v>
      </c>
      <c r="B1411" s="49" t="s">
        <v>409</v>
      </c>
      <c r="C1411" s="49" t="s">
        <v>449</v>
      </c>
      <c r="D1411">
        <v>2</v>
      </c>
      <c r="E1411" s="49" t="s">
        <v>378</v>
      </c>
    </row>
    <row r="1412" spans="1:5" x14ac:dyDescent="0.3">
      <c r="A1412" s="49" t="s">
        <v>1826</v>
      </c>
      <c r="B1412" s="49" t="s">
        <v>409</v>
      </c>
      <c r="C1412" s="49" t="s">
        <v>449</v>
      </c>
      <c r="D1412">
        <v>3</v>
      </c>
      <c r="E1412" s="49" t="s">
        <v>378</v>
      </c>
    </row>
    <row r="1413" spans="1:5" x14ac:dyDescent="0.3">
      <c r="A1413" s="49" t="s">
        <v>1826</v>
      </c>
      <c r="B1413" s="49" t="s">
        <v>409</v>
      </c>
      <c r="C1413" s="49" t="s">
        <v>449</v>
      </c>
      <c r="D1413">
        <v>4</v>
      </c>
      <c r="E1413" s="49" t="s">
        <v>378</v>
      </c>
    </row>
    <row r="1414" spans="1:5" x14ac:dyDescent="0.3">
      <c r="A1414" s="49" t="s">
        <v>1826</v>
      </c>
      <c r="B1414" s="49" t="s">
        <v>409</v>
      </c>
      <c r="C1414" s="49" t="s">
        <v>449</v>
      </c>
      <c r="D1414">
        <v>5</v>
      </c>
      <c r="E1414" s="49" t="s">
        <v>378</v>
      </c>
    </row>
    <row r="1415" spans="1:5" x14ac:dyDescent="0.3">
      <c r="A1415" s="49" t="s">
        <v>1826</v>
      </c>
      <c r="B1415" s="49" t="s">
        <v>409</v>
      </c>
      <c r="C1415" s="49" t="s">
        <v>449</v>
      </c>
      <c r="D1415">
        <v>6</v>
      </c>
      <c r="E1415" s="49" t="s">
        <v>378</v>
      </c>
    </row>
    <row r="1416" spans="1:5" x14ac:dyDescent="0.3">
      <c r="A1416" s="49" t="s">
        <v>1826</v>
      </c>
      <c r="B1416" s="49" t="s">
        <v>409</v>
      </c>
      <c r="C1416" s="49" t="s">
        <v>449</v>
      </c>
      <c r="D1416">
        <v>7</v>
      </c>
      <c r="E1416" s="49" t="s">
        <v>378</v>
      </c>
    </row>
    <row r="1417" spans="1:5" x14ac:dyDescent="0.3">
      <c r="A1417" s="49" t="s">
        <v>1826</v>
      </c>
      <c r="B1417" s="49" t="s">
        <v>409</v>
      </c>
      <c r="C1417" s="49" t="s">
        <v>449</v>
      </c>
      <c r="D1417">
        <v>8</v>
      </c>
      <c r="E1417" s="49" t="s">
        <v>378</v>
      </c>
    </row>
    <row r="1418" spans="1:5" x14ac:dyDescent="0.3">
      <c r="A1418" s="49" t="s">
        <v>1826</v>
      </c>
      <c r="B1418" s="49" t="s">
        <v>409</v>
      </c>
      <c r="C1418" s="49" t="s">
        <v>449</v>
      </c>
      <c r="D1418">
        <v>9</v>
      </c>
      <c r="E1418" s="49" t="s">
        <v>378</v>
      </c>
    </row>
    <row r="1419" spans="1:5" x14ac:dyDescent="0.3">
      <c r="A1419" s="49" t="s">
        <v>1826</v>
      </c>
      <c r="B1419" s="49" t="s">
        <v>409</v>
      </c>
      <c r="C1419" s="49" t="s">
        <v>449</v>
      </c>
      <c r="D1419">
        <v>10</v>
      </c>
      <c r="E1419" s="49" t="s">
        <v>378</v>
      </c>
    </row>
    <row r="1420" spans="1:5" x14ac:dyDescent="0.3">
      <c r="A1420" s="49" t="s">
        <v>1826</v>
      </c>
      <c r="B1420" s="49" t="s">
        <v>409</v>
      </c>
      <c r="C1420" s="49" t="s">
        <v>449</v>
      </c>
      <c r="D1420">
        <v>11</v>
      </c>
      <c r="E1420" s="49" t="s">
        <v>378</v>
      </c>
    </row>
    <row r="1421" spans="1:5" x14ac:dyDescent="0.3">
      <c r="A1421" s="49" t="s">
        <v>1826</v>
      </c>
      <c r="B1421" s="49" t="s">
        <v>409</v>
      </c>
      <c r="C1421" s="49" t="s">
        <v>449</v>
      </c>
      <c r="D1421">
        <v>12</v>
      </c>
      <c r="E1421" s="49" t="s">
        <v>378</v>
      </c>
    </row>
    <row r="1422" spans="1:5" x14ac:dyDescent="0.3">
      <c r="A1422" s="49" t="s">
        <v>1826</v>
      </c>
      <c r="B1422" s="49" t="s">
        <v>409</v>
      </c>
      <c r="C1422" s="49" t="s">
        <v>449</v>
      </c>
      <c r="D1422">
        <v>13</v>
      </c>
      <c r="E1422" s="49" t="s">
        <v>378</v>
      </c>
    </row>
    <row r="1423" spans="1:5" x14ac:dyDescent="0.3">
      <c r="A1423" s="49" t="s">
        <v>1826</v>
      </c>
      <c r="B1423" s="49" t="s">
        <v>409</v>
      </c>
      <c r="C1423" s="49" t="s">
        <v>449</v>
      </c>
      <c r="D1423">
        <v>14</v>
      </c>
      <c r="E1423" s="49" t="s">
        <v>378</v>
      </c>
    </row>
    <row r="1424" spans="1:5" x14ac:dyDescent="0.3">
      <c r="A1424" s="49" t="s">
        <v>1826</v>
      </c>
      <c r="B1424" s="49" t="s">
        <v>409</v>
      </c>
      <c r="C1424" s="49" t="s">
        <v>449</v>
      </c>
      <c r="D1424">
        <v>15</v>
      </c>
      <c r="E1424" s="49" t="s">
        <v>378</v>
      </c>
    </row>
    <row r="1425" spans="1:5" x14ac:dyDescent="0.3">
      <c r="A1425" s="49" t="s">
        <v>1826</v>
      </c>
      <c r="B1425" s="49" t="s">
        <v>409</v>
      </c>
      <c r="C1425" s="49" t="s">
        <v>449</v>
      </c>
      <c r="D1425">
        <v>16</v>
      </c>
      <c r="E1425" s="49" t="s">
        <v>378</v>
      </c>
    </row>
    <row r="1426" spans="1:5" x14ac:dyDescent="0.3">
      <c r="A1426" s="49" t="s">
        <v>1826</v>
      </c>
      <c r="B1426" s="49" t="s">
        <v>409</v>
      </c>
      <c r="C1426" s="49" t="s">
        <v>449</v>
      </c>
      <c r="D1426">
        <v>17</v>
      </c>
      <c r="E1426" s="49" t="s">
        <v>378</v>
      </c>
    </row>
    <row r="1427" spans="1:5" x14ac:dyDescent="0.3">
      <c r="A1427" s="49" t="s">
        <v>1826</v>
      </c>
      <c r="B1427" s="49" t="s">
        <v>409</v>
      </c>
      <c r="C1427" s="49" t="s">
        <v>449</v>
      </c>
      <c r="D1427">
        <v>18</v>
      </c>
      <c r="E1427" s="49" t="s">
        <v>378</v>
      </c>
    </row>
    <row r="1428" spans="1:5" x14ac:dyDescent="0.3">
      <c r="A1428" s="49" t="s">
        <v>955</v>
      </c>
      <c r="B1428" s="49" t="s">
        <v>578</v>
      </c>
      <c r="C1428" s="49" t="s">
        <v>449</v>
      </c>
      <c r="D1428">
        <v>98</v>
      </c>
      <c r="E1428" s="49" t="s">
        <v>378</v>
      </c>
    </row>
    <row r="1429" spans="1:5" x14ac:dyDescent="0.3">
      <c r="A1429" s="49" t="s">
        <v>955</v>
      </c>
      <c r="B1429" s="49" t="s">
        <v>578</v>
      </c>
      <c r="C1429" s="49" t="s">
        <v>449</v>
      </c>
      <c r="D1429">
        <v>99</v>
      </c>
      <c r="E1429" s="49" t="s">
        <v>378</v>
      </c>
    </row>
    <row r="1430" spans="1:5" x14ac:dyDescent="0.3">
      <c r="A1430" s="49" t="s">
        <v>956</v>
      </c>
      <c r="B1430" s="49" t="s">
        <v>578</v>
      </c>
      <c r="C1430" s="49" t="s">
        <v>449</v>
      </c>
      <c r="D1430">
        <v>98</v>
      </c>
      <c r="E1430" s="49" t="s">
        <v>378</v>
      </c>
    </row>
    <row r="1431" spans="1:5" x14ac:dyDescent="0.3">
      <c r="A1431" s="49" t="s">
        <v>956</v>
      </c>
      <c r="B1431" s="49" t="s">
        <v>578</v>
      </c>
      <c r="C1431" s="49" t="s">
        <v>449</v>
      </c>
      <c r="D1431">
        <v>99</v>
      </c>
      <c r="E1431" s="49" t="s">
        <v>378</v>
      </c>
    </row>
    <row r="1432" spans="1:5" x14ac:dyDescent="0.3">
      <c r="A1432" s="49" t="s">
        <v>957</v>
      </c>
      <c r="B1432" s="49" t="s">
        <v>578</v>
      </c>
      <c r="C1432" s="49" t="s">
        <v>449</v>
      </c>
      <c r="D1432">
        <v>98</v>
      </c>
      <c r="E1432" s="49" t="s">
        <v>378</v>
      </c>
    </row>
    <row r="1433" spans="1:5" x14ac:dyDescent="0.3">
      <c r="A1433" s="49" t="s">
        <v>957</v>
      </c>
      <c r="B1433" s="49" t="s">
        <v>578</v>
      </c>
      <c r="C1433" s="49" t="s">
        <v>449</v>
      </c>
      <c r="D1433">
        <v>99</v>
      </c>
      <c r="E1433" s="49" t="s">
        <v>378</v>
      </c>
    </row>
    <row r="1434" spans="1:5" x14ac:dyDescent="0.3">
      <c r="A1434" s="49" t="s">
        <v>958</v>
      </c>
      <c r="B1434" s="49" t="s">
        <v>578</v>
      </c>
      <c r="C1434" s="49" t="s">
        <v>449</v>
      </c>
      <c r="D1434">
        <v>98</v>
      </c>
      <c r="E1434" s="49" t="s">
        <v>378</v>
      </c>
    </row>
    <row r="1435" spans="1:5" x14ac:dyDescent="0.3">
      <c r="A1435" s="49" t="s">
        <v>958</v>
      </c>
      <c r="B1435" s="49" t="s">
        <v>578</v>
      </c>
      <c r="C1435" s="49" t="s">
        <v>449</v>
      </c>
      <c r="D1435">
        <v>99</v>
      </c>
      <c r="E1435" s="49" t="s">
        <v>378</v>
      </c>
    </row>
    <row r="1436" spans="1:5" x14ac:dyDescent="0.3">
      <c r="A1436" s="49" t="s">
        <v>959</v>
      </c>
      <c r="B1436" s="49" t="s">
        <v>578</v>
      </c>
      <c r="C1436" s="49" t="s">
        <v>449</v>
      </c>
      <c r="D1436">
        <v>98</v>
      </c>
      <c r="E1436" s="49" t="s">
        <v>378</v>
      </c>
    </row>
    <row r="1437" spans="1:5" x14ac:dyDescent="0.3">
      <c r="A1437" s="49" t="s">
        <v>959</v>
      </c>
      <c r="B1437" s="49" t="s">
        <v>578</v>
      </c>
      <c r="C1437" s="49" t="s">
        <v>449</v>
      </c>
      <c r="D1437">
        <v>99</v>
      </c>
      <c r="E1437" s="49" t="s">
        <v>378</v>
      </c>
    </row>
    <row r="1438" spans="1:5" x14ac:dyDescent="0.3">
      <c r="A1438" s="49" t="s">
        <v>960</v>
      </c>
      <c r="B1438" s="49" t="s">
        <v>578</v>
      </c>
      <c r="C1438" s="49" t="s">
        <v>449</v>
      </c>
      <c r="D1438">
        <v>98</v>
      </c>
      <c r="E1438" s="49" t="s">
        <v>378</v>
      </c>
    </row>
    <row r="1439" spans="1:5" x14ac:dyDescent="0.3">
      <c r="A1439" s="49" t="s">
        <v>960</v>
      </c>
      <c r="B1439" s="49" t="s">
        <v>578</v>
      </c>
      <c r="C1439" s="49" t="s">
        <v>449</v>
      </c>
      <c r="D1439">
        <v>99</v>
      </c>
      <c r="E1439" s="49" t="s">
        <v>378</v>
      </c>
    </row>
    <row r="1440" spans="1:5" x14ac:dyDescent="0.3">
      <c r="A1440" s="49" t="s">
        <v>961</v>
      </c>
      <c r="B1440" s="49" t="s">
        <v>578</v>
      </c>
      <c r="C1440" s="49" t="s">
        <v>449</v>
      </c>
      <c r="D1440">
        <v>98</v>
      </c>
      <c r="E1440" s="49" t="s">
        <v>378</v>
      </c>
    </row>
    <row r="1441" spans="1:5" x14ac:dyDescent="0.3">
      <c r="A1441" s="49" t="s">
        <v>961</v>
      </c>
      <c r="B1441" s="49" t="s">
        <v>578</v>
      </c>
      <c r="C1441" s="49" t="s">
        <v>449</v>
      </c>
      <c r="D1441">
        <v>99</v>
      </c>
      <c r="E1441" s="49" t="s">
        <v>378</v>
      </c>
    </row>
    <row r="1442" spans="1:5" x14ac:dyDescent="0.3">
      <c r="A1442" s="49" t="s">
        <v>962</v>
      </c>
      <c r="B1442" s="49" t="s">
        <v>578</v>
      </c>
      <c r="C1442" s="49" t="s">
        <v>449</v>
      </c>
      <c r="D1442">
        <v>98</v>
      </c>
      <c r="E1442" s="49" t="s">
        <v>378</v>
      </c>
    </row>
    <row r="1443" spans="1:5" x14ac:dyDescent="0.3">
      <c r="A1443" s="49" t="s">
        <v>962</v>
      </c>
      <c r="B1443" s="49" t="s">
        <v>578</v>
      </c>
      <c r="C1443" s="49" t="s">
        <v>449</v>
      </c>
      <c r="D1443">
        <v>99</v>
      </c>
      <c r="E1443" s="49" t="s">
        <v>378</v>
      </c>
    </row>
    <row r="1444" spans="1:5" x14ac:dyDescent="0.3">
      <c r="A1444" s="49" t="s">
        <v>963</v>
      </c>
      <c r="B1444" s="49" t="s">
        <v>578</v>
      </c>
      <c r="C1444" s="49" t="s">
        <v>449</v>
      </c>
      <c r="D1444">
        <v>98</v>
      </c>
      <c r="E1444" s="49" t="s">
        <v>378</v>
      </c>
    </row>
    <row r="1445" spans="1:5" x14ac:dyDescent="0.3">
      <c r="A1445" s="49" t="s">
        <v>963</v>
      </c>
      <c r="B1445" s="49" t="s">
        <v>578</v>
      </c>
      <c r="C1445" s="49" t="s">
        <v>449</v>
      </c>
      <c r="D1445">
        <v>99</v>
      </c>
      <c r="E1445" s="49" t="s">
        <v>378</v>
      </c>
    </row>
    <row r="1446" spans="1:5" x14ac:dyDescent="0.3">
      <c r="A1446" s="49" t="s">
        <v>964</v>
      </c>
      <c r="B1446" s="49" t="s">
        <v>578</v>
      </c>
      <c r="C1446" s="49" t="s">
        <v>449</v>
      </c>
      <c r="D1446">
        <v>98</v>
      </c>
      <c r="E1446" s="49" t="s">
        <v>378</v>
      </c>
    </row>
    <row r="1447" spans="1:5" x14ac:dyDescent="0.3">
      <c r="A1447" s="49" t="s">
        <v>964</v>
      </c>
      <c r="B1447" s="49" t="s">
        <v>578</v>
      </c>
      <c r="C1447" s="49" t="s">
        <v>449</v>
      </c>
      <c r="D1447">
        <v>99</v>
      </c>
      <c r="E1447" s="49" t="s">
        <v>378</v>
      </c>
    </row>
    <row r="1448" spans="1:5" x14ac:dyDescent="0.3">
      <c r="A1448" s="49" t="s">
        <v>965</v>
      </c>
      <c r="B1448" s="49" t="s">
        <v>578</v>
      </c>
      <c r="C1448" s="49" t="s">
        <v>449</v>
      </c>
      <c r="D1448">
        <v>98</v>
      </c>
      <c r="E1448" s="49" t="s">
        <v>378</v>
      </c>
    </row>
    <row r="1449" spans="1:5" x14ac:dyDescent="0.3">
      <c r="A1449" s="49" t="s">
        <v>965</v>
      </c>
      <c r="B1449" s="49" t="s">
        <v>578</v>
      </c>
      <c r="C1449" s="49" t="s">
        <v>449</v>
      </c>
      <c r="D1449">
        <v>99</v>
      </c>
      <c r="E1449" s="49" t="s">
        <v>378</v>
      </c>
    </row>
    <row r="1450" spans="1:5" x14ac:dyDescent="0.3">
      <c r="A1450" s="49" t="s">
        <v>966</v>
      </c>
      <c r="B1450" s="49" t="s">
        <v>578</v>
      </c>
      <c r="C1450" s="49" t="s">
        <v>449</v>
      </c>
      <c r="D1450">
        <v>98</v>
      </c>
      <c r="E1450" s="49" t="s">
        <v>378</v>
      </c>
    </row>
    <row r="1451" spans="1:5" x14ac:dyDescent="0.3">
      <c r="A1451" s="49" t="s">
        <v>966</v>
      </c>
      <c r="B1451" s="49" t="s">
        <v>578</v>
      </c>
      <c r="C1451" s="49" t="s">
        <v>449</v>
      </c>
      <c r="D1451">
        <v>99</v>
      </c>
      <c r="E1451" s="49" t="s">
        <v>378</v>
      </c>
    </row>
    <row r="1452" spans="1:5" x14ac:dyDescent="0.3">
      <c r="A1452" s="49" t="s">
        <v>967</v>
      </c>
      <c r="B1452" s="49" t="s">
        <v>578</v>
      </c>
      <c r="C1452" s="49" t="s">
        <v>449</v>
      </c>
      <c r="D1452">
        <v>98</v>
      </c>
      <c r="E1452" s="49" t="s">
        <v>378</v>
      </c>
    </row>
    <row r="1453" spans="1:5" x14ac:dyDescent="0.3">
      <c r="A1453" s="49" t="s">
        <v>967</v>
      </c>
      <c r="B1453" s="49" t="s">
        <v>578</v>
      </c>
      <c r="C1453" s="49" t="s">
        <v>449</v>
      </c>
      <c r="D1453">
        <v>99</v>
      </c>
      <c r="E1453" s="49" t="s">
        <v>378</v>
      </c>
    </row>
    <row r="1454" spans="1:5" x14ac:dyDescent="0.3">
      <c r="A1454" s="49" t="s">
        <v>968</v>
      </c>
      <c r="B1454" s="49" t="s">
        <v>578</v>
      </c>
      <c r="C1454" s="49" t="s">
        <v>449</v>
      </c>
      <c r="D1454">
        <v>98</v>
      </c>
      <c r="E1454" s="49" t="s">
        <v>378</v>
      </c>
    </row>
    <row r="1455" spans="1:5" x14ac:dyDescent="0.3">
      <c r="A1455" s="49" t="s">
        <v>968</v>
      </c>
      <c r="B1455" s="49" t="s">
        <v>578</v>
      </c>
      <c r="C1455" s="49" t="s">
        <v>449</v>
      </c>
      <c r="D1455">
        <v>99</v>
      </c>
      <c r="E1455" s="49" t="s">
        <v>378</v>
      </c>
    </row>
    <row r="1456" spans="1:5" x14ac:dyDescent="0.3">
      <c r="A1456" s="49" t="s">
        <v>969</v>
      </c>
      <c r="B1456" s="49" t="s">
        <v>578</v>
      </c>
      <c r="C1456" s="49" t="s">
        <v>449</v>
      </c>
      <c r="D1456">
        <v>98</v>
      </c>
      <c r="E1456" s="49" t="s">
        <v>378</v>
      </c>
    </row>
    <row r="1457" spans="1:5" x14ac:dyDescent="0.3">
      <c r="A1457" s="49" t="s">
        <v>969</v>
      </c>
      <c r="B1457" s="49" t="s">
        <v>578</v>
      </c>
      <c r="C1457" s="49" t="s">
        <v>449</v>
      </c>
      <c r="D1457">
        <v>99</v>
      </c>
      <c r="E1457" s="49" t="s">
        <v>378</v>
      </c>
    </row>
    <row r="1458" spans="1:5" x14ac:dyDescent="0.3">
      <c r="A1458" s="49" t="s">
        <v>970</v>
      </c>
      <c r="B1458" s="49" t="s">
        <v>578</v>
      </c>
      <c r="C1458" s="49" t="s">
        <v>449</v>
      </c>
      <c r="D1458">
        <v>98</v>
      </c>
      <c r="E1458" s="49" t="s">
        <v>378</v>
      </c>
    </row>
    <row r="1459" spans="1:5" x14ac:dyDescent="0.3">
      <c r="A1459" s="49" t="s">
        <v>970</v>
      </c>
      <c r="B1459" s="49" t="s">
        <v>578</v>
      </c>
      <c r="C1459" s="49" t="s">
        <v>449</v>
      </c>
      <c r="D1459">
        <v>99</v>
      </c>
      <c r="E1459" s="49" t="s">
        <v>378</v>
      </c>
    </row>
    <row r="1460" spans="1:5" x14ac:dyDescent="0.3">
      <c r="A1460" s="49" t="s">
        <v>971</v>
      </c>
      <c r="B1460" s="49" t="s">
        <v>578</v>
      </c>
      <c r="C1460" s="49" t="s">
        <v>449</v>
      </c>
      <c r="D1460">
        <v>98</v>
      </c>
      <c r="E1460" s="49" t="s">
        <v>378</v>
      </c>
    </row>
    <row r="1461" spans="1:5" x14ac:dyDescent="0.3">
      <c r="A1461" s="49" t="s">
        <v>971</v>
      </c>
      <c r="B1461" s="49" t="s">
        <v>578</v>
      </c>
      <c r="C1461" s="49" t="s">
        <v>449</v>
      </c>
      <c r="D1461">
        <v>99</v>
      </c>
      <c r="E1461" s="49" t="s">
        <v>378</v>
      </c>
    </row>
    <row r="1462" spans="1:5" x14ac:dyDescent="0.3">
      <c r="A1462" s="49" t="s">
        <v>972</v>
      </c>
      <c r="B1462" s="49" t="s">
        <v>578</v>
      </c>
      <c r="C1462" s="49" t="s">
        <v>449</v>
      </c>
      <c r="D1462">
        <v>98</v>
      </c>
      <c r="E1462" s="49" t="s">
        <v>378</v>
      </c>
    </row>
    <row r="1463" spans="1:5" x14ac:dyDescent="0.3">
      <c r="A1463" s="49" t="s">
        <v>972</v>
      </c>
      <c r="B1463" s="49" t="s">
        <v>578</v>
      </c>
      <c r="C1463" s="49" t="s">
        <v>449</v>
      </c>
      <c r="D1463">
        <v>99</v>
      </c>
      <c r="E1463" s="49" t="s">
        <v>378</v>
      </c>
    </row>
    <row r="1464" spans="1:5" x14ac:dyDescent="0.3">
      <c r="A1464" s="49" t="s">
        <v>973</v>
      </c>
      <c r="B1464" s="49" t="s">
        <v>578</v>
      </c>
      <c r="C1464" s="49" t="s">
        <v>449</v>
      </c>
      <c r="D1464">
        <v>98</v>
      </c>
      <c r="E1464" s="49" t="s">
        <v>378</v>
      </c>
    </row>
    <row r="1465" spans="1:5" x14ac:dyDescent="0.3">
      <c r="A1465" s="49" t="s">
        <v>973</v>
      </c>
      <c r="B1465" s="49" t="s">
        <v>578</v>
      </c>
      <c r="C1465" s="49" t="s">
        <v>449</v>
      </c>
      <c r="D1465">
        <v>99</v>
      </c>
      <c r="E1465" s="49" t="s">
        <v>378</v>
      </c>
    </row>
    <row r="1466" spans="1:5" x14ac:dyDescent="0.3">
      <c r="A1466" s="49" t="s">
        <v>974</v>
      </c>
      <c r="B1466" s="49" t="s">
        <v>578</v>
      </c>
      <c r="C1466" s="49" t="s">
        <v>449</v>
      </c>
      <c r="D1466">
        <v>98</v>
      </c>
      <c r="E1466" s="49" t="s">
        <v>378</v>
      </c>
    </row>
    <row r="1467" spans="1:5" x14ac:dyDescent="0.3">
      <c r="A1467" s="49" t="s">
        <v>974</v>
      </c>
      <c r="B1467" s="49" t="s">
        <v>578</v>
      </c>
      <c r="C1467" s="49" t="s">
        <v>449</v>
      </c>
      <c r="D1467">
        <v>99</v>
      </c>
      <c r="E1467" s="49" t="s">
        <v>378</v>
      </c>
    </row>
    <row r="1468" spans="1:5" x14ac:dyDescent="0.3">
      <c r="A1468" s="49" t="s">
        <v>975</v>
      </c>
      <c r="B1468" s="49" t="s">
        <v>578</v>
      </c>
      <c r="C1468" s="49" t="s">
        <v>449</v>
      </c>
      <c r="D1468">
        <v>98</v>
      </c>
      <c r="E1468" s="49" t="s">
        <v>378</v>
      </c>
    </row>
    <row r="1469" spans="1:5" x14ac:dyDescent="0.3">
      <c r="A1469" s="49" t="s">
        <v>975</v>
      </c>
      <c r="B1469" s="49" t="s">
        <v>578</v>
      </c>
      <c r="C1469" s="49" t="s">
        <v>449</v>
      </c>
      <c r="D1469">
        <v>99</v>
      </c>
      <c r="E1469" s="49" t="s">
        <v>378</v>
      </c>
    </row>
    <row r="1470" spans="1:5" x14ac:dyDescent="0.3">
      <c r="A1470" s="49" t="s">
        <v>976</v>
      </c>
      <c r="B1470" s="49" t="s">
        <v>578</v>
      </c>
      <c r="C1470" s="49" t="s">
        <v>449</v>
      </c>
      <c r="D1470">
        <v>98</v>
      </c>
      <c r="E1470" s="49" t="s">
        <v>378</v>
      </c>
    </row>
    <row r="1471" spans="1:5" x14ac:dyDescent="0.3">
      <c r="A1471" s="49" t="s">
        <v>976</v>
      </c>
      <c r="B1471" s="49" t="s">
        <v>578</v>
      </c>
      <c r="C1471" s="49" t="s">
        <v>449</v>
      </c>
      <c r="D1471">
        <v>99</v>
      </c>
      <c r="E1471" s="49" t="s">
        <v>378</v>
      </c>
    </row>
    <row r="1472" spans="1:5" x14ac:dyDescent="0.3">
      <c r="A1472" s="49" t="s">
        <v>977</v>
      </c>
      <c r="B1472" s="49" t="s">
        <v>578</v>
      </c>
      <c r="C1472" s="49" t="s">
        <v>449</v>
      </c>
      <c r="D1472">
        <v>98</v>
      </c>
      <c r="E1472" s="49" t="s">
        <v>378</v>
      </c>
    </row>
    <row r="1473" spans="1:5" x14ac:dyDescent="0.3">
      <c r="A1473" s="49" t="s">
        <v>977</v>
      </c>
      <c r="B1473" s="49" t="s">
        <v>578</v>
      </c>
      <c r="C1473" s="49" t="s">
        <v>449</v>
      </c>
      <c r="D1473">
        <v>99</v>
      </c>
      <c r="E1473" s="49" t="s">
        <v>378</v>
      </c>
    </row>
    <row r="1474" spans="1:5" x14ac:dyDescent="0.3">
      <c r="A1474" s="49" t="s">
        <v>978</v>
      </c>
      <c r="B1474" s="49" t="s">
        <v>578</v>
      </c>
      <c r="C1474" s="49" t="s">
        <v>449</v>
      </c>
      <c r="D1474">
        <v>98</v>
      </c>
      <c r="E1474" s="49" t="s">
        <v>378</v>
      </c>
    </row>
    <row r="1475" spans="1:5" x14ac:dyDescent="0.3">
      <c r="A1475" s="49" t="s">
        <v>978</v>
      </c>
      <c r="B1475" s="49" t="s">
        <v>578</v>
      </c>
      <c r="C1475" s="49" t="s">
        <v>449</v>
      </c>
      <c r="D1475">
        <v>99</v>
      </c>
      <c r="E1475" s="49" t="s">
        <v>378</v>
      </c>
    </row>
    <row r="1476" spans="1:5" x14ac:dyDescent="0.3">
      <c r="A1476" s="49" t="s">
        <v>979</v>
      </c>
      <c r="B1476" s="49" t="s">
        <v>578</v>
      </c>
      <c r="C1476" s="49" t="s">
        <v>449</v>
      </c>
      <c r="D1476">
        <v>98</v>
      </c>
      <c r="E1476" s="49" t="s">
        <v>378</v>
      </c>
    </row>
    <row r="1477" spans="1:5" x14ac:dyDescent="0.3">
      <c r="A1477" s="49" t="s">
        <v>979</v>
      </c>
      <c r="B1477" s="49" t="s">
        <v>578</v>
      </c>
      <c r="C1477" s="49" t="s">
        <v>449</v>
      </c>
      <c r="D1477">
        <v>99</v>
      </c>
      <c r="E1477" s="49" t="s">
        <v>378</v>
      </c>
    </row>
    <row r="1478" spans="1:5" x14ac:dyDescent="0.3">
      <c r="A1478" s="49" t="s">
        <v>980</v>
      </c>
      <c r="B1478" s="49" t="s">
        <v>578</v>
      </c>
      <c r="C1478" s="49" t="s">
        <v>449</v>
      </c>
      <c r="D1478">
        <v>98</v>
      </c>
      <c r="E1478" s="49" t="s">
        <v>378</v>
      </c>
    </row>
    <row r="1479" spans="1:5" x14ac:dyDescent="0.3">
      <c r="A1479" s="49" t="s">
        <v>980</v>
      </c>
      <c r="B1479" s="49" t="s">
        <v>578</v>
      </c>
      <c r="C1479" s="49" t="s">
        <v>449</v>
      </c>
      <c r="D1479">
        <v>99</v>
      </c>
      <c r="E1479" s="49" t="s">
        <v>378</v>
      </c>
    </row>
    <row r="1480" spans="1:5" x14ac:dyDescent="0.3">
      <c r="A1480" s="49" t="s">
        <v>981</v>
      </c>
      <c r="B1480" s="49" t="s">
        <v>578</v>
      </c>
      <c r="C1480" s="49" t="s">
        <v>449</v>
      </c>
      <c r="D1480">
        <v>98</v>
      </c>
      <c r="E1480" s="49" t="s">
        <v>378</v>
      </c>
    </row>
    <row r="1481" spans="1:5" x14ac:dyDescent="0.3">
      <c r="A1481" s="49" t="s">
        <v>981</v>
      </c>
      <c r="B1481" s="49" t="s">
        <v>578</v>
      </c>
      <c r="C1481" s="49" t="s">
        <v>449</v>
      </c>
      <c r="D1481">
        <v>99</v>
      </c>
      <c r="E1481" s="49" t="s">
        <v>378</v>
      </c>
    </row>
    <row r="1482" spans="1:5" x14ac:dyDescent="0.3">
      <c r="A1482" s="49" t="s">
        <v>982</v>
      </c>
      <c r="B1482" s="49" t="s">
        <v>578</v>
      </c>
      <c r="C1482" s="49" t="s">
        <v>449</v>
      </c>
      <c r="D1482">
        <v>98</v>
      </c>
      <c r="E1482" s="49" t="s">
        <v>378</v>
      </c>
    </row>
    <row r="1483" spans="1:5" x14ac:dyDescent="0.3">
      <c r="A1483" s="49" t="s">
        <v>982</v>
      </c>
      <c r="B1483" s="49" t="s">
        <v>578</v>
      </c>
      <c r="C1483" s="49" t="s">
        <v>449</v>
      </c>
      <c r="D1483">
        <v>99</v>
      </c>
      <c r="E1483" s="49" t="s">
        <v>378</v>
      </c>
    </row>
    <row r="1484" spans="1:5" x14ac:dyDescent="0.3">
      <c r="A1484" s="49" t="s">
        <v>983</v>
      </c>
      <c r="B1484" s="49" t="s">
        <v>578</v>
      </c>
      <c r="C1484" s="49" t="s">
        <v>449</v>
      </c>
      <c r="D1484">
        <v>98</v>
      </c>
      <c r="E1484" s="49" t="s">
        <v>378</v>
      </c>
    </row>
    <row r="1485" spans="1:5" x14ac:dyDescent="0.3">
      <c r="A1485" s="49" t="s">
        <v>983</v>
      </c>
      <c r="B1485" s="49" t="s">
        <v>578</v>
      </c>
      <c r="C1485" s="49" t="s">
        <v>449</v>
      </c>
      <c r="D1485">
        <v>99</v>
      </c>
      <c r="E1485" s="49" t="s">
        <v>378</v>
      </c>
    </row>
    <row r="1486" spans="1:5" x14ac:dyDescent="0.3">
      <c r="A1486" s="49" t="s">
        <v>984</v>
      </c>
      <c r="B1486" s="49" t="s">
        <v>578</v>
      </c>
      <c r="C1486" s="49" t="s">
        <v>449</v>
      </c>
      <c r="D1486">
        <v>98</v>
      </c>
      <c r="E1486" s="49" t="s">
        <v>378</v>
      </c>
    </row>
    <row r="1487" spans="1:5" x14ac:dyDescent="0.3">
      <c r="A1487" s="49" t="s">
        <v>984</v>
      </c>
      <c r="B1487" s="49" t="s">
        <v>578</v>
      </c>
      <c r="C1487" s="49" t="s">
        <v>449</v>
      </c>
      <c r="D1487">
        <v>99</v>
      </c>
      <c r="E1487" s="49" t="s">
        <v>378</v>
      </c>
    </row>
    <row r="1488" spans="1:5" x14ac:dyDescent="0.3">
      <c r="A1488" s="49" t="s">
        <v>985</v>
      </c>
      <c r="B1488" s="49" t="s">
        <v>578</v>
      </c>
      <c r="C1488" s="49" t="s">
        <v>449</v>
      </c>
      <c r="D1488">
        <v>98</v>
      </c>
      <c r="E1488" s="49" t="s">
        <v>378</v>
      </c>
    </row>
    <row r="1489" spans="1:5" x14ac:dyDescent="0.3">
      <c r="A1489" s="49" t="s">
        <v>985</v>
      </c>
      <c r="B1489" s="49" t="s">
        <v>578</v>
      </c>
      <c r="C1489" s="49" t="s">
        <v>449</v>
      </c>
      <c r="D1489">
        <v>99</v>
      </c>
      <c r="E1489" s="49" t="s">
        <v>378</v>
      </c>
    </row>
    <row r="1490" spans="1:5" x14ac:dyDescent="0.3">
      <c r="A1490" s="49" t="s">
        <v>986</v>
      </c>
      <c r="B1490" s="49" t="s">
        <v>578</v>
      </c>
      <c r="C1490" s="49" t="s">
        <v>449</v>
      </c>
      <c r="D1490">
        <v>98</v>
      </c>
      <c r="E1490" s="49" t="s">
        <v>378</v>
      </c>
    </row>
    <row r="1491" spans="1:5" x14ac:dyDescent="0.3">
      <c r="A1491" s="49" t="s">
        <v>986</v>
      </c>
      <c r="B1491" s="49" t="s">
        <v>578</v>
      </c>
      <c r="C1491" s="49" t="s">
        <v>449</v>
      </c>
      <c r="D1491">
        <v>99</v>
      </c>
      <c r="E1491" s="49" t="s">
        <v>378</v>
      </c>
    </row>
    <row r="1492" spans="1:5" x14ac:dyDescent="0.3">
      <c r="A1492" s="49" t="s">
        <v>987</v>
      </c>
      <c r="B1492" s="49" t="s">
        <v>578</v>
      </c>
      <c r="C1492" s="49" t="s">
        <v>449</v>
      </c>
      <c r="D1492">
        <v>98</v>
      </c>
      <c r="E1492" s="49" t="s">
        <v>378</v>
      </c>
    </row>
    <row r="1493" spans="1:5" x14ac:dyDescent="0.3">
      <c r="A1493" s="49" t="s">
        <v>987</v>
      </c>
      <c r="B1493" s="49" t="s">
        <v>578</v>
      </c>
      <c r="C1493" s="49" t="s">
        <v>449</v>
      </c>
      <c r="D1493">
        <v>99</v>
      </c>
      <c r="E1493" s="49" t="s">
        <v>378</v>
      </c>
    </row>
    <row r="1494" spans="1:5" x14ac:dyDescent="0.3">
      <c r="A1494" s="49" t="s">
        <v>988</v>
      </c>
      <c r="B1494" s="49" t="s">
        <v>578</v>
      </c>
      <c r="C1494" s="49" t="s">
        <v>449</v>
      </c>
      <c r="D1494">
        <v>98</v>
      </c>
      <c r="E1494" s="49" t="s">
        <v>378</v>
      </c>
    </row>
    <row r="1495" spans="1:5" x14ac:dyDescent="0.3">
      <c r="A1495" s="49" t="s">
        <v>988</v>
      </c>
      <c r="B1495" s="49" t="s">
        <v>578</v>
      </c>
      <c r="C1495" s="49" t="s">
        <v>449</v>
      </c>
      <c r="D1495">
        <v>99</v>
      </c>
      <c r="E1495" s="49" t="s">
        <v>378</v>
      </c>
    </row>
    <row r="1496" spans="1:5" x14ac:dyDescent="0.3">
      <c r="A1496" s="49" t="s">
        <v>989</v>
      </c>
      <c r="B1496" s="49" t="s">
        <v>578</v>
      </c>
      <c r="C1496" s="49" t="s">
        <v>449</v>
      </c>
      <c r="D1496">
        <v>98</v>
      </c>
      <c r="E1496" s="49" t="s">
        <v>378</v>
      </c>
    </row>
    <row r="1497" spans="1:5" x14ac:dyDescent="0.3">
      <c r="A1497" s="49" t="s">
        <v>989</v>
      </c>
      <c r="B1497" s="49" t="s">
        <v>578</v>
      </c>
      <c r="C1497" s="49" t="s">
        <v>449</v>
      </c>
      <c r="D1497">
        <v>99</v>
      </c>
      <c r="E1497" s="49" t="s">
        <v>378</v>
      </c>
    </row>
    <row r="1498" spans="1:5" x14ac:dyDescent="0.3">
      <c r="A1498" s="49" t="s">
        <v>990</v>
      </c>
      <c r="B1498" s="49" t="s">
        <v>578</v>
      </c>
      <c r="C1498" s="49" t="s">
        <v>449</v>
      </c>
      <c r="D1498">
        <v>98</v>
      </c>
      <c r="E1498" s="49" t="s">
        <v>378</v>
      </c>
    </row>
    <row r="1499" spans="1:5" x14ac:dyDescent="0.3">
      <c r="A1499" s="49" t="s">
        <v>990</v>
      </c>
      <c r="B1499" s="49" t="s">
        <v>578</v>
      </c>
      <c r="C1499" s="49" t="s">
        <v>449</v>
      </c>
      <c r="D1499">
        <v>99</v>
      </c>
      <c r="E1499" s="49" t="s">
        <v>378</v>
      </c>
    </row>
    <row r="1500" spans="1:5" x14ac:dyDescent="0.3">
      <c r="A1500" s="49" t="s">
        <v>991</v>
      </c>
      <c r="B1500" s="49" t="s">
        <v>578</v>
      </c>
      <c r="C1500" s="49" t="s">
        <v>449</v>
      </c>
      <c r="D1500">
        <v>98</v>
      </c>
      <c r="E1500" s="49" t="s">
        <v>378</v>
      </c>
    </row>
    <row r="1501" spans="1:5" x14ac:dyDescent="0.3">
      <c r="A1501" s="49" t="s">
        <v>991</v>
      </c>
      <c r="B1501" s="49" t="s">
        <v>578</v>
      </c>
      <c r="C1501" s="49" t="s">
        <v>449</v>
      </c>
      <c r="D1501">
        <v>99</v>
      </c>
      <c r="E1501" s="49" t="s">
        <v>378</v>
      </c>
    </row>
    <row r="1502" spans="1:5" x14ac:dyDescent="0.3">
      <c r="A1502" s="49" t="s">
        <v>992</v>
      </c>
      <c r="B1502" s="49" t="s">
        <v>578</v>
      </c>
      <c r="C1502" s="49" t="s">
        <v>449</v>
      </c>
      <c r="D1502">
        <v>98</v>
      </c>
      <c r="E1502" s="49" t="s">
        <v>378</v>
      </c>
    </row>
    <row r="1503" spans="1:5" x14ac:dyDescent="0.3">
      <c r="A1503" s="49" t="s">
        <v>992</v>
      </c>
      <c r="B1503" s="49" t="s">
        <v>578</v>
      </c>
      <c r="C1503" s="49" t="s">
        <v>449</v>
      </c>
      <c r="D1503">
        <v>99</v>
      </c>
      <c r="E1503" s="49" t="s">
        <v>378</v>
      </c>
    </row>
    <row r="1504" spans="1:5" x14ac:dyDescent="0.3">
      <c r="A1504" s="49" t="s">
        <v>993</v>
      </c>
      <c r="B1504" s="49" t="s">
        <v>578</v>
      </c>
      <c r="C1504" s="49" t="s">
        <v>449</v>
      </c>
      <c r="D1504">
        <v>98</v>
      </c>
      <c r="E1504" s="49" t="s">
        <v>378</v>
      </c>
    </row>
    <row r="1505" spans="1:5" x14ac:dyDescent="0.3">
      <c r="A1505" s="49" t="s">
        <v>993</v>
      </c>
      <c r="B1505" s="49" t="s">
        <v>578</v>
      </c>
      <c r="C1505" s="49" t="s">
        <v>449</v>
      </c>
      <c r="D1505">
        <v>99</v>
      </c>
      <c r="E1505" s="49" t="s">
        <v>378</v>
      </c>
    </row>
    <row r="1506" spans="1:5" x14ac:dyDescent="0.3">
      <c r="A1506" s="49" t="s">
        <v>994</v>
      </c>
      <c r="B1506" s="49" t="s">
        <v>578</v>
      </c>
      <c r="C1506" s="49" t="s">
        <v>449</v>
      </c>
      <c r="D1506">
        <v>98</v>
      </c>
      <c r="E1506" s="49" t="s">
        <v>378</v>
      </c>
    </row>
    <row r="1507" spans="1:5" x14ac:dyDescent="0.3">
      <c r="A1507" s="49" t="s">
        <v>994</v>
      </c>
      <c r="B1507" s="49" t="s">
        <v>578</v>
      </c>
      <c r="C1507" s="49" t="s">
        <v>449</v>
      </c>
      <c r="D1507">
        <v>99</v>
      </c>
      <c r="E1507" s="49" t="s">
        <v>378</v>
      </c>
    </row>
    <row r="1508" spans="1:5" x14ac:dyDescent="0.3">
      <c r="A1508" s="49" t="s">
        <v>995</v>
      </c>
      <c r="B1508" s="49" t="s">
        <v>578</v>
      </c>
      <c r="C1508" s="49" t="s">
        <v>449</v>
      </c>
      <c r="D1508">
        <v>98</v>
      </c>
      <c r="E1508" s="49" t="s">
        <v>378</v>
      </c>
    </row>
    <row r="1509" spans="1:5" x14ac:dyDescent="0.3">
      <c r="A1509" s="49" t="s">
        <v>995</v>
      </c>
      <c r="B1509" s="49" t="s">
        <v>578</v>
      </c>
      <c r="C1509" s="49" t="s">
        <v>449</v>
      </c>
      <c r="D1509">
        <v>99</v>
      </c>
      <c r="E1509" s="49" t="s">
        <v>378</v>
      </c>
    </row>
    <row r="1510" spans="1:5" x14ac:dyDescent="0.3">
      <c r="A1510" s="49" t="s">
        <v>996</v>
      </c>
      <c r="B1510" s="49" t="s">
        <v>578</v>
      </c>
      <c r="C1510" s="49" t="s">
        <v>449</v>
      </c>
      <c r="D1510">
        <v>98</v>
      </c>
      <c r="E1510" s="49" t="s">
        <v>378</v>
      </c>
    </row>
    <row r="1511" spans="1:5" x14ac:dyDescent="0.3">
      <c r="A1511" s="49" t="s">
        <v>996</v>
      </c>
      <c r="B1511" s="49" t="s">
        <v>578</v>
      </c>
      <c r="C1511" s="49" t="s">
        <v>449</v>
      </c>
      <c r="D1511">
        <v>99</v>
      </c>
      <c r="E1511" s="49" t="s">
        <v>378</v>
      </c>
    </row>
    <row r="1512" spans="1:5" x14ac:dyDescent="0.3">
      <c r="A1512" s="49" t="s">
        <v>997</v>
      </c>
      <c r="B1512" s="49" t="s">
        <v>578</v>
      </c>
      <c r="C1512" s="49" t="s">
        <v>449</v>
      </c>
      <c r="D1512">
        <v>98</v>
      </c>
      <c r="E1512" s="49" t="s">
        <v>378</v>
      </c>
    </row>
    <row r="1513" spans="1:5" x14ac:dyDescent="0.3">
      <c r="A1513" s="49" t="s">
        <v>997</v>
      </c>
      <c r="B1513" s="49" t="s">
        <v>578</v>
      </c>
      <c r="C1513" s="49" t="s">
        <v>449</v>
      </c>
      <c r="D1513">
        <v>99</v>
      </c>
      <c r="E1513" s="49" t="s">
        <v>378</v>
      </c>
    </row>
    <row r="1514" spans="1:5" x14ac:dyDescent="0.3">
      <c r="A1514" s="49" t="s">
        <v>998</v>
      </c>
      <c r="B1514" s="49" t="s">
        <v>578</v>
      </c>
      <c r="C1514" s="49" t="s">
        <v>449</v>
      </c>
      <c r="D1514">
        <v>98</v>
      </c>
      <c r="E1514" s="49" t="s">
        <v>378</v>
      </c>
    </row>
    <row r="1515" spans="1:5" x14ac:dyDescent="0.3">
      <c r="A1515" s="49" t="s">
        <v>998</v>
      </c>
      <c r="B1515" s="49" t="s">
        <v>578</v>
      </c>
      <c r="C1515" s="49" t="s">
        <v>449</v>
      </c>
      <c r="D1515">
        <v>99</v>
      </c>
      <c r="E1515" s="49" t="s">
        <v>378</v>
      </c>
    </row>
    <row r="1516" spans="1:5" x14ac:dyDescent="0.3">
      <c r="A1516" s="49" t="s">
        <v>999</v>
      </c>
      <c r="B1516" s="49" t="s">
        <v>578</v>
      </c>
      <c r="C1516" s="49" t="s">
        <v>449</v>
      </c>
      <c r="D1516">
        <v>98</v>
      </c>
      <c r="E1516" s="49" t="s">
        <v>378</v>
      </c>
    </row>
    <row r="1517" spans="1:5" x14ac:dyDescent="0.3">
      <c r="A1517" s="49" t="s">
        <v>999</v>
      </c>
      <c r="B1517" s="49" t="s">
        <v>578</v>
      </c>
      <c r="C1517" s="49" t="s">
        <v>449</v>
      </c>
      <c r="D1517">
        <v>99</v>
      </c>
      <c r="E1517" s="49" t="s">
        <v>378</v>
      </c>
    </row>
    <row r="1518" spans="1:5" x14ac:dyDescent="0.3">
      <c r="A1518" s="49" t="s">
        <v>1000</v>
      </c>
      <c r="B1518" s="49" t="s">
        <v>578</v>
      </c>
      <c r="C1518" s="49" t="s">
        <v>449</v>
      </c>
      <c r="D1518">
        <v>98</v>
      </c>
      <c r="E1518" s="49" t="s">
        <v>378</v>
      </c>
    </row>
    <row r="1519" spans="1:5" x14ac:dyDescent="0.3">
      <c r="A1519" s="49" t="s">
        <v>1000</v>
      </c>
      <c r="B1519" s="49" t="s">
        <v>578</v>
      </c>
      <c r="C1519" s="49" t="s">
        <v>449</v>
      </c>
      <c r="D1519">
        <v>99</v>
      </c>
      <c r="E1519" s="49" t="s">
        <v>378</v>
      </c>
    </row>
    <row r="1520" spans="1:5" x14ac:dyDescent="0.3">
      <c r="A1520" s="49" t="s">
        <v>1001</v>
      </c>
      <c r="B1520" s="49" t="s">
        <v>578</v>
      </c>
      <c r="C1520" s="49" t="s">
        <v>449</v>
      </c>
      <c r="D1520">
        <v>98</v>
      </c>
      <c r="E1520" s="49" t="s">
        <v>378</v>
      </c>
    </row>
    <row r="1521" spans="1:5" x14ac:dyDescent="0.3">
      <c r="A1521" s="49" t="s">
        <v>1001</v>
      </c>
      <c r="B1521" s="49" t="s">
        <v>578</v>
      </c>
      <c r="C1521" s="49" t="s">
        <v>449</v>
      </c>
      <c r="D1521">
        <v>99</v>
      </c>
      <c r="E1521" s="49" t="s">
        <v>378</v>
      </c>
    </row>
    <row r="1522" spans="1:5" x14ac:dyDescent="0.3">
      <c r="A1522" s="49" t="s">
        <v>1002</v>
      </c>
      <c r="B1522" s="49" t="s">
        <v>578</v>
      </c>
      <c r="C1522" s="49" t="s">
        <v>449</v>
      </c>
      <c r="D1522">
        <v>98</v>
      </c>
      <c r="E1522" s="49" t="s">
        <v>378</v>
      </c>
    </row>
    <row r="1523" spans="1:5" x14ac:dyDescent="0.3">
      <c r="A1523" s="49" t="s">
        <v>1002</v>
      </c>
      <c r="B1523" s="49" t="s">
        <v>578</v>
      </c>
      <c r="C1523" s="49" t="s">
        <v>449</v>
      </c>
      <c r="D1523">
        <v>99</v>
      </c>
      <c r="E1523" s="49" t="s">
        <v>378</v>
      </c>
    </row>
    <row r="1524" spans="1:5" x14ac:dyDescent="0.3">
      <c r="A1524" s="49" t="s">
        <v>1003</v>
      </c>
      <c r="B1524" s="49" t="s">
        <v>578</v>
      </c>
      <c r="C1524" s="49" t="s">
        <v>449</v>
      </c>
      <c r="D1524">
        <v>98</v>
      </c>
      <c r="E1524" s="49" t="s">
        <v>378</v>
      </c>
    </row>
    <row r="1525" spans="1:5" x14ac:dyDescent="0.3">
      <c r="A1525" s="49" t="s">
        <v>1003</v>
      </c>
      <c r="B1525" s="49" t="s">
        <v>578</v>
      </c>
      <c r="C1525" s="49" t="s">
        <v>449</v>
      </c>
      <c r="D1525">
        <v>99</v>
      </c>
      <c r="E1525" s="49" t="s">
        <v>378</v>
      </c>
    </row>
    <row r="1526" spans="1:5" x14ac:dyDescent="0.3">
      <c r="A1526" s="49" t="s">
        <v>1004</v>
      </c>
      <c r="B1526" s="49" t="s">
        <v>578</v>
      </c>
      <c r="C1526" s="49" t="s">
        <v>449</v>
      </c>
      <c r="D1526">
        <v>98</v>
      </c>
      <c r="E1526" s="49" t="s">
        <v>378</v>
      </c>
    </row>
    <row r="1527" spans="1:5" x14ac:dyDescent="0.3">
      <c r="A1527" s="49" t="s">
        <v>1004</v>
      </c>
      <c r="B1527" s="49" t="s">
        <v>578</v>
      </c>
      <c r="C1527" s="49" t="s">
        <v>449</v>
      </c>
      <c r="D1527">
        <v>99</v>
      </c>
      <c r="E1527" s="49" t="s">
        <v>378</v>
      </c>
    </row>
    <row r="1528" spans="1:5" x14ac:dyDescent="0.3">
      <c r="A1528" s="49" t="s">
        <v>1005</v>
      </c>
      <c r="B1528" s="49" t="s">
        <v>578</v>
      </c>
      <c r="C1528" s="49" t="s">
        <v>449</v>
      </c>
      <c r="D1528">
        <v>98</v>
      </c>
      <c r="E1528" s="49" t="s">
        <v>378</v>
      </c>
    </row>
    <row r="1529" spans="1:5" x14ac:dyDescent="0.3">
      <c r="A1529" s="49" t="s">
        <v>1005</v>
      </c>
      <c r="B1529" s="49" t="s">
        <v>578</v>
      </c>
      <c r="C1529" s="49" t="s">
        <v>449</v>
      </c>
      <c r="D1529">
        <v>99</v>
      </c>
      <c r="E1529" s="49" t="s">
        <v>378</v>
      </c>
    </row>
    <row r="1530" spans="1:5" x14ac:dyDescent="0.3">
      <c r="A1530" s="49" t="s">
        <v>1006</v>
      </c>
      <c r="B1530" s="49" t="s">
        <v>578</v>
      </c>
      <c r="C1530" s="49" t="s">
        <v>449</v>
      </c>
      <c r="D1530">
        <v>98</v>
      </c>
      <c r="E1530" s="49" t="s">
        <v>378</v>
      </c>
    </row>
    <row r="1531" spans="1:5" x14ac:dyDescent="0.3">
      <c r="A1531" s="49" t="s">
        <v>1006</v>
      </c>
      <c r="B1531" s="49" t="s">
        <v>578</v>
      </c>
      <c r="C1531" s="49" t="s">
        <v>449</v>
      </c>
      <c r="D1531">
        <v>99</v>
      </c>
      <c r="E1531" s="49" t="s">
        <v>378</v>
      </c>
    </row>
    <row r="1532" spans="1:5" x14ac:dyDescent="0.3">
      <c r="A1532" s="49" t="s">
        <v>1007</v>
      </c>
      <c r="B1532" s="49" t="s">
        <v>578</v>
      </c>
      <c r="C1532" s="49" t="s">
        <v>449</v>
      </c>
      <c r="D1532">
        <v>98</v>
      </c>
      <c r="E1532" s="49" t="s">
        <v>378</v>
      </c>
    </row>
    <row r="1533" spans="1:5" x14ac:dyDescent="0.3">
      <c r="A1533" s="49" t="s">
        <v>1007</v>
      </c>
      <c r="B1533" s="49" t="s">
        <v>578</v>
      </c>
      <c r="C1533" s="49" t="s">
        <v>449</v>
      </c>
      <c r="D1533">
        <v>99</v>
      </c>
      <c r="E1533" s="49" t="s">
        <v>378</v>
      </c>
    </row>
    <row r="1534" spans="1:5" x14ac:dyDescent="0.3">
      <c r="A1534" s="49" t="s">
        <v>1008</v>
      </c>
      <c r="B1534" s="49" t="s">
        <v>578</v>
      </c>
      <c r="C1534" s="49" t="s">
        <v>449</v>
      </c>
      <c r="D1534">
        <v>98</v>
      </c>
      <c r="E1534" s="49" t="s">
        <v>378</v>
      </c>
    </row>
    <row r="1535" spans="1:5" x14ac:dyDescent="0.3">
      <c r="A1535" s="49" t="s">
        <v>1008</v>
      </c>
      <c r="B1535" s="49" t="s">
        <v>578</v>
      </c>
      <c r="C1535" s="49" t="s">
        <v>449</v>
      </c>
      <c r="D1535">
        <v>99</v>
      </c>
      <c r="E1535" s="49" t="s">
        <v>378</v>
      </c>
    </row>
    <row r="1536" spans="1:5" x14ac:dyDescent="0.3">
      <c r="A1536" s="49" t="s">
        <v>1009</v>
      </c>
      <c r="B1536" s="49" t="s">
        <v>578</v>
      </c>
      <c r="C1536" s="49" t="s">
        <v>449</v>
      </c>
      <c r="D1536">
        <v>98</v>
      </c>
      <c r="E1536" s="49" t="s">
        <v>378</v>
      </c>
    </row>
    <row r="1537" spans="1:5" x14ac:dyDescent="0.3">
      <c r="A1537" s="49" t="s">
        <v>1009</v>
      </c>
      <c r="B1537" s="49" t="s">
        <v>578</v>
      </c>
      <c r="C1537" s="49" t="s">
        <v>449</v>
      </c>
      <c r="D1537">
        <v>99</v>
      </c>
      <c r="E1537" s="49" t="s">
        <v>378</v>
      </c>
    </row>
    <row r="1538" spans="1:5" x14ac:dyDescent="0.3">
      <c r="A1538" s="49" t="s">
        <v>1010</v>
      </c>
      <c r="B1538" s="49" t="s">
        <v>578</v>
      </c>
      <c r="C1538" s="49" t="s">
        <v>449</v>
      </c>
      <c r="D1538">
        <v>98</v>
      </c>
      <c r="E1538" s="49" t="s">
        <v>378</v>
      </c>
    </row>
    <row r="1539" spans="1:5" x14ac:dyDescent="0.3">
      <c r="A1539" s="49" t="s">
        <v>1010</v>
      </c>
      <c r="B1539" s="49" t="s">
        <v>578</v>
      </c>
      <c r="C1539" s="49" t="s">
        <v>449</v>
      </c>
      <c r="D1539">
        <v>99</v>
      </c>
      <c r="E1539" s="49" t="s">
        <v>378</v>
      </c>
    </row>
    <row r="1540" spans="1:5" x14ac:dyDescent="0.3">
      <c r="A1540" s="49" t="s">
        <v>1011</v>
      </c>
      <c r="B1540" s="49" t="s">
        <v>578</v>
      </c>
      <c r="C1540" s="49" t="s">
        <v>449</v>
      </c>
      <c r="D1540">
        <v>98</v>
      </c>
      <c r="E1540" s="49" t="s">
        <v>378</v>
      </c>
    </row>
    <row r="1541" spans="1:5" x14ac:dyDescent="0.3">
      <c r="A1541" s="49" t="s">
        <v>1011</v>
      </c>
      <c r="B1541" s="49" t="s">
        <v>578</v>
      </c>
      <c r="C1541" s="49" t="s">
        <v>449</v>
      </c>
      <c r="D1541">
        <v>99</v>
      </c>
      <c r="E1541" s="49" t="s">
        <v>378</v>
      </c>
    </row>
    <row r="1542" spans="1:5" x14ac:dyDescent="0.3">
      <c r="A1542" s="49" t="s">
        <v>1012</v>
      </c>
      <c r="B1542" s="49" t="s">
        <v>578</v>
      </c>
      <c r="C1542" s="49" t="s">
        <v>449</v>
      </c>
      <c r="D1542">
        <v>98</v>
      </c>
      <c r="E1542" s="49" t="s">
        <v>378</v>
      </c>
    </row>
    <row r="1543" spans="1:5" x14ac:dyDescent="0.3">
      <c r="A1543" s="49" t="s">
        <v>1012</v>
      </c>
      <c r="B1543" s="49" t="s">
        <v>578</v>
      </c>
      <c r="C1543" s="49" t="s">
        <v>449</v>
      </c>
      <c r="D1543">
        <v>99</v>
      </c>
      <c r="E1543" s="49" t="s">
        <v>378</v>
      </c>
    </row>
    <row r="1544" spans="1:5" x14ac:dyDescent="0.3">
      <c r="A1544" s="49" t="s">
        <v>1013</v>
      </c>
      <c r="B1544" s="49" t="s">
        <v>578</v>
      </c>
      <c r="C1544" s="49" t="s">
        <v>449</v>
      </c>
      <c r="D1544">
        <v>98</v>
      </c>
      <c r="E1544" s="49" t="s">
        <v>378</v>
      </c>
    </row>
    <row r="1545" spans="1:5" x14ac:dyDescent="0.3">
      <c r="A1545" s="49" t="s">
        <v>1013</v>
      </c>
      <c r="B1545" s="49" t="s">
        <v>578</v>
      </c>
      <c r="C1545" s="49" t="s">
        <v>449</v>
      </c>
      <c r="D1545">
        <v>99</v>
      </c>
      <c r="E1545" s="49" t="s">
        <v>378</v>
      </c>
    </row>
    <row r="1546" spans="1:5" x14ac:dyDescent="0.3">
      <c r="A1546" s="49" t="s">
        <v>1014</v>
      </c>
      <c r="B1546" s="49" t="s">
        <v>578</v>
      </c>
      <c r="C1546" s="49" t="s">
        <v>449</v>
      </c>
      <c r="D1546">
        <v>98</v>
      </c>
      <c r="E1546" s="49" t="s">
        <v>378</v>
      </c>
    </row>
    <row r="1547" spans="1:5" x14ac:dyDescent="0.3">
      <c r="A1547" s="49" t="s">
        <v>1014</v>
      </c>
      <c r="B1547" s="49" t="s">
        <v>578</v>
      </c>
      <c r="C1547" s="49" t="s">
        <v>449</v>
      </c>
      <c r="D1547">
        <v>99</v>
      </c>
      <c r="E1547" s="49" t="s">
        <v>378</v>
      </c>
    </row>
    <row r="1548" spans="1:5" x14ac:dyDescent="0.3">
      <c r="A1548" s="49" t="s">
        <v>1015</v>
      </c>
      <c r="B1548" s="49" t="s">
        <v>578</v>
      </c>
      <c r="C1548" s="49" t="s">
        <v>449</v>
      </c>
      <c r="D1548">
        <v>98</v>
      </c>
      <c r="E1548" s="49" t="s">
        <v>378</v>
      </c>
    </row>
    <row r="1549" spans="1:5" x14ac:dyDescent="0.3">
      <c r="A1549" s="49" t="s">
        <v>1015</v>
      </c>
      <c r="B1549" s="49" t="s">
        <v>578</v>
      </c>
      <c r="C1549" s="49" t="s">
        <v>449</v>
      </c>
      <c r="D1549">
        <v>99</v>
      </c>
      <c r="E1549" s="49" t="s">
        <v>378</v>
      </c>
    </row>
    <row r="1550" spans="1:5" x14ac:dyDescent="0.3">
      <c r="A1550" s="49" t="s">
        <v>1016</v>
      </c>
      <c r="B1550" s="49" t="s">
        <v>578</v>
      </c>
      <c r="C1550" s="49" t="s">
        <v>449</v>
      </c>
      <c r="D1550">
        <v>98</v>
      </c>
      <c r="E1550" s="49" t="s">
        <v>378</v>
      </c>
    </row>
    <row r="1551" spans="1:5" x14ac:dyDescent="0.3">
      <c r="A1551" s="49" t="s">
        <v>1016</v>
      </c>
      <c r="B1551" s="49" t="s">
        <v>578</v>
      </c>
      <c r="C1551" s="49" t="s">
        <v>449</v>
      </c>
      <c r="D1551">
        <v>99</v>
      </c>
      <c r="E1551" s="49" t="s">
        <v>378</v>
      </c>
    </row>
    <row r="1552" spans="1:5" x14ac:dyDescent="0.3">
      <c r="A1552" s="49" t="s">
        <v>1017</v>
      </c>
      <c r="B1552" s="49" t="s">
        <v>578</v>
      </c>
      <c r="C1552" s="49" t="s">
        <v>449</v>
      </c>
      <c r="D1552">
        <v>98</v>
      </c>
      <c r="E1552" s="49" t="s">
        <v>378</v>
      </c>
    </row>
    <row r="1553" spans="1:5" x14ac:dyDescent="0.3">
      <c r="A1553" s="49" t="s">
        <v>1017</v>
      </c>
      <c r="B1553" s="49" t="s">
        <v>578</v>
      </c>
      <c r="C1553" s="49" t="s">
        <v>449</v>
      </c>
      <c r="D1553">
        <v>99</v>
      </c>
      <c r="E1553" s="49" t="s">
        <v>378</v>
      </c>
    </row>
    <row r="1554" spans="1:5" x14ac:dyDescent="0.3">
      <c r="A1554" s="49" t="s">
        <v>1018</v>
      </c>
      <c r="B1554" s="49" t="s">
        <v>578</v>
      </c>
      <c r="C1554" s="49" t="s">
        <v>449</v>
      </c>
      <c r="D1554">
        <v>98</v>
      </c>
      <c r="E1554" s="49" t="s">
        <v>378</v>
      </c>
    </row>
    <row r="1555" spans="1:5" x14ac:dyDescent="0.3">
      <c r="A1555" s="49" t="s">
        <v>1018</v>
      </c>
      <c r="B1555" s="49" t="s">
        <v>578</v>
      </c>
      <c r="C1555" s="49" t="s">
        <v>449</v>
      </c>
      <c r="D1555">
        <v>99</v>
      </c>
      <c r="E1555" s="49" t="s">
        <v>378</v>
      </c>
    </row>
    <row r="1556" spans="1:5" x14ac:dyDescent="0.3">
      <c r="A1556" s="49" t="s">
        <v>1019</v>
      </c>
      <c r="B1556" s="49" t="s">
        <v>578</v>
      </c>
      <c r="C1556" s="49" t="s">
        <v>449</v>
      </c>
      <c r="D1556">
        <v>98</v>
      </c>
      <c r="E1556" s="49" t="s">
        <v>378</v>
      </c>
    </row>
    <row r="1557" spans="1:5" x14ac:dyDescent="0.3">
      <c r="A1557" s="49" t="s">
        <v>1019</v>
      </c>
      <c r="B1557" s="49" t="s">
        <v>578</v>
      </c>
      <c r="C1557" s="49" t="s">
        <v>449</v>
      </c>
      <c r="D1557">
        <v>99</v>
      </c>
      <c r="E1557" s="49" t="s">
        <v>378</v>
      </c>
    </row>
    <row r="1558" spans="1:5" x14ac:dyDescent="0.3">
      <c r="A1558" s="49" t="s">
        <v>1020</v>
      </c>
      <c r="B1558" s="49" t="s">
        <v>578</v>
      </c>
      <c r="C1558" s="49" t="s">
        <v>449</v>
      </c>
      <c r="D1558">
        <v>98</v>
      </c>
      <c r="E1558" s="49" t="s">
        <v>378</v>
      </c>
    </row>
    <row r="1559" spans="1:5" x14ac:dyDescent="0.3">
      <c r="A1559" s="49" t="s">
        <v>1020</v>
      </c>
      <c r="B1559" s="49" t="s">
        <v>578</v>
      </c>
      <c r="C1559" s="49" t="s">
        <v>449</v>
      </c>
      <c r="D1559">
        <v>99</v>
      </c>
      <c r="E1559" s="49" t="s">
        <v>378</v>
      </c>
    </row>
    <row r="1560" spans="1:5" x14ac:dyDescent="0.3">
      <c r="A1560" s="49" t="s">
        <v>1021</v>
      </c>
      <c r="B1560" s="49" t="s">
        <v>578</v>
      </c>
      <c r="C1560" s="49" t="s">
        <v>449</v>
      </c>
      <c r="D1560">
        <v>98</v>
      </c>
      <c r="E1560" s="49" t="s">
        <v>378</v>
      </c>
    </row>
    <row r="1561" spans="1:5" x14ac:dyDescent="0.3">
      <c r="A1561" s="49" t="s">
        <v>1021</v>
      </c>
      <c r="B1561" s="49" t="s">
        <v>578</v>
      </c>
      <c r="C1561" s="49" t="s">
        <v>449</v>
      </c>
      <c r="D1561">
        <v>99</v>
      </c>
      <c r="E1561" s="49" t="s">
        <v>378</v>
      </c>
    </row>
    <row r="1562" spans="1:5" x14ac:dyDescent="0.3">
      <c r="A1562" s="49" t="s">
        <v>1022</v>
      </c>
      <c r="B1562" s="49" t="s">
        <v>578</v>
      </c>
      <c r="C1562" s="49" t="s">
        <v>449</v>
      </c>
      <c r="D1562">
        <v>98</v>
      </c>
      <c r="E1562" s="49" t="s">
        <v>378</v>
      </c>
    </row>
    <row r="1563" spans="1:5" x14ac:dyDescent="0.3">
      <c r="A1563" s="49" t="s">
        <v>1022</v>
      </c>
      <c r="B1563" s="49" t="s">
        <v>578</v>
      </c>
      <c r="C1563" s="49" t="s">
        <v>449</v>
      </c>
      <c r="D1563">
        <v>99</v>
      </c>
      <c r="E1563" s="49" t="s">
        <v>378</v>
      </c>
    </row>
    <row r="1564" spans="1:5" x14ac:dyDescent="0.3">
      <c r="A1564" s="49" t="s">
        <v>1023</v>
      </c>
      <c r="B1564" s="49" t="s">
        <v>578</v>
      </c>
      <c r="C1564" s="49" t="s">
        <v>449</v>
      </c>
      <c r="D1564">
        <v>98</v>
      </c>
      <c r="E1564" s="49" t="s">
        <v>378</v>
      </c>
    </row>
    <row r="1565" spans="1:5" x14ac:dyDescent="0.3">
      <c r="A1565" s="49" t="s">
        <v>1023</v>
      </c>
      <c r="B1565" s="49" t="s">
        <v>578</v>
      </c>
      <c r="C1565" s="49" t="s">
        <v>449</v>
      </c>
      <c r="D1565">
        <v>99</v>
      </c>
      <c r="E1565" s="49" t="s">
        <v>378</v>
      </c>
    </row>
    <row r="1566" spans="1:5" x14ac:dyDescent="0.3">
      <c r="A1566" s="49" t="s">
        <v>1024</v>
      </c>
      <c r="B1566" s="49" t="s">
        <v>578</v>
      </c>
      <c r="C1566" s="49" t="s">
        <v>449</v>
      </c>
      <c r="D1566">
        <v>98</v>
      </c>
      <c r="E1566" s="49" t="s">
        <v>378</v>
      </c>
    </row>
    <row r="1567" spans="1:5" x14ac:dyDescent="0.3">
      <c r="A1567" s="49" t="s">
        <v>1024</v>
      </c>
      <c r="B1567" s="49" t="s">
        <v>578</v>
      </c>
      <c r="C1567" s="49" t="s">
        <v>449</v>
      </c>
      <c r="D1567">
        <v>99</v>
      </c>
      <c r="E1567" s="49" t="s">
        <v>378</v>
      </c>
    </row>
    <row r="1568" spans="1:5" x14ac:dyDescent="0.3">
      <c r="A1568" s="49" t="s">
        <v>1025</v>
      </c>
      <c r="B1568" s="49" t="s">
        <v>578</v>
      </c>
      <c r="C1568" s="49" t="s">
        <v>449</v>
      </c>
      <c r="D1568">
        <v>98</v>
      </c>
      <c r="E1568" s="49" t="s">
        <v>378</v>
      </c>
    </row>
    <row r="1569" spans="1:5" x14ac:dyDescent="0.3">
      <c r="A1569" s="49" t="s">
        <v>1025</v>
      </c>
      <c r="B1569" s="49" t="s">
        <v>578</v>
      </c>
      <c r="C1569" s="49" t="s">
        <v>449</v>
      </c>
      <c r="D1569">
        <v>99</v>
      </c>
      <c r="E1569" s="49" t="s">
        <v>378</v>
      </c>
    </row>
    <row r="1570" spans="1:5" x14ac:dyDescent="0.3">
      <c r="A1570" s="49" t="s">
        <v>1026</v>
      </c>
      <c r="B1570" s="49" t="s">
        <v>578</v>
      </c>
      <c r="C1570" s="49" t="s">
        <v>449</v>
      </c>
      <c r="D1570">
        <v>98</v>
      </c>
      <c r="E1570" s="49" t="s">
        <v>378</v>
      </c>
    </row>
    <row r="1571" spans="1:5" x14ac:dyDescent="0.3">
      <c r="A1571" s="49" t="s">
        <v>1026</v>
      </c>
      <c r="B1571" s="49" t="s">
        <v>578</v>
      </c>
      <c r="C1571" s="49" t="s">
        <v>449</v>
      </c>
      <c r="D1571">
        <v>99</v>
      </c>
      <c r="E1571" s="49" t="s">
        <v>378</v>
      </c>
    </row>
    <row r="1572" spans="1:5" x14ac:dyDescent="0.3">
      <c r="A1572" s="49" t="s">
        <v>1027</v>
      </c>
      <c r="B1572" s="49" t="s">
        <v>578</v>
      </c>
      <c r="C1572" s="49" t="s">
        <v>449</v>
      </c>
      <c r="D1572">
        <v>98</v>
      </c>
      <c r="E1572" s="49" t="s">
        <v>378</v>
      </c>
    </row>
    <row r="1573" spans="1:5" x14ac:dyDescent="0.3">
      <c r="A1573" s="49" t="s">
        <v>1027</v>
      </c>
      <c r="B1573" s="49" t="s">
        <v>578</v>
      </c>
      <c r="C1573" s="49" t="s">
        <v>449</v>
      </c>
      <c r="D1573">
        <v>99</v>
      </c>
      <c r="E1573" s="49" t="s">
        <v>378</v>
      </c>
    </row>
    <row r="1574" spans="1:5" x14ac:dyDescent="0.3">
      <c r="A1574" s="49" t="s">
        <v>1028</v>
      </c>
      <c r="B1574" s="49" t="s">
        <v>578</v>
      </c>
      <c r="C1574" s="49" t="s">
        <v>449</v>
      </c>
      <c r="D1574">
        <v>98</v>
      </c>
      <c r="E1574" s="49" t="s">
        <v>378</v>
      </c>
    </row>
    <row r="1575" spans="1:5" x14ac:dyDescent="0.3">
      <c r="A1575" s="49" t="s">
        <v>1028</v>
      </c>
      <c r="B1575" s="49" t="s">
        <v>578</v>
      </c>
      <c r="C1575" s="49" t="s">
        <v>449</v>
      </c>
      <c r="D1575">
        <v>99</v>
      </c>
      <c r="E1575" s="49" t="s">
        <v>378</v>
      </c>
    </row>
    <row r="1576" spans="1:5" x14ac:dyDescent="0.3">
      <c r="A1576" s="49" t="s">
        <v>1029</v>
      </c>
      <c r="B1576" s="49" t="s">
        <v>578</v>
      </c>
      <c r="C1576" s="49" t="s">
        <v>449</v>
      </c>
      <c r="D1576">
        <v>98</v>
      </c>
      <c r="E1576" s="49" t="s">
        <v>378</v>
      </c>
    </row>
    <row r="1577" spans="1:5" x14ac:dyDescent="0.3">
      <c r="A1577" s="49" t="s">
        <v>1029</v>
      </c>
      <c r="B1577" s="49" t="s">
        <v>578</v>
      </c>
      <c r="C1577" s="49" t="s">
        <v>449</v>
      </c>
      <c r="D1577">
        <v>99</v>
      </c>
      <c r="E1577" s="49" t="s">
        <v>378</v>
      </c>
    </row>
    <row r="1578" spans="1:5" x14ac:dyDescent="0.3">
      <c r="A1578" s="49" t="s">
        <v>1030</v>
      </c>
      <c r="B1578" s="49" t="s">
        <v>578</v>
      </c>
      <c r="C1578" s="49" t="s">
        <v>449</v>
      </c>
      <c r="D1578">
        <v>98</v>
      </c>
      <c r="E1578" s="49" t="s">
        <v>378</v>
      </c>
    </row>
    <row r="1579" spans="1:5" x14ac:dyDescent="0.3">
      <c r="A1579" s="49" t="s">
        <v>1030</v>
      </c>
      <c r="B1579" s="49" t="s">
        <v>578</v>
      </c>
      <c r="C1579" s="49" t="s">
        <v>449</v>
      </c>
      <c r="D1579">
        <v>99</v>
      </c>
      <c r="E1579" s="49" t="s">
        <v>378</v>
      </c>
    </row>
    <row r="1580" spans="1:5" x14ac:dyDescent="0.3">
      <c r="A1580" s="49" t="s">
        <v>1031</v>
      </c>
      <c r="B1580" s="49" t="s">
        <v>578</v>
      </c>
      <c r="C1580" s="49" t="s">
        <v>449</v>
      </c>
      <c r="D1580">
        <v>98</v>
      </c>
      <c r="E1580" s="49" t="s">
        <v>378</v>
      </c>
    </row>
    <row r="1581" spans="1:5" x14ac:dyDescent="0.3">
      <c r="A1581" s="49" t="s">
        <v>1031</v>
      </c>
      <c r="B1581" s="49" t="s">
        <v>578</v>
      </c>
      <c r="C1581" s="49" t="s">
        <v>449</v>
      </c>
      <c r="D1581">
        <v>99</v>
      </c>
      <c r="E1581" s="49" t="s">
        <v>378</v>
      </c>
    </row>
    <row r="1582" spans="1:5" x14ac:dyDescent="0.3">
      <c r="A1582" s="49" t="s">
        <v>1032</v>
      </c>
      <c r="B1582" s="49" t="s">
        <v>578</v>
      </c>
      <c r="C1582" s="49" t="s">
        <v>449</v>
      </c>
      <c r="D1582">
        <v>98</v>
      </c>
      <c r="E1582" s="49" t="s">
        <v>378</v>
      </c>
    </row>
    <row r="1583" spans="1:5" x14ac:dyDescent="0.3">
      <c r="A1583" s="49" t="s">
        <v>1032</v>
      </c>
      <c r="B1583" s="49" t="s">
        <v>578</v>
      </c>
      <c r="C1583" s="49" t="s">
        <v>449</v>
      </c>
      <c r="D1583">
        <v>99</v>
      </c>
      <c r="E1583" s="49" t="s">
        <v>378</v>
      </c>
    </row>
    <row r="1584" spans="1:5" x14ac:dyDescent="0.3">
      <c r="A1584" s="49" t="s">
        <v>1033</v>
      </c>
      <c r="B1584" s="49" t="s">
        <v>578</v>
      </c>
      <c r="C1584" s="49" t="s">
        <v>449</v>
      </c>
      <c r="D1584">
        <v>98</v>
      </c>
      <c r="E1584" s="49" t="s">
        <v>378</v>
      </c>
    </row>
    <row r="1585" spans="1:5" x14ac:dyDescent="0.3">
      <c r="A1585" s="49" t="s">
        <v>1033</v>
      </c>
      <c r="B1585" s="49" t="s">
        <v>578</v>
      </c>
      <c r="C1585" s="49" t="s">
        <v>449</v>
      </c>
      <c r="D1585">
        <v>99</v>
      </c>
      <c r="E1585" s="49" t="s">
        <v>378</v>
      </c>
    </row>
    <row r="1586" spans="1:5" x14ac:dyDescent="0.3">
      <c r="A1586" s="49" t="s">
        <v>1034</v>
      </c>
      <c r="B1586" s="49" t="s">
        <v>578</v>
      </c>
      <c r="C1586" s="49" t="s">
        <v>449</v>
      </c>
      <c r="D1586">
        <v>98</v>
      </c>
      <c r="E1586" s="49" t="s">
        <v>378</v>
      </c>
    </row>
    <row r="1587" spans="1:5" x14ac:dyDescent="0.3">
      <c r="A1587" s="49" t="s">
        <v>1034</v>
      </c>
      <c r="B1587" s="49" t="s">
        <v>578</v>
      </c>
      <c r="C1587" s="49" t="s">
        <v>449</v>
      </c>
      <c r="D1587">
        <v>99</v>
      </c>
      <c r="E1587" s="49" t="s">
        <v>378</v>
      </c>
    </row>
    <row r="1588" spans="1:5" x14ac:dyDescent="0.3">
      <c r="A1588" s="49" t="s">
        <v>1035</v>
      </c>
      <c r="B1588" s="49" t="s">
        <v>578</v>
      </c>
      <c r="C1588" s="49" t="s">
        <v>449</v>
      </c>
      <c r="D1588">
        <v>98</v>
      </c>
      <c r="E1588" s="49" t="s">
        <v>378</v>
      </c>
    </row>
    <row r="1589" spans="1:5" x14ac:dyDescent="0.3">
      <c r="A1589" s="49" t="s">
        <v>1035</v>
      </c>
      <c r="B1589" s="49" t="s">
        <v>578</v>
      </c>
      <c r="C1589" s="49" t="s">
        <v>449</v>
      </c>
      <c r="D1589">
        <v>99</v>
      </c>
      <c r="E1589" s="49" t="s">
        <v>378</v>
      </c>
    </row>
    <row r="1590" spans="1:5" x14ac:dyDescent="0.3">
      <c r="A1590" s="49" t="s">
        <v>1036</v>
      </c>
      <c r="B1590" s="49" t="s">
        <v>578</v>
      </c>
      <c r="C1590" s="49" t="s">
        <v>449</v>
      </c>
      <c r="D1590">
        <v>98</v>
      </c>
      <c r="E1590" s="49" t="s">
        <v>378</v>
      </c>
    </row>
    <row r="1591" spans="1:5" x14ac:dyDescent="0.3">
      <c r="A1591" s="49" t="s">
        <v>1036</v>
      </c>
      <c r="B1591" s="49" t="s">
        <v>578</v>
      </c>
      <c r="C1591" s="49" t="s">
        <v>449</v>
      </c>
      <c r="D1591">
        <v>99</v>
      </c>
      <c r="E1591" s="49" t="s">
        <v>378</v>
      </c>
    </row>
    <row r="1592" spans="1:5" x14ac:dyDescent="0.3">
      <c r="A1592" s="49" t="s">
        <v>1037</v>
      </c>
      <c r="B1592" s="49" t="s">
        <v>578</v>
      </c>
      <c r="C1592" s="49" t="s">
        <v>449</v>
      </c>
      <c r="D1592">
        <v>98</v>
      </c>
      <c r="E1592" s="49" t="s">
        <v>378</v>
      </c>
    </row>
    <row r="1593" spans="1:5" x14ac:dyDescent="0.3">
      <c r="A1593" s="49" t="s">
        <v>1037</v>
      </c>
      <c r="B1593" s="49" t="s">
        <v>578</v>
      </c>
      <c r="C1593" s="49" t="s">
        <v>449</v>
      </c>
      <c r="D1593">
        <v>99</v>
      </c>
      <c r="E1593" s="49" t="s">
        <v>378</v>
      </c>
    </row>
    <row r="1594" spans="1:5" x14ac:dyDescent="0.3">
      <c r="A1594" s="49" t="s">
        <v>1038</v>
      </c>
      <c r="B1594" s="49" t="s">
        <v>578</v>
      </c>
      <c r="C1594" s="49" t="s">
        <v>449</v>
      </c>
      <c r="D1594">
        <v>98</v>
      </c>
      <c r="E1594" s="49" t="s">
        <v>378</v>
      </c>
    </row>
    <row r="1595" spans="1:5" x14ac:dyDescent="0.3">
      <c r="A1595" s="49" t="s">
        <v>1038</v>
      </c>
      <c r="B1595" s="49" t="s">
        <v>578</v>
      </c>
      <c r="C1595" s="49" t="s">
        <v>449</v>
      </c>
      <c r="D1595">
        <v>99</v>
      </c>
      <c r="E1595" s="49" t="s">
        <v>378</v>
      </c>
    </row>
    <row r="1596" spans="1:5" x14ac:dyDescent="0.3">
      <c r="A1596" s="49" t="s">
        <v>1039</v>
      </c>
      <c r="B1596" s="49" t="s">
        <v>578</v>
      </c>
      <c r="C1596" s="49" t="s">
        <v>449</v>
      </c>
      <c r="D1596">
        <v>98</v>
      </c>
      <c r="E1596" s="49" t="s">
        <v>378</v>
      </c>
    </row>
    <row r="1597" spans="1:5" x14ac:dyDescent="0.3">
      <c r="A1597" s="49" t="s">
        <v>1039</v>
      </c>
      <c r="B1597" s="49" t="s">
        <v>578</v>
      </c>
      <c r="C1597" s="49" t="s">
        <v>449</v>
      </c>
      <c r="D1597">
        <v>99</v>
      </c>
      <c r="E1597" s="49" t="s">
        <v>378</v>
      </c>
    </row>
    <row r="1598" spans="1:5" x14ac:dyDescent="0.3">
      <c r="A1598" s="49" t="s">
        <v>1040</v>
      </c>
      <c r="B1598" s="49" t="s">
        <v>578</v>
      </c>
      <c r="C1598" s="49" t="s">
        <v>449</v>
      </c>
      <c r="D1598">
        <v>98</v>
      </c>
      <c r="E1598" s="49" t="s">
        <v>378</v>
      </c>
    </row>
    <row r="1599" spans="1:5" x14ac:dyDescent="0.3">
      <c r="A1599" s="49" t="s">
        <v>1040</v>
      </c>
      <c r="B1599" s="49" t="s">
        <v>578</v>
      </c>
      <c r="C1599" s="49" t="s">
        <v>449</v>
      </c>
      <c r="D1599">
        <v>99</v>
      </c>
      <c r="E1599" s="49" t="s">
        <v>378</v>
      </c>
    </row>
    <row r="1600" spans="1:5" x14ac:dyDescent="0.3">
      <c r="A1600" s="49" t="s">
        <v>1041</v>
      </c>
      <c r="B1600" s="49" t="s">
        <v>578</v>
      </c>
      <c r="C1600" s="49" t="s">
        <v>449</v>
      </c>
      <c r="D1600">
        <v>98</v>
      </c>
      <c r="E1600" s="49" t="s">
        <v>378</v>
      </c>
    </row>
    <row r="1601" spans="1:5" x14ac:dyDescent="0.3">
      <c r="A1601" s="49" t="s">
        <v>1041</v>
      </c>
      <c r="B1601" s="49" t="s">
        <v>578</v>
      </c>
      <c r="C1601" s="49" t="s">
        <v>449</v>
      </c>
      <c r="D1601">
        <v>99</v>
      </c>
      <c r="E1601" s="49" t="s">
        <v>378</v>
      </c>
    </row>
    <row r="1602" spans="1:5" x14ac:dyDescent="0.3">
      <c r="A1602" s="49" t="s">
        <v>1042</v>
      </c>
      <c r="B1602" s="49" t="s">
        <v>578</v>
      </c>
      <c r="C1602" s="49" t="s">
        <v>449</v>
      </c>
      <c r="D1602">
        <v>98</v>
      </c>
      <c r="E1602" s="49" t="s">
        <v>378</v>
      </c>
    </row>
    <row r="1603" spans="1:5" x14ac:dyDescent="0.3">
      <c r="A1603" s="49" t="s">
        <v>1042</v>
      </c>
      <c r="B1603" s="49" t="s">
        <v>578</v>
      </c>
      <c r="C1603" s="49" t="s">
        <v>449</v>
      </c>
      <c r="D1603">
        <v>99</v>
      </c>
      <c r="E1603" s="49" t="s">
        <v>378</v>
      </c>
    </row>
    <row r="1604" spans="1:5" x14ac:dyDescent="0.3">
      <c r="A1604" s="49" t="s">
        <v>1043</v>
      </c>
      <c r="B1604" s="49" t="s">
        <v>578</v>
      </c>
      <c r="C1604" s="49" t="s">
        <v>449</v>
      </c>
      <c r="D1604">
        <v>98</v>
      </c>
      <c r="E1604" s="49" t="s">
        <v>378</v>
      </c>
    </row>
    <row r="1605" spans="1:5" x14ac:dyDescent="0.3">
      <c r="A1605" s="49" t="s">
        <v>1043</v>
      </c>
      <c r="B1605" s="49" t="s">
        <v>578</v>
      </c>
      <c r="C1605" s="49" t="s">
        <v>449</v>
      </c>
      <c r="D1605">
        <v>99</v>
      </c>
      <c r="E1605" s="49" t="s">
        <v>378</v>
      </c>
    </row>
    <row r="1606" spans="1:5" x14ac:dyDescent="0.3">
      <c r="A1606" s="49" t="s">
        <v>1044</v>
      </c>
      <c r="B1606" s="49" t="s">
        <v>578</v>
      </c>
      <c r="C1606" s="49" t="s">
        <v>449</v>
      </c>
      <c r="D1606">
        <v>98</v>
      </c>
      <c r="E1606" s="49" t="s">
        <v>378</v>
      </c>
    </row>
    <row r="1607" spans="1:5" x14ac:dyDescent="0.3">
      <c r="A1607" s="49" t="s">
        <v>1044</v>
      </c>
      <c r="B1607" s="49" t="s">
        <v>578</v>
      </c>
      <c r="C1607" s="49" t="s">
        <v>449</v>
      </c>
      <c r="D1607">
        <v>99</v>
      </c>
      <c r="E1607" s="49" t="s">
        <v>378</v>
      </c>
    </row>
    <row r="1608" spans="1:5" x14ac:dyDescent="0.3">
      <c r="A1608" s="49" t="s">
        <v>1045</v>
      </c>
      <c r="B1608" s="49" t="s">
        <v>578</v>
      </c>
      <c r="C1608" s="49" t="s">
        <v>449</v>
      </c>
      <c r="D1608">
        <v>98</v>
      </c>
      <c r="E1608" s="49" t="s">
        <v>378</v>
      </c>
    </row>
    <row r="1609" spans="1:5" x14ac:dyDescent="0.3">
      <c r="A1609" s="49" t="s">
        <v>1045</v>
      </c>
      <c r="B1609" s="49" t="s">
        <v>578</v>
      </c>
      <c r="C1609" s="49" t="s">
        <v>449</v>
      </c>
      <c r="D1609">
        <v>99</v>
      </c>
      <c r="E1609" s="49" t="s">
        <v>378</v>
      </c>
    </row>
    <row r="1610" spans="1:5" x14ac:dyDescent="0.3">
      <c r="A1610" s="49" t="s">
        <v>1046</v>
      </c>
      <c r="B1610" s="49" t="s">
        <v>578</v>
      </c>
      <c r="C1610" s="49" t="s">
        <v>449</v>
      </c>
      <c r="D1610">
        <v>98</v>
      </c>
      <c r="E1610" s="49" t="s">
        <v>378</v>
      </c>
    </row>
    <row r="1611" spans="1:5" x14ac:dyDescent="0.3">
      <c r="A1611" s="49" t="s">
        <v>1046</v>
      </c>
      <c r="B1611" s="49" t="s">
        <v>578</v>
      </c>
      <c r="C1611" s="49" t="s">
        <v>449</v>
      </c>
      <c r="D1611">
        <v>99</v>
      </c>
      <c r="E1611" s="49" t="s">
        <v>378</v>
      </c>
    </row>
    <row r="1612" spans="1:5" x14ac:dyDescent="0.3">
      <c r="A1612" s="49" t="s">
        <v>1047</v>
      </c>
      <c r="B1612" s="49" t="s">
        <v>578</v>
      </c>
      <c r="C1612" s="49" t="s">
        <v>449</v>
      </c>
      <c r="D1612">
        <v>98</v>
      </c>
      <c r="E1612" s="49" t="s">
        <v>378</v>
      </c>
    </row>
    <row r="1613" spans="1:5" x14ac:dyDescent="0.3">
      <c r="A1613" s="49" t="s">
        <v>1047</v>
      </c>
      <c r="B1613" s="49" t="s">
        <v>578</v>
      </c>
      <c r="C1613" s="49" t="s">
        <v>449</v>
      </c>
      <c r="D1613">
        <v>99</v>
      </c>
      <c r="E1613" s="49" t="s">
        <v>378</v>
      </c>
    </row>
    <row r="1614" spans="1:5" x14ac:dyDescent="0.3">
      <c r="A1614" s="49" t="s">
        <v>1048</v>
      </c>
      <c r="B1614" s="49" t="s">
        <v>578</v>
      </c>
      <c r="C1614" s="49" t="s">
        <v>449</v>
      </c>
      <c r="D1614">
        <v>98</v>
      </c>
      <c r="E1614" s="49" t="s">
        <v>378</v>
      </c>
    </row>
    <row r="1615" spans="1:5" x14ac:dyDescent="0.3">
      <c r="A1615" s="49" t="s">
        <v>1048</v>
      </c>
      <c r="B1615" s="49" t="s">
        <v>578</v>
      </c>
      <c r="C1615" s="49" t="s">
        <v>449</v>
      </c>
      <c r="D1615">
        <v>99</v>
      </c>
      <c r="E1615" s="49" t="s">
        <v>378</v>
      </c>
    </row>
    <row r="1616" spans="1:5" x14ac:dyDescent="0.3">
      <c r="A1616" s="49" t="s">
        <v>1049</v>
      </c>
      <c r="B1616" s="49" t="s">
        <v>578</v>
      </c>
      <c r="C1616" s="49" t="s">
        <v>449</v>
      </c>
      <c r="D1616">
        <v>98</v>
      </c>
      <c r="E1616" s="49" t="s">
        <v>378</v>
      </c>
    </row>
    <row r="1617" spans="1:5" x14ac:dyDescent="0.3">
      <c r="A1617" s="49" t="s">
        <v>1049</v>
      </c>
      <c r="B1617" s="49" t="s">
        <v>578</v>
      </c>
      <c r="C1617" s="49" t="s">
        <v>449</v>
      </c>
      <c r="D1617">
        <v>99</v>
      </c>
      <c r="E1617" s="49" t="s">
        <v>378</v>
      </c>
    </row>
    <row r="1618" spans="1:5" x14ac:dyDescent="0.3">
      <c r="A1618" s="49" t="s">
        <v>1050</v>
      </c>
      <c r="B1618" s="49" t="s">
        <v>578</v>
      </c>
      <c r="C1618" s="49" t="s">
        <v>449</v>
      </c>
      <c r="D1618">
        <v>98</v>
      </c>
      <c r="E1618" s="49" t="s">
        <v>378</v>
      </c>
    </row>
    <row r="1619" spans="1:5" x14ac:dyDescent="0.3">
      <c r="A1619" s="49" t="s">
        <v>1050</v>
      </c>
      <c r="B1619" s="49" t="s">
        <v>578</v>
      </c>
      <c r="C1619" s="49" t="s">
        <v>449</v>
      </c>
      <c r="D1619">
        <v>99</v>
      </c>
      <c r="E1619" s="49" t="s">
        <v>378</v>
      </c>
    </row>
    <row r="1620" spans="1:5" x14ac:dyDescent="0.3">
      <c r="A1620" s="49" t="s">
        <v>1051</v>
      </c>
      <c r="B1620" s="49" t="s">
        <v>578</v>
      </c>
      <c r="C1620" s="49" t="s">
        <v>449</v>
      </c>
      <c r="D1620">
        <v>98</v>
      </c>
      <c r="E1620" s="49" t="s">
        <v>378</v>
      </c>
    </row>
    <row r="1621" spans="1:5" x14ac:dyDescent="0.3">
      <c r="A1621" s="49" t="s">
        <v>1051</v>
      </c>
      <c r="B1621" s="49" t="s">
        <v>578</v>
      </c>
      <c r="C1621" s="49" t="s">
        <v>449</v>
      </c>
      <c r="D1621">
        <v>99</v>
      </c>
      <c r="E1621" s="49" t="s">
        <v>378</v>
      </c>
    </row>
    <row r="1622" spans="1:5" x14ac:dyDescent="0.3">
      <c r="A1622" s="49" t="s">
        <v>1052</v>
      </c>
      <c r="B1622" s="49" t="s">
        <v>578</v>
      </c>
      <c r="C1622" s="49" t="s">
        <v>449</v>
      </c>
      <c r="D1622">
        <v>98</v>
      </c>
      <c r="E1622" s="49" t="s">
        <v>378</v>
      </c>
    </row>
    <row r="1623" spans="1:5" x14ac:dyDescent="0.3">
      <c r="A1623" s="49" t="s">
        <v>1052</v>
      </c>
      <c r="B1623" s="49" t="s">
        <v>578</v>
      </c>
      <c r="C1623" s="49" t="s">
        <v>449</v>
      </c>
      <c r="D1623">
        <v>99</v>
      </c>
      <c r="E1623" s="49" t="s">
        <v>378</v>
      </c>
    </row>
    <row r="1624" spans="1:5" x14ac:dyDescent="0.3">
      <c r="A1624" s="49" t="s">
        <v>1053</v>
      </c>
      <c r="B1624" s="49" t="s">
        <v>578</v>
      </c>
      <c r="C1624" s="49" t="s">
        <v>449</v>
      </c>
      <c r="D1624">
        <v>98</v>
      </c>
      <c r="E1624" s="49" t="s">
        <v>378</v>
      </c>
    </row>
    <row r="1625" spans="1:5" x14ac:dyDescent="0.3">
      <c r="A1625" s="49" t="s">
        <v>1053</v>
      </c>
      <c r="B1625" s="49" t="s">
        <v>578</v>
      </c>
      <c r="C1625" s="49" t="s">
        <v>449</v>
      </c>
      <c r="D1625">
        <v>99</v>
      </c>
      <c r="E1625" s="49" t="s">
        <v>378</v>
      </c>
    </row>
    <row r="1626" spans="1:5" x14ac:dyDescent="0.3">
      <c r="A1626" s="49" t="s">
        <v>1054</v>
      </c>
      <c r="B1626" s="49" t="s">
        <v>578</v>
      </c>
      <c r="C1626" s="49" t="s">
        <v>449</v>
      </c>
      <c r="D1626">
        <v>98</v>
      </c>
      <c r="E1626" s="49" t="s">
        <v>378</v>
      </c>
    </row>
    <row r="1627" spans="1:5" x14ac:dyDescent="0.3">
      <c r="A1627" s="49" t="s">
        <v>1054</v>
      </c>
      <c r="B1627" s="49" t="s">
        <v>578</v>
      </c>
      <c r="C1627" s="49" t="s">
        <v>449</v>
      </c>
      <c r="D1627">
        <v>99</v>
      </c>
      <c r="E1627" s="49" t="s">
        <v>378</v>
      </c>
    </row>
    <row r="1628" spans="1:5" x14ac:dyDescent="0.3">
      <c r="A1628" s="49" t="s">
        <v>1055</v>
      </c>
      <c r="B1628" s="49" t="s">
        <v>578</v>
      </c>
      <c r="C1628" s="49" t="s">
        <v>449</v>
      </c>
      <c r="D1628">
        <v>98</v>
      </c>
      <c r="E1628" s="49" t="s">
        <v>378</v>
      </c>
    </row>
    <row r="1629" spans="1:5" x14ac:dyDescent="0.3">
      <c r="A1629" s="49" t="s">
        <v>1055</v>
      </c>
      <c r="B1629" s="49" t="s">
        <v>578</v>
      </c>
      <c r="C1629" s="49" t="s">
        <v>449</v>
      </c>
      <c r="D1629">
        <v>99</v>
      </c>
      <c r="E1629" s="49" t="s">
        <v>378</v>
      </c>
    </row>
    <row r="1630" spans="1:5" x14ac:dyDescent="0.3">
      <c r="A1630" s="49" t="s">
        <v>1056</v>
      </c>
      <c r="B1630" s="49" t="s">
        <v>578</v>
      </c>
      <c r="C1630" s="49" t="s">
        <v>449</v>
      </c>
      <c r="D1630">
        <v>98</v>
      </c>
      <c r="E1630" s="49" t="s">
        <v>378</v>
      </c>
    </row>
    <row r="1631" spans="1:5" x14ac:dyDescent="0.3">
      <c r="A1631" s="49" t="s">
        <v>1056</v>
      </c>
      <c r="B1631" s="49" t="s">
        <v>578</v>
      </c>
      <c r="C1631" s="49" t="s">
        <v>449</v>
      </c>
      <c r="D1631">
        <v>99</v>
      </c>
      <c r="E1631" s="49" t="s">
        <v>378</v>
      </c>
    </row>
    <row r="1632" spans="1:5" x14ac:dyDescent="0.3">
      <c r="A1632" s="49" t="s">
        <v>1057</v>
      </c>
      <c r="B1632" s="49" t="s">
        <v>578</v>
      </c>
      <c r="C1632" s="49" t="s">
        <v>449</v>
      </c>
      <c r="D1632">
        <v>98</v>
      </c>
      <c r="E1632" s="49" t="s">
        <v>378</v>
      </c>
    </row>
    <row r="1633" spans="1:5" x14ac:dyDescent="0.3">
      <c r="A1633" s="49" t="s">
        <v>1057</v>
      </c>
      <c r="B1633" s="49" t="s">
        <v>578</v>
      </c>
      <c r="C1633" s="49" t="s">
        <v>449</v>
      </c>
      <c r="D1633">
        <v>99</v>
      </c>
      <c r="E1633" s="49" t="s">
        <v>378</v>
      </c>
    </row>
    <row r="1634" spans="1:5" x14ac:dyDescent="0.3">
      <c r="A1634" s="49" t="s">
        <v>1058</v>
      </c>
      <c r="B1634" s="49" t="s">
        <v>578</v>
      </c>
      <c r="C1634" s="49" t="s">
        <v>449</v>
      </c>
      <c r="D1634">
        <v>98</v>
      </c>
      <c r="E1634" s="49" t="s">
        <v>378</v>
      </c>
    </row>
    <row r="1635" spans="1:5" x14ac:dyDescent="0.3">
      <c r="A1635" s="49" t="s">
        <v>1058</v>
      </c>
      <c r="B1635" s="49" t="s">
        <v>578</v>
      </c>
      <c r="C1635" s="49" t="s">
        <v>449</v>
      </c>
      <c r="D1635">
        <v>99</v>
      </c>
      <c r="E1635" s="49" t="s">
        <v>378</v>
      </c>
    </row>
    <row r="1636" spans="1:5" x14ac:dyDescent="0.3">
      <c r="A1636" s="49" t="s">
        <v>1059</v>
      </c>
      <c r="B1636" s="49" t="s">
        <v>578</v>
      </c>
      <c r="C1636" s="49" t="s">
        <v>449</v>
      </c>
      <c r="D1636">
        <v>98</v>
      </c>
      <c r="E1636" s="49" t="s">
        <v>378</v>
      </c>
    </row>
    <row r="1637" spans="1:5" x14ac:dyDescent="0.3">
      <c r="A1637" s="49" t="s">
        <v>1059</v>
      </c>
      <c r="B1637" s="49" t="s">
        <v>578</v>
      </c>
      <c r="C1637" s="49" t="s">
        <v>449</v>
      </c>
      <c r="D1637">
        <v>99</v>
      </c>
      <c r="E1637" s="49" t="s">
        <v>378</v>
      </c>
    </row>
    <row r="1638" spans="1:5" x14ac:dyDescent="0.3">
      <c r="A1638" s="49" t="s">
        <v>1060</v>
      </c>
      <c r="B1638" s="49" t="s">
        <v>578</v>
      </c>
      <c r="C1638" s="49" t="s">
        <v>449</v>
      </c>
      <c r="D1638">
        <v>98</v>
      </c>
      <c r="E1638" s="49" t="s">
        <v>378</v>
      </c>
    </row>
    <row r="1639" spans="1:5" x14ac:dyDescent="0.3">
      <c r="A1639" s="49" t="s">
        <v>1060</v>
      </c>
      <c r="B1639" s="49" t="s">
        <v>578</v>
      </c>
      <c r="C1639" s="49" t="s">
        <v>449</v>
      </c>
      <c r="D1639">
        <v>99</v>
      </c>
      <c r="E1639" s="49" t="s">
        <v>378</v>
      </c>
    </row>
    <row r="1640" spans="1:5" x14ac:dyDescent="0.3">
      <c r="A1640" s="49" t="s">
        <v>1061</v>
      </c>
      <c r="B1640" s="49" t="s">
        <v>578</v>
      </c>
      <c r="C1640" s="49" t="s">
        <v>449</v>
      </c>
      <c r="D1640">
        <v>98</v>
      </c>
      <c r="E1640" s="49" t="s">
        <v>378</v>
      </c>
    </row>
    <row r="1641" spans="1:5" x14ac:dyDescent="0.3">
      <c r="A1641" s="49" t="s">
        <v>1061</v>
      </c>
      <c r="B1641" s="49" t="s">
        <v>578</v>
      </c>
      <c r="C1641" s="49" t="s">
        <v>449</v>
      </c>
      <c r="D1641">
        <v>99</v>
      </c>
      <c r="E1641" s="49" t="s">
        <v>378</v>
      </c>
    </row>
    <row r="1642" spans="1:5" x14ac:dyDescent="0.3">
      <c r="A1642" s="49" t="s">
        <v>1062</v>
      </c>
      <c r="B1642" s="49" t="s">
        <v>578</v>
      </c>
      <c r="C1642" s="49" t="s">
        <v>449</v>
      </c>
      <c r="D1642">
        <v>98</v>
      </c>
      <c r="E1642" s="49" t="s">
        <v>378</v>
      </c>
    </row>
    <row r="1643" spans="1:5" x14ac:dyDescent="0.3">
      <c r="A1643" s="49" t="s">
        <v>1062</v>
      </c>
      <c r="B1643" s="49" t="s">
        <v>578</v>
      </c>
      <c r="C1643" s="49" t="s">
        <v>449</v>
      </c>
      <c r="D1643">
        <v>99</v>
      </c>
      <c r="E1643" s="49" t="s">
        <v>378</v>
      </c>
    </row>
    <row r="1644" spans="1:5" x14ac:dyDescent="0.3">
      <c r="A1644" s="49" t="s">
        <v>1063</v>
      </c>
      <c r="B1644" s="49" t="s">
        <v>578</v>
      </c>
      <c r="C1644" s="49" t="s">
        <v>449</v>
      </c>
      <c r="D1644">
        <v>98</v>
      </c>
      <c r="E1644" s="49" t="s">
        <v>378</v>
      </c>
    </row>
    <row r="1645" spans="1:5" x14ac:dyDescent="0.3">
      <c r="A1645" s="49" t="s">
        <v>1063</v>
      </c>
      <c r="B1645" s="49" t="s">
        <v>578</v>
      </c>
      <c r="C1645" s="49" t="s">
        <v>449</v>
      </c>
      <c r="D1645">
        <v>99</v>
      </c>
      <c r="E1645" s="49" t="s">
        <v>378</v>
      </c>
    </row>
    <row r="1646" spans="1:5" x14ac:dyDescent="0.3">
      <c r="A1646" s="49" t="s">
        <v>1064</v>
      </c>
      <c r="B1646" s="49" t="s">
        <v>578</v>
      </c>
      <c r="C1646" s="49" t="s">
        <v>449</v>
      </c>
      <c r="D1646">
        <v>98</v>
      </c>
      <c r="E1646" s="49" t="s">
        <v>378</v>
      </c>
    </row>
    <row r="1647" spans="1:5" x14ac:dyDescent="0.3">
      <c r="A1647" s="49" t="s">
        <v>1064</v>
      </c>
      <c r="B1647" s="49" t="s">
        <v>578</v>
      </c>
      <c r="C1647" s="49" t="s">
        <v>449</v>
      </c>
      <c r="D1647">
        <v>99</v>
      </c>
      <c r="E1647" s="49" t="s">
        <v>378</v>
      </c>
    </row>
    <row r="1648" spans="1:5" x14ac:dyDescent="0.3">
      <c r="A1648" s="49" t="s">
        <v>1065</v>
      </c>
      <c r="B1648" s="49" t="s">
        <v>578</v>
      </c>
      <c r="C1648" s="49" t="s">
        <v>449</v>
      </c>
      <c r="D1648">
        <v>98</v>
      </c>
      <c r="E1648" s="49" t="s">
        <v>378</v>
      </c>
    </row>
    <row r="1649" spans="1:5" x14ac:dyDescent="0.3">
      <c r="A1649" s="49" t="s">
        <v>1065</v>
      </c>
      <c r="B1649" s="49" t="s">
        <v>578</v>
      </c>
      <c r="C1649" s="49" t="s">
        <v>449</v>
      </c>
      <c r="D1649">
        <v>99</v>
      </c>
      <c r="E1649" s="49" t="s">
        <v>378</v>
      </c>
    </row>
    <row r="1650" spans="1:5" x14ac:dyDescent="0.3">
      <c r="A1650" s="49" t="s">
        <v>1066</v>
      </c>
      <c r="B1650" s="49" t="s">
        <v>578</v>
      </c>
      <c r="C1650" s="49" t="s">
        <v>449</v>
      </c>
      <c r="D1650">
        <v>98</v>
      </c>
      <c r="E1650" s="49" t="s">
        <v>378</v>
      </c>
    </row>
    <row r="1651" spans="1:5" x14ac:dyDescent="0.3">
      <c r="A1651" s="49" t="s">
        <v>1066</v>
      </c>
      <c r="B1651" s="49" t="s">
        <v>578</v>
      </c>
      <c r="C1651" s="49" t="s">
        <v>449</v>
      </c>
      <c r="D1651">
        <v>99</v>
      </c>
      <c r="E1651" s="49" t="s">
        <v>378</v>
      </c>
    </row>
    <row r="1652" spans="1:5" x14ac:dyDescent="0.3">
      <c r="A1652" s="49" t="s">
        <v>1067</v>
      </c>
      <c r="B1652" s="49" t="s">
        <v>578</v>
      </c>
      <c r="C1652" s="49" t="s">
        <v>449</v>
      </c>
      <c r="D1652">
        <v>98</v>
      </c>
      <c r="E1652" s="49" t="s">
        <v>378</v>
      </c>
    </row>
    <row r="1653" spans="1:5" x14ac:dyDescent="0.3">
      <c r="A1653" s="49" t="s">
        <v>1067</v>
      </c>
      <c r="B1653" s="49" t="s">
        <v>578</v>
      </c>
      <c r="C1653" s="49" t="s">
        <v>449</v>
      </c>
      <c r="D1653">
        <v>99</v>
      </c>
      <c r="E1653" s="49" t="s">
        <v>378</v>
      </c>
    </row>
    <row r="1654" spans="1:5" x14ac:dyDescent="0.3">
      <c r="A1654" s="49" t="s">
        <v>1068</v>
      </c>
      <c r="B1654" s="49" t="s">
        <v>578</v>
      </c>
      <c r="C1654" s="49" t="s">
        <v>449</v>
      </c>
      <c r="D1654">
        <v>98</v>
      </c>
      <c r="E1654" s="49" t="s">
        <v>378</v>
      </c>
    </row>
    <row r="1655" spans="1:5" x14ac:dyDescent="0.3">
      <c r="A1655" s="49" t="s">
        <v>1068</v>
      </c>
      <c r="B1655" s="49" t="s">
        <v>578</v>
      </c>
      <c r="C1655" s="49" t="s">
        <v>449</v>
      </c>
      <c r="D1655">
        <v>99</v>
      </c>
      <c r="E1655" s="49" t="s">
        <v>378</v>
      </c>
    </row>
    <row r="1656" spans="1:5" x14ac:dyDescent="0.3">
      <c r="A1656" s="49" t="s">
        <v>1069</v>
      </c>
      <c r="B1656" s="49" t="s">
        <v>578</v>
      </c>
      <c r="C1656" s="49" t="s">
        <v>449</v>
      </c>
      <c r="D1656">
        <v>98</v>
      </c>
      <c r="E1656" s="49" t="s">
        <v>378</v>
      </c>
    </row>
    <row r="1657" spans="1:5" x14ac:dyDescent="0.3">
      <c r="A1657" s="49" t="s">
        <v>1069</v>
      </c>
      <c r="B1657" s="49" t="s">
        <v>578</v>
      </c>
      <c r="C1657" s="49" t="s">
        <v>449</v>
      </c>
      <c r="D1657">
        <v>99</v>
      </c>
      <c r="E1657" s="49" t="s">
        <v>378</v>
      </c>
    </row>
    <row r="1658" spans="1:5" x14ac:dyDescent="0.3">
      <c r="A1658" s="49" t="s">
        <v>1070</v>
      </c>
      <c r="B1658" s="49" t="s">
        <v>578</v>
      </c>
      <c r="C1658" s="49" t="s">
        <v>449</v>
      </c>
      <c r="D1658">
        <v>98</v>
      </c>
      <c r="E1658" s="49" t="s">
        <v>378</v>
      </c>
    </row>
    <row r="1659" spans="1:5" x14ac:dyDescent="0.3">
      <c r="A1659" s="49" t="s">
        <v>1070</v>
      </c>
      <c r="B1659" s="49" t="s">
        <v>578</v>
      </c>
      <c r="C1659" s="49" t="s">
        <v>449</v>
      </c>
      <c r="D1659">
        <v>99</v>
      </c>
      <c r="E1659" s="49" t="s">
        <v>378</v>
      </c>
    </row>
    <row r="1660" spans="1:5" x14ac:dyDescent="0.3">
      <c r="A1660" s="49" t="s">
        <v>1071</v>
      </c>
      <c r="B1660" s="49" t="s">
        <v>578</v>
      </c>
      <c r="C1660" s="49" t="s">
        <v>449</v>
      </c>
      <c r="D1660">
        <v>98</v>
      </c>
      <c r="E1660" s="49" t="s">
        <v>378</v>
      </c>
    </row>
    <row r="1661" spans="1:5" x14ac:dyDescent="0.3">
      <c r="A1661" s="49" t="s">
        <v>1071</v>
      </c>
      <c r="B1661" s="49" t="s">
        <v>578</v>
      </c>
      <c r="C1661" s="49" t="s">
        <v>449</v>
      </c>
      <c r="D1661">
        <v>99</v>
      </c>
      <c r="E1661" s="49" t="s">
        <v>378</v>
      </c>
    </row>
    <row r="1662" spans="1:5" x14ac:dyDescent="0.3">
      <c r="A1662" s="49" t="s">
        <v>1072</v>
      </c>
      <c r="B1662" s="49" t="s">
        <v>578</v>
      </c>
      <c r="C1662" s="49" t="s">
        <v>449</v>
      </c>
      <c r="D1662">
        <v>98</v>
      </c>
      <c r="E1662" s="49" t="s">
        <v>378</v>
      </c>
    </row>
    <row r="1663" spans="1:5" x14ac:dyDescent="0.3">
      <c r="A1663" s="49" t="s">
        <v>1072</v>
      </c>
      <c r="B1663" s="49" t="s">
        <v>578</v>
      </c>
      <c r="C1663" s="49" t="s">
        <v>449</v>
      </c>
      <c r="D1663">
        <v>99</v>
      </c>
      <c r="E1663" s="49" t="s">
        <v>378</v>
      </c>
    </row>
    <row r="1664" spans="1:5" x14ac:dyDescent="0.3">
      <c r="A1664" s="49" t="s">
        <v>1073</v>
      </c>
      <c r="B1664" s="49" t="s">
        <v>578</v>
      </c>
      <c r="C1664" s="49" t="s">
        <v>449</v>
      </c>
      <c r="D1664">
        <v>98</v>
      </c>
      <c r="E1664" s="49" t="s">
        <v>378</v>
      </c>
    </row>
    <row r="1665" spans="1:5" x14ac:dyDescent="0.3">
      <c r="A1665" s="49" t="s">
        <v>1073</v>
      </c>
      <c r="B1665" s="49" t="s">
        <v>578</v>
      </c>
      <c r="C1665" s="49" t="s">
        <v>449</v>
      </c>
      <c r="D1665">
        <v>99</v>
      </c>
      <c r="E1665" s="49" t="s">
        <v>378</v>
      </c>
    </row>
    <row r="1666" spans="1:5" x14ac:dyDescent="0.3">
      <c r="A1666" s="49" t="s">
        <v>1074</v>
      </c>
      <c r="B1666" s="49" t="s">
        <v>578</v>
      </c>
      <c r="C1666" s="49" t="s">
        <v>449</v>
      </c>
      <c r="D1666">
        <v>98</v>
      </c>
      <c r="E1666" s="49" t="s">
        <v>378</v>
      </c>
    </row>
    <row r="1667" spans="1:5" x14ac:dyDescent="0.3">
      <c r="A1667" s="49" t="s">
        <v>1074</v>
      </c>
      <c r="B1667" s="49" t="s">
        <v>578</v>
      </c>
      <c r="C1667" s="49" t="s">
        <v>449</v>
      </c>
      <c r="D1667">
        <v>99</v>
      </c>
      <c r="E1667" s="49" t="s">
        <v>378</v>
      </c>
    </row>
    <row r="1668" spans="1:5" x14ac:dyDescent="0.3">
      <c r="A1668" s="49" t="s">
        <v>1075</v>
      </c>
      <c r="B1668" s="49" t="s">
        <v>578</v>
      </c>
      <c r="C1668" s="49" t="s">
        <v>449</v>
      </c>
      <c r="D1668">
        <v>98</v>
      </c>
      <c r="E1668" s="49" t="s">
        <v>378</v>
      </c>
    </row>
    <row r="1669" spans="1:5" x14ac:dyDescent="0.3">
      <c r="A1669" s="49" t="s">
        <v>1075</v>
      </c>
      <c r="B1669" s="49" t="s">
        <v>578</v>
      </c>
      <c r="C1669" s="49" t="s">
        <v>449</v>
      </c>
      <c r="D1669">
        <v>99</v>
      </c>
      <c r="E1669" s="49" t="s">
        <v>378</v>
      </c>
    </row>
    <row r="1670" spans="1:5" x14ac:dyDescent="0.3">
      <c r="A1670" s="49" t="s">
        <v>1076</v>
      </c>
      <c r="B1670" s="49" t="s">
        <v>578</v>
      </c>
      <c r="C1670" s="49" t="s">
        <v>449</v>
      </c>
      <c r="D1670">
        <v>98</v>
      </c>
      <c r="E1670" s="49" t="s">
        <v>378</v>
      </c>
    </row>
    <row r="1671" spans="1:5" x14ac:dyDescent="0.3">
      <c r="A1671" s="49" t="s">
        <v>1076</v>
      </c>
      <c r="B1671" s="49" t="s">
        <v>578</v>
      </c>
      <c r="C1671" s="49" t="s">
        <v>449</v>
      </c>
      <c r="D1671">
        <v>99</v>
      </c>
      <c r="E1671" s="49" t="s">
        <v>378</v>
      </c>
    </row>
    <row r="1672" spans="1:5" x14ac:dyDescent="0.3">
      <c r="A1672" s="49" t="s">
        <v>1077</v>
      </c>
      <c r="B1672" s="49" t="s">
        <v>578</v>
      </c>
      <c r="C1672" s="49" t="s">
        <v>449</v>
      </c>
      <c r="D1672">
        <v>98</v>
      </c>
      <c r="E1672" s="49" t="s">
        <v>378</v>
      </c>
    </row>
    <row r="1673" spans="1:5" x14ac:dyDescent="0.3">
      <c r="A1673" s="49" t="s">
        <v>1077</v>
      </c>
      <c r="B1673" s="49" t="s">
        <v>578</v>
      </c>
      <c r="C1673" s="49" t="s">
        <v>449</v>
      </c>
      <c r="D1673">
        <v>99</v>
      </c>
      <c r="E1673" s="49" t="s">
        <v>378</v>
      </c>
    </row>
    <row r="1674" spans="1:5" x14ac:dyDescent="0.3">
      <c r="A1674" s="49" t="s">
        <v>1078</v>
      </c>
      <c r="B1674" s="49" t="s">
        <v>578</v>
      </c>
      <c r="C1674" s="49" t="s">
        <v>449</v>
      </c>
      <c r="D1674">
        <v>98</v>
      </c>
      <c r="E1674" s="49" t="s">
        <v>378</v>
      </c>
    </row>
    <row r="1675" spans="1:5" x14ac:dyDescent="0.3">
      <c r="A1675" s="49" t="s">
        <v>1078</v>
      </c>
      <c r="B1675" s="49" t="s">
        <v>578</v>
      </c>
      <c r="C1675" s="49" t="s">
        <v>449</v>
      </c>
      <c r="D1675">
        <v>99</v>
      </c>
      <c r="E1675" s="49" t="s">
        <v>378</v>
      </c>
    </row>
    <row r="1676" spans="1:5" x14ac:dyDescent="0.3">
      <c r="A1676" s="49" t="s">
        <v>1079</v>
      </c>
      <c r="B1676" s="49" t="s">
        <v>578</v>
      </c>
      <c r="C1676" s="49" t="s">
        <v>449</v>
      </c>
      <c r="D1676">
        <v>98</v>
      </c>
      <c r="E1676" s="49" t="s">
        <v>378</v>
      </c>
    </row>
    <row r="1677" spans="1:5" x14ac:dyDescent="0.3">
      <c r="A1677" s="49" t="s">
        <v>1079</v>
      </c>
      <c r="B1677" s="49" t="s">
        <v>578</v>
      </c>
      <c r="C1677" s="49" t="s">
        <v>449</v>
      </c>
      <c r="D1677">
        <v>99</v>
      </c>
      <c r="E1677" s="49" t="s">
        <v>378</v>
      </c>
    </row>
    <row r="1678" spans="1:5" x14ac:dyDescent="0.3">
      <c r="A1678" s="49" t="s">
        <v>1080</v>
      </c>
      <c r="B1678" s="49" t="s">
        <v>578</v>
      </c>
      <c r="C1678" s="49" t="s">
        <v>449</v>
      </c>
      <c r="D1678">
        <v>98</v>
      </c>
      <c r="E1678" s="49" t="s">
        <v>378</v>
      </c>
    </row>
    <row r="1679" spans="1:5" x14ac:dyDescent="0.3">
      <c r="A1679" s="49" t="s">
        <v>1080</v>
      </c>
      <c r="B1679" s="49" t="s">
        <v>578</v>
      </c>
      <c r="C1679" s="49" t="s">
        <v>449</v>
      </c>
      <c r="D1679">
        <v>99</v>
      </c>
      <c r="E1679" s="49" t="s">
        <v>378</v>
      </c>
    </row>
    <row r="1680" spans="1:5" x14ac:dyDescent="0.3">
      <c r="A1680" s="49" t="s">
        <v>1081</v>
      </c>
      <c r="B1680" s="49" t="s">
        <v>578</v>
      </c>
      <c r="C1680" s="49" t="s">
        <v>449</v>
      </c>
      <c r="D1680">
        <v>98</v>
      </c>
      <c r="E1680" s="49" t="s">
        <v>378</v>
      </c>
    </row>
    <row r="1681" spans="1:5" x14ac:dyDescent="0.3">
      <c r="A1681" s="49" t="s">
        <v>1081</v>
      </c>
      <c r="B1681" s="49" t="s">
        <v>578</v>
      </c>
      <c r="C1681" s="49" t="s">
        <v>449</v>
      </c>
      <c r="D1681">
        <v>99</v>
      </c>
      <c r="E1681" s="49" t="s">
        <v>378</v>
      </c>
    </row>
    <row r="1682" spans="1:5" x14ac:dyDescent="0.3">
      <c r="A1682" s="49" t="s">
        <v>1082</v>
      </c>
      <c r="B1682" s="49" t="s">
        <v>578</v>
      </c>
      <c r="C1682" s="49" t="s">
        <v>449</v>
      </c>
      <c r="D1682">
        <v>98</v>
      </c>
      <c r="E1682" s="49" t="s">
        <v>378</v>
      </c>
    </row>
    <row r="1683" spans="1:5" x14ac:dyDescent="0.3">
      <c r="A1683" s="49" t="s">
        <v>1082</v>
      </c>
      <c r="B1683" s="49" t="s">
        <v>578</v>
      </c>
      <c r="C1683" s="49" t="s">
        <v>449</v>
      </c>
      <c r="D1683">
        <v>99</v>
      </c>
      <c r="E1683" s="49" t="s">
        <v>378</v>
      </c>
    </row>
    <row r="1684" spans="1:5" x14ac:dyDescent="0.3">
      <c r="A1684" s="49" t="s">
        <v>1083</v>
      </c>
      <c r="B1684" s="49" t="s">
        <v>578</v>
      </c>
      <c r="C1684" s="49" t="s">
        <v>449</v>
      </c>
      <c r="D1684">
        <v>98</v>
      </c>
      <c r="E1684" s="49" t="s">
        <v>378</v>
      </c>
    </row>
    <row r="1685" spans="1:5" x14ac:dyDescent="0.3">
      <c r="A1685" s="49" t="s">
        <v>1083</v>
      </c>
      <c r="B1685" s="49" t="s">
        <v>578</v>
      </c>
      <c r="C1685" s="49" t="s">
        <v>449</v>
      </c>
      <c r="D1685">
        <v>99</v>
      </c>
      <c r="E1685" s="49" t="s">
        <v>378</v>
      </c>
    </row>
    <row r="1686" spans="1:5" x14ac:dyDescent="0.3">
      <c r="A1686" s="49" t="s">
        <v>1084</v>
      </c>
      <c r="B1686" s="49" t="s">
        <v>578</v>
      </c>
      <c r="C1686" s="49" t="s">
        <v>449</v>
      </c>
      <c r="D1686">
        <v>98</v>
      </c>
      <c r="E1686" s="49" t="s">
        <v>378</v>
      </c>
    </row>
    <row r="1687" spans="1:5" x14ac:dyDescent="0.3">
      <c r="A1687" s="49" t="s">
        <v>1084</v>
      </c>
      <c r="B1687" s="49" t="s">
        <v>578</v>
      </c>
      <c r="C1687" s="49" t="s">
        <v>449</v>
      </c>
      <c r="D1687">
        <v>99</v>
      </c>
      <c r="E1687" s="49" t="s">
        <v>378</v>
      </c>
    </row>
    <row r="1688" spans="1:5" x14ac:dyDescent="0.3">
      <c r="A1688" s="49" t="s">
        <v>1085</v>
      </c>
      <c r="B1688" s="49" t="s">
        <v>578</v>
      </c>
      <c r="C1688" s="49" t="s">
        <v>449</v>
      </c>
      <c r="D1688">
        <v>98</v>
      </c>
      <c r="E1688" s="49" t="s">
        <v>378</v>
      </c>
    </row>
    <row r="1689" spans="1:5" x14ac:dyDescent="0.3">
      <c r="A1689" s="49" t="s">
        <v>1085</v>
      </c>
      <c r="B1689" s="49" t="s">
        <v>578</v>
      </c>
      <c r="C1689" s="49" t="s">
        <v>449</v>
      </c>
      <c r="D1689">
        <v>99</v>
      </c>
      <c r="E1689" s="49" t="s">
        <v>378</v>
      </c>
    </row>
    <row r="1690" spans="1:5" x14ac:dyDescent="0.3">
      <c r="A1690" s="49" t="s">
        <v>1086</v>
      </c>
      <c r="B1690" s="49" t="s">
        <v>578</v>
      </c>
      <c r="C1690" s="49" t="s">
        <v>449</v>
      </c>
      <c r="D1690">
        <v>98</v>
      </c>
      <c r="E1690" s="49" t="s">
        <v>378</v>
      </c>
    </row>
    <row r="1691" spans="1:5" x14ac:dyDescent="0.3">
      <c r="A1691" s="49" t="s">
        <v>1086</v>
      </c>
      <c r="B1691" s="49" t="s">
        <v>578</v>
      </c>
      <c r="C1691" s="49" t="s">
        <v>449</v>
      </c>
      <c r="D1691">
        <v>99</v>
      </c>
      <c r="E1691" s="49" t="s">
        <v>378</v>
      </c>
    </row>
    <row r="1692" spans="1:5" x14ac:dyDescent="0.3">
      <c r="A1692" s="49" t="s">
        <v>1087</v>
      </c>
      <c r="B1692" s="49" t="s">
        <v>578</v>
      </c>
      <c r="C1692" s="49" t="s">
        <v>449</v>
      </c>
      <c r="D1692">
        <v>98</v>
      </c>
      <c r="E1692" s="49" t="s">
        <v>378</v>
      </c>
    </row>
    <row r="1693" spans="1:5" x14ac:dyDescent="0.3">
      <c r="A1693" s="49" t="s">
        <v>1087</v>
      </c>
      <c r="B1693" s="49" t="s">
        <v>578</v>
      </c>
      <c r="C1693" s="49" t="s">
        <v>449</v>
      </c>
      <c r="D1693">
        <v>99</v>
      </c>
      <c r="E1693" s="49" t="s">
        <v>378</v>
      </c>
    </row>
    <row r="1694" spans="1:5" x14ac:dyDescent="0.3">
      <c r="A1694" s="49" t="s">
        <v>1088</v>
      </c>
      <c r="B1694" s="49" t="s">
        <v>578</v>
      </c>
      <c r="C1694" s="49" t="s">
        <v>449</v>
      </c>
      <c r="D1694">
        <v>98</v>
      </c>
      <c r="E1694" s="49" t="s">
        <v>378</v>
      </c>
    </row>
    <row r="1695" spans="1:5" x14ac:dyDescent="0.3">
      <c r="A1695" s="49" t="s">
        <v>1088</v>
      </c>
      <c r="B1695" s="49" t="s">
        <v>578</v>
      </c>
      <c r="C1695" s="49" t="s">
        <v>449</v>
      </c>
      <c r="D1695">
        <v>99</v>
      </c>
      <c r="E1695" s="49" t="s">
        <v>378</v>
      </c>
    </row>
    <row r="1696" spans="1:5" x14ac:dyDescent="0.3">
      <c r="A1696" s="49" t="s">
        <v>1089</v>
      </c>
      <c r="B1696" s="49" t="s">
        <v>578</v>
      </c>
      <c r="C1696" s="49" t="s">
        <v>449</v>
      </c>
      <c r="D1696">
        <v>98</v>
      </c>
      <c r="E1696" s="49" t="s">
        <v>378</v>
      </c>
    </row>
    <row r="1697" spans="1:5" x14ac:dyDescent="0.3">
      <c r="A1697" s="49" t="s">
        <v>1089</v>
      </c>
      <c r="B1697" s="49" t="s">
        <v>578</v>
      </c>
      <c r="C1697" s="49" t="s">
        <v>449</v>
      </c>
      <c r="D1697">
        <v>99</v>
      </c>
      <c r="E1697" s="49" t="s">
        <v>378</v>
      </c>
    </row>
    <row r="1698" spans="1:5" x14ac:dyDescent="0.3">
      <c r="A1698" s="49" t="s">
        <v>1090</v>
      </c>
      <c r="B1698" s="49" t="s">
        <v>578</v>
      </c>
      <c r="C1698" s="49" t="s">
        <v>449</v>
      </c>
      <c r="D1698">
        <v>98</v>
      </c>
      <c r="E1698" s="49" t="s">
        <v>378</v>
      </c>
    </row>
    <row r="1699" spans="1:5" x14ac:dyDescent="0.3">
      <c r="A1699" s="49" t="s">
        <v>1090</v>
      </c>
      <c r="B1699" s="49" t="s">
        <v>578</v>
      </c>
      <c r="C1699" s="49" t="s">
        <v>449</v>
      </c>
      <c r="D1699">
        <v>99</v>
      </c>
      <c r="E1699" s="49" t="s">
        <v>378</v>
      </c>
    </row>
    <row r="1700" spans="1:5" x14ac:dyDescent="0.3">
      <c r="A1700" s="49" t="s">
        <v>1091</v>
      </c>
      <c r="B1700" s="49" t="s">
        <v>578</v>
      </c>
      <c r="C1700" s="49" t="s">
        <v>449</v>
      </c>
      <c r="D1700">
        <v>98</v>
      </c>
      <c r="E1700" s="49" t="s">
        <v>378</v>
      </c>
    </row>
    <row r="1701" spans="1:5" x14ac:dyDescent="0.3">
      <c r="A1701" s="49" t="s">
        <v>1091</v>
      </c>
      <c r="B1701" s="49" t="s">
        <v>578</v>
      </c>
      <c r="C1701" s="49" t="s">
        <v>449</v>
      </c>
      <c r="D1701">
        <v>99</v>
      </c>
      <c r="E1701" s="49" t="s">
        <v>378</v>
      </c>
    </row>
    <row r="1702" spans="1:5" x14ac:dyDescent="0.3">
      <c r="A1702" s="49" t="s">
        <v>1092</v>
      </c>
      <c r="B1702" s="49" t="s">
        <v>578</v>
      </c>
      <c r="C1702" s="49" t="s">
        <v>449</v>
      </c>
      <c r="D1702">
        <v>98</v>
      </c>
      <c r="E1702" s="49" t="s">
        <v>378</v>
      </c>
    </row>
    <row r="1703" spans="1:5" x14ac:dyDescent="0.3">
      <c r="A1703" s="49" t="s">
        <v>1092</v>
      </c>
      <c r="B1703" s="49" t="s">
        <v>578</v>
      </c>
      <c r="C1703" s="49" t="s">
        <v>449</v>
      </c>
      <c r="D1703">
        <v>99</v>
      </c>
      <c r="E1703" s="49" t="s">
        <v>378</v>
      </c>
    </row>
    <row r="1704" spans="1:5" x14ac:dyDescent="0.3">
      <c r="A1704" s="49" t="s">
        <v>1093</v>
      </c>
      <c r="B1704" s="49" t="s">
        <v>578</v>
      </c>
      <c r="C1704" s="49" t="s">
        <v>449</v>
      </c>
      <c r="D1704">
        <v>98</v>
      </c>
      <c r="E1704" s="49" t="s">
        <v>378</v>
      </c>
    </row>
    <row r="1705" spans="1:5" x14ac:dyDescent="0.3">
      <c r="A1705" s="49" t="s">
        <v>1093</v>
      </c>
      <c r="B1705" s="49" t="s">
        <v>578</v>
      </c>
      <c r="C1705" s="49" t="s">
        <v>449</v>
      </c>
      <c r="D1705">
        <v>99</v>
      </c>
      <c r="E1705" s="49" t="s">
        <v>378</v>
      </c>
    </row>
    <row r="1706" spans="1:5" x14ac:dyDescent="0.3">
      <c r="A1706" s="49" t="s">
        <v>1094</v>
      </c>
      <c r="B1706" s="49" t="s">
        <v>578</v>
      </c>
      <c r="C1706" s="49" t="s">
        <v>449</v>
      </c>
      <c r="D1706">
        <v>98</v>
      </c>
      <c r="E1706" s="49" t="s">
        <v>378</v>
      </c>
    </row>
    <row r="1707" spans="1:5" x14ac:dyDescent="0.3">
      <c r="A1707" s="49" t="s">
        <v>1094</v>
      </c>
      <c r="B1707" s="49" t="s">
        <v>578</v>
      </c>
      <c r="C1707" s="49" t="s">
        <v>449</v>
      </c>
      <c r="D1707">
        <v>99</v>
      </c>
      <c r="E1707" s="49" t="s">
        <v>378</v>
      </c>
    </row>
    <row r="1708" spans="1:5" x14ac:dyDescent="0.3">
      <c r="A1708" s="49" t="s">
        <v>1095</v>
      </c>
      <c r="B1708" s="49" t="s">
        <v>578</v>
      </c>
      <c r="C1708" s="49" t="s">
        <v>449</v>
      </c>
      <c r="D1708">
        <v>98</v>
      </c>
      <c r="E1708" s="49" t="s">
        <v>378</v>
      </c>
    </row>
    <row r="1709" spans="1:5" x14ac:dyDescent="0.3">
      <c r="A1709" s="49" t="s">
        <v>1095</v>
      </c>
      <c r="B1709" s="49" t="s">
        <v>578</v>
      </c>
      <c r="C1709" s="49" t="s">
        <v>449</v>
      </c>
      <c r="D1709">
        <v>99</v>
      </c>
      <c r="E1709" s="49" t="s">
        <v>378</v>
      </c>
    </row>
    <row r="1710" spans="1:5" x14ac:dyDescent="0.3">
      <c r="A1710" s="49" t="s">
        <v>1096</v>
      </c>
      <c r="B1710" s="49" t="s">
        <v>578</v>
      </c>
      <c r="C1710" s="49" t="s">
        <v>449</v>
      </c>
      <c r="D1710">
        <v>98</v>
      </c>
      <c r="E1710" s="49" t="s">
        <v>378</v>
      </c>
    </row>
    <row r="1711" spans="1:5" x14ac:dyDescent="0.3">
      <c r="A1711" s="49" t="s">
        <v>1096</v>
      </c>
      <c r="B1711" s="49" t="s">
        <v>578</v>
      </c>
      <c r="C1711" s="49" t="s">
        <v>449</v>
      </c>
      <c r="D1711">
        <v>99</v>
      </c>
      <c r="E1711" s="49" t="s">
        <v>378</v>
      </c>
    </row>
    <row r="1712" spans="1:5" x14ac:dyDescent="0.3">
      <c r="A1712" s="49" t="s">
        <v>1097</v>
      </c>
      <c r="B1712" s="49" t="s">
        <v>578</v>
      </c>
      <c r="C1712" s="49" t="s">
        <v>449</v>
      </c>
      <c r="D1712">
        <v>98</v>
      </c>
      <c r="E1712" s="49" t="s">
        <v>378</v>
      </c>
    </row>
    <row r="1713" spans="1:5" x14ac:dyDescent="0.3">
      <c r="A1713" s="49" t="s">
        <v>1097</v>
      </c>
      <c r="B1713" s="49" t="s">
        <v>578</v>
      </c>
      <c r="C1713" s="49" t="s">
        <v>449</v>
      </c>
      <c r="D1713">
        <v>99</v>
      </c>
      <c r="E1713" s="49" t="s">
        <v>378</v>
      </c>
    </row>
    <row r="1714" spans="1:5" x14ac:dyDescent="0.3">
      <c r="A1714" s="49" t="s">
        <v>1098</v>
      </c>
      <c r="B1714" s="49" t="s">
        <v>578</v>
      </c>
      <c r="C1714" s="49" t="s">
        <v>449</v>
      </c>
      <c r="D1714">
        <v>98</v>
      </c>
      <c r="E1714" s="49" t="s">
        <v>378</v>
      </c>
    </row>
    <row r="1715" spans="1:5" x14ac:dyDescent="0.3">
      <c r="A1715" s="49" t="s">
        <v>1098</v>
      </c>
      <c r="B1715" s="49" t="s">
        <v>578</v>
      </c>
      <c r="C1715" s="49" t="s">
        <v>449</v>
      </c>
      <c r="D1715">
        <v>99</v>
      </c>
      <c r="E1715" s="49" t="s">
        <v>378</v>
      </c>
    </row>
    <row r="1716" spans="1:5" x14ac:dyDescent="0.3">
      <c r="A1716" s="49" t="s">
        <v>1099</v>
      </c>
      <c r="B1716" s="49" t="s">
        <v>578</v>
      </c>
      <c r="C1716" s="49" t="s">
        <v>449</v>
      </c>
      <c r="D1716">
        <v>98</v>
      </c>
      <c r="E1716" s="49" t="s">
        <v>378</v>
      </c>
    </row>
    <row r="1717" spans="1:5" x14ac:dyDescent="0.3">
      <c r="A1717" s="49" t="s">
        <v>1099</v>
      </c>
      <c r="B1717" s="49" t="s">
        <v>578</v>
      </c>
      <c r="C1717" s="49" t="s">
        <v>449</v>
      </c>
      <c r="D1717">
        <v>99</v>
      </c>
      <c r="E1717" s="49" t="s">
        <v>378</v>
      </c>
    </row>
    <row r="1718" spans="1:5" x14ac:dyDescent="0.3">
      <c r="A1718" s="49" t="s">
        <v>1100</v>
      </c>
      <c r="B1718" s="49" t="s">
        <v>578</v>
      </c>
      <c r="C1718" s="49" t="s">
        <v>449</v>
      </c>
      <c r="D1718">
        <v>98</v>
      </c>
      <c r="E1718" s="49" t="s">
        <v>378</v>
      </c>
    </row>
    <row r="1719" spans="1:5" x14ac:dyDescent="0.3">
      <c r="A1719" s="49" t="s">
        <v>1100</v>
      </c>
      <c r="B1719" s="49" t="s">
        <v>578</v>
      </c>
      <c r="C1719" s="49" t="s">
        <v>449</v>
      </c>
      <c r="D1719">
        <v>99</v>
      </c>
      <c r="E1719" s="49" t="s">
        <v>378</v>
      </c>
    </row>
    <row r="1720" spans="1:5" x14ac:dyDescent="0.3">
      <c r="A1720" s="49" t="s">
        <v>1101</v>
      </c>
      <c r="B1720" s="49" t="s">
        <v>578</v>
      </c>
      <c r="C1720" s="49" t="s">
        <v>449</v>
      </c>
      <c r="D1720">
        <v>98</v>
      </c>
      <c r="E1720" s="49" t="s">
        <v>378</v>
      </c>
    </row>
    <row r="1721" spans="1:5" x14ac:dyDescent="0.3">
      <c r="A1721" s="49" t="s">
        <v>1101</v>
      </c>
      <c r="B1721" s="49" t="s">
        <v>578</v>
      </c>
      <c r="C1721" s="49" t="s">
        <v>449</v>
      </c>
      <c r="D1721">
        <v>99</v>
      </c>
      <c r="E1721" s="49" t="s">
        <v>378</v>
      </c>
    </row>
    <row r="1722" spans="1:5" x14ac:dyDescent="0.3">
      <c r="A1722" s="49" t="s">
        <v>1102</v>
      </c>
      <c r="B1722" s="49" t="s">
        <v>578</v>
      </c>
      <c r="C1722" s="49" t="s">
        <v>449</v>
      </c>
      <c r="D1722">
        <v>98</v>
      </c>
      <c r="E1722" s="49" t="s">
        <v>378</v>
      </c>
    </row>
    <row r="1723" spans="1:5" x14ac:dyDescent="0.3">
      <c r="A1723" s="49" t="s">
        <v>1102</v>
      </c>
      <c r="B1723" s="49" t="s">
        <v>578</v>
      </c>
      <c r="C1723" s="49" t="s">
        <v>449</v>
      </c>
      <c r="D1723">
        <v>99</v>
      </c>
      <c r="E1723" s="49" t="s">
        <v>378</v>
      </c>
    </row>
    <row r="1724" spans="1:5" x14ac:dyDescent="0.3">
      <c r="A1724" s="49" t="s">
        <v>1103</v>
      </c>
      <c r="B1724" s="49" t="s">
        <v>578</v>
      </c>
      <c r="C1724" s="49" t="s">
        <v>449</v>
      </c>
      <c r="D1724">
        <v>98</v>
      </c>
      <c r="E1724" s="49" t="s">
        <v>378</v>
      </c>
    </row>
    <row r="1725" spans="1:5" x14ac:dyDescent="0.3">
      <c r="A1725" s="49" t="s">
        <v>1103</v>
      </c>
      <c r="B1725" s="49" t="s">
        <v>578</v>
      </c>
      <c r="C1725" s="49" t="s">
        <v>449</v>
      </c>
      <c r="D1725">
        <v>99</v>
      </c>
      <c r="E1725" s="49" t="s">
        <v>378</v>
      </c>
    </row>
    <row r="1726" spans="1:5" x14ac:dyDescent="0.3">
      <c r="A1726" s="49" t="s">
        <v>1104</v>
      </c>
      <c r="B1726" s="49" t="s">
        <v>578</v>
      </c>
      <c r="C1726" s="49" t="s">
        <v>449</v>
      </c>
      <c r="D1726">
        <v>98</v>
      </c>
      <c r="E1726" s="49" t="s">
        <v>378</v>
      </c>
    </row>
    <row r="1727" spans="1:5" x14ac:dyDescent="0.3">
      <c r="A1727" s="49" t="s">
        <v>1104</v>
      </c>
      <c r="B1727" s="49" t="s">
        <v>578</v>
      </c>
      <c r="C1727" s="49" t="s">
        <v>449</v>
      </c>
      <c r="D1727">
        <v>99</v>
      </c>
      <c r="E1727" s="49" t="s">
        <v>378</v>
      </c>
    </row>
    <row r="1728" spans="1:5" x14ac:dyDescent="0.3">
      <c r="A1728" s="49" t="s">
        <v>1105</v>
      </c>
      <c r="B1728" s="49" t="s">
        <v>578</v>
      </c>
      <c r="C1728" s="49" t="s">
        <v>449</v>
      </c>
      <c r="D1728">
        <v>98</v>
      </c>
      <c r="E1728" s="49" t="s">
        <v>378</v>
      </c>
    </row>
    <row r="1729" spans="1:5" x14ac:dyDescent="0.3">
      <c r="A1729" s="49" t="s">
        <v>1105</v>
      </c>
      <c r="B1729" s="49" t="s">
        <v>578</v>
      </c>
      <c r="C1729" s="49" t="s">
        <v>449</v>
      </c>
      <c r="D1729">
        <v>99</v>
      </c>
      <c r="E1729" s="49" t="s">
        <v>378</v>
      </c>
    </row>
    <row r="1730" spans="1:5" x14ac:dyDescent="0.3">
      <c r="A1730" s="49" t="s">
        <v>1106</v>
      </c>
      <c r="B1730" s="49" t="s">
        <v>578</v>
      </c>
      <c r="C1730" s="49" t="s">
        <v>449</v>
      </c>
      <c r="D1730">
        <v>98</v>
      </c>
      <c r="E1730" s="49" t="s">
        <v>378</v>
      </c>
    </row>
    <row r="1731" spans="1:5" x14ac:dyDescent="0.3">
      <c r="A1731" s="49" t="s">
        <v>1106</v>
      </c>
      <c r="B1731" s="49" t="s">
        <v>578</v>
      </c>
      <c r="C1731" s="49" t="s">
        <v>449</v>
      </c>
      <c r="D1731">
        <v>99</v>
      </c>
      <c r="E1731" s="49" t="s">
        <v>378</v>
      </c>
    </row>
    <row r="1732" spans="1:5" x14ac:dyDescent="0.3">
      <c r="A1732" s="49" t="s">
        <v>1107</v>
      </c>
      <c r="B1732" s="49" t="s">
        <v>578</v>
      </c>
      <c r="C1732" s="49" t="s">
        <v>449</v>
      </c>
      <c r="D1732">
        <v>98</v>
      </c>
      <c r="E1732" s="49" t="s">
        <v>378</v>
      </c>
    </row>
    <row r="1733" spans="1:5" x14ac:dyDescent="0.3">
      <c r="A1733" s="49" t="s">
        <v>1107</v>
      </c>
      <c r="B1733" s="49" t="s">
        <v>578</v>
      </c>
      <c r="C1733" s="49" t="s">
        <v>449</v>
      </c>
      <c r="D1733">
        <v>99</v>
      </c>
      <c r="E1733" s="49" t="s">
        <v>378</v>
      </c>
    </row>
    <row r="1734" spans="1:5" x14ac:dyDescent="0.3">
      <c r="A1734" s="49" t="s">
        <v>1108</v>
      </c>
      <c r="B1734" s="49" t="s">
        <v>578</v>
      </c>
      <c r="C1734" s="49" t="s">
        <v>449</v>
      </c>
      <c r="D1734">
        <v>98</v>
      </c>
      <c r="E1734" s="49" t="s">
        <v>378</v>
      </c>
    </row>
    <row r="1735" spans="1:5" x14ac:dyDescent="0.3">
      <c r="A1735" s="49" t="s">
        <v>1108</v>
      </c>
      <c r="B1735" s="49" t="s">
        <v>578</v>
      </c>
      <c r="C1735" s="49" t="s">
        <v>449</v>
      </c>
      <c r="D1735">
        <v>99</v>
      </c>
      <c r="E1735" s="49" t="s">
        <v>378</v>
      </c>
    </row>
    <row r="1736" spans="1:5" x14ac:dyDescent="0.3">
      <c r="A1736" s="49" t="s">
        <v>1109</v>
      </c>
      <c r="B1736" s="49" t="s">
        <v>578</v>
      </c>
      <c r="C1736" s="49" t="s">
        <v>449</v>
      </c>
      <c r="D1736">
        <v>98</v>
      </c>
      <c r="E1736" s="49" t="s">
        <v>378</v>
      </c>
    </row>
    <row r="1737" spans="1:5" x14ac:dyDescent="0.3">
      <c r="A1737" s="49" t="s">
        <v>1109</v>
      </c>
      <c r="B1737" s="49" t="s">
        <v>578</v>
      </c>
      <c r="C1737" s="49" t="s">
        <v>449</v>
      </c>
      <c r="D1737">
        <v>99</v>
      </c>
      <c r="E1737" s="49" t="s">
        <v>378</v>
      </c>
    </row>
    <row r="1738" spans="1:5" x14ac:dyDescent="0.3">
      <c r="A1738" s="49" t="s">
        <v>1110</v>
      </c>
      <c r="B1738" s="49" t="s">
        <v>578</v>
      </c>
      <c r="C1738" s="49" t="s">
        <v>449</v>
      </c>
      <c r="D1738">
        <v>98</v>
      </c>
      <c r="E1738" s="49" t="s">
        <v>378</v>
      </c>
    </row>
    <row r="1739" spans="1:5" x14ac:dyDescent="0.3">
      <c r="A1739" s="49" t="s">
        <v>1110</v>
      </c>
      <c r="B1739" s="49" t="s">
        <v>578</v>
      </c>
      <c r="C1739" s="49" t="s">
        <v>449</v>
      </c>
      <c r="D1739">
        <v>99</v>
      </c>
      <c r="E1739" s="49" t="s">
        <v>378</v>
      </c>
    </row>
    <row r="1740" spans="1:5" x14ac:dyDescent="0.3">
      <c r="A1740" s="49" t="s">
        <v>1111</v>
      </c>
      <c r="B1740" s="49" t="s">
        <v>578</v>
      </c>
      <c r="C1740" s="49" t="s">
        <v>449</v>
      </c>
      <c r="D1740">
        <v>98</v>
      </c>
      <c r="E1740" s="49" t="s">
        <v>378</v>
      </c>
    </row>
    <row r="1741" spans="1:5" x14ac:dyDescent="0.3">
      <c r="A1741" s="49" t="s">
        <v>1111</v>
      </c>
      <c r="B1741" s="49" t="s">
        <v>578</v>
      </c>
      <c r="C1741" s="49" t="s">
        <v>449</v>
      </c>
      <c r="D1741">
        <v>99</v>
      </c>
      <c r="E1741" s="49" t="s">
        <v>378</v>
      </c>
    </row>
    <row r="1742" spans="1:5" x14ac:dyDescent="0.3">
      <c r="A1742" s="49" t="s">
        <v>1112</v>
      </c>
      <c r="B1742" s="49" t="s">
        <v>578</v>
      </c>
      <c r="C1742" s="49" t="s">
        <v>449</v>
      </c>
      <c r="D1742">
        <v>98</v>
      </c>
      <c r="E1742" s="49" t="s">
        <v>378</v>
      </c>
    </row>
    <row r="1743" spans="1:5" x14ac:dyDescent="0.3">
      <c r="A1743" s="49" t="s">
        <v>1112</v>
      </c>
      <c r="B1743" s="49" t="s">
        <v>578</v>
      </c>
      <c r="C1743" s="49" t="s">
        <v>449</v>
      </c>
      <c r="D1743">
        <v>99</v>
      </c>
      <c r="E1743" s="49" t="s">
        <v>378</v>
      </c>
    </row>
    <row r="1744" spans="1:5" x14ac:dyDescent="0.3">
      <c r="A1744" s="49" t="s">
        <v>1113</v>
      </c>
      <c r="B1744" s="49" t="s">
        <v>578</v>
      </c>
      <c r="C1744" s="49" t="s">
        <v>449</v>
      </c>
      <c r="D1744">
        <v>98</v>
      </c>
      <c r="E1744" s="49" t="s">
        <v>378</v>
      </c>
    </row>
    <row r="1745" spans="1:5" x14ac:dyDescent="0.3">
      <c r="A1745" s="49" t="s">
        <v>1113</v>
      </c>
      <c r="B1745" s="49" t="s">
        <v>578</v>
      </c>
      <c r="C1745" s="49" t="s">
        <v>449</v>
      </c>
      <c r="D1745">
        <v>99</v>
      </c>
      <c r="E1745" s="49" t="s">
        <v>378</v>
      </c>
    </row>
    <row r="1746" spans="1:5" x14ac:dyDescent="0.3">
      <c r="A1746" s="49" t="s">
        <v>1114</v>
      </c>
      <c r="B1746" s="49" t="s">
        <v>578</v>
      </c>
      <c r="C1746" s="49" t="s">
        <v>449</v>
      </c>
      <c r="D1746">
        <v>98</v>
      </c>
      <c r="E1746" s="49" t="s">
        <v>378</v>
      </c>
    </row>
    <row r="1747" spans="1:5" x14ac:dyDescent="0.3">
      <c r="A1747" s="49" t="s">
        <v>1114</v>
      </c>
      <c r="B1747" s="49" t="s">
        <v>578</v>
      </c>
      <c r="C1747" s="49" t="s">
        <v>449</v>
      </c>
      <c r="D1747">
        <v>99</v>
      </c>
      <c r="E1747" s="49" t="s">
        <v>378</v>
      </c>
    </row>
    <row r="1748" spans="1:5" x14ac:dyDescent="0.3">
      <c r="A1748" s="49" t="s">
        <v>1115</v>
      </c>
      <c r="B1748" s="49" t="s">
        <v>578</v>
      </c>
      <c r="C1748" s="49" t="s">
        <v>449</v>
      </c>
      <c r="D1748">
        <v>98</v>
      </c>
      <c r="E1748" s="49" t="s">
        <v>378</v>
      </c>
    </row>
    <row r="1749" spans="1:5" x14ac:dyDescent="0.3">
      <c r="A1749" s="49" t="s">
        <v>1115</v>
      </c>
      <c r="B1749" s="49" t="s">
        <v>578</v>
      </c>
      <c r="C1749" s="49" t="s">
        <v>449</v>
      </c>
      <c r="D1749">
        <v>99</v>
      </c>
      <c r="E1749" s="49" t="s">
        <v>378</v>
      </c>
    </row>
    <row r="1750" spans="1:5" x14ac:dyDescent="0.3">
      <c r="A1750" s="49" t="s">
        <v>1116</v>
      </c>
      <c r="B1750" s="49" t="s">
        <v>578</v>
      </c>
      <c r="C1750" s="49" t="s">
        <v>449</v>
      </c>
      <c r="D1750">
        <v>98</v>
      </c>
      <c r="E1750" s="49" t="s">
        <v>378</v>
      </c>
    </row>
    <row r="1751" spans="1:5" x14ac:dyDescent="0.3">
      <c r="A1751" s="49" t="s">
        <v>1116</v>
      </c>
      <c r="B1751" s="49" t="s">
        <v>578</v>
      </c>
      <c r="C1751" s="49" t="s">
        <v>449</v>
      </c>
      <c r="D1751">
        <v>99</v>
      </c>
      <c r="E1751" s="49" t="s">
        <v>378</v>
      </c>
    </row>
    <row r="1752" spans="1:5" x14ac:dyDescent="0.3">
      <c r="A1752" s="49" t="s">
        <v>1117</v>
      </c>
      <c r="B1752" s="49" t="s">
        <v>578</v>
      </c>
      <c r="C1752" s="49" t="s">
        <v>449</v>
      </c>
      <c r="D1752">
        <v>98</v>
      </c>
      <c r="E1752" s="49" t="s">
        <v>378</v>
      </c>
    </row>
    <row r="1753" spans="1:5" x14ac:dyDescent="0.3">
      <c r="A1753" s="49" t="s">
        <v>1117</v>
      </c>
      <c r="B1753" s="49" t="s">
        <v>578</v>
      </c>
      <c r="C1753" s="49" t="s">
        <v>449</v>
      </c>
      <c r="D1753">
        <v>99</v>
      </c>
      <c r="E1753" s="49" t="s">
        <v>378</v>
      </c>
    </row>
    <row r="1754" spans="1:5" x14ac:dyDescent="0.3">
      <c r="A1754" s="49" t="s">
        <v>1118</v>
      </c>
      <c r="B1754" s="49" t="s">
        <v>578</v>
      </c>
      <c r="C1754" s="49" t="s">
        <v>449</v>
      </c>
      <c r="D1754">
        <v>98</v>
      </c>
      <c r="E1754" s="49" t="s">
        <v>378</v>
      </c>
    </row>
    <row r="1755" spans="1:5" x14ac:dyDescent="0.3">
      <c r="A1755" s="49" t="s">
        <v>1118</v>
      </c>
      <c r="B1755" s="49" t="s">
        <v>578</v>
      </c>
      <c r="C1755" s="49" t="s">
        <v>449</v>
      </c>
      <c r="D1755">
        <v>99</v>
      </c>
      <c r="E1755" s="49" t="s">
        <v>378</v>
      </c>
    </row>
    <row r="1756" spans="1:5" x14ac:dyDescent="0.3">
      <c r="A1756" s="49" t="s">
        <v>1119</v>
      </c>
      <c r="B1756" s="49" t="s">
        <v>578</v>
      </c>
      <c r="C1756" s="49" t="s">
        <v>449</v>
      </c>
      <c r="D1756">
        <v>98</v>
      </c>
      <c r="E1756" s="49" t="s">
        <v>378</v>
      </c>
    </row>
    <row r="1757" spans="1:5" x14ac:dyDescent="0.3">
      <c r="A1757" s="49" t="s">
        <v>1119</v>
      </c>
      <c r="B1757" s="49" t="s">
        <v>578</v>
      </c>
      <c r="C1757" s="49" t="s">
        <v>449</v>
      </c>
      <c r="D1757">
        <v>99</v>
      </c>
      <c r="E1757" s="49" t="s">
        <v>378</v>
      </c>
    </row>
    <row r="1758" spans="1:5" x14ac:dyDescent="0.3">
      <c r="A1758" s="49" t="s">
        <v>1120</v>
      </c>
      <c r="B1758" s="49" t="s">
        <v>578</v>
      </c>
      <c r="C1758" s="49" t="s">
        <v>449</v>
      </c>
      <c r="D1758">
        <v>98</v>
      </c>
      <c r="E1758" s="49" t="s">
        <v>378</v>
      </c>
    </row>
    <row r="1759" spans="1:5" x14ac:dyDescent="0.3">
      <c r="A1759" s="49" t="s">
        <v>1120</v>
      </c>
      <c r="B1759" s="49" t="s">
        <v>578</v>
      </c>
      <c r="C1759" s="49" t="s">
        <v>449</v>
      </c>
      <c r="D1759">
        <v>99</v>
      </c>
      <c r="E1759" s="49" t="s">
        <v>378</v>
      </c>
    </row>
    <row r="1760" spans="1:5" x14ac:dyDescent="0.3">
      <c r="A1760" s="49" t="s">
        <v>1121</v>
      </c>
      <c r="B1760" s="49" t="s">
        <v>578</v>
      </c>
      <c r="C1760" s="49" t="s">
        <v>449</v>
      </c>
      <c r="D1760">
        <v>98</v>
      </c>
      <c r="E1760" s="49" t="s">
        <v>378</v>
      </c>
    </row>
    <row r="1761" spans="1:5" x14ac:dyDescent="0.3">
      <c r="A1761" s="49" t="s">
        <v>1121</v>
      </c>
      <c r="B1761" s="49" t="s">
        <v>578</v>
      </c>
      <c r="C1761" s="49" t="s">
        <v>449</v>
      </c>
      <c r="D1761">
        <v>99</v>
      </c>
      <c r="E1761" s="49" t="s">
        <v>378</v>
      </c>
    </row>
    <row r="1762" spans="1:5" x14ac:dyDescent="0.3">
      <c r="A1762" s="49" t="s">
        <v>1122</v>
      </c>
      <c r="B1762" s="49" t="s">
        <v>578</v>
      </c>
      <c r="C1762" s="49" t="s">
        <v>449</v>
      </c>
      <c r="D1762">
        <v>98</v>
      </c>
      <c r="E1762" s="49" t="s">
        <v>378</v>
      </c>
    </row>
    <row r="1763" spans="1:5" x14ac:dyDescent="0.3">
      <c r="A1763" s="49" t="s">
        <v>1122</v>
      </c>
      <c r="B1763" s="49" t="s">
        <v>578</v>
      </c>
      <c r="C1763" s="49" t="s">
        <v>449</v>
      </c>
      <c r="D1763">
        <v>99</v>
      </c>
      <c r="E1763" s="49" t="s">
        <v>378</v>
      </c>
    </row>
    <row r="1764" spans="1:5" x14ac:dyDescent="0.3">
      <c r="A1764" s="49" t="s">
        <v>1123</v>
      </c>
      <c r="B1764" s="49" t="s">
        <v>578</v>
      </c>
      <c r="C1764" s="49" t="s">
        <v>449</v>
      </c>
      <c r="D1764">
        <v>98</v>
      </c>
      <c r="E1764" s="49" t="s">
        <v>378</v>
      </c>
    </row>
    <row r="1765" spans="1:5" x14ac:dyDescent="0.3">
      <c r="A1765" s="49" t="s">
        <v>1123</v>
      </c>
      <c r="B1765" s="49" t="s">
        <v>578</v>
      </c>
      <c r="C1765" s="49" t="s">
        <v>449</v>
      </c>
      <c r="D1765">
        <v>99</v>
      </c>
      <c r="E1765" s="49" t="s">
        <v>378</v>
      </c>
    </row>
    <row r="1766" spans="1:5" x14ac:dyDescent="0.3">
      <c r="A1766" s="49" t="s">
        <v>1124</v>
      </c>
      <c r="B1766" s="49" t="s">
        <v>578</v>
      </c>
      <c r="C1766" s="49" t="s">
        <v>449</v>
      </c>
      <c r="D1766">
        <v>98</v>
      </c>
      <c r="E1766" s="49" t="s">
        <v>378</v>
      </c>
    </row>
    <row r="1767" spans="1:5" x14ac:dyDescent="0.3">
      <c r="A1767" s="49" t="s">
        <v>1124</v>
      </c>
      <c r="B1767" s="49" t="s">
        <v>578</v>
      </c>
      <c r="C1767" s="49" t="s">
        <v>449</v>
      </c>
      <c r="D1767">
        <v>99</v>
      </c>
      <c r="E1767" s="49" t="s">
        <v>378</v>
      </c>
    </row>
    <row r="1768" spans="1:5" x14ac:dyDescent="0.3">
      <c r="A1768" s="49" t="s">
        <v>1125</v>
      </c>
      <c r="B1768" s="49" t="s">
        <v>578</v>
      </c>
      <c r="C1768" s="49" t="s">
        <v>449</v>
      </c>
      <c r="D1768">
        <v>98</v>
      </c>
      <c r="E1768" s="49" t="s">
        <v>378</v>
      </c>
    </row>
    <row r="1769" spans="1:5" x14ac:dyDescent="0.3">
      <c r="A1769" s="49" t="s">
        <v>1125</v>
      </c>
      <c r="B1769" s="49" t="s">
        <v>578</v>
      </c>
      <c r="C1769" s="49" t="s">
        <v>449</v>
      </c>
      <c r="D1769">
        <v>99</v>
      </c>
      <c r="E1769" s="49" t="s">
        <v>378</v>
      </c>
    </row>
    <row r="1770" spans="1:5" x14ac:dyDescent="0.3">
      <c r="A1770" s="49" t="s">
        <v>1126</v>
      </c>
      <c r="B1770" s="49" t="s">
        <v>578</v>
      </c>
      <c r="C1770" s="49" t="s">
        <v>449</v>
      </c>
      <c r="D1770">
        <v>98</v>
      </c>
      <c r="E1770" s="49" t="s">
        <v>378</v>
      </c>
    </row>
    <row r="1771" spans="1:5" x14ac:dyDescent="0.3">
      <c r="A1771" s="49" t="s">
        <v>1126</v>
      </c>
      <c r="B1771" s="49" t="s">
        <v>578</v>
      </c>
      <c r="C1771" s="49" t="s">
        <v>449</v>
      </c>
      <c r="D1771">
        <v>99</v>
      </c>
      <c r="E1771" s="49" t="s">
        <v>378</v>
      </c>
    </row>
    <row r="1772" spans="1:5" x14ac:dyDescent="0.3">
      <c r="A1772" s="49" t="s">
        <v>1127</v>
      </c>
      <c r="B1772" s="49" t="s">
        <v>578</v>
      </c>
      <c r="C1772" s="49" t="s">
        <v>449</v>
      </c>
      <c r="D1772">
        <v>98</v>
      </c>
      <c r="E1772" s="49" t="s">
        <v>378</v>
      </c>
    </row>
    <row r="1773" spans="1:5" x14ac:dyDescent="0.3">
      <c r="A1773" s="49" t="s">
        <v>1127</v>
      </c>
      <c r="B1773" s="49" t="s">
        <v>578</v>
      </c>
      <c r="C1773" s="49" t="s">
        <v>449</v>
      </c>
      <c r="D1773">
        <v>99</v>
      </c>
      <c r="E1773" s="49" t="s">
        <v>378</v>
      </c>
    </row>
    <row r="1774" spans="1:5" x14ac:dyDescent="0.3">
      <c r="A1774" s="49" t="s">
        <v>1128</v>
      </c>
      <c r="B1774" s="49" t="s">
        <v>578</v>
      </c>
      <c r="C1774" s="49" t="s">
        <v>449</v>
      </c>
      <c r="D1774">
        <v>98</v>
      </c>
      <c r="E1774" s="49" t="s">
        <v>378</v>
      </c>
    </row>
    <row r="1775" spans="1:5" x14ac:dyDescent="0.3">
      <c r="A1775" s="49" t="s">
        <v>1128</v>
      </c>
      <c r="B1775" s="49" t="s">
        <v>578</v>
      </c>
      <c r="C1775" s="49" t="s">
        <v>449</v>
      </c>
      <c r="D1775">
        <v>99</v>
      </c>
      <c r="E1775" s="49" t="s">
        <v>378</v>
      </c>
    </row>
    <row r="1776" spans="1:5" x14ac:dyDescent="0.3">
      <c r="A1776" s="49" t="s">
        <v>1129</v>
      </c>
      <c r="B1776" s="49" t="s">
        <v>578</v>
      </c>
      <c r="C1776" s="49" t="s">
        <v>449</v>
      </c>
      <c r="D1776">
        <v>98</v>
      </c>
      <c r="E1776" s="49" t="s">
        <v>378</v>
      </c>
    </row>
    <row r="1777" spans="1:5" x14ac:dyDescent="0.3">
      <c r="A1777" s="49" t="s">
        <v>1129</v>
      </c>
      <c r="B1777" s="49" t="s">
        <v>578</v>
      </c>
      <c r="C1777" s="49" t="s">
        <v>449</v>
      </c>
      <c r="D1777">
        <v>99</v>
      </c>
      <c r="E1777" s="49" t="s">
        <v>378</v>
      </c>
    </row>
    <row r="1778" spans="1:5" x14ac:dyDescent="0.3">
      <c r="A1778" s="49" t="s">
        <v>1130</v>
      </c>
      <c r="B1778" s="49" t="s">
        <v>578</v>
      </c>
      <c r="C1778" s="49" t="s">
        <v>449</v>
      </c>
      <c r="D1778">
        <v>98</v>
      </c>
      <c r="E1778" s="49" t="s">
        <v>378</v>
      </c>
    </row>
    <row r="1779" spans="1:5" x14ac:dyDescent="0.3">
      <c r="A1779" s="49" t="s">
        <v>1130</v>
      </c>
      <c r="B1779" s="49" t="s">
        <v>578</v>
      </c>
      <c r="C1779" s="49" t="s">
        <v>449</v>
      </c>
      <c r="D1779">
        <v>99</v>
      </c>
      <c r="E1779" s="49" t="s">
        <v>378</v>
      </c>
    </row>
    <row r="1780" spans="1:5" x14ac:dyDescent="0.3">
      <c r="A1780" s="49" t="s">
        <v>1131</v>
      </c>
      <c r="B1780" s="49" t="s">
        <v>578</v>
      </c>
      <c r="C1780" s="49" t="s">
        <v>449</v>
      </c>
      <c r="D1780">
        <v>98</v>
      </c>
      <c r="E1780" s="49" t="s">
        <v>378</v>
      </c>
    </row>
    <row r="1781" spans="1:5" x14ac:dyDescent="0.3">
      <c r="A1781" s="49" t="s">
        <v>1131</v>
      </c>
      <c r="B1781" s="49" t="s">
        <v>578</v>
      </c>
      <c r="C1781" s="49" t="s">
        <v>449</v>
      </c>
      <c r="D1781">
        <v>99</v>
      </c>
      <c r="E1781" s="49" t="s">
        <v>378</v>
      </c>
    </row>
    <row r="1782" spans="1:5" x14ac:dyDescent="0.3">
      <c r="A1782" s="49" t="s">
        <v>1132</v>
      </c>
      <c r="B1782" s="49" t="s">
        <v>578</v>
      </c>
      <c r="C1782" s="49" t="s">
        <v>449</v>
      </c>
      <c r="D1782">
        <v>98</v>
      </c>
      <c r="E1782" s="49" t="s">
        <v>378</v>
      </c>
    </row>
    <row r="1783" spans="1:5" x14ac:dyDescent="0.3">
      <c r="A1783" s="49" t="s">
        <v>1132</v>
      </c>
      <c r="B1783" s="49" t="s">
        <v>578</v>
      </c>
      <c r="C1783" s="49" t="s">
        <v>449</v>
      </c>
      <c r="D1783">
        <v>99</v>
      </c>
      <c r="E1783" s="49" t="s">
        <v>378</v>
      </c>
    </row>
    <row r="1784" spans="1:5" x14ac:dyDescent="0.3">
      <c r="A1784" s="49" t="s">
        <v>1133</v>
      </c>
      <c r="B1784" s="49" t="s">
        <v>578</v>
      </c>
      <c r="C1784" s="49" t="s">
        <v>449</v>
      </c>
      <c r="D1784">
        <v>98</v>
      </c>
      <c r="E1784" s="49" t="s">
        <v>378</v>
      </c>
    </row>
    <row r="1785" spans="1:5" x14ac:dyDescent="0.3">
      <c r="A1785" s="49" t="s">
        <v>1133</v>
      </c>
      <c r="B1785" s="49" t="s">
        <v>578</v>
      </c>
      <c r="C1785" s="49" t="s">
        <v>449</v>
      </c>
      <c r="D1785">
        <v>99</v>
      </c>
      <c r="E1785" s="49" t="s">
        <v>378</v>
      </c>
    </row>
    <row r="1786" spans="1:5" x14ac:dyDescent="0.3">
      <c r="A1786" s="49" t="s">
        <v>1134</v>
      </c>
      <c r="B1786" s="49" t="s">
        <v>578</v>
      </c>
      <c r="C1786" s="49" t="s">
        <v>449</v>
      </c>
      <c r="D1786">
        <v>98</v>
      </c>
      <c r="E1786" s="49" t="s">
        <v>378</v>
      </c>
    </row>
    <row r="1787" spans="1:5" x14ac:dyDescent="0.3">
      <c r="A1787" s="49" t="s">
        <v>1134</v>
      </c>
      <c r="B1787" s="49" t="s">
        <v>578</v>
      </c>
      <c r="C1787" s="49" t="s">
        <v>449</v>
      </c>
      <c r="D1787">
        <v>99</v>
      </c>
      <c r="E1787" s="49" t="s">
        <v>378</v>
      </c>
    </row>
    <row r="1788" spans="1:5" x14ac:dyDescent="0.3">
      <c r="A1788" s="49" t="s">
        <v>1135</v>
      </c>
      <c r="B1788" s="49" t="s">
        <v>578</v>
      </c>
      <c r="C1788" s="49" t="s">
        <v>449</v>
      </c>
      <c r="D1788">
        <v>98</v>
      </c>
      <c r="E1788" s="49" t="s">
        <v>378</v>
      </c>
    </row>
    <row r="1789" spans="1:5" x14ac:dyDescent="0.3">
      <c r="A1789" s="49" t="s">
        <v>1135</v>
      </c>
      <c r="B1789" s="49" t="s">
        <v>578</v>
      </c>
      <c r="C1789" s="49" t="s">
        <v>449</v>
      </c>
      <c r="D1789">
        <v>99</v>
      </c>
      <c r="E1789" s="49" t="s">
        <v>378</v>
      </c>
    </row>
    <row r="1790" spans="1:5" x14ac:dyDescent="0.3">
      <c r="A1790" s="49" t="s">
        <v>1136</v>
      </c>
      <c r="B1790" s="49" t="s">
        <v>578</v>
      </c>
      <c r="C1790" s="49" t="s">
        <v>449</v>
      </c>
      <c r="D1790">
        <v>98</v>
      </c>
      <c r="E1790" s="49" t="s">
        <v>378</v>
      </c>
    </row>
    <row r="1791" spans="1:5" x14ac:dyDescent="0.3">
      <c r="A1791" s="49" t="s">
        <v>1136</v>
      </c>
      <c r="B1791" s="49" t="s">
        <v>578</v>
      </c>
      <c r="C1791" s="49" t="s">
        <v>449</v>
      </c>
      <c r="D1791">
        <v>99</v>
      </c>
      <c r="E1791" s="49" t="s">
        <v>378</v>
      </c>
    </row>
    <row r="1792" spans="1:5" x14ac:dyDescent="0.3">
      <c r="A1792" s="49" t="s">
        <v>1137</v>
      </c>
      <c r="B1792" s="49" t="s">
        <v>578</v>
      </c>
      <c r="C1792" s="49" t="s">
        <v>449</v>
      </c>
      <c r="D1792">
        <v>98</v>
      </c>
      <c r="E1792" s="49" t="s">
        <v>378</v>
      </c>
    </row>
    <row r="1793" spans="1:5" x14ac:dyDescent="0.3">
      <c r="A1793" s="49" t="s">
        <v>1137</v>
      </c>
      <c r="B1793" s="49" t="s">
        <v>578</v>
      </c>
      <c r="C1793" s="49" t="s">
        <v>449</v>
      </c>
      <c r="D1793">
        <v>99</v>
      </c>
      <c r="E1793" s="49" t="s">
        <v>378</v>
      </c>
    </row>
    <row r="1794" spans="1:5" x14ac:dyDescent="0.3">
      <c r="A1794" s="49" t="s">
        <v>1138</v>
      </c>
      <c r="B1794" s="49" t="s">
        <v>578</v>
      </c>
      <c r="C1794" s="49" t="s">
        <v>449</v>
      </c>
      <c r="D1794">
        <v>98</v>
      </c>
      <c r="E1794" s="49" t="s">
        <v>378</v>
      </c>
    </row>
    <row r="1795" spans="1:5" x14ac:dyDescent="0.3">
      <c r="A1795" s="49" t="s">
        <v>1138</v>
      </c>
      <c r="B1795" s="49" t="s">
        <v>578</v>
      </c>
      <c r="C1795" s="49" t="s">
        <v>449</v>
      </c>
      <c r="D1795">
        <v>99</v>
      </c>
      <c r="E1795" s="49" t="s">
        <v>378</v>
      </c>
    </row>
    <row r="1796" spans="1:5" x14ac:dyDescent="0.3">
      <c r="A1796" s="49" t="s">
        <v>1139</v>
      </c>
      <c r="B1796" s="49" t="s">
        <v>578</v>
      </c>
      <c r="C1796" s="49" t="s">
        <v>449</v>
      </c>
      <c r="D1796">
        <v>98</v>
      </c>
      <c r="E1796" s="49" t="s">
        <v>378</v>
      </c>
    </row>
    <row r="1797" spans="1:5" x14ac:dyDescent="0.3">
      <c r="A1797" s="49" t="s">
        <v>1139</v>
      </c>
      <c r="B1797" s="49" t="s">
        <v>578</v>
      </c>
      <c r="C1797" s="49" t="s">
        <v>449</v>
      </c>
      <c r="D1797">
        <v>99</v>
      </c>
      <c r="E1797" s="49" t="s">
        <v>378</v>
      </c>
    </row>
    <row r="1798" spans="1:5" x14ac:dyDescent="0.3">
      <c r="A1798" s="49" t="s">
        <v>1140</v>
      </c>
      <c r="B1798" s="49" t="s">
        <v>578</v>
      </c>
      <c r="C1798" s="49" t="s">
        <v>449</v>
      </c>
      <c r="D1798">
        <v>98</v>
      </c>
      <c r="E1798" s="49" t="s">
        <v>378</v>
      </c>
    </row>
    <row r="1799" spans="1:5" x14ac:dyDescent="0.3">
      <c r="A1799" s="49" t="s">
        <v>1140</v>
      </c>
      <c r="B1799" s="49" t="s">
        <v>578</v>
      </c>
      <c r="C1799" s="49" t="s">
        <v>449</v>
      </c>
      <c r="D1799">
        <v>99</v>
      </c>
      <c r="E1799" s="49" t="s">
        <v>378</v>
      </c>
    </row>
    <row r="1800" spans="1:5" x14ac:dyDescent="0.3">
      <c r="A1800" s="49" t="s">
        <v>1141</v>
      </c>
      <c r="B1800" s="49" t="s">
        <v>578</v>
      </c>
      <c r="C1800" s="49" t="s">
        <v>449</v>
      </c>
      <c r="D1800">
        <v>98</v>
      </c>
      <c r="E1800" s="49" t="s">
        <v>378</v>
      </c>
    </row>
    <row r="1801" spans="1:5" x14ac:dyDescent="0.3">
      <c r="A1801" s="49" t="s">
        <v>1141</v>
      </c>
      <c r="B1801" s="49" t="s">
        <v>578</v>
      </c>
      <c r="C1801" s="49" t="s">
        <v>449</v>
      </c>
      <c r="D1801">
        <v>99</v>
      </c>
      <c r="E1801" s="49" t="s">
        <v>378</v>
      </c>
    </row>
    <row r="1802" spans="1:5" x14ac:dyDescent="0.3">
      <c r="A1802" s="49" t="s">
        <v>1142</v>
      </c>
      <c r="B1802" s="49" t="s">
        <v>578</v>
      </c>
      <c r="C1802" s="49" t="s">
        <v>449</v>
      </c>
      <c r="D1802">
        <v>98</v>
      </c>
      <c r="E1802" s="49" t="s">
        <v>378</v>
      </c>
    </row>
    <row r="1803" spans="1:5" x14ac:dyDescent="0.3">
      <c r="A1803" s="49" t="s">
        <v>1142</v>
      </c>
      <c r="B1803" s="49" t="s">
        <v>578</v>
      </c>
      <c r="C1803" s="49" t="s">
        <v>449</v>
      </c>
      <c r="D1803">
        <v>99</v>
      </c>
      <c r="E1803" s="49" t="s">
        <v>378</v>
      </c>
    </row>
    <row r="1804" spans="1:5" x14ac:dyDescent="0.3">
      <c r="A1804" s="49" t="s">
        <v>1143</v>
      </c>
      <c r="B1804" s="49" t="s">
        <v>578</v>
      </c>
      <c r="C1804" s="49" t="s">
        <v>449</v>
      </c>
      <c r="D1804">
        <v>98</v>
      </c>
      <c r="E1804" s="49" t="s">
        <v>378</v>
      </c>
    </row>
    <row r="1805" spans="1:5" x14ac:dyDescent="0.3">
      <c r="A1805" s="49" t="s">
        <v>1143</v>
      </c>
      <c r="B1805" s="49" t="s">
        <v>578</v>
      </c>
      <c r="C1805" s="49" t="s">
        <v>449</v>
      </c>
      <c r="D1805">
        <v>99</v>
      </c>
      <c r="E1805" s="49" t="s">
        <v>378</v>
      </c>
    </row>
    <row r="1806" spans="1:5" x14ac:dyDescent="0.3">
      <c r="A1806" s="49" t="s">
        <v>1144</v>
      </c>
      <c r="B1806" s="49" t="s">
        <v>578</v>
      </c>
      <c r="C1806" s="49" t="s">
        <v>449</v>
      </c>
      <c r="D1806">
        <v>98</v>
      </c>
      <c r="E1806" s="49" t="s">
        <v>378</v>
      </c>
    </row>
    <row r="1807" spans="1:5" x14ac:dyDescent="0.3">
      <c r="A1807" s="49" t="s">
        <v>1144</v>
      </c>
      <c r="B1807" s="49" t="s">
        <v>578</v>
      </c>
      <c r="C1807" s="49" t="s">
        <v>449</v>
      </c>
      <c r="D1807">
        <v>99</v>
      </c>
      <c r="E1807" s="49" t="s">
        <v>378</v>
      </c>
    </row>
    <row r="1808" spans="1:5" x14ac:dyDescent="0.3">
      <c r="A1808" s="49" t="s">
        <v>1145</v>
      </c>
      <c r="B1808" s="49" t="s">
        <v>578</v>
      </c>
      <c r="C1808" s="49" t="s">
        <v>449</v>
      </c>
      <c r="D1808">
        <v>98</v>
      </c>
      <c r="E1808" s="49" t="s">
        <v>378</v>
      </c>
    </row>
    <row r="1809" spans="1:5" x14ac:dyDescent="0.3">
      <c r="A1809" s="49" t="s">
        <v>1145</v>
      </c>
      <c r="B1809" s="49" t="s">
        <v>578</v>
      </c>
      <c r="C1809" s="49" t="s">
        <v>449</v>
      </c>
      <c r="D1809">
        <v>99</v>
      </c>
      <c r="E1809" s="49" t="s">
        <v>378</v>
      </c>
    </row>
    <row r="1810" spans="1:5" x14ac:dyDescent="0.3">
      <c r="A1810" s="49" t="s">
        <v>1146</v>
      </c>
      <c r="B1810" s="49" t="s">
        <v>578</v>
      </c>
      <c r="C1810" s="49" t="s">
        <v>449</v>
      </c>
      <c r="D1810">
        <v>98</v>
      </c>
      <c r="E1810" s="49" t="s">
        <v>378</v>
      </c>
    </row>
    <row r="1811" spans="1:5" x14ac:dyDescent="0.3">
      <c r="A1811" s="49" t="s">
        <v>1146</v>
      </c>
      <c r="B1811" s="49" t="s">
        <v>578</v>
      </c>
      <c r="C1811" s="49" t="s">
        <v>449</v>
      </c>
      <c r="D1811">
        <v>99</v>
      </c>
      <c r="E1811" s="49" t="s">
        <v>378</v>
      </c>
    </row>
    <row r="1812" spans="1:5" x14ac:dyDescent="0.3">
      <c r="A1812" s="49" t="s">
        <v>1147</v>
      </c>
      <c r="B1812" s="49" t="s">
        <v>578</v>
      </c>
      <c r="C1812" s="49" t="s">
        <v>449</v>
      </c>
      <c r="D1812">
        <v>98</v>
      </c>
      <c r="E1812" s="49" t="s">
        <v>378</v>
      </c>
    </row>
    <row r="1813" spans="1:5" x14ac:dyDescent="0.3">
      <c r="A1813" s="49" t="s">
        <v>1147</v>
      </c>
      <c r="B1813" s="49" t="s">
        <v>578</v>
      </c>
      <c r="C1813" s="49" t="s">
        <v>449</v>
      </c>
      <c r="D1813">
        <v>99</v>
      </c>
      <c r="E1813" s="49" t="s">
        <v>378</v>
      </c>
    </row>
    <row r="1814" spans="1:5" x14ac:dyDescent="0.3">
      <c r="A1814" s="49" t="s">
        <v>1148</v>
      </c>
      <c r="B1814" s="49" t="s">
        <v>578</v>
      </c>
      <c r="C1814" s="49" t="s">
        <v>449</v>
      </c>
      <c r="D1814">
        <v>98</v>
      </c>
      <c r="E1814" s="49" t="s">
        <v>378</v>
      </c>
    </row>
    <row r="1815" spans="1:5" x14ac:dyDescent="0.3">
      <c r="A1815" s="49" t="s">
        <v>1148</v>
      </c>
      <c r="B1815" s="49" t="s">
        <v>578</v>
      </c>
      <c r="C1815" s="49" t="s">
        <v>449</v>
      </c>
      <c r="D1815">
        <v>99</v>
      </c>
      <c r="E1815" s="49" t="s">
        <v>378</v>
      </c>
    </row>
    <row r="1816" spans="1:5" x14ac:dyDescent="0.3">
      <c r="A1816" s="49" t="s">
        <v>1149</v>
      </c>
      <c r="B1816" s="49" t="s">
        <v>578</v>
      </c>
      <c r="C1816" s="49" t="s">
        <v>449</v>
      </c>
      <c r="D1816">
        <v>98</v>
      </c>
      <c r="E1816" s="49" t="s">
        <v>378</v>
      </c>
    </row>
    <row r="1817" spans="1:5" x14ac:dyDescent="0.3">
      <c r="A1817" s="49" t="s">
        <v>1149</v>
      </c>
      <c r="B1817" s="49" t="s">
        <v>578</v>
      </c>
      <c r="C1817" s="49" t="s">
        <v>449</v>
      </c>
      <c r="D1817">
        <v>99</v>
      </c>
      <c r="E1817" s="49" t="s">
        <v>378</v>
      </c>
    </row>
    <row r="1818" spans="1:5" x14ac:dyDescent="0.3">
      <c r="A1818" s="49" t="s">
        <v>1150</v>
      </c>
      <c r="B1818" s="49" t="s">
        <v>578</v>
      </c>
      <c r="C1818" s="49" t="s">
        <v>449</v>
      </c>
      <c r="D1818">
        <v>98</v>
      </c>
      <c r="E1818" s="49" t="s">
        <v>378</v>
      </c>
    </row>
    <row r="1819" spans="1:5" x14ac:dyDescent="0.3">
      <c r="A1819" s="49" t="s">
        <v>1150</v>
      </c>
      <c r="B1819" s="49" t="s">
        <v>578</v>
      </c>
      <c r="C1819" s="49" t="s">
        <v>449</v>
      </c>
      <c r="D1819">
        <v>99</v>
      </c>
      <c r="E1819" s="49" t="s">
        <v>378</v>
      </c>
    </row>
    <row r="1820" spans="1:5" x14ac:dyDescent="0.3">
      <c r="A1820" s="49" t="s">
        <v>1151</v>
      </c>
      <c r="B1820" s="49" t="s">
        <v>578</v>
      </c>
      <c r="C1820" s="49" t="s">
        <v>449</v>
      </c>
      <c r="D1820">
        <v>98</v>
      </c>
      <c r="E1820" s="49" t="s">
        <v>378</v>
      </c>
    </row>
    <row r="1821" spans="1:5" x14ac:dyDescent="0.3">
      <c r="A1821" s="49" t="s">
        <v>1151</v>
      </c>
      <c r="B1821" s="49" t="s">
        <v>578</v>
      </c>
      <c r="C1821" s="49" t="s">
        <v>449</v>
      </c>
      <c r="D1821">
        <v>99</v>
      </c>
      <c r="E1821" s="49" t="s">
        <v>378</v>
      </c>
    </row>
    <row r="1822" spans="1:5" x14ac:dyDescent="0.3">
      <c r="A1822" s="49" t="s">
        <v>1152</v>
      </c>
      <c r="B1822" s="49" t="s">
        <v>578</v>
      </c>
      <c r="C1822" s="49" t="s">
        <v>449</v>
      </c>
      <c r="D1822">
        <v>98</v>
      </c>
      <c r="E1822" s="49" t="s">
        <v>378</v>
      </c>
    </row>
    <row r="1823" spans="1:5" x14ac:dyDescent="0.3">
      <c r="A1823" s="49" t="s">
        <v>1152</v>
      </c>
      <c r="B1823" s="49" t="s">
        <v>578</v>
      </c>
      <c r="C1823" s="49" t="s">
        <v>449</v>
      </c>
      <c r="D1823">
        <v>99</v>
      </c>
      <c r="E1823" s="49" t="s">
        <v>378</v>
      </c>
    </row>
    <row r="1824" spans="1:5" x14ac:dyDescent="0.3">
      <c r="A1824" s="49" t="s">
        <v>1153</v>
      </c>
      <c r="B1824" s="49" t="s">
        <v>578</v>
      </c>
      <c r="C1824" s="49" t="s">
        <v>449</v>
      </c>
      <c r="D1824">
        <v>98</v>
      </c>
      <c r="E1824" s="49" t="s">
        <v>378</v>
      </c>
    </row>
    <row r="1825" spans="1:5" x14ac:dyDescent="0.3">
      <c r="A1825" s="49" t="s">
        <v>1153</v>
      </c>
      <c r="B1825" s="49" t="s">
        <v>578</v>
      </c>
      <c r="C1825" s="49" t="s">
        <v>449</v>
      </c>
      <c r="D1825">
        <v>99</v>
      </c>
      <c r="E1825" s="49" t="s">
        <v>378</v>
      </c>
    </row>
    <row r="1826" spans="1:5" x14ac:dyDescent="0.3">
      <c r="A1826" s="49" t="s">
        <v>1154</v>
      </c>
      <c r="B1826" s="49" t="s">
        <v>578</v>
      </c>
      <c r="C1826" s="49" t="s">
        <v>449</v>
      </c>
      <c r="D1826">
        <v>98</v>
      </c>
      <c r="E1826" s="49" t="s">
        <v>378</v>
      </c>
    </row>
    <row r="1827" spans="1:5" x14ac:dyDescent="0.3">
      <c r="A1827" s="49" t="s">
        <v>1154</v>
      </c>
      <c r="B1827" s="49" t="s">
        <v>578</v>
      </c>
      <c r="C1827" s="49" t="s">
        <v>449</v>
      </c>
      <c r="D1827">
        <v>99</v>
      </c>
      <c r="E1827" s="49" t="s">
        <v>378</v>
      </c>
    </row>
    <row r="1828" spans="1:5" x14ac:dyDescent="0.3">
      <c r="A1828" s="49" t="s">
        <v>1155</v>
      </c>
      <c r="B1828" s="49" t="s">
        <v>578</v>
      </c>
      <c r="C1828" s="49" t="s">
        <v>449</v>
      </c>
      <c r="D1828">
        <v>98</v>
      </c>
      <c r="E1828" s="49" t="s">
        <v>378</v>
      </c>
    </row>
    <row r="1829" spans="1:5" x14ac:dyDescent="0.3">
      <c r="A1829" s="49" t="s">
        <v>1155</v>
      </c>
      <c r="B1829" s="49" t="s">
        <v>578</v>
      </c>
      <c r="C1829" s="49" t="s">
        <v>449</v>
      </c>
      <c r="D1829">
        <v>99</v>
      </c>
      <c r="E1829" s="49" t="s">
        <v>378</v>
      </c>
    </row>
    <row r="1830" spans="1:5" x14ac:dyDescent="0.3">
      <c r="A1830" s="49" t="s">
        <v>1156</v>
      </c>
      <c r="B1830" s="49" t="s">
        <v>578</v>
      </c>
      <c r="C1830" s="49" t="s">
        <v>449</v>
      </c>
      <c r="D1830">
        <v>98</v>
      </c>
      <c r="E1830" s="49" t="s">
        <v>378</v>
      </c>
    </row>
    <row r="1831" spans="1:5" x14ac:dyDescent="0.3">
      <c r="A1831" s="49" t="s">
        <v>1156</v>
      </c>
      <c r="B1831" s="49" t="s">
        <v>578</v>
      </c>
      <c r="C1831" s="49" t="s">
        <v>449</v>
      </c>
      <c r="D1831">
        <v>99</v>
      </c>
      <c r="E1831" s="49" t="s">
        <v>378</v>
      </c>
    </row>
    <row r="1832" spans="1:5" x14ac:dyDescent="0.3">
      <c r="A1832" s="49" t="s">
        <v>1157</v>
      </c>
      <c r="B1832" s="49" t="s">
        <v>578</v>
      </c>
      <c r="C1832" s="49" t="s">
        <v>449</v>
      </c>
      <c r="D1832">
        <v>98</v>
      </c>
      <c r="E1832" s="49" t="s">
        <v>378</v>
      </c>
    </row>
    <row r="1833" spans="1:5" x14ac:dyDescent="0.3">
      <c r="A1833" s="49" t="s">
        <v>1157</v>
      </c>
      <c r="B1833" s="49" t="s">
        <v>578</v>
      </c>
      <c r="C1833" s="49" t="s">
        <v>449</v>
      </c>
      <c r="D1833">
        <v>99</v>
      </c>
      <c r="E1833" s="49" t="s">
        <v>378</v>
      </c>
    </row>
    <row r="1834" spans="1:5" x14ac:dyDescent="0.3">
      <c r="A1834" s="49" t="s">
        <v>1158</v>
      </c>
      <c r="B1834" s="49" t="s">
        <v>578</v>
      </c>
      <c r="C1834" s="49" t="s">
        <v>449</v>
      </c>
      <c r="D1834">
        <v>98</v>
      </c>
      <c r="E1834" s="49" t="s">
        <v>378</v>
      </c>
    </row>
    <row r="1835" spans="1:5" x14ac:dyDescent="0.3">
      <c r="A1835" s="49" t="s">
        <v>1158</v>
      </c>
      <c r="B1835" s="49" t="s">
        <v>578</v>
      </c>
      <c r="C1835" s="49" t="s">
        <v>449</v>
      </c>
      <c r="D1835">
        <v>99</v>
      </c>
      <c r="E1835" s="49" t="s">
        <v>378</v>
      </c>
    </row>
    <row r="1836" spans="1:5" x14ac:dyDescent="0.3">
      <c r="A1836" s="49" t="s">
        <v>1159</v>
      </c>
      <c r="B1836" s="49" t="s">
        <v>578</v>
      </c>
      <c r="C1836" s="49" t="s">
        <v>449</v>
      </c>
      <c r="D1836">
        <v>98</v>
      </c>
      <c r="E1836" s="49" t="s">
        <v>378</v>
      </c>
    </row>
    <row r="1837" spans="1:5" x14ac:dyDescent="0.3">
      <c r="A1837" s="49" t="s">
        <v>1159</v>
      </c>
      <c r="B1837" s="49" t="s">
        <v>578</v>
      </c>
      <c r="C1837" s="49" t="s">
        <v>449</v>
      </c>
      <c r="D1837">
        <v>99</v>
      </c>
      <c r="E1837" s="49" t="s">
        <v>378</v>
      </c>
    </row>
    <row r="1838" spans="1:5" x14ac:dyDescent="0.3">
      <c r="A1838" s="49" t="s">
        <v>1160</v>
      </c>
      <c r="B1838" s="49" t="s">
        <v>578</v>
      </c>
      <c r="C1838" s="49" t="s">
        <v>449</v>
      </c>
      <c r="D1838">
        <v>98</v>
      </c>
      <c r="E1838" s="49" t="s">
        <v>378</v>
      </c>
    </row>
    <row r="1839" spans="1:5" x14ac:dyDescent="0.3">
      <c r="A1839" s="49" t="s">
        <v>1160</v>
      </c>
      <c r="B1839" s="49" t="s">
        <v>578</v>
      </c>
      <c r="C1839" s="49" t="s">
        <v>449</v>
      </c>
      <c r="D1839">
        <v>99</v>
      </c>
      <c r="E1839" s="49" t="s">
        <v>378</v>
      </c>
    </row>
    <row r="1840" spans="1:5" x14ac:dyDescent="0.3">
      <c r="A1840" s="49" t="s">
        <v>1161</v>
      </c>
      <c r="B1840" s="49" t="s">
        <v>578</v>
      </c>
      <c r="C1840" s="49" t="s">
        <v>449</v>
      </c>
      <c r="D1840">
        <v>98</v>
      </c>
      <c r="E1840" s="49" t="s">
        <v>378</v>
      </c>
    </row>
    <row r="1841" spans="1:5" x14ac:dyDescent="0.3">
      <c r="A1841" s="49" t="s">
        <v>1161</v>
      </c>
      <c r="B1841" s="49" t="s">
        <v>578</v>
      </c>
      <c r="C1841" s="49" t="s">
        <v>449</v>
      </c>
      <c r="D1841">
        <v>99</v>
      </c>
      <c r="E1841" s="49" t="s">
        <v>378</v>
      </c>
    </row>
    <row r="1842" spans="1:5" x14ac:dyDescent="0.3">
      <c r="A1842" s="49" t="s">
        <v>1162</v>
      </c>
      <c r="B1842" s="49" t="s">
        <v>578</v>
      </c>
      <c r="C1842" s="49" t="s">
        <v>449</v>
      </c>
      <c r="D1842">
        <v>98</v>
      </c>
      <c r="E1842" s="49" t="s">
        <v>378</v>
      </c>
    </row>
    <row r="1843" spans="1:5" x14ac:dyDescent="0.3">
      <c r="A1843" s="49" t="s">
        <v>1162</v>
      </c>
      <c r="B1843" s="49" t="s">
        <v>578</v>
      </c>
      <c r="C1843" s="49" t="s">
        <v>449</v>
      </c>
      <c r="D1843">
        <v>99</v>
      </c>
      <c r="E1843" s="49" t="s">
        <v>378</v>
      </c>
    </row>
    <row r="1844" spans="1:5" x14ac:dyDescent="0.3">
      <c r="A1844" s="49" t="s">
        <v>1163</v>
      </c>
      <c r="B1844" s="49" t="s">
        <v>578</v>
      </c>
      <c r="C1844" s="49" t="s">
        <v>449</v>
      </c>
      <c r="D1844">
        <v>98</v>
      </c>
      <c r="E1844" s="49" t="s">
        <v>378</v>
      </c>
    </row>
    <row r="1845" spans="1:5" x14ac:dyDescent="0.3">
      <c r="A1845" s="49" t="s">
        <v>1163</v>
      </c>
      <c r="B1845" s="49" t="s">
        <v>578</v>
      </c>
      <c r="C1845" s="49" t="s">
        <v>449</v>
      </c>
      <c r="D1845">
        <v>99</v>
      </c>
      <c r="E1845" s="49" t="s">
        <v>378</v>
      </c>
    </row>
    <row r="1846" spans="1:5" x14ac:dyDescent="0.3">
      <c r="A1846" s="49" t="s">
        <v>1164</v>
      </c>
      <c r="B1846" s="49" t="s">
        <v>578</v>
      </c>
      <c r="C1846" s="49" t="s">
        <v>449</v>
      </c>
      <c r="D1846">
        <v>98</v>
      </c>
      <c r="E1846" s="49" t="s">
        <v>378</v>
      </c>
    </row>
    <row r="1847" spans="1:5" x14ac:dyDescent="0.3">
      <c r="A1847" s="49" t="s">
        <v>1164</v>
      </c>
      <c r="B1847" s="49" t="s">
        <v>578</v>
      </c>
      <c r="C1847" s="49" t="s">
        <v>449</v>
      </c>
      <c r="D1847">
        <v>99</v>
      </c>
      <c r="E1847" s="49" t="s">
        <v>378</v>
      </c>
    </row>
    <row r="1848" spans="1:5" x14ac:dyDescent="0.3">
      <c r="A1848" s="49" t="s">
        <v>1165</v>
      </c>
      <c r="B1848" s="49" t="s">
        <v>578</v>
      </c>
      <c r="C1848" s="49" t="s">
        <v>449</v>
      </c>
      <c r="D1848">
        <v>98</v>
      </c>
      <c r="E1848" s="49" t="s">
        <v>378</v>
      </c>
    </row>
    <row r="1849" spans="1:5" x14ac:dyDescent="0.3">
      <c r="A1849" s="49" t="s">
        <v>1165</v>
      </c>
      <c r="B1849" s="49" t="s">
        <v>578</v>
      </c>
      <c r="C1849" s="49" t="s">
        <v>449</v>
      </c>
      <c r="D1849">
        <v>99</v>
      </c>
      <c r="E1849" s="49" t="s">
        <v>378</v>
      </c>
    </row>
    <row r="1850" spans="1:5" x14ac:dyDescent="0.3">
      <c r="A1850" s="49" t="s">
        <v>1166</v>
      </c>
      <c r="B1850" s="49" t="s">
        <v>578</v>
      </c>
      <c r="C1850" s="49" t="s">
        <v>449</v>
      </c>
      <c r="D1850">
        <v>98</v>
      </c>
      <c r="E1850" s="49" t="s">
        <v>378</v>
      </c>
    </row>
    <row r="1851" spans="1:5" x14ac:dyDescent="0.3">
      <c r="A1851" s="49" t="s">
        <v>1166</v>
      </c>
      <c r="B1851" s="49" t="s">
        <v>578</v>
      </c>
      <c r="C1851" s="49" t="s">
        <v>449</v>
      </c>
      <c r="D1851">
        <v>99</v>
      </c>
      <c r="E1851" s="49" t="s">
        <v>378</v>
      </c>
    </row>
    <row r="1852" spans="1:5" x14ac:dyDescent="0.3">
      <c r="A1852" s="49" t="s">
        <v>1167</v>
      </c>
      <c r="B1852" s="49" t="s">
        <v>578</v>
      </c>
      <c r="C1852" s="49" t="s">
        <v>449</v>
      </c>
      <c r="D1852">
        <v>98</v>
      </c>
      <c r="E1852" s="49" t="s">
        <v>378</v>
      </c>
    </row>
    <row r="1853" spans="1:5" x14ac:dyDescent="0.3">
      <c r="A1853" s="49" t="s">
        <v>1167</v>
      </c>
      <c r="B1853" s="49" t="s">
        <v>578</v>
      </c>
      <c r="C1853" s="49" t="s">
        <v>449</v>
      </c>
      <c r="D1853">
        <v>99</v>
      </c>
      <c r="E1853" s="49" t="s">
        <v>378</v>
      </c>
    </row>
    <row r="1854" spans="1:5" x14ac:dyDescent="0.3">
      <c r="A1854" s="49" t="s">
        <v>1168</v>
      </c>
      <c r="B1854" s="49" t="s">
        <v>578</v>
      </c>
      <c r="C1854" s="49" t="s">
        <v>449</v>
      </c>
      <c r="D1854">
        <v>98</v>
      </c>
      <c r="E1854" s="49" t="s">
        <v>378</v>
      </c>
    </row>
    <row r="1855" spans="1:5" x14ac:dyDescent="0.3">
      <c r="A1855" s="49" t="s">
        <v>1168</v>
      </c>
      <c r="B1855" s="49" t="s">
        <v>578</v>
      </c>
      <c r="C1855" s="49" t="s">
        <v>449</v>
      </c>
      <c r="D1855">
        <v>99</v>
      </c>
      <c r="E1855" s="49" t="s">
        <v>378</v>
      </c>
    </row>
    <row r="1856" spans="1:5" x14ac:dyDescent="0.3">
      <c r="A1856" s="49" t="s">
        <v>1169</v>
      </c>
      <c r="B1856" s="49" t="s">
        <v>578</v>
      </c>
      <c r="C1856" s="49" t="s">
        <v>449</v>
      </c>
      <c r="D1856">
        <v>98</v>
      </c>
      <c r="E1856" s="49" t="s">
        <v>378</v>
      </c>
    </row>
    <row r="1857" spans="1:5" x14ac:dyDescent="0.3">
      <c r="A1857" s="49" t="s">
        <v>1169</v>
      </c>
      <c r="B1857" s="49" t="s">
        <v>578</v>
      </c>
      <c r="C1857" s="49" t="s">
        <v>449</v>
      </c>
      <c r="D1857">
        <v>99</v>
      </c>
      <c r="E1857" s="49" t="s">
        <v>378</v>
      </c>
    </row>
    <row r="1858" spans="1:5" x14ac:dyDescent="0.3">
      <c r="A1858" s="49" t="s">
        <v>1170</v>
      </c>
      <c r="B1858" s="49" t="s">
        <v>578</v>
      </c>
      <c r="C1858" s="49" t="s">
        <v>449</v>
      </c>
      <c r="D1858">
        <v>98</v>
      </c>
      <c r="E1858" s="49" t="s">
        <v>378</v>
      </c>
    </row>
    <row r="1859" spans="1:5" x14ac:dyDescent="0.3">
      <c r="A1859" s="49" t="s">
        <v>1170</v>
      </c>
      <c r="B1859" s="49" t="s">
        <v>578</v>
      </c>
      <c r="C1859" s="49" t="s">
        <v>449</v>
      </c>
      <c r="D1859">
        <v>99</v>
      </c>
      <c r="E1859" s="49" t="s">
        <v>378</v>
      </c>
    </row>
    <row r="1860" spans="1:5" x14ac:dyDescent="0.3">
      <c r="A1860" s="49" t="s">
        <v>1171</v>
      </c>
      <c r="B1860" s="49" t="s">
        <v>578</v>
      </c>
      <c r="C1860" s="49" t="s">
        <v>449</v>
      </c>
      <c r="D1860">
        <v>98</v>
      </c>
      <c r="E1860" s="49" t="s">
        <v>378</v>
      </c>
    </row>
    <row r="1861" spans="1:5" x14ac:dyDescent="0.3">
      <c r="A1861" s="49" t="s">
        <v>1171</v>
      </c>
      <c r="B1861" s="49" t="s">
        <v>578</v>
      </c>
      <c r="C1861" s="49" t="s">
        <v>449</v>
      </c>
      <c r="D1861">
        <v>99</v>
      </c>
      <c r="E1861" s="49" t="s">
        <v>378</v>
      </c>
    </row>
    <row r="1862" spans="1:5" x14ac:dyDescent="0.3">
      <c r="A1862" s="49" t="s">
        <v>1172</v>
      </c>
      <c r="B1862" s="49" t="s">
        <v>578</v>
      </c>
      <c r="C1862" s="49" t="s">
        <v>449</v>
      </c>
      <c r="D1862">
        <v>98</v>
      </c>
      <c r="E1862" s="49" t="s">
        <v>378</v>
      </c>
    </row>
    <row r="1863" spans="1:5" x14ac:dyDescent="0.3">
      <c r="A1863" s="49" t="s">
        <v>1172</v>
      </c>
      <c r="B1863" s="49" t="s">
        <v>578</v>
      </c>
      <c r="C1863" s="49" t="s">
        <v>449</v>
      </c>
      <c r="D1863">
        <v>99</v>
      </c>
      <c r="E1863" s="49" t="s">
        <v>378</v>
      </c>
    </row>
    <row r="1864" spans="1:5" x14ac:dyDescent="0.3">
      <c r="A1864" s="49" t="s">
        <v>1173</v>
      </c>
      <c r="B1864" s="49" t="s">
        <v>578</v>
      </c>
      <c r="C1864" s="49" t="s">
        <v>449</v>
      </c>
      <c r="D1864">
        <v>98</v>
      </c>
      <c r="E1864" s="49" t="s">
        <v>378</v>
      </c>
    </row>
    <row r="1865" spans="1:5" x14ac:dyDescent="0.3">
      <c r="A1865" s="49" t="s">
        <v>1173</v>
      </c>
      <c r="B1865" s="49" t="s">
        <v>578</v>
      </c>
      <c r="C1865" s="49" t="s">
        <v>449</v>
      </c>
      <c r="D1865">
        <v>99</v>
      </c>
      <c r="E1865" s="49" t="s">
        <v>378</v>
      </c>
    </row>
    <row r="1866" spans="1:5" x14ac:dyDescent="0.3">
      <c r="A1866" s="49" t="s">
        <v>1174</v>
      </c>
      <c r="B1866" s="49" t="s">
        <v>578</v>
      </c>
      <c r="C1866" s="49" t="s">
        <v>449</v>
      </c>
      <c r="D1866">
        <v>98</v>
      </c>
      <c r="E1866" s="49" t="s">
        <v>378</v>
      </c>
    </row>
    <row r="1867" spans="1:5" x14ac:dyDescent="0.3">
      <c r="A1867" s="49" t="s">
        <v>1174</v>
      </c>
      <c r="B1867" s="49" t="s">
        <v>578</v>
      </c>
      <c r="C1867" s="49" t="s">
        <v>449</v>
      </c>
      <c r="D1867">
        <v>99</v>
      </c>
      <c r="E1867" s="49" t="s">
        <v>378</v>
      </c>
    </row>
    <row r="1868" spans="1:5" x14ac:dyDescent="0.3">
      <c r="A1868" s="49" t="s">
        <v>1175</v>
      </c>
      <c r="B1868" s="49" t="s">
        <v>578</v>
      </c>
      <c r="C1868" s="49" t="s">
        <v>449</v>
      </c>
      <c r="D1868">
        <v>98</v>
      </c>
      <c r="E1868" s="49" t="s">
        <v>378</v>
      </c>
    </row>
    <row r="1869" spans="1:5" x14ac:dyDescent="0.3">
      <c r="A1869" s="49" t="s">
        <v>1175</v>
      </c>
      <c r="B1869" s="49" t="s">
        <v>578</v>
      </c>
      <c r="C1869" s="49" t="s">
        <v>449</v>
      </c>
      <c r="D1869">
        <v>99</v>
      </c>
      <c r="E1869" s="49" t="s">
        <v>378</v>
      </c>
    </row>
    <row r="1870" spans="1:5" x14ac:dyDescent="0.3">
      <c r="A1870" s="49" t="s">
        <v>1176</v>
      </c>
      <c r="B1870" s="49" t="s">
        <v>578</v>
      </c>
      <c r="C1870" s="49" t="s">
        <v>449</v>
      </c>
      <c r="D1870">
        <v>98</v>
      </c>
      <c r="E1870" s="49" t="s">
        <v>378</v>
      </c>
    </row>
    <row r="1871" spans="1:5" x14ac:dyDescent="0.3">
      <c r="A1871" s="49" t="s">
        <v>1176</v>
      </c>
      <c r="B1871" s="49" t="s">
        <v>578</v>
      </c>
      <c r="C1871" s="49" t="s">
        <v>449</v>
      </c>
      <c r="D1871">
        <v>99</v>
      </c>
      <c r="E1871" s="49" t="s">
        <v>378</v>
      </c>
    </row>
    <row r="1872" spans="1:5" x14ac:dyDescent="0.3">
      <c r="A1872" s="49" t="s">
        <v>1177</v>
      </c>
      <c r="B1872" s="49" t="s">
        <v>578</v>
      </c>
      <c r="C1872" s="49" t="s">
        <v>449</v>
      </c>
      <c r="D1872">
        <v>98</v>
      </c>
      <c r="E1872" s="49" t="s">
        <v>378</v>
      </c>
    </row>
    <row r="1873" spans="1:5" x14ac:dyDescent="0.3">
      <c r="A1873" s="49" t="s">
        <v>1177</v>
      </c>
      <c r="B1873" s="49" t="s">
        <v>578</v>
      </c>
      <c r="C1873" s="49" t="s">
        <v>449</v>
      </c>
      <c r="D1873">
        <v>99</v>
      </c>
      <c r="E1873" s="49" t="s">
        <v>378</v>
      </c>
    </row>
    <row r="1874" spans="1:5" x14ac:dyDescent="0.3">
      <c r="A1874" s="49" t="s">
        <v>1178</v>
      </c>
      <c r="B1874" s="49" t="s">
        <v>578</v>
      </c>
      <c r="C1874" s="49" t="s">
        <v>449</v>
      </c>
      <c r="D1874">
        <v>98</v>
      </c>
      <c r="E1874" s="49" t="s">
        <v>378</v>
      </c>
    </row>
    <row r="1875" spans="1:5" x14ac:dyDescent="0.3">
      <c r="A1875" s="49" t="s">
        <v>1178</v>
      </c>
      <c r="B1875" s="49" t="s">
        <v>578</v>
      </c>
      <c r="C1875" s="49" t="s">
        <v>449</v>
      </c>
      <c r="D1875">
        <v>99</v>
      </c>
      <c r="E1875" s="49" t="s">
        <v>378</v>
      </c>
    </row>
    <row r="1876" spans="1:5" x14ac:dyDescent="0.3">
      <c r="A1876" s="49" t="s">
        <v>1179</v>
      </c>
      <c r="B1876" s="49" t="s">
        <v>578</v>
      </c>
      <c r="C1876" s="49" t="s">
        <v>449</v>
      </c>
      <c r="D1876">
        <v>98</v>
      </c>
      <c r="E1876" s="49" t="s">
        <v>378</v>
      </c>
    </row>
    <row r="1877" spans="1:5" x14ac:dyDescent="0.3">
      <c r="A1877" s="49" t="s">
        <v>1179</v>
      </c>
      <c r="B1877" s="49" t="s">
        <v>578</v>
      </c>
      <c r="C1877" s="49" t="s">
        <v>449</v>
      </c>
      <c r="D1877">
        <v>99</v>
      </c>
      <c r="E1877" s="49" t="s">
        <v>378</v>
      </c>
    </row>
    <row r="1878" spans="1:5" x14ac:dyDescent="0.3">
      <c r="A1878" s="49" t="s">
        <v>1180</v>
      </c>
      <c r="B1878" s="49" t="s">
        <v>578</v>
      </c>
      <c r="C1878" s="49" t="s">
        <v>449</v>
      </c>
      <c r="D1878">
        <v>98</v>
      </c>
      <c r="E1878" s="49" t="s">
        <v>378</v>
      </c>
    </row>
    <row r="1879" spans="1:5" x14ac:dyDescent="0.3">
      <c r="A1879" s="49" t="s">
        <v>1180</v>
      </c>
      <c r="B1879" s="49" t="s">
        <v>578</v>
      </c>
      <c r="C1879" s="49" t="s">
        <v>449</v>
      </c>
      <c r="D1879">
        <v>99</v>
      </c>
      <c r="E1879" s="49" t="s">
        <v>378</v>
      </c>
    </row>
    <row r="1880" spans="1:5" x14ac:dyDescent="0.3">
      <c r="A1880" s="49" t="s">
        <v>1181</v>
      </c>
      <c r="B1880" s="49" t="s">
        <v>578</v>
      </c>
      <c r="C1880" s="49" t="s">
        <v>449</v>
      </c>
      <c r="D1880">
        <v>98</v>
      </c>
      <c r="E1880" s="49" t="s">
        <v>378</v>
      </c>
    </row>
    <row r="1881" spans="1:5" x14ac:dyDescent="0.3">
      <c r="A1881" s="49" t="s">
        <v>1181</v>
      </c>
      <c r="B1881" s="49" t="s">
        <v>578</v>
      </c>
      <c r="C1881" s="49" t="s">
        <v>449</v>
      </c>
      <c r="D1881">
        <v>99</v>
      </c>
      <c r="E1881" s="49" t="s">
        <v>378</v>
      </c>
    </row>
    <row r="1882" spans="1:5" x14ac:dyDescent="0.3">
      <c r="A1882" s="49" t="s">
        <v>1182</v>
      </c>
      <c r="B1882" s="49" t="s">
        <v>578</v>
      </c>
      <c r="C1882" s="49" t="s">
        <v>449</v>
      </c>
      <c r="D1882">
        <v>98</v>
      </c>
      <c r="E1882" s="49" t="s">
        <v>378</v>
      </c>
    </row>
    <row r="1883" spans="1:5" x14ac:dyDescent="0.3">
      <c r="A1883" s="49" t="s">
        <v>1182</v>
      </c>
      <c r="B1883" s="49" t="s">
        <v>578</v>
      </c>
      <c r="C1883" s="49" t="s">
        <v>449</v>
      </c>
      <c r="D1883">
        <v>99</v>
      </c>
      <c r="E1883" s="49" t="s">
        <v>378</v>
      </c>
    </row>
    <row r="1884" spans="1:5" x14ac:dyDescent="0.3">
      <c r="A1884" s="49" t="s">
        <v>1183</v>
      </c>
      <c r="B1884" s="49" t="s">
        <v>578</v>
      </c>
      <c r="C1884" s="49" t="s">
        <v>449</v>
      </c>
      <c r="D1884">
        <v>98</v>
      </c>
      <c r="E1884" s="49" t="s">
        <v>378</v>
      </c>
    </row>
    <row r="1885" spans="1:5" x14ac:dyDescent="0.3">
      <c r="A1885" s="49" t="s">
        <v>1183</v>
      </c>
      <c r="B1885" s="49" t="s">
        <v>578</v>
      </c>
      <c r="C1885" s="49" t="s">
        <v>449</v>
      </c>
      <c r="D1885">
        <v>99</v>
      </c>
      <c r="E1885" s="49" t="s">
        <v>378</v>
      </c>
    </row>
    <row r="1886" spans="1:5" x14ac:dyDescent="0.3">
      <c r="A1886" s="49" t="s">
        <v>1184</v>
      </c>
      <c r="B1886" s="49" t="s">
        <v>578</v>
      </c>
      <c r="C1886" s="49" t="s">
        <v>449</v>
      </c>
      <c r="D1886">
        <v>98</v>
      </c>
      <c r="E1886" s="49" t="s">
        <v>378</v>
      </c>
    </row>
    <row r="1887" spans="1:5" x14ac:dyDescent="0.3">
      <c r="A1887" s="49" t="s">
        <v>1184</v>
      </c>
      <c r="B1887" s="49" t="s">
        <v>578</v>
      </c>
      <c r="C1887" s="49" t="s">
        <v>449</v>
      </c>
      <c r="D1887">
        <v>99</v>
      </c>
      <c r="E1887" s="49" t="s">
        <v>378</v>
      </c>
    </row>
    <row r="1888" spans="1:5" x14ac:dyDescent="0.3">
      <c r="A1888" s="49" t="s">
        <v>1185</v>
      </c>
      <c r="B1888" s="49" t="s">
        <v>578</v>
      </c>
      <c r="C1888" s="49" t="s">
        <v>449</v>
      </c>
      <c r="D1888">
        <v>98</v>
      </c>
      <c r="E1888" s="49" t="s">
        <v>378</v>
      </c>
    </row>
    <row r="1889" spans="1:5" x14ac:dyDescent="0.3">
      <c r="A1889" s="49" t="s">
        <v>1185</v>
      </c>
      <c r="B1889" s="49" t="s">
        <v>578</v>
      </c>
      <c r="C1889" s="49" t="s">
        <v>449</v>
      </c>
      <c r="D1889">
        <v>99</v>
      </c>
      <c r="E1889" s="49" t="s">
        <v>378</v>
      </c>
    </row>
    <row r="1890" spans="1:5" x14ac:dyDescent="0.3">
      <c r="A1890" s="49" t="s">
        <v>1186</v>
      </c>
      <c r="B1890" s="49" t="s">
        <v>578</v>
      </c>
      <c r="C1890" s="49" t="s">
        <v>449</v>
      </c>
      <c r="D1890">
        <v>98</v>
      </c>
      <c r="E1890" s="49" t="s">
        <v>378</v>
      </c>
    </row>
    <row r="1891" spans="1:5" x14ac:dyDescent="0.3">
      <c r="A1891" s="49" t="s">
        <v>1186</v>
      </c>
      <c r="B1891" s="49" t="s">
        <v>578</v>
      </c>
      <c r="C1891" s="49" t="s">
        <v>449</v>
      </c>
      <c r="D1891">
        <v>99</v>
      </c>
      <c r="E1891" s="49" t="s">
        <v>378</v>
      </c>
    </row>
    <row r="1892" spans="1:5" x14ac:dyDescent="0.3">
      <c r="A1892" s="49" t="s">
        <v>1187</v>
      </c>
      <c r="B1892" s="49" t="s">
        <v>578</v>
      </c>
      <c r="C1892" s="49" t="s">
        <v>449</v>
      </c>
      <c r="D1892">
        <v>98</v>
      </c>
      <c r="E1892" s="49" t="s">
        <v>378</v>
      </c>
    </row>
    <row r="1893" spans="1:5" x14ac:dyDescent="0.3">
      <c r="A1893" s="49" t="s">
        <v>1187</v>
      </c>
      <c r="B1893" s="49" t="s">
        <v>578</v>
      </c>
      <c r="C1893" s="49" t="s">
        <v>449</v>
      </c>
      <c r="D1893">
        <v>99</v>
      </c>
      <c r="E1893" s="49" t="s">
        <v>378</v>
      </c>
    </row>
    <row r="1894" spans="1:5" x14ac:dyDescent="0.3">
      <c r="A1894" s="49" t="s">
        <v>1188</v>
      </c>
      <c r="B1894" s="49" t="s">
        <v>578</v>
      </c>
      <c r="C1894" s="49" t="s">
        <v>449</v>
      </c>
      <c r="D1894">
        <v>98</v>
      </c>
      <c r="E1894" s="49" t="s">
        <v>378</v>
      </c>
    </row>
    <row r="1895" spans="1:5" x14ac:dyDescent="0.3">
      <c r="A1895" s="49" t="s">
        <v>1188</v>
      </c>
      <c r="B1895" s="49" t="s">
        <v>578</v>
      </c>
      <c r="C1895" s="49" t="s">
        <v>449</v>
      </c>
      <c r="D1895">
        <v>99</v>
      </c>
      <c r="E1895" s="49" t="s">
        <v>378</v>
      </c>
    </row>
    <row r="1896" spans="1:5" x14ac:dyDescent="0.3">
      <c r="A1896" s="49" t="s">
        <v>1189</v>
      </c>
      <c r="B1896" s="49" t="s">
        <v>578</v>
      </c>
      <c r="C1896" s="49" t="s">
        <v>449</v>
      </c>
      <c r="D1896">
        <v>98</v>
      </c>
      <c r="E1896" s="49" t="s">
        <v>378</v>
      </c>
    </row>
    <row r="1897" spans="1:5" x14ac:dyDescent="0.3">
      <c r="A1897" s="49" t="s">
        <v>1189</v>
      </c>
      <c r="B1897" s="49" t="s">
        <v>578</v>
      </c>
      <c r="C1897" s="49" t="s">
        <v>449</v>
      </c>
      <c r="D1897">
        <v>99</v>
      </c>
      <c r="E1897" s="49" t="s">
        <v>378</v>
      </c>
    </row>
    <row r="1898" spans="1:5" x14ac:dyDescent="0.3">
      <c r="A1898" s="49" t="s">
        <v>1190</v>
      </c>
      <c r="B1898" s="49" t="s">
        <v>578</v>
      </c>
      <c r="C1898" s="49" t="s">
        <v>449</v>
      </c>
      <c r="D1898">
        <v>98</v>
      </c>
      <c r="E1898" s="49" t="s">
        <v>378</v>
      </c>
    </row>
    <row r="1899" spans="1:5" x14ac:dyDescent="0.3">
      <c r="A1899" s="49" t="s">
        <v>1190</v>
      </c>
      <c r="B1899" s="49" t="s">
        <v>578</v>
      </c>
      <c r="C1899" s="49" t="s">
        <v>449</v>
      </c>
      <c r="D1899">
        <v>99</v>
      </c>
      <c r="E1899" s="49" t="s">
        <v>378</v>
      </c>
    </row>
    <row r="1900" spans="1:5" x14ac:dyDescent="0.3">
      <c r="A1900" s="49" t="s">
        <v>1191</v>
      </c>
      <c r="B1900" s="49" t="s">
        <v>578</v>
      </c>
      <c r="C1900" s="49" t="s">
        <v>449</v>
      </c>
      <c r="D1900">
        <v>98</v>
      </c>
      <c r="E1900" s="49" t="s">
        <v>378</v>
      </c>
    </row>
    <row r="1901" spans="1:5" x14ac:dyDescent="0.3">
      <c r="A1901" s="49" t="s">
        <v>1191</v>
      </c>
      <c r="B1901" s="49" t="s">
        <v>578</v>
      </c>
      <c r="C1901" s="49" t="s">
        <v>449</v>
      </c>
      <c r="D1901">
        <v>99</v>
      </c>
      <c r="E1901" s="49" t="s">
        <v>378</v>
      </c>
    </row>
    <row r="1902" spans="1:5" x14ac:dyDescent="0.3">
      <c r="A1902" s="49" t="s">
        <v>1192</v>
      </c>
      <c r="B1902" s="49" t="s">
        <v>578</v>
      </c>
      <c r="C1902" s="49" t="s">
        <v>449</v>
      </c>
      <c r="D1902">
        <v>98</v>
      </c>
      <c r="E1902" s="49" t="s">
        <v>378</v>
      </c>
    </row>
    <row r="1903" spans="1:5" x14ac:dyDescent="0.3">
      <c r="A1903" s="49" t="s">
        <v>1192</v>
      </c>
      <c r="B1903" s="49" t="s">
        <v>578</v>
      </c>
      <c r="C1903" s="49" t="s">
        <v>449</v>
      </c>
      <c r="D1903">
        <v>99</v>
      </c>
      <c r="E1903" s="49" t="s">
        <v>378</v>
      </c>
    </row>
    <row r="1904" spans="1:5" x14ac:dyDescent="0.3">
      <c r="A1904" s="49" t="s">
        <v>1193</v>
      </c>
      <c r="B1904" s="49" t="s">
        <v>578</v>
      </c>
      <c r="C1904" s="49" t="s">
        <v>449</v>
      </c>
      <c r="D1904">
        <v>98</v>
      </c>
      <c r="E1904" s="49" t="s">
        <v>378</v>
      </c>
    </row>
    <row r="1905" spans="1:5" x14ac:dyDescent="0.3">
      <c r="A1905" s="49" t="s">
        <v>1193</v>
      </c>
      <c r="B1905" s="49" t="s">
        <v>578</v>
      </c>
      <c r="C1905" s="49" t="s">
        <v>449</v>
      </c>
      <c r="D1905">
        <v>99</v>
      </c>
      <c r="E1905" s="49" t="s">
        <v>378</v>
      </c>
    </row>
    <row r="1906" spans="1:5" x14ac:dyDescent="0.3">
      <c r="A1906" s="49" t="s">
        <v>1194</v>
      </c>
      <c r="B1906" s="49" t="s">
        <v>578</v>
      </c>
      <c r="C1906" s="49" t="s">
        <v>449</v>
      </c>
      <c r="D1906">
        <v>98</v>
      </c>
      <c r="E1906" s="49" t="s">
        <v>378</v>
      </c>
    </row>
    <row r="1907" spans="1:5" x14ac:dyDescent="0.3">
      <c r="A1907" s="49" t="s">
        <v>1194</v>
      </c>
      <c r="B1907" s="49" t="s">
        <v>578</v>
      </c>
      <c r="C1907" s="49" t="s">
        <v>449</v>
      </c>
      <c r="D1907">
        <v>99</v>
      </c>
      <c r="E1907" s="49" t="s">
        <v>378</v>
      </c>
    </row>
    <row r="1908" spans="1:5" x14ac:dyDescent="0.3">
      <c r="A1908" s="49" t="s">
        <v>1195</v>
      </c>
      <c r="B1908" s="49" t="s">
        <v>578</v>
      </c>
      <c r="C1908" s="49" t="s">
        <v>449</v>
      </c>
      <c r="D1908">
        <v>98</v>
      </c>
      <c r="E1908" s="49" t="s">
        <v>378</v>
      </c>
    </row>
    <row r="1909" spans="1:5" x14ac:dyDescent="0.3">
      <c r="A1909" s="49" t="s">
        <v>1195</v>
      </c>
      <c r="B1909" s="49" t="s">
        <v>578</v>
      </c>
      <c r="C1909" s="49" t="s">
        <v>449</v>
      </c>
      <c r="D1909">
        <v>99</v>
      </c>
      <c r="E1909" s="49" t="s">
        <v>378</v>
      </c>
    </row>
    <row r="1910" spans="1:5" x14ac:dyDescent="0.3">
      <c r="A1910" s="49" t="s">
        <v>1196</v>
      </c>
      <c r="B1910" s="49" t="s">
        <v>578</v>
      </c>
      <c r="C1910" s="49" t="s">
        <v>449</v>
      </c>
      <c r="D1910">
        <v>98</v>
      </c>
      <c r="E1910" s="49" t="s">
        <v>378</v>
      </c>
    </row>
    <row r="1911" spans="1:5" x14ac:dyDescent="0.3">
      <c r="A1911" s="49" t="s">
        <v>1196</v>
      </c>
      <c r="B1911" s="49" t="s">
        <v>578</v>
      </c>
      <c r="C1911" s="49" t="s">
        <v>449</v>
      </c>
      <c r="D1911">
        <v>99</v>
      </c>
      <c r="E1911" s="49" t="s">
        <v>378</v>
      </c>
    </row>
    <row r="1912" spans="1:5" x14ac:dyDescent="0.3">
      <c r="A1912" s="49" t="s">
        <v>1197</v>
      </c>
      <c r="B1912" s="49" t="s">
        <v>578</v>
      </c>
      <c r="C1912" s="49" t="s">
        <v>449</v>
      </c>
      <c r="D1912">
        <v>98</v>
      </c>
      <c r="E1912" s="49" t="s">
        <v>378</v>
      </c>
    </row>
    <row r="1913" spans="1:5" x14ac:dyDescent="0.3">
      <c r="A1913" s="49" t="s">
        <v>1197</v>
      </c>
      <c r="B1913" s="49" t="s">
        <v>578</v>
      </c>
      <c r="C1913" s="49" t="s">
        <v>449</v>
      </c>
      <c r="D1913">
        <v>99</v>
      </c>
      <c r="E1913" s="49" t="s">
        <v>378</v>
      </c>
    </row>
    <row r="1914" spans="1:5" x14ac:dyDescent="0.3">
      <c r="A1914" s="49" t="s">
        <v>1198</v>
      </c>
      <c r="B1914" s="49" t="s">
        <v>578</v>
      </c>
      <c r="C1914" s="49" t="s">
        <v>449</v>
      </c>
      <c r="D1914">
        <v>98</v>
      </c>
      <c r="E1914" s="49" t="s">
        <v>378</v>
      </c>
    </row>
    <row r="1915" spans="1:5" x14ac:dyDescent="0.3">
      <c r="A1915" s="49" t="s">
        <v>1198</v>
      </c>
      <c r="B1915" s="49" t="s">
        <v>578</v>
      </c>
      <c r="C1915" s="49" t="s">
        <v>449</v>
      </c>
      <c r="D1915">
        <v>99</v>
      </c>
      <c r="E1915" s="49" t="s">
        <v>378</v>
      </c>
    </row>
    <row r="1916" spans="1:5" x14ac:dyDescent="0.3">
      <c r="A1916" s="49" t="s">
        <v>1199</v>
      </c>
      <c r="B1916" s="49" t="s">
        <v>578</v>
      </c>
      <c r="C1916" s="49" t="s">
        <v>449</v>
      </c>
      <c r="D1916">
        <v>98</v>
      </c>
      <c r="E1916" s="49" t="s">
        <v>378</v>
      </c>
    </row>
    <row r="1917" spans="1:5" x14ac:dyDescent="0.3">
      <c r="A1917" s="49" t="s">
        <v>1199</v>
      </c>
      <c r="B1917" s="49" t="s">
        <v>578</v>
      </c>
      <c r="C1917" s="49" t="s">
        <v>449</v>
      </c>
      <c r="D1917">
        <v>99</v>
      </c>
      <c r="E1917" s="49" t="s">
        <v>378</v>
      </c>
    </row>
    <row r="1918" spans="1:5" x14ac:dyDescent="0.3">
      <c r="A1918" s="49" t="s">
        <v>1200</v>
      </c>
      <c r="B1918" s="49" t="s">
        <v>578</v>
      </c>
      <c r="C1918" s="49" t="s">
        <v>449</v>
      </c>
      <c r="D1918">
        <v>98</v>
      </c>
      <c r="E1918" s="49" t="s">
        <v>378</v>
      </c>
    </row>
    <row r="1919" spans="1:5" x14ac:dyDescent="0.3">
      <c r="A1919" s="49" t="s">
        <v>1200</v>
      </c>
      <c r="B1919" s="49" t="s">
        <v>578</v>
      </c>
      <c r="C1919" s="49" t="s">
        <v>449</v>
      </c>
      <c r="D1919">
        <v>99</v>
      </c>
      <c r="E1919" s="49" t="s">
        <v>378</v>
      </c>
    </row>
    <row r="1920" spans="1:5" x14ac:dyDescent="0.3">
      <c r="A1920" s="49" t="s">
        <v>1201</v>
      </c>
      <c r="B1920" s="49" t="s">
        <v>578</v>
      </c>
      <c r="C1920" s="49" t="s">
        <v>449</v>
      </c>
      <c r="D1920">
        <v>98</v>
      </c>
      <c r="E1920" s="49" t="s">
        <v>378</v>
      </c>
    </row>
    <row r="1921" spans="1:5" x14ac:dyDescent="0.3">
      <c r="A1921" s="49" t="s">
        <v>1201</v>
      </c>
      <c r="B1921" s="49" t="s">
        <v>578</v>
      </c>
      <c r="C1921" s="49" t="s">
        <v>449</v>
      </c>
      <c r="D1921">
        <v>99</v>
      </c>
      <c r="E1921" s="49" t="s">
        <v>378</v>
      </c>
    </row>
    <row r="1922" spans="1:5" x14ac:dyDescent="0.3">
      <c r="A1922" s="49" t="s">
        <v>1202</v>
      </c>
      <c r="B1922" s="49" t="s">
        <v>578</v>
      </c>
      <c r="C1922" s="49" t="s">
        <v>449</v>
      </c>
      <c r="D1922">
        <v>98</v>
      </c>
      <c r="E1922" s="49" t="s">
        <v>378</v>
      </c>
    </row>
    <row r="1923" spans="1:5" x14ac:dyDescent="0.3">
      <c r="A1923" s="49" t="s">
        <v>1202</v>
      </c>
      <c r="B1923" s="49" t="s">
        <v>578</v>
      </c>
      <c r="C1923" s="49" t="s">
        <v>449</v>
      </c>
      <c r="D1923">
        <v>99</v>
      </c>
      <c r="E1923" s="49" t="s">
        <v>378</v>
      </c>
    </row>
    <row r="1924" spans="1:5" x14ac:dyDescent="0.3">
      <c r="A1924" s="49" t="s">
        <v>1203</v>
      </c>
      <c r="B1924" s="49" t="s">
        <v>578</v>
      </c>
      <c r="C1924" s="49" t="s">
        <v>449</v>
      </c>
      <c r="D1924">
        <v>98</v>
      </c>
      <c r="E1924" s="49" t="s">
        <v>378</v>
      </c>
    </row>
    <row r="1925" spans="1:5" x14ac:dyDescent="0.3">
      <c r="A1925" s="49" t="s">
        <v>1203</v>
      </c>
      <c r="B1925" s="49" t="s">
        <v>578</v>
      </c>
      <c r="C1925" s="49" t="s">
        <v>449</v>
      </c>
      <c r="D1925">
        <v>99</v>
      </c>
      <c r="E1925" s="49" t="s">
        <v>378</v>
      </c>
    </row>
    <row r="1926" spans="1:5" x14ac:dyDescent="0.3">
      <c r="A1926" s="49" t="s">
        <v>1204</v>
      </c>
      <c r="B1926" s="49" t="s">
        <v>578</v>
      </c>
      <c r="C1926" s="49" t="s">
        <v>449</v>
      </c>
      <c r="D1926">
        <v>98</v>
      </c>
      <c r="E1926" s="49" t="s">
        <v>378</v>
      </c>
    </row>
    <row r="1927" spans="1:5" x14ac:dyDescent="0.3">
      <c r="A1927" s="49" t="s">
        <v>1204</v>
      </c>
      <c r="B1927" s="49" t="s">
        <v>578</v>
      </c>
      <c r="C1927" s="49" t="s">
        <v>449</v>
      </c>
      <c r="D1927">
        <v>99</v>
      </c>
      <c r="E1927" s="49" t="s">
        <v>378</v>
      </c>
    </row>
    <row r="1928" spans="1:5" x14ac:dyDescent="0.3">
      <c r="A1928" s="49" t="s">
        <v>1205</v>
      </c>
      <c r="B1928" s="49" t="s">
        <v>578</v>
      </c>
      <c r="C1928" s="49" t="s">
        <v>449</v>
      </c>
      <c r="D1928">
        <v>98</v>
      </c>
      <c r="E1928" s="49" t="s">
        <v>378</v>
      </c>
    </row>
    <row r="1929" spans="1:5" x14ac:dyDescent="0.3">
      <c r="A1929" s="49" t="s">
        <v>1205</v>
      </c>
      <c r="B1929" s="49" t="s">
        <v>578</v>
      </c>
      <c r="C1929" s="49" t="s">
        <v>449</v>
      </c>
      <c r="D1929">
        <v>99</v>
      </c>
      <c r="E1929" s="49" t="s">
        <v>378</v>
      </c>
    </row>
    <row r="1930" spans="1:5" x14ac:dyDescent="0.3">
      <c r="A1930" s="49" t="s">
        <v>1206</v>
      </c>
      <c r="B1930" s="49" t="s">
        <v>578</v>
      </c>
      <c r="C1930" s="49" t="s">
        <v>449</v>
      </c>
      <c r="D1930">
        <v>98</v>
      </c>
      <c r="E1930" s="49" t="s">
        <v>378</v>
      </c>
    </row>
    <row r="1931" spans="1:5" x14ac:dyDescent="0.3">
      <c r="A1931" s="49" t="s">
        <v>1206</v>
      </c>
      <c r="B1931" s="49" t="s">
        <v>578</v>
      </c>
      <c r="C1931" s="49" t="s">
        <v>449</v>
      </c>
      <c r="D1931">
        <v>99</v>
      </c>
      <c r="E1931" s="49" t="s">
        <v>378</v>
      </c>
    </row>
    <row r="1932" spans="1:5" x14ac:dyDescent="0.3">
      <c r="A1932" s="49" t="s">
        <v>1207</v>
      </c>
      <c r="B1932" s="49" t="s">
        <v>578</v>
      </c>
      <c r="C1932" s="49" t="s">
        <v>449</v>
      </c>
      <c r="D1932">
        <v>98</v>
      </c>
      <c r="E1932" s="49" t="s">
        <v>378</v>
      </c>
    </row>
    <row r="1933" spans="1:5" x14ac:dyDescent="0.3">
      <c r="A1933" s="49" t="s">
        <v>1207</v>
      </c>
      <c r="B1933" s="49" t="s">
        <v>578</v>
      </c>
      <c r="C1933" s="49" t="s">
        <v>449</v>
      </c>
      <c r="D1933">
        <v>99</v>
      </c>
      <c r="E1933" s="49" t="s">
        <v>378</v>
      </c>
    </row>
    <row r="1934" spans="1:5" x14ac:dyDescent="0.3">
      <c r="A1934" s="49" t="s">
        <v>1208</v>
      </c>
      <c r="B1934" s="49" t="s">
        <v>578</v>
      </c>
      <c r="C1934" s="49" t="s">
        <v>449</v>
      </c>
      <c r="D1934">
        <v>98</v>
      </c>
      <c r="E1934" s="49" t="s">
        <v>378</v>
      </c>
    </row>
    <row r="1935" spans="1:5" x14ac:dyDescent="0.3">
      <c r="A1935" s="49" t="s">
        <v>1208</v>
      </c>
      <c r="B1935" s="49" t="s">
        <v>578</v>
      </c>
      <c r="C1935" s="49" t="s">
        <v>449</v>
      </c>
      <c r="D1935">
        <v>99</v>
      </c>
      <c r="E1935" s="49" t="s">
        <v>378</v>
      </c>
    </row>
    <row r="1936" spans="1:5" x14ac:dyDescent="0.3">
      <c r="A1936" s="49" t="s">
        <v>1209</v>
      </c>
      <c r="B1936" s="49" t="s">
        <v>578</v>
      </c>
      <c r="C1936" s="49" t="s">
        <v>449</v>
      </c>
      <c r="D1936">
        <v>98</v>
      </c>
      <c r="E1936" s="49" t="s">
        <v>378</v>
      </c>
    </row>
    <row r="1937" spans="1:5" x14ac:dyDescent="0.3">
      <c r="A1937" s="49" t="s">
        <v>1209</v>
      </c>
      <c r="B1937" s="49" t="s">
        <v>578</v>
      </c>
      <c r="C1937" s="49" t="s">
        <v>449</v>
      </c>
      <c r="D1937">
        <v>99</v>
      </c>
      <c r="E1937" s="49" t="s">
        <v>378</v>
      </c>
    </row>
    <row r="1938" spans="1:5" x14ac:dyDescent="0.3">
      <c r="A1938" s="49" t="s">
        <v>1210</v>
      </c>
      <c r="B1938" s="49" t="s">
        <v>578</v>
      </c>
      <c r="C1938" s="49" t="s">
        <v>449</v>
      </c>
      <c r="D1938">
        <v>98</v>
      </c>
      <c r="E1938" s="49" t="s">
        <v>378</v>
      </c>
    </row>
    <row r="1939" spans="1:5" x14ac:dyDescent="0.3">
      <c r="A1939" s="49" t="s">
        <v>1210</v>
      </c>
      <c r="B1939" s="49" t="s">
        <v>578</v>
      </c>
      <c r="C1939" s="49" t="s">
        <v>449</v>
      </c>
      <c r="D1939">
        <v>99</v>
      </c>
      <c r="E1939" s="49" t="s">
        <v>378</v>
      </c>
    </row>
    <row r="1940" spans="1:5" x14ac:dyDescent="0.3">
      <c r="A1940" s="49" t="s">
        <v>1211</v>
      </c>
      <c r="B1940" s="49" t="s">
        <v>578</v>
      </c>
      <c r="C1940" s="49" t="s">
        <v>449</v>
      </c>
      <c r="D1940">
        <v>98</v>
      </c>
      <c r="E1940" s="49" t="s">
        <v>378</v>
      </c>
    </row>
    <row r="1941" spans="1:5" x14ac:dyDescent="0.3">
      <c r="A1941" s="49" t="s">
        <v>1211</v>
      </c>
      <c r="B1941" s="49" t="s">
        <v>578</v>
      </c>
      <c r="C1941" s="49" t="s">
        <v>449</v>
      </c>
      <c r="D1941">
        <v>99</v>
      </c>
      <c r="E1941" s="49" t="s">
        <v>378</v>
      </c>
    </row>
    <row r="1942" spans="1:5" x14ac:dyDescent="0.3">
      <c r="A1942" s="49" t="s">
        <v>1212</v>
      </c>
      <c r="B1942" s="49" t="s">
        <v>578</v>
      </c>
      <c r="C1942" s="49" t="s">
        <v>449</v>
      </c>
      <c r="D1942">
        <v>98</v>
      </c>
      <c r="E1942" s="49" t="s">
        <v>378</v>
      </c>
    </row>
    <row r="1943" spans="1:5" x14ac:dyDescent="0.3">
      <c r="A1943" s="49" t="s">
        <v>1212</v>
      </c>
      <c r="B1943" s="49" t="s">
        <v>578</v>
      </c>
      <c r="C1943" s="49" t="s">
        <v>449</v>
      </c>
      <c r="D1943">
        <v>99</v>
      </c>
      <c r="E1943" s="49" t="s">
        <v>378</v>
      </c>
    </row>
    <row r="1944" spans="1:5" x14ac:dyDescent="0.3">
      <c r="A1944" s="49" t="s">
        <v>1213</v>
      </c>
      <c r="B1944" s="49" t="s">
        <v>578</v>
      </c>
      <c r="C1944" s="49" t="s">
        <v>449</v>
      </c>
      <c r="D1944">
        <v>98</v>
      </c>
      <c r="E1944" s="49" t="s">
        <v>378</v>
      </c>
    </row>
    <row r="1945" spans="1:5" x14ac:dyDescent="0.3">
      <c r="A1945" s="49" t="s">
        <v>1213</v>
      </c>
      <c r="B1945" s="49" t="s">
        <v>578</v>
      </c>
      <c r="C1945" s="49" t="s">
        <v>449</v>
      </c>
      <c r="D1945">
        <v>99</v>
      </c>
      <c r="E1945" s="49" t="s">
        <v>378</v>
      </c>
    </row>
    <row r="1946" spans="1:5" x14ac:dyDescent="0.3">
      <c r="A1946" s="49" t="s">
        <v>1214</v>
      </c>
      <c r="B1946" s="49" t="s">
        <v>578</v>
      </c>
      <c r="C1946" s="49" t="s">
        <v>449</v>
      </c>
      <c r="D1946">
        <v>98</v>
      </c>
      <c r="E1946" s="49" t="s">
        <v>378</v>
      </c>
    </row>
    <row r="1947" spans="1:5" x14ac:dyDescent="0.3">
      <c r="A1947" s="49" t="s">
        <v>1214</v>
      </c>
      <c r="B1947" s="49" t="s">
        <v>578</v>
      </c>
      <c r="C1947" s="49" t="s">
        <v>449</v>
      </c>
      <c r="D1947">
        <v>99</v>
      </c>
      <c r="E1947" s="49" t="s">
        <v>378</v>
      </c>
    </row>
    <row r="1948" spans="1:5" x14ac:dyDescent="0.3">
      <c r="A1948" s="49" t="s">
        <v>1215</v>
      </c>
      <c r="B1948" s="49" t="s">
        <v>578</v>
      </c>
      <c r="C1948" s="49" t="s">
        <v>449</v>
      </c>
      <c r="D1948">
        <v>98</v>
      </c>
      <c r="E1948" s="49" t="s">
        <v>378</v>
      </c>
    </row>
    <row r="1949" spans="1:5" x14ac:dyDescent="0.3">
      <c r="A1949" s="49" t="s">
        <v>1215</v>
      </c>
      <c r="B1949" s="49" t="s">
        <v>578</v>
      </c>
      <c r="C1949" s="49" t="s">
        <v>449</v>
      </c>
      <c r="D1949">
        <v>99</v>
      </c>
      <c r="E1949" s="49" t="s">
        <v>378</v>
      </c>
    </row>
    <row r="1950" spans="1:5" x14ac:dyDescent="0.3">
      <c r="A1950" s="49" t="s">
        <v>1216</v>
      </c>
      <c r="B1950" s="49" t="s">
        <v>578</v>
      </c>
      <c r="C1950" s="49" t="s">
        <v>449</v>
      </c>
      <c r="D1950">
        <v>98</v>
      </c>
      <c r="E1950" s="49" t="s">
        <v>378</v>
      </c>
    </row>
    <row r="1951" spans="1:5" x14ac:dyDescent="0.3">
      <c r="A1951" s="49" t="s">
        <v>1216</v>
      </c>
      <c r="B1951" s="49" t="s">
        <v>578</v>
      </c>
      <c r="C1951" s="49" t="s">
        <v>449</v>
      </c>
      <c r="D1951">
        <v>99</v>
      </c>
      <c r="E1951" s="49" t="s">
        <v>378</v>
      </c>
    </row>
    <row r="1952" spans="1:5" x14ac:dyDescent="0.3">
      <c r="A1952" s="49" t="s">
        <v>1217</v>
      </c>
      <c r="B1952" s="49" t="s">
        <v>578</v>
      </c>
      <c r="C1952" s="49" t="s">
        <v>449</v>
      </c>
      <c r="D1952">
        <v>98</v>
      </c>
      <c r="E1952" s="49" t="s">
        <v>378</v>
      </c>
    </row>
    <row r="1953" spans="1:5" x14ac:dyDescent="0.3">
      <c r="A1953" s="49" t="s">
        <v>1217</v>
      </c>
      <c r="B1953" s="49" t="s">
        <v>578</v>
      </c>
      <c r="C1953" s="49" t="s">
        <v>449</v>
      </c>
      <c r="D1953">
        <v>99</v>
      </c>
      <c r="E1953" s="49" t="s">
        <v>378</v>
      </c>
    </row>
    <row r="1954" spans="1:5" x14ac:dyDescent="0.3">
      <c r="A1954" s="49" t="s">
        <v>1218</v>
      </c>
      <c r="B1954" s="49" t="s">
        <v>578</v>
      </c>
      <c r="C1954" s="49" t="s">
        <v>449</v>
      </c>
      <c r="D1954">
        <v>98</v>
      </c>
      <c r="E1954" s="49" t="s">
        <v>378</v>
      </c>
    </row>
    <row r="1955" spans="1:5" x14ac:dyDescent="0.3">
      <c r="A1955" s="49" t="s">
        <v>1218</v>
      </c>
      <c r="B1955" s="49" t="s">
        <v>578</v>
      </c>
      <c r="C1955" s="49" t="s">
        <v>449</v>
      </c>
      <c r="D1955">
        <v>99</v>
      </c>
      <c r="E1955" s="49" t="s">
        <v>378</v>
      </c>
    </row>
    <row r="1956" spans="1:5" x14ac:dyDescent="0.3">
      <c r="A1956" s="49" t="s">
        <v>1219</v>
      </c>
      <c r="B1956" s="49" t="s">
        <v>578</v>
      </c>
      <c r="C1956" s="49" t="s">
        <v>449</v>
      </c>
      <c r="D1956">
        <v>98</v>
      </c>
      <c r="E1956" s="49" t="s">
        <v>378</v>
      </c>
    </row>
    <row r="1957" spans="1:5" x14ac:dyDescent="0.3">
      <c r="A1957" s="49" t="s">
        <v>1219</v>
      </c>
      <c r="B1957" s="49" t="s">
        <v>578</v>
      </c>
      <c r="C1957" s="49" t="s">
        <v>449</v>
      </c>
      <c r="D1957">
        <v>99</v>
      </c>
      <c r="E1957" s="49" t="s">
        <v>378</v>
      </c>
    </row>
    <row r="1958" spans="1:5" x14ac:dyDescent="0.3">
      <c r="A1958" s="49" t="s">
        <v>1220</v>
      </c>
      <c r="B1958" s="49" t="s">
        <v>578</v>
      </c>
      <c r="C1958" s="49" t="s">
        <v>449</v>
      </c>
      <c r="D1958">
        <v>98</v>
      </c>
      <c r="E1958" s="49" t="s">
        <v>378</v>
      </c>
    </row>
    <row r="1959" spans="1:5" x14ac:dyDescent="0.3">
      <c r="A1959" s="49" t="s">
        <v>1220</v>
      </c>
      <c r="B1959" s="49" t="s">
        <v>578</v>
      </c>
      <c r="C1959" s="49" t="s">
        <v>449</v>
      </c>
      <c r="D1959">
        <v>99</v>
      </c>
      <c r="E1959" s="49" t="s">
        <v>378</v>
      </c>
    </row>
    <row r="1960" spans="1:5" x14ac:dyDescent="0.3">
      <c r="A1960" s="49" t="s">
        <v>1221</v>
      </c>
      <c r="B1960" s="49" t="s">
        <v>578</v>
      </c>
      <c r="C1960" s="49" t="s">
        <v>449</v>
      </c>
      <c r="D1960">
        <v>98</v>
      </c>
      <c r="E1960" s="49" t="s">
        <v>378</v>
      </c>
    </row>
    <row r="1961" spans="1:5" x14ac:dyDescent="0.3">
      <c r="A1961" s="49" t="s">
        <v>1221</v>
      </c>
      <c r="B1961" s="49" t="s">
        <v>578</v>
      </c>
      <c r="C1961" s="49" t="s">
        <v>449</v>
      </c>
      <c r="D1961">
        <v>99</v>
      </c>
      <c r="E1961" s="49" t="s">
        <v>378</v>
      </c>
    </row>
    <row r="1962" spans="1:5" x14ac:dyDescent="0.3">
      <c r="A1962" s="49" t="s">
        <v>1222</v>
      </c>
      <c r="B1962" s="49" t="s">
        <v>578</v>
      </c>
      <c r="C1962" s="49" t="s">
        <v>449</v>
      </c>
      <c r="D1962">
        <v>98</v>
      </c>
      <c r="E1962" s="49" t="s">
        <v>378</v>
      </c>
    </row>
    <row r="1963" spans="1:5" x14ac:dyDescent="0.3">
      <c r="A1963" s="49" t="s">
        <v>1222</v>
      </c>
      <c r="B1963" s="49" t="s">
        <v>578</v>
      </c>
      <c r="C1963" s="49" t="s">
        <v>449</v>
      </c>
      <c r="D1963">
        <v>99</v>
      </c>
      <c r="E1963" s="49" t="s">
        <v>378</v>
      </c>
    </row>
    <row r="1964" spans="1:5" x14ac:dyDescent="0.3">
      <c r="A1964" s="49" t="s">
        <v>1223</v>
      </c>
      <c r="B1964" s="49" t="s">
        <v>578</v>
      </c>
      <c r="C1964" s="49" t="s">
        <v>449</v>
      </c>
      <c r="D1964">
        <v>98</v>
      </c>
      <c r="E1964" s="49" t="s">
        <v>378</v>
      </c>
    </row>
    <row r="1965" spans="1:5" x14ac:dyDescent="0.3">
      <c r="A1965" s="49" t="s">
        <v>1223</v>
      </c>
      <c r="B1965" s="49" t="s">
        <v>578</v>
      </c>
      <c r="C1965" s="49" t="s">
        <v>449</v>
      </c>
      <c r="D1965">
        <v>99</v>
      </c>
      <c r="E1965" s="49" t="s">
        <v>378</v>
      </c>
    </row>
    <row r="1966" spans="1:5" x14ac:dyDescent="0.3">
      <c r="A1966" s="49" t="s">
        <v>1224</v>
      </c>
      <c r="B1966" s="49" t="s">
        <v>578</v>
      </c>
      <c r="C1966" s="49" t="s">
        <v>449</v>
      </c>
      <c r="D1966">
        <v>98</v>
      </c>
      <c r="E1966" s="49" t="s">
        <v>378</v>
      </c>
    </row>
    <row r="1967" spans="1:5" x14ac:dyDescent="0.3">
      <c r="A1967" s="49" t="s">
        <v>1224</v>
      </c>
      <c r="B1967" s="49" t="s">
        <v>578</v>
      </c>
      <c r="C1967" s="49" t="s">
        <v>449</v>
      </c>
      <c r="D1967">
        <v>99</v>
      </c>
      <c r="E1967" s="49" t="s">
        <v>378</v>
      </c>
    </row>
    <row r="1968" spans="1:5" x14ac:dyDescent="0.3">
      <c r="A1968" s="49" t="s">
        <v>1225</v>
      </c>
      <c r="B1968" s="49" t="s">
        <v>578</v>
      </c>
      <c r="C1968" s="49" t="s">
        <v>449</v>
      </c>
      <c r="D1968">
        <v>98</v>
      </c>
      <c r="E1968" s="49" t="s">
        <v>378</v>
      </c>
    </row>
    <row r="1969" spans="1:5" x14ac:dyDescent="0.3">
      <c r="A1969" s="49" t="s">
        <v>1225</v>
      </c>
      <c r="B1969" s="49" t="s">
        <v>578</v>
      </c>
      <c r="C1969" s="49" t="s">
        <v>449</v>
      </c>
      <c r="D1969">
        <v>99</v>
      </c>
      <c r="E1969" s="49" t="s">
        <v>378</v>
      </c>
    </row>
    <row r="1970" spans="1:5" x14ac:dyDescent="0.3">
      <c r="A1970" s="49" t="s">
        <v>1226</v>
      </c>
      <c r="B1970" s="49" t="s">
        <v>578</v>
      </c>
      <c r="C1970" s="49" t="s">
        <v>449</v>
      </c>
      <c r="D1970">
        <v>98</v>
      </c>
      <c r="E1970" s="49" t="s">
        <v>378</v>
      </c>
    </row>
    <row r="1971" spans="1:5" x14ac:dyDescent="0.3">
      <c r="A1971" s="49" t="s">
        <v>1226</v>
      </c>
      <c r="B1971" s="49" t="s">
        <v>578</v>
      </c>
      <c r="C1971" s="49" t="s">
        <v>449</v>
      </c>
      <c r="D1971">
        <v>99</v>
      </c>
      <c r="E1971" s="49" t="s">
        <v>378</v>
      </c>
    </row>
    <row r="1972" spans="1:5" x14ac:dyDescent="0.3">
      <c r="A1972" s="49" t="s">
        <v>1227</v>
      </c>
      <c r="B1972" s="49" t="s">
        <v>578</v>
      </c>
      <c r="C1972" s="49" t="s">
        <v>449</v>
      </c>
      <c r="D1972">
        <v>98</v>
      </c>
      <c r="E1972" s="49" t="s">
        <v>378</v>
      </c>
    </row>
    <row r="1973" spans="1:5" x14ac:dyDescent="0.3">
      <c r="A1973" s="49" t="s">
        <v>1227</v>
      </c>
      <c r="B1973" s="49" t="s">
        <v>578</v>
      </c>
      <c r="C1973" s="49" t="s">
        <v>449</v>
      </c>
      <c r="D1973">
        <v>99</v>
      </c>
      <c r="E1973" s="49" t="s">
        <v>378</v>
      </c>
    </row>
    <row r="1974" spans="1:5" x14ac:dyDescent="0.3">
      <c r="A1974" s="49" t="s">
        <v>1228</v>
      </c>
      <c r="B1974" s="49" t="s">
        <v>578</v>
      </c>
      <c r="C1974" s="49" t="s">
        <v>449</v>
      </c>
      <c r="D1974">
        <v>98</v>
      </c>
      <c r="E1974" s="49" t="s">
        <v>378</v>
      </c>
    </row>
    <row r="1975" spans="1:5" x14ac:dyDescent="0.3">
      <c r="A1975" s="49" t="s">
        <v>1228</v>
      </c>
      <c r="B1975" s="49" t="s">
        <v>578</v>
      </c>
      <c r="C1975" s="49" t="s">
        <v>449</v>
      </c>
      <c r="D1975">
        <v>99</v>
      </c>
      <c r="E1975" s="49" t="s">
        <v>378</v>
      </c>
    </row>
    <row r="1976" spans="1:5" x14ac:dyDescent="0.3">
      <c r="A1976" s="49" t="s">
        <v>1229</v>
      </c>
      <c r="B1976" s="49" t="s">
        <v>578</v>
      </c>
      <c r="C1976" s="49" t="s">
        <v>449</v>
      </c>
      <c r="D1976">
        <v>98</v>
      </c>
      <c r="E1976" s="49" t="s">
        <v>378</v>
      </c>
    </row>
    <row r="1977" spans="1:5" x14ac:dyDescent="0.3">
      <c r="A1977" s="49" t="s">
        <v>1229</v>
      </c>
      <c r="B1977" s="49" t="s">
        <v>578</v>
      </c>
      <c r="C1977" s="49" t="s">
        <v>449</v>
      </c>
      <c r="D1977">
        <v>99</v>
      </c>
      <c r="E1977" s="49" t="s">
        <v>378</v>
      </c>
    </row>
    <row r="1978" spans="1:5" x14ac:dyDescent="0.3">
      <c r="A1978" s="49" t="s">
        <v>1230</v>
      </c>
      <c r="B1978" s="49" t="s">
        <v>578</v>
      </c>
      <c r="C1978" s="49" t="s">
        <v>449</v>
      </c>
      <c r="D1978">
        <v>98</v>
      </c>
      <c r="E1978" s="49" t="s">
        <v>378</v>
      </c>
    </row>
    <row r="1979" spans="1:5" x14ac:dyDescent="0.3">
      <c r="A1979" s="49" t="s">
        <v>1230</v>
      </c>
      <c r="B1979" s="49" t="s">
        <v>578</v>
      </c>
      <c r="C1979" s="49" t="s">
        <v>449</v>
      </c>
      <c r="D1979">
        <v>99</v>
      </c>
      <c r="E1979" s="49" t="s">
        <v>378</v>
      </c>
    </row>
    <row r="1980" spans="1:5" x14ac:dyDescent="0.3">
      <c r="A1980" s="49" t="s">
        <v>1231</v>
      </c>
      <c r="B1980" s="49" t="s">
        <v>578</v>
      </c>
      <c r="C1980" s="49" t="s">
        <v>449</v>
      </c>
      <c r="D1980">
        <v>98</v>
      </c>
      <c r="E1980" s="49" t="s">
        <v>378</v>
      </c>
    </row>
    <row r="1981" spans="1:5" x14ac:dyDescent="0.3">
      <c r="A1981" s="49" t="s">
        <v>1231</v>
      </c>
      <c r="B1981" s="49" t="s">
        <v>578</v>
      </c>
      <c r="C1981" s="49" t="s">
        <v>449</v>
      </c>
      <c r="D1981">
        <v>99</v>
      </c>
      <c r="E1981" s="49" t="s">
        <v>378</v>
      </c>
    </row>
    <row r="1982" spans="1:5" x14ac:dyDescent="0.3">
      <c r="A1982" s="49" t="s">
        <v>1232</v>
      </c>
      <c r="B1982" s="49" t="s">
        <v>578</v>
      </c>
      <c r="C1982" s="49" t="s">
        <v>449</v>
      </c>
      <c r="D1982">
        <v>98</v>
      </c>
      <c r="E1982" s="49" t="s">
        <v>378</v>
      </c>
    </row>
    <row r="1983" spans="1:5" x14ac:dyDescent="0.3">
      <c r="A1983" s="49" t="s">
        <v>1232</v>
      </c>
      <c r="B1983" s="49" t="s">
        <v>578</v>
      </c>
      <c r="C1983" s="49" t="s">
        <v>449</v>
      </c>
      <c r="D1983">
        <v>99</v>
      </c>
      <c r="E1983" s="49" t="s">
        <v>378</v>
      </c>
    </row>
    <row r="1984" spans="1:5" x14ac:dyDescent="0.3">
      <c r="A1984" s="49" t="s">
        <v>1233</v>
      </c>
      <c r="B1984" s="49" t="s">
        <v>578</v>
      </c>
      <c r="C1984" s="49" t="s">
        <v>449</v>
      </c>
      <c r="D1984">
        <v>98</v>
      </c>
      <c r="E1984" s="49" t="s">
        <v>378</v>
      </c>
    </row>
    <row r="1985" spans="1:5" x14ac:dyDescent="0.3">
      <c r="A1985" s="49" t="s">
        <v>1233</v>
      </c>
      <c r="B1985" s="49" t="s">
        <v>578</v>
      </c>
      <c r="C1985" s="49" t="s">
        <v>449</v>
      </c>
      <c r="D1985">
        <v>99</v>
      </c>
      <c r="E1985" s="49" t="s">
        <v>378</v>
      </c>
    </row>
    <row r="1986" spans="1:5" x14ac:dyDescent="0.3">
      <c r="A1986" s="49" t="s">
        <v>1234</v>
      </c>
      <c r="B1986" s="49" t="s">
        <v>578</v>
      </c>
      <c r="C1986" s="49" t="s">
        <v>449</v>
      </c>
      <c r="D1986">
        <v>98</v>
      </c>
      <c r="E1986" s="49" t="s">
        <v>378</v>
      </c>
    </row>
    <row r="1987" spans="1:5" x14ac:dyDescent="0.3">
      <c r="A1987" s="49" t="s">
        <v>1234</v>
      </c>
      <c r="B1987" s="49" t="s">
        <v>578</v>
      </c>
      <c r="C1987" s="49" t="s">
        <v>449</v>
      </c>
      <c r="D1987">
        <v>99</v>
      </c>
      <c r="E1987" s="49" t="s">
        <v>378</v>
      </c>
    </row>
    <row r="1988" spans="1:5" x14ac:dyDescent="0.3">
      <c r="A1988" s="49" t="s">
        <v>1235</v>
      </c>
      <c r="B1988" s="49" t="s">
        <v>578</v>
      </c>
      <c r="C1988" s="49" t="s">
        <v>449</v>
      </c>
      <c r="D1988">
        <v>98</v>
      </c>
      <c r="E1988" s="49" t="s">
        <v>378</v>
      </c>
    </row>
    <row r="1989" spans="1:5" x14ac:dyDescent="0.3">
      <c r="A1989" s="49" t="s">
        <v>1235</v>
      </c>
      <c r="B1989" s="49" t="s">
        <v>578</v>
      </c>
      <c r="C1989" s="49" t="s">
        <v>449</v>
      </c>
      <c r="D1989">
        <v>99</v>
      </c>
      <c r="E1989" s="49" t="s">
        <v>378</v>
      </c>
    </row>
    <row r="1990" spans="1:5" x14ac:dyDescent="0.3">
      <c r="A1990" s="49" t="s">
        <v>1236</v>
      </c>
      <c r="B1990" s="49" t="s">
        <v>578</v>
      </c>
      <c r="C1990" s="49" t="s">
        <v>449</v>
      </c>
      <c r="D1990">
        <v>98</v>
      </c>
      <c r="E1990" s="49" t="s">
        <v>378</v>
      </c>
    </row>
    <row r="1991" spans="1:5" x14ac:dyDescent="0.3">
      <c r="A1991" s="49" t="s">
        <v>1236</v>
      </c>
      <c r="B1991" s="49" t="s">
        <v>578</v>
      </c>
      <c r="C1991" s="49" t="s">
        <v>449</v>
      </c>
      <c r="D1991">
        <v>99</v>
      </c>
      <c r="E1991" s="49" t="s">
        <v>378</v>
      </c>
    </row>
    <row r="1992" spans="1:5" x14ac:dyDescent="0.3">
      <c r="A1992" s="49" t="s">
        <v>1237</v>
      </c>
      <c r="B1992" s="49" t="s">
        <v>578</v>
      </c>
      <c r="C1992" s="49" t="s">
        <v>449</v>
      </c>
      <c r="D1992">
        <v>98</v>
      </c>
      <c r="E1992" s="49" t="s">
        <v>378</v>
      </c>
    </row>
    <row r="1993" spans="1:5" x14ac:dyDescent="0.3">
      <c r="A1993" s="49" t="s">
        <v>1237</v>
      </c>
      <c r="B1993" s="49" t="s">
        <v>578</v>
      </c>
      <c r="C1993" s="49" t="s">
        <v>449</v>
      </c>
      <c r="D1993">
        <v>99</v>
      </c>
      <c r="E1993" s="49" t="s">
        <v>378</v>
      </c>
    </row>
    <row r="1994" spans="1:5" x14ac:dyDescent="0.3">
      <c r="A1994" s="49" t="s">
        <v>1238</v>
      </c>
      <c r="B1994" s="49" t="s">
        <v>578</v>
      </c>
      <c r="C1994" s="49" t="s">
        <v>449</v>
      </c>
      <c r="D1994">
        <v>98</v>
      </c>
      <c r="E1994" s="49" t="s">
        <v>378</v>
      </c>
    </row>
    <row r="1995" spans="1:5" x14ac:dyDescent="0.3">
      <c r="A1995" s="49" t="s">
        <v>1238</v>
      </c>
      <c r="B1995" s="49" t="s">
        <v>578</v>
      </c>
      <c r="C1995" s="49" t="s">
        <v>449</v>
      </c>
      <c r="D1995">
        <v>99</v>
      </c>
      <c r="E1995" s="49" t="s">
        <v>378</v>
      </c>
    </row>
    <row r="1996" spans="1:5" x14ac:dyDescent="0.3">
      <c r="A1996" s="49" t="s">
        <v>1239</v>
      </c>
      <c r="B1996" s="49" t="s">
        <v>578</v>
      </c>
      <c r="C1996" s="49" t="s">
        <v>449</v>
      </c>
      <c r="D1996">
        <v>98</v>
      </c>
      <c r="E1996" s="49" t="s">
        <v>378</v>
      </c>
    </row>
    <row r="1997" spans="1:5" x14ac:dyDescent="0.3">
      <c r="A1997" s="49" t="s">
        <v>1239</v>
      </c>
      <c r="B1997" s="49" t="s">
        <v>578</v>
      </c>
      <c r="C1997" s="49" t="s">
        <v>449</v>
      </c>
      <c r="D1997">
        <v>99</v>
      </c>
      <c r="E1997" s="49" t="s">
        <v>378</v>
      </c>
    </row>
    <row r="1998" spans="1:5" x14ac:dyDescent="0.3">
      <c r="A1998" s="49" t="s">
        <v>1240</v>
      </c>
      <c r="B1998" s="49" t="s">
        <v>578</v>
      </c>
      <c r="C1998" s="49" t="s">
        <v>449</v>
      </c>
      <c r="D1998">
        <v>98</v>
      </c>
      <c r="E1998" s="49" t="s">
        <v>378</v>
      </c>
    </row>
    <row r="1999" spans="1:5" x14ac:dyDescent="0.3">
      <c r="A1999" s="49" t="s">
        <v>1240</v>
      </c>
      <c r="B1999" s="49" t="s">
        <v>578</v>
      </c>
      <c r="C1999" s="49" t="s">
        <v>449</v>
      </c>
      <c r="D1999">
        <v>99</v>
      </c>
      <c r="E1999" s="49" t="s">
        <v>378</v>
      </c>
    </row>
    <row r="2000" spans="1:5" x14ac:dyDescent="0.3">
      <c r="A2000" s="49" t="s">
        <v>1241</v>
      </c>
      <c r="B2000" s="49" t="s">
        <v>578</v>
      </c>
      <c r="C2000" s="49" t="s">
        <v>449</v>
      </c>
      <c r="D2000">
        <v>98</v>
      </c>
      <c r="E2000" s="49" t="s">
        <v>378</v>
      </c>
    </row>
    <row r="2001" spans="1:5" x14ac:dyDescent="0.3">
      <c r="A2001" s="49" t="s">
        <v>1241</v>
      </c>
      <c r="B2001" s="49" t="s">
        <v>578</v>
      </c>
      <c r="C2001" s="49" t="s">
        <v>449</v>
      </c>
      <c r="D2001">
        <v>99</v>
      </c>
      <c r="E2001" s="49" t="s">
        <v>378</v>
      </c>
    </row>
    <row r="2002" spans="1:5" x14ac:dyDescent="0.3">
      <c r="A2002" s="49" t="s">
        <v>1242</v>
      </c>
      <c r="B2002" s="49" t="s">
        <v>578</v>
      </c>
      <c r="C2002" s="49" t="s">
        <v>449</v>
      </c>
      <c r="D2002">
        <v>98</v>
      </c>
      <c r="E2002" s="49" t="s">
        <v>378</v>
      </c>
    </row>
    <row r="2003" spans="1:5" x14ac:dyDescent="0.3">
      <c r="A2003" s="49" t="s">
        <v>1242</v>
      </c>
      <c r="B2003" s="49" t="s">
        <v>578</v>
      </c>
      <c r="C2003" s="49" t="s">
        <v>449</v>
      </c>
      <c r="D2003">
        <v>99</v>
      </c>
      <c r="E2003" s="49" t="s">
        <v>378</v>
      </c>
    </row>
    <row r="2004" spans="1:5" x14ac:dyDescent="0.3">
      <c r="A2004" s="49" t="s">
        <v>1243</v>
      </c>
      <c r="B2004" s="49" t="s">
        <v>578</v>
      </c>
      <c r="C2004" s="49" t="s">
        <v>449</v>
      </c>
      <c r="D2004">
        <v>98</v>
      </c>
      <c r="E2004" s="49" t="s">
        <v>378</v>
      </c>
    </row>
    <row r="2005" spans="1:5" x14ac:dyDescent="0.3">
      <c r="A2005" s="49" t="s">
        <v>1243</v>
      </c>
      <c r="B2005" s="49" t="s">
        <v>578</v>
      </c>
      <c r="C2005" s="49" t="s">
        <v>449</v>
      </c>
      <c r="D2005">
        <v>99</v>
      </c>
      <c r="E2005" s="49" t="s">
        <v>378</v>
      </c>
    </row>
    <row r="2006" spans="1:5" x14ac:dyDescent="0.3">
      <c r="A2006" s="49" t="s">
        <v>1244</v>
      </c>
      <c r="B2006" s="49" t="s">
        <v>578</v>
      </c>
      <c r="C2006" s="49" t="s">
        <v>449</v>
      </c>
      <c r="D2006">
        <v>98</v>
      </c>
      <c r="E2006" s="49" t="s">
        <v>378</v>
      </c>
    </row>
    <row r="2007" spans="1:5" x14ac:dyDescent="0.3">
      <c r="A2007" s="49" t="s">
        <v>1244</v>
      </c>
      <c r="B2007" s="49" t="s">
        <v>578</v>
      </c>
      <c r="C2007" s="49" t="s">
        <v>449</v>
      </c>
      <c r="D2007">
        <v>99</v>
      </c>
      <c r="E2007" s="49" t="s">
        <v>378</v>
      </c>
    </row>
    <row r="2008" spans="1:5" x14ac:dyDescent="0.3">
      <c r="A2008" s="49" t="s">
        <v>1245</v>
      </c>
      <c r="B2008" s="49" t="s">
        <v>578</v>
      </c>
      <c r="C2008" s="49" t="s">
        <v>449</v>
      </c>
      <c r="D2008">
        <v>98</v>
      </c>
      <c r="E2008" s="49" t="s">
        <v>378</v>
      </c>
    </row>
    <row r="2009" spans="1:5" x14ac:dyDescent="0.3">
      <c r="A2009" s="49" t="s">
        <v>1245</v>
      </c>
      <c r="B2009" s="49" t="s">
        <v>578</v>
      </c>
      <c r="C2009" s="49" t="s">
        <v>449</v>
      </c>
      <c r="D2009">
        <v>99</v>
      </c>
      <c r="E2009" s="49" t="s">
        <v>378</v>
      </c>
    </row>
    <row r="2010" spans="1:5" x14ac:dyDescent="0.3">
      <c r="A2010" s="49" t="s">
        <v>1246</v>
      </c>
      <c r="B2010" s="49" t="s">
        <v>578</v>
      </c>
      <c r="C2010" s="49" t="s">
        <v>449</v>
      </c>
      <c r="D2010">
        <v>98</v>
      </c>
      <c r="E2010" s="49" t="s">
        <v>378</v>
      </c>
    </row>
    <row r="2011" spans="1:5" x14ac:dyDescent="0.3">
      <c r="A2011" s="49" t="s">
        <v>1246</v>
      </c>
      <c r="B2011" s="49" t="s">
        <v>578</v>
      </c>
      <c r="C2011" s="49" t="s">
        <v>449</v>
      </c>
      <c r="D2011">
        <v>99</v>
      </c>
      <c r="E2011" s="49" t="s">
        <v>378</v>
      </c>
    </row>
    <row r="2012" spans="1:5" x14ac:dyDescent="0.3">
      <c r="A2012" s="49" t="s">
        <v>1247</v>
      </c>
      <c r="B2012" s="49" t="s">
        <v>578</v>
      </c>
      <c r="C2012" s="49" t="s">
        <v>449</v>
      </c>
      <c r="D2012">
        <v>98</v>
      </c>
      <c r="E2012" s="49" t="s">
        <v>378</v>
      </c>
    </row>
    <row r="2013" spans="1:5" x14ac:dyDescent="0.3">
      <c r="A2013" s="49" t="s">
        <v>1247</v>
      </c>
      <c r="B2013" s="49" t="s">
        <v>578</v>
      </c>
      <c r="C2013" s="49" t="s">
        <v>449</v>
      </c>
      <c r="D2013">
        <v>99</v>
      </c>
      <c r="E2013" s="49" t="s">
        <v>378</v>
      </c>
    </row>
    <row r="2014" spans="1:5" x14ac:dyDescent="0.3">
      <c r="A2014" s="49" t="s">
        <v>1248</v>
      </c>
      <c r="B2014" s="49" t="s">
        <v>578</v>
      </c>
      <c r="C2014" s="49" t="s">
        <v>449</v>
      </c>
      <c r="D2014">
        <v>98</v>
      </c>
      <c r="E2014" s="49" t="s">
        <v>378</v>
      </c>
    </row>
    <row r="2015" spans="1:5" x14ac:dyDescent="0.3">
      <c r="A2015" s="49" t="s">
        <v>1248</v>
      </c>
      <c r="B2015" s="49" t="s">
        <v>578</v>
      </c>
      <c r="C2015" s="49" t="s">
        <v>449</v>
      </c>
      <c r="D2015">
        <v>99</v>
      </c>
      <c r="E2015" s="49" t="s">
        <v>378</v>
      </c>
    </row>
    <row r="2016" spans="1:5" x14ac:dyDescent="0.3">
      <c r="A2016" s="49" t="s">
        <v>1249</v>
      </c>
      <c r="B2016" s="49" t="s">
        <v>578</v>
      </c>
      <c r="C2016" s="49" t="s">
        <v>449</v>
      </c>
      <c r="D2016">
        <v>98</v>
      </c>
      <c r="E2016" s="49" t="s">
        <v>378</v>
      </c>
    </row>
    <row r="2017" spans="1:5" x14ac:dyDescent="0.3">
      <c r="A2017" s="49" t="s">
        <v>1249</v>
      </c>
      <c r="B2017" s="49" t="s">
        <v>578</v>
      </c>
      <c r="C2017" s="49" t="s">
        <v>449</v>
      </c>
      <c r="D2017">
        <v>99</v>
      </c>
      <c r="E2017" s="49" t="s">
        <v>378</v>
      </c>
    </row>
    <row r="2018" spans="1:5" x14ac:dyDescent="0.3">
      <c r="A2018" s="49" t="s">
        <v>1250</v>
      </c>
      <c r="B2018" s="49" t="s">
        <v>578</v>
      </c>
      <c r="C2018" s="49" t="s">
        <v>449</v>
      </c>
      <c r="D2018">
        <v>98</v>
      </c>
      <c r="E2018" s="49" t="s">
        <v>378</v>
      </c>
    </row>
    <row r="2019" spans="1:5" x14ac:dyDescent="0.3">
      <c r="A2019" s="49" t="s">
        <v>1250</v>
      </c>
      <c r="B2019" s="49" t="s">
        <v>578</v>
      </c>
      <c r="C2019" s="49" t="s">
        <v>449</v>
      </c>
      <c r="D2019">
        <v>99</v>
      </c>
      <c r="E2019" s="49" t="s">
        <v>378</v>
      </c>
    </row>
    <row r="2020" spans="1:5" x14ac:dyDescent="0.3">
      <c r="A2020" s="49" t="s">
        <v>1251</v>
      </c>
      <c r="B2020" s="49" t="s">
        <v>578</v>
      </c>
      <c r="C2020" s="49" t="s">
        <v>449</v>
      </c>
      <c r="D2020">
        <v>98</v>
      </c>
      <c r="E2020" s="49" t="s">
        <v>378</v>
      </c>
    </row>
    <row r="2021" spans="1:5" x14ac:dyDescent="0.3">
      <c r="A2021" s="49" t="s">
        <v>1251</v>
      </c>
      <c r="B2021" s="49" t="s">
        <v>578</v>
      </c>
      <c r="C2021" s="49" t="s">
        <v>449</v>
      </c>
      <c r="D2021">
        <v>99</v>
      </c>
      <c r="E2021" s="49" t="s">
        <v>378</v>
      </c>
    </row>
    <row r="2022" spans="1:5" x14ac:dyDescent="0.3">
      <c r="A2022" s="49" t="s">
        <v>1252</v>
      </c>
      <c r="B2022" s="49" t="s">
        <v>578</v>
      </c>
      <c r="C2022" s="49" t="s">
        <v>449</v>
      </c>
      <c r="D2022">
        <v>98</v>
      </c>
      <c r="E2022" s="49" t="s">
        <v>378</v>
      </c>
    </row>
    <row r="2023" spans="1:5" x14ac:dyDescent="0.3">
      <c r="A2023" s="49" t="s">
        <v>1252</v>
      </c>
      <c r="B2023" s="49" t="s">
        <v>578</v>
      </c>
      <c r="C2023" s="49" t="s">
        <v>449</v>
      </c>
      <c r="D2023">
        <v>99</v>
      </c>
      <c r="E2023" s="49" t="s">
        <v>378</v>
      </c>
    </row>
    <row r="2024" spans="1:5" x14ac:dyDescent="0.3">
      <c r="A2024" s="49" t="s">
        <v>1253</v>
      </c>
      <c r="B2024" s="49" t="s">
        <v>578</v>
      </c>
      <c r="C2024" s="49" t="s">
        <v>449</v>
      </c>
      <c r="D2024">
        <v>98</v>
      </c>
      <c r="E2024" s="49" t="s">
        <v>378</v>
      </c>
    </row>
    <row r="2025" spans="1:5" x14ac:dyDescent="0.3">
      <c r="A2025" s="49" t="s">
        <v>1253</v>
      </c>
      <c r="B2025" s="49" t="s">
        <v>578</v>
      </c>
      <c r="C2025" s="49" t="s">
        <v>449</v>
      </c>
      <c r="D2025">
        <v>99</v>
      </c>
      <c r="E2025" s="49" t="s">
        <v>378</v>
      </c>
    </row>
    <row r="2026" spans="1:5" x14ac:dyDescent="0.3">
      <c r="A2026" s="49" t="s">
        <v>1254</v>
      </c>
      <c r="B2026" s="49" t="s">
        <v>578</v>
      </c>
      <c r="C2026" s="49" t="s">
        <v>449</v>
      </c>
      <c r="D2026">
        <v>98</v>
      </c>
      <c r="E2026" s="49" t="s">
        <v>378</v>
      </c>
    </row>
    <row r="2027" spans="1:5" x14ac:dyDescent="0.3">
      <c r="A2027" s="49" t="s">
        <v>1254</v>
      </c>
      <c r="B2027" s="49" t="s">
        <v>578</v>
      </c>
      <c r="C2027" s="49" t="s">
        <v>449</v>
      </c>
      <c r="D2027">
        <v>99</v>
      </c>
      <c r="E2027" s="49" t="s">
        <v>378</v>
      </c>
    </row>
    <row r="2028" spans="1:5" x14ac:dyDescent="0.3">
      <c r="A2028" s="49" t="s">
        <v>1255</v>
      </c>
      <c r="B2028" s="49" t="s">
        <v>578</v>
      </c>
      <c r="C2028" s="49" t="s">
        <v>449</v>
      </c>
      <c r="D2028">
        <v>98</v>
      </c>
      <c r="E2028" s="49" t="s">
        <v>378</v>
      </c>
    </row>
    <row r="2029" spans="1:5" x14ac:dyDescent="0.3">
      <c r="A2029" s="49" t="s">
        <v>1255</v>
      </c>
      <c r="B2029" s="49" t="s">
        <v>578</v>
      </c>
      <c r="C2029" s="49" t="s">
        <v>449</v>
      </c>
      <c r="D2029">
        <v>99</v>
      </c>
      <c r="E2029" s="49" t="s">
        <v>378</v>
      </c>
    </row>
    <row r="2030" spans="1:5" x14ac:dyDescent="0.3">
      <c r="A2030" s="49" t="s">
        <v>1256</v>
      </c>
      <c r="B2030" s="49" t="s">
        <v>578</v>
      </c>
      <c r="C2030" s="49" t="s">
        <v>449</v>
      </c>
      <c r="D2030">
        <v>98</v>
      </c>
      <c r="E2030" s="49" t="s">
        <v>378</v>
      </c>
    </row>
    <row r="2031" spans="1:5" x14ac:dyDescent="0.3">
      <c r="A2031" s="49" t="s">
        <v>1256</v>
      </c>
      <c r="B2031" s="49" t="s">
        <v>578</v>
      </c>
      <c r="C2031" s="49" t="s">
        <v>449</v>
      </c>
      <c r="D2031">
        <v>99</v>
      </c>
      <c r="E2031" s="49" t="s">
        <v>378</v>
      </c>
    </row>
    <row r="2032" spans="1:5" x14ac:dyDescent="0.3">
      <c r="A2032" s="49" t="s">
        <v>1257</v>
      </c>
      <c r="B2032" s="49" t="s">
        <v>578</v>
      </c>
      <c r="C2032" s="49" t="s">
        <v>449</v>
      </c>
      <c r="D2032">
        <v>98</v>
      </c>
      <c r="E2032" s="49" t="s">
        <v>378</v>
      </c>
    </row>
    <row r="2033" spans="1:5" x14ac:dyDescent="0.3">
      <c r="A2033" s="49" t="s">
        <v>1257</v>
      </c>
      <c r="B2033" s="49" t="s">
        <v>578</v>
      </c>
      <c r="C2033" s="49" t="s">
        <v>449</v>
      </c>
      <c r="D2033">
        <v>99</v>
      </c>
      <c r="E2033" s="49" t="s">
        <v>378</v>
      </c>
    </row>
    <row r="2034" spans="1:5" x14ac:dyDescent="0.3">
      <c r="A2034" s="49" t="s">
        <v>1258</v>
      </c>
      <c r="B2034" s="49" t="s">
        <v>578</v>
      </c>
      <c r="C2034" s="49" t="s">
        <v>449</v>
      </c>
      <c r="D2034">
        <v>98</v>
      </c>
      <c r="E2034" s="49" t="s">
        <v>378</v>
      </c>
    </row>
    <row r="2035" spans="1:5" x14ac:dyDescent="0.3">
      <c r="A2035" s="49" t="s">
        <v>1258</v>
      </c>
      <c r="B2035" s="49" t="s">
        <v>578</v>
      </c>
      <c r="C2035" s="49" t="s">
        <v>449</v>
      </c>
      <c r="D2035">
        <v>99</v>
      </c>
      <c r="E2035" s="49" t="s">
        <v>378</v>
      </c>
    </row>
    <row r="2036" spans="1:5" x14ac:dyDescent="0.3">
      <c r="A2036" s="49" t="s">
        <v>1259</v>
      </c>
      <c r="B2036" s="49" t="s">
        <v>578</v>
      </c>
      <c r="C2036" s="49" t="s">
        <v>449</v>
      </c>
      <c r="D2036">
        <v>98</v>
      </c>
      <c r="E2036" s="49" t="s">
        <v>378</v>
      </c>
    </row>
    <row r="2037" spans="1:5" x14ac:dyDescent="0.3">
      <c r="A2037" s="49" t="s">
        <v>1259</v>
      </c>
      <c r="B2037" s="49" t="s">
        <v>578</v>
      </c>
      <c r="C2037" s="49" t="s">
        <v>449</v>
      </c>
      <c r="D2037">
        <v>99</v>
      </c>
      <c r="E2037" s="49" t="s">
        <v>378</v>
      </c>
    </row>
    <row r="2038" spans="1:5" x14ac:dyDescent="0.3">
      <c r="A2038" s="49" t="s">
        <v>1260</v>
      </c>
      <c r="B2038" s="49" t="s">
        <v>578</v>
      </c>
      <c r="C2038" s="49" t="s">
        <v>449</v>
      </c>
      <c r="D2038">
        <v>98</v>
      </c>
      <c r="E2038" s="49" t="s">
        <v>378</v>
      </c>
    </row>
    <row r="2039" spans="1:5" x14ac:dyDescent="0.3">
      <c r="A2039" s="49" t="s">
        <v>1260</v>
      </c>
      <c r="B2039" s="49" t="s">
        <v>578</v>
      </c>
      <c r="C2039" s="49" t="s">
        <v>449</v>
      </c>
      <c r="D2039">
        <v>99</v>
      </c>
      <c r="E2039" s="49" t="s">
        <v>378</v>
      </c>
    </row>
    <row r="2040" spans="1:5" x14ac:dyDescent="0.3">
      <c r="A2040" s="49" t="s">
        <v>1261</v>
      </c>
      <c r="B2040" s="49" t="s">
        <v>578</v>
      </c>
      <c r="C2040" s="49" t="s">
        <v>449</v>
      </c>
      <c r="D2040">
        <v>98</v>
      </c>
      <c r="E2040" s="49" t="s">
        <v>378</v>
      </c>
    </row>
    <row r="2041" spans="1:5" x14ac:dyDescent="0.3">
      <c r="A2041" s="49" t="s">
        <v>1261</v>
      </c>
      <c r="B2041" s="49" t="s">
        <v>578</v>
      </c>
      <c r="C2041" s="49" t="s">
        <v>449</v>
      </c>
      <c r="D2041">
        <v>99</v>
      </c>
      <c r="E2041" s="49" t="s">
        <v>378</v>
      </c>
    </row>
    <row r="2042" spans="1:5" x14ac:dyDescent="0.3">
      <c r="A2042" s="49" t="s">
        <v>1262</v>
      </c>
      <c r="B2042" s="49" t="s">
        <v>578</v>
      </c>
      <c r="C2042" s="49" t="s">
        <v>449</v>
      </c>
      <c r="D2042">
        <v>98</v>
      </c>
      <c r="E2042" s="49" t="s">
        <v>378</v>
      </c>
    </row>
    <row r="2043" spans="1:5" x14ac:dyDescent="0.3">
      <c r="A2043" s="49" t="s">
        <v>1262</v>
      </c>
      <c r="B2043" s="49" t="s">
        <v>578</v>
      </c>
      <c r="C2043" s="49" t="s">
        <v>449</v>
      </c>
      <c r="D2043">
        <v>99</v>
      </c>
      <c r="E2043" s="49" t="s">
        <v>378</v>
      </c>
    </row>
    <row r="2044" spans="1:5" x14ac:dyDescent="0.3">
      <c r="A2044" s="49" t="s">
        <v>1263</v>
      </c>
      <c r="B2044" s="49" t="s">
        <v>578</v>
      </c>
      <c r="C2044" s="49" t="s">
        <v>449</v>
      </c>
      <c r="D2044">
        <v>98</v>
      </c>
      <c r="E2044" s="49" t="s">
        <v>378</v>
      </c>
    </row>
    <row r="2045" spans="1:5" x14ac:dyDescent="0.3">
      <c r="A2045" s="49" t="s">
        <v>1263</v>
      </c>
      <c r="B2045" s="49" t="s">
        <v>578</v>
      </c>
      <c r="C2045" s="49" t="s">
        <v>449</v>
      </c>
      <c r="D2045">
        <v>99</v>
      </c>
      <c r="E2045" s="49" t="s">
        <v>378</v>
      </c>
    </row>
    <row r="2046" spans="1:5" x14ac:dyDescent="0.3">
      <c r="A2046" s="49" t="s">
        <v>1264</v>
      </c>
      <c r="B2046" s="49" t="s">
        <v>578</v>
      </c>
      <c r="C2046" s="49" t="s">
        <v>449</v>
      </c>
      <c r="D2046">
        <v>98</v>
      </c>
      <c r="E2046" s="49" t="s">
        <v>378</v>
      </c>
    </row>
    <row r="2047" spans="1:5" x14ac:dyDescent="0.3">
      <c r="A2047" s="49" t="s">
        <v>1264</v>
      </c>
      <c r="B2047" s="49" t="s">
        <v>578</v>
      </c>
      <c r="C2047" s="49" t="s">
        <v>449</v>
      </c>
      <c r="D2047">
        <v>99</v>
      </c>
      <c r="E2047" s="49" t="s">
        <v>378</v>
      </c>
    </row>
    <row r="2048" spans="1:5" x14ac:dyDescent="0.3">
      <c r="A2048" s="49" t="s">
        <v>1265</v>
      </c>
      <c r="B2048" s="49" t="s">
        <v>578</v>
      </c>
      <c r="C2048" s="49" t="s">
        <v>449</v>
      </c>
      <c r="D2048">
        <v>98</v>
      </c>
      <c r="E2048" s="49" t="s">
        <v>378</v>
      </c>
    </row>
    <row r="2049" spans="1:5" x14ac:dyDescent="0.3">
      <c r="A2049" s="49" t="s">
        <v>1265</v>
      </c>
      <c r="B2049" s="49" t="s">
        <v>578</v>
      </c>
      <c r="C2049" s="49" t="s">
        <v>449</v>
      </c>
      <c r="D2049">
        <v>99</v>
      </c>
      <c r="E2049" s="49" t="s">
        <v>378</v>
      </c>
    </row>
    <row r="2050" spans="1:5" x14ac:dyDescent="0.3">
      <c r="A2050" s="49" t="s">
        <v>1266</v>
      </c>
      <c r="B2050" s="49" t="s">
        <v>578</v>
      </c>
      <c r="C2050" s="49" t="s">
        <v>449</v>
      </c>
      <c r="D2050">
        <v>98</v>
      </c>
      <c r="E2050" s="49" t="s">
        <v>378</v>
      </c>
    </row>
    <row r="2051" spans="1:5" x14ac:dyDescent="0.3">
      <c r="A2051" s="49" t="s">
        <v>1266</v>
      </c>
      <c r="B2051" s="49" t="s">
        <v>578</v>
      </c>
      <c r="C2051" s="49" t="s">
        <v>449</v>
      </c>
      <c r="D2051">
        <v>99</v>
      </c>
      <c r="E2051" s="49" t="s">
        <v>378</v>
      </c>
    </row>
    <row r="2052" spans="1:5" x14ac:dyDescent="0.3">
      <c r="A2052" s="49" t="s">
        <v>1267</v>
      </c>
      <c r="B2052" s="49" t="s">
        <v>578</v>
      </c>
      <c r="C2052" s="49" t="s">
        <v>449</v>
      </c>
      <c r="D2052">
        <v>98</v>
      </c>
      <c r="E2052" s="49" t="s">
        <v>378</v>
      </c>
    </row>
    <row r="2053" spans="1:5" x14ac:dyDescent="0.3">
      <c r="A2053" s="49" t="s">
        <v>1267</v>
      </c>
      <c r="B2053" s="49" t="s">
        <v>578</v>
      </c>
      <c r="C2053" s="49" t="s">
        <v>449</v>
      </c>
      <c r="D2053">
        <v>99</v>
      </c>
      <c r="E2053" s="49" t="s">
        <v>378</v>
      </c>
    </row>
    <row r="2054" spans="1:5" x14ac:dyDescent="0.3">
      <c r="A2054" s="49" t="s">
        <v>1268</v>
      </c>
      <c r="B2054" s="49" t="s">
        <v>578</v>
      </c>
      <c r="C2054" s="49" t="s">
        <v>449</v>
      </c>
      <c r="D2054">
        <v>98</v>
      </c>
      <c r="E2054" s="49" t="s">
        <v>378</v>
      </c>
    </row>
    <row r="2055" spans="1:5" x14ac:dyDescent="0.3">
      <c r="A2055" s="49" t="s">
        <v>1268</v>
      </c>
      <c r="B2055" s="49" t="s">
        <v>578</v>
      </c>
      <c r="C2055" s="49" t="s">
        <v>449</v>
      </c>
      <c r="D2055">
        <v>99</v>
      </c>
      <c r="E2055" s="49" t="s">
        <v>378</v>
      </c>
    </row>
    <row r="2056" spans="1:5" x14ac:dyDescent="0.3">
      <c r="A2056" s="49" t="s">
        <v>1269</v>
      </c>
      <c r="B2056" s="49" t="s">
        <v>578</v>
      </c>
      <c r="C2056" s="49" t="s">
        <v>449</v>
      </c>
      <c r="D2056">
        <v>98</v>
      </c>
      <c r="E2056" s="49" t="s">
        <v>378</v>
      </c>
    </row>
    <row r="2057" spans="1:5" x14ac:dyDescent="0.3">
      <c r="A2057" s="49" t="s">
        <v>1269</v>
      </c>
      <c r="B2057" s="49" t="s">
        <v>578</v>
      </c>
      <c r="C2057" s="49" t="s">
        <v>449</v>
      </c>
      <c r="D2057">
        <v>99</v>
      </c>
      <c r="E2057" s="49" t="s">
        <v>378</v>
      </c>
    </row>
    <row r="2058" spans="1:5" x14ac:dyDescent="0.3">
      <c r="A2058" s="49" t="s">
        <v>1270</v>
      </c>
      <c r="B2058" s="49" t="s">
        <v>578</v>
      </c>
      <c r="C2058" s="49" t="s">
        <v>449</v>
      </c>
      <c r="D2058">
        <v>98</v>
      </c>
      <c r="E2058" s="49" t="s">
        <v>378</v>
      </c>
    </row>
    <row r="2059" spans="1:5" x14ac:dyDescent="0.3">
      <c r="A2059" s="49" t="s">
        <v>1270</v>
      </c>
      <c r="B2059" s="49" t="s">
        <v>578</v>
      </c>
      <c r="C2059" s="49" t="s">
        <v>449</v>
      </c>
      <c r="D2059">
        <v>99</v>
      </c>
      <c r="E2059" s="49" t="s">
        <v>378</v>
      </c>
    </row>
    <row r="2060" spans="1:5" x14ac:dyDescent="0.3">
      <c r="A2060" s="49" t="s">
        <v>1271</v>
      </c>
      <c r="B2060" s="49" t="s">
        <v>578</v>
      </c>
      <c r="C2060" s="49" t="s">
        <v>449</v>
      </c>
      <c r="D2060">
        <v>98</v>
      </c>
      <c r="E2060" s="49" t="s">
        <v>378</v>
      </c>
    </row>
    <row r="2061" spans="1:5" x14ac:dyDescent="0.3">
      <c r="A2061" s="49" t="s">
        <v>1271</v>
      </c>
      <c r="B2061" s="49" t="s">
        <v>578</v>
      </c>
      <c r="C2061" s="49" t="s">
        <v>449</v>
      </c>
      <c r="D2061">
        <v>99</v>
      </c>
      <c r="E2061" s="49" t="s">
        <v>378</v>
      </c>
    </row>
    <row r="2062" spans="1:5" x14ac:dyDescent="0.3">
      <c r="A2062" s="49" t="s">
        <v>1272</v>
      </c>
      <c r="B2062" s="49" t="s">
        <v>578</v>
      </c>
      <c r="C2062" s="49" t="s">
        <v>449</v>
      </c>
      <c r="D2062">
        <v>98</v>
      </c>
      <c r="E2062" s="49" t="s">
        <v>378</v>
      </c>
    </row>
    <row r="2063" spans="1:5" x14ac:dyDescent="0.3">
      <c r="A2063" s="49" t="s">
        <v>1272</v>
      </c>
      <c r="B2063" s="49" t="s">
        <v>578</v>
      </c>
      <c r="C2063" s="49" t="s">
        <v>449</v>
      </c>
      <c r="D2063">
        <v>99</v>
      </c>
      <c r="E2063" s="49" t="s">
        <v>378</v>
      </c>
    </row>
    <row r="2064" spans="1:5" x14ac:dyDescent="0.3">
      <c r="A2064" s="49" t="s">
        <v>1273</v>
      </c>
      <c r="B2064" s="49" t="s">
        <v>578</v>
      </c>
      <c r="C2064" s="49" t="s">
        <v>449</v>
      </c>
      <c r="D2064">
        <v>98</v>
      </c>
      <c r="E2064" s="49" t="s">
        <v>378</v>
      </c>
    </row>
    <row r="2065" spans="1:5" x14ac:dyDescent="0.3">
      <c r="A2065" s="49" t="s">
        <v>1273</v>
      </c>
      <c r="B2065" s="49" t="s">
        <v>578</v>
      </c>
      <c r="C2065" s="49" t="s">
        <v>449</v>
      </c>
      <c r="D2065">
        <v>99</v>
      </c>
      <c r="E2065" s="49" t="s">
        <v>378</v>
      </c>
    </row>
    <row r="2066" spans="1:5" x14ac:dyDescent="0.3">
      <c r="A2066" s="49" t="s">
        <v>1274</v>
      </c>
      <c r="B2066" s="49" t="s">
        <v>578</v>
      </c>
      <c r="C2066" s="49" t="s">
        <v>449</v>
      </c>
      <c r="D2066">
        <v>98</v>
      </c>
      <c r="E2066" s="49" t="s">
        <v>378</v>
      </c>
    </row>
    <row r="2067" spans="1:5" x14ac:dyDescent="0.3">
      <c r="A2067" s="49" t="s">
        <v>1274</v>
      </c>
      <c r="B2067" s="49" t="s">
        <v>578</v>
      </c>
      <c r="C2067" s="49" t="s">
        <v>449</v>
      </c>
      <c r="D2067">
        <v>99</v>
      </c>
      <c r="E2067" s="49" t="s">
        <v>378</v>
      </c>
    </row>
    <row r="2068" spans="1:5" x14ac:dyDescent="0.3">
      <c r="A2068" s="49" t="s">
        <v>1275</v>
      </c>
      <c r="B2068" s="49" t="s">
        <v>578</v>
      </c>
      <c r="C2068" s="49" t="s">
        <v>449</v>
      </c>
      <c r="D2068">
        <v>98</v>
      </c>
      <c r="E2068" s="49" t="s">
        <v>378</v>
      </c>
    </row>
    <row r="2069" spans="1:5" x14ac:dyDescent="0.3">
      <c r="A2069" s="49" t="s">
        <v>1275</v>
      </c>
      <c r="B2069" s="49" t="s">
        <v>578</v>
      </c>
      <c r="C2069" s="49" t="s">
        <v>449</v>
      </c>
      <c r="D2069">
        <v>99</v>
      </c>
      <c r="E2069" s="49" t="s">
        <v>378</v>
      </c>
    </row>
    <row r="2070" spans="1:5" x14ac:dyDescent="0.3">
      <c r="A2070" s="49" t="s">
        <v>1276</v>
      </c>
      <c r="B2070" s="49" t="s">
        <v>578</v>
      </c>
      <c r="C2070" s="49" t="s">
        <v>449</v>
      </c>
      <c r="D2070">
        <v>98</v>
      </c>
      <c r="E2070" s="49" t="s">
        <v>378</v>
      </c>
    </row>
    <row r="2071" spans="1:5" x14ac:dyDescent="0.3">
      <c r="A2071" s="49" t="s">
        <v>1276</v>
      </c>
      <c r="B2071" s="49" t="s">
        <v>578</v>
      </c>
      <c r="C2071" s="49" t="s">
        <v>449</v>
      </c>
      <c r="D2071">
        <v>99</v>
      </c>
      <c r="E2071" s="49" t="s">
        <v>378</v>
      </c>
    </row>
    <row r="2072" spans="1:5" x14ac:dyDescent="0.3">
      <c r="A2072" s="49" t="s">
        <v>1277</v>
      </c>
      <c r="B2072" s="49" t="s">
        <v>578</v>
      </c>
      <c r="C2072" s="49" t="s">
        <v>449</v>
      </c>
      <c r="D2072">
        <v>98</v>
      </c>
      <c r="E2072" s="49" t="s">
        <v>378</v>
      </c>
    </row>
    <row r="2073" spans="1:5" x14ac:dyDescent="0.3">
      <c r="A2073" s="49" t="s">
        <v>1277</v>
      </c>
      <c r="B2073" s="49" t="s">
        <v>578</v>
      </c>
      <c r="C2073" s="49" t="s">
        <v>449</v>
      </c>
      <c r="D2073">
        <v>99</v>
      </c>
      <c r="E2073" s="49" t="s">
        <v>378</v>
      </c>
    </row>
    <row r="2074" spans="1:5" x14ac:dyDescent="0.3">
      <c r="A2074" s="49" t="s">
        <v>1278</v>
      </c>
      <c r="B2074" s="49" t="s">
        <v>578</v>
      </c>
      <c r="C2074" s="49" t="s">
        <v>449</v>
      </c>
      <c r="D2074">
        <v>98</v>
      </c>
      <c r="E2074" s="49" t="s">
        <v>378</v>
      </c>
    </row>
    <row r="2075" spans="1:5" x14ac:dyDescent="0.3">
      <c r="A2075" s="49" t="s">
        <v>1278</v>
      </c>
      <c r="B2075" s="49" t="s">
        <v>578</v>
      </c>
      <c r="C2075" s="49" t="s">
        <v>449</v>
      </c>
      <c r="D2075">
        <v>99</v>
      </c>
      <c r="E2075" s="49" t="s">
        <v>378</v>
      </c>
    </row>
    <row r="2076" spans="1:5" x14ac:dyDescent="0.3">
      <c r="A2076" s="49" t="s">
        <v>1279</v>
      </c>
      <c r="B2076" s="49" t="s">
        <v>578</v>
      </c>
      <c r="C2076" s="49" t="s">
        <v>449</v>
      </c>
      <c r="D2076">
        <v>98</v>
      </c>
      <c r="E2076" s="49" t="s">
        <v>378</v>
      </c>
    </row>
    <row r="2077" spans="1:5" x14ac:dyDescent="0.3">
      <c r="A2077" s="49" t="s">
        <v>1279</v>
      </c>
      <c r="B2077" s="49" t="s">
        <v>578</v>
      </c>
      <c r="C2077" s="49" t="s">
        <v>449</v>
      </c>
      <c r="D2077">
        <v>99</v>
      </c>
      <c r="E2077" s="49" t="s">
        <v>378</v>
      </c>
    </row>
    <row r="2078" spans="1:5" x14ac:dyDescent="0.3">
      <c r="A2078" s="49" t="s">
        <v>1280</v>
      </c>
      <c r="B2078" s="49" t="s">
        <v>578</v>
      </c>
      <c r="C2078" s="49" t="s">
        <v>449</v>
      </c>
      <c r="D2078">
        <v>98</v>
      </c>
      <c r="E2078" s="49" t="s">
        <v>378</v>
      </c>
    </row>
    <row r="2079" spans="1:5" x14ac:dyDescent="0.3">
      <c r="A2079" s="49" t="s">
        <v>1280</v>
      </c>
      <c r="B2079" s="49" t="s">
        <v>578</v>
      </c>
      <c r="C2079" s="49" t="s">
        <v>449</v>
      </c>
      <c r="D2079">
        <v>99</v>
      </c>
      <c r="E2079" s="49" t="s">
        <v>378</v>
      </c>
    </row>
    <row r="2080" spans="1:5" x14ac:dyDescent="0.3">
      <c r="A2080" s="49" t="s">
        <v>1281</v>
      </c>
      <c r="B2080" s="49" t="s">
        <v>578</v>
      </c>
      <c r="C2080" s="49" t="s">
        <v>449</v>
      </c>
      <c r="D2080">
        <v>98</v>
      </c>
      <c r="E2080" s="49" t="s">
        <v>378</v>
      </c>
    </row>
    <row r="2081" spans="1:5" x14ac:dyDescent="0.3">
      <c r="A2081" s="49" t="s">
        <v>1281</v>
      </c>
      <c r="B2081" s="49" t="s">
        <v>578</v>
      </c>
      <c r="C2081" s="49" t="s">
        <v>449</v>
      </c>
      <c r="D2081">
        <v>99</v>
      </c>
      <c r="E2081" s="49" t="s">
        <v>378</v>
      </c>
    </row>
    <row r="2082" spans="1:5" x14ac:dyDescent="0.3">
      <c r="A2082" s="49" t="s">
        <v>1282</v>
      </c>
      <c r="B2082" s="49" t="s">
        <v>578</v>
      </c>
      <c r="C2082" s="49" t="s">
        <v>449</v>
      </c>
      <c r="D2082">
        <v>98</v>
      </c>
      <c r="E2082" s="49" t="s">
        <v>378</v>
      </c>
    </row>
    <row r="2083" spans="1:5" x14ac:dyDescent="0.3">
      <c r="A2083" s="49" t="s">
        <v>1282</v>
      </c>
      <c r="B2083" s="49" t="s">
        <v>578</v>
      </c>
      <c r="C2083" s="49" t="s">
        <v>449</v>
      </c>
      <c r="D2083">
        <v>99</v>
      </c>
      <c r="E2083" s="49" t="s">
        <v>378</v>
      </c>
    </row>
    <row r="2084" spans="1:5" x14ac:dyDescent="0.3">
      <c r="A2084" s="49" t="s">
        <v>1283</v>
      </c>
      <c r="B2084" s="49" t="s">
        <v>578</v>
      </c>
      <c r="C2084" s="49" t="s">
        <v>449</v>
      </c>
      <c r="D2084">
        <v>98</v>
      </c>
      <c r="E2084" s="49" t="s">
        <v>378</v>
      </c>
    </row>
    <row r="2085" spans="1:5" x14ac:dyDescent="0.3">
      <c r="A2085" s="49" t="s">
        <v>1283</v>
      </c>
      <c r="B2085" s="49" t="s">
        <v>578</v>
      </c>
      <c r="C2085" s="49" t="s">
        <v>449</v>
      </c>
      <c r="D2085">
        <v>99</v>
      </c>
      <c r="E2085" s="49" t="s">
        <v>378</v>
      </c>
    </row>
    <row r="2086" spans="1:5" x14ac:dyDescent="0.3">
      <c r="A2086" s="49" t="s">
        <v>1284</v>
      </c>
      <c r="B2086" s="49" t="s">
        <v>578</v>
      </c>
      <c r="C2086" s="49" t="s">
        <v>449</v>
      </c>
      <c r="D2086">
        <v>98</v>
      </c>
      <c r="E2086" s="49" t="s">
        <v>378</v>
      </c>
    </row>
    <row r="2087" spans="1:5" x14ac:dyDescent="0.3">
      <c r="A2087" s="49" t="s">
        <v>1284</v>
      </c>
      <c r="B2087" s="49" t="s">
        <v>578</v>
      </c>
      <c r="C2087" s="49" t="s">
        <v>449</v>
      </c>
      <c r="D2087">
        <v>99</v>
      </c>
      <c r="E2087" s="49" t="s">
        <v>378</v>
      </c>
    </row>
    <row r="2088" spans="1:5" x14ac:dyDescent="0.3">
      <c r="A2088" s="49" t="s">
        <v>1285</v>
      </c>
      <c r="B2088" s="49" t="s">
        <v>578</v>
      </c>
      <c r="C2088" s="49" t="s">
        <v>449</v>
      </c>
      <c r="D2088">
        <v>98</v>
      </c>
      <c r="E2088" s="49" t="s">
        <v>378</v>
      </c>
    </row>
    <row r="2089" spans="1:5" x14ac:dyDescent="0.3">
      <c r="A2089" s="49" t="s">
        <v>1285</v>
      </c>
      <c r="B2089" s="49" t="s">
        <v>578</v>
      </c>
      <c r="C2089" s="49" t="s">
        <v>449</v>
      </c>
      <c r="D2089">
        <v>99</v>
      </c>
      <c r="E2089" s="49" t="s">
        <v>378</v>
      </c>
    </row>
    <row r="2090" spans="1:5" x14ac:dyDescent="0.3">
      <c r="A2090" s="49" t="s">
        <v>1286</v>
      </c>
      <c r="B2090" s="49" t="s">
        <v>578</v>
      </c>
      <c r="C2090" s="49" t="s">
        <v>449</v>
      </c>
      <c r="D2090">
        <v>98</v>
      </c>
      <c r="E2090" s="49" t="s">
        <v>378</v>
      </c>
    </row>
    <row r="2091" spans="1:5" x14ac:dyDescent="0.3">
      <c r="A2091" s="49" t="s">
        <v>1286</v>
      </c>
      <c r="B2091" s="49" t="s">
        <v>578</v>
      </c>
      <c r="C2091" s="49" t="s">
        <v>449</v>
      </c>
      <c r="D2091">
        <v>99</v>
      </c>
      <c r="E2091" s="49" t="s">
        <v>378</v>
      </c>
    </row>
    <row r="2092" spans="1:5" x14ac:dyDescent="0.3">
      <c r="A2092" s="49" t="s">
        <v>1287</v>
      </c>
      <c r="B2092" s="49" t="s">
        <v>578</v>
      </c>
      <c r="C2092" s="49" t="s">
        <v>449</v>
      </c>
      <c r="D2092">
        <v>98</v>
      </c>
      <c r="E2092" s="49" t="s">
        <v>378</v>
      </c>
    </row>
    <row r="2093" spans="1:5" x14ac:dyDescent="0.3">
      <c r="A2093" s="49" t="s">
        <v>1287</v>
      </c>
      <c r="B2093" s="49" t="s">
        <v>578</v>
      </c>
      <c r="C2093" s="49" t="s">
        <v>449</v>
      </c>
      <c r="D2093">
        <v>99</v>
      </c>
      <c r="E2093" s="49" t="s">
        <v>378</v>
      </c>
    </row>
    <row r="2094" spans="1:5" x14ac:dyDescent="0.3">
      <c r="A2094" s="49" t="s">
        <v>1288</v>
      </c>
      <c r="B2094" s="49" t="s">
        <v>578</v>
      </c>
      <c r="C2094" s="49" t="s">
        <v>449</v>
      </c>
      <c r="D2094">
        <v>98</v>
      </c>
      <c r="E2094" s="49" t="s">
        <v>378</v>
      </c>
    </row>
    <row r="2095" spans="1:5" x14ac:dyDescent="0.3">
      <c r="A2095" s="49" t="s">
        <v>1288</v>
      </c>
      <c r="B2095" s="49" t="s">
        <v>578</v>
      </c>
      <c r="C2095" s="49" t="s">
        <v>449</v>
      </c>
      <c r="D2095">
        <v>99</v>
      </c>
      <c r="E2095" s="49" t="s">
        <v>378</v>
      </c>
    </row>
    <row r="2096" spans="1:5" x14ac:dyDescent="0.3">
      <c r="A2096" s="49" t="s">
        <v>1289</v>
      </c>
      <c r="B2096" s="49" t="s">
        <v>578</v>
      </c>
      <c r="C2096" s="49" t="s">
        <v>449</v>
      </c>
      <c r="D2096">
        <v>98</v>
      </c>
      <c r="E2096" s="49" t="s">
        <v>378</v>
      </c>
    </row>
    <row r="2097" spans="1:5" x14ac:dyDescent="0.3">
      <c r="A2097" s="49" t="s">
        <v>1289</v>
      </c>
      <c r="B2097" s="49" t="s">
        <v>578</v>
      </c>
      <c r="C2097" s="49" t="s">
        <v>449</v>
      </c>
      <c r="D2097">
        <v>99</v>
      </c>
      <c r="E2097" s="49" t="s">
        <v>378</v>
      </c>
    </row>
    <row r="2098" spans="1:5" x14ac:dyDescent="0.3">
      <c r="A2098" s="49" t="s">
        <v>1290</v>
      </c>
      <c r="B2098" s="49" t="s">
        <v>578</v>
      </c>
      <c r="C2098" s="49" t="s">
        <v>449</v>
      </c>
      <c r="D2098">
        <v>98</v>
      </c>
      <c r="E2098" s="49" t="s">
        <v>378</v>
      </c>
    </row>
    <row r="2099" spans="1:5" x14ac:dyDescent="0.3">
      <c r="A2099" s="49" t="s">
        <v>1290</v>
      </c>
      <c r="B2099" s="49" t="s">
        <v>578</v>
      </c>
      <c r="C2099" s="49" t="s">
        <v>449</v>
      </c>
      <c r="D2099">
        <v>99</v>
      </c>
      <c r="E2099" s="49" t="s">
        <v>378</v>
      </c>
    </row>
    <row r="2100" spans="1:5" x14ac:dyDescent="0.3">
      <c r="A2100" s="49" t="s">
        <v>1291</v>
      </c>
      <c r="B2100" s="49" t="s">
        <v>578</v>
      </c>
      <c r="C2100" s="49" t="s">
        <v>449</v>
      </c>
      <c r="D2100">
        <v>98</v>
      </c>
      <c r="E2100" s="49" t="s">
        <v>378</v>
      </c>
    </row>
    <row r="2101" spans="1:5" x14ac:dyDescent="0.3">
      <c r="A2101" s="49" t="s">
        <v>1291</v>
      </c>
      <c r="B2101" s="49" t="s">
        <v>578</v>
      </c>
      <c r="C2101" s="49" t="s">
        <v>449</v>
      </c>
      <c r="D2101">
        <v>99</v>
      </c>
      <c r="E2101" s="49" t="s">
        <v>378</v>
      </c>
    </row>
    <row r="2102" spans="1:5" x14ac:dyDescent="0.3">
      <c r="A2102" s="49" t="s">
        <v>1292</v>
      </c>
      <c r="B2102" s="49" t="s">
        <v>578</v>
      </c>
      <c r="C2102" s="49" t="s">
        <v>449</v>
      </c>
      <c r="D2102">
        <v>98</v>
      </c>
      <c r="E2102" s="49" t="s">
        <v>378</v>
      </c>
    </row>
    <row r="2103" spans="1:5" x14ac:dyDescent="0.3">
      <c r="A2103" s="49" t="s">
        <v>1292</v>
      </c>
      <c r="B2103" s="49" t="s">
        <v>578</v>
      </c>
      <c r="C2103" s="49" t="s">
        <v>449</v>
      </c>
      <c r="D2103">
        <v>99</v>
      </c>
      <c r="E2103" s="49" t="s">
        <v>378</v>
      </c>
    </row>
    <row r="2104" spans="1:5" x14ac:dyDescent="0.3">
      <c r="A2104" s="49" t="s">
        <v>1293</v>
      </c>
      <c r="B2104" s="49" t="s">
        <v>578</v>
      </c>
      <c r="C2104" s="49" t="s">
        <v>449</v>
      </c>
      <c r="D2104">
        <v>98</v>
      </c>
      <c r="E2104" s="49" t="s">
        <v>378</v>
      </c>
    </row>
    <row r="2105" spans="1:5" x14ac:dyDescent="0.3">
      <c r="A2105" s="49" t="s">
        <v>1293</v>
      </c>
      <c r="B2105" s="49" t="s">
        <v>578</v>
      </c>
      <c r="C2105" s="49" t="s">
        <v>449</v>
      </c>
      <c r="D2105">
        <v>99</v>
      </c>
      <c r="E2105" s="49" t="s">
        <v>378</v>
      </c>
    </row>
    <row r="2106" spans="1:5" x14ac:dyDescent="0.3">
      <c r="A2106" s="49" t="s">
        <v>1294</v>
      </c>
      <c r="B2106" s="49" t="s">
        <v>578</v>
      </c>
      <c r="C2106" s="49" t="s">
        <v>449</v>
      </c>
      <c r="D2106">
        <v>98</v>
      </c>
      <c r="E2106" s="49" t="s">
        <v>378</v>
      </c>
    </row>
    <row r="2107" spans="1:5" x14ac:dyDescent="0.3">
      <c r="A2107" s="49" t="s">
        <v>1294</v>
      </c>
      <c r="B2107" s="49" t="s">
        <v>578</v>
      </c>
      <c r="C2107" s="49" t="s">
        <v>449</v>
      </c>
      <c r="D2107">
        <v>99</v>
      </c>
      <c r="E2107" s="49" t="s">
        <v>378</v>
      </c>
    </row>
    <row r="2108" spans="1:5" x14ac:dyDescent="0.3">
      <c r="A2108" s="49" t="s">
        <v>1295</v>
      </c>
      <c r="B2108" s="49" t="s">
        <v>578</v>
      </c>
      <c r="C2108" s="49" t="s">
        <v>449</v>
      </c>
      <c r="D2108">
        <v>98</v>
      </c>
      <c r="E2108" s="49" t="s">
        <v>378</v>
      </c>
    </row>
    <row r="2109" spans="1:5" x14ac:dyDescent="0.3">
      <c r="A2109" s="49" t="s">
        <v>1295</v>
      </c>
      <c r="B2109" s="49" t="s">
        <v>578</v>
      </c>
      <c r="C2109" s="49" t="s">
        <v>449</v>
      </c>
      <c r="D2109">
        <v>99</v>
      </c>
      <c r="E2109" s="49" t="s">
        <v>378</v>
      </c>
    </row>
    <row r="2110" spans="1:5" x14ac:dyDescent="0.3">
      <c r="A2110" s="49" t="s">
        <v>1296</v>
      </c>
      <c r="B2110" s="49" t="s">
        <v>578</v>
      </c>
      <c r="C2110" s="49" t="s">
        <v>449</v>
      </c>
      <c r="D2110">
        <v>98</v>
      </c>
      <c r="E2110" s="49" t="s">
        <v>378</v>
      </c>
    </row>
    <row r="2111" spans="1:5" x14ac:dyDescent="0.3">
      <c r="A2111" s="49" t="s">
        <v>1296</v>
      </c>
      <c r="B2111" s="49" t="s">
        <v>578</v>
      </c>
      <c r="C2111" s="49" t="s">
        <v>449</v>
      </c>
      <c r="D2111">
        <v>99</v>
      </c>
      <c r="E2111" s="49" t="s">
        <v>378</v>
      </c>
    </row>
    <row r="2112" spans="1:5" x14ac:dyDescent="0.3">
      <c r="A2112" s="49" t="s">
        <v>1297</v>
      </c>
      <c r="B2112" s="49" t="s">
        <v>578</v>
      </c>
      <c r="C2112" s="49" t="s">
        <v>449</v>
      </c>
      <c r="D2112">
        <v>98</v>
      </c>
      <c r="E2112" s="49" t="s">
        <v>378</v>
      </c>
    </row>
    <row r="2113" spans="1:5" x14ac:dyDescent="0.3">
      <c r="A2113" s="49" t="s">
        <v>1297</v>
      </c>
      <c r="B2113" s="49" t="s">
        <v>578</v>
      </c>
      <c r="C2113" s="49" t="s">
        <v>449</v>
      </c>
      <c r="D2113">
        <v>99</v>
      </c>
      <c r="E2113" s="49" t="s">
        <v>378</v>
      </c>
    </row>
    <row r="2114" spans="1:5" x14ac:dyDescent="0.3">
      <c r="A2114" s="49" t="s">
        <v>1298</v>
      </c>
      <c r="B2114" s="49" t="s">
        <v>578</v>
      </c>
      <c r="C2114" s="49" t="s">
        <v>449</v>
      </c>
      <c r="D2114">
        <v>98</v>
      </c>
      <c r="E2114" s="49" t="s">
        <v>378</v>
      </c>
    </row>
    <row r="2115" spans="1:5" x14ac:dyDescent="0.3">
      <c r="A2115" s="49" t="s">
        <v>1298</v>
      </c>
      <c r="B2115" s="49" t="s">
        <v>578</v>
      </c>
      <c r="C2115" s="49" t="s">
        <v>449</v>
      </c>
      <c r="D2115">
        <v>99</v>
      </c>
      <c r="E2115" s="49" t="s">
        <v>378</v>
      </c>
    </row>
    <row r="2116" spans="1:5" x14ac:dyDescent="0.3">
      <c r="A2116" s="49" t="s">
        <v>1299</v>
      </c>
      <c r="B2116" s="49" t="s">
        <v>578</v>
      </c>
      <c r="C2116" s="49" t="s">
        <v>449</v>
      </c>
      <c r="D2116">
        <v>98</v>
      </c>
      <c r="E2116" s="49" t="s">
        <v>378</v>
      </c>
    </row>
    <row r="2117" spans="1:5" x14ac:dyDescent="0.3">
      <c r="A2117" s="49" t="s">
        <v>1299</v>
      </c>
      <c r="B2117" s="49" t="s">
        <v>578</v>
      </c>
      <c r="C2117" s="49" t="s">
        <v>449</v>
      </c>
      <c r="D2117">
        <v>99</v>
      </c>
      <c r="E2117" s="49" t="s">
        <v>378</v>
      </c>
    </row>
    <row r="2118" spans="1:5" x14ac:dyDescent="0.3">
      <c r="A2118" s="49" t="s">
        <v>1300</v>
      </c>
      <c r="B2118" s="49" t="s">
        <v>578</v>
      </c>
      <c r="C2118" s="49" t="s">
        <v>449</v>
      </c>
      <c r="D2118">
        <v>98</v>
      </c>
      <c r="E2118" s="49" t="s">
        <v>378</v>
      </c>
    </row>
    <row r="2119" spans="1:5" x14ac:dyDescent="0.3">
      <c r="A2119" s="49" t="s">
        <v>1300</v>
      </c>
      <c r="B2119" s="49" t="s">
        <v>578</v>
      </c>
      <c r="C2119" s="49" t="s">
        <v>449</v>
      </c>
      <c r="D2119">
        <v>99</v>
      </c>
      <c r="E2119" s="49" t="s">
        <v>378</v>
      </c>
    </row>
    <row r="2120" spans="1:5" x14ac:dyDescent="0.3">
      <c r="A2120" s="49" t="s">
        <v>1301</v>
      </c>
      <c r="B2120" s="49" t="s">
        <v>578</v>
      </c>
      <c r="C2120" s="49" t="s">
        <v>449</v>
      </c>
      <c r="D2120">
        <v>98</v>
      </c>
      <c r="E2120" s="49" t="s">
        <v>378</v>
      </c>
    </row>
    <row r="2121" spans="1:5" x14ac:dyDescent="0.3">
      <c r="A2121" s="49" t="s">
        <v>1301</v>
      </c>
      <c r="B2121" s="49" t="s">
        <v>578</v>
      </c>
      <c r="C2121" s="49" t="s">
        <v>449</v>
      </c>
      <c r="D2121">
        <v>99</v>
      </c>
      <c r="E2121" s="49" t="s">
        <v>378</v>
      </c>
    </row>
    <row r="2122" spans="1:5" x14ac:dyDescent="0.3">
      <c r="A2122" s="49" t="s">
        <v>1302</v>
      </c>
      <c r="B2122" s="49" t="s">
        <v>578</v>
      </c>
      <c r="C2122" s="49" t="s">
        <v>449</v>
      </c>
      <c r="D2122">
        <v>98</v>
      </c>
      <c r="E2122" s="49" t="s">
        <v>378</v>
      </c>
    </row>
    <row r="2123" spans="1:5" x14ac:dyDescent="0.3">
      <c r="A2123" s="49" t="s">
        <v>1302</v>
      </c>
      <c r="B2123" s="49" t="s">
        <v>578</v>
      </c>
      <c r="C2123" s="49" t="s">
        <v>449</v>
      </c>
      <c r="D2123">
        <v>99</v>
      </c>
      <c r="E2123" s="49" t="s">
        <v>378</v>
      </c>
    </row>
    <row r="2124" spans="1:5" x14ac:dyDescent="0.3">
      <c r="A2124" s="49" t="s">
        <v>1303</v>
      </c>
      <c r="B2124" s="49" t="s">
        <v>578</v>
      </c>
      <c r="C2124" s="49" t="s">
        <v>449</v>
      </c>
      <c r="D2124">
        <v>98</v>
      </c>
      <c r="E2124" s="49" t="s">
        <v>378</v>
      </c>
    </row>
    <row r="2125" spans="1:5" x14ac:dyDescent="0.3">
      <c r="A2125" s="49" t="s">
        <v>1303</v>
      </c>
      <c r="B2125" s="49" t="s">
        <v>578</v>
      </c>
      <c r="C2125" s="49" t="s">
        <v>449</v>
      </c>
      <c r="D2125">
        <v>99</v>
      </c>
      <c r="E2125" s="49" t="s">
        <v>378</v>
      </c>
    </row>
    <row r="2126" spans="1:5" x14ac:dyDescent="0.3">
      <c r="A2126" s="49" t="s">
        <v>1304</v>
      </c>
      <c r="B2126" s="49" t="s">
        <v>578</v>
      </c>
      <c r="C2126" s="49" t="s">
        <v>449</v>
      </c>
      <c r="D2126">
        <v>98</v>
      </c>
      <c r="E2126" s="49" t="s">
        <v>378</v>
      </c>
    </row>
    <row r="2127" spans="1:5" x14ac:dyDescent="0.3">
      <c r="A2127" s="49" t="s">
        <v>1304</v>
      </c>
      <c r="B2127" s="49" t="s">
        <v>578</v>
      </c>
      <c r="C2127" s="49" t="s">
        <v>449</v>
      </c>
      <c r="D2127">
        <v>99</v>
      </c>
      <c r="E2127" s="49" t="s">
        <v>378</v>
      </c>
    </row>
    <row r="2128" spans="1:5" x14ac:dyDescent="0.3">
      <c r="A2128" s="49" t="s">
        <v>1305</v>
      </c>
      <c r="B2128" s="49" t="s">
        <v>578</v>
      </c>
      <c r="C2128" s="49" t="s">
        <v>449</v>
      </c>
      <c r="D2128">
        <v>98</v>
      </c>
      <c r="E2128" s="49" t="s">
        <v>378</v>
      </c>
    </row>
    <row r="2129" spans="1:5" x14ac:dyDescent="0.3">
      <c r="A2129" s="49" t="s">
        <v>1305</v>
      </c>
      <c r="B2129" s="49" t="s">
        <v>578</v>
      </c>
      <c r="C2129" s="49" t="s">
        <v>449</v>
      </c>
      <c r="D2129">
        <v>99</v>
      </c>
      <c r="E2129" s="49" t="s">
        <v>378</v>
      </c>
    </row>
    <row r="2130" spans="1:5" x14ac:dyDescent="0.3">
      <c r="A2130" s="49" t="s">
        <v>1306</v>
      </c>
      <c r="B2130" s="49" t="s">
        <v>578</v>
      </c>
      <c r="C2130" s="49" t="s">
        <v>449</v>
      </c>
      <c r="D2130">
        <v>98</v>
      </c>
      <c r="E2130" s="49" t="s">
        <v>378</v>
      </c>
    </row>
    <row r="2131" spans="1:5" x14ac:dyDescent="0.3">
      <c r="A2131" s="49" t="s">
        <v>1306</v>
      </c>
      <c r="B2131" s="49" t="s">
        <v>578</v>
      </c>
      <c r="C2131" s="49" t="s">
        <v>449</v>
      </c>
      <c r="D2131">
        <v>99</v>
      </c>
      <c r="E2131" s="49" t="s">
        <v>378</v>
      </c>
    </row>
    <row r="2132" spans="1:5" x14ac:dyDescent="0.3">
      <c r="A2132" s="49" t="s">
        <v>1307</v>
      </c>
      <c r="B2132" s="49" t="s">
        <v>578</v>
      </c>
      <c r="C2132" s="49" t="s">
        <v>449</v>
      </c>
      <c r="D2132">
        <v>98</v>
      </c>
      <c r="E2132" s="49" t="s">
        <v>378</v>
      </c>
    </row>
    <row r="2133" spans="1:5" x14ac:dyDescent="0.3">
      <c r="A2133" s="49" t="s">
        <v>1307</v>
      </c>
      <c r="B2133" s="49" t="s">
        <v>578</v>
      </c>
      <c r="C2133" s="49" t="s">
        <v>449</v>
      </c>
      <c r="D2133">
        <v>99</v>
      </c>
      <c r="E2133" s="49" t="s">
        <v>378</v>
      </c>
    </row>
    <row r="2134" spans="1:5" x14ac:dyDescent="0.3">
      <c r="A2134" s="49" t="s">
        <v>1308</v>
      </c>
      <c r="B2134" s="49" t="s">
        <v>578</v>
      </c>
      <c r="C2134" s="49" t="s">
        <v>449</v>
      </c>
      <c r="D2134">
        <v>98</v>
      </c>
      <c r="E2134" s="49" t="s">
        <v>378</v>
      </c>
    </row>
    <row r="2135" spans="1:5" x14ac:dyDescent="0.3">
      <c r="A2135" s="49" t="s">
        <v>1308</v>
      </c>
      <c r="B2135" s="49" t="s">
        <v>578</v>
      </c>
      <c r="C2135" s="49" t="s">
        <v>449</v>
      </c>
      <c r="D2135">
        <v>99</v>
      </c>
      <c r="E2135" s="49" t="s">
        <v>378</v>
      </c>
    </row>
    <row r="2136" spans="1:5" x14ac:dyDescent="0.3">
      <c r="A2136" s="49" t="s">
        <v>1309</v>
      </c>
      <c r="B2136" s="49" t="s">
        <v>578</v>
      </c>
      <c r="C2136" s="49" t="s">
        <v>449</v>
      </c>
      <c r="D2136">
        <v>98</v>
      </c>
      <c r="E2136" s="49" t="s">
        <v>378</v>
      </c>
    </row>
    <row r="2137" spans="1:5" x14ac:dyDescent="0.3">
      <c r="A2137" s="49" t="s">
        <v>1309</v>
      </c>
      <c r="B2137" s="49" t="s">
        <v>578</v>
      </c>
      <c r="C2137" s="49" t="s">
        <v>449</v>
      </c>
      <c r="D2137">
        <v>99</v>
      </c>
      <c r="E2137" s="49" t="s">
        <v>378</v>
      </c>
    </row>
    <row r="2138" spans="1:5" x14ac:dyDescent="0.3">
      <c r="A2138" s="49" t="s">
        <v>1310</v>
      </c>
      <c r="B2138" s="49" t="s">
        <v>578</v>
      </c>
      <c r="C2138" s="49" t="s">
        <v>449</v>
      </c>
      <c r="D2138">
        <v>98</v>
      </c>
      <c r="E2138" s="49" t="s">
        <v>378</v>
      </c>
    </row>
    <row r="2139" spans="1:5" x14ac:dyDescent="0.3">
      <c r="A2139" s="49" t="s">
        <v>1310</v>
      </c>
      <c r="B2139" s="49" t="s">
        <v>578</v>
      </c>
      <c r="C2139" s="49" t="s">
        <v>449</v>
      </c>
      <c r="D2139">
        <v>99</v>
      </c>
      <c r="E2139" s="49" t="s">
        <v>378</v>
      </c>
    </row>
    <row r="2140" spans="1:5" x14ac:dyDescent="0.3">
      <c r="A2140" s="49" t="s">
        <v>1311</v>
      </c>
      <c r="B2140" s="49" t="s">
        <v>578</v>
      </c>
      <c r="C2140" s="49" t="s">
        <v>449</v>
      </c>
      <c r="D2140">
        <v>98</v>
      </c>
      <c r="E2140" s="49" t="s">
        <v>378</v>
      </c>
    </row>
    <row r="2141" spans="1:5" x14ac:dyDescent="0.3">
      <c r="A2141" s="49" t="s">
        <v>1311</v>
      </c>
      <c r="B2141" s="49" t="s">
        <v>578</v>
      </c>
      <c r="C2141" s="49" t="s">
        <v>449</v>
      </c>
      <c r="D2141">
        <v>99</v>
      </c>
      <c r="E2141" s="49" t="s">
        <v>378</v>
      </c>
    </row>
    <row r="2142" spans="1:5" x14ac:dyDescent="0.3">
      <c r="A2142" s="49" t="s">
        <v>1312</v>
      </c>
      <c r="B2142" s="49" t="s">
        <v>578</v>
      </c>
      <c r="C2142" s="49" t="s">
        <v>449</v>
      </c>
      <c r="D2142">
        <v>98</v>
      </c>
      <c r="E2142" s="49" t="s">
        <v>378</v>
      </c>
    </row>
    <row r="2143" spans="1:5" x14ac:dyDescent="0.3">
      <c r="A2143" s="49" t="s">
        <v>1312</v>
      </c>
      <c r="B2143" s="49" t="s">
        <v>578</v>
      </c>
      <c r="C2143" s="49" t="s">
        <v>449</v>
      </c>
      <c r="D2143">
        <v>99</v>
      </c>
      <c r="E2143" s="49" t="s">
        <v>378</v>
      </c>
    </row>
    <row r="2144" spans="1:5" x14ac:dyDescent="0.3">
      <c r="A2144" s="49" t="s">
        <v>1313</v>
      </c>
      <c r="B2144" s="49" t="s">
        <v>578</v>
      </c>
      <c r="C2144" s="49" t="s">
        <v>449</v>
      </c>
      <c r="D2144">
        <v>98</v>
      </c>
      <c r="E2144" s="49" t="s">
        <v>378</v>
      </c>
    </row>
    <row r="2145" spans="1:5" x14ac:dyDescent="0.3">
      <c r="A2145" s="49" t="s">
        <v>1313</v>
      </c>
      <c r="B2145" s="49" t="s">
        <v>578</v>
      </c>
      <c r="C2145" s="49" t="s">
        <v>449</v>
      </c>
      <c r="D2145">
        <v>99</v>
      </c>
      <c r="E2145" s="49" t="s">
        <v>378</v>
      </c>
    </row>
    <row r="2146" spans="1:5" x14ac:dyDescent="0.3">
      <c r="A2146" s="49" t="s">
        <v>1314</v>
      </c>
      <c r="B2146" s="49" t="s">
        <v>578</v>
      </c>
      <c r="C2146" s="49" t="s">
        <v>449</v>
      </c>
      <c r="D2146">
        <v>98</v>
      </c>
      <c r="E2146" s="49" t="s">
        <v>378</v>
      </c>
    </row>
    <row r="2147" spans="1:5" x14ac:dyDescent="0.3">
      <c r="A2147" s="49" t="s">
        <v>1314</v>
      </c>
      <c r="B2147" s="49" t="s">
        <v>578</v>
      </c>
      <c r="C2147" s="49" t="s">
        <v>449</v>
      </c>
      <c r="D2147">
        <v>99</v>
      </c>
      <c r="E2147" s="49" t="s">
        <v>378</v>
      </c>
    </row>
    <row r="2148" spans="1:5" x14ac:dyDescent="0.3">
      <c r="A2148" s="49" t="s">
        <v>1315</v>
      </c>
      <c r="B2148" s="49" t="s">
        <v>578</v>
      </c>
      <c r="C2148" s="49" t="s">
        <v>449</v>
      </c>
      <c r="D2148">
        <v>98</v>
      </c>
      <c r="E2148" s="49" t="s">
        <v>378</v>
      </c>
    </row>
    <row r="2149" spans="1:5" x14ac:dyDescent="0.3">
      <c r="A2149" s="49" t="s">
        <v>1315</v>
      </c>
      <c r="B2149" s="49" t="s">
        <v>578</v>
      </c>
      <c r="C2149" s="49" t="s">
        <v>449</v>
      </c>
      <c r="D2149">
        <v>99</v>
      </c>
      <c r="E2149" s="49" t="s">
        <v>378</v>
      </c>
    </row>
    <row r="2150" spans="1:5" x14ac:dyDescent="0.3">
      <c r="A2150" s="49" t="s">
        <v>1316</v>
      </c>
      <c r="B2150" s="49" t="s">
        <v>578</v>
      </c>
      <c r="C2150" s="49" t="s">
        <v>449</v>
      </c>
      <c r="D2150">
        <v>98</v>
      </c>
      <c r="E2150" s="49" t="s">
        <v>378</v>
      </c>
    </row>
    <row r="2151" spans="1:5" x14ac:dyDescent="0.3">
      <c r="A2151" s="49" t="s">
        <v>1316</v>
      </c>
      <c r="B2151" s="49" t="s">
        <v>578</v>
      </c>
      <c r="C2151" s="49" t="s">
        <v>449</v>
      </c>
      <c r="D2151">
        <v>99</v>
      </c>
      <c r="E2151" s="49" t="s">
        <v>378</v>
      </c>
    </row>
    <row r="2152" spans="1:5" x14ac:dyDescent="0.3">
      <c r="A2152" s="49" t="s">
        <v>1317</v>
      </c>
      <c r="B2152" s="49" t="s">
        <v>578</v>
      </c>
      <c r="C2152" s="49" t="s">
        <v>449</v>
      </c>
      <c r="D2152">
        <v>98</v>
      </c>
      <c r="E2152" s="49" t="s">
        <v>378</v>
      </c>
    </row>
    <row r="2153" spans="1:5" x14ac:dyDescent="0.3">
      <c r="A2153" s="49" t="s">
        <v>1317</v>
      </c>
      <c r="B2153" s="49" t="s">
        <v>578</v>
      </c>
      <c r="C2153" s="49" t="s">
        <v>449</v>
      </c>
      <c r="D2153">
        <v>99</v>
      </c>
      <c r="E2153" s="49" t="s">
        <v>378</v>
      </c>
    </row>
    <row r="2154" spans="1:5" x14ac:dyDescent="0.3">
      <c r="A2154" s="49" t="s">
        <v>1318</v>
      </c>
      <c r="B2154" s="49" t="s">
        <v>578</v>
      </c>
      <c r="C2154" s="49" t="s">
        <v>449</v>
      </c>
      <c r="D2154">
        <v>98</v>
      </c>
      <c r="E2154" s="49" t="s">
        <v>378</v>
      </c>
    </row>
    <row r="2155" spans="1:5" x14ac:dyDescent="0.3">
      <c r="A2155" s="49" t="s">
        <v>1318</v>
      </c>
      <c r="B2155" s="49" t="s">
        <v>578</v>
      </c>
      <c r="C2155" s="49" t="s">
        <v>449</v>
      </c>
      <c r="D2155">
        <v>99</v>
      </c>
      <c r="E2155" s="49" t="s">
        <v>378</v>
      </c>
    </row>
    <row r="2156" spans="1:5" x14ac:dyDescent="0.3">
      <c r="A2156" s="49" t="s">
        <v>1319</v>
      </c>
      <c r="B2156" s="49" t="s">
        <v>578</v>
      </c>
      <c r="C2156" s="49" t="s">
        <v>449</v>
      </c>
      <c r="D2156">
        <v>98</v>
      </c>
      <c r="E2156" s="49" t="s">
        <v>378</v>
      </c>
    </row>
    <row r="2157" spans="1:5" x14ac:dyDescent="0.3">
      <c r="A2157" s="49" t="s">
        <v>1319</v>
      </c>
      <c r="B2157" s="49" t="s">
        <v>578</v>
      </c>
      <c r="C2157" s="49" t="s">
        <v>449</v>
      </c>
      <c r="D2157">
        <v>99</v>
      </c>
      <c r="E2157" s="49" t="s">
        <v>378</v>
      </c>
    </row>
    <row r="2158" spans="1:5" x14ac:dyDescent="0.3">
      <c r="A2158" s="49" t="s">
        <v>1320</v>
      </c>
      <c r="B2158" s="49" t="s">
        <v>578</v>
      </c>
      <c r="C2158" s="49" t="s">
        <v>449</v>
      </c>
      <c r="D2158">
        <v>98</v>
      </c>
      <c r="E2158" s="49" t="s">
        <v>378</v>
      </c>
    </row>
    <row r="2159" spans="1:5" x14ac:dyDescent="0.3">
      <c r="A2159" s="49" t="s">
        <v>1320</v>
      </c>
      <c r="B2159" s="49" t="s">
        <v>578</v>
      </c>
      <c r="C2159" s="49" t="s">
        <v>449</v>
      </c>
      <c r="D2159">
        <v>99</v>
      </c>
      <c r="E2159" s="49" t="s">
        <v>378</v>
      </c>
    </row>
    <row r="2160" spans="1:5" x14ac:dyDescent="0.3">
      <c r="A2160" s="49" t="s">
        <v>1321</v>
      </c>
      <c r="B2160" s="49" t="s">
        <v>578</v>
      </c>
      <c r="C2160" s="49" t="s">
        <v>449</v>
      </c>
      <c r="D2160">
        <v>98</v>
      </c>
      <c r="E2160" s="49" t="s">
        <v>378</v>
      </c>
    </row>
    <row r="2161" spans="1:5" x14ac:dyDescent="0.3">
      <c r="A2161" s="49" t="s">
        <v>1321</v>
      </c>
      <c r="B2161" s="49" t="s">
        <v>578</v>
      </c>
      <c r="C2161" s="49" t="s">
        <v>449</v>
      </c>
      <c r="D2161">
        <v>99</v>
      </c>
      <c r="E2161" s="49" t="s">
        <v>378</v>
      </c>
    </row>
    <row r="2162" spans="1:5" x14ac:dyDescent="0.3">
      <c r="A2162" s="49" t="s">
        <v>1322</v>
      </c>
      <c r="B2162" s="49" t="s">
        <v>578</v>
      </c>
      <c r="C2162" s="49" t="s">
        <v>449</v>
      </c>
      <c r="D2162">
        <v>98</v>
      </c>
      <c r="E2162" s="49" t="s">
        <v>378</v>
      </c>
    </row>
    <row r="2163" spans="1:5" x14ac:dyDescent="0.3">
      <c r="A2163" s="49" t="s">
        <v>1322</v>
      </c>
      <c r="B2163" s="49" t="s">
        <v>578</v>
      </c>
      <c r="C2163" s="49" t="s">
        <v>449</v>
      </c>
      <c r="D2163">
        <v>99</v>
      </c>
      <c r="E2163" s="49" t="s">
        <v>378</v>
      </c>
    </row>
    <row r="2164" spans="1:5" x14ac:dyDescent="0.3">
      <c r="A2164" s="49" t="s">
        <v>1323</v>
      </c>
      <c r="B2164" s="49" t="s">
        <v>578</v>
      </c>
      <c r="C2164" s="49" t="s">
        <v>449</v>
      </c>
      <c r="D2164">
        <v>98</v>
      </c>
      <c r="E2164" s="49" t="s">
        <v>378</v>
      </c>
    </row>
    <row r="2165" spans="1:5" x14ac:dyDescent="0.3">
      <c r="A2165" s="49" t="s">
        <v>1323</v>
      </c>
      <c r="B2165" s="49" t="s">
        <v>578</v>
      </c>
      <c r="C2165" s="49" t="s">
        <v>449</v>
      </c>
      <c r="D2165">
        <v>99</v>
      </c>
      <c r="E2165" s="49" t="s">
        <v>378</v>
      </c>
    </row>
    <row r="2166" spans="1:5" x14ac:dyDescent="0.3">
      <c r="A2166" s="49" t="s">
        <v>1324</v>
      </c>
      <c r="B2166" s="49" t="s">
        <v>578</v>
      </c>
      <c r="C2166" s="49" t="s">
        <v>449</v>
      </c>
      <c r="D2166">
        <v>98</v>
      </c>
      <c r="E2166" s="49" t="s">
        <v>378</v>
      </c>
    </row>
    <row r="2167" spans="1:5" x14ac:dyDescent="0.3">
      <c r="A2167" s="49" t="s">
        <v>1324</v>
      </c>
      <c r="B2167" s="49" t="s">
        <v>578</v>
      </c>
      <c r="C2167" s="49" t="s">
        <v>449</v>
      </c>
      <c r="D2167">
        <v>99</v>
      </c>
      <c r="E2167" s="49" t="s">
        <v>378</v>
      </c>
    </row>
    <row r="2168" spans="1:5" x14ac:dyDescent="0.3">
      <c r="A2168" s="49" t="s">
        <v>1325</v>
      </c>
      <c r="B2168" s="49" t="s">
        <v>578</v>
      </c>
      <c r="C2168" s="49" t="s">
        <v>449</v>
      </c>
      <c r="D2168">
        <v>98</v>
      </c>
      <c r="E2168" s="49" t="s">
        <v>378</v>
      </c>
    </row>
    <row r="2169" spans="1:5" x14ac:dyDescent="0.3">
      <c r="A2169" s="49" t="s">
        <v>1325</v>
      </c>
      <c r="B2169" s="49" t="s">
        <v>578</v>
      </c>
      <c r="C2169" s="49" t="s">
        <v>449</v>
      </c>
      <c r="D2169">
        <v>99</v>
      </c>
      <c r="E2169" s="49" t="s">
        <v>378</v>
      </c>
    </row>
    <row r="2170" spans="1:5" x14ac:dyDescent="0.3">
      <c r="A2170" s="49" t="s">
        <v>1326</v>
      </c>
      <c r="B2170" s="49" t="s">
        <v>578</v>
      </c>
      <c r="C2170" s="49" t="s">
        <v>449</v>
      </c>
      <c r="D2170">
        <v>98</v>
      </c>
      <c r="E2170" s="49" t="s">
        <v>378</v>
      </c>
    </row>
    <row r="2171" spans="1:5" x14ac:dyDescent="0.3">
      <c r="A2171" s="49" t="s">
        <v>1326</v>
      </c>
      <c r="B2171" s="49" t="s">
        <v>578</v>
      </c>
      <c r="C2171" s="49" t="s">
        <v>449</v>
      </c>
      <c r="D2171">
        <v>99</v>
      </c>
      <c r="E2171" s="49" t="s">
        <v>378</v>
      </c>
    </row>
    <row r="2172" spans="1:5" x14ac:dyDescent="0.3">
      <c r="A2172" s="49" t="s">
        <v>1327</v>
      </c>
      <c r="B2172" s="49" t="s">
        <v>578</v>
      </c>
      <c r="C2172" s="49" t="s">
        <v>449</v>
      </c>
      <c r="D2172">
        <v>98</v>
      </c>
      <c r="E2172" s="49" t="s">
        <v>378</v>
      </c>
    </row>
    <row r="2173" spans="1:5" x14ac:dyDescent="0.3">
      <c r="A2173" s="49" t="s">
        <v>1327</v>
      </c>
      <c r="B2173" s="49" t="s">
        <v>578</v>
      </c>
      <c r="C2173" s="49" t="s">
        <v>449</v>
      </c>
      <c r="D2173">
        <v>99</v>
      </c>
      <c r="E2173" s="49" t="s">
        <v>378</v>
      </c>
    </row>
    <row r="2174" spans="1:5" x14ac:dyDescent="0.3">
      <c r="A2174" s="49" t="s">
        <v>1328</v>
      </c>
      <c r="B2174" s="49" t="s">
        <v>578</v>
      </c>
      <c r="C2174" s="49" t="s">
        <v>449</v>
      </c>
      <c r="D2174">
        <v>98</v>
      </c>
      <c r="E2174" s="49" t="s">
        <v>378</v>
      </c>
    </row>
    <row r="2175" spans="1:5" x14ac:dyDescent="0.3">
      <c r="A2175" s="49" t="s">
        <v>1328</v>
      </c>
      <c r="B2175" s="49" t="s">
        <v>578</v>
      </c>
      <c r="C2175" s="49" t="s">
        <v>449</v>
      </c>
      <c r="D2175">
        <v>99</v>
      </c>
      <c r="E2175" s="49" t="s">
        <v>378</v>
      </c>
    </row>
    <row r="2176" spans="1:5" x14ac:dyDescent="0.3">
      <c r="A2176" s="49" t="s">
        <v>1329</v>
      </c>
      <c r="B2176" s="49" t="s">
        <v>578</v>
      </c>
      <c r="C2176" s="49" t="s">
        <v>449</v>
      </c>
      <c r="D2176">
        <v>98</v>
      </c>
      <c r="E2176" s="49" t="s">
        <v>378</v>
      </c>
    </row>
    <row r="2177" spans="1:5" x14ac:dyDescent="0.3">
      <c r="A2177" s="49" t="s">
        <v>1329</v>
      </c>
      <c r="B2177" s="49" t="s">
        <v>578</v>
      </c>
      <c r="C2177" s="49" t="s">
        <v>449</v>
      </c>
      <c r="D2177">
        <v>99</v>
      </c>
      <c r="E2177" s="49" t="s">
        <v>378</v>
      </c>
    </row>
    <row r="2178" spans="1:5" x14ac:dyDescent="0.3">
      <c r="A2178" s="49" t="s">
        <v>1330</v>
      </c>
      <c r="B2178" s="49" t="s">
        <v>578</v>
      </c>
      <c r="C2178" s="49" t="s">
        <v>449</v>
      </c>
      <c r="D2178">
        <v>98</v>
      </c>
      <c r="E2178" s="49" t="s">
        <v>378</v>
      </c>
    </row>
    <row r="2179" spans="1:5" x14ac:dyDescent="0.3">
      <c r="A2179" s="49" t="s">
        <v>1330</v>
      </c>
      <c r="B2179" s="49" t="s">
        <v>578</v>
      </c>
      <c r="C2179" s="49" t="s">
        <v>449</v>
      </c>
      <c r="D2179">
        <v>99</v>
      </c>
      <c r="E2179" s="49" t="s">
        <v>378</v>
      </c>
    </row>
    <row r="2180" spans="1:5" x14ac:dyDescent="0.3">
      <c r="A2180" s="49" t="s">
        <v>1331</v>
      </c>
      <c r="B2180" s="49" t="s">
        <v>578</v>
      </c>
      <c r="C2180" s="49" t="s">
        <v>449</v>
      </c>
      <c r="D2180">
        <v>98</v>
      </c>
      <c r="E2180" s="49" t="s">
        <v>378</v>
      </c>
    </row>
    <row r="2181" spans="1:5" x14ac:dyDescent="0.3">
      <c r="A2181" s="49" t="s">
        <v>1331</v>
      </c>
      <c r="B2181" s="49" t="s">
        <v>578</v>
      </c>
      <c r="C2181" s="49" t="s">
        <v>449</v>
      </c>
      <c r="D2181">
        <v>99</v>
      </c>
      <c r="E2181" s="49" t="s">
        <v>378</v>
      </c>
    </row>
    <row r="2182" spans="1:5" x14ac:dyDescent="0.3">
      <c r="A2182" s="49" t="s">
        <v>1332</v>
      </c>
      <c r="B2182" s="49" t="s">
        <v>578</v>
      </c>
      <c r="C2182" s="49" t="s">
        <v>449</v>
      </c>
      <c r="D2182">
        <v>98</v>
      </c>
      <c r="E2182" s="49" t="s">
        <v>378</v>
      </c>
    </row>
    <row r="2183" spans="1:5" x14ac:dyDescent="0.3">
      <c r="A2183" s="49" t="s">
        <v>1332</v>
      </c>
      <c r="B2183" s="49" t="s">
        <v>578</v>
      </c>
      <c r="C2183" s="49" t="s">
        <v>449</v>
      </c>
      <c r="D2183">
        <v>99</v>
      </c>
      <c r="E2183" s="49" t="s">
        <v>378</v>
      </c>
    </row>
    <row r="2184" spans="1:5" x14ac:dyDescent="0.3">
      <c r="A2184" s="49" t="s">
        <v>1333</v>
      </c>
      <c r="B2184" s="49" t="s">
        <v>578</v>
      </c>
      <c r="C2184" s="49" t="s">
        <v>449</v>
      </c>
      <c r="D2184">
        <v>98</v>
      </c>
      <c r="E2184" s="49" t="s">
        <v>378</v>
      </c>
    </row>
    <row r="2185" spans="1:5" x14ac:dyDescent="0.3">
      <c r="A2185" s="49" t="s">
        <v>1333</v>
      </c>
      <c r="B2185" s="49" t="s">
        <v>578</v>
      </c>
      <c r="C2185" s="49" t="s">
        <v>449</v>
      </c>
      <c r="D2185">
        <v>99</v>
      </c>
      <c r="E2185" s="49" t="s">
        <v>378</v>
      </c>
    </row>
    <row r="2186" spans="1:5" x14ac:dyDescent="0.3">
      <c r="A2186" s="49" t="s">
        <v>1334</v>
      </c>
      <c r="B2186" s="49" t="s">
        <v>578</v>
      </c>
      <c r="C2186" s="49" t="s">
        <v>449</v>
      </c>
      <c r="D2186">
        <v>98</v>
      </c>
      <c r="E2186" s="49" t="s">
        <v>378</v>
      </c>
    </row>
    <row r="2187" spans="1:5" x14ac:dyDescent="0.3">
      <c r="A2187" s="49" t="s">
        <v>1334</v>
      </c>
      <c r="B2187" s="49" t="s">
        <v>578</v>
      </c>
      <c r="C2187" s="49" t="s">
        <v>449</v>
      </c>
      <c r="D2187">
        <v>99</v>
      </c>
      <c r="E2187" s="49" t="s">
        <v>378</v>
      </c>
    </row>
    <row r="2188" spans="1:5" x14ac:dyDescent="0.3">
      <c r="A2188" s="49" t="s">
        <v>1335</v>
      </c>
      <c r="B2188" s="49" t="s">
        <v>578</v>
      </c>
      <c r="C2188" s="49" t="s">
        <v>449</v>
      </c>
      <c r="D2188">
        <v>98</v>
      </c>
      <c r="E2188" s="49" t="s">
        <v>378</v>
      </c>
    </row>
    <row r="2189" spans="1:5" x14ac:dyDescent="0.3">
      <c r="A2189" s="49" t="s">
        <v>1335</v>
      </c>
      <c r="B2189" s="49" t="s">
        <v>578</v>
      </c>
      <c r="C2189" s="49" t="s">
        <v>449</v>
      </c>
      <c r="D2189">
        <v>99</v>
      </c>
      <c r="E2189" s="49" t="s">
        <v>378</v>
      </c>
    </row>
    <row r="2190" spans="1:5" x14ac:dyDescent="0.3">
      <c r="A2190" s="49" t="s">
        <v>1336</v>
      </c>
      <c r="B2190" s="49" t="s">
        <v>578</v>
      </c>
      <c r="C2190" s="49" t="s">
        <v>449</v>
      </c>
      <c r="D2190">
        <v>98</v>
      </c>
      <c r="E2190" s="49" t="s">
        <v>378</v>
      </c>
    </row>
    <row r="2191" spans="1:5" x14ac:dyDescent="0.3">
      <c r="A2191" s="49" t="s">
        <v>1336</v>
      </c>
      <c r="B2191" s="49" t="s">
        <v>578</v>
      </c>
      <c r="C2191" s="49" t="s">
        <v>449</v>
      </c>
      <c r="D2191">
        <v>99</v>
      </c>
      <c r="E2191" s="49" t="s">
        <v>378</v>
      </c>
    </row>
    <row r="2192" spans="1:5" x14ac:dyDescent="0.3">
      <c r="A2192" s="49" t="s">
        <v>1337</v>
      </c>
      <c r="B2192" s="49" t="s">
        <v>578</v>
      </c>
      <c r="C2192" s="49" t="s">
        <v>449</v>
      </c>
      <c r="D2192">
        <v>98</v>
      </c>
      <c r="E2192" s="49" t="s">
        <v>378</v>
      </c>
    </row>
    <row r="2193" spans="1:5" x14ac:dyDescent="0.3">
      <c r="A2193" s="49" t="s">
        <v>1337</v>
      </c>
      <c r="B2193" s="49" t="s">
        <v>578</v>
      </c>
      <c r="C2193" s="49" t="s">
        <v>449</v>
      </c>
      <c r="D2193">
        <v>99</v>
      </c>
      <c r="E2193" s="49" t="s">
        <v>378</v>
      </c>
    </row>
    <row r="2194" spans="1:5" x14ac:dyDescent="0.3">
      <c r="A2194" s="49" t="s">
        <v>1338</v>
      </c>
      <c r="B2194" s="49" t="s">
        <v>578</v>
      </c>
      <c r="C2194" s="49" t="s">
        <v>449</v>
      </c>
      <c r="D2194">
        <v>98</v>
      </c>
      <c r="E2194" s="49" t="s">
        <v>378</v>
      </c>
    </row>
    <row r="2195" spans="1:5" x14ac:dyDescent="0.3">
      <c r="A2195" s="49" t="s">
        <v>1338</v>
      </c>
      <c r="B2195" s="49" t="s">
        <v>578</v>
      </c>
      <c r="C2195" s="49" t="s">
        <v>449</v>
      </c>
      <c r="D2195">
        <v>99</v>
      </c>
      <c r="E2195" s="49" t="s">
        <v>378</v>
      </c>
    </row>
    <row r="2196" spans="1:5" x14ac:dyDescent="0.3">
      <c r="A2196" s="49" t="s">
        <v>1339</v>
      </c>
      <c r="B2196" s="49" t="s">
        <v>578</v>
      </c>
      <c r="C2196" s="49" t="s">
        <v>449</v>
      </c>
      <c r="D2196">
        <v>98</v>
      </c>
      <c r="E2196" s="49" t="s">
        <v>378</v>
      </c>
    </row>
    <row r="2197" spans="1:5" x14ac:dyDescent="0.3">
      <c r="A2197" s="49" t="s">
        <v>1339</v>
      </c>
      <c r="B2197" s="49" t="s">
        <v>578</v>
      </c>
      <c r="C2197" s="49" t="s">
        <v>449</v>
      </c>
      <c r="D2197">
        <v>99</v>
      </c>
      <c r="E2197" s="49" t="s">
        <v>378</v>
      </c>
    </row>
    <row r="2198" spans="1:5" x14ac:dyDescent="0.3">
      <c r="A2198" s="49" t="s">
        <v>1340</v>
      </c>
      <c r="B2198" s="49" t="s">
        <v>578</v>
      </c>
      <c r="C2198" s="49" t="s">
        <v>449</v>
      </c>
      <c r="D2198">
        <v>98</v>
      </c>
      <c r="E2198" s="49" t="s">
        <v>378</v>
      </c>
    </row>
    <row r="2199" spans="1:5" x14ac:dyDescent="0.3">
      <c r="A2199" s="49" t="s">
        <v>1340</v>
      </c>
      <c r="B2199" s="49" t="s">
        <v>578</v>
      </c>
      <c r="C2199" s="49" t="s">
        <v>449</v>
      </c>
      <c r="D2199">
        <v>99</v>
      </c>
      <c r="E2199" s="49" t="s">
        <v>378</v>
      </c>
    </row>
    <row r="2200" spans="1:5" x14ac:dyDescent="0.3">
      <c r="A2200" s="49" t="s">
        <v>1341</v>
      </c>
      <c r="B2200" s="49" t="s">
        <v>578</v>
      </c>
      <c r="C2200" s="49" t="s">
        <v>449</v>
      </c>
      <c r="D2200">
        <v>98</v>
      </c>
      <c r="E2200" s="49" t="s">
        <v>378</v>
      </c>
    </row>
    <row r="2201" spans="1:5" x14ac:dyDescent="0.3">
      <c r="A2201" s="49" t="s">
        <v>1341</v>
      </c>
      <c r="B2201" s="49" t="s">
        <v>578</v>
      </c>
      <c r="C2201" s="49" t="s">
        <v>449</v>
      </c>
      <c r="D2201">
        <v>99</v>
      </c>
      <c r="E2201" s="49" t="s">
        <v>378</v>
      </c>
    </row>
    <row r="2202" spans="1:5" x14ac:dyDescent="0.3">
      <c r="A2202" s="49" t="s">
        <v>1342</v>
      </c>
      <c r="B2202" s="49" t="s">
        <v>578</v>
      </c>
      <c r="C2202" s="49" t="s">
        <v>449</v>
      </c>
      <c r="D2202">
        <v>98</v>
      </c>
      <c r="E2202" s="49" t="s">
        <v>378</v>
      </c>
    </row>
    <row r="2203" spans="1:5" x14ac:dyDescent="0.3">
      <c r="A2203" s="49" t="s">
        <v>1342</v>
      </c>
      <c r="B2203" s="49" t="s">
        <v>578</v>
      </c>
      <c r="C2203" s="49" t="s">
        <v>449</v>
      </c>
      <c r="D2203">
        <v>99</v>
      </c>
      <c r="E2203" s="49" t="s">
        <v>378</v>
      </c>
    </row>
    <row r="2204" spans="1:5" x14ac:dyDescent="0.3">
      <c r="A2204" s="49" t="s">
        <v>1343</v>
      </c>
      <c r="B2204" s="49" t="s">
        <v>578</v>
      </c>
      <c r="C2204" s="49" t="s">
        <v>449</v>
      </c>
      <c r="D2204">
        <v>98</v>
      </c>
      <c r="E2204" s="49" t="s">
        <v>378</v>
      </c>
    </row>
    <row r="2205" spans="1:5" x14ac:dyDescent="0.3">
      <c r="A2205" s="49" t="s">
        <v>1343</v>
      </c>
      <c r="B2205" s="49" t="s">
        <v>578</v>
      </c>
      <c r="C2205" s="49" t="s">
        <v>449</v>
      </c>
      <c r="D2205">
        <v>99</v>
      </c>
      <c r="E2205" s="49" t="s">
        <v>378</v>
      </c>
    </row>
    <row r="2206" spans="1:5" x14ac:dyDescent="0.3">
      <c r="A2206" s="49" t="s">
        <v>1344</v>
      </c>
      <c r="B2206" s="49" t="s">
        <v>578</v>
      </c>
      <c r="C2206" s="49" t="s">
        <v>449</v>
      </c>
      <c r="D2206">
        <v>98</v>
      </c>
      <c r="E2206" s="49" t="s">
        <v>378</v>
      </c>
    </row>
    <row r="2207" spans="1:5" x14ac:dyDescent="0.3">
      <c r="A2207" s="49" t="s">
        <v>1344</v>
      </c>
      <c r="B2207" s="49" t="s">
        <v>578</v>
      </c>
      <c r="C2207" s="49" t="s">
        <v>449</v>
      </c>
      <c r="D2207">
        <v>99</v>
      </c>
      <c r="E2207" s="49" t="s">
        <v>378</v>
      </c>
    </row>
    <row r="2208" spans="1:5" x14ac:dyDescent="0.3">
      <c r="A2208" s="49" t="s">
        <v>1345</v>
      </c>
      <c r="B2208" s="49" t="s">
        <v>578</v>
      </c>
      <c r="C2208" s="49" t="s">
        <v>449</v>
      </c>
      <c r="D2208">
        <v>98</v>
      </c>
      <c r="E2208" s="49" t="s">
        <v>378</v>
      </c>
    </row>
    <row r="2209" spans="1:5" x14ac:dyDescent="0.3">
      <c r="A2209" s="49" t="s">
        <v>1345</v>
      </c>
      <c r="B2209" s="49" t="s">
        <v>578</v>
      </c>
      <c r="C2209" s="49" t="s">
        <v>449</v>
      </c>
      <c r="D2209">
        <v>99</v>
      </c>
      <c r="E2209" s="49" t="s">
        <v>378</v>
      </c>
    </row>
    <row r="2210" spans="1:5" x14ac:dyDescent="0.3">
      <c r="A2210" s="49" t="s">
        <v>1346</v>
      </c>
      <c r="B2210" s="49" t="s">
        <v>578</v>
      </c>
      <c r="C2210" s="49" t="s">
        <v>449</v>
      </c>
      <c r="D2210">
        <v>98</v>
      </c>
      <c r="E2210" s="49" t="s">
        <v>378</v>
      </c>
    </row>
    <row r="2211" spans="1:5" x14ac:dyDescent="0.3">
      <c r="A2211" s="49" t="s">
        <v>1346</v>
      </c>
      <c r="B2211" s="49" t="s">
        <v>578</v>
      </c>
      <c r="C2211" s="49" t="s">
        <v>449</v>
      </c>
      <c r="D2211">
        <v>99</v>
      </c>
      <c r="E2211" s="49" t="s">
        <v>378</v>
      </c>
    </row>
    <row r="2212" spans="1:5" x14ac:dyDescent="0.3">
      <c r="A2212" s="49" t="s">
        <v>1347</v>
      </c>
      <c r="B2212" s="49" t="s">
        <v>578</v>
      </c>
      <c r="C2212" s="49" t="s">
        <v>449</v>
      </c>
      <c r="D2212">
        <v>98</v>
      </c>
      <c r="E2212" s="49" t="s">
        <v>378</v>
      </c>
    </row>
    <row r="2213" spans="1:5" x14ac:dyDescent="0.3">
      <c r="A2213" s="49" t="s">
        <v>1347</v>
      </c>
      <c r="B2213" s="49" t="s">
        <v>578</v>
      </c>
      <c r="C2213" s="49" t="s">
        <v>449</v>
      </c>
      <c r="D2213">
        <v>99</v>
      </c>
      <c r="E2213" s="49" t="s">
        <v>378</v>
      </c>
    </row>
    <row r="2214" spans="1:5" x14ac:dyDescent="0.3">
      <c r="A2214" s="49" t="s">
        <v>1348</v>
      </c>
      <c r="B2214" s="49" t="s">
        <v>578</v>
      </c>
      <c r="C2214" s="49" t="s">
        <v>449</v>
      </c>
      <c r="D2214">
        <v>98</v>
      </c>
      <c r="E2214" s="49" t="s">
        <v>378</v>
      </c>
    </row>
    <row r="2215" spans="1:5" x14ac:dyDescent="0.3">
      <c r="A2215" s="49" t="s">
        <v>1348</v>
      </c>
      <c r="B2215" s="49" t="s">
        <v>578</v>
      </c>
      <c r="C2215" s="49" t="s">
        <v>449</v>
      </c>
      <c r="D2215">
        <v>99</v>
      </c>
      <c r="E2215" s="49" t="s">
        <v>378</v>
      </c>
    </row>
    <row r="2216" spans="1:5" x14ac:dyDescent="0.3">
      <c r="A2216" s="49" t="s">
        <v>1349</v>
      </c>
      <c r="B2216" s="49" t="s">
        <v>578</v>
      </c>
      <c r="C2216" s="49" t="s">
        <v>449</v>
      </c>
      <c r="D2216">
        <v>98</v>
      </c>
      <c r="E2216" s="49" t="s">
        <v>378</v>
      </c>
    </row>
    <row r="2217" spans="1:5" x14ac:dyDescent="0.3">
      <c r="A2217" s="49" t="s">
        <v>1349</v>
      </c>
      <c r="B2217" s="49" t="s">
        <v>578</v>
      </c>
      <c r="C2217" s="49" t="s">
        <v>449</v>
      </c>
      <c r="D2217">
        <v>99</v>
      </c>
      <c r="E2217" s="49" t="s">
        <v>378</v>
      </c>
    </row>
    <row r="2218" spans="1:5" x14ac:dyDescent="0.3">
      <c r="A2218" s="49" t="s">
        <v>1350</v>
      </c>
      <c r="B2218" s="49" t="s">
        <v>578</v>
      </c>
      <c r="C2218" s="49" t="s">
        <v>449</v>
      </c>
      <c r="D2218">
        <v>98</v>
      </c>
      <c r="E2218" s="49" t="s">
        <v>378</v>
      </c>
    </row>
    <row r="2219" spans="1:5" x14ac:dyDescent="0.3">
      <c r="A2219" s="49" t="s">
        <v>1350</v>
      </c>
      <c r="B2219" s="49" t="s">
        <v>578</v>
      </c>
      <c r="C2219" s="49" t="s">
        <v>449</v>
      </c>
      <c r="D2219">
        <v>99</v>
      </c>
      <c r="E2219" s="49" t="s">
        <v>378</v>
      </c>
    </row>
    <row r="2220" spans="1:5" x14ac:dyDescent="0.3">
      <c r="A2220" s="49" t="s">
        <v>1351</v>
      </c>
      <c r="B2220" s="49" t="s">
        <v>578</v>
      </c>
      <c r="C2220" s="49" t="s">
        <v>449</v>
      </c>
      <c r="D2220">
        <v>98</v>
      </c>
      <c r="E2220" s="49" t="s">
        <v>378</v>
      </c>
    </row>
    <row r="2221" spans="1:5" x14ac:dyDescent="0.3">
      <c r="A2221" s="49" t="s">
        <v>1351</v>
      </c>
      <c r="B2221" s="49" t="s">
        <v>578</v>
      </c>
      <c r="C2221" s="49" t="s">
        <v>449</v>
      </c>
      <c r="D2221">
        <v>99</v>
      </c>
      <c r="E2221" s="49" t="s">
        <v>378</v>
      </c>
    </row>
    <row r="2222" spans="1:5" x14ac:dyDescent="0.3">
      <c r="A2222" s="49" t="s">
        <v>1352</v>
      </c>
      <c r="B2222" s="49" t="s">
        <v>578</v>
      </c>
      <c r="C2222" s="49" t="s">
        <v>449</v>
      </c>
      <c r="D2222">
        <v>98</v>
      </c>
      <c r="E2222" s="49" t="s">
        <v>378</v>
      </c>
    </row>
    <row r="2223" spans="1:5" x14ac:dyDescent="0.3">
      <c r="A2223" s="49" t="s">
        <v>1352</v>
      </c>
      <c r="B2223" s="49" t="s">
        <v>578</v>
      </c>
      <c r="C2223" s="49" t="s">
        <v>449</v>
      </c>
      <c r="D2223">
        <v>99</v>
      </c>
      <c r="E2223" s="49" t="s">
        <v>378</v>
      </c>
    </row>
    <row r="2224" spans="1:5" x14ac:dyDescent="0.3">
      <c r="A2224" s="49" t="s">
        <v>1353</v>
      </c>
      <c r="B2224" s="49" t="s">
        <v>578</v>
      </c>
      <c r="C2224" s="49" t="s">
        <v>449</v>
      </c>
      <c r="D2224">
        <v>98</v>
      </c>
      <c r="E2224" s="49" t="s">
        <v>378</v>
      </c>
    </row>
    <row r="2225" spans="1:5" x14ac:dyDescent="0.3">
      <c r="A2225" s="49" t="s">
        <v>1353</v>
      </c>
      <c r="B2225" s="49" t="s">
        <v>578</v>
      </c>
      <c r="C2225" s="49" t="s">
        <v>449</v>
      </c>
      <c r="D2225">
        <v>99</v>
      </c>
      <c r="E2225" s="49" t="s">
        <v>378</v>
      </c>
    </row>
    <row r="2226" spans="1:5" x14ac:dyDescent="0.3">
      <c r="A2226" s="49" t="s">
        <v>1354</v>
      </c>
      <c r="B2226" s="49" t="s">
        <v>578</v>
      </c>
      <c r="C2226" s="49" t="s">
        <v>449</v>
      </c>
      <c r="D2226">
        <v>98</v>
      </c>
      <c r="E2226" s="49" t="s">
        <v>378</v>
      </c>
    </row>
    <row r="2227" spans="1:5" x14ac:dyDescent="0.3">
      <c r="A2227" s="49" t="s">
        <v>1354</v>
      </c>
      <c r="B2227" s="49" t="s">
        <v>578</v>
      </c>
      <c r="C2227" s="49" t="s">
        <v>449</v>
      </c>
      <c r="D2227">
        <v>99</v>
      </c>
      <c r="E2227" s="49" t="s">
        <v>378</v>
      </c>
    </row>
    <row r="2228" spans="1:5" x14ac:dyDescent="0.3">
      <c r="A2228" s="49" t="s">
        <v>1355</v>
      </c>
      <c r="B2228" s="49" t="s">
        <v>578</v>
      </c>
      <c r="C2228" s="49" t="s">
        <v>449</v>
      </c>
      <c r="D2228">
        <v>98</v>
      </c>
      <c r="E2228" s="49" t="s">
        <v>378</v>
      </c>
    </row>
    <row r="2229" spans="1:5" x14ac:dyDescent="0.3">
      <c r="A2229" s="49" t="s">
        <v>1355</v>
      </c>
      <c r="B2229" s="49" t="s">
        <v>578</v>
      </c>
      <c r="C2229" s="49" t="s">
        <v>449</v>
      </c>
      <c r="D2229">
        <v>99</v>
      </c>
      <c r="E2229" s="49" t="s">
        <v>378</v>
      </c>
    </row>
    <row r="2230" spans="1:5" x14ac:dyDescent="0.3">
      <c r="A2230" s="49" t="s">
        <v>1356</v>
      </c>
      <c r="B2230" s="49" t="s">
        <v>578</v>
      </c>
      <c r="C2230" s="49" t="s">
        <v>449</v>
      </c>
      <c r="D2230">
        <v>98</v>
      </c>
      <c r="E2230" s="49" t="s">
        <v>378</v>
      </c>
    </row>
    <row r="2231" spans="1:5" x14ac:dyDescent="0.3">
      <c r="A2231" s="49" t="s">
        <v>1356</v>
      </c>
      <c r="B2231" s="49" t="s">
        <v>578</v>
      </c>
      <c r="C2231" s="49" t="s">
        <v>449</v>
      </c>
      <c r="D2231">
        <v>99</v>
      </c>
      <c r="E2231" s="49" t="s">
        <v>378</v>
      </c>
    </row>
    <row r="2232" spans="1:5" x14ac:dyDescent="0.3">
      <c r="A2232" s="49" t="s">
        <v>1357</v>
      </c>
      <c r="B2232" s="49" t="s">
        <v>578</v>
      </c>
      <c r="C2232" s="49" t="s">
        <v>449</v>
      </c>
      <c r="D2232">
        <v>98</v>
      </c>
      <c r="E2232" s="49" t="s">
        <v>378</v>
      </c>
    </row>
    <row r="2233" spans="1:5" x14ac:dyDescent="0.3">
      <c r="A2233" s="49" t="s">
        <v>1357</v>
      </c>
      <c r="B2233" s="49" t="s">
        <v>578</v>
      </c>
      <c r="C2233" s="49" t="s">
        <v>449</v>
      </c>
      <c r="D2233">
        <v>99</v>
      </c>
      <c r="E2233" s="49" t="s">
        <v>378</v>
      </c>
    </row>
    <row r="2234" spans="1:5" x14ac:dyDescent="0.3">
      <c r="A2234" s="49" t="s">
        <v>1358</v>
      </c>
      <c r="B2234" s="49" t="s">
        <v>578</v>
      </c>
      <c r="C2234" s="49" t="s">
        <v>449</v>
      </c>
      <c r="D2234">
        <v>98</v>
      </c>
      <c r="E2234" s="49" t="s">
        <v>378</v>
      </c>
    </row>
    <row r="2235" spans="1:5" x14ac:dyDescent="0.3">
      <c r="A2235" s="49" t="s">
        <v>1358</v>
      </c>
      <c r="B2235" s="49" t="s">
        <v>578</v>
      </c>
      <c r="C2235" s="49" t="s">
        <v>449</v>
      </c>
      <c r="D2235">
        <v>99</v>
      </c>
      <c r="E2235" s="49" t="s">
        <v>378</v>
      </c>
    </row>
    <row r="2236" spans="1:5" x14ac:dyDescent="0.3">
      <c r="A2236" s="49" t="s">
        <v>1359</v>
      </c>
      <c r="B2236" s="49" t="s">
        <v>578</v>
      </c>
      <c r="C2236" s="49" t="s">
        <v>449</v>
      </c>
      <c r="D2236">
        <v>98</v>
      </c>
      <c r="E2236" s="49" t="s">
        <v>378</v>
      </c>
    </row>
    <row r="2237" spans="1:5" x14ac:dyDescent="0.3">
      <c r="A2237" s="49" t="s">
        <v>1359</v>
      </c>
      <c r="B2237" s="49" t="s">
        <v>578</v>
      </c>
      <c r="C2237" s="49" t="s">
        <v>449</v>
      </c>
      <c r="D2237">
        <v>99</v>
      </c>
      <c r="E2237" s="49" t="s">
        <v>378</v>
      </c>
    </row>
    <row r="2238" spans="1:5" x14ac:dyDescent="0.3">
      <c r="A2238" s="49" t="s">
        <v>1360</v>
      </c>
      <c r="B2238" s="49" t="s">
        <v>578</v>
      </c>
      <c r="C2238" s="49" t="s">
        <v>449</v>
      </c>
      <c r="D2238">
        <v>98</v>
      </c>
      <c r="E2238" s="49" t="s">
        <v>378</v>
      </c>
    </row>
    <row r="2239" spans="1:5" x14ac:dyDescent="0.3">
      <c r="A2239" s="49" t="s">
        <v>1360</v>
      </c>
      <c r="B2239" s="49" t="s">
        <v>578</v>
      </c>
      <c r="C2239" s="49" t="s">
        <v>449</v>
      </c>
      <c r="D2239">
        <v>99</v>
      </c>
      <c r="E2239" s="49" t="s">
        <v>378</v>
      </c>
    </row>
    <row r="2240" spans="1:5" x14ac:dyDescent="0.3">
      <c r="A2240" s="49" t="s">
        <v>1361</v>
      </c>
      <c r="B2240" s="49" t="s">
        <v>578</v>
      </c>
      <c r="C2240" s="49" t="s">
        <v>449</v>
      </c>
      <c r="D2240">
        <v>98</v>
      </c>
      <c r="E2240" s="49" t="s">
        <v>378</v>
      </c>
    </row>
    <row r="2241" spans="1:5" x14ac:dyDescent="0.3">
      <c r="A2241" s="49" t="s">
        <v>1361</v>
      </c>
      <c r="B2241" s="49" t="s">
        <v>578</v>
      </c>
      <c r="C2241" s="49" t="s">
        <v>449</v>
      </c>
      <c r="D2241">
        <v>99</v>
      </c>
      <c r="E2241" s="49" t="s">
        <v>378</v>
      </c>
    </row>
    <row r="2242" spans="1:5" x14ac:dyDescent="0.3">
      <c r="A2242" s="49" t="s">
        <v>1362</v>
      </c>
      <c r="B2242" s="49" t="s">
        <v>578</v>
      </c>
      <c r="C2242" s="49" t="s">
        <v>449</v>
      </c>
      <c r="D2242">
        <v>98</v>
      </c>
      <c r="E2242" s="49" t="s">
        <v>378</v>
      </c>
    </row>
    <row r="2243" spans="1:5" x14ac:dyDescent="0.3">
      <c r="A2243" s="49" t="s">
        <v>1362</v>
      </c>
      <c r="B2243" s="49" t="s">
        <v>578</v>
      </c>
      <c r="C2243" s="49" t="s">
        <v>449</v>
      </c>
      <c r="D2243">
        <v>99</v>
      </c>
      <c r="E2243" s="49" t="s">
        <v>378</v>
      </c>
    </row>
    <row r="2244" spans="1:5" x14ac:dyDescent="0.3">
      <c r="A2244" s="49" t="s">
        <v>1363</v>
      </c>
      <c r="B2244" s="49" t="s">
        <v>578</v>
      </c>
      <c r="C2244" s="49" t="s">
        <v>449</v>
      </c>
      <c r="D2244">
        <v>98</v>
      </c>
      <c r="E2244" s="49" t="s">
        <v>378</v>
      </c>
    </row>
    <row r="2245" spans="1:5" x14ac:dyDescent="0.3">
      <c r="A2245" s="49" t="s">
        <v>1363</v>
      </c>
      <c r="B2245" s="49" t="s">
        <v>578</v>
      </c>
      <c r="C2245" s="49" t="s">
        <v>449</v>
      </c>
      <c r="D2245">
        <v>99</v>
      </c>
      <c r="E2245" s="49" t="s">
        <v>378</v>
      </c>
    </row>
    <row r="2246" spans="1:5" x14ac:dyDescent="0.3">
      <c r="A2246" s="49" t="s">
        <v>1364</v>
      </c>
      <c r="B2246" s="49" t="s">
        <v>578</v>
      </c>
      <c r="C2246" s="49" t="s">
        <v>449</v>
      </c>
      <c r="D2246">
        <v>98</v>
      </c>
      <c r="E2246" s="49" t="s">
        <v>378</v>
      </c>
    </row>
    <row r="2247" spans="1:5" x14ac:dyDescent="0.3">
      <c r="A2247" s="49" t="s">
        <v>1364</v>
      </c>
      <c r="B2247" s="49" t="s">
        <v>578</v>
      </c>
      <c r="C2247" s="49" t="s">
        <v>449</v>
      </c>
      <c r="D2247">
        <v>99</v>
      </c>
      <c r="E2247" s="49" t="s">
        <v>378</v>
      </c>
    </row>
    <row r="2248" spans="1:5" x14ac:dyDescent="0.3">
      <c r="A2248" s="49" t="s">
        <v>1365</v>
      </c>
      <c r="B2248" s="49" t="s">
        <v>578</v>
      </c>
      <c r="C2248" s="49" t="s">
        <v>449</v>
      </c>
      <c r="D2248">
        <v>98</v>
      </c>
      <c r="E2248" s="49" t="s">
        <v>378</v>
      </c>
    </row>
    <row r="2249" spans="1:5" x14ac:dyDescent="0.3">
      <c r="A2249" s="49" t="s">
        <v>1365</v>
      </c>
      <c r="B2249" s="49" t="s">
        <v>578</v>
      </c>
      <c r="C2249" s="49" t="s">
        <v>449</v>
      </c>
      <c r="D2249">
        <v>99</v>
      </c>
      <c r="E2249" s="49" t="s">
        <v>378</v>
      </c>
    </row>
    <row r="2250" spans="1:5" x14ac:dyDescent="0.3">
      <c r="A2250" s="49" t="s">
        <v>1366</v>
      </c>
      <c r="B2250" s="49" t="s">
        <v>578</v>
      </c>
      <c r="C2250" s="49" t="s">
        <v>449</v>
      </c>
      <c r="D2250">
        <v>98</v>
      </c>
      <c r="E2250" s="49" t="s">
        <v>378</v>
      </c>
    </row>
    <row r="2251" spans="1:5" x14ac:dyDescent="0.3">
      <c r="A2251" s="49" t="s">
        <v>1366</v>
      </c>
      <c r="B2251" s="49" t="s">
        <v>578</v>
      </c>
      <c r="C2251" s="49" t="s">
        <v>449</v>
      </c>
      <c r="D2251">
        <v>99</v>
      </c>
      <c r="E2251" s="49" t="s">
        <v>378</v>
      </c>
    </row>
    <row r="2252" spans="1:5" x14ac:dyDescent="0.3">
      <c r="A2252" s="49" t="s">
        <v>1367</v>
      </c>
      <c r="B2252" s="49" t="s">
        <v>578</v>
      </c>
      <c r="C2252" s="49" t="s">
        <v>449</v>
      </c>
      <c r="D2252">
        <v>98</v>
      </c>
      <c r="E2252" s="49" t="s">
        <v>378</v>
      </c>
    </row>
    <row r="2253" spans="1:5" x14ac:dyDescent="0.3">
      <c r="A2253" s="49" t="s">
        <v>1367</v>
      </c>
      <c r="B2253" s="49" t="s">
        <v>578</v>
      </c>
      <c r="C2253" s="49" t="s">
        <v>449</v>
      </c>
      <c r="D2253">
        <v>99</v>
      </c>
      <c r="E2253" s="49" t="s">
        <v>378</v>
      </c>
    </row>
    <row r="2254" spans="1:5" x14ac:dyDescent="0.3">
      <c r="A2254" s="49" t="s">
        <v>1368</v>
      </c>
      <c r="B2254" s="49" t="s">
        <v>578</v>
      </c>
      <c r="C2254" s="49" t="s">
        <v>449</v>
      </c>
      <c r="D2254">
        <v>98</v>
      </c>
      <c r="E2254" s="49" t="s">
        <v>378</v>
      </c>
    </row>
    <row r="2255" spans="1:5" x14ac:dyDescent="0.3">
      <c r="A2255" s="49" t="s">
        <v>1368</v>
      </c>
      <c r="B2255" s="49" t="s">
        <v>578</v>
      </c>
      <c r="C2255" s="49" t="s">
        <v>449</v>
      </c>
      <c r="D2255">
        <v>99</v>
      </c>
      <c r="E2255" s="49" t="s">
        <v>378</v>
      </c>
    </row>
    <row r="2256" spans="1:5" x14ac:dyDescent="0.3">
      <c r="A2256" s="49" t="s">
        <v>1369</v>
      </c>
      <c r="B2256" s="49" t="s">
        <v>578</v>
      </c>
      <c r="C2256" s="49" t="s">
        <v>449</v>
      </c>
      <c r="D2256">
        <v>98</v>
      </c>
      <c r="E2256" s="49" t="s">
        <v>378</v>
      </c>
    </row>
    <row r="2257" spans="1:5" x14ac:dyDescent="0.3">
      <c r="A2257" s="49" t="s">
        <v>1369</v>
      </c>
      <c r="B2257" s="49" t="s">
        <v>578</v>
      </c>
      <c r="C2257" s="49" t="s">
        <v>449</v>
      </c>
      <c r="D2257">
        <v>99</v>
      </c>
      <c r="E2257" s="49" t="s">
        <v>378</v>
      </c>
    </row>
    <row r="2258" spans="1:5" x14ac:dyDescent="0.3">
      <c r="A2258" s="49" t="s">
        <v>1370</v>
      </c>
      <c r="B2258" s="49" t="s">
        <v>578</v>
      </c>
      <c r="C2258" s="49" t="s">
        <v>449</v>
      </c>
      <c r="D2258">
        <v>98</v>
      </c>
      <c r="E2258" s="49" t="s">
        <v>378</v>
      </c>
    </row>
    <row r="2259" spans="1:5" x14ac:dyDescent="0.3">
      <c r="A2259" s="49" t="s">
        <v>1370</v>
      </c>
      <c r="B2259" s="49" t="s">
        <v>578</v>
      </c>
      <c r="C2259" s="49" t="s">
        <v>449</v>
      </c>
      <c r="D2259">
        <v>99</v>
      </c>
      <c r="E2259" s="49" t="s">
        <v>378</v>
      </c>
    </row>
    <row r="2260" spans="1:5" x14ac:dyDescent="0.3">
      <c r="A2260" s="49" t="s">
        <v>1371</v>
      </c>
      <c r="B2260" s="49" t="s">
        <v>578</v>
      </c>
      <c r="C2260" s="49" t="s">
        <v>449</v>
      </c>
      <c r="D2260">
        <v>98</v>
      </c>
      <c r="E2260" s="49" t="s">
        <v>378</v>
      </c>
    </row>
    <row r="2261" spans="1:5" x14ac:dyDescent="0.3">
      <c r="A2261" s="49" t="s">
        <v>1371</v>
      </c>
      <c r="B2261" s="49" t="s">
        <v>578</v>
      </c>
      <c r="C2261" s="49" t="s">
        <v>449</v>
      </c>
      <c r="D2261">
        <v>99</v>
      </c>
      <c r="E2261" s="49" t="s">
        <v>378</v>
      </c>
    </row>
    <row r="2262" spans="1:5" x14ac:dyDescent="0.3">
      <c r="A2262" s="49" t="s">
        <v>1372</v>
      </c>
      <c r="B2262" s="49" t="s">
        <v>578</v>
      </c>
      <c r="C2262" s="49" t="s">
        <v>449</v>
      </c>
      <c r="D2262">
        <v>98</v>
      </c>
      <c r="E2262" s="49" t="s">
        <v>378</v>
      </c>
    </row>
    <row r="2263" spans="1:5" x14ac:dyDescent="0.3">
      <c r="A2263" s="49" t="s">
        <v>1372</v>
      </c>
      <c r="B2263" s="49" t="s">
        <v>578</v>
      </c>
      <c r="C2263" s="49" t="s">
        <v>449</v>
      </c>
      <c r="D2263">
        <v>99</v>
      </c>
      <c r="E2263" s="49" t="s">
        <v>378</v>
      </c>
    </row>
    <row r="2264" spans="1:5" x14ac:dyDescent="0.3">
      <c r="A2264" s="49" t="s">
        <v>1373</v>
      </c>
      <c r="B2264" s="49" t="s">
        <v>578</v>
      </c>
      <c r="C2264" s="49" t="s">
        <v>449</v>
      </c>
      <c r="D2264">
        <v>98</v>
      </c>
      <c r="E2264" s="49" t="s">
        <v>378</v>
      </c>
    </row>
    <row r="2265" spans="1:5" x14ac:dyDescent="0.3">
      <c r="A2265" s="49" t="s">
        <v>1373</v>
      </c>
      <c r="B2265" s="49" t="s">
        <v>578</v>
      </c>
      <c r="C2265" s="49" t="s">
        <v>449</v>
      </c>
      <c r="D2265">
        <v>99</v>
      </c>
      <c r="E2265" s="49" t="s">
        <v>378</v>
      </c>
    </row>
    <row r="2266" spans="1:5" x14ac:dyDescent="0.3">
      <c r="A2266" s="49" t="s">
        <v>1374</v>
      </c>
      <c r="B2266" s="49" t="s">
        <v>578</v>
      </c>
      <c r="C2266" s="49" t="s">
        <v>449</v>
      </c>
      <c r="D2266">
        <v>98</v>
      </c>
      <c r="E2266" s="49" t="s">
        <v>378</v>
      </c>
    </row>
    <row r="2267" spans="1:5" x14ac:dyDescent="0.3">
      <c r="A2267" s="49" t="s">
        <v>1374</v>
      </c>
      <c r="B2267" s="49" t="s">
        <v>578</v>
      </c>
      <c r="C2267" s="49" t="s">
        <v>449</v>
      </c>
      <c r="D2267">
        <v>99</v>
      </c>
      <c r="E2267" s="49" t="s">
        <v>378</v>
      </c>
    </row>
    <row r="2268" spans="1:5" x14ac:dyDescent="0.3">
      <c r="A2268" s="49" t="s">
        <v>1375</v>
      </c>
      <c r="B2268" s="49" t="s">
        <v>578</v>
      </c>
      <c r="C2268" s="49" t="s">
        <v>449</v>
      </c>
      <c r="D2268">
        <v>98</v>
      </c>
      <c r="E2268" s="49" t="s">
        <v>378</v>
      </c>
    </row>
    <row r="2269" spans="1:5" x14ac:dyDescent="0.3">
      <c r="A2269" s="49" t="s">
        <v>1375</v>
      </c>
      <c r="B2269" s="49" t="s">
        <v>578</v>
      </c>
      <c r="C2269" s="49" t="s">
        <v>449</v>
      </c>
      <c r="D2269">
        <v>99</v>
      </c>
      <c r="E2269" s="49" t="s">
        <v>378</v>
      </c>
    </row>
    <row r="2270" spans="1:5" x14ac:dyDescent="0.3">
      <c r="A2270" s="49" t="s">
        <v>1376</v>
      </c>
      <c r="B2270" s="49" t="s">
        <v>578</v>
      </c>
      <c r="C2270" s="49" t="s">
        <v>449</v>
      </c>
      <c r="D2270">
        <v>98</v>
      </c>
      <c r="E2270" s="49" t="s">
        <v>378</v>
      </c>
    </row>
    <row r="2271" spans="1:5" x14ac:dyDescent="0.3">
      <c r="A2271" s="49" t="s">
        <v>1376</v>
      </c>
      <c r="B2271" s="49" t="s">
        <v>578</v>
      </c>
      <c r="C2271" s="49" t="s">
        <v>449</v>
      </c>
      <c r="D2271">
        <v>99</v>
      </c>
      <c r="E2271" s="49" t="s">
        <v>378</v>
      </c>
    </row>
    <row r="2272" spans="1:5" x14ac:dyDescent="0.3">
      <c r="A2272" s="49" t="s">
        <v>1377</v>
      </c>
      <c r="B2272" s="49" t="s">
        <v>578</v>
      </c>
      <c r="C2272" s="49" t="s">
        <v>449</v>
      </c>
      <c r="D2272">
        <v>98</v>
      </c>
      <c r="E2272" s="49" t="s">
        <v>378</v>
      </c>
    </row>
    <row r="2273" spans="1:5" x14ac:dyDescent="0.3">
      <c r="A2273" s="49" t="s">
        <v>1377</v>
      </c>
      <c r="B2273" s="49" t="s">
        <v>578</v>
      </c>
      <c r="C2273" s="49" t="s">
        <v>449</v>
      </c>
      <c r="D2273">
        <v>99</v>
      </c>
      <c r="E2273" s="49" t="s">
        <v>378</v>
      </c>
    </row>
    <row r="2274" spans="1:5" x14ac:dyDescent="0.3">
      <c r="A2274" s="49" t="s">
        <v>1378</v>
      </c>
      <c r="B2274" s="49" t="s">
        <v>578</v>
      </c>
      <c r="C2274" s="49" t="s">
        <v>449</v>
      </c>
      <c r="D2274">
        <v>98</v>
      </c>
      <c r="E2274" s="49" t="s">
        <v>378</v>
      </c>
    </row>
    <row r="2275" spans="1:5" x14ac:dyDescent="0.3">
      <c r="A2275" s="49" t="s">
        <v>1378</v>
      </c>
      <c r="B2275" s="49" t="s">
        <v>578</v>
      </c>
      <c r="C2275" s="49" t="s">
        <v>449</v>
      </c>
      <c r="D2275">
        <v>99</v>
      </c>
      <c r="E2275" s="49" t="s">
        <v>378</v>
      </c>
    </row>
    <row r="2276" spans="1:5" x14ac:dyDescent="0.3">
      <c r="A2276" s="49" t="s">
        <v>1379</v>
      </c>
      <c r="B2276" s="49" t="s">
        <v>578</v>
      </c>
      <c r="C2276" s="49" t="s">
        <v>449</v>
      </c>
      <c r="D2276">
        <v>98</v>
      </c>
      <c r="E2276" s="49" t="s">
        <v>378</v>
      </c>
    </row>
    <row r="2277" spans="1:5" x14ac:dyDescent="0.3">
      <c r="A2277" s="49" t="s">
        <v>1379</v>
      </c>
      <c r="B2277" s="49" t="s">
        <v>578</v>
      </c>
      <c r="C2277" s="49" t="s">
        <v>449</v>
      </c>
      <c r="D2277">
        <v>99</v>
      </c>
      <c r="E2277" s="49" t="s">
        <v>378</v>
      </c>
    </row>
    <row r="2278" spans="1:5" x14ac:dyDescent="0.3">
      <c r="A2278" s="49" t="s">
        <v>1380</v>
      </c>
      <c r="B2278" s="49" t="s">
        <v>578</v>
      </c>
      <c r="C2278" s="49" t="s">
        <v>449</v>
      </c>
      <c r="D2278">
        <v>98</v>
      </c>
      <c r="E2278" s="49" t="s">
        <v>378</v>
      </c>
    </row>
    <row r="2279" spans="1:5" x14ac:dyDescent="0.3">
      <c r="A2279" s="49" t="s">
        <v>1380</v>
      </c>
      <c r="B2279" s="49" t="s">
        <v>578</v>
      </c>
      <c r="C2279" s="49" t="s">
        <v>449</v>
      </c>
      <c r="D2279">
        <v>99</v>
      </c>
      <c r="E2279" s="49" t="s">
        <v>378</v>
      </c>
    </row>
    <row r="2280" spans="1:5" x14ac:dyDescent="0.3">
      <c r="A2280" s="49" t="s">
        <v>1381</v>
      </c>
      <c r="B2280" s="49" t="s">
        <v>578</v>
      </c>
      <c r="C2280" s="49" t="s">
        <v>449</v>
      </c>
      <c r="D2280">
        <v>98</v>
      </c>
      <c r="E2280" s="49" t="s">
        <v>378</v>
      </c>
    </row>
    <row r="2281" spans="1:5" x14ac:dyDescent="0.3">
      <c r="A2281" s="49" t="s">
        <v>1381</v>
      </c>
      <c r="B2281" s="49" t="s">
        <v>578</v>
      </c>
      <c r="C2281" s="49" t="s">
        <v>449</v>
      </c>
      <c r="D2281">
        <v>99</v>
      </c>
      <c r="E2281" s="49" t="s">
        <v>378</v>
      </c>
    </row>
    <row r="2282" spans="1:5" x14ac:dyDescent="0.3">
      <c r="A2282" s="49" t="s">
        <v>1382</v>
      </c>
      <c r="B2282" s="49" t="s">
        <v>578</v>
      </c>
      <c r="C2282" s="49" t="s">
        <v>449</v>
      </c>
      <c r="D2282">
        <v>98</v>
      </c>
      <c r="E2282" s="49" t="s">
        <v>378</v>
      </c>
    </row>
    <row r="2283" spans="1:5" x14ac:dyDescent="0.3">
      <c r="A2283" s="49" t="s">
        <v>1382</v>
      </c>
      <c r="B2283" s="49" t="s">
        <v>578</v>
      </c>
      <c r="C2283" s="49" t="s">
        <v>449</v>
      </c>
      <c r="D2283">
        <v>99</v>
      </c>
      <c r="E2283" s="49" t="s">
        <v>378</v>
      </c>
    </row>
    <row r="2284" spans="1:5" x14ac:dyDescent="0.3">
      <c r="A2284" s="49" t="s">
        <v>1383</v>
      </c>
      <c r="B2284" s="49" t="s">
        <v>578</v>
      </c>
      <c r="C2284" s="49" t="s">
        <v>449</v>
      </c>
      <c r="D2284">
        <v>98</v>
      </c>
      <c r="E2284" s="49" t="s">
        <v>378</v>
      </c>
    </row>
    <row r="2285" spans="1:5" x14ac:dyDescent="0.3">
      <c r="A2285" s="49" t="s">
        <v>1383</v>
      </c>
      <c r="B2285" s="49" t="s">
        <v>578</v>
      </c>
      <c r="C2285" s="49" t="s">
        <v>449</v>
      </c>
      <c r="D2285">
        <v>99</v>
      </c>
      <c r="E2285" s="49" t="s">
        <v>378</v>
      </c>
    </row>
    <row r="2286" spans="1:5" x14ac:dyDescent="0.3">
      <c r="A2286" s="49" t="s">
        <v>1384</v>
      </c>
      <c r="B2286" s="49" t="s">
        <v>578</v>
      </c>
      <c r="C2286" s="49" t="s">
        <v>449</v>
      </c>
      <c r="D2286">
        <v>98</v>
      </c>
      <c r="E2286" s="49" t="s">
        <v>378</v>
      </c>
    </row>
    <row r="2287" spans="1:5" x14ac:dyDescent="0.3">
      <c r="A2287" s="49" t="s">
        <v>1384</v>
      </c>
      <c r="B2287" s="49" t="s">
        <v>578</v>
      </c>
      <c r="C2287" s="49" t="s">
        <v>449</v>
      </c>
      <c r="D2287">
        <v>99</v>
      </c>
      <c r="E2287" s="49" t="s">
        <v>378</v>
      </c>
    </row>
    <row r="2288" spans="1:5" x14ac:dyDescent="0.3">
      <c r="A2288" s="49" t="s">
        <v>1385</v>
      </c>
      <c r="B2288" s="49" t="s">
        <v>578</v>
      </c>
      <c r="C2288" s="49" t="s">
        <v>449</v>
      </c>
      <c r="D2288">
        <v>98</v>
      </c>
      <c r="E2288" s="49" t="s">
        <v>378</v>
      </c>
    </row>
    <row r="2289" spans="1:5" x14ac:dyDescent="0.3">
      <c r="A2289" s="49" t="s">
        <v>1385</v>
      </c>
      <c r="B2289" s="49" t="s">
        <v>578</v>
      </c>
      <c r="C2289" s="49" t="s">
        <v>449</v>
      </c>
      <c r="D2289">
        <v>99</v>
      </c>
      <c r="E2289" s="49" t="s">
        <v>378</v>
      </c>
    </row>
    <row r="2290" spans="1:5" x14ac:dyDescent="0.3">
      <c r="A2290" s="49" t="s">
        <v>1386</v>
      </c>
      <c r="B2290" s="49" t="s">
        <v>578</v>
      </c>
      <c r="C2290" s="49" t="s">
        <v>449</v>
      </c>
      <c r="D2290">
        <v>98</v>
      </c>
      <c r="E2290" s="49" t="s">
        <v>378</v>
      </c>
    </row>
    <row r="2291" spans="1:5" x14ac:dyDescent="0.3">
      <c r="A2291" s="49" t="s">
        <v>1386</v>
      </c>
      <c r="B2291" s="49" t="s">
        <v>578</v>
      </c>
      <c r="C2291" s="49" t="s">
        <v>449</v>
      </c>
      <c r="D2291">
        <v>99</v>
      </c>
      <c r="E2291" s="49" t="s">
        <v>378</v>
      </c>
    </row>
    <row r="2292" spans="1:5" x14ac:dyDescent="0.3">
      <c r="A2292" s="49" t="s">
        <v>1387</v>
      </c>
      <c r="B2292" s="49" t="s">
        <v>578</v>
      </c>
      <c r="C2292" s="49" t="s">
        <v>449</v>
      </c>
      <c r="D2292">
        <v>98</v>
      </c>
      <c r="E2292" s="49" t="s">
        <v>378</v>
      </c>
    </row>
    <row r="2293" spans="1:5" x14ac:dyDescent="0.3">
      <c r="A2293" s="49" t="s">
        <v>1387</v>
      </c>
      <c r="B2293" s="49" t="s">
        <v>578</v>
      </c>
      <c r="C2293" s="49" t="s">
        <v>449</v>
      </c>
      <c r="D2293">
        <v>99</v>
      </c>
      <c r="E2293" s="49" t="s">
        <v>378</v>
      </c>
    </row>
    <row r="2294" spans="1:5" x14ac:dyDescent="0.3">
      <c r="A2294" s="49" t="s">
        <v>1388</v>
      </c>
      <c r="B2294" s="49" t="s">
        <v>578</v>
      </c>
      <c r="C2294" s="49" t="s">
        <v>449</v>
      </c>
      <c r="D2294">
        <v>98</v>
      </c>
      <c r="E2294" s="49" t="s">
        <v>378</v>
      </c>
    </row>
    <row r="2295" spans="1:5" x14ac:dyDescent="0.3">
      <c r="A2295" s="49" t="s">
        <v>1388</v>
      </c>
      <c r="B2295" s="49" t="s">
        <v>578</v>
      </c>
      <c r="C2295" s="49" t="s">
        <v>449</v>
      </c>
      <c r="D2295">
        <v>99</v>
      </c>
      <c r="E2295" s="49" t="s">
        <v>378</v>
      </c>
    </row>
    <row r="2296" spans="1:5" x14ac:dyDescent="0.3">
      <c r="A2296" s="49" t="s">
        <v>1389</v>
      </c>
      <c r="B2296" s="49" t="s">
        <v>578</v>
      </c>
      <c r="C2296" s="49" t="s">
        <v>449</v>
      </c>
      <c r="D2296">
        <v>98</v>
      </c>
      <c r="E2296" s="49" t="s">
        <v>378</v>
      </c>
    </row>
    <row r="2297" spans="1:5" x14ac:dyDescent="0.3">
      <c r="A2297" s="49" t="s">
        <v>1389</v>
      </c>
      <c r="B2297" s="49" t="s">
        <v>578</v>
      </c>
      <c r="C2297" s="49" t="s">
        <v>449</v>
      </c>
      <c r="D2297">
        <v>99</v>
      </c>
      <c r="E2297" s="49" t="s">
        <v>378</v>
      </c>
    </row>
    <row r="2298" spans="1:5" x14ac:dyDescent="0.3">
      <c r="A2298" s="49" t="s">
        <v>1390</v>
      </c>
      <c r="B2298" s="49" t="s">
        <v>578</v>
      </c>
      <c r="C2298" s="49" t="s">
        <v>449</v>
      </c>
      <c r="D2298">
        <v>98</v>
      </c>
      <c r="E2298" s="49" t="s">
        <v>378</v>
      </c>
    </row>
    <row r="2299" spans="1:5" x14ac:dyDescent="0.3">
      <c r="A2299" s="49" t="s">
        <v>1390</v>
      </c>
      <c r="B2299" s="49" t="s">
        <v>578</v>
      </c>
      <c r="C2299" s="49" t="s">
        <v>449</v>
      </c>
      <c r="D2299">
        <v>99</v>
      </c>
      <c r="E2299" s="49" t="s">
        <v>378</v>
      </c>
    </row>
    <row r="2300" spans="1:5" x14ac:dyDescent="0.3">
      <c r="A2300" s="49" t="s">
        <v>1391</v>
      </c>
      <c r="B2300" s="49" t="s">
        <v>578</v>
      </c>
      <c r="C2300" s="49" t="s">
        <v>449</v>
      </c>
      <c r="D2300">
        <v>98</v>
      </c>
      <c r="E2300" s="49" t="s">
        <v>378</v>
      </c>
    </row>
    <row r="2301" spans="1:5" x14ac:dyDescent="0.3">
      <c r="A2301" s="49" t="s">
        <v>1391</v>
      </c>
      <c r="B2301" s="49" t="s">
        <v>578</v>
      </c>
      <c r="C2301" s="49" t="s">
        <v>449</v>
      </c>
      <c r="D2301">
        <v>99</v>
      </c>
      <c r="E2301" s="49" t="s">
        <v>378</v>
      </c>
    </row>
    <row r="2302" spans="1:5" x14ac:dyDescent="0.3">
      <c r="A2302" s="49" t="s">
        <v>1392</v>
      </c>
      <c r="B2302" s="49" t="s">
        <v>578</v>
      </c>
      <c r="C2302" s="49" t="s">
        <v>449</v>
      </c>
      <c r="D2302">
        <v>98</v>
      </c>
      <c r="E2302" s="49" t="s">
        <v>378</v>
      </c>
    </row>
    <row r="2303" spans="1:5" x14ac:dyDescent="0.3">
      <c r="A2303" s="49" t="s">
        <v>1392</v>
      </c>
      <c r="B2303" s="49" t="s">
        <v>578</v>
      </c>
      <c r="C2303" s="49" t="s">
        <v>449</v>
      </c>
      <c r="D2303">
        <v>99</v>
      </c>
      <c r="E2303" s="49" t="s">
        <v>378</v>
      </c>
    </row>
    <row r="2304" spans="1:5" x14ac:dyDescent="0.3">
      <c r="A2304" s="49" t="s">
        <v>1393</v>
      </c>
      <c r="B2304" s="49" t="s">
        <v>578</v>
      </c>
      <c r="C2304" s="49" t="s">
        <v>449</v>
      </c>
      <c r="D2304">
        <v>98</v>
      </c>
      <c r="E2304" s="49" t="s">
        <v>378</v>
      </c>
    </row>
    <row r="2305" spans="1:5" x14ac:dyDescent="0.3">
      <c r="A2305" s="49" t="s">
        <v>1393</v>
      </c>
      <c r="B2305" s="49" t="s">
        <v>578</v>
      </c>
      <c r="C2305" s="49" t="s">
        <v>449</v>
      </c>
      <c r="D2305">
        <v>99</v>
      </c>
      <c r="E2305" s="49" t="s">
        <v>378</v>
      </c>
    </row>
    <row r="2306" spans="1:5" x14ac:dyDescent="0.3">
      <c r="A2306" s="49" t="s">
        <v>1394</v>
      </c>
      <c r="B2306" s="49" t="s">
        <v>578</v>
      </c>
      <c r="C2306" s="49" t="s">
        <v>449</v>
      </c>
      <c r="D2306">
        <v>98</v>
      </c>
      <c r="E2306" s="49" t="s">
        <v>378</v>
      </c>
    </row>
    <row r="2307" spans="1:5" x14ac:dyDescent="0.3">
      <c r="A2307" s="49" t="s">
        <v>1394</v>
      </c>
      <c r="B2307" s="49" t="s">
        <v>578</v>
      </c>
      <c r="C2307" s="49" t="s">
        <v>449</v>
      </c>
      <c r="D2307">
        <v>99</v>
      </c>
      <c r="E2307" s="49" t="s">
        <v>378</v>
      </c>
    </row>
    <row r="2308" spans="1:5" x14ac:dyDescent="0.3">
      <c r="A2308" s="49" t="s">
        <v>1395</v>
      </c>
      <c r="B2308" s="49" t="s">
        <v>578</v>
      </c>
      <c r="C2308" s="49" t="s">
        <v>449</v>
      </c>
      <c r="D2308">
        <v>98</v>
      </c>
      <c r="E2308" s="49" t="s">
        <v>378</v>
      </c>
    </row>
    <row r="2309" spans="1:5" x14ac:dyDescent="0.3">
      <c r="A2309" s="49" t="s">
        <v>1395</v>
      </c>
      <c r="B2309" s="49" t="s">
        <v>578</v>
      </c>
      <c r="C2309" s="49" t="s">
        <v>449</v>
      </c>
      <c r="D2309">
        <v>99</v>
      </c>
      <c r="E2309" s="49" t="s">
        <v>378</v>
      </c>
    </row>
    <row r="2310" spans="1:5" x14ac:dyDescent="0.3">
      <c r="A2310" s="49" t="s">
        <v>1396</v>
      </c>
      <c r="B2310" s="49" t="s">
        <v>578</v>
      </c>
      <c r="C2310" s="49" t="s">
        <v>449</v>
      </c>
      <c r="D2310">
        <v>98</v>
      </c>
      <c r="E2310" s="49" t="s">
        <v>378</v>
      </c>
    </row>
    <row r="2311" spans="1:5" x14ac:dyDescent="0.3">
      <c r="A2311" s="49" t="s">
        <v>1396</v>
      </c>
      <c r="B2311" s="49" t="s">
        <v>578</v>
      </c>
      <c r="C2311" s="49" t="s">
        <v>449</v>
      </c>
      <c r="D2311">
        <v>99</v>
      </c>
      <c r="E2311" s="49" t="s">
        <v>378</v>
      </c>
    </row>
    <row r="2312" spans="1:5" x14ac:dyDescent="0.3">
      <c r="A2312" s="49" t="s">
        <v>1397</v>
      </c>
      <c r="B2312" s="49" t="s">
        <v>578</v>
      </c>
      <c r="C2312" s="49" t="s">
        <v>449</v>
      </c>
      <c r="D2312">
        <v>98</v>
      </c>
      <c r="E2312" s="49" t="s">
        <v>378</v>
      </c>
    </row>
    <row r="2313" spans="1:5" x14ac:dyDescent="0.3">
      <c r="A2313" s="49" t="s">
        <v>1397</v>
      </c>
      <c r="B2313" s="49" t="s">
        <v>578</v>
      </c>
      <c r="C2313" s="49" t="s">
        <v>449</v>
      </c>
      <c r="D2313">
        <v>99</v>
      </c>
      <c r="E2313" s="49" t="s">
        <v>378</v>
      </c>
    </row>
    <row r="2314" spans="1:5" x14ac:dyDescent="0.3">
      <c r="A2314" s="49" t="s">
        <v>1398</v>
      </c>
      <c r="B2314" s="49" t="s">
        <v>578</v>
      </c>
      <c r="C2314" s="49" t="s">
        <v>449</v>
      </c>
      <c r="D2314">
        <v>98</v>
      </c>
      <c r="E2314" s="49" t="s">
        <v>378</v>
      </c>
    </row>
    <row r="2315" spans="1:5" x14ac:dyDescent="0.3">
      <c r="A2315" s="49" t="s">
        <v>1398</v>
      </c>
      <c r="B2315" s="49" t="s">
        <v>578</v>
      </c>
      <c r="C2315" s="49" t="s">
        <v>449</v>
      </c>
      <c r="D2315">
        <v>99</v>
      </c>
      <c r="E2315" s="49" t="s">
        <v>378</v>
      </c>
    </row>
    <row r="2316" spans="1:5" x14ac:dyDescent="0.3">
      <c r="A2316" s="49" t="s">
        <v>1399</v>
      </c>
      <c r="B2316" s="49" t="s">
        <v>578</v>
      </c>
      <c r="C2316" s="49" t="s">
        <v>449</v>
      </c>
      <c r="D2316">
        <v>98</v>
      </c>
      <c r="E2316" s="49" t="s">
        <v>378</v>
      </c>
    </row>
    <row r="2317" spans="1:5" x14ac:dyDescent="0.3">
      <c r="A2317" s="49" t="s">
        <v>1399</v>
      </c>
      <c r="B2317" s="49" t="s">
        <v>578</v>
      </c>
      <c r="C2317" s="49" t="s">
        <v>449</v>
      </c>
      <c r="D2317">
        <v>99</v>
      </c>
      <c r="E2317" s="49" t="s">
        <v>378</v>
      </c>
    </row>
    <row r="2318" spans="1:5" x14ac:dyDescent="0.3">
      <c r="A2318" s="49" t="s">
        <v>1400</v>
      </c>
      <c r="B2318" s="49" t="s">
        <v>578</v>
      </c>
      <c r="C2318" s="49" t="s">
        <v>449</v>
      </c>
      <c r="D2318">
        <v>98</v>
      </c>
      <c r="E2318" s="49" t="s">
        <v>378</v>
      </c>
    </row>
    <row r="2319" spans="1:5" x14ac:dyDescent="0.3">
      <c r="A2319" s="49" t="s">
        <v>1400</v>
      </c>
      <c r="B2319" s="49" t="s">
        <v>578</v>
      </c>
      <c r="C2319" s="49" t="s">
        <v>449</v>
      </c>
      <c r="D2319">
        <v>99</v>
      </c>
      <c r="E2319" s="49" t="s">
        <v>378</v>
      </c>
    </row>
    <row r="2320" spans="1:5" x14ac:dyDescent="0.3">
      <c r="A2320" s="49" t="s">
        <v>1401</v>
      </c>
      <c r="B2320" s="49" t="s">
        <v>578</v>
      </c>
      <c r="C2320" s="49" t="s">
        <v>449</v>
      </c>
      <c r="D2320">
        <v>98</v>
      </c>
      <c r="E2320" s="49" t="s">
        <v>378</v>
      </c>
    </row>
    <row r="2321" spans="1:5" x14ac:dyDescent="0.3">
      <c r="A2321" s="49" t="s">
        <v>1401</v>
      </c>
      <c r="B2321" s="49" t="s">
        <v>578</v>
      </c>
      <c r="C2321" s="49" t="s">
        <v>449</v>
      </c>
      <c r="D2321">
        <v>99</v>
      </c>
      <c r="E2321" s="49" t="s">
        <v>378</v>
      </c>
    </row>
    <row r="2322" spans="1:5" x14ac:dyDescent="0.3">
      <c r="A2322" s="49" t="s">
        <v>1402</v>
      </c>
      <c r="B2322" s="49" t="s">
        <v>578</v>
      </c>
      <c r="C2322" s="49" t="s">
        <v>449</v>
      </c>
      <c r="D2322">
        <v>98</v>
      </c>
      <c r="E2322" s="49" t="s">
        <v>378</v>
      </c>
    </row>
    <row r="2323" spans="1:5" x14ac:dyDescent="0.3">
      <c r="A2323" s="49" t="s">
        <v>1402</v>
      </c>
      <c r="B2323" s="49" t="s">
        <v>578</v>
      </c>
      <c r="C2323" s="49" t="s">
        <v>449</v>
      </c>
      <c r="D2323">
        <v>99</v>
      </c>
      <c r="E2323" s="49" t="s">
        <v>378</v>
      </c>
    </row>
    <row r="2324" spans="1:5" x14ac:dyDescent="0.3">
      <c r="A2324" s="49" t="s">
        <v>1403</v>
      </c>
      <c r="B2324" s="49" t="s">
        <v>578</v>
      </c>
      <c r="C2324" s="49" t="s">
        <v>449</v>
      </c>
      <c r="D2324">
        <v>98</v>
      </c>
      <c r="E2324" s="49" t="s">
        <v>378</v>
      </c>
    </row>
    <row r="2325" spans="1:5" x14ac:dyDescent="0.3">
      <c r="A2325" s="49" t="s">
        <v>1403</v>
      </c>
      <c r="B2325" s="49" t="s">
        <v>578</v>
      </c>
      <c r="C2325" s="49" t="s">
        <v>449</v>
      </c>
      <c r="D2325">
        <v>99</v>
      </c>
      <c r="E2325" s="49" t="s">
        <v>378</v>
      </c>
    </row>
    <row r="2326" spans="1:5" x14ac:dyDescent="0.3">
      <c r="A2326" s="49" t="s">
        <v>1404</v>
      </c>
      <c r="B2326" s="49" t="s">
        <v>578</v>
      </c>
      <c r="C2326" s="49" t="s">
        <v>449</v>
      </c>
      <c r="D2326">
        <v>98</v>
      </c>
      <c r="E2326" s="49" t="s">
        <v>378</v>
      </c>
    </row>
    <row r="2327" spans="1:5" x14ac:dyDescent="0.3">
      <c r="A2327" s="49" t="s">
        <v>1404</v>
      </c>
      <c r="B2327" s="49" t="s">
        <v>578</v>
      </c>
      <c r="C2327" s="49" t="s">
        <v>449</v>
      </c>
      <c r="D2327">
        <v>99</v>
      </c>
      <c r="E2327" s="49" t="s">
        <v>378</v>
      </c>
    </row>
    <row r="2328" spans="1:5" x14ac:dyDescent="0.3">
      <c r="A2328" s="49" t="s">
        <v>1405</v>
      </c>
      <c r="B2328" s="49" t="s">
        <v>578</v>
      </c>
      <c r="C2328" s="49" t="s">
        <v>449</v>
      </c>
      <c r="D2328">
        <v>98</v>
      </c>
      <c r="E2328" s="49" t="s">
        <v>378</v>
      </c>
    </row>
    <row r="2329" spans="1:5" x14ac:dyDescent="0.3">
      <c r="A2329" s="49" t="s">
        <v>1405</v>
      </c>
      <c r="B2329" s="49" t="s">
        <v>578</v>
      </c>
      <c r="C2329" s="49" t="s">
        <v>449</v>
      </c>
      <c r="D2329">
        <v>99</v>
      </c>
      <c r="E2329" s="49" t="s">
        <v>378</v>
      </c>
    </row>
    <row r="2330" spans="1:5" x14ac:dyDescent="0.3">
      <c r="A2330" s="49" t="s">
        <v>1406</v>
      </c>
      <c r="B2330" s="49" t="s">
        <v>578</v>
      </c>
      <c r="C2330" s="49" t="s">
        <v>449</v>
      </c>
      <c r="D2330">
        <v>98</v>
      </c>
      <c r="E2330" s="49" t="s">
        <v>378</v>
      </c>
    </row>
    <row r="2331" spans="1:5" x14ac:dyDescent="0.3">
      <c r="A2331" s="49" t="s">
        <v>1406</v>
      </c>
      <c r="B2331" s="49" t="s">
        <v>578</v>
      </c>
      <c r="C2331" s="49" t="s">
        <v>449</v>
      </c>
      <c r="D2331">
        <v>99</v>
      </c>
      <c r="E2331" s="49" t="s">
        <v>378</v>
      </c>
    </row>
    <row r="2332" spans="1:5" x14ac:dyDescent="0.3">
      <c r="A2332" s="49" t="s">
        <v>1407</v>
      </c>
      <c r="B2332" s="49" t="s">
        <v>578</v>
      </c>
      <c r="C2332" s="49" t="s">
        <v>449</v>
      </c>
      <c r="D2332">
        <v>98</v>
      </c>
      <c r="E2332" s="49" t="s">
        <v>378</v>
      </c>
    </row>
    <row r="2333" spans="1:5" x14ac:dyDescent="0.3">
      <c r="A2333" s="49" t="s">
        <v>1407</v>
      </c>
      <c r="B2333" s="49" t="s">
        <v>578</v>
      </c>
      <c r="C2333" s="49" t="s">
        <v>449</v>
      </c>
      <c r="D2333">
        <v>99</v>
      </c>
      <c r="E2333" s="49" t="s">
        <v>378</v>
      </c>
    </row>
    <row r="2334" spans="1:5" x14ac:dyDescent="0.3">
      <c r="A2334" s="49" t="s">
        <v>1408</v>
      </c>
      <c r="B2334" s="49" t="s">
        <v>578</v>
      </c>
      <c r="C2334" s="49" t="s">
        <v>449</v>
      </c>
      <c r="D2334">
        <v>98</v>
      </c>
      <c r="E2334" s="49" t="s">
        <v>378</v>
      </c>
    </row>
    <row r="2335" spans="1:5" x14ac:dyDescent="0.3">
      <c r="A2335" s="49" t="s">
        <v>1408</v>
      </c>
      <c r="B2335" s="49" t="s">
        <v>578</v>
      </c>
      <c r="C2335" s="49" t="s">
        <v>449</v>
      </c>
      <c r="D2335">
        <v>99</v>
      </c>
      <c r="E2335" s="49" t="s">
        <v>378</v>
      </c>
    </row>
    <row r="2336" spans="1:5" x14ac:dyDescent="0.3">
      <c r="A2336" s="49" t="s">
        <v>1409</v>
      </c>
      <c r="B2336" s="49" t="s">
        <v>578</v>
      </c>
      <c r="C2336" s="49" t="s">
        <v>449</v>
      </c>
      <c r="D2336">
        <v>98</v>
      </c>
      <c r="E2336" s="49" t="s">
        <v>378</v>
      </c>
    </row>
    <row r="2337" spans="1:5" x14ac:dyDescent="0.3">
      <c r="A2337" s="49" t="s">
        <v>1409</v>
      </c>
      <c r="B2337" s="49" t="s">
        <v>578</v>
      </c>
      <c r="C2337" s="49" t="s">
        <v>449</v>
      </c>
      <c r="D2337">
        <v>99</v>
      </c>
      <c r="E2337" s="49" t="s">
        <v>378</v>
      </c>
    </row>
    <row r="2338" spans="1:5" x14ac:dyDescent="0.3">
      <c r="A2338" s="49" t="s">
        <v>1410</v>
      </c>
      <c r="B2338" s="49" t="s">
        <v>578</v>
      </c>
      <c r="C2338" s="49" t="s">
        <v>449</v>
      </c>
      <c r="D2338">
        <v>98</v>
      </c>
      <c r="E2338" s="49" t="s">
        <v>378</v>
      </c>
    </row>
    <row r="2339" spans="1:5" x14ac:dyDescent="0.3">
      <c r="A2339" s="49" t="s">
        <v>1410</v>
      </c>
      <c r="B2339" s="49" t="s">
        <v>578</v>
      </c>
      <c r="C2339" s="49" t="s">
        <v>449</v>
      </c>
      <c r="D2339">
        <v>99</v>
      </c>
      <c r="E2339" s="49" t="s">
        <v>378</v>
      </c>
    </row>
    <row r="2340" spans="1:5" x14ac:dyDescent="0.3">
      <c r="A2340" s="49" t="s">
        <v>1411</v>
      </c>
      <c r="B2340" s="49" t="s">
        <v>578</v>
      </c>
      <c r="C2340" s="49" t="s">
        <v>449</v>
      </c>
      <c r="D2340">
        <v>98</v>
      </c>
      <c r="E2340" s="49" t="s">
        <v>378</v>
      </c>
    </row>
    <row r="2341" spans="1:5" x14ac:dyDescent="0.3">
      <c r="A2341" s="49" t="s">
        <v>1411</v>
      </c>
      <c r="B2341" s="49" t="s">
        <v>578</v>
      </c>
      <c r="C2341" s="49" t="s">
        <v>449</v>
      </c>
      <c r="D2341">
        <v>99</v>
      </c>
      <c r="E2341" s="49" t="s">
        <v>378</v>
      </c>
    </row>
    <row r="2342" spans="1:5" x14ac:dyDescent="0.3">
      <c r="A2342" s="49" t="s">
        <v>1412</v>
      </c>
      <c r="B2342" s="49" t="s">
        <v>578</v>
      </c>
      <c r="C2342" s="49" t="s">
        <v>449</v>
      </c>
      <c r="D2342">
        <v>98</v>
      </c>
      <c r="E2342" s="49" t="s">
        <v>378</v>
      </c>
    </row>
    <row r="2343" spans="1:5" x14ac:dyDescent="0.3">
      <c r="A2343" s="49" t="s">
        <v>1412</v>
      </c>
      <c r="B2343" s="49" t="s">
        <v>578</v>
      </c>
      <c r="C2343" s="49" t="s">
        <v>449</v>
      </c>
      <c r="D2343">
        <v>99</v>
      </c>
      <c r="E2343" s="49" t="s">
        <v>378</v>
      </c>
    </row>
    <row r="2344" spans="1:5" x14ac:dyDescent="0.3">
      <c r="A2344" s="49" t="s">
        <v>1413</v>
      </c>
      <c r="B2344" s="49" t="s">
        <v>578</v>
      </c>
      <c r="C2344" s="49" t="s">
        <v>449</v>
      </c>
      <c r="D2344">
        <v>98</v>
      </c>
      <c r="E2344" s="49" t="s">
        <v>378</v>
      </c>
    </row>
    <row r="2345" spans="1:5" x14ac:dyDescent="0.3">
      <c r="A2345" s="49" t="s">
        <v>1413</v>
      </c>
      <c r="B2345" s="49" t="s">
        <v>578</v>
      </c>
      <c r="C2345" s="49" t="s">
        <v>449</v>
      </c>
      <c r="D2345">
        <v>99</v>
      </c>
      <c r="E2345" s="49" t="s">
        <v>378</v>
      </c>
    </row>
    <row r="2346" spans="1:5" x14ac:dyDescent="0.3">
      <c r="A2346" s="49" t="s">
        <v>1414</v>
      </c>
      <c r="B2346" s="49" t="s">
        <v>578</v>
      </c>
      <c r="C2346" s="49" t="s">
        <v>449</v>
      </c>
      <c r="D2346">
        <v>98</v>
      </c>
      <c r="E2346" s="49" t="s">
        <v>378</v>
      </c>
    </row>
    <row r="2347" spans="1:5" x14ac:dyDescent="0.3">
      <c r="A2347" s="49" t="s">
        <v>1414</v>
      </c>
      <c r="B2347" s="49" t="s">
        <v>578</v>
      </c>
      <c r="C2347" s="49" t="s">
        <v>449</v>
      </c>
      <c r="D2347">
        <v>99</v>
      </c>
      <c r="E2347" s="49" t="s">
        <v>378</v>
      </c>
    </row>
    <row r="2348" spans="1:5" x14ac:dyDescent="0.3">
      <c r="A2348" s="49" t="s">
        <v>1415</v>
      </c>
      <c r="B2348" s="49" t="s">
        <v>578</v>
      </c>
      <c r="C2348" s="49" t="s">
        <v>449</v>
      </c>
      <c r="D2348">
        <v>98</v>
      </c>
      <c r="E2348" s="49" t="s">
        <v>378</v>
      </c>
    </row>
    <row r="2349" spans="1:5" x14ac:dyDescent="0.3">
      <c r="A2349" s="49" t="s">
        <v>1415</v>
      </c>
      <c r="B2349" s="49" t="s">
        <v>578</v>
      </c>
      <c r="C2349" s="49" t="s">
        <v>449</v>
      </c>
      <c r="D2349">
        <v>99</v>
      </c>
      <c r="E2349" s="49" t="s">
        <v>378</v>
      </c>
    </row>
    <row r="2350" spans="1:5" x14ac:dyDescent="0.3">
      <c r="A2350" s="49" t="s">
        <v>1416</v>
      </c>
      <c r="B2350" s="49" t="s">
        <v>578</v>
      </c>
      <c r="C2350" s="49" t="s">
        <v>449</v>
      </c>
      <c r="D2350">
        <v>98</v>
      </c>
      <c r="E2350" s="49" t="s">
        <v>378</v>
      </c>
    </row>
    <row r="2351" spans="1:5" x14ac:dyDescent="0.3">
      <c r="A2351" s="49" t="s">
        <v>1416</v>
      </c>
      <c r="B2351" s="49" t="s">
        <v>578</v>
      </c>
      <c r="C2351" s="49" t="s">
        <v>449</v>
      </c>
      <c r="D2351">
        <v>99</v>
      </c>
      <c r="E2351" s="49" t="s">
        <v>378</v>
      </c>
    </row>
    <row r="2352" spans="1:5" x14ac:dyDescent="0.3">
      <c r="A2352" s="49" t="s">
        <v>1417</v>
      </c>
      <c r="B2352" s="49" t="s">
        <v>578</v>
      </c>
      <c r="C2352" s="49" t="s">
        <v>449</v>
      </c>
      <c r="D2352">
        <v>98</v>
      </c>
      <c r="E2352" s="49" t="s">
        <v>378</v>
      </c>
    </row>
    <row r="2353" spans="1:5" x14ac:dyDescent="0.3">
      <c r="A2353" s="49" t="s">
        <v>1417</v>
      </c>
      <c r="B2353" s="49" t="s">
        <v>578</v>
      </c>
      <c r="C2353" s="49" t="s">
        <v>449</v>
      </c>
      <c r="D2353">
        <v>99</v>
      </c>
      <c r="E2353" s="49" t="s">
        <v>378</v>
      </c>
    </row>
    <row r="2354" spans="1:5" x14ac:dyDescent="0.3">
      <c r="A2354" s="49" t="s">
        <v>1418</v>
      </c>
      <c r="B2354" s="49" t="s">
        <v>578</v>
      </c>
      <c r="C2354" s="49" t="s">
        <v>449</v>
      </c>
      <c r="D2354">
        <v>98</v>
      </c>
      <c r="E2354" s="49" t="s">
        <v>378</v>
      </c>
    </row>
    <row r="2355" spans="1:5" x14ac:dyDescent="0.3">
      <c r="A2355" s="49" t="s">
        <v>1418</v>
      </c>
      <c r="B2355" s="49" t="s">
        <v>578</v>
      </c>
      <c r="C2355" s="49" t="s">
        <v>449</v>
      </c>
      <c r="D2355">
        <v>99</v>
      </c>
      <c r="E2355" s="49" t="s">
        <v>378</v>
      </c>
    </row>
    <row r="2356" spans="1:5" x14ac:dyDescent="0.3">
      <c r="A2356" s="49" t="s">
        <v>1419</v>
      </c>
      <c r="B2356" s="49" t="s">
        <v>578</v>
      </c>
      <c r="C2356" s="49" t="s">
        <v>449</v>
      </c>
      <c r="D2356">
        <v>98</v>
      </c>
      <c r="E2356" s="49" t="s">
        <v>378</v>
      </c>
    </row>
    <row r="2357" spans="1:5" x14ac:dyDescent="0.3">
      <c r="A2357" s="49" t="s">
        <v>1419</v>
      </c>
      <c r="B2357" s="49" t="s">
        <v>578</v>
      </c>
      <c r="C2357" s="49" t="s">
        <v>449</v>
      </c>
      <c r="D2357">
        <v>99</v>
      </c>
      <c r="E2357" s="49" t="s">
        <v>378</v>
      </c>
    </row>
    <row r="2358" spans="1:5" x14ac:dyDescent="0.3">
      <c r="A2358" s="49" t="s">
        <v>1420</v>
      </c>
      <c r="B2358" s="49" t="s">
        <v>578</v>
      </c>
      <c r="C2358" s="49" t="s">
        <v>449</v>
      </c>
      <c r="D2358">
        <v>98</v>
      </c>
      <c r="E2358" s="49" t="s">
        <v>378</v>
      </c>
    </row>
    <row r="2359" spans="1:5" x14ac:dyDescent="0.3">
      <c r="A2359" s="49" t="s">
        <v>1420</v>
      </c>
      <c r="B2359" s="49" t="s">
        <v>578</v>
      </c>
      <c r="C2359" s="49" t="s">
        <v>449</v>
      </c>
      <c r="D2359">
        <v>99</v>
      </c>
      <c r="E2359" s="49" t="s">
        <v>378</v>
      </c>
    </row>
    <row r="2360" spans="1:5" x14ac:dyDescent="0.3">
      <c r="A2360" s="49" t="s">
        <v>1421</v>
      </c>
      <c r="B2360" s="49" t="s">
        <v>578</v>
      </c>
      <c r="C2360" s="49" t="s">
        <v>449</v>
      </c>
      <c r="D2360">
        <v>98</v>
      </c>
      <c r="E2360" s="49" t="s">
        <v>378</v>
      </c>
    </row>
    <row r="2361" spans="1:5" x14ac:dyDescent="0.3">
      <c r="A2361" s="49" t="s">
        <v>1421</v>
      </c>
      <c r="B2361" s="49" t="s">
        <v>578</v>
      </c>
      <c r="C2361" s="49" t="s">
        <v>449</v>
      </c>
      <c r="D2361">
        <v>99</v>
      </c>
      <c r="E2361" s="49" t="s">
        <v>378</v>
      </c>
    </row>
    <row r="2362" spans="1:5" x14ac:dyDescent="0.3">
      <c r="A2362" s="49" t="s">
        <v>1422</v>
      </c>
      <c r="B2362" s="49" t="s">
        <v>578</v>
      </c>
      <c r="C2362" s="49" t="s">
        <v>449</v>
      </c>
      <c r="D2362">
        <v>98</v>
      </c>
      <c r="E2362" s="49" t="s">
        <v>378</v>
      </c>
    </row>
    <row r="2363" spans="1:5" x14ac:dyDescent="0.3">
      <c r="A2363" s="49" t="s">
        <v>1422</v>
      </c>
      <c r="B2363" s="49" t="s">
        <v>578</v>
      </c>
      <c r="C2363" s="49" t="s">
        <v>449</v>
      </c>
      <c r="D2363">
        <v>99</v>
      </c>
      <c r="E2363" s="49" t="s">
        <v>378</v>
      </c>
    </row>
    <row r="2364" spans="1:5" x14ac:dyDescent="0.3">
      <c r="A2364" s="49" t="s">
        <v>1423</v>
      </c>
      <c r="B2364" s="49" t="s">
        <v>578</v>
      </c>
      <c r="C2364" s="49" t="s">
        <v>449</v>
      </c>
      <c r="D2364">
        <v>98</v>
      </c>
      <c r="E2364" s="49" t="s">
        <v>378</v>
      </c>
    </row>
    <row r="2365" spans="1:5" x14ac:dyDescent="0.3">
      <c r="A2365" s="49" t="s">
        <v>1423</v>
      </c>
      <c r="B2365" s="49" t="s">
        <v>578</v>
      </c>
      <c r="C2365" s="49" t="s">
        <v>449</v>
      </c>
      <c r="D2365">
        <v>99</v>
      </c>
      <c r="E2365" s="49" t="s">
        <v>378</v>
      </c>
    </row>
    <row r="2366" spans="1:5" x14ac:dyDescent="0.3">
      <c r="A2366" s="49" t="s">
        <v>1424</v>
      </c>
      <c r="B2366" s="49" t="s">
        <v>578</v>
      </c>
      <c r="C2366" s="49" t="s">
        <v>449</v>
      </c>
      <c r="D2366">
        <v>98</v>
      </c>
      <c r="E2366" s="49" t="s">
        <v>378</v>
      </c>
    </row>
    <row r="2367" spans="1:5" x14ac:dyDescent="0.3">
      <c r="A2367" s="49" t="s">
        <v>1424</v>
      </c>
      <c r="B2367" s="49" t="s">
        <v>578</v>
      </c>
      <c r="C2367" s="49" t="s">
        <v>449</v>
      </c>
      <c r="D2367">
        <v>99</v>
      </c>
      <c r="E2367" s="49" t="s">
        <v>378</v>
      </c>
    </row>
    <row r="2368" spans="1:5" x14ac:dyDescent="0.3">
      <c r="A2368" s="49" t="s">
        <v>1425</v>
      </c>
      <c r="B2368" s="49" t="s">
        <v>578</v>
      </c>
      <c r="C2368" s="49" t="s">
        <v>449</v>
      </c>
      <c r="D2368">
        <v>98</v>
      </c>
      <c r="E2368" s="49" t="s">
        <v>378</v>
      </c>
    </row>
    <row r="2369" spans="1:5" x14ac:dyDescent="0.3">
      <c r="A2369" s="49" t="s">
        <v>1425</v>
      </c>
      <c r="B2369" s="49" t="s">
        <v>578</v>
      </c>
      <c r="C2369" s="49" t="s">
        <v>449</v>
      </c>
      <c r="D2369">
        <v>99</v>
      </c>
      <c r="E2369" s="49" t="s">
        <v>378</v>
      </c>
    </row>
    <row r="2370" spans="1:5" x14ac:dyDescent="0.3">
      <c r="A2370" s="49" t="s">
        <v>1426</v>
      </c>
      <c r="B2370" s="49" t="s">
        <v>578</v>
      </c>
      <c r="C2370" s="49" t="s">
        <v>449</v>
      </c>
      <c r="D2370">
        <v>98</v>
      </c>
      <c r="E2370" s="49" t="s">
        <v>378</v>
      </c>
    </row>
    <row r="2371" spans="1:5" x14ac:dyDescent="0.3">
      <c r="A2371" s="49" t="s">
        <v>1426</v>
      </c>
      <c r="B2371" s="49" t="s">
        <v>578</v>
      </c>
      <c r="C2371" s="49" t="s">
        <v>449</v>
      </c>
      <c r="D2371">
        <v>99</v>
      </c>
      <c r="E2371" s="49" t="s">
        <v>378</v>
      </c>
    </row>
    <row r="2372" spans="1:5" x14ac:dyDescent="0.3">
      <c r="A2372" s="49" t="s">
        <v>1427</v>
      </c>
      <c r="B2372" s="49" t="s">
        <v>578</v>
      </c>
      <c r="C2372" s="49" t="s">
        <v>449</v>
      </c>
      <c r="D2372">
        <v>98</v>
      </c>
      <c r="E2372" s="49" t="s">
        <v>378</v>
      </c>
    </row>
    <row r="2373" spans="1:5" x14ac:dyDescent="0.3">
      <c r="A2373" s="49" t="s">
        <v>1427</v>
      </c>
      <c r="B2373" s="49" t="s">
        <v>578</v>
      </c>
      <c r="C2373" s="49" t="s">
        <v>449</v>
      </c>
      <c r="D2373">
        <v>99</v>
      </c>
      <c r="E2373" s="49" t="s">
        <v>378</v>
      </c>
    </row>
    <row r="2374" spans="1:5" x14ac:dyDescent="0.3">
      <c r="A2374" s="49" t="s">
        <v>1428</v>
      </c>
      <c r="B2374" s="49" t="s">
        <v>578</v>
      </c>
      <c r="C2374" s="49" t="s">
        <v>449</v>
      </c>
      <c r="D2374">
        <v>98</v>
      </c>
      <c r="E2374" s="49" t="s">
        <v>378</v>
      </c>
    </row>
    <row r="2375" spans="1:5" x14ac:dyDescent="0.3">
      <c r="A2375" s="49" t="s">
        <v>1428</v>
      </c>
      <c r="B2375" s="49" t="s">
        <v>578</v>
      </c>
      <c r="C2375" s="49" t="s">
        <v>449</v>
      </c>
      <c r="D2375">
        <v>99</v>
      </c>
      <c r="E2375" s="49" t="s">
        <v>378</v>
      </c>
    </row>
    <row r="2376" spans="1:5" x14ac:dyDescent="0.3">
      <c r="A2376" s="49" t="s">
        <v>1429</v>
      </c>
      <c r="B2376" s="49" t="s">
        <v>578</v>
      </c>
      <c r="C2376" s="49" t="s">
        <v>449</v>
      </c>
      <c r="D2376">
        <v>98</v>
      </c>
      <c r="E2376" s="49" t="s">
        <v>378</v>
      </c>
    </row>
    <row r="2377" spans="1:5" x14ac:dyDescent="0.3">
      <c r="A2377" s="49" t="s">
        <v>1429</v>
      </c>
      <c r="B2377" s="49" t="s">
        <v>578</v>
      </c>
      <c r="C2377" s="49" t="s">
        <v>449</v>
      </c>
      <c r="D2377">
        <v>99</v>
      </c>
      <c r="E2377" s="49" t="s">
        <v>378</v>
      </c>
    </row>
    <row r="2378" spans="1:5" x14ac:dyDescent="0.3">
      <c r="A2378" s="49" t="s">
        <v>1430</v>
      </c>
      <c r="B2378" s="49" t="s">
        <v>578</v>
      </c>
      <c r="C2378" s="49" t="s">
        <v>449</v>
      </c>
      <c r="D2378">
        <v>98</v>
      </c>
      <c r="E2378" s="49" t="s">
        <v>378</v>
      </c>
    </row>
    <row r="2379" spans="1:5" x14ac:dyDescent="0.3">
      <c r="A2379" s="49" t="s">
        <v>1430</v>
      </c>
      <c r="B2379" s="49" t="s">
        <v>578</v>
      </c>
      <c r="C2379" s="49" t="s">
        <v>449</v>
      </c>
      <c r="D2379">
        <v>99</v>
      </c>
      <c r="E2379" s="49" t="s">
        <v>378</v>
      </c>
    </row>
    <row r="2380" spans="1:5" x14ac:dyDescent="0.3">
      <c r="A2380" s="49" t="s">
        <v>1431</v>
      </c>
      <c r="B2380" s="49" t="s">
        <v>578</v>
      </c>
      <c r="C2380" s="49" t="s">
        <v>449</v>
      </c>
      <c r="D2380">
        <v>98</v>
      </c>
      <c r="E2380" s="49" t="s">
        <v>378</v>
      </c>
    </row>
    <row r="2381" spans="1:5" x14ac:dyDescent="0.3">
      <c r="A2381" s="49" t="s">
        <v>1431</v>
      </c>
      <c r="B2381" s="49" t="s">
        <v>578</v>
      </c>
      <c r="C2381" s="49" t="s">
        <v>449</v>
      </c>
      <c r="D2381">
        <v>99</v>
      </c>
      <c r="E2381" s="49" t="s">
        <v>378</v>
      </c>
    </row>
    <row r="2382" spans="1:5" x14ac:dyDescent="0.3">
      <c r="A2382" s="49" t="s">
        <v>1432</v>
      </c>
      <c r="B2382" s="49" t="s">
        <v>578</v>
      </c>
      <c r="C2382" s="49" t="s">
        <v>449</v>
      </c>
      <c r="D2382">
        <v>98</v>
      </c>
      <c r="E2382" s="49" t="s">
        <v>378</v>
      </c>
    </row>
    <row r="2383" spans="1:5" x14ac:dyDescent="0.3">
      <c r="A2383" s="49" t="s">
        <v>1432</v>
      </c>
      <c r="B2383" s="49" t="s">
        <v>578</v>
      </c>
      <c r="C2383" s="49" t="s">
        <v>449</v>
      </c>
      <c r="D2383">
        <v>99</v>
      </c>
      <c r="E2383" s="49" t="s">
        <v>378</v>
      </c>
    </row>
    <row r="2384" spans="1:5" x14ac:dyDescent="0.3">
      <c r="A2384" s="49" t="s">
        <v>1433</v>
      </c>
      <c r="B2384" s="49" t="s">
        <v>578</v>
      </c>
      <c r="C2384" s="49" t="s">
        <v>449</v>
      </c>
      <c r="D2384">
        <v>98</v>
      </c>
      <c r="E2384" s="49" t="s">
        <v>378</v>
      </c>
    </row>
    <row r="2385" spans="1:5" x14ac:dyDescent="0.3">
      <c r="A2385" s="49" t="s">
        <v>1433</v>
      </c>
      <c r="B2385" s="49" t="s">
        <v>578</v>
      </c>
      <c r="C2385" s="49" t="s">
        <v>449</v>
      </c>
      <c r="D2385">
        <v>99</v>
      </c>
      <c r="E2385" s="49" t="s">
        <v>378</v>
      </c>
    </row>
    <row r="2386" spans="1:5" x14ac:dyDescent="0.3">
      <c r="A2386" s="49" t="s">
        <v>1434</v>
      </c>
      <c r="B2386" s="49" t="s">
        <v>578</v>
      </c>
      <c r="C2386" s="49" t="s">
        <v>449</v>
      </c>
      <c r="D2386">
        <v>98</v>
      </c>
      <c r="E2386" s="49" t="s">
        <v>378</v>
      </c>
    </row>
    <row r="2387" spans="1:5" x14ac:dyDescent="0.3">
      <c r="A2387" s="49" t="s">
        <v>1434</v>
      </c>
      <c r="B2387" s="49" t="s">
        <v>578</v>
      </c>
      <c r="C2387" s="49" t="s">
        <v>449</v>
      </c>
      <c r="D2387">
        <v>99</v>
      </c>
      <c r="E2387" s="49" t="s">
        <v>378</v>
      </c>
    </row>
    <row r="2388" spans="1:5" x14ac:dyDescent="0.3">
      <c r="A2388" s="49" t="s">
        <v>1435</v>
      </c>
      <c r="B2388" s="49" t="s">
        <v>578</v>
      </c>
      <c r="C2388" s="49" t="s">
        <v>449</v>
      </c>
      <c r="D2388">
        <v>98</v>
      </c>
      <c r="E2388" s="49" t="s">
        <v>378</v>
      </c>
    </row>
    <row r="2389" spans="1:5" x14ac:dyDescent="0.3">
      <c r="A2389" s="49" t="s">
        <v>1435</v>
      </c>
      <c r="B2389" s="49" t="s">
        <v>578</v>
      </c>
      <c r="C2389" s="49" t="s">
        <v>449</v>
      </c>
      <c r="D2389">
        <v>99</v>
      </c>
      <c r="E2389" s="49" t="s">
        <v>378</v>
      </c>
    </row>
    <row r="2390" spans="1:5" x14ac:dyDescent="0.3">
      <c r="A2390" s="49" t="s">
        <v>1436</v>
      </c>
      <c r="B2390" s="49" t="s">
        <v>578</v>
      </c>
      <c r="C2390" s="49" t="s">
        <v>449</v>
      </c>
      <c r="D2390">
        <v>98</v>
      </c>
      <c r="E2390" s="49" t="s">
        <v>378</v>
      </c>
    </row>
    <row r="2391" spans="1:5" x14ac:dyDescent="0.3">
      <c r="A2391" s="49" t="s">
        <v>1436</v>
      </c>
      <c r="B2391" s="49" t="s">
        <v>578</v>
      </c>
      <c r="C2391" s="49" t="s">
        <v>449</v>
      </c>
      <c r="D2391">
        <v>99</v>
      </c>
      <c r="E2391" s="49" t="s">
        <v>378</v>
      </c>
    </row>
    <row r="2392" spans="1:5" x14ac:dyDescent="0.3">
      <c r="A2392" s="49" t="s">
        <v>1437</v>
      </c>
      <c r="B2392" s="49" t="s">
        <v>578</v>
      </c>
      <c r="C2392" s="49" t="s">
        <v>449</v>
      </c>
      <c r="D2392">
        <v>98</v>
      </c>
      <c r="E2392" s="49" t="s">
        <v>378</v>
      </c>
    </row>
    <row r="2393" spans="1:5" x14ac:dyDescent="0.3">
      <c r="A2393" s="49" t="s">
        <v>1437</v>
      </c>
      <c r="B2393" s="49" t="s">
        <v>578</v>
      </c>
      <c r="C2393" s="49" t="s">
        <v>449</v>
      </c>
      <c r="D2393">
        <v>99</v>
      </c>
      <c r="E2393" s="49" t="s">
        <v>378</v>
      </c>
    </row>
    <row r="2394" spans="1:5" x14ac:dyDescent="0.3">
      <c r="A2394" s="49" t="s">
        <v>1438</v>
      </c>
      <c r="B2394" s="49" t="s">
        <v>578</v>
      </c>
      <c r="C2394" s="49" t="s">
        <v>449</v>
      </c>
      <c r="D2394">
        <v>98</v>
      </c>
      <c r="E2394" s="49" t="s">
        <v>378</v>
      </c>
    </row>
    <row r="2395" spans="1:5" x14ac:dyDescent="0.3">
      <c r="A2395" s="49" t="s">
        <v>1438</v>
      </c>
      <c r="B2395" s="49" t="s">
        <v>578</v>
      </c>
      <c r="C2395" s="49" t="s">
        <v>449</v>
      </c>
      <c r="D2395">
        <v>99</v>
      </c>
      <c r="E2395" s="49" t="s">
        <v>378</v>
      </c>
    </row>
    <row r="2396" spans="1:5" x14ac:dyDescent="0.3">
      <c r="A2396" s="49" t="s">
        <v>1439</v>
      </c>
      <c r="B2396" s="49" t="s">
        <v>578</v>
      </c>
      <c r="C2396" s="49" t="s">
        <v>449</v>
      </c>
      <c r="D2396">
        <v>98</v>
      </c>
      <c r="E2396" s="49" t="s">
        <v>378</v>
      </c>
    </row>
    <row r="2397" spans="1:5" x14ac:dyDescent="0.3">
      <c r="A2397" s="49" t="s">
        <v>1439</v>
      </c>
      <c r="B2397" s="49" t="s">
        <v>578</v>
      </c>
      <c r="C2397" s="49" t="s">
        <v>449</v>
      </c>
      <c r="D2397">
        <v>99</v>
      </c>
      <c r="E2397" s="49" t="s">
        <v>378</v>
      </c>
    </row>
    <row r="2398" spans="1:5" x14ac:dyDescent="0.3">
      <c r="A2398" s="49" t="s">
        <v>1440</v>
      </c>
      <c r="B2398" s="49" t="s">
        <v>578</v>
      </c>
      <c r="C2398" s="49" t="s">
        <v>449</v>
      </c>
      <c r="D2398">
        <v>98</v>
      </c>
      <c r="E2398" s="49" t="s">
        <v>378</v>
      </c>
    </row>
    <row r="2399" spans="1:5" x14ac:dyDescent="0.3">
      <c r="A2399" s="49" t="s">
        <v>1440</v>
      </c>
      <c r="B2399" s="49" t="s">
        <v>578</v>
      </c>
      <c r="C2399" s="49" t="s">
        <v>449</v>
      </c>
      <c r="D2399">
        <v>99</v>
      </c>
      <c r="E2399" s="49" t="s">
        <v>378</v>
      </c>
    </row>
    <row r="2400" spans="1:5" x14ac:dyDescent="0.3">
      <c r="A2400" s="49" t="s">
        <v>1441</v>
      </c>
      <c r="B2400" s="49" t="s">
        <v>578</v>
      </c>
      <c r="C2400" s="49" t="s">
        <v>449</v>
      </c>
      <c r="D2400">
        <v>98</v>
      </c>
      <c r="E2400" s="49" t="s">
        <v>378</v>
      </c>
    </row>
    <row r="2401" spans="1:5" x14ac:dyDescent="0.3">
      <c r="A2401" s="49" t="s">
        <v>1441</v>
      </c>
      <c r="B2401" s="49" t="s">
        <v>578</v>
      </c>
      <c r="C2401" s="49" t="s">
        <v>449</v>
      </c>
      <c r="D2401">
        <v>99</v>
      </c>
      <c r="E2401" s="49" t="s">
        <v>378</v>
      </c>
    </row>
    <row r="2402" spans="1:5" x14ac:dyDescent="0.3">
      <c r="A2402" s="49" t="s">
        <v>1442</v>
      </c>
      <c r="B2402" s="49" t="s">
        <v>578</v>
      </c>
      <c r="C2402" s="49" t="s">
        <v>449</v>
      </c>
      <c r="D2402">
        <v>98</v>
      </c>
      <c r="E2402" s="49" t="s">
        <v>378</v>
      </c>
    </row>
    <row r="2403" spans="1:5" x14ac:dyDescent="0.3">
      <c r="A2403" s="49" t="s">
        <v>1442</v>
      </c>
      <c r="B2403" s="49" t="s">
        <v>578</v>
      </c>
      <c r="C2403" s="49" t="s">
        <v>449</v>
      </c>
      <c r="D2403">
        <v>99</v>
      </c>
      <c r="E2403" s="49" t="s">
        <v>378</v>
      </c>
    </row>
    <row r="2404" spans="1:5" x14ac:dyDescent="0.3">
      <c r="A2404" s="49" t="s">
        <v>1443</v>
      </c>
      <c r="B2404" s="49" t="s">
        <v>578</v>
      </c>
      <c r="C2404" s="49" t="s">
        <v>449</v>
      </c>
      <c r="D2404">
        <v>98</v>
      </c>
      <c r="E2404" s="49" t="s">
        <v>378</v>
      </c>
    </row>
    <row r="2405" spans="1:5" x14ac:dyDescent="0.3">
      <c r="A2405" s="49" t="s">
        <v>1443</v>
      </c>
      <c r="B2405" s="49" t="s">
        <v>578</v>
      </c>
      <c r="C2405" s="49" t="s">
        <v>449</v>
      </c>
      <c r="D2405">
        <v>99</v>
      </c>
      <c r="E2405" s="49" t="s">
        <v>378</v>
      </c>
    </row>
    <row r="2406" spans="1:5" x14ac:dyDescent="0.3">
      <c r="A2406" s="49" t="s">
        <v>1444</v>
      </c>
      <c r="B2406" s="49" t="s">
        <v>578</v>
      </c>
      <c r="C2406" s="49" t="s">
        <v>449</v>
      </c>
      <c r="D2406">
        <v>98</v>
      </c>
      <c r="E2406" s="49" t="s">
        <v>378</v>
      </c>
    </row>
    <row r="2407" spans="1:5" x14ac:dyDescent="0.3">
      <c r="A2407" s="49" t="s">
        <v>1444</v>
      </c>
      <c r="B2407" s="49" t="s">
        <v>578</v>
      </c>
      <c r="C2407" s="49" t="s">
        <v>449</v>
      </c>
      <c r="D2407">
        <v>99</v>
      </c>
      <c r="E2407" s="49" t="s">
        <v>378</v>
      </c>
    </row>
    <row r="2408" spans="1:5" x14ac:dyDescent="0.3">
      <c r="A2408" s="49" t="s">
        <v>1445</v>
      </c>
      <c r="B2408" s="49" t="s">
        <v>578</v>
      </c>
      <c r="C2408" s="49" t="s">
        <v>449</v>
      </c>
      <c r="D2408">
        <v>98</v>
      </c>
      <c r="E2408" s="49" t="s">
        <v>378</v>
      </c>
    </row>
    <row r="2409" spans="1:5" x14ac:dyDescent="0.3">
      <c r="A2409" s="49" t="s">
        <v>1445</v>
      </c>
      <c r="B2409" s="49" t="s">
        <v>578</v>
      </c>
      <c r="C2409" s="49" t="s">
        <v>449</v>
      </c>
      <c r="D2409">
        <v>99</v>
      </c>
      <c r="E2409" s="49" t="s">
        <v>378</v>
      </c>
    </row>
    <row r="2410" spans="1:5" x14ac:dyDescent="0.3">
      <c r="A2410" s="49" t="s">
        <v>1446</v>
      </c>
      <c r="B2410" s="49" t="s">
        <v>578</v>
      </c>
      <c r="C2410" s="49" t="s">
        <v>449</v>
      </c>
      <c r="D2410">
        <v>98</v>
      </c>
      <c r="E2410" s="49" t="s">
        <v>378</v>
      </c>
    </row>
    <row r="2411" spans="1:5" x14ac:dyDescent="0.3">
      <c r="A2411" s="49" t="s">
        <v>1446</v>
      </c>
      <c r="B2411" s="49" t="s">
        <v>578</v>
      </c>
      <c r="C2411" s="49" t="s">
        <v>449</v>
      </c>
      <c r="D2411">
        <v>99</v>
      </c>
      <c r="E2411" s="49" t="s">
        <v>378</v>
      </c>
    </row>
    <row r="2412" spans="1:5" x14ac:dyDescent="0.3">
      <c r="A2412" s="49" t="s">
        <v>1447</v>
      </c>
      <c r="B2412" s="49" t="s">
        <v>578</v>
      </c>
      <c r="C2412" s="49" t="s">
        <v>449</v>
      </c>
      <c r="D2412">
        <v>98</v>
      </c>
      <c r="E2412" s="49" t="s">
        <v>378</v>
      </c>
    </row>
    <row r="2413" spans="1:5" x14ac:dyDescent="0.3">
      <c r="A2413" s="49" t="s">
        <v>1447</v>
      </c>
      <c r="B2413" s="49" t="s">
        <v>578</v>
      </c>
      <c r="C2413" s="49" t="s">
        <v>449</v>
      </c>
      <c r="D2413">
        <v>99</v>
      </c>
      <c r="E2413" s="49" t="s">
        <v>378</v>
      </c>
    </row>
    <row r="2414" spans="1:5" x14ac:dyDescent="0.3">
      <c r="A2414" s="49" t="s">
        <v>1448</v>
      </c>
      <c r="B2414" s="49" t="s">
        <v>578</v>
      </c>
      <c r="C2414" s="49" t="s">
        <v>449</v>
      </c>
      <c r="D2414">
        <v>98</v>
      </c>
      <c r="E2414" s="49" t="s">
        <v>378</v>
      </c>
    </row>
    <row r="2415" spans="1:5" x14ac:dyDescent="0.3">
      <c r="A2415" s="49" t="s">
        <v>1448</v>
      </c>
      <c r="B2415" s="49" t="s">
        <v>578</v>
      </c>
      <c r="C2415" s="49" t="s">
        <v>449</v>
      </c>
      <c r="D2415">
        <v>99</v>
      </c>
      <c r="E2415" s="49" t="s">
        <v>378</v>
      </c>
    </row>
    <row r="2416" spans="1:5" x14ac:dyDescent="0.3">
      <c r="A2416" s="49" t="s">
        <v>1449</v>
      </c>
      <c r="B2416" s="49" t="s">
        <v>578</v>
      </c>
      <c r="C2416" s="49" t="s">
        <v>449</v>
      </c>
      <c r="D2416">
        <v>98</v>
      </c>
      <c r="E2416" s="49" t="s">
        <v>378</v>
      </c>
    </row>
    <row r="2417" spans="1:5" x14ac:dyDescent="0.3">
      <c r="A2417" s="49" t="s">
        <v>1449</v>
      </c>
      <c r="B2417" s="49" t="s">
        <v>578</v>
      </c>
      <c r="C2417" s="49" t="s">
        <v>449</v>
      </c>
      <c r="D2417">
        <v>99</v>
      </c>
      <c r="E2417" s="49" t="s">
        <v>378</v>
      </c>
    </row>
    <row r="2418" spans="1:5" x14ac:dyDescent="0.3">
      <c r="A2418" s="49" t="s">
        <v>1450</v>
      </c>
      <c r="B2418" s="49" t="s">
        <v>578</v>
      </c>
      <c r="C2418" s="49" t="s">
        <v>449</v>
      </c>
      <c r="D2418">
        <v>98</v>
      </c>
      <c r="E2418" s="49" t="s">
        <v>378</v>
      </c>
    </row>
    <row r="2419" spans="1:5" x14ac:dyDescent="0.3">
      <c r="A2419" s="49" t="s">
        <v>1450</v>
      </c>
      <c r="B2419" s="49" t="s">
        <v>578</v>
      </c>
      <c r="C2419" s="49" t="s">
        <v>449</v>
      </c>
      <c r="D2419">
        <v>99</v>
      </c>
      <c r="E2419" s="49" t="s">
        <v>378</v>
      </c>
    </row>
    <row r="2420" spans="1:5" x14ac:dyDescent="0.3">
      <c r="A2420" s="49" t="s">
        <v>1451</v>
      </c>
      <c r="B2420" s="49" t="s">
        <v>578</v>
      </c>
      <c r="C2420" s="49" t="s">
        <v>449</v>
      </c>
      <c r="D2420">
        <v>98</v>
      </c>
      <c r="E2420" s="49" t="s">
        <v>378</v>
      </c>
    </row>
    <row r="2421" spans="1:5" x14ac:dyDescent="0.3">
      <c r="A2421" s="49" t="s">
        <v>1451</v>
      </c>
      <c r="B2421" s="49" t="s">
        <v>578</v>
      </c>
      <c r="C2421" s="49" t="s">
        <v>449</v>
      </c>
      <c r="D2421">
        <v>99</v>
      </c>
      <c r="E2421" s="49" t="s">
        <v>378</v>
      </c>
    </row>
    <row r="2422" spans="1:5" x14ac:dyDescent="0.3">
      <c r="A2422" s="49" t="s">
        <v>1452</v>
      </c>
      <c r="B2422" s="49" t="s">
        <v>578</v>
      </c>
      <c r="C2422" s="49" t="s">
        <v>449</v>
      </c>
      <c r="D2422">
        <v>98</v>
      </c>
      <c r="E2422" s="49" t="s">
        <v>378</v>
      </c>
    </row>
    <row r="2423" spans="1:5" x14ac:dyDescent="0.3">
      <c r="A2423" s="49" t="s">
        <v>1452</v>
      </c>
      <c r="B2423" s="49" t="s">
        <v>578</v>
      </c>
      <c r="C2423" s="49" t="s">
        <v>449</v>
      </c>
      <c r="D2423">
        <v>99</v>
      </c>
      <c r="E2423" s="49" t="s">
        <v>378</v>
      </c>
    </row>
    <row r="2424" spans="1:5" x14ac:dyDescent="0.3">
      <c r="A2424" s="49" t="s">
        <v>1453</v>
      </c>
      <c r="B2424" s="49" t="s">
        <v>578</v>
      </c>
      <c r="C2424" s="49" t="s">
        <v>449</v>
      </c>
      <c r="D2424">
        <v>98</v>
      </c>
      <c r="E2424" s="49" t="s">
        <v>378</v>
      </c>
    </row>
    <row r="2425" spans="1:5" x14ac:dyDescent="0.3">
      <c r="A2425" s="49" t="s">
        <v>1453</v>
      </c>
      <c r="B2425" s="49" t="s">
        <v>578</v>
      </c>
      <c r="C2425" s="49" t="s">
        <v>449</v>
      </c>
      <c r="D2425">
        <v>99</v>
      </c>
      <c r="E2425" s="49" t="s">
        <v>378</v>
      </c>
    </row>
    <row r="2426" spans="1:5" x14ac:dyDescent="0.3">
      <c r="A2426" s="49" t="s">
        <v>1454</v>
      </c>
      <c r="B2426" s="49" t="s">
        <v>578</v>
      </c>
      <c r="C2426" s="49" t="s">
        <v>449</v>
      </c>
      <c r="D2426">
        <v>98</v>
      </c>
      <c r="E2426" s="49" t="s">
        <v>378</v>
      </c>
    </row>
    <row r="2427" spans="1:5" x14ac:dyDescent="0.3">
      <c r="A2427" s="49" t="s">
        <v>1454</v>
      </c>
      <c r="B2427" s="49" t="s">
        <v>578</v>
      </c>
      <c r="C2427" s="49" t="s">
        <v>449</v>
      </c>
      <c r="D2427">
        <v>99</v>
      </c>
      <c r="E2427" s="49" t="s">
        <v>378</v>
      </c>
    </row>
    <row r="2428" spans="1:5" x14ac:dyDescent="0.3">
      <c r="A2428" s="49" t="s">
        <v>1455</v>
      </c>
      <c r="B2428" s="49" t="s">
        <v>578</v>
      </c>
      <c r="C2428" s="49" t="s">
        <v>449</v>
      </c>
      <c r="D2428">
        <v>98</v>
      </c>
      <c r="E2428" s="49" t="s">
        <v>378</v>
      </c>
    </row>
    <row r="2429" spans="1:5" x14ac:dyDescent="0.3">
      <c r="A2429" s="49" t="s">
        <v>1455</v>
      </c>
      <c r="B2429" s="49" t="s">
        <v>578</v>
      </c>
      <c r="C2429" s="49" t="s">
        <v>449</v>
      </c>
      <c r="D2429">
        <v>99</v>
      </c>
      <c r="E2429" s="49" t="s">
        <v>378</v>
      </c>
    </row>
    <row r="2430" spans="1:5" x14ac:dyDescent="0.3">
      <c r="A2430" s="49" t="s">
        <v>1456</v>
      </c>
      <c r="B2430" s="49" t="s">
        <v>578</v>
      </c>
      <c r="C2430" s="49" t="s">
        <v>449</v>
      </c>
      <c r="D2430">
        <v>98</v>
      </c>
      <c r="E2430" s="49" t="s">
        <v>378</v>
      </c>
    </row>
    <row r="2431" spans="1:5" x14ac:dyDescent="0.3">
      <c r="A2431" s="49" t="s">
        <v>1456</v>
      </c>
      <c r="B2431" s="49" t="s">
        <v>578</v>
      </c>
      <c r="C2431" s="49" t="s">
        <v>449</v>
      </c>
      <c r="D2431">
        <v>99</v>
      </c>
      <c r="E2431" s="49" t="s">
        <v>378</v>
      </c>
    </row>
    <row r="2432" spans="1:5" x14ac:dyDescent="0.3">
      <c r="A2432" s="49" t="s">
        <v>1457</v>
      </c>
      <c r="B2432" s="49" t="s">
        <v>578</v>
      </c>
      <c r="C2432" s="49" t="s">
        <v>449</v>
      </c>
      <c r="D2432">
        <v>98</v>
      </c>
      <c r="E2432" s="49" t="s">
        <v>378</v>
      </c>
    </row>
    <row r="2433" spans="1:5" x14ac:dyDescent="0.3">
      <c r="A2433" s="49" t="s">
        <v>1457</v>
      </c>
      <c r="B2433" s="49" t="s">
        <v>578</v>
      </c>
      <c r="C2433" s="49" t="s">
        <v>449</v>
      </c>
      <c r="D2433">
        <v>99</v>
      </c>
      <c r="E2433" s="49" t="s">
        <v>378</v>
      </c>
    </row>
    <row r="2434" spans="1:5" x14ac:dyDescent="0.3">
      <c r="A2434" s="49" t="s">
        <v>1458</v>
      </c>
      <c r="B2434" s="49" t="s">
        <v>578</v>
      </c>
      <c r="C2434" s="49" t="s">
        <v>449</v>
      </c>
      <c r="D2434">
        <v>98</v>
      </c>
      <c r="E2434" s="49" t="s">
        <v>378</v>
      </c>
    </row>
    <row r="2435" spans="1:5" x14ac:dyDescent="0.3">
      <c r="A2435" s="49" t="s">
        <v>1458</v>
      </c>
      <c r="B2435" s="49" t="s">
        <v>578</v>
      </c>
      <c r="C2435" s="49" t="s">
        <v>449</v>
      </c>
      <c r="D2435">
        <v>99</v>
      </c>
      <c r="E2435" s="49" t="s">
        <v>378</v>
      </c>
    </row>
    <row r="2436" spans="1:5" x14ac:dyDescent="0.3">
      <c r="A2436" s="49" t="s">
        <v>1459</v>
      </c>
      <c r="B2436" s="49" t="s">
        <v>578</v>
      </c>
      <c r="C2436" s="49" t="s">
        <v>449</v>
      </c>
      <c r="D2436">
        <v>98</v>
      </c>
      <c r="E2436" s="49" t="s">
        <v>378</v>
      </c>
    </row>
    <row r="2437" spans="1:5" x14ac:dyDescent="0.3">
      <c r="A2437" s="49" t="s">
        <v>1459</v>
      </c>
      <c r="B2437" s="49" t="s">
        <v>578</v>
      </c>
      <c r="C2437" s="49" t="s">
        <v>449</v>
      </c>
      <c r="D2437">
        <v>99</v>
      </c>
      <c r="E2437" s="49" t="s">
        <v>378</v>
      </c>
    </row>
    <row r="2438" spans="1:5" x14ac:dyDescent="0.3">
      <c r="A2438" s="49" t="s">
        <v>1460</v>
      </c>
      <c r="B2438" s="49" t="s">
        <v>578</v>
      </c>
      <c r="C2438" s="49" t="s">
        <v>449</v>
      </c>
      <c r="D2438">
        <v>98</v>
      </c>
      <c r="E2438" s="49" t="s">
        <v>378</v>
      </c>
    </row>
    <row r="2439" spans="1:5" x14ac:dyDescent="0.3">
      <c r="A2439" s="49" t="s">
        <v>1460</v>
      </c>
      <c r="B2439" s="49" t="s">
        <v>578</v>
      </c>
      <c r="C2439" s="49" t="s">
        <v>449</v>
      </c>
      <c r="D2439">
        <v>99</v>
      </c>
      <c r="E2439" s="49" t="s">
        <v>378</v>
      </c>
    </row>
    <row r="2440" spans="1:5" x14ac:dyDescent="0.3">
      <c r="A2440" s="49" t="s">
        <v>1461</v>
      </c>
      <c r="B2440" s="49" t="s">
        <v>578</v>
      </c>
      <c r="C2440" s="49" t="s">
        <v>449</v>
      </c>
      <c r="D2440">
        <v>98</v>
      </c>
      <c r="E2440" s="49" t="s">
        <v>378</v>
      </c>
    </row>
    <row r="2441" spans="1:5" x14ac:dyDescent="0.3">
      <c r="A2441" s="49" t="s">
        <v>1461</v>
      </c>
      <c r="B2441" s="49" t="s">
        <v>578</v>
      </c>
      <c r="C2441" s="49" t="s">
        <v>449</v>
      </c>
      <c r="D2441">
        <v>99</v>
      </c>
      <c r="E2441" s="49" t="s">
        <v>378</v>
      </c>
    </row>
    <row r="2442" spans="1:5" x14ac:dyDescent="0.3">
      <c r="A2442" s="49" t="s">
        <v>1462</v>
      </c>
      <c r="B2442" s="49" t="s">
        <v>578</v>
      </c>
      <c r="C2442" s="49" t="s">
        <v>449</v>
      </c>
      <c r="D2442">
        <v>98</v>
      </c>
      <c r="E2442" s="49" t="s">
        <v>378</v>
      </c>
    </row>
    <row r="2443" spans="1:5" x14ac:dyDescent="0.3">
      <c r="A2443" s="49" t="s">
        <v>1462</v>
      </c>
      <c r="B2443" s="49" t="s">
        <v>578</v>
      </c>
      <c r="C2443" s="49" t="s">
        <v>449</v>
      </c>
      <c r="D2443">
        <v>99</v>
      </c>
      <c r="E2443" s="49" t="s">
        <v>378</v>
      </c>
    </row>
    <row r="2444" spans="1:5" x14ac:dyDescent="0.3">
      <c r="A2444" s="49" t="s">
        <v>1463</v>
      </c>
      <c r="B2444" s="49" t="s">
        <v>578</v>
      </c>
      <c r="C2444" s="49" t="s">
        <v>449</v>
      </c>
      <c r="D2444">
        <v>98</v>
      </c>
      <c r="E2444" s="49" t="s">
        <v>378</v>
      </c>
    </row>
    <row r="2445" spans="1:5" x14ac:dyDescent="0.3">
      <c r="A2445" s="49" t="s">
        <v>1463</v>
      </c>
      <c r="B2445" s="49" t="s">
        <v>578</v>
      </c>
      <c r="C2445" s="49" t="s">
        <v>449</v>
      </c>
      <c r="D2445">
        <v>99</v>
      </c>
      <c r="E2445" s="49" t="s">
        <v>378</v>
      </c>
    </row>
    <row r="2446" spans="1:5" x14ac:dyDescent="0.3">
      <c r="A2446" s="49" t="s">
        <v>1464</v>
      </c>
      <c r="B2446" s="49" t="s">
        <v>578</v>
      </c>
      <c r="C2446" s="49" t="s">
        <v>449</v>
      </c>
      <c r="D2446">
        <v>98</v>
      </c>
      <c r="E2446" s="49" t="s">
        <v>378</v>
      </c>
    </row>
    <row r="2447" spans="1:5" x14ac:dyDescent="0.3">
      <c r="A2447" s="49" t="s">
        <v>1464</v>
      </c>
      <c r="B2447" s="49" t="s">
        <v>578</v>
      </c>
      <c r="C2447" s="49" t="s">
        <v>449</v>
      </c>
      <c r="D2447">
        <v>99</v>
      </c>
      <c r="E2447" s="49" t="s">
        <v>378</v>
      </c>
    </row>
    <row r="2448" spans="1:5" x14ac:dyDescent="0.3">
      <c r="A2448" s="49" t="s">
        <v>1465</v>
      </c>
      <c r="B2448" s="49" t="s">
        <v>578</v>
      </c>
      <c r="C2448" s="49" t="s">
        <v>449</v>
      </c>
      <c r="D2448">
        <v>98</v>
      </c>
      <c r="E2448" s="49" t="s">
        <v>378</v>
      </c>
    </row>
    <row r="2449" spans="1:5" x14ac:dyDescent="0.3">
      <c r="A2449" s="49" t="s">
        <v>1465</v>
      </c>
      <c r="B2449" s="49" t="s">
        <v>578</v>
      </c>
      <c r="C2449" s="49" t="s">
        <v>449</v>
      </c>
      <c r="D2449">
        <v>99</v>
      </c>
      <c r="E2449" s="49" t="s">
        <v>378</v>
      </c>
    </row>
    <row r="2450" spans="1:5" x14ac:dyDescent="0.3">
      <c r="A2450" s="49" t="s">
        <v>1466</v>
      </c>
      <c r="B2450" s="49" t="s">
        <v>578</v>
      </c>
      <c r="C2450" s="49" t="s">
        <v>449</v>
      </c>
      <c r="D2450">
        <v>98</v>
      </c>
      <c r="E2450" s="49" t="s">
        <v>378</v>
      </c>
    </row>
    <row r="2451" spans="1:5" x14ac:dyDescent="0.3">
      <c r="A2451" s="49" t="s">
        <v>1466</v>
      </c>
      <c r="B2451" s="49" t="s">
        <v>578</v>
      </c>
      <c r="C2451" s="49" t="s">
        <v>449</v>
      </c>
      <c r="D2451">
        <v>99</v>
      </c>
      <c r="E2451" s="49" t="s">
        <v>378</v>
      </c>
    </row>
    <row r="2452" spans="1:5" x14ac:dyDescent="0.3">
      <c r="A2452" s="49" t="s">
        <v>1467</v>
      </c>
      <c r="B2452" s="49" t="s">
        <v>578</v>
      </c>
      <c r="C2452" s="49" t="s">
        <v>449</v>
      </c>
      <c r="D2452">
        <v>98</v>
      </c>
      <c r="E2452" s="49" t="s">
        <v>378</v>
      </c>
    </row>
    <row r="2453" spans="1:5" x14ac:dyDescent="0.3">
      <c r="A2453" s="49" t="s">
        <v>1467</v>
      </c>
      <c r="B2453" s="49" t="s">
        <v>578</v>
      </c>
      <c r="C2453" s="49" t="s">
        <v>449</v>
      </c>
      <c r="D2453">
        <v>99</v>
      </c>
      <c r="E2453" s="49" t="s">
        <v>378</v>
      </c>
    </row>
    <row r="2454" spans="1:5" x14ac:dyDescent="0.3">
      <c r="A2454" s="49" t="s">
        <v>1468</v>
      </c>
      <c r="B2454" s="49" t="s">
        <v>578</v>
      </c>
      <c r="C2454" s="49" t="s">
        <v>449</v>
      </c>
      <c r="D2454">
        <v>98</v>
      </c>
      <c r="E2454" s="49" t="s">
        <v>378</v>
      </c>
    </row>
    <row r="2455" spans="1:5" x14ac:dyDescent="0.3">
      <c r="A2455" s="49" t="s">
        <v>1468</v>
      </c>
      <c r="B2455" s="49" t="s">
        <v>578</v>
      </c>
      <c r="C2455" s="49" t="s">
        <v>449</v>
      </c>
      <c r="D2455">
        <v>99</v>
      </c>
      <c r="E2455" s="49" t="s">
        <v>378</v>
      </c>
    </row>
    <row r="2456" spans="1:5" x14ac:dyDescent="0.3">
      <c r="A2456" s="49" t="s">
        <v>1469</v>
      </c>
      <c r="B2456" s="49" t="s">
        <v>578</v>
      </c>
      <c r="C2456" s="49" t="s">
        <v>449</v>
      </c>
      <c r="D2456">
        <v>98</v>
      </c>
      <c r="E2456" s="49" t="s">
        <v>378</v>
      </c>
    </row>
    <row r="2457" spans="1:5" x14ac:dyDescent="0.3">
      <c r="A2457" s="49" t="s">
        <v>1469</v>
      </c>
      <c r="B2457" s="49" t="s">
        <v>578</v>
      </c>
      <c r="C2457" s="49" t="s">
        <v>449</v>
      </c>
      <c r="D2457">
        <v>99</v>
      </c>
      <c r="E2457" s="49" t="s">
        <v>378</v>
      </c>
    </row>
    <row r="2458" spans="1:5" x14ac:dyDescent="0.3">
      <c r="A2458" s="49" t="s">
        <v>1470</v>
      </c>
      <c r="B2458" s="49" t="s">
        <v>578</v>
      </c>
      <c r="C2458" s="49" t="s">
        <v>449</v>
      </c>
      <c r="D2458">
        <v>98</v>
      </c>
      <c r="E2458" s="49" t="s">
        <v>378</v>
      </c>
    </row>
    <row r="2459" spans="1:5" x14ac:dyDescent="0.3">
      <c r="A2459" s="49" t="s">
        <v>1470</v>
      </c>
      <c r="B2459" s="49" t="s">
        <v>578</v>
      </c>
      <c r="C2459" s="49" t="s">
        <v>449</v>
      </c>
      <c r="D2459">
        <v>99</v>
      </c>
      <c r="E2459" s="49" t="s">
        <v>378</v>
      </c>
    </row>
    <row r="2460" spans="1:5" x14ac:dyDescent="0.3">
      <c r="A2460" s="49" t="s">
        <v>1471</v>
      </c>
      <c r="B2460" s="49" t="s">
        <v>578</v>
      </c>
      <c r="C2460" s="49" t="s">
        <v>449</v>
      </c>
      <c r="D2460">
        <v>98</v>
      </c>
      <c r="E2460" s="49" t="s">
        <v>378</v>
      </c>
    </row>
    <row r="2461" spans="1:5" x14ac:dyDescent="0.3">
      <c r="A2461" s="49" t="s">
        <v>1471</v>
      </c>
      <c r="B2461" s="49" t="s">
        <v>578</v>
      </c>
      <c r="C2461" s="49" t="s">
        <v>449</v>
      </c>
      <c r="D2461">
        <v>99</v>
      </c>
      <c r="E2461" s="49" t="s">
        <v>378</v>
      </c>
    </row>
    <row r="2462" spans="1:5" x14ac:dyDescent="0.3">
      <c r="A2462" s="49" t="s">
        <v>1472</v>
      </c>
      <c r="B2462" s="49" t="s">
        <v>578</v>
      </c>
      <c r="C2462" s="49" t="s">
        <v>449</v>
      </c>
      <c r="D2462">
        <v>98</v>
      </c>
      <c r="E2462" s="49" t="s">
        <v>378</v>
      </c>
    </row>
    <row r="2463" spans="1:5" x14ac:dyDescent="0.3">
      <c r="A2463" s="49" t="s">
        <v>1472</v>
      </c>
      <c r="B2463" s="49" t="s">
        <v>578</v>
      </c>
      <c r="C2463" s="49" t="s">
        <v>449</v>
      </c>
      <c r="D2463">
        <v>99</v>
      </c>
      <c r="E2463" s="49" t="s">
        <v>378</v>
      </c>
    </row>
    <row r="2464" spans="1:5" x14ac:dyDescent="0.3">
      <c r="A2464" s="49" t="s">
        <v>1473</v>
      </c>
      <c r="B2464" s="49" t="s">
        <v>578</v>
      </c>
      <c r="C2464" s="49" t="s">
        <v>449</v>
      </c>
      <c r="D2464">
        <v>98</v>
      </c>
      <c r="E2464" s="49" t="s">
        <v>378</v>
      </c>
    </row>
    <row r="2465" spans="1:5" x14ac:dyDescent="0.3">
      <c r="A2465" s="49" t="s">
        <v>1473</v>
      </c>
      <c r="B2465" s="49" t="s">
        <v>578</v>
      </c>
      <c r="C2465" s="49" t="s">
        <v>449</v>
      </c>
      <c r="D2465">
        <v>99</v>
      </c>
      <c r="E2465" s="49" t="s">
        <v>378</v>
      </c>
    </row>
    <row r="2466" spans="1:5" x14ac:dyDescent="0.3">
      <c r="A2466" s="49" t="s">
        <v>1474</v>
      </c>
      <c r="B2466" s="49" t="s">
        <v>578</v>
      </c>
      <c r="C2466" s="49" t="s">
        <v>449</v>
      </c>
      <c r="D2466">
        <v>98</v>
      </c>
      <c r="E2466" s="49" t="s">
        <v>378</v>
      </c>
    </row>
    <row r="2467" spans="1:5" x14ac:dyDescent="0.3">
      <c r="A2467" s="49" t="s">
        <v>1474</v>
      </c>
      <c r="B2467" s="49" t="s">
        <v>578</v>
      </c>
      <c r="C2467" s="49" t="s">
        <v>449</v>
      </c>
      <c r="D2467">
        <v>99</v>
      </c>
      <c r="E2467" s="49" t="s">
        <v>378</v>
      </c>
    </row>
    <row r="2468" spans="1:5" x14ac:dyDescent="0.3">
      <c r="A2468" s="49" t="s">
        <v>1475</v>
      </c>
      <c r="B2468" s="49" t="s">
        <v>578</v>
      </c>
      <c r="C2468" s="49" t="s">
        <v>449</v>
      </c>
      <c r="D2468">
        <v>98</v>
      </c>
      <c r="E2468" s="49" t="s">
        <v>378</v>
      </c>
    </row>
    <row r="2469" spans="1:5" x14ac:dyDescent="0.3">
      <c r="A2469" s="49" t="s">
        <v>1475</v>
      </c>
      <c r="B2469" s="49" t="s">
        <v>578</v>
      </c>
      <c r="C2469" s="49" t="s">
        <v>449</v>
      </c>
      <c r="D2469">
        <v>99</v>
      </c>
      <c r="E2469" s="49" t="s">
        <v>378</v>
      </c>
    </row>
    <row r="2470" spans="1:5" x14ac:dyDescent="0.3">
      <c r="A2470" s="49" t="s">
        <v>1476</v>
      </c>
      <c r="B2470" s="49" t="s">
        <v>578</v>
      </c>
      <c r="C2470" s="49" t="s">
        <v>449</v>
      </c>
      <c r="D2470">
        <v>98</v>
      </c>
      <c r="E2470" s="49" t="s">
        <v>378</v>
      </c>
    </row>
    <row r="2471" spans="1:5" x14ac:dyDescent="0.3">
      <c r="A2471" s="49" t="s">
        <v>1476</v>
      </c>
      <c r="B2471" s="49" t="s">
        <v>578</v>
      </c>
      <c r="C2471" s="49" t="s">
        <v>449</v>
      </c>
      <c r="D2471">
        <v>99</v>
      </c>
      <c r="E2471" s="49" t="s">
        <v>378</v>
      </c>
    </row>
    <row r="2472" spans="1:5" x14ac:dyDescent="0.3">
      <c r="A2472" s="49" t="s">
        <v>1477</v>
      </c>
      <c r="B2472" s="49" t="s">
        <v>578</v>
      </c>
      <c r="C2472" s="49" t="s">
        <v>449</v>
      </c>
      <c r="D2472">
        <v>98</v>
      </c>
      <c r="E2472" s="49" t="s">
        <v>378</v>
      </c>
    </row>
    <row r="2473" spans="1:5" x14ac:dyDescent="0.3">
      <c r="A2473" s="49" t="s">
        <v>1477</v>
      </c>
      <c r="B2473" s="49" t="s">
        <v>578</v>
      </c>
      <c r="C2473" s="49" t="s">
        <v>449</v>
      </c>
      <c r="D2473">
        <v>99</v>
      </c>
      <c r="E2473" s="49" t="s">
        <v>378</v>
      </c>
    </row>
    <row r="2474" spans="1:5" x14ac:dyDescent="0.3">
      <c r="A2474" s="49" t="s">
        <v>1478</v>
      </c>
      <c r="B2474" s="49" t="s">
        <v>578</v>
      </c>
      <c r="C2474" s="49" t="s">
        <v>449</v>
      </c>
      <c r="D2474">
        <v>98</v>
      </c>
      <c r="E2474" s="49" t="s">
        <v>378</v>
      </c>
    </row>
    <row r="2475" spans="1:5" x14ac:dyDescent="0.3">
      <c r="A2475" s="49" t="s">
        <v>1478</v>
      </c>
      <c r="B2475" s="49" t="s">
        <v>578</v>
      </c>
      <c r="C2475" s="49" t="s">
        <v>449</v>
      </c>
      <c r="D2475">
        <v>99</v>
      </c>
      <c r="E2475" s="49" t="s">
        <v>378</v>
      </c>
    </row>
    <row r="2476" spans="1:5" x14ac:dyDescent="0.3">
      <c r="A2476" s="49" t="s">
        <v>1479</v>
      </c>
      <c r="B2476" s="49" t="s">
        <v>578</v>
      </c>
      <c r="C2476" s="49" t="s">
        <v>449</v>
      </c>
      <c r="D2476">
        <v>98</v>
      </c>
      <c r="E2476" s="49" t="s">
        <v>378</v>
      </c>
    </row>
    <row r="2477" spans="1:5" x14ac:dyDescent="0.3">
      <c r="A2477" s="49" t="s">
        <v>1479</v>
      </c>
      <c r="B2477" s="49" t="s">
        <v>578</v>
      </c>
      <c r="C2477" s="49" t="s">
        <v>449</v>
      </c>
      <c r="D2477">
        <v>99</v>
      </c>
      <c r="E2477" s="49" t="s">
        <v>378</v>
      </c>
    </row>
    <row r="2478" spans="1:5" x14ac:dyDescent="0.3">
      <c r="A2478" s="49" t="s">
        <v>1480</v>
      </c>
      <c r="B2478" s="49" t="s">
        <v>578</v>
      </c>
      <c r="C2478" s="49" t="s">
        <v>449</v>
      </c>
      <c r="D2478">
        <v>98</v>
      </c>
      <c r="E2478" s="49" t="s">
        <v>378</v>
      </c>
    </row>
    <row r="2479" spans="1:5" x14ac:dyDescent="0.3">
      <c r="A2479" s="49" t="s">
        <v>1480</v>
      </c>
      <c r="B2479" s="49" t="s">
        <v>578</v>
      </c>
      <c r="C2479" s="49" t="s">
        <v>449</v>
      </c>
      <c r="D2479">
        <v>99</v>
      </c>
      <c r="E2479" s="49" t="s">
        <v>378</v>
      </c>
    </row>
    <row r="2480" spans="1:5" x14ac:dyDescent="0.3">
      <c r="A2480" s="49" t="s">
        <v>1481</v>
      </c>
      <c r="B2480" s="49" t="s">
        <v>578</v>
      </c>
      <c r="C2480" s="49" t="s">
        <v>449</v>
      </c>
      <c r="D2480">
        <v>98</v>
      </c>
      <c r="E2480" s="49" t="s">
        <v>378</v>
      </c>
    </row>
    <row r="2481" spans="1:5" x14ac:dyDescent="0.3">
      <c r="A2481" s="49" t="s">
        <v>1481</v>
      </c>
      <c r="B2481" s="49" t="s">
        <v>578</v>
      </c>
      <c r="C2481" s="49" t="s">
        <v>449</v>
      </c>
      <c r="D2481">
        <v>99</v>
      </c>
      <c r="E2481" s="49" t="s">
        <v>378</v>
      </c>
    </row>
    <row r="2482" spans="1:5" x14ac:dyDescent="0.3">
      <c r="A2482" s="49" t="s">
        <v>1482</v>
      </c>
      <c r="B2482" s="49" t="s">
        <v>578</v>
      </c>
      <c r="C2482" s="49" t="s">
        <v>449</v>
      </c>
      <c r="D2482">
        <v>98</v>
      </c>
      <c r="E2482" s="49" t="s">
        <v>378</v>
      </c>
    </row>
    <row r="2483" spans="1:5" x14ac:dyDescent="0.3">
      <c r="A2483" s="49" t="s">
        <v>1482</v>
      </c>
      <c r="B2483" s="49" t="s">
        <v>578</v>
      </c>
      <c r="C2483" s="49" t="s">
        <v>449</v>
      </c>
      <c r="D2483">
        <v>99</v>
      </c>
      <c r="E2483" s="49" t="s">
        <v>378</v>
      </c>
    </row>
    <row r="2484" spans="1:5" x14ac:dyDescent="0.3">
      <c r="A2484" s="49" t="s">
        <v>1483</v>
      </c>
      <c r="B2484" s="49" t="s">
        <v>578</v>
      </c>
      <c r="C2484" s="49" t="s">
        <v>449</v>
      </c>
      <c r="D2484">
        <v>98</v>
      </c>
      <c r="E2484" s="49" t="s">
        <v>378</v>
      </c>
    </row>
    <row r="2485" spans="1:5" x14ac:dyDescent="0.3">
      <c r="A2485" s="49" t="s">
        <v>1483</v>
      </c>
      <c r="B2485" s="49" t="s">
        <v>578</v>
      </c>
      <c r="C2485" s="49" t="s">
        <v>449</v>
      </c>
      <c r="D2485">
        <v>99</v>
      </c>
      <c r="E2485" s="49" t="s">
        <v>378</v>
      </c>
    </row>
    <row r="2486" spans="1:5" x14ac:dyDescent="0.3">
      <c r="A2486" s="49" t="s">
        <v>1484</v>
      </c>
      <c r="B2486" s="49" t="s">
        <v>578</v>
      </c>
      <c r="C2486" s="49" t="s">
        <v>449</v>
      </c>
      <c r="D2486">
        <v>98</v>
      </c>
      <c r="E2486" s="49" t="s">
        <v>378</v>
      </c>
    </row>
    <row r="2487" spans="1:5" x14ac:dyDescent="0.3">
      <c r="A2487" s="49" t="s">
        <v>1484</v>
      </c>
      <c r="B2487" s="49" t="s">
        <v>578</v>
      </c>
      <c r="C2487" s="49" t="s">
        <v>449</v>
      </c>
      <c r="D2487">
        <v>99</v>
      </c>
      <c r="E2487" s="49" t="s">
        <v>378</v>
      </c>
    </row>
    <row r="2488" spans="1:5" x14ac:dyDescent="0.3">
      <c r="A2488" s="49" t="s">
        <v>1485</v>
      </c>
      <c r="B2488" s="49" t="s">
        <v>578</v>
      </c>
      <c r="C2488" s="49" t="s">
        <v>449</v>
      </c>
      <c r="D2488">
        <v>98</v>
      </c>
      <c r="E2488" s="49" t="s">
        <v>378</v>
      </c>
    </row>
    <row r="2489" spans="1:5" x14ac:dyDescent="0.3">
      <c r="A2489" s="49" t="s">
        <v>1485</v>
      </c>
      <c r="B2489" s="49" t="s">
        <v>578</v>
      </c>
      <c r="C2489" s="49" t="s">
        <v>449</v>
      </c>
      <c r="D2489">
        <v>99</v>
      </c>
      <c r="E2489" s="49" t="s">
        <v>378</v>
      </c>
    </row>
    <row r="2490" spans="1:5" x14ac:dyDescent="0.3">
      <c r="A2490" s="49" t="s">
        <v>1486</v>
      </c>
      <c r="B2490" s="49" t="s">
        <v>578</v>
      </c>
      <c r="C2490" s="49" t="s">
        <v>449</v>
      </c>
      <c r="D2490">
        <v>98</v>
      </c>
      <c r="E2490" s="49" t="s">
        <v>378</v>
      </c>
    </row>
    <row r="2491" spans="1:5" x14ac:dyDescent="0.3">
      <c r="A2491" s="49" t="s">
        <v>1486</v>
      </c>
      <c r="B2491" s="49" t="s">
        <v>578</v>
      </c>
      <c r="C2491" s="49" t="s">
        <v>449</v>
      </c>
      <c r="D2491">
        <v>99</v>
      </c>
      <c r="E2491" s="49" t="s">
        <v>378</v>
      </c>
    </row>
    <row r="2492" spans="1:5" x14ac:dyDescent="0.3">
      <c r="A2492" s="49" t="s">
        <v>1487</v>
      </c>
      <c r="B2492" s="49" t="s">
        <v>578</v>
      </c>
      <c r="C2492" s="49" t="s">
        <v>449</v>
      </c>
      <c r="D2492">
        <v>98</v>
      </c>
      <c r="E2492" s="49" t="s">
        <v>378</v>
      </c>
    </row>
    <row r="2493" spans="1:5" x14ac:dyDescent="0.3">
      <c r="A2493" s="49" t="s">
        <v>1487</v>
      </c>
      <c r="B2493" s="49" t="s">
        <v>578</v>
      </c>
      <c r="C2493" s="49" t="s">
        <v>449</v>
      </c>
      <c r="D2493">
        <v>99</v>
      </c>
      <c r="E2493" s="49" t="s">
        <v>378</v>
      </c>
    </row>
    <row r="2494" spans="1:5" x14ac:dyDescent="0.3">
      <c r="A2494" s="49" t="s">
        <v>1488</v>
      </c>
      <c r="B2494" s="49" t="s">
        <v>578</v>
      </c>
      <c r="C2494" s="49" t="s">
        <v>449</v>
      </c>
      <c r="D2494">
        <v>98</v>
      </c>
      <c r="E2494" s="49" t="s">
        <v>378</v>
      </c>
    </row>
    <row r="2495" spans="1:5" x14ac:dyDescent="0.3">
      <c r="A2495" s="49" t="s">
        <v>1488</v>
      </c>
      <c r="B2495" s="49" t="s">
        <v>578</v>
      </c>
      <c r="C2495" s="49" t="s">
        <v>449</v>
      </c>
      <c r="D2495">
        <v>99</v>
      </c>
      <c r="E2495" s="49" t="s">
        <v>378</v>
      </c>
    </row>
    <row r="2496" spans="1:5" x14ac:dyDescent="0.3">
      <c r="A2496" s="49" t="s">
        <v>1489</v>
      </c>
      <c r="B2496" s="49" t="s">
        <v>578</v>
      </c>
      <c r="C2496" s="49" t="s">
        <v>449</v>
      </c>
      <c r="D2496">
        <v>98</v>
      </c>
      <c r="E2496" s="49" t="s">
        <v>378</v>
      </c>
    </row>
    <row r="2497" spans="1:5" x14ac:dyDescent="0.3">
      <c r="A2497" s="49" t="s">
        <v>1489</v>
      </c>
      <c r="B2497" s="49" t="s">
        <v>578</v>
      </c>
      <c r="C2497" s="49" t="s">
        <v>449</v>
      </c>
      <c r="D2497">
        <v>99</v>
      </c>
      <c r="E2497" s="49" t="s">
        <v>378</v>
      </c>
    </row>
    <row r="2498" spans="1:5" x14ac:dyDescent="0.3">
      <c r="A2498" s="49" t="s">
        <v>1490</v>
      </c>
      <c r="B2498" s="49" t="s">
        <v>578</v>
      </c>
      <c r="C2498" s="49" t="s">
        <v>449</v>
      </c>
      <c r="D2498">
        <v>98</v>
      </c>
      <c r="E2498" s="49" t="s">
        <v>378</v>
      </c>
    </row>
    <row r="2499" spans="1:5" x14ac:dyDescent="0.3">
      <c r="A2499" s="49" t="s">
        <v>1490</v>
      </c>
      <c r="B2499" s="49" t="s">
        <v>578</v>
      </c>
      <c r="C2499" s="49" t="s">
        <v>449</v>
      </c>
      <c r="D2499">
        <v>99</v>
      </c>
      <c r="E2499" s="49" t="s">
        <v>378</v>
      </c>
    </row>
    <row r="2500" spans="1:5" x14ac:dyDescent="0.3">
      <c r="A2500" s="49" t="s">
        <v>1491</v>
      </c>
      <c r="B2500" s="49" t="s">
        <v>578</v>
      </c>
      <c r="C2500" s="49" t="s">
        <v>449</v>
      </c>
      <c r="D2500">
        <v>98</v>
      </c>
      <c r="E2500" s="49" t="s">
        <v>378</v>
      </c>
    </row>
    <row r="2501" spans="1:5" x14ac:dyDescent="0.3">
      <c r="A2501" s="49" t="s">
        <v>1491</v>
      </c>
      <c r="B2501" s="49" t="s">
        <v>578</v>
      </c>
      <c r="C2501" s="49" t="s">
        <v>449</v>
      </c>
      <c r="D2501">
        <v>99</v>
      </c>
      <c r="E2501" s="49" t="s">
        <v>378</v>
      </c>
    </row>
    <row r="2502" spans="1:5" x14ac:dyDescent="0.3">
      <c r="A2502" s="49" t="s">
        <v>1492</v>
      </c>
      <c r="B2502" s="49" t="s">
        <v>578</v>
      </c>
      <c r="C2502" s="49" t="s">
        <v>449</v>
      </c>
      <c r="D2502">
        <v>98</v>
      </c>
      <c r="E2502" s="49" t="s">
        <v>378</v>
      </c>
    </row>
    <row r="2503" spans="1:5" x14ac:dyDescent="0.3">
      <c r="A2503" s="49" t="s">
        <v>1492</v>
      </c>
      <c r="B2503" s="49" t="s">
        <v>578</v>
      </c>
      <c r="C2503" s="49" t="s">
        <v>449</v>
      </c>
      <c r="D2503">
        <v>99</v>
      </c>
      <c r="E2503" s="49" t="s">
        <v>378</v>
      </c>
    </row>
    <row r="2504" spans="1:5" x14ac:dyDescent="0.3">
      <c r="A2504" s="49" t="s">
        <v>1493</v>
      </c>
      <c r="B2504" s="49" t="s">
        <v>578</v>
      </c>
      <c r="C2504" s="49" t="s">
        <v>449</v>
      </c>
      <c r="D2504">
        <v>98</v>
      </c>
      <c r="E2504" s="49" t="s">
        <v>378</v>
      </c>
    </row>
    <row r="2505" spans="1:5" x14ac:dyDescent="0.3">
      <c r="A2505" s="49" t="s">
        <v>1493</v>
      </c>
      <c r="B2505" s="49" t="s">
        <v>578</v>
      </c>
      <c r="C2505" s="49" t="s">
        <v>449</v>
      </c>
      <c r="D2505">
        <v>99</v>
      </c>
      <c r="E2505" s="49" t="s">
        <v>378</v>
      </c>
    </row>
    <row r="2506" spans="1:5" x14ac:dyDescent="0.3">
      <c r="A2506" s="49" t="s">
        <v>1494</v>
      </c>
      <c r="B2506" s="49" t="s">
        <v>578</v>
      </c>
      <c r="C2506" s="49" t="s">
        <v>449</v>
      </c>
      <c r="D2506">
        <v>98</v>
      </c>
      <c r="E2506" s="49" t="s">
        <v>378</v>
      </c>
    </row>
    <row r="2507" spans="1:5" x14ac:dyDescent="0.3">
      <c r="A2507" s="49" t="s">
        <v>1494</v>
      </c>
      <c r="B2507" s="49" t="s">
        <v>578</v>
      </c>
      <c r="C2507" s="49" t="s">
        <v>449</v>
      </c>
      <c r="D2507">
        <v>99</v>
      </c>
      <c r="E2507" s="49" t="s">
        <v>378</v>
      </c>
    </row>
    <row r="2508" spans="1:5" x14ac:dyDescent="0.3">
      <c r="A2508" s="49" t="s">
        <v>1495</v>
      </c>
      <c r="B2508" s="49" t="s">
        <v>578</v>
      </c>
      <c r="C2508" s="49" t="s">
        <v>449</v>
      </c>
      <c r="D2508">
        <v>98</v>
      </c>
      <c r="E2508" s="49" t="s">
        <v>378</v>
      </c>
    </row>
    <row r="2509" spans="1:5" x14ac:dyDescent="0.3">
      <c r="A2509" s="49" t="s">
        <v>1495</v>
      </c>
      <c r="B2509" s="49" t="s">
        <v>578</v>
      </c>
      <c r="C2509" s="49" t="s">
        <v>449</v>
      </c>
      <c r="D2509">
        <v>99</v>
      </c>
      <c r="E2509" s="49" t="s">
        <v>378</v>
      </c>
    </row>
    <row r="2510" spans="1:5" x14ac:dyDescent="0.3">
      <c r="A2510" s="49" t="s">
        <v>1496</v>
      </c>
      <c r="B2510" s="49" t="s">
        <v>578</v>
      </c>
      <c r="C2510" s="49" t="s">
        <v>449</v>
      </c>
      <c r="D2510">
        <v>98</v>
      </c>
      <c r="E2510" s="49" t="s">
        <v>378</v>
      </c>
    </row>
    <row r="2511" spans="1:5" x14ac:dyDescent="0.3">
      <c r="A2511" s="49" t="s">
        <v>1496</v>
      </c>
      <c r="B2511" s="49" t="s">
        <v>578</v>
      </c>
      <c r="C2511" s="49" t="s">
        <v>449</v>
      </c>
      <c r="D2511">
        <v>99</v>
      </c>
      <c r="E2511" s="49" t="s">
        <v>378</v>
      </c>
    </row>
    <row r="2512" spans="1:5" x14ac:dyDescent="0.3">
      <c r="A2512" s="49" t="s">
        <v>1497</v>
      </c>
      <c r="B2512" s="49" t="s">
        <v>578</v>
      </c>
      <c r="C2512" s="49" t="s">
        <v>449</v>
      </c>
      <c r="D2512">
        <v>98</v>
      </c>
      <c r="E2512" s="49" t="s">
        <v>378</v>
      </c>
    </row>
    <row r="2513" spans="1:5" x14ac:dyDescent="0.3">
      <c r="A2513" s="49" t="s">
        <v>1497</v>
      </c>
      <c r="B2513" s="49" t="s">
        <v>578</v>
      </c>
      <c r="C2513" s="49" t="s">
        <v>449</v>
      </c>
      <c r="D2513">
        <v>99</v>
      </c>
      <c r="E2513" s="49" t="s">
        <v>378</v>
      </c>
    </row>
    <row r="2514" spans="1:5" x14ac:dyDescent="0.3">
      <c r="A2514" s="49" t="s">
        <v>1498</v>
      </c>
      <c r="B2514" s="49" t="s">
        <v>578</v>
      </c>
      <c r="C2514" s="49" t="s">
        <v>449</v>
      </c>
      <c r="D2514">
        <v>98</v>
      </c>
      <c r="E2514" s="49" t="s">
        <v>378</v>
      </c>
    </row>
    <row r="2515" spans="1:5" x14ac:dyDescent="0.3">
      <c r="A2515" s="49" t="s">
        <v>1498</v>
      </c>
      <c r="B2515" s="49" t="s">
        <v>578</v>
      </c>
      <c r="C2515" s="49" t="s">
        <v>449</v>
      </c>
      <c r="D2515">
        <v>99</v>
      </c>
      <c r="E2515" s="49" t="s">
        <v>378</v>
      </c>
    </row>
    <row r="2516" spans="1:5" x14ac:dyDescent="0.3">
      <c r="A2516" s="49" t="s">
        <v>1499</v>
      </c>
      <c r="B2516" s="49" t="s">
        <v>578</v>
      </c>
      <c r="C2516" s="49" t="s">
        <v>449</v>
      </c>
      <c r="D2516">
        <v>98</v>
      </c>
      <c r="E2516" s="49" t="s">
        <v>378</v>
      </c>
    </row>
    <row r="2517" spans="1:5" x14ac:dyDescent="0.3">
      <c r="A2517" s="49" t="s">
        <v>1499</v>
      </c>
      <c r="B2517" s="49" t="s">
        <v>578</v>
      </c>
      <c r="C2517" s="49" t="s">
        <v>449</v>
      </c>
      <c r="D2517">
        <v>99</v>
      </c>
      <c r="E2517" s="49" t="s">
        <v>378</v>
      </c>
    </row>
    <row r="2518" spans="1:5" x14ac:dyDescent="0.3">
      <c r="A2518" s="49" t="s">
        <v>1500</v>
      </c>
      <c r="B2518" s="49" t="s">
        <v>578</v>
      </c>
      <c r="C2518" s="49" t="s">
        <v>449</v>
      </c>
      <c r="D2518">
        <v>98</v>
      </c>
      <c r="E2518" s="49" t="s">
        <v>378</v>
      </c>
    </row>
    <row r="2519" spans="1:5" x14ac:dyDescent="0.3">
      <c r="A2519" s="49" t="s">
        <v>1500</v>
      </c>
      <c r="B2519" s="49" t="s">
        <v>578</v>
      </c>
      <c r="C2519" s="49" t="s">
        <v>449</v>
      </c>
      <c r="D2519">
        <v>99</v>
      </c>
      <c r="E2519" s="49" t="s">
        <v>378</v>
      </c>
    </row>
    <row r="2520" spans="1:5" x14ac:dyDescent="0.3">
      <c r="A2520" s="49" t="s">
        <v>1501</v>
      </c>
      <c r="B2520" s="49" t="s">
        <v>578</v>
      </c>
      <c r="C2520" s="49" t="s">
        <v>449</v>
      </c>
      <c r="D2520">
        <v>98</v>
      </c>
      <c r="E2520" s="49" t="s">
        <v>378</v>
      </c>
    </row>
    <row r="2521" spans="1:5" x14ac:dyDescent="0.3">
      <c r="A2521" s="49" t="s">
        <v>1501</v>
      </c>
      <c r="B2521" s="49" t="s">
        <v>578</v>
      </c>
      <c r="C2521" s="49" t="s">
        <v>449</v>
      </c>
      <c r="D2521">
        <v>99</v>
      </c>
      <c r="E2521" s="49" t="s">
        <v>378</v>
      </c>
    </row>
    <row r="2522" spans="1:5" x14ac:dyDescent="0.3">
      <c r="A2522" s="49" t="s">
        <v>1502</v>
      </c>
      <c r="B2522" s="49" t="s">
        <v>578</v>
      </c>
      <c r="C2522" s="49" t="s">
        <v>449</v>
      </c>
      <c r="D2522">
        <v>98</v>
      </c>
      <c r="E2522" s="49" t="s">
        <v>378</v>
      </c>
    </row>
    <row r="2523" spans="1:5" x14ac:dyDescent="0.3">
      <c r="A2523" s="49" t="s">
        <v>1502</v>
      </c>
      <c r="B2523" s="49" t="s">
        <v>578</v>
      </c>
      <c r="C2523" s="49" t="s">
        <v>449</v>
      </c>
      <c r="D2523">
        <v>99</v>
      </c>
      <c r="E2523" s="49" t="s">
        <v>378</v>
      </c>
    </row>
    <row r="2524" spans="1:5" x14ac:dyDescent="0.3">
      <c r="A2524" s="49" t="s">
        <v>1503</v>
      </c>
      <c r="B2524" s="49" t="s">
        <v>578</v>
      </c>
      <c r="C2524" s="49" t="s">
        <v>449</v>
      </c>
      <c r="D2524">
        <v>98</v>
      </c>
      <c r="E2524" s="49" t="s">
        <v>378</v>
      </c>
    </row>
    <row r="2525" spans="1:5" x14ac:dyDescent="0.3">
      <c r="A2525" s="49" t="s">
        <v>1503</v>
      </c>
      <c r="B2525" s="49" t="s">
        <v>578</v>
      </c>
      <c r="C2525" s="49" t="s">
        <v>449</v>
      </c>
      <c r="D2525">
        <v>99</v>
      </c>
      <c r="E2525" s="49" t="s">
        <v>378</v>
      </c>
    </row>
    <row r="2526" spans="1:5" x14ac:dyDescent="0.3">
      <c r="A2526" s="49" t="s">
        <v>1504</v>
      </c>
      <c r="B2526" s="49" t="s">
        <v>578</v>
      </c>
      <c r="C2526" s="49" t="s">
        <v>449</v>
      </c>
      <c r="D2526">
        <v>98</v>
      </c>
      <c r="E2526" s="49" t="s">
        <v>378</v>
      </c>
    </row>
    <row r="2527" spans="1:5" x14ac:dyDescent="0.3">
      <c r="A2527" s="49" t="s">
        <v>1504</v>
      </c>
      <c r="B2527" s="49" t="s">
        <v>578</v>
      </c>
      <c r="C2527" s="49" t="s">
        <v>449</v>
      </c>
      <c r="D2527">
        <v>99</v>
      </c>
      <c r="E2527" s="49" t="s">
        <v>378</v>
      </c>
    </row>
    <row r="2528" spans="1:5" x14ac:dyDescent="0.3">
      <c r="A2528" s="49" t="s">
        <v>1505</v>
      </c>
      <c r="B2528" s="49" t="s">
        <v>578</v>
      </c>
      <c r="C2528" s="49" t="s">
        <v>449</v>
      </c>
      <c r="D2528">
        <v>98</v>
      </c>
      <c r="E2528" s="49" t="s">
        <v>378</v>
      </c>
    </row>
    <row r="2529" spans="1:5" x14ac:dyDescent="0.3">
      <c r="A2529" s="49" t="s">
        <v>1505</v>
      </c>
      <c r="B2529" s="49" t="s">
        <v>578</v>
      </c>
      <c r="C2529" s="49" t="s">
        <v>449</v>
      </c>
      <c r="D2529">
        <v>99</v>
      </c>
      <c r="E2529" s="49" t="s">
        <v>378</v>
      </c>
    </row>
    <row r="2530" spans="1:5" x14ac:dyDescent="0.3">
      <c r="A2530" s="49" t="s">
        <v>1506</v>
      </c>
      <c r="B2530" s="49" t="s">
        <v>578</v>
      </c>
      <c r="C2530" s="49" t="s">
        <v>449</v>
      </c>
      <c r="D2530">
        <v>98</v>
      </c>
      <c r="E2530" s="49" t="s">
        <v>378</v>
      </c>
    </row>
    <row r="2531" spans="1:5" x14ac:dyDescent="0.3">
      <c r="A2531" s="49" t="s">
        <v>1506</v>
      </c>
      <c r="B2531" s="49" t="s">
        <v>578</v>
      </c>
      <c r="C2531" s="49" t="s">
        <v>449</v>
      </c>
      <c r="D2531">
        <v>99</v>
      </c>
      <c r="E2531" s="49" t="s">
        <v>378</v>
      </c>
    </row>
    <row r="2532" spans="1:5" x14ac:dyDescent="0.3">
      <c r="A2532" s="49" t="s">
        <v>1507</v>
      </c>
      <c r="B2532" s="49" t="s">
        <v>578</v>
      </c>
      <c r="C2532" s="49" t="s">
        <v>449</v>
      </c>
      <c r="D2532">
        <v>98</v>
      </c>
      <c r="E2532" s="49" t="s">
        <v>378</v>
      </c>
    </row>
    <row r="2533" spans="1:5" x14ac:dyDescent="0.3">
      <c r="A2533" s="49" t="s">
        <v>1507</v>
      </c>
      <c r="B2533" s="49" t="s">
        <v>578</v>
      </c>
      <c r="C2533" s="49" t="s">
        <v>449</v>
      </c>
      <c r="D2533">
        <v>99</v>
      </c>
      <c r="E2533" s="49" t="s">
        <v>378</v>
      </c>
    </row>
    <row r="2534" spans="1:5" x14ac:dyDescent="0.3">
      <c r="A2534" s="49" t="s">
        <v>1508</v>
      </c>
      <c r="B2534" s="49" t="s">
        <v>578</v>
      </c>
      <c r="C2534" s="49" t="s">
        <v>449</v>
      </c>
      <c r="D2534">
        <v>98</v>
      </c>
      <c r="E2534" s="49" t="s">
        <v>378</v>
      </c>
    </row>
    <row r="2535" spans="1:5" x14ac:dyDescent="0.3">
      <c r="A2535" s="49" t="s">
        <v>1508</v>
      </c>
      <c r="B2535" s="49" t="s">
        <v>578</v>
      </c>
      <c r="C2535" s="49" t="s">
        <v>449</v>
      </c>
      <c r="D2535">
        <v>99</v>
      </c>
      <c r="E2535" s="49" t="s">
        <v>378</v>
      </c>
    </row>
    <row r="2536" spans="1:5" x14ac:dyDescent="0.3">
      <c r="A2536" s="49" t="s">
        <v>1509</v>
      </c>
      <c r="B2536" s="49" t="s">
        <v>578</v>
      </c>
      <c r="C2536" s="49" t="s">
        <v>449</v>
      </c>
      <c r="D2536">
        <v>98</v>
      </c>
      <c r="E2536" s="49" t="s">
        <v>378</v>
      </c>
    </row>
    <row r="2537" spans="1:5" x14ac:dyDescent="0.3">
      <c r="A2537" s="49" t="s">
        <v>1509</v>
      </c>
      <c r="B2537" s="49" t="s">
        <v>578</v>
      </c>
      <c r="C2537" s="49" t="s">
        <v>449</v>
      </c>
      <c r="D2537">
        <v>99</v>
      </c>
      <c r="E2537" s="49" t="s">
        <v>378</v>
      </c>
    </row>
    <row r="2538" spans="1:5" x14ac:dyDescent="0.3">
      <c r="A2538" s="49" t="s">
        <v>1510</v>
      </c>
      <c r="B2538" s="49" t="s">
        <v>578</v>
      </c>
      <c r="C2538" s="49" t="s">
        <v>449</v>
      </c>
      <c r="D2538">
        <v>98</v>
      </c>
      <c r="E2538" s="49" t="s">
        <v>378</v>
      </c>
    </row>
    <row r="2539" spans="1:5" x14ac:dyDescent="0.3">
      <c r="A2539" s="49" t="s">
        <v>1510</v>
      </c>
      <c r="B2539" s="49" t="s">
        <v>578</v>
      </c>
      <c r="C2539" s="49" t="s">
        <v>449</v>
      </c>
      <c r="D2539">
        <v>99</v>
      </c>
      <c r="E2539" s="49" t="s">
        <v>378</v>
      </c>
    </row>
    <row r="2540" spans="1:5" x14ac:dyDescent="0.3">
      <c r="A2540" s="49" t="s">
        <v>1511</v>
      </c>
      <c r="B2540" s="49" t="s">
        <v>578</v>
      </c>
      <c r="C2540" s="49" t="s">
        <v>449</v>
      </c>
      <c r="D2540">
        <v>98</v>
      </c>
      <c r="E2540" s="49" t="s">
        <v>378</v>
      </c>
    </row>
    <row r="2541" spans="1:5" x14ac:dyDescent="0.3">
      <c r="A2541" s="49" t="s">
        <v>1511</v>
      </c>
      <c r="B2541" s="49" t="s">
        <v>578</v>
      </c>
      <c r="C2541" s="49" t="s">
        <v>449</v>
      </c>
      <c r="D2541">
        <v>99</v>
      </c>
      <c r="E2541" s="49" t="s">
        <v>378</v>
      </c>
    </row>
    <row r="2542" spans="1:5" x14ac:dyDescent="0.3">
      <c r="A2542" s="49" t="s">
        <v>1512</v>
      </c>
      <c r="B2542" s="49" t="s">
        <v>578</v>
      </c>
      <c r="C2542" s="49" t="s">
        <v>449</v>
      </c>
      <c r="D2542">
        <v>98</v>
      </c>
      <c r="E2542" s="49" t="s">
        <v>378</v>
      </c>
    </row>
    <row r="2543" spans="1:5" x14ac:dyDescent="0.3">
      <c r="A2543" s="49" t="s">
        <v>1512</v>
      </c>
      <c r="B2543" s="49" t="s">
        <v>578</v>
      </c>
      <c r="C2543" s="49" t="s">
        <v>449</v>
      </c>
      <c r="D2543">
        <v>99</v>
      </c>
      <c r="E2543" s="49" t="s">
        <v>378</v>
      </c>
    </row>
    <row r="2544" spans="1:5" x14ac:dyDescent="0.3">
      <c r="A2544" s="49" t="s">
        <v>1513</v>
      </c>
      <c r="B2544" s="49" t="s">
        <v>578</v>
      </c>
      <c r="C2544" s="49" t="s">
        <v>449</v>
      </c>
      <c r="D2544">
        <v>98</v>
      </c>
      <c r="E2544" s="49" t="s">
        <v>378</v>
      </c>
    </row>
    <row r="2545" spans="1:5" x14ac:dyDescent="0.3">
      <c r="A2545" s="49" t="s">
        <v>1513</v>
      </c>
      <c r="B2545" s="49" t="s">
        <v>578</v>
      </c>
      <c r="C2545" s="49" t="s">
        <v>449</v>
      </c>
      <c r="D2545">
        <v>99</v>
      </c>
      <c r="E2545" s="49" t="s">
        <v>378</v>
      </c>
    </row>
    <row r="2546" spans="1:5" x14ac:dyDescent="0.3">
      <c r="A2546" s="49" t="s">
        <v>1514</v>
      </c>
      <c r="B2546" s="49" t="s">
        <v>578</v>
      </c>
      <c r="C2546" s="49" t="s">
        <v>449</v>
      </c>
      <c r="D2546">
        <v>98</v>
      </c>
      <c r="E2546" s="49" t="s">
        <v>378</v>
      </c>
    </row>
    <row r="2547" spans="1:5" x14ac:dyDescent="0.3">
      <c r="A2547" s="49" t="s">
        <v>1514</v>
      </c>
      <c r="B2547" s="49" t="s">
        <v>578</v>
      </c>
      <c r="C2547" s="49" t="s">
        <v>449</v>
      </c>
      <c r="D2547">
        <v>99</v>
      </c>
      <c r="E2547" s="49" t="s">
        <v>378</v>
      </c>
    </row>
    <row r="2548" spans="1:5" x14ac:dyDescent="0.3">
      <c r="A2548" s="49" t="s">
        <v>1515</v>
      </c>
      <c r="B2548" s="49" t="s">
        <v>578</v>
      </c>
      <c r="C2548" s="49" t="s">
        <v>449</v>
      </c>
      <c r="D2548">
        <v>98</v>
      </c>
      <c r="E2548" s="49" t="s">
        <v>378</v>
      </c>
    </row>
    <row r="2549" spans="1:5" x14ac:dyDescent="0.3">
      <c r="A2549" s="49" t="s">
        <v>1515</v>
      </c>
      <c r="B2549" s="49" t="s">
        <v>578</v>
      </c>
      <c r="C2549" s="49" t="s">
        <v>449</v>
      </c>
      <c r="D2549">
        <v>99</v>
      </c>
      <c r="E2549" s="49" t="s">
        <v>378</v>
      </c>
    </row>
    <row r="2550" spans="1:5" x14ac:dyDescent="0.3">
      <c r="A2550" s="49" t="s">
        <v>1516</v>
      </c>
      <c r="B2550" s="49" t="s">
        <v>578</v>
      </c>
      <c r="C2550" s="49" t="s">
        <v>449</v>
      </c>
      <c r="D2550">
        <v>98</v>
      </c>
      <c r="E2550" s="49" t="s">
        <v>378</v>
      </c>
    </row>
    <row r="2551" spans="1:5" x14ac:dyDescent="0.3">
      <c r="A2551" s="49" t="s">
        <v>1516</v>
      </c>
      <c r="B2551" s="49" t="s">
        <v>578</v>
      </c>
      <c r="C2551" s="49" t="s">
        <v>449</v>
      </c>
      <c r="D2551">
        <v>99</v>
      </c>
      <c r="E2551" s="49" t="s">
        <v>378</v>
      </c>
    </row>
    <row r="2552" spans="1:5" x14ac:dyDescent="0.3">
      <c r="A2552" s="49" t="s">
        <v>1517</v>
      </c>
      <c r="B2552" s="49" t="s">
        <v>578</v>
      </c>
      <c r="C2552" s="49" t="s">
        <v>449</v>
      </c>
      <c r="D2552">
        <v>98</v>
      </c>
      <c r="E2552" s="49" t="s">
        <v>378</v>
      </c>
    </row>
    <row r="2553" spans="1:5" x14ac:dyDescent="0.3">
      <c r="A2553" s="49" t="s">
        <v>1517</v>
      </c>
      <c r="B2553" s="49" t="s">
        <v>578</v>
      </c>
      <c r="C2553" s="49" t="s">
        <v>449</v>
      </c>
      <c r="D2553">
        <v>99</v>
      </c>
      <c r="E2553" s="49" t="s">
        <v>378</v>
      </c>
    </row>
    <row r="2554" spans="1:5" x14ac:dyDescent="0.3">
      <c r="A2554" s="49" t="s">
        <v>1518</v>
      </c>
      <c r="B2554" s="49" t="s">
        <v>578</v>
      </c>
      <c r="C2554" s="49" t="s">
        <v>449</v>
      </c>
      <c r="D2554">
        <v>98</v>
      </c>
      <c r="E2554" s="49" t="s">
        <v>378</v>
      </c>
    </row>
    <row r="2555" spans="1:5" x14ac:dyDescent="0.3">
      <c r="A2555" s="49" t="s">
        <v>1518</v>
      </c>
      <c r="B2555" s="49" t="s">
        <v>578</v>
      </c>
      <c r="C2555" s="49" t="s">
        <v>449</v>
      </c>
      <c r="D2555">
        <v>99</v>
      </c>
      <c r="E2555" s="49" t="s">
        <v>378</v>
      </c>
    </row>
    <row r="2556" spans="1:5" x14ac:dyDescent="0.3">
      <c r="A2556" s="49" t="s">
        <v>1519</v>
      </c>
      <c r="B2556" s="49" t="s">
        <v>578</v>
      </c>
      <c r="C2556" s="49" t="s">
        <v>449</v>
      </c>
      <c r="D2556">
        <v>98</v>
      </c>
      <c r="E2556" s="49" t="s">
        <v>378</v>
      </c>
    </row>
    <row r="2557" spans="1:5" x14ac:dyDescent="0.3">
      <c r="A2557" s="49" t="s">
        <v>1519</v>
      </c>
      <c r="B2557" s="49" t="s">
        <v>578</v>
      </c>
      <c r="C2557" s="49" t="s">
        <v>449</v>
      </c>
      <c r="D2557">
        <v>99</v>
      </c>
      <c r="E2557" s="49" t="s">
        <v>378</v>
      </c>
    </row>
    <row r="2558" spans="1:5" x14ac:dyDescent="0.3">
      <c r="A2558" s="49" t="s">
        <v>1520</v>
      </c>
      <c r="B2558" s="49" t="s">
        <v>578</v>
      </c>
      <c r="C2558" s="49" t="s">
        <v>449</v>
      </c>
      <c r="D2558">
        <v>98</v>
      </c>
      <c r="E2558" s="49" t="s">
        <v>378</v>
      </c>
    </row>
    <row r="2559" spans="1:5" x14ac:dyDescent="0.3">
      <c r="A2559" s="49" t="s">
        <v>1520</v>
      </c>
      <c r="B2559" s="49" t="s">
        <v>578</v>
      </c>
      <c r="C2559" s="49" t="s">
        <v>449</v>
      </c>
      <c r="D2559">
        <v>99</v>
      </c>
      <c r="E2559" s="49" t="s">
        <v>378</v>
      </c>
    </row>
    <row r="2560" spans="1:5" x14ac:dyDescent="0.3">
      <c r="A2560" s="49" t="s">
        <v>1521</v>
      </c>
      <c r="B2560" s="49" t="s">
        <v>578</v>
      </c>
      <c r="C2560" s="49" t="s">
        <v>449</v>
      </c>
      <c r="D2560">
        <v>98</v>
      </c>
      <c r="E2560" s="49" t="s">
        <v>378</v>
      </c>
    </row>
    <row r="2561" spans="1:5" x14ac:dyDescent="0.3">
      <c r="A2561" s="49" t="s">
        <v>1521</v>
      </c>
      <c r="B2561" s="49" t="s">
        <v>578</v>
      </c>
      <c r="C2561" s="49" t="s">
        <v>449</v>
      </c>
      <c r="D2561">
        <v>99</v>
      </c>
      <c r="E2561" s="49" t="s">
        <v>378</v>
      </c>
    </row>
    <row r="2562" spans="1:5" x14ac:dyDescent="0.3">
      <c r="A2562" s="49" t="s">
        <v>1522</v>
      </c>
      <c r="B2562" s="49" t="s">
        <v>578</v>
      </c>
      <c r="C2562" s="49" t="s">
        <v>449</v>
      </c>
      <c r="D2562">
        <v>98</v>
      </c>
      <c r="E2562" s="49" t="s">
        <v>378</v>
      </c>
    </row>
    <row r="2563" spans="1:5" x14ac:dyDescent="0.3">
      <c r="A2563" s="49" t="s">
        <v>1522</v>
      </c>
      <c r="B2563" s="49" t="s">
        <v>578</v>
      </c>
      <c r="C2563" s="49" t="s">
        <v>449</v>
      </c>
      <c r="D2563">
        <v>99</v>
      </c>
      <c r="E2563" s="49" t="s">
        <v>378</v>
      </c>
    </row>
    <row r="2564" spans="1:5" x14ac:dyDescent="0.3">
      <c r="A2564" s="49" t="s">
        <v>1523</v>
      </c>
      <c r="B2564" s="49" t="s">
        <v>578</v>
      </c>
      <c r="C2564" s="49" t="s">
        <v>449</v>
      </c>
      <c r="D2564">
        <v>98</v>
      </c>
      <c r="E2564" s="49" t="s">
        <v>378</v>
      </c>
    </row>
    <row r="2565" spans="1:5" x14ac:dyDescent="0.3">
      <c r="A2565" s="49" t="s">
        <v>1523</v>
      </c>
      <c r="B2565" s="49" t="s">
        <v>578</v>
      </c>
      <c r="C2565" s="49" t="s">
        <v>449</v>
      </c>
      <c r="D2565">
        <v>99</v>
      </c>
      <c r="E2565" s="49" t="s">
        <v>378</v>
      </c>
    </row>
    <row r="2566" spans="1:5" x14ac:dyDescent="0.3">
      <c r="A2566" s="49" t="s">
        <v>1524</v>
      </c>
      <c r="B2566" s="49" t="s">
        <v>578</v>
      </c>
      <c r="C2566" s="49" t="s">
        <v>449</v>
      </c>
      <c r="D2566">
        <v>98</v>
      </c>
      <c r="E2566" s="49" t="s">
        <v>378</v>
      </c>
    </row>
    <row r="2567" spans="1:5" x14ac:dyDescent="0.3">
      <c r="A2567" s="49" t="s">
        <v>1524</v>
      </c>
      <c r="B2567" s="49" t="s">
        <v>578</v>
      </c>
      <c r="C2567" s="49" t="s">
        <v>449</v>
      </c>
      <c r="D2567">
        <v>99</v>
      </c>
      <c r="E2567" s="49" t="s">
        <v>378</v>
      </c>
    </row>
    <row r="2568" spans="1:5" x14ac:dyDescent="0.3">
      <c r="A2568" s="49" t="s">
        <v>1525</v>
      </c>
      <c r="B2568" s="49" t="s">
        <v>578</v>
      </c>
      <c r="C2568" s="49" t="s">
        <v>449</v>
      </c>
      <c r="D2568">
        <v>98</v>
      </c>
      <c r="E2568" s="49" t="s">
        <v>378</v>
      </c>
    </row>
    <row r="2569" spans="1:5" x14ac:dyDescent="0.3">
      <c r="A2569" s="49" t="s">
        <v>1525</v>
      </c>
      <c r="B2569" s="49" t="s">
        <v>578</v>
      </c>
      <c r="C2569" s="49" t="s">
        <v>449</v>
      </c>
      <c r="D2569">
        <v>99</v>
      </c>
      <c r="E2569" s="49" t="s">
        <v>378</v>
      </c>
    </row>
    <row r="2570" spans="1:5" x14ac:dyDescent="0.3">
      <c r="A2570" s="49" t="s">
        <v>1526</v>
      </c>
      <c r="B2570" s="49" t="s">
        <v>578</v>
      </c>
      <c r="C2570" s="49" t="s">
        <v>449</v>
      </c>
      <c r="D2570">
        <v>98</v>
      </c>
      <c r="E2570" s="49" t="s">
        <v>378</v>
      </c>
    </row>
    <row r="2571" spans="1:5" x14ac:dyDescent="0.3">
      <c r="A2571" s="49" t="s">
        <v>1526</v>
      </c>
      <c r="B2571" s="49" t="s">
        <v>578</v>
      </c>
      <c r="C2571" s="49" t="s">
        <v>449</v>
      </c>
      <c r="D2571">
        <v>99</v>
      </c>
      <c r="E2571" s="49" t="s">
        <v>378</v>
      </c>
    </row>
    <row r="2572" spans="1:5" x14ac:dyDescent="0.3">
      <c r="A2572" s="49" t="s">
        <v>1527</v>
      </c>
      <c r="B2572" s="49" t="s">
        <v>578</v>
      </c>
      <c r="C2572" s="49" t="s">
        <v>449</v>
      </c>
      <c r="D2572">
        <v>98</v>
      </c>
      <c r="E2572" s="49" t="s">
        <v>378</v>
      </c>
    </row>
    <row r="2573" spans="1:5" x14ac:dyDescent="0.3">
      <c r="A2573" s="49" t="s">
        <v>1527</v>
      </c>
      <c r="B2573" s="49" t="s">
        <v>578</v>
      </c>
      <c r="C2573" s="49" t="s">
        <v>449</v>
      </c>
      <c r="D2573">
        <v>99</v>
      </c>
      <c r="E2573" s="49" t="s">
        <v>378</v>
      </c>
    </row>
    <row r="2574" spans="1:5" x14ac:dyDescent="0.3">
      <c r="A2574" s="49" t="s">
        <v>1528</v>
      </c>
      <c r="B2574" s="49" t="s">
        <v>578</v>
      </c>
      <c r="C2574" s="49" t="s">
        <v>449</v>
      </c>
      <c r="D2574">
        <v>98</v>
      </c>
      <c r="E2574" s="49" t="s">
        <v>378</v>
      </c>
    </row>
    <row r="2575" spans="1:5" x14ac:dyDescent="0.3">
      <c r="A2575" s="49" t="s">
        <v>1528</v>
      </c>
      <c r="B2575" s="49" t="s">
        <v>578</v>
      </c>
      <c r="C2575" s="49" t="s">
        <v>449</v>
      </c>
      <c r="D2575">
        <v>99</v>
      </c>
      <c r="E2575" s="49" t="s">
        <v>378</v>
      </c>
    </row>
    <row r="2576" spans="1:5" x14ac:dyDescent="0.3">
      <c r="A2576" s="49" t="s">
        <v>1529</v>
      </c>
      <c r="B2576" s="49" t="s">
        <v>578</v>
      </c>
      <c r="C2576" s="49" t="s">
        <v>449</v>
      </c>
      <c r="D2576">
        <v>98</v>
      </c>
      <c r="E2576" s="49" t="s">
        <v>378</v>
      </c>
    </row>
    <row r="2577" spans="1:5" x14ac:dyDescent="0.3">
      <c r="A2577" s="49" t="s">
        <v>1529</v>
      </c>
      <c r="B2577" s="49" t="s">
        <v>578</v>
      </c>
      <c r="C2577" s="49" t="s">
        <v>449</v>
      </c>
      <c r="D2577">
        <v>99</v>
      </c>
      <c r="E2577" s="49" t="s">
        <v>378</v>
      </c>
    </row>
    <row r="2578" spans="1:5" x14ac:dyDescent="0.3">
      <c r="A2578" s="49" t="s">
        <v>1530</v>
      </c>
      <c r="B2578" s="49" t="s">
        <v>578</v>
      </c>
      <c r="C2578" s="49" t="s">
        <v>449</v>
      </c>
      <c r="D2578">
        <v>98</v>
      </c>
      <c r="E2578" s="49" t="s">
        <v>378</v>
      </c>
    </row>
    <row r="2579" spans="1:5" x14ac:dyDescent="0.3">
      <c r="A2579" s="49" t="s">
        <v>1530</v>
      </c>
      <c r="B2579" s="49" t="s">
        <v>578</v>
      </c>
      <c r="C2579" s="49" t="s">
        <v>449</v>
      </c>
      <c r="D2579">
        <v>99</v>
      </c>
      <c r="E2579" s="49" t="s">
        <v>378</v>
      </c>
    </row>
    <row r="2580" spans="1:5" x14ac:dyDescent="0.3">
      <c r="A2580" s="49" t="s">
        <v>1531</v>
      </c>
      <c r="B2580" s="49" t="s">
        <v>578</v>
      </c>
      <c r="C2580" s="49" t="s">
        <v>449</v>
      </c>
      <c r="D2580">
        <v>98</v>
      </c>
      <c r="E2580" s="49" t="s">
        <v>378</v>
      </c>
    </row>
    <row r="2581" spans="1:5" x14ac:dyDescent="0.3">
      <c r="A2581" s="49" t="s">
        <v>1531</v>
      </c>
      <c r="B2581" s="49" t="s">
        <v>578</v>
      </c>
      <c r="C2581" s="49" t="s">
        <v>449</v>
      </c>
      <c r="D2581">
        <v>99</v>
      </c>
      <c r="E2581" s="49" t="s">
        <v>378</v>
      </c>
    </row>
    <row r="2582" spans="1:5" x14ac:dyDescent="0.3">
      <c r="A2582" s="49" t="s">
        <v>1532</v>
      </c>
      <c r="B2582" s="49" t="s">
        <v>578</v>
      </c>
      <c r="C2582" s="49" t="s">
        <v>449</v>
      </c>
      <c r="D2582">
        <v>98</v>
      </c>
      <c r="E2582" s="49" t="s">
        <v>378</v>
      </c>
    </row>
    <row r="2583" spans="1:5" x14ac:dyDescent="0.3">
      <c r="A2583" s="49" t="s">
        <v>1532</v>
      </c>
      <c r="B2583" s="49" t="s">
        <v>578</v>
      </c>
      <c r="C2583" s="49" t="s">
        <v>449</v>
      </c>
      <c r="D2583">
        <v>99</v>
      </c>
      <c r="E2583" s="49" t="s">
        <v>378</v>
      </c>
    </row>
    <row r="2584" spans="1:5" x14ac:dyDescent="0.3">
      <c r="A2584" s="49" t="s">
        <v>1533</v>
      </c>
      <c r="B2584" s="49" t="s">
        <v>578</v>
      </c>
      <c r="C2584" s="49" t="s">
        <v>449</v>
      </c>
      <c r="D2584">
        <v>98</v>
      </c>
      <c r="E2584" s="49" t="s">
        <v>378</v>
      </c>
    </row>
    <row r="2585" spans="1:5" x14ac:dyDescent="0.3">
      <c r="A2585" s="49" t="s">
        <v>1533</v>
      </c>
      <c r="B2585" s="49" t="s">
        <v>578</v>
      </c>
      <c r="C2585" s="49" t="s">
        <v>449</v>
      </c>
      <c r="D2585">
        <v>99</v>
      </c>
      <c r="E2585" s="49" t="s">
        <v>378</v>
      </c>
    </row>
    <row r="2586" spans="1:5" x14ac:dyDescent="0.3">
      <c r="A2586" s="49" t="s">
        <v>1534</v>
      </c>
      <c r="B2586" s="49" t="s">
        <v>578</v>
      </c>
      <c r="C2586" s="49" t="s">
        <v>449</v>
      </c>
      <c r="D2586">
        <v>98</v>
      </c>
      <c r="E2586" s="49" t="s">
        <v>378</v>
      </c>
    </row>
    <row r="2587" spans="1:5" x14ac:dyDescent="0.3">
      <c r="A2587" s="49" t="s">
        <v>1534</v>
      </c>
      <c r="B2587" s="49" t="s">
        <v>578</v>
      </c>
      <c r="C2587" s="49" t="s">
        <v>449</v>
      </c>
      <c r="D2587">
        <v>99</v>
      </c>
      <c r="E2587" s="49" t="s">
        <v>378</v>
      </c>
    </row>
    <row r="2588" spans="1:5" x14ac:dyDescent="0.3">
      <c r="A2588" s="49" t="s">
        <v>1535</v>
      </c>
      <c r="B2588" s="49" t="s">
        <v>578</v>
      </c>
      <c r="C2588" s="49" t="s">
        <v>449</v>
      </c>
      <c r="D2588">
        <v>98</v>
      </c>
      <c r="E2588" s="49" t="s">
        <v>378</v>
      </c>
    </row>
    <row r="2589" spans="1:5" x14ac:dyDescent="0.3">
      <c r="A2589" s="49" t="s">
        <v>1535</v>
      </c>
      <c r="B2589" s="49" t="s">
        <v>578</v>
      </c>
      <c r="C2589" s="49" t="s">
        <v>449</v>
      </c>
      <c r="D2589">
        <v>99</v>
      </c>
      <c r="E2589" s="49" t="s">
        <v>378</v>
      </c>
    </row>
    <row r="2590" spans="1:5" x14ac:dyDescent="0.3">
      <c r="A2590" s="49" t="s">
        <v>1536</v>
      </c>
      <c r="B2590" s="49" t="s">
        <v>578</v>
      </c>
      <c r="C2590" s="49" t="s">
        <v>449</v>
      </c>
      <c r="D2590">
        <v>98</v>
      </c>
      <c r="E2590" s="49" t="s">
        <v>378</v>
      </c>
    </row>
    <row r="2591" spans="1:5" x14ac:dyDescent="0.3">
      <c r="A2591" s="49" t="s">
        <v>1536</v>
      </c>
      <c r="B2591" s="49" t="s">
        <v>578</v>
      </c>
      <c r="C2591" s="49" t="s">
        <v>449</v>
      </c>
      <c r="D2591">
        <v>99</v>
      </c>
      <c r="E2591" s="49" t="s">
        <v>378</v>
      </c>
    </row>
    <row r="2592" spans="1:5" x14ac:dyDescent="0.3">
      <c r="A2592" s="49" t="s">
        <v>1537</v>
      </c>
      <c r="B2592" s="49" t="s">
        <v>578</v>
      </c>
      <c r="C2592" s="49" t="s">
        <v>449</v>
      </c>
      <c r="D2592">
        <v>98</v>
      </c>
      <c r="E2592" s="49" t="s">
        <v>378</v>
      </c>
    </row>
    <row r="2593" spans="1:5" x14ac:dyDescent="0.3">
      <c r="A2593" s="49" t="s">
        <v>1537</v>
      </c>
      <c r="B2593" s="49" t="s">
        <v>578</v>
      </c>
      <c r="C2593" s="49" t="s">
        <v>449</v>
      </c>
      <c r="D2593">
        <v>99</v>
      </c>
      <c r="E2593" s="49" t="s">
        <v>378</v>
      </c>
    </row>
    <row r="2594" spans="1:5" x14ac:dyDescent="0.3">
      <c r="A2594" s="49" t="s">
        <v>1538</v>
      </c>
      <c r="B2594" s="49" t="s">
        <v>578</v>
      </c>
      <c r="C2594" s="49" t="s">
        <v>449</v>
      </c>
      <c r="D2594">
        <v>98</v>
      </c>
      <c r="E2594" s="49" t="s">
        <v>378</v>
      </c>
    </row>
    <row r="2595" spans="1:5" x14ac:dyDescent="0.3">
      <c r="A2595" s="49" t="s">
        <v>1538</v>
      </c>
      <c r="B2595" s="49" t="s">
        <v>578</v>
      </c>
      <c r="C2595" s="49" t="s">
        <v>449</v>
      </c>
      <c r="D2595">
        <v>99</v>
      </c>
      <c r="E2595" s="49" t="s">
        <v>378</v>
      </c>
    </row>
    <row r="2596" spans="1:5" x14ac:dyDescent="0.3">
      <c r="A2596" s="49" t="s">
        <v>1539</v>
      </c>
      <c r="B2596" s="49" t="s">
        <v>578</v>
      </c>
      <c r="C2596" s="49" t="s">
        <v>449</v>
      </c>
      <c r="D2596">
        <v>98</v>
      </c>
      <c r="E2596" s="49" t="s">
        <v>378</v>
      </c>
    </row>
    <row r="2597" spans="1:5" x14ac:dyDescent="0.3">
      <c r="A2597" s="49" t="s">
        <v>1539</v>
      </c>
      <c r="B2597" s="49" t="s">
        <v>578</v>
      </c>
      <c r="C2597" s="49" t="s">
        <v>449</v>
      </c>
      <c r="D2597">
        <v>99</v>
      </c>
      <c r="E2597" s="49" t="s">
        <v>378</v>
      </c>
    </row>
    <row r="2598" spans="1:5" x14ac:dyDescent="0.3">
      <c r="A2598" s="49" t="s">
        <v>1540</v>
      </c>
      <c r="B2598" s="49" t="s">
        <v>578</v>
      </c>
      <c r="C2598" s="49" t="s">
        <v>449</v>
      </c>
      <c r="D2598">
        <v>98</v>
      </c>
      <c r="E2598" s="49" t="s">
        <v>378</v>
      </c>
    </row>
    <row r="2599" spans="1:5" x14ac:dyDescent="0.3">
      <c r="A2599" s="49" t="s">
        <v>1540</v>
      </c>
      <c r="B2599" s="49" t="s">
        <v>578</v>
      </c>
      <c r="C2599" s="49" t="s">
        <v>449</v>
      </c>
      <c r="D2599">
        <v>99</v>
      </c>
      <c r="E2599" s="49" t="s">
        <v>378</v>
      </c>
    </row>
    <row r="2600" spans="1:5" x14ac:dyDescent="0.3">
      <c r="A2600" s="49" t="s">
        <v>1541</v>
      </c>
      <c r="B2600" s="49" t="s">
        <v>578</v>
      </c>
      <c r="C2600" s="49" t="s">
        <v>449</v>
      </c>
      <c r="D2600">
        <v>98</v>
      </c>
      <c r="E2600" s="49" t="s">
        <v>378</v>
      </c>
    </row>
    <row r="2601" spans="1:5" x14ac:dyDescent="0.3">
      <c r="A2601" s="49" t="s">
        <v>1541</v>
      </c>
      <c r="B2601" s="49" t="s">
        <v>578</v>
      </c>
      <c r="C2601" s="49" t="s">
        <v>449</v>
      </c>
      <c r="D2601">
        <v>99</v>
      </c>
      <c r="E2601" s="49" t="s">
        <v>378</v>
      </c>
    </row>
    <row r="2602" spans="1:5" x14ac:dyDescent="0.3">
      <c r="A2602" s="49" t="s">
        <v>1542</v>
      </c>
      <c r="B2602" s="49" t="s">
        <v>578</v>
      </c>
      <c r="C2602" s="49" t="s">
        <v>449</v>
      </c>
      <c r="D2602">
        <v>98</v>
      </c>
      <c r="E2602" s="49" t="s">
        <v>378</v>
      </c>
    </row>
    <row r="2603" spans="1:5" x14ac:dyDescent="0.3">
      <c r="A2603" s="49" t="s">
        <v>1542</v>
      </c>
      <c r="B2603" s="49" t="s">
        <v>578</v>
      </c>
      <c r="C2603" s="49" t="s">
        <v>449</v>
      </c>
      <c r="D2603">
        <v>99</v>
      </c>
      <c r="E2603" s="49" t="s">
        <v>378</v>
      </c>
    </row>
    <row r="2604" spans="1:5" x14ac:dyDescent="0.3">
      <c r="A2604" s="49" t="s">
        <v>1543</v>
      </c>
      <c r="B2604" s="49" t="s">
        <v>578</v>
      </c>
      <c r="C2604" s="49" t="s">
        <v>449</v>
      </c>
      <c r="D2604">
        <v>98</v>
      </c>
      <c r="E2604" s="49" t="s">
        <v>378</v>
      </c>
    </row>
    <row r="2605" spans="1:5" x14ac:dyDescent="0.3">
      <c r="A2605" s="49" t="s">
        <v>1543</v>
      </c>
      <c r="B2605" s="49" t="s">
        <v>578</v>
      </c>
      <c r="C2605" s="49" t="s">
        <v>449</v>
      </c>
      <c r="D2605">
        <v>99</v>
      </c>
      <c r="E2605" s="49" t="s">
        <v>378</v>
      </c>
    </row>
    <row r="2606" spans="1:5" x14ac:dyDescent="0.3">
      <c r="A2606" s="49" t="s">
        <v>1544</v>
      </c>
      <c r="B2606" s="49" t="s">
        <v>578</v>
      </c>
      <c r="C2606" s="49" t="s">
        <v>449</v>
      </c>
      <c r="D2606">
        <v>98</v>
      </c>
      <c r="E2606" s="49" t="s">
        <v>378</v>
      </c>
    </row>
    <row r="2607" spans="1:5" x14ac:dyDescent="0.3">
      <c r="A2607" s="49" t="s">
        <v>1544</v>
      </c>
      <c r="B2607" s="49" t="s">
        <v>578</v>
      </c>
      <c r="C2607" s="49" t="s">
        <v>449</v>
      </c>
      <c r="D2607">
        <v>99</v>
      </c>
      <c r="E2607" s="49" t="s">
        <v>378</v>
      </c>
    </row>
    <row r="2608" spans="1:5" x14ac:dyDescent="0.3">
      <c r="A2608" s="49" t="s">
        <v>1545</v>
      </c>
      <c r="B2608" s="49" t="s">
        <v>578</v>
      </c>
      <c r="C2608" s="49" t="s">
        <v>449</v>
      </c>
      <c r="D2608">
        <v>98</v>
      </c>
      <c r="E2608" s="49" t="s">
        <v>378</v>
      </c>
    </row>
    <row r="2609" spans="1:5" x14ac:dyDescent="0.3">
      <c r="A2609" s="49" t="s">
        <v>1545</v>
      </c>
      <c r="B2609" s="49" t="s">
        <v>578</v>
      </c>
      <c r="C2609" s="49" t="s">
        <v>449</v>
      </c>
      <c r="D2609">
        <v>99</v>
      </c>
      <c r="E2609" s="49" t="s">
        <v>378</v>
      </c>
    </row>
    <row r="2610" spans="1:5" x14ac:dyDescent="0.3">
      <c r="A2610" s="49" t="s">
        <v>1546</v>
      </c>
      <c r="B2610" s="49" t="s">
        <v>578</v>
      </c>
      <c r="C2610" s="49" t="s">
        <v>449</v>
      </c>
      <c r="D2610">
        <v>98</v>
      </c>
      <c r="E2610" s="49" t="s">
        <v>378</v>
      </c>
    </row>
    <row r="2611" spans="1:5" x14ac:dyDescent="0.3">
      <c r="A2611" s="49" t="s">
        <v>1546</v>
      </c>
      <c r="B2611" s="49" t="s">
        <v>578</v>
      </c>
      <c r="C2611" s="49" t="s">
        <v>449</v>
      </c>
      <c r="D2611">
        <v>99</v>
      </c>
      <c r="E2611" s="49" t="s">
        <v>378</v>
      </c>
    </row>
    <row r="2612" spans="1:5" x14ac:dyDescent="0.3">
      <c r="A2612" s="49" t="s">
        <v>1547</v>
      </c>
      <c r="B2612" s="49" t="s">
        <v>578</v>
      </c>
      <c r="C2612" s="49" t="s">
        <v>449</v>
      </c>
      <c r="D2612">
        <v>98</v>
      </c>
      <c r="E2612" s="49" t="s">
        <v>378</v>
      </c>
    </row>
    <row r="2613" spans="1:5" x14ac:dyDescent="0.3">
      <c r="A2613" s="49" t="s">
        <v>1547</v>
      </c>
      <c r="B2613" s="49" t="s">
        <v>578</v>
      </c>
      <c r="C2613" s="49" t="s">
        <v>449</v>
      </c>
      <c r="D2613">
        <v>99</v>
      </c>
      <c r="E2613" s="49" t="s">
        <v>378</v>
      </c>
    </row>
    <row r="2614" spans="1:5" x14ac:dyDescent="0.3">
      <c r="A2614" s="49" t="s">
        <v>1548</v>
      </c>
      <c r="B2614" s="49" t="s">
        <v>578</v>
      </c>
      <c r="C2614" s="49" t="s">
        <v>449</v>
      </c>
      <c r="D2614">
        <v>98</v>
      </c>
      <c r="E2614" s="49" t="s">
        <v>378</v>
      </c>
    </row>
    <row r="2615" spans="1:5" x14ac:dyDescent="0.3">
      <c r="A2615" s="49" t="s">
        <v>1548</v>
      </c>
      <c r="B2615" s="49" t="s">
        <v>578</v>
      </c>
      <c r="C2615" s="49" t="s">
        <v>449</v>
      </c>
      <c r="D2615">
        <v>99</v>
      </c>
      <c r="E2615" s="49" t="s">
        <v>378</v>
      </c>
    </row>
    <row r="2616" spans="1:5" x14ac:dyDescent="0.3">
      <c r="A2616" s="49" t="s">
        <v>1549</v>
      </c>
      <c r="B2616" s="49" t="s">
        <v>578</v>
      </c>
      <c r="C2616" s="49" t="s">
        <v>449</v>
      </c>
      <c r="D2616">
        <v>98</v>
      </c>
      <c r="E2616" s="49" t="s">
        <v>378</v>
      </c>
    </row>
    <row r="2617" spans="1:5" x14ac:dyDescent="0.3">
      <c r="A2617" s="49" t="s">
        <v>1549</v>
      </c>
      <c r="B2617" s="49" t="s">
        <v>578</v>
      </c>
      <c r="C2617" s="49" t="s">
        <v>449</v>
      </c>
      <c r="D2617">
        <v>99</v>
      </c>
      <c r="E2617" s="49" t="s">
        <v>378</v>
      </c>
    </row>
    <row r="2618" spans="1:5" x14ac:dyDescent="0.3">
      <c r="A2618" s="49" t="s">
        <v>1550</v>
      </c>
      <c r="B2618" s="49" t="s">
        <v>578</v>
      </c>
      <c r="C2618" s="49" t="s">
        <v>449</v>
      </c>
      <c r="D2618">
        <v>98</v>
      </c>
      <c r="E2618" s="49" t="s">
        <v>378</v>
      </c>
    </row>
    <row r="2619" spans="1:5" x14ac:dyDescent="0.3">
      <c r="A2619" s="49" t="s">
        <v>1550</v>
      </c>
      <c r="B2619" s="49" t="s">
        <v>578</v>
      </c>
      <c r="C2619" s="49" t="s">
        <v>449</v>
      </c>
      <c r="D2619">
        <v>99</v>
      </c>
      <c r="E2619" s="49" t="s">
        <v>378</v>
      </c>
    </row>
    <row r="2620" spans="1:5" x14ac:dyDescent="0.3">
      <c r="A2620" s="49" t="s">
        <v>1551</v>
      </c>
      <c r="B2620" s="49" t="s">
        <v>578</v>
      </c>
      <c r="C2620" s="49" t="s">
        <v>449</v>
      </c>
      <c r="D2620">
        <v>98</v>
      </c>
      <c r="E2620" s="49" t="s">
        <v>378</v>
      </c>
    </row>
    <row r="2621" spans="1:5" x14ac:dyDescent="0.3">
      <c r="A2621" s="49" t="s">
        <v>1551</v>
      </c>
      <c r="B2621" s="49" t="s">
        <v>578</v>
      </c>
      <c r="C2621" s="49" t="s">
        <v>449</v>
      </c>
      <c r="D2621">
        <v>99</v>
      </c>
      <c r="E2621" s="49" t="s">
        <v>378</v>
      </c>
    </row>
    <row r="2622" spans="1:5" x14ac:dyDescent="0.3">
      <c r="A2622" s="49" t="s">
        <v>1552</v>
      </c>
      <c r="B2622" s="49" t="s">
        <v>578</v>
      </c>
      <c r="C2622" s="49" t="s">
        <v>449</v>
      </c>
      <c r="D2622">
        <v>98</v>
      </c>
      <c r="E2622" s="49" t="s">
        <v>378</v>
      </c>
    </row>
    <row r="2623" spans="1:5" x14ac:dyDescent="0.3">
      <c r="A2623" s="49" t="s">
        <v>1552</v>
      </c>
      <c r="B2623" s="49" t="s">
        <v>578</v>
      </c>
      <c r="C2623" s="49" t="s">
        <v>449</v>
      </c>
      <c r="D2623">
        <v>99</v>
      </c>
      <c r="E2623" s="49" t="s">
        <v>378</v>
      </c>
    </row>
    <row r="2624" spans="1:5" x14ac:dyDescent="0.3">
      <c r="A2624" s="49" t="s">
        <v>1553</v>
      </c>
      <c r="B2624" s="49" t="s">
        <v>578</v>
      </c>
      <c r="C2624" s="49" t="s">
        <v>449</v>
      </c>
      <c r="D2624">
        <v>98</v>
      </c>
      <c r="E2624" s="49" t="s">
        <v>378</v>
      </c>
    </row>
    <row r="2625" spans="1:5" x14ac:dyDescent="0.3">
      <c r="A2625" s="49" t="s">
        <v>1553</v>
      </c>
      <c r="B2625" s="49" t="s">
        <v>578</v>
      </c>
      <c r="C2625" s="49" t="s">
        <v>449</v>
      </c>
      <c r="D2625">
        <v>99</v>
      </c>
      <c r="E2625" s="49" t="s">
        <v>378</v>
      </c>
    </row>
    <row r="2626" spans="1:5" x14ac:dyDescent="0.3">
      <c r="A2626" s="49" t="s">
        <v>1554</v>
      </c>
      <c r="B2626" s="49" t="s">
        <v>578</v>
      </c>
      <c r="C2626" s="49" t="s">
        <v>449</v>
      </c>
      <c r="D2626">
        <v>98</v>
      </c>
      <c r="E2626" s="49" t="s">
        <v>378</v>
      </c>
    </row>
    <row r="2627" spans="1:5" x14ac:dyDescent="0.3">
      <c r="A2627" s="49" t="s">
        <v>1554</v>
      </c>
      <c r="B2627" s="49" t="s">
        <v>578</v>
      </c>
      <c r="C2627" s="49" t="s">
        <v>449</v>
      </c>
      <c r="D2627">
        <v>99</v>
      </c>
      <c r="E2627" s="49" t="s">
        <v>378</v>
      </c>
    </row>
    <row r="2628" spans="1:5" x14ac:dyDescent="0.3">
      <c r="A2628" s="49" t="s">
        <v>1555</v>
      </c>
      <c r="B2628" s="49" t="s">
        <v>578</v>
      </c>
      <c r="C2628" s="49" t="s">
        <v>449</v>
      </c>
      <c r="D2628">
        <v>98</v>
      </c>
      <c r="E2628" s="49" t="s">
        <v>378</v>
      </c>
    </row>
    <row r="2629" spans="1:5" x14ac:dyDescent="0.3">
      <c r="A2629" s="49" t="s">
        <v>1555</v>
      </c>
      <c r="B2629" s="49" t="s">
        <v>578</v>
      </c>
      <c r="C2629" s="49" t="s">
        <v>449</v>
      </c>
      <c r="D2629">
        <v>99</v>
      </c>
      <c r="E2629" s="49" t="s">
        <v>378</v>
      </c>
    </row>
    <row r="2630" spans="1:5" x14ac:dyDescent="0.3">
      <c r="A2630" s="49" t="s">
        <v>1556</v>
      </c>
      <c r="B2630" s="49" t="s">
        <v>578</v>
      </c>
      <c r="C2630" s="49" t="s">
        <v>449</v>
      </c>
      <c r="D2630">
        <v>98</v>
      </c>
      <c r="E2630" s="49" t="s">
        <v>378</v>
      </c>
    </row>
    <row r="2631" spans="1:5" x14ac:dyDescent="0.3">
      <c r="A2631" s="49" t="s">
        <v>1556</v>
      </c>
      <c r="B2631" s="49" t="s">
        <v>578</v>
      </c>
      <c r="C2631" s="49" t="s">
        <v>449</v>
      </c>
      <c r="D2631">
        <v>99</v>
      </c>
      <c r="E2631" s="49" t="s">
        <v>378</v>
      </c>
    </row>
    <row r="2632" spans="1:5" x14ac:dyDescent="0.3">
      <c r="A2632" s="49" t="s">
        <v>1557</v>
      </c>
      <c r="B2632" s="49" t="s">
        <v>578</v>
      </c>
      <c r="C2632" s="49" t="s">
        <v>449</v>
      </c>
      <c r="D2632">
        <v>98</v>
      </c>
      <c r="E2632" s="49" t="s">
        <v>378</v>
      </c>
    </row>
    <row r="2633" spans="1:5" x14ac:dyDescent="0.3">
      <c r="A2633" s="49" t="s">
        <v>1557</v>
      </c>
      <c r="B2633" s="49" t="s">
        <v>578</v>
      </c>
      <c r="C2633" s="49" t="s">
        <v>449</v>
      </c>
      <c r="D2633">
        <v>99</v>
      </c>
      <c r="E2633" s="49" t="s">
        <v>378</v>
      </c>
    </row>
    <row r="2634" spans="1:5" x14ac:dyDescent="0.3">
      <c r="A2634" s="49" t="s">
        <v>1558</v>
      </c>
      <c r="B2634" s="49" t="s">
        <v>578</v>
      </c>
      <c r="C2634" s="49" t="s">
        <v>449</v>
      </c>
      <c r="D2634">
        <v>98</v>
      </c>
      <c r="E2634" s="49" t="s">
        <v>378</v>
      </c>
    </row>
    <row r="2635" spans="1:5" x14ac:dyDescent="0.3">
      <c r="A2635" s="49" t="s">
        <v>1558</v>
      </c>
      <c r="B2635" s="49" t="s">
        <v>578</v>
      </c>
      <c r="C2635" s="49" t="s">
        <v>449</v>
      </c>
      <c r="D2635">
        <v>99</v>
      </c>
      <c r="E2635" s="49" t="s">
        <v>378</v>
      </c>
    </row>
    <row r="2636" spans="1:5" x14ac:dyDescent="0.3">
      <c r="A2636" s="49" t="s">
        <v>1559</v>
      </c>
      <c r="B2636" s="49" t="s">
        <v>578</v>
      </c>
      <c r="C2636" s="49" t="s">
        <v>449</v>
      </c>
      <c r="D2636">
        <v>98</v>
      </c>
      <c r="E2636" s="49" t="s">
        <v>378</v>
      </c>
    </row>
    <row r="2637" spans="1:5" x14ac:dyDescent="0.3">
      <c r="A2637" s="49" t="s">
        <v>1559</v>
      </c>
      <c r="B2637" s="49" t="s">
        <v>578</v>
      </c>
      <c r="C2637" s="49" t="s">
        <v>449</v>
      </c>
      <c r="D2637">
        <v>99</v>
      </c>
      <c r="E2637" s="49" t="s">
        <v>378</v>
      </c>
    </row>
    <row r="2638" spans="1:5" x14ac:dyDescent="0.3">
      <c r="A2638" s="49" t="s">
        <v>1560</v>
      </c>
      <c r="B2638" s="49" t="s">
        <v>578</v>
      </c>
      <c r="C2638" s="49" t="s">
        <v>449</v>
      </c>
      <c r="D2638">
        <v>98</v>
      </c>
      <c r="E2638" s="49" t="s">
        <v>378</v>
      </c>
    </row>
    <row r="2639" spans="1:5" x14ac:dyDescent="0.3">
      <c r="A2639" s="49" t="s">
        <v>1560</v>
      </c>
      <c r="B2639" s="49" t="s">
        <v>578</v>
      </c>
      <c r="C2639" s="49" t="s">
        <v>449</v>
      </c>
      <c r="D2639">
        <v>99</v>
      </c>
      <c r="E2639" s="49" t="s">
        <v>378</v>
      </c>
    </row>
    <row r="2640" spans="1:5" x14ac:dyDescent="0.3">
      <c r="A2640" s="49" t="s">
        <v>1561</v>
      </c>
      <c r="B2640" s="49" t="s">
        <v>578</v>
      </c>
      <c r="C2640" s="49" t="s">
        <v>449</v>
      </c>
      <c r="D2640">
        <v>98</v>
      </c>
      <c r="E2640" s="49" t="s">
        <v>378</v>
      </c>
    </row>
    <row r="2641" spans="1:5" x14ac:dyDescent="0.3">
      <c r="A2641" s="49" t="s">
        <v>1561</v>
      </c>
      <c r="B2641" s="49" t="s">
        <v>578</v>
      </c>
      <c r="C2641" s="49" t="s">
        <v>449</v>
      </c>
      <c r="D2641">
        <v>99</v>
      </c>
      <c r="E2641" s="49" t="s">
        <v>378</v>
      </c>
    </row>
    <row r="2642" spans="1:5" x14ac:dyDescent="0.3">
      <c r="A2642" s="49" t="s">
        <v>1562</v>
      </c>
      <c r="B2642" s="49" t="s">
        <v>578</v>
      </c>
      <c r="C2642" s="49" t="s">
        <v>449</v>
      </c>
      <c r="D2642">
        <v>98</v>
      </c>
      <c r="E2642" s="49" t="s">
        <v>378</v>
      </c>
    </row>
    <row r="2643" spans="1:5" x14ac:dyDescent="0.3">
      <c r="A2643" s="49" t="s">
        <v>1562</v>
      </c>
      <c r="B2643" s="49" t="s">
        <v>578</v>
      </c>
      <c r="C2643" s="49" t="s">
        <v>449</v>
      </c>
      <c r="D2643">
        <v>99</v>
      </c>
      <c r="E2643" s="49" t="s">
        <v>378</v>
      </c>
    </row>
    <row r="2644" spans="1:5" x14ac:dyDescent="0.3">
      <c r="A2644" s="49" t="s">
        <v>1563</v>
      </c>
      <c r="B2644" s="49" t="s">
        <v>578</v>
      </c>
      <c r="C2644" s="49" t="s">
        <v>449</v>
      </c>
      <c r="D2644">
        <v>98</v>
      </c>
      <c r="E2644" s="49" t="s">
        <v>378</v>
      </c>
    </row>
    <row r="2645" spans="1:5" x14ac:dyDescent="0.3">
      <c r="A2645" s="49" t="s">
        <v>1563</v>
      </c>
      <c r="B2645" s="49" t="s">
        <v>578</v>
      </c>
      <c r="C2645" s="49" t="s">
        <v>449</v>
      </c>
      <c r="D2645">
        <v>99</v>
      </c>
      <c r="E2645" s="49" t="s">
        <v>378</v>
      </c>
    </row>
    <row r="2646" spans="1:5" x14ac:dyDescent="0.3">
      <c r="A2646" s="49" t="s">
        <v>1564</v>
      </c>
      <c r="B2646" s="49" t="s">
        <v>578</v>
      </c>
      <c r="C2646" s="49" t="s">
        <v>449</v>
      </c>
      <c r="D2646">
        <v>98</v>
      </c>
      <c r="E2646" s="49" t="s">
        <v>378</v>
      </c>
    </row>
    <row r="2647" spans="1:5" x14ac:dyDescent="0.3">
      <c r="A2647" s="49" t="s">
        <v>1564</v>
      </c>
      <c r="B2647" s="49" t="s">
        <v>578</v>
      </c>
      <c r="C2647" s="49" t="s">
        <v>449</v>
      </c>
      <c r="D2647">
        <v>99</v>
      </c>
      <c r="E2647" s="49" t="s">
        <v>378</v>
      </c>
    </row>
    <row r="2648" spans="1:5" x14ac:dyDescent="0.3">
      <c r="A2648" s="49" t="s">
        <v>1565</v>
      </c>
      <c r="B2648" s="49" t="s">
        <v>578</v>
      </c>
      <c r="C2648" s="49" t="s">
        <v>449</v>
      </c>
      <c r="D2648">
        <v>98</v>
      </c>
      <c r="E2648" s="49" t="s">
        <v>378</v>
      </c>
    </row>
    <row r="2649" spans="1:5" x14ac:dyDescent="0.3">
      <c r="A2649" s="49" t="s">
        <v>1565</v>
      </c>
      <c r="B2649" s="49" t="s">
        <v>578</v>
      </c>
      <c r="C2649" s="49" t="s">
        <v>449</v>
      </c>
      <c r="D2649">
        <v>99</v>
      </c>
      <c r="E2649" s="49" t="s">
        <v>378</v>
      </c>
    </row>
    <row r="2650" spans="1:5" x14ac:dyDescent="0.3">
      <c r="A2650" s="49" t="s">
        <v>1566</v>
      </c>
      <c r="B2650" s="49" t="s">
        <v>578</v>
      </c>
      <c r="C2650" s="49" t="s">
        <v>449</v>
      </c>
      <c r="D2650">
        <v>98</v>
      </c>
      <c r="E2650" s="49" t="s">
        <v>378</v>
      </c>
    </row>
    <row r="2651" spans="1:5" x14ac:dyDescent="0.3">
      <c r="A2651" s="49" t="s">
        <v>1566</v>
      </c>
      <c r="B2651" s="49" t="s">
        <v>578</v>
      </c>
      <c r="C2651" s="49" t="s">
        <v>449</v>
      </c>
      <c r="D2651">
        <v>99</v>
      </c>
      <c r="E2651" s="49" t="s">
        <v>378</v>
      </c>
    </row>
    <row r="2652" spans="1:5" x14ac:dyDescent="0.3">
      <c r="A2652" s="49" t="s">
        <v>1567</v>
      </c>
      <c r="B2652" s="49" t="s">
        <v>578</v>
      </c>
      <c r="C2652" s="49" t="s">
        <v>449</v>
      </c>
      <c r="D2652">
        <v>98</v>
      </c>
      <c r="E2652" s="49" t="s">
        <v>378</v>
      </c>
    </row>
    <row r="2653" spans="1:5" x14ac:dyDescent="0.3">
      <c r="A2653" s="49" t="s">
        <v>1567</v>
      </c>
      <c r="B2653" s="49" t="s">
        <v>578</v>
      </c>
      <c r="C2653" s="49" t="s">
        <v>449</v>
      </c>
      <c r="D2653">
        <v>99</v>
      </c>
      <c r="E2653" s="49" t="s">
        <v>378</v>
      </c>
    </row>
    <row r="2654" spans="1:5" x14ac:dyDescent="0.3">
      <c r="A2654" s="49" t="s">
        <v>1568</v>
      </c>
      <c r="B2654" s="49" t="s">
        <v>578</v>
      </c>
      <c r="C2654" s="49" t="s">
        <v>449</v>
      </c>
      <c r="D2654">
        <v>98</v>
      </c>
      <c r="E2654" s="49" t="s">
        <v>378</v>
      </c>
    </row>
    <row r="2655" spans="1:5" x14ac:dyDescent="0.3">
      <c r="A2655" s="49" t="s">
        <v>1568</v>
      </c>
      <c r="B2655" s="49" t="s">
        <v>578</v>
      </c>
      <c r="C2655" s="49" t="s">
        <v>449</v>
      </c>
      <c r="D2655">
        <v>99</v>
      </c>
      <c r="E2655" s="49" t="s">
        <v>378</v>
      </c>
    </row>
    <row r="2656" spans="1:5" x14ac:dyDescent="0.3">
      <c r="A2656" s="49" t="s">
        <v>1569</v>
      </c>
      <c r="B2656" s="49" t="s">
        <v>578</v>
      </c>
      <c r="C2656" s="49" t="s">
        <v>449</v>
      </c>
      <c r="D2656">
        <v>98</v>
      </c>
      <c r="E2656" s="49" t="s">
        <v>378</v>
      </c>
    </row>
    <row r="2657" spans="1:5" x14ac:dyDescent="0.3">
      <c r="A2657" s="49" t="s">
        <v>1569</v>
      </c>
      <c r="B2657" s="49" t="s">
        <v>578</v>
      </c>
      <c r="C2657" s="49" t="s">
        <v>449</v>
      </c>
      <c r="D2657">
        <v>99</v>
      </c>
      <c r="E2657" s="49" t="s">
        <v>378</v>
      </c>
    </row>
    <row r="2658" spans="1:5" x14ac:dyDescent="0.3">
      <c r="A2658" s="49" t="s">
        <v>1570</v>
      </c>
      <c r="B2658" s="49" t="s">
        <v>578</v>
      </c>
      <c r="C2658" s="49" t="s">
        <v>449</v>
      </c>
      <c r="D2658">
        <v>98</v>
      </c>
      <c r="E2658" s="49" t="s">
        <v>378</v>
      </c>
    </row>
    <row r="2659" spans="1:5" x14ac:dyDescent="0.3">
      <c r="A2659" s="49" t="s">
        <v>1570</v>
      </c>
      <c r="B2659" s="49" t="s">
        <v>578</v>
      </c>
      <c r="C2659" s="49" t="s">
        <v>449</v>
      </c>
      <c r="D2659">
        <v>99</v>
      </c>
      <c r="E2659" s="49" t="s">
        <v>378</v>
      </c>
    </row>
    <row r="2660" spans="1:5" x14ac:dyDescent="0.3">
      <c r="A2660" s="49" t="s">
        <v>1571</v>
      </c>
      <c r="B2660" s="49" t="s">
        <v>578</v>
      </c>
      <c r="C2660" s="49" t="s">
        <v>449</v>
      </c>
      <c r="D2660">
        <v>98</v>
      </c>
      <c r="E2660" s="49" t="s">
        <v>378</v>
      </c>
    </row>
    <row r="2661" spans="1:5" x14ac:dyDescent="0.3">
      <c r="A2661" s="49" t="s">
        <v>1571</v>
      </c>
      <c r="B2661" s="49" t="s">
        <v>578</v>
      </c>
      <c r="C2661" s="49" t="s">
        <v>449</v>
      </c>
      <c r="D2661">
        <v>99</v>
      </c>
      <c r="E2661" s="49" t="s">
        <v>378</v>
      </c>
    </row>
    <row r="2662" spans="1:5" x14ac:dyDescent="0.3">
      <c r="A2662" s="49" t="s">
        <v>1572</v>
      </c>
      <c r="B2662" s="49" t="s">
        <v>578</v>
      </c>
      <c r="C2662" s="49" t="s">
        <v>449</v>
      </c>
      <c r="D2662">
        <v>98</v>
      </c>
      <c r="E2662" s="49" t="s">
        <v>378</v>
      </c>
    </row>
    <row r="2663" spans="1:5" x14ac:dyDescent="0.3">
      <c r="A2663" s="49" t="s">
        <v>1572</v>
      </c>
      <c r="B2663" s="49" t="s">
        <v>578</v>
      </c>
      <c r="C2663" s="49" t="s">
        <v>449</v>
      </c>
      <c r="D2663">
        <v>99</v>
      </c>
      <c r="E2663" s="49" t="s">
        <v>378</v>
      </c>
    </row>
    <row r="2664" spans="1:5" x14ac:dyDescent="0.3">
      <c r="A2664" s="49" t="s">
        <v>1573</v>
      </c>
      <c r="B2664" s="49" t="s">
        <v>578</v>
      </c>
      <c r="C2664" s="49" t="s">
        <v>449</v>
      </c>
      <c r="D2664">
        <v>98</v>
      </c>
      <c r="E2664" s="49" t="s">
        <v>378</v>
      </c>
    </row>
    <row r="2665" spans="1:5" x14ac:dyDescent="0.3">
      <c r="A2665" s="49" t="s">
        <v>1573</v>
      </c>
      <c r="B2665" s="49" t="s">
        <v>578</v>
      </c>
      <c r="C2665" s="49" t="s">
        <v>449</v>
      </c>
      <c r="D2665">
        <v>99</v>
      </c>
      <c r="E2665" s="49" t="s">
        <v>378</v>
      </c>
    </row>
    <row r="2666" spans="1:5" x14ac:dyDescent="0.3">
      <c r="A2666" s="49" t="s">
        <v>1574</v>
      </c>
      <c r="B2666" s="49" t="s">
        <v>578</v>
      </c>
      <c r="C2666" s="49" t="s">
        <v>449</v>
      </c>
      <c r="D2666">
        <v>98</v>
      </c>
      <c r="E2666" s="49" t="s">
        <v>378</v>
      </c>
    </row>
    <row r="2667" spans="1:5" x14ac:dyDescent="0.3">
      <c r="A2667" s="49" t="s">
        <v>1574</v>
      </c>
      <c r="B2667" s="49" t="s">
        <v>578</v>
      </c>
      <c r="C2667" s="49" t="s">
        <v>449</v>
      </c>
      <c r="D2667">
        <v>99</v>
      </c>
      <c r="E2667" s="49" t="s">
        <v>378</v>
      </c>
    </row>
    <row r="2668" spans="1:5" x14ac:dyDescent="0.3">
      <c r="A2668" s="49" t="s">
        <v>1575</v>
      </c>
      <c r="B2668" s="49" t="s">
        <v>578</v>
      </c>
      <c r="C2668" s="49" t="s">
        <v>449</v>
      </c>
      <c r="D2668">
        <v>98</v>
      </c>
      <c r="E2668" s="49" t="s">
        <v>378</v>
      </c>
    </row>
    <row r="2669" spans="1:5" x14ac:dyDescent="0.3">
      <c r="A2669" s="49" t="s">
        <v>1575</v>
      </c>
      <c r="B2669" s="49" t="s">
        <v>578</v>
      </c>
      <c r="C2669" s="49" t="s">
        <v>449</v>
      </c>
      <c r="D2669">
        <v>99</v>
      </c>
      <c r="E2669" s="49" t="s">
        <v>378</v>
      </c>
    </row>
    <row r="2670" spans="1:5" x14ac:dyDescent="0.3">
      <c r="A2670" s="49" t="s">
        <v>1576</v>
      </c>
      <c r="B2670" s="49" t="s">
        <v>578</v>
      </c>
      <c r="C2670" s="49" t="s">
        <v>449</v>
      </c>
      <c r="D2670">
        <v>98</v>
      </c>
      <c r="E2670" s="49" t="s">
        <v>378</v>
      </c>
    </row>
    <row r="2671" spans="1:5" x14ac:dyDescent="0.3">
      <c r="A2671" s="49" t="s">
        <v>1576</v>
      </c>
      <c r="B2671" s="49" t="s">
        <v>578</v>
      </c>
      <c r="C2671" s="49" t="s">
        <v>449</v>
      </c>
      <c r="D2671">
        <v>99</v>
      </c>
      <c r="E2671" s="49" t="s">
        <v>378</v>
      </c>
    </row>
    <row r="2672" spans="1:5" x14ac:dyDescent="0.3">
      <c r="A2672" s="49" t="s">
        <v>1577</v>
      </c>
      <c r="B2672" s="49" t="s">
        <v>578</v>
      </c>
      <c r="C2672" s="49" t="s">
        <v>449</v>
      </c>
      <c r="D2672">
        <v>98</v>
      </c>
      <c r="E2672" s="49" t="s">
        <v>378</v>
      </c>
    </row>
    <row r="2673" spans="1:5" x14ac:dyDescent="0.3">
      <c r="A2673" s="49" t="s">
        <v>1577</v>
      </c>
      <c r="B2673" s="49" t="s">
        <v>578</v>
      </c>
      <c r="C2673" s="49" t="s">
        <v>449</v>
      </c>
      <c r="D2673">
        <v>99</v>
      </c>
      <c r="E2673" s="49" t="s">
        <v>378</v>
      </c>
    </row>
    <row r="2674" spans="1:5" x14ac:dyDescent="0.3">
      <c r="A2674" s="49" t="s">
        <v>1578</v>
      </c>
      <c r="B2674" s="49" t="s">
        <v>578</v>
      </c>
      <c r="C2674" s="49" t="s">
        <v>449</v>
      </c>
      <c r="D2674">
        <v>98</v>
      </c>
      <c r="E2674" s="49" t="s">
        <v>378</v>
      </c>
    </row>
    <row r="2675" spans="1:5" x14ac:dyDescent="0.3">
      <c r="A2675" s="49" t="s">
        <v>1578</v>
      </c>
      <c r="B2675" s="49" t="s">
        <v>578</v>
      </c>
      <c r="C2675" s="49" t="s">
        <v>449</v>
      </c>
      <c r="D2675">
        <v>99</v>
      </c>
      <c r="E2675" s="49" t="s">
        <v>378</v>
      </c>
    </row>
    <row r="2676" spans="1:5" x14ac:dyDescent="0.3">
      <c r="A2676" s="49" t="s">
        <v>1579</v>
      </c>
      <c r="B2676" s="49" t="s">
        <v>578</v>
      </c>
      <c r="C2676" s="49" t="s">
        <v>449</v>
      </c>
      <c r="D2676">
        <v>98</v>
      </c>
      <c r="E2676" s="49" t="s">
        <v>378</v>
      </c>
    </row>
    <row r="2677" spans="1:5" x14ac:dyDescent="0.3">
      <c r="A2677" s="49" t="s">
        <v>1579</v>
      </c>
      <c r="B2677" s="49" t="s">
        <v>578</v>
      </c>
      <c r="C2677" s="49" t="s">
        <v>449</v>
      </c>
      <c r="D2677">
        <v>99</v>
      </c>
      <c r="E2677" s="49" t="s">
        <v>378</v>
      </c>
    </row>
    <row r="2678" spans="1:5" x14ac:dyDescent="0.3">
      <c r="A2678" s="49" t="s">
        <v>1580</v>
      </c>
      <c r="B2678" s="49" t="s">
        <v>578</v>
      </c>
      <c r="C2678" s="49" t="s">
        <v>449</v>
      </c>
      <c r="D2678">
        <v>98</v>
      </c>
      <c r="E2678" s="49" t="s">
        <v>378</v>
      </c>
    </row>
    <row r="2679" spans="1:5" x14ac:dyDescent="0.3">
      <c r="A2679" s="49" t="s">
        <v>1580</v>
      </c>
      <c r="B2679" s="49" t="s">
        <v>578</v>
      </c>
      <c r="C2679" s="49" t="s">
        <v>449</v>
      </c>
      <c r="D2679">
        <v>99</v>
      </c>
      <c r="E2679" s="49" t="s">
        <v>378</v>
      </c>
    </row>
    <row r="2680" spans="1:5" x14ac:dyDescent="0.3">
      <c r="A2680" s="49" t="s">
        <v>1581</v>
      </c>
      <c r="B2680" s="49" t="s">
        <v>578</v>
      </c>
      <c r="C2680" s="49" t="s">
        <v>449</v>
      </c>
      <c r="D2680">
        <v>98</v>
      </c>
      <c r="E2680" s="49" t="s">
        <v>378</v>
      </c>
    </row>
    <row r="2681" spans="1:5" x14ac:dyDescent="0.3">
      <c r="A2681" s="49" t="s">
        <v>1581</v>
      </c>
      <c r="B2681" s="49" t="s">
        <v>578</v>
      </c>
      <c r="C2681" s="49" t="s">
        <v>449</v>
      </c>
      <c r="D2681">
        <v>99</v>
      </c>
      <c r="E2681" s="49" t="s">
        <v>378</v>
      </c>
    </row>
    <row r="2682" spans="1:5" x14ac:dyDescent="0.3">
      <c r="A2682" s="49" t="s">
        <v>1582</v>
      </c>
      <c r="B2682" s="49" t="s">
        <v>578</v>
      </c>
      <c r="C2682" s="49" t="s">
        <v>449</v>
      </c>
      <c r="D2682">
        <v>98</v>
      </c>
      <c r="E2682" s="49" t="s">
        <v>378</v>
      </c>
    </row>
    <row r="2683" spans="1:5" x14ac:dyDescent="0.3">
      <c r="A2683" s="49" t="s">
        <v>1582</v>
      </c>
      <c r="B2683" s="49" t="s">
        <v>578</v>
      </c>
      <c r="C2683" s="49" t="s">
        <v>449</v>
      </c>
      <c r="D2683">
        <v>99</v>
      </c>
      <c r="E2683" s="49" t="s">
        <v>378</v>
      </c>
    </row>
    <row r="2684" spans="1:5" x14ac:dyDescent="0.3">
      <c r="A2684" s="49" t="s">
        <v>1583</v>
      </c>
      <c r="B2684" s="49" t="s">
        <v>578</v>
      </c>
      <c r="C2684" s="49" t="s">
        <v>449</v>
      </c>
      <c r="D2684">
        <v>98</v>
      </c>
      <c r="E2684" s="49" t="s">
        <v>378</v>
      </c>
    </row>
    <row r="2685" spans="1:5" x14ac:dyDescent="0.3">
      <c r="A2685" s="49" t="s">
        <v>1583</v>
      </c>
      <c r="B2685" s="49" t="s">
        <v>578</v>
      </c>
      <c r="C2685" s="49" t="s">
        <v>449</v>
      </c>
      <c r="D2685">
        <v>99</v>
      </c>
      <c r="E2685" s="49" t="s">
        <v>378</v>
      </c>
    </row>
    <row r="2686" spans="1:5" x14ac:dyDescent="0.3">
      <c r="A2686" s="49" t="s">
        <v>1584</v>
      </c>
      <c r="B2686" s="49" t="s">
        <v>578</v>
      </c>
      <c r="C2686" s="49" t="s">
        <v>449</v>
      </c>
      <c r="D2686">
        <v>98</v>
      </c>
      <c r="E2686" s="49" t="s">
        <v>378</v>
      </c>
    </row>
    <row r="2687" spans="1:5" x14ac:dyDescent="0.3">
      <c r="A2687" s="49" t="s">
        <v>1584</v>
      </c>
      <c r="B2687" s="49" t="s">
        <v>578</v>
      </c>
      <c r="C2687" s="49" t="s">
        <v>449</v>
      </c>
      <c r="D2687">
        <v>99</v>
      </c>
      <c r="E2687" s="49" t="s">
        <v>378</v>
      </c>
    </row>
    <row r="2688" spans="1:5" x14ac:dyDescent="0.3">
      <c r="A2688" s="49" t="s">
        <v>1585</v>
      </c>
      <c r="B2688" s="49" t="s">
        <v>578</v>
      </c>
      <c r="C2688" s="49" t="s">
        <v>449</v>
      </c>
      <c r="D2688">
        <v>98</v>
      </c>
      <c r="E2688" s="49" t="s">
        <v>378</v>
      </c>
    </row>
    <row r="2689" spans="1:5" x14ac:dyDescent="0.3">
      <c r="A2689" s="49" t="s">
        <v>1585</v>
      </c>
      <c r="B2689" s="49" t="s">
        <v>578</v>
      </c>
      <c r="C2689" s="49" t="s">
        <v>449</v>
      </c>
      <c r="D2689">
        <v>99</v>
      </c>
      <c r="E2689" s="49" t="s">
        <v>378</v>
      </c>
    </row>
    <row r="2690" spans="1:5" x14ac:dyDescent="0.3">
      <c r="A2690" s="49" t="s">
        <v>1586</v>
      </c>
      <c r="B2690" s="49" t="s">
        <v>578</v>
      </c>
      <c r="C2690" s="49" t="s">
        <v>449</v>
      </c>
      <c r="D2690">
        <v>98</v>
      </c>
      <c r="E2690" s="49" t="s">
        <v>378</v>
      </c>
    </row>
    <row r="2691" spans="1:5" x14ac:dyDescent="0.3">
      <c r="A2691" s="49" t="s">
        <v>1586</v>
      </c>
      <c r="B2691" s="49" t="s">
        <v>578</v>
      </c>
      <c r="C2691" s="49" t="s">
        <v>449</v>
      </c>
      <c r="D2691">
        <v>99</v>
      </c>
      <c r="E2691" s="49" t="s">
        <v>378</v>
      </c>
    </row>
    <row r="2692" spans="1:5" x14ac:dyDescent="0.3">
      <c r="A2692" s="49" t="s">
        <v>1587</v>
      </c>
      <c r="B2692" s="49" t="s">
        <v>578</v>
      </c>
      <c r="C2692" s="49" t="s">
        <v>449</v>
      </c>
      <c r="D2692">
        <v>98</v>
      </c>
      <c r="E2692" s="49" t="s">
        <v>378</v>
      </c>
    </row>
    <row r="2693" spans="1:5" x14ac:dyDescent="0.3">
      <c r="A2693" s="49" t="s">
        <v>1587</v>
      </c>
      <c r="B2693" s="49" t="s">
        <v>578</v>
      </c>
      <c r="C2693" s="49" t="s">
        <v>449</v>
      </c>
      <c r="D2693">
        <v>99</v>
      </c>
      <c r="E2693" s="49" t="s">
        <v>378</v>
      </c>
    </row>
    <row r="2694" spans="1:5" x14ac:dyDescent="0.3">
      <c r="A2694" s="49" t="s">
        <v>1588</v>
      </c>
      <c r="B2694" s="49" t="s">
        <v>578</v>
      </c>
      <c r="C2694" s="49" t="s">
        <v>449</v>
      </c>
      <c r="D2694">
        <v>98</v>
      </c>
      <c r="E2694" s="49" t="s">
        <v>378</v>
      </c>
    </row>
    <row r="2695" spans="1:5" x14ac:dyDescent="0.3">
      <c r="A2695" s="49" t="s">
        <v>1588</v>
      </c>
      <c r="B2695" s="49" t="s">
        <v>578</v>
      </c>
      <c r="C2695" s="49" t="s">
        <v>449</v>
      </c>
      <c r="D2695">
        <v>99</v>
      </c>
      <c r="E2695" s="49" t="s">
        <v>378</v>
      </c>
    </row>
    <row r="2696" spans="1:5" x14ac:dyDescent="0.3">
      <c r="A2696" s="49" t="s">
        <v>1589</v>
      </c>
      <c r="B2696" s="49" t="s">
        <v>578</v>
      </c>
      <c r="C2696" s="49" t="s">
        <v>449</v>
      </c>
      <c r="D2696">
        <v>98</v>
      </c>
      <c r="E2696" s="49" t="s">
        <v>378</v>
      </c>
    </row>
    <row r="2697" spans="1:5" x14ac:dyDescent="0.3">
      <c r="A2697" s="49" t="s">
        <v>1589</v>
      </c>
      <c r="B2697" s="49" t="s">
        <v>578</v>
      </c>
      <c r="C2697" s="49" t="s">
        <v>449</v>
      </c>
      <c r="D2697">
        <v>99</v>
      </c>
      <c r="E2697" s="49" t="s">
        <v>378</v>
      </c>
    </row>
    <row r="2698" spans="1:5" x14ac:dyDescent="0.3">
      <c r="A2698" s="49" t="s">
        <v>1590</v>
      </c>
      <c r="B2698" s="49" t="s">
        <v>578</v>
      </c>
      <c r="C2698" s="49" t="s">
        <v>449</v>
      </c>
      <c r="D2698">
        <v>98</v>
      </c>
      <c r="E2698" s="49" t="s">
        <v>378</v>
      </c>
    </row>
    <row r="2699" spans="1:5" x14ac:dyDescent="0.3">
      <c r="A2699" s="49" t="s">
        <v>1590</v>
      </c>
      <c r="B2699" s="49" t="s">
        <v>578</v>
      </c>
      <c r="C2699" s="49" t="s">
        <v>449</v>
      </c>
      <c r="D2699">
        <v>99</v>
      </c>
      <c r="E2699" s="49" t="s">
        <v>378</v>
      </c>
    </row>
    <row r="2700" spans="1:5" x14ac:dyDescent="0.3">
      <c r="A2700" s="49" t="s">
        <v>1591</v>
      </c>
      <c r="B2700" s="49" t="s">
        <v>578</v>
      </c>
      <c r="C2700" s="49" t="s">
        <v>449</v>
      </c>
      <c r="D2700">
        <v>98</v>
      </c>
      <c r="E2700" s="49" t="s">
        <v>378</v>
      </c>
    </row>
    <row r="2701" spans="1:5" x14ac:dyDescent="0.3">
      <c r="A2701" s="49" t="s">
        <v>1591</v>
      </c>
      <c r="B2701" s="49" t="s">
        <v>578</v>
      </c>
      <c r="C2701" s="49" t="s">
        <v>449</v>
      </c>
      <c r="D2701">
        <v>99</v>
      </c>
      <c r="E2701" s="49" t="s">
        <v>378</v>
      </c>
    </row>
    <row r="2702" spans="1:5" x14ac:dyDescent="0.3">
      <c r="A2702" s="49" t="s">
        <v>1592</v>
      </c>
      <c r="B2702" s="49" t="s">
        <v>578</v>
      </c>
      <c r="C2702" s="49" t="s">
        <v>449</v>
      </c>
      <c r="D2702">
        <v>98</v>
      </c>
      <c r="E2702" s="49" t="s">
        <v>378</v>
      </c>
    </row>
    <row r="2703" spans="1:5" x14ac:dyDescent="0.3">
      <c r="A2703" s="49" t="s">
        <v>1592</v>
      </c>
      <c r="B2703" s="49" t="s">
        <v>578</v>
      </c>
      <c r="C2703" s="49" t="s">
        <v>449</v>
      </c>
      <c r="D2703">
        <v>99</v>
      </c>
      <c r="E2703" s="49" t="s">
        <v>378</v>
      </c>
    </row>
    <row r="2704" spans="1:5" x14ac:dyDescent="0.3">
      <c r="A2704" s="49" t="s">
        <v>1593</v>
      </c>
      <c r="B2704" s="49" t="s">
        <v>578</v>
      </c>
      <c r="C2704" s="49" t="s">
        <v>449</v>
      </c>
      <c r="D2704">
        <v>98</v>
      </c>
      <c r="E2704" s="49" t="s">
        <v>378</v>
      </c>
    </row>
    <row r="2705" spans="1:5" x14ac:dyDescent="0.3">
      <c r="A2705" s="49" t="s">
        <v>1593</v>
      </c>
      <c r="B2705" s="49" t="s">
        <v>578</v>
      </c>
      <c r="C2705" s="49" t="s">
        <v>449</v>
      </c>
      <c r="D2705">
        <v>99</v>
      </c>
      <c r="E2705" s="49" t="s">
        <v>378</v>
      </c>
    </row>
    <row r="2706" spans="1:5" x14ac:dyDescent="0.3">
      <c r="A2706" s="49" t="s">
        <v>1594</v>
      </c>
      <c r="B2706" s="49" t="s">
        <v>578</v>
      </c>
      <c r="C2706" s="49" t="s">
        <v>449</v>
      </c>
      <c r="D2706">
        <v>98</v>
      </c>
      <c r="E2706" s="49" t="s">
        <v>378</v>
      </c>
    </row>
    <row r="2707" spans="1:5" x14ac:dyDescent="0.3">
      <c r="A2707" s="49" t="s">
        <v>1594</v>
      </c>
      <c r="B2707" s="49" t="s">
        <v>578</v>
      </c>
      <c r="C2707" s="49" t="s">
        <v>449</v>
      </c>
      <c r="D2707">
        <v>99</v>
      </c>
      <c r="E2707" s="49" t="s">
        <v>378</v>
      </c>
    </row>
    <row r="2708" spans="1:5" x14ac:dyDescent="0.3">
      <c r="A2708" s="49" t="s">
        <v>1595</v>
      </c>
      <c r="B2708" s="49" t="s">
        <v>578</v>
      </c>
      <c r="C2708" s="49" t="s">
        <v>449</v>
      </c>
      <c r="D2708">
        <v>98</v>
      </c>
      <c r="E2708" s="49" t="s">
        <v>378</v>
      </c>
    </row>
    <row r="2709" spans="1:5" x14ac:dyDescent="0.3">
      <c r="A2709" s="49" t="s">
        <v>1595</v>
      </c>
      <c r="B2709" s="49" t="s">
        <v>578</v>
      </c>
      <c r="C2709" s="49" t="s">
        <v>449</v>
      </c>
      <c r="D2709">
        <v>99</v>
      </c>
      <c r="E2709" s="49" t="s">
        <v>378</v>
      </c>
    </row>
    <row r="2710" spans="1:5" x14ac:dyDescent="0.3">
      <c r="A2710" s="49" t="s">
        <v>556</v>
      </c>
      <c r="B2710" s="49" t="s">
        <v>578</v>
      </c>
      <c r="C2710" s="49" t="s">
        <v>449</v>
      </c>
      <c r="D2710">
        <v>98</v>
      </c>
      <c r="E2710" s="49" t="s">
        <v>378</v>
      </c>
    </row>
    <row r="2711" spans="1:5" x14ac:dyDescent="0.3">
      <c r="A2711" s="49" t="s">
        <v>556</v>
      </c>
      <c r="B2711" s="49" t="s">
        <v>578</v>
      </c>
      <c r="C2711" s="49" t="s">
        <v>449</v>
      </c>
      <c r="D2711">
        <v>99</v>
      </c>
      <c r="E2711" s="49" t="s">
        <v>378</v>
      </c>
    </row>
    <row r="2712" spans="1:5" x14ac:dyDescent="0.3">
      <c r="A2712" s="49" t="s">
        <v>1596</v>
      </c>
      <c r="B2712" s="49" t="s">
        <v>578</v>
      </c>
      <c r="C2712" s="49" t="s">
        <v>449</v>
      </c>
      <c r="D2712">
        <v>98</v>
      </c>
      <c r="E2712" s="49" t="s">
        <v>378</v>
      </c>
    </row>
    <row r="2713" spans="1:5" x14ac:dyDescent="0.3">
      <c r="A2713" s="49" t="s">
        <v>1596</v>
      </c>
      <c r="B2713" s="49" t="s">
        <v>578</v>
      </c>
      <c r="C2713" s="49" t="s">
        <v>449</v>
      </c>
      <c r="D2713">
        <v>99</v>
      </c>
      <c r="E2713" s="49" t="s">
        <v>378</v>
      </c>
    </row>
    <row r="2714" spans="1:5" x14ac:dyDescent="0.3">
      <c r="A2714" s="49" t="s">
        <v>1597</v>
      </c>
      <c r="B2714" s="49" t="s">
        <v>578</v>
      </c>
      <c r="C2714" s="49" t="s">
        <v>449</v>
      </c>
      <c r="D2714">
        <v>98</v>
      </c>
      <c r="E2714" s="49" t="s">
        <v>378</v>
      </c>
    </row>
    <row r="2715" spans="1:5" x14ac:dyDescent="0.3">
      <c r="A2715" s="49" t="s">
        <v>1597</v>
      </c>
      <c r="B2715" s="49" t="s">
        <v>578</v>
      </c>
      <c r="C2715" s="49" t="s">
        <v>449</v>
      </c>
      <c r="D2715">
        <v>99</v>
      </c>
      <c r="E2715" s="49" t="s">
        <v>378</v>
      </c>
    </row>
    <row r="2716" spans="1:5" x14ac:dyDescent="0.3">
      <c r="A2716" s="49" t="s">
        <v>1598</v>
      </c>
      <c r="B2716" s="49" t="s">
        <v>578</v>
      </c>
      <c r="C2716" s="49" t="s">
        <v>449</v>
      </c>
      <c r="D2716">
        <v>98</v>
      </c>
      <c r="E2716" s="49" t="s">
        <v>378</v>
      </c>
    </row>
    <row r="2717" spans="1:5" x14ac:dyDescent="0.3">
      <c r="A2717" s="49" t="s">
        <v>1598</v>
      </c>
      <c r="B2717" s="49" t="s">
        <v>578</v>
      </c>
      <c r="C2717" s="49" t="s">
        <v>449</v>
      </c>
      <c r="D2717">
        <v>99</v>
      </c>
      <c r="E2717" s="49" t="s">
        <v>378</v>
      </c>
    </row>
    <row r="2718" spans="1:5" x14ac:dyDescent="0.3">
      <c r="A2718" s="49" t="s">
        <v>1599</v>
      </c>
      <c r="B2718" s="49" t="s">
        <v>578</v>
      </c>
      <c r="C2718" s="49" t="s">
        <v>449</v>
      </c>
      <c r="D2718">
        <v>98</v>
      </c>
      <c r="E2718" s="49" t="s">
        <v>378</v>
      </c>
    </row>
    <row r="2719" spans="1:5" x14ac:dyDescent="0.3">
      <c r="A2719" s="49" t="s">
        <v>1599</v>
      </c>
      <c r="B2719" s="49" t="s">
        <v>578</v>
      </c>
      <c r="C2719" s="49" t="s">
        <v>449</v>
      </c>
      <c r="D2719">
        <v>99</v>
      </c>
      <c r="E2719" s="49" t="s">
        <v>378</v>
      </c>
    </row>
    <row r="2720" spans="1:5" x14ac:dyDescent="0.3">
      <c r="A2720" s="49" t="s">
        <v>1600</v>
      </c>
      <c r="B2720" s="49" t="s">
        <v>578</v>
      </c>
      <c r="C2720" s="49" t="s">
        <v>449</v>
      </c>
      <c r="D2720">
        <v>98</v>
      </c>
      <c r="E2720" s="49" t="s">
        <v>378</v>
      </c>
    </row>
    <row r="2721" spans="1:5" x14ac:dyDescent="0.3">
      <c r="A2721" s="49" t="s">
        <v>1600</v>
      </c>
      <c r="B2721" s="49" t="s">
        <v>578</v>
      </c>
      <c r="C2721" s="49" t="s">
        <v>449</v>
      </c>
      <c r="D2721">
        <v>99</v>
      </c>
      <c r="E2721" s="49" t="s">
        <v>378</v>
      </c>
    </row>
    <row r="2722" spans="1:5" x14ac:dyDescent="0.3">
      <c r="A2722" s="49" t="s">
        <v>1601</v>
      </c>
      <c r="B2722" s="49" t="s">
        <v>578</v>
      </c>
      <c r="C2722" s="49" t="s">
        <v>449</v>
      </c>
      <c r="D2722">
        <v>98</v>
      </c>
      <c r="E2722" s="49" t="s">
        <v>378</v>
      </c>
    </row>
    <row r="2723" spans="1:5" x14ac:dyDescent="0.3">
      <c r="A2723" s="49" t="s">
        <v>1601</v>
      </c>
      <c r="B2723" s="49" t="s">
        <v>578</v>
      </c>
      <c r="C2723" s="49" t="s">
        <v>449</v>
      </c>
      <c r="D2723">
        <v>99</v>
      </c>
      <c r="E2723" s="49" t="s">
        <v>378</v>
      </c>
    </row>
    <row r="2724" spans="1:5" x14ac:dyDescent="0.3">
      <c r="A2724" s="49" t="s">
        <v>1602</v>
      </c>
      <c r="B2724" s="49" t="s">
        <v>578</v>
      </c>
      <c r="C2724" s="49" t="s">
        <v>449</v>
      </c>
      <c r="D2724">
        <v>98</v>
      </c>
      <c r="E2724" s="49" t="s">
        <v>378</v>
      </c>
    </row>
    <row r="2725" spans="1:5" x14ac:dyDescent="0.3">
      <c r="A2725" s="49" t="s">
        <v>1602</v>
      </c>
      <c r="B2725" s="49" t="s">
        <v>578</v>
      </c>
      <c r="C2725" s="49" t="s">
        <v>449</v>
      </c>
      <c r="D2725">
        <v>99</v>
      </c>
      <c r="E2725" s="49" t="s">
        <v>378</v>
      </c>
    </row>
    <row r="2726" spans="1:5" x14ac:dyDescent="0.3">
      <c r="A2726" s="49" t="s">
        <v>1603</v>
      </c>
      <c r="B2726" s="49" t="s">
        <v>578</v>
      </c>
      <c r="C2726" s="49" t="s">
        <v>449</v>
      </c>
      <c r="D2726">
        <v>98</v>
      </c>
      <c r="E2726" s="49" t="s">
        <v>378</v>
      </c>
    </row>
    <row r="2727" spans="1:5" x14ac:dyDescent="0.3">
      <c r="A2727" s="49" t="s">
        <v>1603</v>
      </c>
      <c r="B2727" s="49" t="s">
        <v>578</v>
      </c>
      <c r="C2727" s="49" t="s">
        <v>449</v>
      </c>
      <c r="D2727">
        <v>99</v>
      </c>
      <c r="E2727" s="49" t="s">
        <v>378</v>
      </c>
    </row>
    <row r="2728" spans="1:5" x14ac:dyDescent="0.3">
      <c r="A2728" s="49" t="s">
        <v>1604</v>
      </c>
      <c r="B2728" s="49" t="s">
        <v>578</v>
      </c>
      <c r="C2728" s="49" t="s">
        <v>449</v>
      </c>
      <c r="D2728">
        <v>98</v>
      </c>
      <c r="E2728" s="49" t="s">
        <v>378</v>
      </c>
    </row>
    <row r="2729" spans="1:5" x14ac:dyDescent="0.3">
      <c r="A2729" s="49" t="s">
        <v>1604</v>
      </c>
      <c r="B2729" s="49" t="s">
        <v>578</v>
      </c>
      <c r="C2729" s="49" t="s">
        <v>449</v>
      </c>
      <c r="D2729">
        <v>99</v>
      </c>
      <c r="E2729" s="49" t="s">
        <v>378</v>
      </c>
    </row>
    <row r="2730" spans="1:5" x14ac:dyDescent="0.3">
      <c r="A2730" s="49" t="s">
        <v>1605</v>
      </c>
      <c r="B2730" s="49" t="s">
        <v>578</v>
      </c>
      <c r="C2730" s="49" t="s">
        <v>449</v>
      </c>
      <c r="D2730">
        <v>98</v>
      </c>
      <c r="E2730" s="49" t="s">
        <v>378</v>
      </c>
    </row>
    <row r="2731" spans="1:5" x14ac:dyDescent="0.3">
      <c r="A2731" s="49" t="s">
        <v>1605</v>
      </c>
      <c r="B2731" s="49" t="s">
        <v>578</v>
      </c>
      <c r="C2731" s="49" t="s">
        <v>449</v>
      </c>
      <c r="D2731">
        <v>99</v>
      </c>
      <c r="E2731" s="49" t="s">
        <v>378</v>
      </c>
    </row>
    <row r="2732" spans="1:5" x14ac:dyDescent="0.3">
      <c r="A2732" s="49" t="s">
        <v>1606</v>
      </c>
      <c r="B2732" s="49" t="s">
        <v>578</v>
      </c>
      <c r="C2732" s="49" t="s">
        <v>449</v>
      </c>
      <c r="D2732">
        <v>98</v>
      </c>
      <c r="E2732" s="49" t="s">
        <v>378</v>
      </c>
    </row>
    <row r="2733" spans="1:5" x14ac:dyDescent="0.3">
      <c r="A2733" s="49" t="s">
        <v>1606</v>
      </c>
      <c r="B2733" s="49" t="s">
        <v>578</v>
      </c>
      <c r="C2733" s="49" t="s">
        <v>449</v>
      </c>
      <c r="D2733">
        <v>99</v>
      </c>
      <c r="E2733" s="49" t="s">
        <v>378</v>
      </c>
    </row>
    <row r="2734" spans="1:5" x14ac:dyDescent="0.3">
      <c r="A2734" s="49" t="s">
        <v>560</v>
      </c>
      <c r="B2734" s="49" t="s">
        <v>578</v>
      </c>
      <c r="C2734" s="49" t="s">
        <v>449</v>
      </c>
      <c r="D2734">
        <v>98</v>
      </c>
      <c r="E2734" s="49" t="s">
        <v>378</v>
      </c>
    </row>
    <row r="2735" spans="1:5" x14ac:dyDescent="0.3">
      <c r="A2735" s="49" t="s">
        <v>560</v>
      </c>
      <c r="B2735" s="49" t="s">
        <v>578</v>
      </c>
      <c r="C2735" s="49" t="s">
        <v>449</v>
      </c>
      <c r="D2735">
        <v>99</v>
      </c>
      <c r="E2735" s="49" t="s">
        <v>378</v>
      </c>
    </row>
    <row r="2736" spans="1:5" x14ac:dyDescent="0.3">
      <c r="A2736" s="49" t="s">
        <v>1607</v>
      </c>
      <c r="B2736" s="49" t="s">
        <v>578</v>
      </c>
      <c r="C2736" s="49" t="s">
        <v>449</v>
      </c>
      <c r="D2736">
        <v>98</v>
      </c>
      <c r="E2736" s="49" t="s">
        <v>378</v>
      </c>
    </row>
    <row r="2737" spans="1:5" x14ac:dyDescent="0.3">
      <c r="A2737" s="49" t="s">
        <v>1607</v>
      </c>
      <c r="B2737" s="49" t="s">
        <v>578</v>
      </c>
      <c r="C2737" s="49" t="s">
        <v>449</v>
      </c>
      <c r="D2737">
        <v>99</v>
      </c>
      <c r="E2737" s="49" t="s">
        <v>378</v>
      </c>
    </row>
    <row r="2738" spans="1:5" x14ac:dyDescent="0.3">
      <c r="A2738" s="49" t="s">
        <v>1608</v>
      </c>
      <c r="B2738" s="49" t="s">
        <v>578</v>
      </c>
      <c r="C2738" s="49" t="s">
        <v>449</v>
      </c>
      <c r="D2738">
        <v>98</v>
      </c>
      <c r="E2738" s="49" t="s">
        <v>378</v>
      </c>
    </row>
    <row r="2739" spans="1:5" x14ac:dyDescent="0.3">
      <c r="A2739" s="49" t="s">
        <v>1608</v>
      </c>
      <c r="B2739" s="49" t="s">
        <v>578</v>
      </c>
      <c r="C2739" s="49" t="s">
        <v>449</v>
      </c>
      <c r="D2739">
        <v>99</v>
      </c>
      <c r="E2739" s="49" t="s">
        <v>378</v>
      </c>
    </row>
    <row r="2740" spans="1:5" x14ac:dyDescent="0.3">
      <c r="A2740" s="49" t="s">
        <v>1609</v>
      </c>
      <c r="B2740" s="49" t="s">
        <v>578</v>
      </c>
      <c r="C2740" s="49" t="s">
        <v>449</v>
      </c>
      <c r="D2740">
        <v>98</v>
      </c>
      <c r="E2740" s="49" t="s">
        <v>378</v>
      </c>
    </row>
    <row r="2741" spans="1:5" x14ac:dyDescent="0.3">
      <c r="A2741" s="49" t="s">
        <v>1609</v>
      </c>
      <c r="B2741" s="49" t="s">
        <v>578</v>
      </c>
      <c r="C2741" s="49" t="s">
        <v>449</v>
      </c>
      <c r="D2741">
        <v>99</v>
      </c>
      <c r="E2741" s="49" t="s">
        <v>378</v>
      </c>
    </row>
    <row r="2742" spans="1:5" x14ac:dyDescent="0.3">
      <c r="A2742" s="49" t="s">
        <v>1610</v>
      </c>
      <c r="B2742" s="49" t="s">
        <v>578</v>
      </c>
      <c r="C2742" s="49" t="s">
        <v>449</v>
      </c>
      <c r="D2742">
        <v>98</v>
      </c>
      <c r="E2742" s="49" t="s">
        <v>378</v>
      </c>
    </row>
    <row r="2743" spans="1:5" x14ac:dyDescent="0.3">
      <c r="A2743" s="49" t="s">
        <v>1610</v>
      </c>
      <c r="B2743" s="49" t="s">
        <v>578</v>
      </c>
      <c r="C2743" s="49" t="s">
        <v>449</v>
      </c>
      <c r="D2743">
        <v>99</v>
      </c>
      <c r="E2743" s="49" t="s">
        <v>378</v>
      </c>
    </row>
    <row r="2744" spans="1:5" x14ac:dyDescent="0.3">
      <c r="A2744" s="49" t="s">
        <v>1611</v>
      </c>
      <c r="B2744" s="49" t="s">
        <v>578</v>
      </c>
      <c r="C2744" s="49" t="s">
        <v>449</v>
      </c>
      <c r="D2744">
        <v>98</v>
      </c>
      <c r="E2744" s="49" t="s">
        <v>378</v>
      </c>
    </row>
    <row r="2745" spans="1:5" x14ac:dyDescent="0.3">
      <c r="A2745" s="49" t="s">
        <v>1611</v>
      </c>
      <c r="B2745" s="49" t="s">
        <v>578</v>
      </c>
      <c r="C2745" s="49" t="s">
        <v>449</v>
      </c>
      <c r="D2745">
        <v>99</v>
      </c>
      <c r="E2745" s="49" t="s">
        <v>378</v>
      </c>
    </row>
    <row r="2746" spans="1:5" x14ac:dyDescent="0.3">
      <c r="A2746" s="49" t="s">
        <v>1612</v>
      </c>
      <c r="B2746" s="49" t="s">
        <v>578</v>
      </c>
      <c r="C2746" s="49" t="s">
        <v>449</v>
      </c>
      <c r="D2746">
        <v>98</v>
      </c>
      <c r="E2746" s="49" t="s">
        <v>378</v>
      </c>
    </row>
    <row r="2747" spans="1:5" x14ac:dyDescent="0.3">
      <c r="A2747" s="49" t="s">
        <v>1612</v>
      </c>
      <c r="B2747" s="49" t="s">
        <v>578</v>
      </c>
      <c r="C2747" s="49" t="s">
        <v>449</v>
      </c>
      <c r="D2747">
        <v>99</v>
      </c>
      <c r="E2747" s="49" t="s">
        <v>378</v>
      </c>
    </row>
    <row r="2748" spans="1:5" x14ac:dyDescent="0.3">
      <c r="A2748" s="49" t="s">
        <v>559</v>
      </c>
      <c r="B2748" s="49" t="s">
        <v>578</v>
      </c>
      <c r="C2748" s="49" t="s">
        <v>449</v>
      </c>
      <c r="D2748">
        <v>98</v>
      </c>
      <c r="E2748" s="49" t="s">
        <v>378</v>
      </c>
    </row>
    <row r="2749" spans="1:5" x14ac:dyDescent="0.3">
      <c r="A2749" s="49" t="s">
        <v>559</v>
      </c>
      <c r="B2749" s="49" t="s">
        <v>578</v>
      </c>
      <c r="C2749" s="49" t="s">
        <v>449</v>
      </c>
      <c r="D2749">
        <v>99</v>
      </c>
      <c r="E2749" s="49" t="s">
        <v>378</v>
      </c>
    </row>
    <row r="2750" spans="1:5" x14ac:dyDescent="0.3">
      <c r="A2750" s="49" t="s">
        <v>1613</v>
      </c>
      <c r="B2750" s="49" t="s">
        <v>578</v>
      </c>
      <c r="C2750" s="49" t="s">
        <v>449</v>
      </c>
      <c r="D2750">
        <v>98</v>
      </c>
      <c r="E2750" s="49" t="s">
        <v>378</v>
      </c>
    </row>
    <row r="2751" spans="1:5" x14ac:dyDescent="0.3">
      <c r="A2751" s="49" t="s">
        <v>1613</v>
      </c>
      <c r="B2751" s="49" t="s">
        <v>578</v>
      </c>
      <c r="C2751" s="49" t="s">
        <v>449</v>
      </c>
      <c r="D2751">
        <v>99</v>
      </c>
      <c r="E2751" s="49" t="s">
        <v>378</v>
      </c>
    </row>
    <row r="2752" spans="1:5" x14ac:dyDescent="0.3">
      <c r="A2752" s="49" t="s">
        <v>1614</v>
      </c>
      <c r="B2752" s="49" t="s">
        <v>578</v>
      </c>
      <c r="C2752" s="49" t="s">
        <v>449</v>
      </c>
      <c r="D2752">
        <v>98</v>
      </c>
      <c r="E2752" s="49" t="s">
        <v>378</v>
      </c>
    </row>
    <row r="2753" spans="1:5" x14ac:dyDescent="0.3">
      <c r="A2753" s="49" t="s">
        <v>1614</v>
      </c>
      <c r="B2753" s="49" t="s">
        <v>578</v>
      </c>
      <c r="C2753" s="49" t="s">
        <v>449</v>
      </c>
      <c r="D2753">
        <v>99</v>
      </c>
      <c r="E2753" s="49" t="s">
        <v>378</v>
      </c>
    </row>
    <row r="2754" spans="1:5" x14ac:dyDescent="0.3">
      <c r="A2754" s="49" t="s">
        <v>1615</v>
      </c>
      <c r="B2754" s="49" t="s">
        <v>578</v>
      </c>
      <c r="C2754" s="49" t="s">
        <v>449</v>
      </c>
      <c r="D2754">
        <v>98</v>
      </c>
      <c r="E2754" s="49" t="s">
        <v>378</v>
      </c>
    </row>
    <row r="2755" spans="1:5" x14ac:dyDescent="0.3">
      <c r="A2755" s="49" t="s">
        <v>1615</v>
      </c>
      <c r="B2755" s="49" t="s">
        <v>578</v>
      </c>
      <c r="C2755" s="49" t="s">
        <v>449</v>
      </c>
      <c r="D2755">
        <v>99</v>
      </c>
      <c r="E2755" s="49" t="s">
        <v>378</v>
      </c>
    </row>
    <row r="2756" spans="1:5" x14ac:dyDescent="0.3">
      <c r="A2756" s="49" t="s">
        <v>561</v>
      </c>
      <c r="B2756" s="49" t="s">
        <v>578</v>
      </c>
      <c r="C2756" s="49" t="s">
        <v>449</v>
      </c>
      <c r="D2756">
        <v>98</v>
      </c>
      <c r="E2756" s="49" t="s">
        <v>378</v>
      </c>
    </row>
    <row r="2757" spans="1:5" x14ac:dyDescent="0.3">
      <c r="A2757" s="49" t="s">
        <v>561</v>
      </c>
      <c r="B2757" s="49" t="s">
        <v>578</v>
      </c>
      <c r="C2757" s="49" t="s">
        <v>449</v>
      </c>
      <c r="D2757">
        <v>99</v>
      </c>
      <c r="E2757" s="49" t="s">
        <v>378</v>
      </c>
    </row>
    <row r="2758" spans="1:5" x14ac:dyDescent="0.3">
      <c r="A2758" s="49" t="s">
        <v>1616</v>
      </c>
      <c r="B2758" s="49" t="s">
        <v>578</v>
      </c>
      <c r="C2758" s="49" t="s">
        <v>449</v>
      </c>
      <c r="D2758">
        <v>98</v>
      </c>
      <c r="E2758" s="49" t="s">
        <v>378</v>
      </c>
    </row>
    <row r="2759" spans="1:5" x14ac:dyDescent="0.3">
      <c r="A2759" s="49" t="s">
        <v>1616</v>
      </c>
      <c r="B2759" s="49" t="s">
        <v>578</v>
      </c>
      <c r="C2759" s="49" t="s">
        <v>449</v>
      </c>
      <c r="D2759">
        <v>99</v>
      </c>
      <c r="E2759" s="49" t="s">
        <v>378</v>
      </c>
    </row>
    <row r="2760" spans="1:5" x14ac:dyDescent="0.3">
      <c r="A2760" s="49" t="s">
        <v>1617</v>
      </c>
      <c r="B2760" s="49" t="s">
        <v>578</v>
      </c>
      <c r="C2760" s="49" t="s">
        <v>449</v>
      </c>
      <c r="D2760">
        <v>98</v>
      </c>
      <c r="E2760" s="49" t="s">
        <v>378</v>
      </c>
    </row>
    <row r="2761" spans="1:5" x14ac:dyDescent="0.3">
      <c r="A2761" s="49" t="s">
        <v>1617</v>
      </c>
      <c r="B2761" s="49" t="s">
        <v>578</v>
      </c>
      <c r="C2761" s="49" t="s">
        <v>449</v>
      </c>
      <c r="D2761">
        <v>99</v>
      </c>
      <c r="E2761" s="49" t="s">
        <v>378</v>
      </c>
    </row>
    <row r="2762" spans="1:5" x14ac:dyDescent="0.3">
      <c r="A2762" s="49" t="s">
        <v>1618</v>
      </c>
      <c r="B2762" s="49" t="s">
        <v>578</v>
      </c>
      <c r="C2762" s="49" t="s">
        <v>449</v>
      </c>
      <c r="D2762">
        <v>98</v>
      </c>
      <c r="E2762" s="49" t="s">
        <v>378</v>
      </c>
    </row>
    <row r="2763" spans="1:5" x14ac:dyDescent="0.3">
      <c r="A2763" s="49" t="s">
        <v>1618</v>
      </c>
      <c r="B2763" s="49" t="s">
        <v>578</v>
      </c>
      <c r="C2763" s="49" t="s">
        <v>449</v>
      </c>
      <c r="D2763">
        <v>99</v>
      </c>
      <c r="E2763" s="49" t="s">
        <v>378</v>
      </c>
    </row>
    <row r="2764" spans="1:5" x14ac:dyDescent="0.3">
      <c r="A2764" s="49" t="s">
        <v>1619</v>
      </c>
      <c r="B2764" s="49" t="s">
        <v>578</v>
      </c>
      <c r="C2764" s="49" t="s">
        <v>449</v>
      </c>
      <c r="D2764">
        <v>98</v>
      </c>
      <c r="E2764" s="49" t="s">
        <v>378</v>
      </c>
    </row>
    <row r="2765" spans="1:5" x14ac:dyDescent="0.3">
      <c r="A2765" s="49" t="s">
        <v>1619</v>
      </c>
      <c r="B2765" s="49" t="s">
        <v>578</v>
      </c>
      <c r="C2765" s="49" t="s">
        <v>449</v>
      </c>
      <c r="D2765">
        <v>99</v>
      </c>
      <c r="E2765" s="49" t="s">
        <v>378</v>
      </c>
    </row>
    <row r="2766" spans="1:5" x14ac:dyDescent="0.3">
      <c r="A2766" s="49" t="s">
        <v>1620</v>
      </c>
      <c r="B2766" s="49" t="s">
        <v>578</v>
      </c>
      <c r="C2766" s="49" t="s">
        <v>449</v>
      </c>
      <c r="D2766">
        <v>98</v>
      </c>
      <c r="E2766" s="49" t="s">
        <v>378</v>
      </c>
    </row>
    <row r="2767" spans="1:5" x14ac:dyDescent="0.3">
      <c r="A2767" s="49" t="s">
        <v>1620</v>
      </c>
      <c r="B2767" s="49" t="s">
        <v>578</v>
      </c>
      <c r="C2767" s="49" t="s">
        <v>449</v>
      </c>
      <c r="D2767">
        <v>99</v>
      </c>
      <c r="E2767" s="49" t="s">
        <v>378</v>
      </c>
    </row>
    <row r="2768" spans="1:5" x14ac:dyDescent="0.3">
      <c r="A2768" s="49" t="s">
        <v>1621</v>
      </c>
      <c r="B2768" s="49" t="s">
        <v>578</v>
      </c>
      <c r="C2768" s="49" t="s">
        <v>449</v>
      </c>
      <c r="D2768">
        <v>98</v>
      </c>
      <c r="E2768" s="49" t="s">
        <v>378</v>
      </c>
    </row>
    <row r="2769" spans="1:5" x14ac:dyDescent="0.3">
      <c r="A2769" s="49" t="s">
        <v>1621</v>
      </c>
      <c r="B2769" s="49" t="s">
        <v>578</v>
      </c>
      <c r="C2769" s="49" t="s">
        <v>449</v>
      </c>
      <c r="D2769">
        <v>99</v>
      </c>
      <c r="E2769" s="49" t="s">
        <v>378</v>
      </c>
    </row>
    <row r="2770" spans="1:5" x14ac:dyDescent="0.3">
      <c r="A2770" s="49" t="s">
        <v>1622</v>
      </c>
      <c r="B2770" s="49" t="s">
        <v>578</v>
      </c>
      <c r="C2770" s="49" t="s">
        <v>449</v>
      </c>
      <c r="D2770">
        <v>98</v>
      </c>
      <c r="E2770" s="49" t="s">
        <v>378</v>
      </c>
    </row>
    <row r="2771" spans="1:5" x14ac:dyDescent="0.3">
      <c r="A2771" s="49" t="s">
        <v>1622</v>
      </c>
      <c r="B2771" s="49" t="s">
        <v>578</v>
      </c>
      <c r="C2771" s="49" t="s">
        <v>449</v>
      </c>
      <c r="D2771">
        <v>99</v>
      </c>
      <c r="E2771" s="49" t="s">
        <v>378</v>
      </c>
    </row>
    <row r="2772" spans="1:5" x14ac:dyDescent="0.3">
      <c r="A2772" s="49" t="s">
        <v>563</v>
      </c>
      <c r="B2772" s="49" t="s">
        <v>578</v>
      </c>
      <c r="C2772" s="49" t="s">
        <v>449</v>
      </c>
      <c r="D2772">
        <v>98</v>
      </c>
      <c r="E2772" s="49" t="s">
        <v>378</v>
      </c>
    </row>
    <row r="2773" spans="1:5" x14ac:dyDescent="0.3">
      <c r="A2773" s="49" t="s">
        <v>563</v>
      </c>
      <c r="B2773" s="49" t="s">
        <v>578</v>
      </c>
      <c r="C2773" s="49" t="s">
        <v>449</v>
      </c>
      <c r="D2773">
        <v>99</v>
      </c>
      <c r="E2773" s="49" t="s">
        <v>378</v>
      </c>
    </row>
    <row r="2774" spans="1:5" x14ac:dyDescent="0.3">
      <c r="A2774" s="49" t="s">
        <v>562</v>
      </c>
      <c r="B2774" s="49" t="s">
        <v>578</v>
      </c>
      <c r="C2774" s="49" t="s">
        <v>449</v>
      </c>
      <c r="D2774">
        <v>98</v>
      </c>
      <c r="E2774" s="49" t="s">
        <v>378</v>
      </c>
    </row>
    <row r="2775" spans="1:5" x14ac:dyDescent="0.3">
      <c r="A2775" s="49" t="s">
        <v>562</v>
      </c>
      <c r="B2775" s="49" t="s">
        <v>578</v>
      </c>
      <c r="C2775" s="49" t="s">
        <v>449</v>
      </c>
      <c r="D2775">
        <v>99</v>
      </c>
      <c r="E2775" s="49" t="s">
        <v>378</v>
      </c>
    </row>
    <row r="2776" spans="1:5" x14ac:dyDescent="0.3">
      <c r="A2776" s="49" t="s">
        <v>1623</v>
      </c>
      <c r="B2776" s="49" t="s">
        <v>578</v>
      </c>
      <c r="C2776" s="49" t="s">
        <v>449</v>
      </c>
      <c r="D2776">
        <v>98</v>
      </c>
      <c r="E2776" s="49" t="s">
        <v>378</v>
      </c>
    </row>
    <row r="2777" spans="1:5" x14ac:dyDescent="0.3">
      <c r="A2777" s="49" t="s">
        <v>1623</v>
      </c>
      <c r="B2777" s="49" t="s">
        <v>578</v>
      </c>
      <c r="C2777" s="49" t="s">
        <v>449</v>
      </c>
      <c r="D2777">
        <v>99</v>
      </c>
      <c r="E2777" s="49" t="s">
        <v>378</v>
      </c>
    </row>
    <row r="2778" spans="1:5" x14ac:dyDescent="0.3">
      <c r="A2778" s="49" t="s">
        <v>1624</v>
      </c>
      <c r="B2778" s="49" t="s">
        <v>578</v>
      </c>
      <c r="C2778" s="49" t="s">
        <v>449</v>
      </c>
      <c r="D2778">
        <v>98</v>
      </c>
      <c r="E2778" s="49" t="s">
        <v>378</v>
      </c>
    </row>
    <row r="2779" spans="1:5" x14ac:dyDescent="0.3">
      <c r="A2779" s="49" t="s">
        <v>1624</v>
      </c>
      <c r="B2779" s="49" t="s">
        <v>578</v>
      </c>
      <c r="C2779" s="49" t="s">
        <v>449</v>
      </c>
      <c r="D2779">
        <v>99</v>
      </c>
      <c r="E2779" s="49" t="s">
        <v>378</v>
      </c>
    </row>
    <row r="2780" spans="1:5" x14ac:dyDescent="0.3">
      <c r="A2780" s="49" t="s">
        <v>564</v>
      </c>
      <c r="B2780" s="49" t="s">
        <v>578</v>
      </c>
      <c r="C2780" s="49" t="s">
        <v>449</v>
      </c>
      <c r="D2780">
        <v>98</v>
      </c>
      <c r="E2780" s="49" t="s">
        <v>378</v>
      </c>
    </row>
    <row r="2781" spans="1:5" x14ac:dyDescent="0.3">
      <c r="A2781" s="49" t="s">
        <v>564</v>
      </c>
      <c r="B2781" s="49" t="s">
        <v>578</v>
      </c>
      <c r="C2781" s="49" t="s">
        <v>449</v>
      </c>
      <c r="D2781">
        <v>99</v>
      </c>
      <c r="E2781" s="49" t="s">
        <v>378</v>
      </c>
    </row>
    <row r="2782" spans="1:5" x14ac:dyDescent="0.3">
      <c r="A2782" s="49" t="s">
        <v>1625</v>
      </c>
      <c r="B2782" s="49" t="s">
        <v>578</v>
      </c>
      <c r="C2782" s="49" t="s">
        <v>449</v>
      </c>
      <c r="D2782">
        <v>98</v>
      </c>
      <c r="E2782" s="49" t="s">
        <v>378</v>
      </c>
    </row>
    <row r="2783" spans="1:5" x14ac:dyDescent="0.3">
      <c r="A2783" s="49" t="s">
        <v>1625</v>
      </c>
      <c r="B2783" s="49" t="s">
        <v>578</v>
      </c>
      <c r="C2783" s="49" t="s">
        <v>449</v>
      </c>
      <c r="D2783">
        <v>99</v>
      </c>
      <c r="E2783" s="49" t="s">
        <v>378</v>
      </c>
    </row>
    <row r="2784" spans="1:5" x14ac:dyDescent="0.3">
      <c r="A2784" s="49" t="s">
        <v>1626</v>
      </c>
      <c r="B2784" s="49" t="s">
        <v>578</v>
      </c>
      <c r="C2784" s="49" t="s">
        <v>449</v>
      </c>
      <c r="D2784">
        <v>98</v>
      </c>
      <c r="E2784" s="49" t="s">
        <v>378</v>
      </c>
    </row>
    <row r="2785" spans="1:5" x14ac:dyDescent="0.3">
      <c r="A2785" s="49" t="s">
        <v>1626</v>
      </c>
      <c r="B2785" s="49" t="s">
        <v>578</v>
      </c>
      <c r="C2785" s="49" t="s">
        <v>449</v>
      </c>
      <c r="D2785">
        <v>99</v>
      </c>
      <c r="E2785" s="49" t="s">
        <v>378</v>
      </c>
    </row>
    <row r="2786" spans="1:5" x14ac:dyDescent="0.3">
      <c r="A2786" s="49" t="s">
        <v>1627</v>
      </c>
      <c r="B2786" s="49" t="s">
        <v>578</v>
      </c>
      <c r="C2786" s="49" t="s">
        <v>449</v>
      </c>
      <c r="D2786">
        <v>98</v>
      </c>
      <c r="E2786" s="49" t="s">
        <v>378</v>
      </c>
    </row>
    <row r="2787" spans="1:5" x14ac:dyDescent="0.3">
      <c r="A2787" s="49" t="s">
        <v>1627</v>
      </c>
      <c r="B2787" s="49" t="s">
        <v>578</v>
      </c>
      <c r="C2787" s="49" t="s">
        <v>449</v>
      </c>
      <c r="D2787">
        <v>99</v>
      </c>
      <c r="E2787" s="49" t="s">
        <v>378</v>
      </c>
    </row>
    <row r="2788" spans="1:5" x14ac:dyDescent="0.3">
      <c r="A2788" s="49" t="s">
        <v>1628</v>
      </c>
      <c r="B2788" s="49" t="s">
        <v>578</v>
      </c>
      <c r="C2788" s="49" t="s">
        <v>449</v>
      </c>
      <c r="D2788">
        <v>98</v>
      </c>
      <c r="E2788" s="49" t="s">
        <v>378</v>
      </c>
    </row>
    <row r="2789" spans="1:5" x14ac:dyDescent="0.3">
      <c r="A2789" s="49" t="s">
        <v>1628</v>
      </c>
      <c r="B2789" s="49" t="s">
        <v>578</v>
      </c>
      <c r="C2789" s="49" t="s">
        <v>449</v>
      </c>
      <c r="D2789">
        <v>99</v>
      </c>
      <c r="E2789" s="49" t="s">
        <v>378</v>
      </c>
    </row>
    <row r="2790" spans="1:5" x14ac:dyDescent="0.3">
      <c r="A2790" s="49" t="s">
        <v>1629</v>
      </c>
      <c r="B2790" s="49" t="s">
        <v>578</v>
      </c>
      <c r="C2790" s="49" t="s">
        <v>449</v>
      </c>
      <c r="D2790">
        <v>98</v>
      </c>
      <c r="E2790" s="49" t="s">
        <v>378</v>
      </c>
    </row>
    <row r="2791" spans="1:5" x14ac:dyDescent="0.3">
      <c r="A2791" s="49" t="s">
        <v>1629</v>
      </c>
      <c r="B2791" s="49" t="s">
        <v>578</v>
      </c>
      <c r="C2791" s="49" t="s">
        <v>449</v>
      </c>
      <c r="D2791">
        <v>99</v>
      </c>
      <c r="E2791" s="49" t="s">
        <v>378</v>
      </c>
    </row>
    <row r="2792" spans="1:5" x14ac:dyDescent="0.3">
      <c r="A2792" s="49" t="s">
        <v>1630</v>
      </c>
      <c r="B2792" s="49" t="s">
        <v>578</v>
      </c>
      <c r="C2792" s="49" t="s">
        <v>449</v>
      </c>
      <c r="D2792">
        <v>98</v>
      </c>
      <c r="E2792" s="49" t="s">
        <v>378</v>
      </c>
    </row>
    <row r="2793" spans="1:5" x14ac:dyDescent="0.3">
      <c r="A2793" s="49" t="s">
        <v>1630</v>
      </c>
      <c r="B2793" s="49" t="s">
        <v>578</v>
      </c>
      <c r="C2793" s="49" t="s">
        <v>449</v>
      </c>
      <c r="D2793">
        <v>99</v>
      </c>
      <c r="E2793" s="49" t="s">
        <v>378</v>
      </c>
    </row>
    <row r="2794" spans="1:5" x14ac:dyDescent="0.3">
      <c r="A2794" s="49" t="s">
        <v>1631</v>
      </c>
      <c r="B2794" s="49" t="s">
        <v>578</v>
      </c>
      <c r="C2794" s="49" t="s">
        <v>449</v>
      </c>
      <c r="D2794">
        <v>98</v>
      </c>
      <c r="E2794" s="49" t="s">
        <v>378</v>
      </c>
    </row>
    <row r="2795" spans="1:5" x14ac:dyDescent="0.3">
      <c r="A2795" s="49" t="s">
        <v>1631</v>
      </c>
      <c r="B2795" s="49" t="s">
        <v>578</v>
      </c>
      <c r="C2795" s="49" t="s">
        <v>449</v>
      </c>
      <c r="D2795">
        <v>99</v>
      </c>
      <c r="E2795" s="49" t="s">
        <v>378</v>
      </c>
    </row>
    <row r="2796" spans="1:5" x14ac:dyDescent="0.3">
      <c r="A2796" s="49" t="s">
        <v>1632</v>
      </c>
      <c r="B2796" s="49" t="s">
        <v>578</v>
      </c>
      <c r="C2796" s="49" t="s">
        <v>449</v>
      </c>
      <c r="D2796">
        <v>98</v>
      </c>
      <c r="E2796" s="49" t="s">
        <v>378</v>
      </c>
    </row>
    <row r="2797" spans="1:5" x14ac:dyDescent="0.3">
      <c r="A2797" s="49" t="s">
        <v>1632</v>
      </c>
      <c r="B2797" s="49" t="s">
        <v>578</v>
      </c>
      <c r="C2797" s="49" t="s">
        <v>449</v>
      </c>
      <c r="D2797">
        <v>99</v>
      </c>
      <c r="E2797" s="49" t="s">
        <v>378</v>
      </c>
    </row>
    <row r="2798" spans="1:5" x14ac:dyDescent="0.3">
      <c r="A2798" s="49" t="s">
        <v>1633</v>
      </c>
      <c r="B2798" s="49" t="s">
        <v>578</v>
      </c>
      <c r="C2798" s="49" t="s">
        <v>449</v>
      </c>
      <c r="D2798">
        <v>98</v>
      </c>
      <c r="E2798" s="49" t="s">
        <v>378</v>
      </c>
    </row>
    <row r="2799" spans="1:5" x14ac:dyDescent="0.3">
      <c r="A2799" s="49" t="s">
        <v>1633</v>
      </c>
      <c r="B2799" s="49" t="s">
        <v>578</v>
      </c>
      <c r="C2799" s="49" t="s">
        <v>449</v>
      </c>
      <c r="D2799">
        <v>99</v>
      </c>
      <c r="E2799" s="49" t="s">
        <v>378</v>
      </c>
    </row>
    <row r="2800" spans="1:5" x14ac:dyDescent="0.3">
      <c r="A2800" s="49" t="s">
        <v>1634</v>
      </c>
      <c r="B2800" s="49" t="s">
        <v>578</v>
      </c>
      <c r="C2800" s="49" t="s">
        <v>449</v>
      </c>
      <c r="D2800">
        <v>98</v>
      </c>
      <c r="E2800" s="49" t="s">
        <v>378</v>
      </c>
    </row>
    <row r="2801" spans="1:5" x14ac:dyDescent="0.3">
      <c r="A2801" s="49" t="s">
        <v>1634</v>
      </c>
      <c r="B2801" s="49" t="s">
        <v>578</v>
      </c>
      <c r="C2801" s="49" t="s">
        <v>449</v>
      </c>
      <c r="D2801">
        <v>99</v>
      </c>
      <c r="E2801" s="49" t="s">
        <v>378</v>
      </c>
    </row>
    <row r="2802" spans="1:5" x14ac:dyDescent="0.3">
      <c r="A2802" s="49" t="s">
        <v>1635</v>
      </c>
      <c r="B2802" s="49" t="s">
        <v>578</v>
      </c>
      <c r="C2802" s="49" t="s">
        <v>449</v>
      </c>
      <c r="D2802">
        <v>98</v>
      </c>
      <c r="E2802" s="49" t="s">
        <v>378</v>
      </c>
    </row>
    <row r="2803" spans="1:5" x14ac:dyDescent="0.3">
      <c r="A2803" s="49" t="s">
        <v>1635</v>
      </c>
      <c r="B2803" s="49" t="s">
        <v>578</v>
      </c>
      <c r="C2803" s="49" t="s">
        <v>449</v>
      </c>
      <c r="D2803">
        <v>99</v>
      </c>
      <c r="E2803" s="49" t="s">
        <v>378</v>
      </c>
    </row>
    <row r="2804" spans="1:5" x14ac:dyDescent="0.3">
      <c r="A2804" s="49" t="s">
        <v>1636</v>
      </c>
      <c r="B2804" s="49" t="s">
        <v>578</v>
      </c>
      <c r="C2804" s="49" t="s">
        <v>449</v>
      </c>
      <c r="D2804">
        <v>98</v>
      </c>
      <c r="E2804" s="49" t="s">
        <v>378</v>
      </c>
    </row>
    <row r="2805" spans="1:5" x14ac:dyDescent="0.3">
      <c r="A2805" s="49" t="s">
        <v>1636</v>
      </c>
      <c r="B2805" s="49" t="s">
        <v>578</v>
      </c>
      <c r="C2805" s="49" t="s">
        <v>449</v>
      </c>
      <c r="D2805">
        <v>99</v>
      </c>
      <c r="E2805" s="49" t="s">
        <v>378</v>
      </c>
    </row>
    <row r="2806" spans="1:5" x14ac:dyDescent="0.3">
      <c r="A2806" s="49" t="s">
        <v>1637</v>
      </c>
      <c r="B2806" s="49" t="s">
        <v>578</v>
      </c>
      <c r="C2806" s="49" t="s">
        <v>449</v>
      </c>
      <c r="D2806">
        <v>98</v>
      </c>
      <c r="E2806" s="49" t="s">
        <v>378</v>
      </c>
    </row>
    <row r="2807" spans="1:5" x14ac:dyDescent="0.3">
      <c r="A2807" s="49" t="s">
        <v>1637</v>
      </c>
      <c r="B2807" s="49" t="s">
        <v>578</v>
      </c>
      <c r="C2807" s="49" t="s">
        <v>449</v>
      </c>
      <c r="D2807">
        <v>99</v>
      </c>
      <c r="E2807" s="49" t="s">
        <v>378</v>
      </c>
    </row>
    <row r="2808" spans="1:5" x14ac:dyDescent="0.3">
      <c r="A2808" s="49" t="s">
        <v>1638</v>
      </c>
      <c r="B2808" s="49" t="s">
        <v>578</v>
      </c>
      <c r="C2808" s="49" t="s">
        <v>449</v>
      </c>
      <c r="D2808">
        <v>98</v>
      </c>
      <c r="E2808" s="49" t="s">
        <v>378</v>
      </c>
    </row>
    <row r="2809" spans="1:5" x14ac:dyDescent="0.3">
      <c r="A2809" s="49" t="s">
        <v>1638</v>
      </c>
      <c r="B2809" s="49" t="s">
        <v>578</v>
      </c>
      <c r="C2809" s="49" t="s">
        <v>449</v>
      </c>
      <c r="D2809">
        <v>99</v>
      </c>
      <c r="E2809" s="49" t="s">
        <v>378</v>
      </c>
    </row>
    <row r="2810" spans="1:5" x14ac:dyDescent="0.3">
      <c r="A2810" s="49" t="s">
        <v>1639</v>
      </c>
      <c r="B2810" s="49" t="s">
        <v>578</v>
      </c>
      <c r="C2810" s="49" t="s">
        <v>449</v>
      </c>
      <c r="D2810">
        <v>98</v>
      </c>
      <c r="E2810" s="49" t="s">
        <v>378</v>
      </c>
    </row>
    <row r="2811" spans="1:5" x14ac:dyDescent="0.3">
      <c r="A2811" s="49" t="s">
        <v>1639</v>
      </c>
      <c r="B2811" s="49" t="s">
        <v>578</v>
      </c>
      <c r="C2811" s="49" t="s">
        <v>449</v>
      </c>
      <c r="D2811">
        <v>99</v>
      </c>
      <c r="E2811" s="49" t="s">
        <v>378</v>
      </c>
    </row>
    <row r="2812" spans="1:5" x14ac:dyDescent="0.3">
      <c r="A2812" s="49" t="s">
        <v>1640</v>
      </c>
      <c r="B2812" s="49" t="s">
        <v>578</v>
      </c>
      <c r="C2812" s="49" t="s">
        <v>449</v>
      </c>
      <c r="D2812">
        <v>98</v>
      </c>
      <c r="E2812" s="49" t="s">
        <v>378</v>
      </c>
    </row>
    <row r="2813" spans="1:5" x14ac:dyDescent="0.3">
      <c r="A2813" s="49" t="s">
        <v>1640</v>
      </c>
      <c r="B2813" s="49" t="s">
        <v>578</v>
      </c>
      <c r="C2813" s="49" t="s">
        <v>449</v>
      </c>
      <c r="D2813">
        <v>99</v>
      </c>
      <c r="E2813" s="49" t="s">
        <v>378</v>
      </c>
    </row>
    <row r="2814" spans="1:5" x14ac:dyDescent="0.3">
      <c r="A2814" s="49" t="s">
        <v>1641</v>
      </c>
      <c r="B2814" s="49" t="s">
        <v>578</v>
      </c>
      <c r="C2814" s="49" t="s">
        <v>449</v>
      </c>
      <c r="D2814">
        <v>98</v>
      </c>
      <c r="E2814" s="49" t="s">
        <v>378</v>
      </c>
    </row>
    <row r="2815" spans="1:5" x14ac:dyDescent="0.3">
      <c r="A2815" s="49" t="s">
        <v>1641</v>
      </c>
      <c r="B2815" s="49" t="s">
        <v>578</v>
      </c>
      <c r="C2815" s="49" t="s">
        <v>449</v>
      </c>
      <c r="D2815">
        <v>99</v>
      </c>
      <c r="E2815" s="49" t="s">
        <v>378</v>
      </c>
    </row>
    <row r="2816" spans="1:5" x14ac:dyDescent="0.3">
      <c r="A2816" s="49" t="s">
        <v>1642</v>
      </c>
      <c r="B2816" s="49" t="s">
        <v>578</v>
      </c>
      <c r="C2816" s="49" t="s">
        <v>449</v>
      </c>
      <c r="D2816">
        <v>98</v>
      </c>
      <c r="E2816" s="49" t="s">
        <v>378</v>
      </c>
    </row>
    <row r="2817" spans="1:5" x14ac:dyDescent="0.3">
      <c r="A2817" s="49" t="s">
        <v>1642</v>
      </c>
      <c r="B2817" s="49" t="s">
        <v>578</v>
      </c>
      <c r="C2817" s="49" t="s">
        <v>449</v>
      </c>
      <c r="D2817">
        <v>99</v>
      </c>
      <c r="E2817" s="49" t="s">
        <v>378</v>
      </c>
    </row>
    <row r="2818" spans="1:5" x14ac:dyDescent="0.3">
      <c r="A2818" s="49" t="s">
        <v>1643</v>
      </c>
      <c r="B2818" s="49" t="s">
        <v>578</v>
      </c>
      <c r="C2818" s="49" t="s">
        <v>449</v>
      </c>
      <c r="D2818">
        <v>98</v>
      </c>
      <c r="E2818" s="49" t="s">
        <v>378</v>
      </c>
    </row>
    <row r="2819" spans="1:5" x14ac:dyDescent="0.3">
      <c r="A2819" s="49" t="s">
        <v>1643</v>
      </c>
      <c r="B2819" s="49" t="s">
        <v>578</v>
      </c>
      <c r="C2819" s="49" t="s">
        <v>449</v>
      </c>
      <c r="D2819">
        <v>99</v>
      </c>
      <c r="E2819" s="49" t="s">
        <v>378</v>
      </c>
    </row>
    <row r="2820" spans="1:5" x14ac:dyDescent="0.3">
      <c r="A2820" s="49" t="s">
        <v>1644</v>
      </c>
      <c r="B2820" s="49" t="s">
        <v>578</v>
      </c>
      <c r="C2820" s="49" t="s">
        <v>449</v>
      </c>
      <c r="D2820">
        <v>98</v>
      </c>
      <c r="E2820" s="49" t="s">
        <v>378</v>
      </c>
    </row>
    <row r="2821" spans="1:5" x14ac:dyDescent="0.3">
      <c r="A2821" s="49" t="s">
        <v>1644</v>
      </c>
      <c r="B2821" s="49" t="s">
        <v>578</v>
      </c>
      <c r="C2821" s="49" t="s">
        <v>449</v>
      </c>
      <c r="D2821">
        <v>99</v>
      </c>
      <c r="E2821" s="49" t="s">
        <v>378</v>
      </c>
    </row>
    <row r="2822" spans="1:5" x14ac:dyDescent="0.3">
      <c r="A2822" s="49" t="s">
        <v>1645</v>
      </c>
      <c r="B2822" s="49" t="s">
        <v>578</v>
      </c>
      <c r="C2822" s="49" t="s">
        <v>449</v>
      </c>
      <c r="D2822">
        <v>98</v>
      </c>
      <c r="E2822" s="49" t="s">
        <v>378</v>
      </c>
    </row>
    <row r="2823" spans="1:5" x14ac:dyDescent="0.3">
      <c r="A2823" s="49" t="s">
        <v>1645</v>
      </c>
      <c r="B2823" s="49" t="s">
        <v>578</v>
      </c>
      <c r="C2823" s="49" t="s">
        <v>449</v>
      </c>
      <c r="D2823">
        <v>99</v>
      </c>
      <c r="E2823" s="49" t="s">
        <v>378</v>
      </c>
    </row>
    <row r="2824" spans="1:5" x14ac:dyDescent="0.3">
      <c r="A2824" s="49" t="s">
        <v>1646</v>
      </c>
      <c r="B2824" s="49" t="s">
        <v>578</v>
      </c>
      <c r="C2824" s="49" t="s">
        <v>449</v>
      </c>
      <c r="D2824">
        <v>98</v>
      </c>
      <c r="E2824" s="49" t="s">
        <v>378</v>
      </c>
    </row>
    <row r="2825" spans="1:5" x14ac:dyDescent="0.3">
      <c r="A2825" s="49" t="s">
        <v>1646</v>
      </c>
      <c r="B2825" s="49" t="s">
        <v>578</v>
      </c>
      <c r="C2825" s="49" t="s">
        <v>449</v>
      </c>
      <c r="D2825">
        <v>99</v>
      </c>
      <c r="E2825" s="49" t="s">
        <v>378</v>
      </c>
    </row>
    <row r="2826" spans="1:5" x14ac:dyDescent="0.3">
      <c r="A2826" s="49" t="s">
        <v>1647</v>
      </c>
      <c r="B2826" s="49" t="s">
        <v>578</v>
      </c>
      <c r="C2826" s="49" t="s">
        <v>449</v>
      </c>
      <c r="D2826">
        <v>98</v>
      </c>
      <c r="E2826" s="49" t="s">
        <v>378</v>
      </c>
    </row>
    <row r="2827" spans="1:5" x14ac:dyDescent="0.3">
      <c r="A2827" s="49" t="s">
        <v>1647</v>
      </c>
      <c r="B2827" s="49" t="s">
        <v>578</v>
      </c>
      <c r="C2827" s="49" t="s">
        <v>449</v>
      </c>
      <c r="D2827">
        <v>99</v>
      </c>
      <c r="E2827" s="49" t="s">
        <v>378</v>
      </c>
    </row>
    <row r="2828" spans="1:5" x14ac:dyDescent="0.3">
      <c r="A2828" s="49" t="s">
        <v>275</v>
      </c>
      <c r="B2828" s="49" t="s">
        <v>276</v>
      </c>
      <c r="C2828" s="49" t="s">
        <v>449</v>
      </c>
      <c r="D2828">
        <v>0</v>
      </c>
      <c r="E2828" s="49" t="s">
        <v>378</v>
      </c>
    </row>
    <row r="2829" spans="1:5" x14ac:dyDescent="0.3">
      <c r="A2829" s="49" t="s">
        <v>277</v>
      </c>
      <c r="B2829" s="49" t="s">
        <v>276</v>
      </c>
      <c r="C2829" s="49" t="s">
        <v>449</v>
      </c>
      <c r="D2829">
        <v>0</v>
      </c>
      <c r="E2829" s="49" t="s">
        <v>378</v>
      </c>
    </row>
    <row r="2830" spans="1:5" x14ac:dyDescent="0.3">
      <c r="A2830" s="49" t="s">
        <v>193</v>
      </c>
      <c r="B2830" s="49" t="s">
        <v>276</v>
      </c>
      <c r="C2830" s="49" t="s">
        <v>449</v>
      </c>
      <c r="D2830">
        <v>0</v>
      </c>
      <c r="E2830" s="49" t="s">
        <v>378</v>
      </c>
    </row>
    <row r="2831" spans="1:5" x14ac:dyDescent="0.3">
      <c r="A2831" s="49" t="s">
        <v>191</v>
      </c>
      <c r="B2831" s="49" t="s">
        <v>276</v>
      </c>
      <c r="C2831" s="49" t="s">
        <v>449</v>
      </c>
      <c r="D2831">
        <v>0</v>
      </c>
      <c r="E2831" s="49" t="s">
        <v>378</v>
      </c>
    </row>
    <row r="2832" spans="1:5" x14ac:dyDescent="0.3">
      <c r="A2832" s="49" t="s">
        <v>278</v>
      </c>
      <c r="B2832" s="49" t="s">
        <v>244</v>
      </c>
      <c r="C2832" s="49" t="s">
        <v>449</v>
      </c>
      <c r="D2832">
        <v>1</v>
      </c>
      <c r="E2832" s="49" t="s">
        <v>378</v>
      </c>
    </row>
    <row r="2833" spans="1:5" x14ac:dyDescent="0.3">
      <c r="A2833" s="49" t="s">
        <v>279</v>
      </c>
      <c r="B2833" s="49" t="s">
        <v>244</v>
      </c>
      <c r="C2833" s="49" t="s">
        <v>449</v>
      </c>
      <c r="D2833">
        <v>1</v>
      </c>
      <c r="E2833" s="49" t="s">
        <v>378</v>
      </c>
    </row>
    <row r="2834" spans="1:5" x14ac:dyDescent="0.3">
      <c r="A2834" s="49" t="s">
        <v>280</v>
      </c>
      <c r="B2834" s="49" t="s">
        <v>244</v>
      </c>
      <c r="C2834" s="49" t="s">
        <v>449</v>
      </c>
      <c r="D2834">
        <v>1</v>
      </c>
      <c r="E2834" s="49" t="s">
        <v>378</v>
      </c>
    </row>
    <row r="2835" spans="1:5" x14ac:dyDescent="0.3">
      <c r="A2835" s="49" t="s">
        <v>281</v>
      </c>
      <c r="B2835" s="49" t="s">
        <v>244</v>
      </c>
      <c r="C2835" s="49" t="s">
        <v>449</v>
      </c>
      <c r="D2835">
        <v>1</v>
      </c>
      <c r="E2835" s="49" t="s">
        <v>378</v>
      </c>
    </row>
    <row r="2836" spans="1:5" x14ac:dyDescent="0.3">
      <c r="A2836" s="49" t="s">
        <v>282</v>
      </c>
      <c r="B2836" s="49" t="s">
        <v>244</v>
      </c>
      <c r="C2836" s="49" t="s">
        <v>449</v>
      </c>
      <c r="D2836">
        <v>1</v>
      </c>
      <c r="E2836" s="49" t="s">
        <v>378</v>
      </c>
    </row>
    <row r="2837" spans="1:5" x14ac:dyDescent="0.3">
      <c r="A2837" s="49" t="s">
        <v>283</v>
      </c>
      <c r="B2837" s="49" t="s">
        <v>244</v>
      </c>
      <c r="C2837" s="49" t="s">
        <v>449</v>
      </c>
      <c r="D2837">
        <v>1</v>
      </c>
      <c r="E2837" s="49" t="s">
        <v>378</v>
      </c>
    </row>
    <row r="2838" spans="1:5" x14ac:dyDescent="0.3">
      <c r="A2838" s="49" t="s">
        <v>284</v>
      </c>
      <c r="B2838" s="49" t="s">
        <v>244</v>
      </c>
      <c r="C2838" s="49" t="s">
        <v>449</v>
      </c>
      <c r="D2838">
        <v>1</v>
      </c>
      <c r="E2838" s="49" t="s">
        <v>378</v>
      </c>
    </row>
    <row r="2839" spans="1:5" x14ac:dyDescent="0.3">
      <c r="A2839" s="49" t="s">
        <v>285</v>
      </c>
      <c r="B2839" s="49" t="s">
        <v>244</v>
      </c>
      <c r="C2839" s="49" t="s">
        <v>449</v>
      </c>
      <c r="D2839">
        <v>1</v>
      </c>
      <c r="E2839" s="49" t="s">
        <v>378</v>
      </c>
    </row>
    <row r="2840" spans="1:5" x14ac:dyDescent="0.3">
      <c r="A2840" s="49" t="s">
        <v>286</v>
      </c>
      <c r="B2840" s="49" t="s">
        <v>244</v>
      </c>
      <c r="C2840" s="49" t="s">
        <v>449</v>
      </c>
      <c r="D2840">
        <v>1</v>
      </c>
      <c r="E2840" s="49" t="s">
        <v>378</v>
      </c>
    </row>
    <row r="2841" spans="1:5" x14ac:dyDescent="0.3">
      <c r="A2841" s="49" t="s">
        <v>287</v>
      </c>
      <c r="B2841" s="49" t="s">
        <v>244</v>
      </c>
      <c r="C2841" s="49" t="s">
        <v>449</v>
      </c>
      <c r="D2841">
        <v>1</v>
      </c>
      <c r="E2841" s="49" t="s">
        <v>378</v>
      </c>
    </row>
    <row r="2842" spans="1:5" x14ac:dyDescent="0.3">
      <c r="A2842" s="49" t="s">
        <v>288</v>
      </c>
      <c r="B2842" s="49" t="s">
        <v>244</v>
      </c>
      <c r="C2842" s="49" t="s">
        <v>449</v>
      </c>
      <c r="D2842">
        <v>1</v>
      </c>
      <c r="E2842" s="49" t="s">
        <v>378</v>
      </c>
    </row>
    <row r="2843" spans="1:5" x14ac:dyDescent="0.3">
      <c r="A2843" s="49" t="s">
        <v>289</v>
      </c>
      <c r="B2843" s="49" t="s">
        <v>244</v>
      </c>
      <c r="C2843" s="49" t="s">
        <v>449</v>
      </c>
      <c r="D2843">
        <v>1</v>
      </c>
      <c r="E2843" s="49" t="s">
        <v>378</v>
      </c>
    </row>
    <row r="2844" spans="1:5" x14ac:dyDescent="0.3">
      <c r="A2844" s="49" t="s">
        <v>290</v>
      </c>
      <c r="B2844" s="49" t="s">
        <v>244</v>
      </c>
      <c r="C2844" s="49" t="s">
        <v>449</v>
      </c>
      <c r="D2844">
        <v>1</v>
      </c>
      <c r="E2844" s="49" t="s">
        <v>378</v>
      </c>
    </row>
    <row r="2845" spans="1:5" x14ac:dyDescent="0.3">
      <c r="A2845" s="49" t="s">
        <v>291</v>
      </c>
      <c r="B2845" s="49" t="s">
        <v>244</v>
      </c>
      <c r="C2845" s="49" t="s">
        <v>449</v>
      </c>
      <c r="D2845">
        <v>1</v>
      </c>
      <c r="E2845" s="49" t="s">
        <v>378</v>
      </c>
    </row>
    <row r="2846" spans="1:5" x14ac:dyDescent="0.3">
      <c r="A2846" s="49" t="s">
        <v>292</v>
      </c>
      <c r="B2846" s="49" t="s">
        <v>244</v>
      </c>
      <c r="C2846" s="49" t="s">
        <v>449</v>
      </c>
      <c r="D2846">
        <v>1</v>
      </c>
      <c r="E2846" s="49" t="s">
        <v>378</v>
      </c>
    </row>
    <row r="2847" spans="1:5" x14ac:dyDescent="0.3">
      <c r="A2847" s="49" t="s">
        <v>293</v>
      </c>
      <c r="B2847" s="49" t="s">
        <v>244</v>
      </c>
      <c r="C2847" s="49" t="s">
        <v>449</v>
      </c>
      <c r="D2847">
        <v>1</v>
      </c>
      <c r="E2847" s="49" t="s">
        <v>378</v>
      </c>
    </row>
    <row r="2848" spans="1:5" x14ac:dyDescent="0.3">
      <c r="A2848" s="49" t="s">
        <v>294</v>
      </c>
      <c r="B2848" s="49" t="s">
        <v>244</v>
      </c>
      <c r="C2848" s="49" t="s">
        <v>449</v>
      </c>
      <c r="D2848">
        <v>1</v>
      </c>
      <c r="E2848" s="49" t="s">
        <v>378</v>
      </c>
    </row>
    <row r="2849" spans="1:5" x14ac:dyDescent="0.3">
      <c r="A2849" s="49" t="s">
        <v>295</v>
      </c>
      <c r="B2849" s="49" t="s">
        <v>244</v>
      </c>
      <c r="C2849" s="49" t="s">
        <v>449</v>
      </c>
      <c r="D2849">
        <v>1</v>
      </c>
      <c r="E2849" s="49" t="s">
        <v>378</v>
      </c>
    </row>
    <row r="2850" spans="1:5" x14ac:dyDescent="0.3">
      <c r="A2850" s="49" t="s">
        <v>296</v>
      </c>
      <c r="B2850" s="49" t="s">
        <v>244</v>
      </c>
      <c r="C2850" s="49" t="s">
        <v>449</v>
      </c>
      <c r="D2850">
        <v>1</v>
      </c>
      <c r="E2850" s="49" t="s">
        <v>378</v>
      </c>
    </row>
    <row r="2851" spans="1:5" x14ac:dyDescent="0.3">
      <c r="A2851" s="49" t="s">
        <v>297</v>
      </c>
      <c r="B2851" s="49" t="s">
        <v>244</v>
      </c>
      <c r="C2851" s="49" t="s">
        <v>449</v>
      </c>
      <c r="D2851">
        <v>1</v>
      </c>
      <c r="E2851" s="49" t="s">
        <v>378</v>
      </c>
    </row>
    <row r="2852" spans="1:5" x14ac:dyDescent="0.3">
      <c r="A2852" s="49" t="s">
        <v>298</v>
      </c>
      <c r="B2852" s="49" t="s">
        <v>244</v>
      </c>
      <c r="C2852" s="49" t="s">
        <v>449</v>
      </c>
      <c r="D2852">
        <v>1</v>
      </c>
      <c r="E2852" s="49" t="s">
        <v>378</v>
      </c>
    </row>
    <row r="2853" spans="1:5" x14ac:dyDescent="0.3">
      <c r="A2853" s="49" t="s">
        <v>299</v>
      </c>
      <c r="B2853" s="49" t="s">
        <v>244</v>
      </c>
      <c r="C2853" s="49" t="s">
        <v>449</v>
      </c>
      <c r="D2853">
        <v>1</v>
      </c>
      <c r="E2853" s="49" t="s">
        <v>378</v>
      </c>
    </row>
    <row r="2854" spans="1:5" x14ac:dyDescent="0.3">
      <c r="A2854" s="49" t="s">
        <v>300</v>
      </c>
      <c r="B2854" s="49" t="s">
        <v>244</v>
      </c>
      <c r="C2854" s="49" t="s">
        <v>449</v>
      </c>
      <c r="D2854">
        <v>1</v>
      </c>
      <c r="E2854" s="49" t="s">
        <v>378</v>
      </c>
    </row>
    <row r="2855" spans="1:5" x14ac:dyDescent="0.3">
      <c r="A2855" s="49" t="s">
        <v>301</v>
      </c>
      <c r="B2855" s="49" t="s">
        <v>244</v>
      </c>
      <c r="C2855" s="49" t="s">
        <v>449</v>
      </c>
      <c r="D2855">
        <v>1</v>
      </c>
      <c r="E2855" s="49" t="s">
        <v>378</v>
      </c>
    </row>
    <row r="2856" spans="1:5" x14ac:dyDescent="0.3">
      <c r="A2856" s="49" t="s">
        <v>302</v>
      </c>
      <c r="B2856" s="49" t="s">
        <v>244</v>
      </c>
      <c r="C2856" s="49" t="s">
        <v>449</v>
      </c>
      <c r="D2856">
        <v>1</v>
      </c>
      <c r="E2856" s="49" t="s">
        <v>378</v>
      </c>
    </row>
    <row r="2857" spans="1:5" x14ac:dyDescent="0.3">
      <c r="A2857" s="49" t="s">
        <v>303</v>
      </c>
      <c r="B2857" s="49" t="s">
        <v>244</v>
      </c>
      <c r="C2857" s="49" t="s">
        <v>449</v>
      </c>
      <c r="D2857">
        <v>1</v>
      </c>
      <c r="E2857" s="49" t="s">
        <v>378</v>
      </c>
    </row>
    <row r="2858" spans="1:5" x14ac:dyDescent="0.3">
      <c r="A2858" s="49" t="s">
        <v>304</v>
      </c>
      <c r="B2858" s="49" t="s">
        <v>244</v>
      </c>
      <c r="C2858" s="49" t="s">
        <v>449</v>
      </c>
      <c r="D2858">
        <v>1</v>
      </c>
      <c r="E2858" s="49" t="s">
        <v>378</v>
      </c>
    </row>
    <row r="2859" spans="1:5" x14ac:dyDescent="0.3">
      <c r="A2859" s="49" t="s">
        <v>305</v>
      </c>
      <c r="B2859" s="49" t="s">
        <v>244</v>
      </c>
      <c r="C2859" s="49" t="s">
        <v>449</v>
      </c>
      <c r="D2859">
        <v>1</v>
      </c>
      <c r="E2859" s="49" t="s">
        <v>378</v>
      </c>
    </row>
    <row r="2860" spans="1:5" x14ac:dyDescent="0.3">
      <c r="A2860" s="49" t="s">
        <v>306</v>
      </c>
      <c r="B2860" s="49" t="s">
        <v>244</v>
      </c>
      <c r="C2860" s="49" t="s">
        <v>449</v>
      </c>
      <c r="D2860">
        <v>1</v>
      </c>
      <c r="E2860" s="49" t="s">
        <v>378</v>
      </c>
    </row>
    <row r="2861" spans="1:5" x14ac:dyDescent="0.3">
      <c r="A2861" s="49" t="s">
        <v>307</v>
      </c>
      <c r="B2861" s="49" t="s">
        <v>244</v>
      </c>
      <c r="C2861" s="49" t="s">
        <v>449</v>
      </c>
      <c r="D2861">
        <v>1</v>
      </c>
      <c r="E2861" s="49" t="s">
        <v>378</v>
      </c>
    </row>
    <row r="2862" spans="1:5" x14ac:dyDescent="0.3">
      <c r="A2862" s="49" t="s">
        <v>308</v>
      </c>
      <c r="B2862" s="49" t="s">
        <v>244</v>
      </c>
      <c r="C2862" s="49" t="s">
        <v>449</v>
      </c>
      <c r="D2862">
        <v>1</v>
      </c>
      <c r="E2862" s="49" t="s">
        <v>378</v>
      </c>
    </row>
    <row r="2863" spans="1:5" x14ac:dyDescent="0.3">
      <c r="A2863" s="49" t="s">
        <v>309</v>
      </c>
      <c r="B2863" s="49" t="s">
        <v>244</v>
      </c>
      <c r="C2863" s="49" t="s">
        <v>449</v>
      </c>
      <c r="D2863">
        <v>1</v>
      </c>
      <c r="E2863" s="49" t="s">
        <v>378</v>
      </c>
    </row>
    <row r="2864" spans="1:5" x14ac:dyDescent="0.3">
      <c r="A2864" s="49" t="s">
        <v>310</v>
      </c>
      <c r="B2864" s="49" t="s">
        <v>244</v>
      </c>
      <c r="C2864" s="49" t="s">
        <v>449</v>
      </c>
      <c r="D2864">
        <v>1</v>
      </c>
      <c r="E2864" s="49" t="s">
        <v>378</v>
      </c>
    </row>
    <row r="2865" spans="1:5" x14ac:dyDescent="0.3">
      <c r="A2865" s="49" t="s">
        <v>311</v>
      </c>
      <c r="B2865" s="49" t="s">
        <v>244</v>
      </c>
      <c r="C2865" s="49" t="s">
        <v>449</v>
      </c>
      <c r="D2865">
        <v>1</v>
      </c>
      <c r="E2865" s="49" t="s">
        <v>378</v>
      </c>
    </row>
    <row r="2866" spans="1:5" x14ac:dyDescent="0.3">
      <c r="A2866" s="49" t="s">
        <v>312</v>
      </c>
      <c r="B2866" s="49" t="s">
        <v>244</v>
      </c>
      <c r="C2866" s="49" t="s">
        <v>449</v>
      </c>
      <c r="D2866">
        <v>1</v>
      </c>
      <c r="E2866" s="49" t="s">
        <v>378</v>
      </c>
    </row>
    <row r="2867" spans="1:5" x14ac:dyDescent="0.3">
      <c r="A2867" s="49" t="s">
        <v>313</v>
      </c>
      <c r="B2867" s="49" t="s">
        <v>244</v>
      </c>
      <c r="C2867" s="49" t="s">
        <v>449</v>
      </c>
      <c r="D2867">
        <v>1</v>
      </c>
      <c r="E2867" s="49" t="s">
        <v>378</v>
      </c>
    </row>
    <row r="2868" spans="1:5" x14ac:dyDescent="0.3">
      <c r="A2868" s="49" t="s">
        <v>314</v>
      </c>
      <c r="B2868" s="49" t="s">
        <v>244</v>
      </c>
      <c r="C2868" s="49" t="s">
        <v>449</v>
      </c>
      <c r="D2868">
        <v>1</v>
      </c>
      <c r="E2868" s="49" t="s">
        <v>378</v>
      </c>
    </row>
    <row r="2869" spans="1:5" x14ac:dyDescent="0.3">
      <c r="A2869" s="49" t="s">
        <v>315</v>
      </c>
      <c r="B2869" s="49" t="s">
        <v>244</v>
      </c>
      <c r="C2869" s="49" t="s">
        <v>449</v>
      </c>
      <c r="D2869">
        <v>1</v>
      </c>
      <c r="E2869" s="49" t="s">
        <v>378</v>
      </c>
    </row>
    <row r="2870" spans="1:5" x14ac:dyDescent="0.3">
      <c r="A2870" s="49" t="s">
        <v>316</v>
      </c>
      <c r="B2870" s="49" t="s">
        <v>244</v>
      </c>
      <c r="C2870" s="49" t="s">
        <v>449</v>
      </c>
      <c r="D2870">
        <v>1</v>
      </c>
      <c r="E2870" s="49" t="s">
        <v>378</v>
      </c>
    </row>
    <row r="2871" spans="1:5" x14ac:dyDescent="0.3">
      <c r="A2871" s="49" t="s">
        <v>317</v>
      </c>
      <c r="B2871" s="49" t="s">
        <v>244</v>
      </c>
      <c r="C2871" s="49" t="s">
        <v>449</v>
      </c>
      <c r="D2871">
        <v>1</v>
      </c>
      <c r="E2871" s="49" t="s">
        <v>378</v>
      </c>
    </row>
    <row r="2872" spans="1:5" x14ac:dyDescent="0.3">
      <c r="A2872" s="49" t="s">
        <v>318</v>
      </c>
      <c r="B2872" s="49" t="s">
        <v>244</v>
      </c>
      <c r="C2872" s="49" t="s">
        <v>449</v>
      </c>
      <c r="D2872">
        <v>1</v>
      </c>
      <c r="E2872" s="49" t="s">
        <v>378</v>
      </c>
    </row>
    <row r="2873" spans="1:5" x14ac:dyDescent="0.3">
      <c r="A2873" s="49" t="s">
        <v>319</v>
      </c>
      <c r="B2873" s="49" t="s">
        <v>244</v>
      </c>
      <c r="C2873" s="49" t="s">
        <v>449</v>
      </c>
      <c r="D2873">
        <v>1</v>
      </c>
      <c r="E2873" s="49" t="s">
        <v>378</v>
      </c>
    </row>
    <row r="2874" spans="1:5" x14ac:dyDescent="0.3">
      <c r="A2874" s="49" t="s">
        <v>320</v>
      </c>
      <c r="B2874" s="49" t="s">
        <v>244</v>
      </c>
      <c r="C2874" s="49" t="s">
        <v>449</v>
      </c>
      <c r="D2874">
        <v>1</v>
      </c>
      <c r="E2874" s="49" t="s">
        <v>378</v>
      </c>
    </row>
    <row r="2875" spans="1:5" x14ac:dyDescent="0.3">
      <c r="A2875" s="49" t="s">
        <v>321</v>
      </c>
      <c r="B2875" s="49" t="s">
        <v>244</v>
      </c>
      <c r="C2875" s="49" t="s">
        <v>449</v>
      </c>
      <c r="D2875">
        <v>1</v>
      </c>
      <c r="E2875" s="49" t="s">
        <v>378</v>
      </c>
    </row>
    <row r="2876" spans="1:5" x14ac:dyDescent="0.3">
      <c r="A2876" s="49" t="s">
        <v>322</v>
      </c>
      <c r="B2876" s="49" t="s">
        <v>244</v>
      </c>
      <c r="C2876" s="49" t="s">
        <v>449</v>
      </c>
      <c r="D2876">
        <v>1</v>
      </c>
      <c r="E2876" s="49" t="s">
        <v>378</v>
      </c>
    </row>
    <row r="2877" spans="1:5" x14ac:dyDescent="0.3">
      <c r="A2877" s="49" t="s">
        <v>323</v>
      </c>
      <c r="B2877" s="49" t="s">
        <v>244</v>
      </c>
      <c r="C2877" s="49" t="s">
        <v>449</v>
      </c>
      <c r="D2877">
        <v>1</v>
      </c>
      <c r="E2877" s="49" t="s">
        <v>378</v>
      </c>
    </row>
    <row r="2878" spans="1:5" x14ac:dyDescent="0.3">
      <c r="A2878" s="49" t="s">
        <v>324</v>
      </c>
      <c r="B2878" s="49" t="s">
        <v>244</v>
      </c>
      <c r="C2878" s="49" t="s">
        <v>449</v>
      </c>
      <c r="D2878">
        <v>1</v>
      </c>
      <c r="E2878" s="49" t="s">
        <v>378</v>
      </c>
    </row>
    <row r="2879" spans="1:5" x14ac:dyDescent="0.3">
      <c r="A2879" s="49" t="s">
        <v>325</v>
      </c>
      <c r="B2879" s="49" t="s">
        <v>244</v>
      </c>
      <c r="C2879" s="49" t="s">
        <v>449</v>
      </c>
      <c r="D2879">
        <v>1</v>
      </c>
      <c r="E2879" s="49" t="s">
        <v>378</v>
      </c>
    </row>
    <row r="2880" spans="1:5" x14ac:dyDescent="0.3">
      <c r="A2880" s="49" t="s">
        <v>326</v>
      </c>
      <c r="B2880" s="49" t="s">
        <v>244</v>
      </c>
      <c r="C2880" s="49" t="s">
        <v>449</v>
      </c>
      <c r="D2880">
        <v>1</v>
      </c>
      <c r="E2880" s="49" t="s">
        <v>378</v>
      </c>
    </row>
    <row r="2881" spans="1:5" x14ac:dyDescent="0.3">
      <c r="A2881" s="49" t="s">
        <v>327</v>
      </c>
      <c r="B2881" s="49" t="s">
        <v>244</v>
      </c>
      <c r="C2881" s="49" t="s">
        <v>449</v>
      </c>
      <c r="D2881">
        <v>1</v>
      </c>
      <c r="E2881" s="49" t="s">
        <v>378</v>
      </c>
    </row>
    <row r="2882" spans="1:5" x14ac:dyDescent="0.3">
      <c r="A2882" s="49" t="s">
        <v>328</v>
      </c>
      <c r="B2882" s="49" t="s">
        <v>244</v>
      </c>
      <c r="C2882" s="49" t="s">
        <v>449</v>
      </c>
      <c r="D2882">
        <v>1</v>
      </c>
      <c r="E2882" s="49" t="s">
        <v>378</v>
      </c>
    </row>
    <row r="2883" spans="1:5" x14ac:dyDescent="0.3">
      <c r="A2883" s="49" t="s">
        <v>329</v>
      </c>
      <c r="B2883" s="49" t="s">
        <v>244</v>
      </c>
      <c r="C2883" s="49" t="s">
        <v>449</v>
      </c>
      <c r="D2883">
        <v>1</v>
      </c>
      <c r="E2883" s="49" t="s">
        <v>378</v>
      </c>
    </row>
    <row r="2884" spans="1:5" x14ac:dyDescent="0.3">
      <c r="A2884" s="49" t="s">
        <v>330</v>
      </c>
      <c r="B2884" s="49" t="s">
        <v>244</v>
      </c>
      <c r="C2884" s="49" t="s">
        <v>449</v>
      </c>
      <c r="D2884">
        <v>1</v>
      </c>
      <c r="E2884" s="49" t="s">
        <v>378</v>
      </c>
    </row>
    <row r="2885" spans="1:5" x14ac:dyDescent="0.3">
      <c r="A2885" s="49" t="s">
        <v>331</v>
      </c>
      <c r="B2885" s="49" t="s">
        <v>244</v>
      </c>
      <c r="C2885" s="49" t="s">
        <v>449</v>
      </c>
      <c r="D2885">
        <v>1</v>
      </c>
      <c r="E2885" s="49" t="s">
        <v>378</v>
      </c>
    </row>
    <row r="2886" spans="1:5" x14ac:dyDescent="0.3">
      <c r="A2886" s="49" t="s">
        <v>332</v>
      </c>
      <c r="B2886" s="49" t="s">
        <v>244</v>
      </c>
      <c r="C2886" s="49" t="s">
        <v>449</v>
      </c>
      <c r="D2886">
        <v>1</v>
      </c>
      <c r="E2886" s="49" t="s">
        <v>378</v>
      </c>
    </row>
    <row r="2887" spans="1:5" x14ac:dyDescent="0.3">
      <c r="A2887" s="49" t="s">
        <v>333</v>
      </c>
      <c r="B2887" s="49" t="s">
        <v>244</v>
      </c>
      <c r="C2887" s="49" t="s">
        <v>449</v>
      </c>
      <c r="D2887">
        <v>1</v>
      </c>
      <c r="E2887" s="49" t="s">
        <v>378</v>
      </c>
    </row>
    <row r="2888" spans="1:5" x14ac:dyDescent="0.3">
      <c r="A2888" s="49" t="s">
        <v>334</v>
      </c>
      <c r="B2888" s="49" t="s">
        <v>244</v>
      </c>
      <c r="C2888" s="49" t="s">
        <v>449</v>
      </c>
      <c r="D2888">
        <v>1</v>
      </c>
      <c r="E2888" s="49" t="s">
        <v>378</v>
      </c>
    </row>
    <row r="2889" spans="1:5" x14ac:dyDescent="0.3">
      <c r="A2889" s="49" t="s">
        <v>335</v>
      </c>
      <c r="B2889" s="49" t="s">
        <v>244</v>
      </c>
      <c r="C2889" s="49" t="s">
        <v>449</v>
      </c>
      <c r="D2889">
        <v>1</v>
      </c>
      <c r="E2889" s="49" t="s">
        <v>378</v>
      </c>
    </row>
    <row r="2890" spans="1:5" x14ac:dyDescent="0.3">
      <c r="A2890" s="49" t="s">
        <v>336</v>
      </c>
      <c r="B2890" s="49" t="s">
        <v>244</v>
      </c>
      <c r="C2890" s="49" t="s">
        <v>449</v>
      </c>
      <c r="D2890">
        <v>1</v>
      </c>
      <c r="E2890" s="49" t="s">
        <v>378</v>
      </c>
    </row>
    <row r="2891" spans="1:5" x14ac:dyDescent="0.3">
      <c r="A2891" s="49" t="s">
        <v>337</v>
      </c>
      <c r="B2891" s="49" t="s">
        <v>244</v>
      </c>
      <c r="C2891" s="49" t="s">
        <v>449</v>
      </c>
      <c r="D2891">
        <v>1</v>
      </c>
      <c r="E2891" s="49" t="s">
        <v>378</v>
      </c>
    </row>
    <row r="2892" spans="1:5" x14ac:dyDescent="0.3">
      <c r="A2892" s="49" t="s">
        <v>338</v>
      </c>
      <c r="B2892" s="49" t="s">
        <v>244</v>
      </c>
      <c r="C2892" s="49" t="s">
        <v>449</v>
      </c>
      <c r="D2892">
        <v>1</v>
      </c>
      <c r="E2892" s="49" t="s">
        <v>378</v>
      </c>
    </row>
    <row r="2893" spans="1:5" x14ac:dyDescent="0.3">
      <c r="A2893" s="49" t="s">
        <v>339</v>
      </c>
      <c r="B2893" s="49" t="s">
        <v>244</v>
      </c>
      <c r="C2893" s="49" t="s">
        <v>449</v>
      </c>
      <c r="D2893">
        <v>1</v>
      </c>
      <c r="E2893" s="49" t="s">
        <v>378</v>
      </c>
    </row>
    <row r="2894" spans="1:5" x14ac:dyDescent="0.3">
      <c r="A2894" s="49" t="s">
        <v>340</v>
      </c>
      <c r="B2894" s="49" t="s">
        <v>244</v>
      </c>
      <c r="C2894" s="49" t="s">
        <v>449</v>
      </c>
      <c r="D2894">
        <v>1</v>
      </c>
      <c r="E2894" s="49" t="s">
        <v>378</v>
      </c>
    </row>
    <row r="2895" spans="1:5" x14ac:dyDescent="0.3">
      <c r="A2895" s="49" t="s">
        <v>341</v>
      </c>
      <c r="B2895" s="49" t="s">
        <v>244</v>
      </c>
      <c r="C2895" s="49" t="s">
        <v>449</v>
      </c>
      <c r="D2895">
        <v>1</v>
      </c>
      <c r="E2895" s="49" t="s">
        <v>378</v>
      </c>
    </row>
    <row r="2896" spans="1:5" x14ac:dyDescent="0.3">
      <c r="A2896" s="49" t="s">
        <v>342</v>
      </c>
      <c r="B2896" s="49" t="s">
        <v>244</v>
      </c>
      <c r="C2896" s="49" t="s">
        <v>449</v>
      </c>
      <c r="D2896">
        <v>1</v>
      </c>
      <c r="E2896" s="49" t="s">
        <v>378</v>
      </c>
    </row>
    <row r="2897" spans="1:5" x14ac:dyDescent="0.3">
      <c r="A2897" s="49" t="s">
        <v>343</v>
      </c>
      <c r="B2897" s="49" t="s">
        <v>244</v>
      </c>
      <c r="C2897" s="49" t="s">
        <v>449</v>
      </c>
      <c r="D2897">
        <v>1</v>
      </c>
      <c r="E2897" s="49" t="s">
        <v>378</v>
      </c>
    </row>
    <row r="2898" spans="1:5" x14ac:dyDescent="0.3">
      <c r="A2898" s="49" t="s">
        <v>344</v>
      </c>
      <c r="B2898" s="49" t="s">
        <v>244</v>
      </c>
      <c r="C2898" s="49" t="s">
        <v>449</v>
      </c>
      <c r="D2898">
        <v>1</v>
      </c>
      <c r="E2898" s="49" t="s">
        <v>378</v>
      </c>
    </row>
    <row r="2899" spans="1:5" x14ac:dyDescent="0.3">
      <c r="A2899" s="49" t="s">
        <v>345</v>
      </c>
      <c r="B2899" s="49" t="s">
        <v>244</v>
      </c>
      <c r="C2899" s="49" t="s">
        <v>449</v>
      </c>
      <c r="D2899">
        <v>1</v>
      </c>
      <c r="E2899" s="49" t="s">
        <v>378</v>
      </c>
    </row>
    <row r="2900" spans="1:5" x14ac:dyDescent="0.3">
      <c r="A2900" s="49" t="s">
        <v>346</v>
      </c>
      <c r="B2900" s="49" t="s">
        <v>244</v>
      </c>
      <c r="C2900" s="49" t="s">
        <v>449</v>
      </c>
      <c r="D2900">
        <v>1</v>
      </c>
      <c r="E2900" s="49" t="s">
        <v>378</v>
      </c>
    </row>
    <row r="2901" spans="1:5" x14ac:dyDescent="0.3">
      <c r="A2901" s="49" t="s">
        <v>347</v>
      </c>
      <c r="B2901" s="49" t="s">
        <v>244</v>
      </c>
      <c r="C2901" s="49" t="s">
        <v>449</v>
      </c>
      <c r="D2901">
        <v>1</v>
      </c>
      <c r="E2901" s="49" t="s">
        <v>378</v>
      </c>
    </row>
    <row r="2902" spans="1:5" x14ac:dyDescent="0.3">
      <c r="A2902" s="49" t="s">
        <v>348</v>
      </c>
      <c r="B2902" s="49" t="s">
        <v>244</v>
      </c>
      <c r="C2902" s="49" t="s">
        <v>449</v>
      </c>
      <c r="D2902">
        <v>1</v>
      </c>
      <c r="E2902" s="49" t="s">
        <v>378</v>
      </c>
    </row>
    <row r="2903" spans="1:5" x14ac:dyDescent="0.3">
      <c r="A2903" s="49" t="s">
        <v>349</v>
      </c>
      <c r="B2903" s="49" t="s">
        <v>244</v>
      </c>
      <c r="C2903" s="49" t="s">
        <v>449</v>
      </c>
      <c r="D2903">
        <v>1</v>
      </c>
      <c r="E2903" s="49" t="s">
        <v>378</v>
      </c>
    </row>
    <row r="2904" spans="1:5" x14ac:dyDescent="0.3">
      <c r="A2904" s="49" t="s">
        <v>350</v>
      </c>
      <c r="B2904" s="49" t="s">
        <v>244</v>
      </c>
      <c r="C2904" s="49" t="s">
        <v>449</v>
      </c>
      <c r="D2904">
        <v>1</v>
      </c>
      <c r="E2904" s="49" t="s">
        <v>378</v>
      </c>
    </row>
    <row r="2905" spans="1:5" x14ac:dyDescent="0.3">
      <c r="A2905" s="49" t="s">
        <v>351</v>
      </c>
      <c r="B2905" s="49" t="s">
        <v>244</v>
      </c>
      <c r="C2905" s="49" t="s">
        <v>449</v>
      </c>
      <c r="D2905">
        <v>1</v>
      </c>
      <c r="E2905" s="49" t="s">
        <v>378</v>
      </c>
    </row>
    <row r="2906" spans="1:5" x14ac:dyDescent="0.3">
      <c r="A2906" s="49" t="s">
        <v>352</v>
      </c>
      <c r="B2906" s="49" t="s">
        <v>244</v>
      </c>
      <c r="C2906" s="49" t="s">
        <v>449</v>
      </c>
      <c r="D2906">
        <v>1</v>
      </c>
      <c r="E2906" s="49" t="s">
        <v>378</v>
      </c>
    </row>
    <row r="2907" spans="1:5" x14ac:dyDescent="0.3">
      <c r="A2907" s="49" t="s">
        <v>353</v>
      </c>
      <c r="B2907" s="49" t="s">
        <v>244</v>
      </c>
      <c r="C2907" s="49" t="s">
        <v>449</v>
      </c>
      <c r="D2907">
        <v>1</v>
      </c>
      <c r="E2907" s="49" t="s">
        <v>378</v>
      </c>
    </row>
    <row r="2908" spans="1:5" x14ac:dyDescent="0.3">
      <c r="A2908" s="49" t="s">
        <v>354</v>
      </c>
      <c r="B2908" s="49" t="s">
        <v>244</v>
      </c>
      <c r="C2908" s="49" t="s">
        <v>449</v>
      </c>
      <c r="D2908">
        <v>1</v>
      </c>
      <c r="E2908" s="49" t="s">
        <v>378</v>
      </c>
    </row>
    <row r="2909" spans="1:5" x14ac:dyDescent="0.3">
      <c r="A2909" s="49" t="s">
        <v>355</v>
      </c>
      <c r="B2909" s="49" t="s">
        <v>244</v>
      </c>
      <c r="C2909" s="49" t="s">
        <v>449</v>
      </c>
      <c r="D2909">
        <v>1</v>
      </c>
      <c r="E2909" s="49" t="s">
        <v>378</v>
      </c>
    </row>
    <row r="2910" spans="1:5" x14ac:dyDescent="0.3">
      <c r="A2910" s="49" t="s">
        <v>356</v>
      </c>
      <c r="B2910" s="49" t="s">
        <v>244</v>
      </c>
      <c r="C2910" s="49" t="s">
        <v>449</v>
      </c>
      <c r="D2910">
        <v>1</v>
      </c>
      <c r="E2910" s="49" t="s">
        <v>378</v>
      </c>
    </row>
    <row r="2911" spans="1:5" x14ac:dyDescent="0.3">
      <c r="A2911" s="49" t="s">
        <v>357</v>
      </c>
      <c r="B2911" s="49" t="s">
        <v>244</v>
      </c>
      <c r="C2911" s="49" t="s">
        <v>449</v>
      </c>
      <c r="D2911">
        <v>1</v>
      </c>
      <c r="E2911" s="49" t="s">
        <v>378</v>
      </c>
    </row>
    <row r="2912" spans="1:5" x14ac:dyDescent="0.3">
      <c r="A2912" s="49" t="s">
        <v>358</v>
      </c>
      <c r="B2912" s="49" t="s">
        <v>244</v>
      </c>
      <c r="C2912" s="49" t="s">
        <v>449</v>
      </c>
      <c r="D2912">
        <v>1</v>
      </c>
      <c r="E2912" s="49" t="s">
        <v>378</v>
      </c>
    </row>
    <row r="2913" spans="1:5" x14ac:dyDescent="0.3">
      <c r="A2913" s="49" t="s">
        <v>359</v>
      </c>
      <c r="B2913" s="49" t="s">
        <v>244</v>
      </c>
      <c r="C2913" s="49" t="s">
        <v>449</v>
      </c>
      <c r="D2913">
        <v>1</v>
      </c>
      <c r="E2913" s="49" t="s">
        <v>378</v>
      </c>
    </row>
    <row r="2914" spans="1:5" x14ac:dyDescent="0.3">
      <c r="A2914" s="49" t="s">
        <v>360</v>
      </c>
      <c r="B2914" s="49" t="s">
        <v>244</v>
      </c>
      <c r="C2914" s="49" t="s">
        <v>449</v>
      </c>
      <c r="D2914">
        <v>1</v>
      </c>
      <c r="E2914" s="49" t="s">
        <v>378</v>
      </c>
    </row>
    <row r="2915" spans="1:5" x14ac:dyDescent="0.3">
      <c r="A2915" s="49" t="s">
        <v>361</v>
      </c>
      <c r="B2915" s="49" t="s">
        <v>244</v>
      </c>
      <c r="C2915" s="49" t="s">
        <v>449</v>
      </c>
      <c r="D2915">
        <v>1</v>
      </c>
      <c r="E2915" s="49" t="s">
        <v>378</v>
      </c>
    </row>
    <row r="2916" spans="1:5" x14ac:dyDescent="0.3">
      <c r="A2916" s="49" t="s">
        <v>362</v>
      </c>
      <c r="B2916" s="49" t="s">
        <v>244</v>
      </c>
      <c r="C2916" s="49" t="s">
        <v>449</v>
      </c>
      <c r="D2916">
        <v>1</v>
      </c>
      <c r="E2916" s="49" t="s">
        <v>378</v>
      </c>
    </row>
    <row r="2917" spans="1:5" x14ac:dyDescent="0.3">
      <c r="A2917" s="49" t="s">
        <v>363</v>
      </c>
      <c r="B2917" s="49" t="s">
        <v>244</v>
      </c>
      <c r="C2917" s="49" t="s">
        <v>449</v>
      </c>
      <c r="D2917">
        <v>1</v>
      </c>
      <c r="E2917" s="49" t="s">
        <v>378</v>
      </c>
    </row>
    <row r="2918" spans="1:5" x14ac:dyDescent="0.3">
      <c r="A2918" s="49" t="s">
        <v>364</v>
      </c>
      <c r="B2918" s="49" t="s">
        <v>244</v>
      </c>
      <c r="C2918" s="49" t="s">
        <v>449</v>
      </c>
      <c r="D2918">
        <v>1</v>
      </c>
      <c r="E2918" s="49" t="s">
        <v>378</v>
      </c>
    </row>
    <row r="2919" spans="1:5" x14ac:dyDescent="0.3">
      <c r="A2919" s="49" t="s">
        <v>365</v>
      </c>
      <c r="B2919" s="49" t="s">
        <v>244</v>
      </c>
      <c r="C2919" s="49" t="s">
        <v>449</v>
      </c>
      <c r="D2919">
        <v>1</v>
      </c>
      <c r="E2919" s="49" t="s">
        <v>378</v>
      </c>
    </row>
    <row r="2920" spans="1:5" x14ac:dyDescent="0.3">
      <c r="A2920" s="49" t="s">
        <v>366</v>
      </c>
      <c r="B2920" s="49" t="s">
        <v>244</v>
      </c>
      <c r="C2920" s="49" t="s">
        <v>449</v>
      </c>
      <c r="D2920">
        <v>1</v>
      </c>
      <c r="E2920" s="49" t="s">
        <v>378</v>
      </c>
    </row>
    <row r="2921" spans="1:5" x14ac:dyDescent="0.3">
      <c r="A2921" s="49" t="s">
        <v>367</v>
      </c>
      <c r="B2921" s="49" t="s">
        <v>244</v>
      </c>
      <c r="C2921" s="49" t="s">
        <v>449</v>
      </c>
      <c r="D2921">
        <v>1</v>
      </c>
      <c r="E2921" s="49" t="s">
        <v>378</v>
      </c>
    </row>
    <row r="2922" spans="1:5" x14ac:dyDescent="0.3">
      <c r="A2922" s="49" t="s">
        <v>368</v>
      </c>
      <c r="B2922" s="49" t="s">
        <v>244</v>
      </c>
      <c r="C2922" s="49" t="s">
        <v>449</v>
      </c>
      <c r="D2922">
        <v>1</v>
      </c>
      <c r="E2922" s="49" t="s">
        <v>378</v>
      </c>
    </row>
    <row r="2923" spans="1:5" x14ac:dyDescent="0.3">
      <c r="A2923" s="49" t="s">
        <v>369</v>
      </c>
      <c r="B2923" s="49" t="s">
        <v>244</v>
      </c>
      <c r="C2923" s="49" t="s">
        <v>449</v>
      </c>
      <c r="D2923">
        <v>1</v>
      </c>
      <c r="E2923" s="49" t="s">
        <v>378</v>
      </c>
    </row>
    <row r="2924" spans="1:5" x14ac:dyDescent="0.3">
      <c r="A2924" s="49" t="s">
        <v>370</v>
      </c>
      <c r="B2924" s="49" t="s">
        <v>244</v>
      </c>
      <c r="C2924" s="49" t="s">
        <v>449</v>
      </c>
      <c r="D2924">
        <v>1</v>
      </c>
      <c r="E2924" s="49" t="s">
        <v>378</v>
      </c>
    </row>
    <row r="2925" spans="1:5" x14ac:dyDescent="0.3">
      <c r="A2925" s="49" t="s">
        <v>371</v>
      </c>
      <c r="B2925" s="49" t="s">
        <v>244</v>
      </c>
      <c r="C2925" s="49" t="s">
        <v>449</v>
      </c>
      <c r="D2925">
        <v>1</v>
      </c>
      <c r="E2925" s="49" t="s">
        <v>378</v>
      </c>
    </row>
    <row r="2926" spans="1:5" x14ac:dyDescent="0.3">
      <c r="A2926" s="49" t="s">
        <v>372</v>
      </c>
      <c r="B2926" s="49" t="s">
        <v>244</v>
      </c>
      <c r="C2926" s="49" t="s">
        <v>449</v>
      </c>
      <c r="D2926">
        <v>1</v>
      </c>
      <c r="E2926" s="49" t="s">
        <v>378</v>
      </c>
    </row>
    <row r="2927" spans="1:5" x14ac:dyDescent="0.3">
      <c r="A2927" s="49" t="s">
        <v>373</v>
      </c>
      <c r="B2927" s="49" t="s">
        <v>244</v>
      </c>
      <c r="C2927" s="49" t="s">
        <v>449</v>
      </c>
      <c r="D2927">
        <v>1</v>
      </c>
      <c r="E2927" s="49" t="s">
        <v>378</v>
      </c>
    </row>
    <row r="2928" spans="1:5" x14ac:dyDescent="0.3">
      <c r="A2928" s="49" t="s">
        <v>374</v>
      </c>
      <c r="B2928" s="49" t="s">
        <v>244</v>
      </c>
      <c r="C2928" s="49" t="s">
        <v>449</v>
      </c>
      <c r="D2928">
        <v>1</v>
      </c>
      <c r="E2928" s="49" t="s">
        <v>378</v>
      </c>
    </row>
    <row r="2929" spans="1:5" x14ac:dyDescent="0.3">
      <c r="A2929" s="49" t="s">
        <v>375</v>
      </c>
      <c r="B2929" s="49" t="s">
        <v>244</v>
      </c>
      <c r="C2929" s="49" t="s">
        <v>449</v>
      </c>
      <c r="D2929">
        <v>1</v>
      </c>
      <c r="E2929" s="49" t="s">
        <v>378</v>
      </c>
    </row>
    <row r="2930" spans="1:5" x14ac:dyDescent="0.3">
      <c r="A2930" s="49" t="s">
        <v>376</v>
      </c>
      <c r="B2930" s="49" t="s">
        <v>244</v>
      </c>
      <c r="C2930" s="49" t="s">
        <v>449</v>
      </c>
      <c r="D2930">
        <v>1</v>
      </c>
      <c r="E2930" s="49" t="s">
        <v>378</v>
      </c>
    </row>
    <row r="2931" spans="1:5" x14ac:dyDescent="0.3">
      <c r="A2931" s="49" t="s">
        <v>377</v>
      </c>
      <c r="B2931" s="49" t="s">
        <v>244</v>
      </c>
      <c r="C2931" s="49" t="s">
        <v>449</v>
      </c>
      <c r="D2931">
        <v>1</v>
      </c>
      <c r="E2931" s="49" t="s">
        <v>378</v>
      </c>
    </row>
    <row r="2932" spans="1:5" x14ac:dyDescent="0.3">
      <c r="A2932" s="49" t="s">
        <v>1648</v>
      </c>
      <c r="B2932" s="49" t="s">
        <v>578</v>
      </c>
      <c r="C2932" s="49" t="s">
        <v>449</v>
      </c>
      <c r="D2932">
        <v>98</v>
      </c>
      <c r="E2932" s="49" t="s">
        <v>378</v>
      </c>
    </row>
    <row r="2933" spans="1:5" x14ac:dyDescent="0.3">
      <c r="A2933" s="49" t="s">
        <v>1648</v>
      </c>
      <c r="B2933" s="49" t="s">
        <v>578</v>
      </c>
      <c r="C2933" s="49" t="s">
        <v>449</v>
      </c>
      <c r="D2933">
        <v>99</v>
      </c>
      <c r="E2933" s="49" t="s">
        <v>378</v>
      </c>
    </row>
    <row r="2934" spans="1:5" x14ac:dyDescent="0.3">
      <c r="A2934" s="49" t="s">
        <v>1649</v>
      </c>
      <c r="B2934" s="49" t="s">
        <v>578</v>
      </c>
      <c r="C2934" s="49" t="s">
        <v>449</v>
      </c>
      <c r="D2934">
        <v>98</v>
      </c>
      <c r="E2934" s="49" t="s">
        <v>378</v>
      </c>
    </row>
    <row r="2935" spans="1:5" x14ac:dyDescent="0.3">
      <c r="A2935" s="49" t="s">
        <v>1649</v>
      </c>
      <c r="B2935" s="49" t="s">
        <v>578</v>
      </c>
      <c r="C2935" s="49" t="s">
        <v>449</v>
      </c>
      <c r="D2935">
        <v>99</v>
      </c>
      <c r="E2935" s="49" t="s">
        <v>378</v>
      </c>
    </row>
    <row r="2936" spans="1:5" x14ac:dyDescent="0.3">
      <c r="A2936" s="49" t="s">
        <v>554</v>
      </c>
      <c r="B2936" s="49" t="s">
        <v>578</v>
      </c>
      <c r="C2936" s="49" t="s">
        <v>449</v>
      </c>
      <c r="D2936">
        <v>98</v>
      </c>
      <c r="E2936" s="49" t="s">
        <v>378</v>
      </c>
    </row>
    <row r="2937" spans="1:5" x14ac:dyDescent="0.3">
      <c r="A2937" s="49" t="s">
        <v>554</v>
      </c>
      <c r="B2937" s="49" t="s">
        <v>578</v>
      </c>
      <c r="C2937" s="49" t="s">
        <v>449</v>
      </c>
      <c r="D2937">
        <v>99</v>
      </c>
      <c r="E2937" s="49" t="s">
        <v>378</v>
      </c>
    </row>
    <row r="2938" spans="1:5" x14ac:dyDescent="0.3">
      <c r="A2938" s="49" t="s">
        <v>1650</v>
      </c>
      <c r="B2938" s="49" t="s">
        <v>578</v>
      </c>
      <c r="C2938" s="49" t="s">
        <v>449</v>
      </c>
      <c r="D2938">
        <v>98</v>
      </c>
      <c r="E2938" s="49" t="s">
        <v>378</v>
      </c>
    </row>
    <row r="2939" spans="1:5" x14ac:dyDescent="0.3">
      <c r="A2939" s="49" t="s">
        <v>1650</v>
      </c>
      <c r="B2939" s="49" t="s">
        <v>578</v>
      </c>
      <c r="C2939" s="49" t="s">
        <v>449</v>
      </c>
      <c r="D2939">
        <v>99</v>
      </c>
      <c r="E2939" s="49" t="s">
        <v>378</v>
      </c>
    </row>
    <row r="2940" spans="1:5" x14ac:dyDescent="0.3">
      <c r="A2940" s="49" t="s">
        <v>1651</v>
      </c>
      <c r="B2940" s="49" t="s">
        <v>578</v>
      </c>
      <c r="C2940" s="49" t="s">
        <v>449</v>
      </c>
      <c r="D2940">
        <v>98</v>
      </c>
      <c r="E2940" s="49" t="s">
        <v>378</v>
      </c>
    </row>
    <row r="2941" spans="1:5" x14ac:dyDescent="0.3">
      <c r="A2941" s="49" t="s">
        <v>1651</v>
      </c>
      <c r="B2941" s="49" t="s">
        <v>578</v>
      </c>
      <c r="C2941" s="49" t="s">
        <v>449</v>
      </c>
      <c r="D2941">
        <v>99</v>
      </c>
      <c r="E2941" s="49" t="s">
        <v>378</v>
      </c>
    </row>
    <row r="2942" spans="1:5" x14ac:dyDescent="0.3">
      <c r="A2942" s="49" t="s">
        <v>1652</v>
      </c>
      <c r="B2942" s="49" t="s">
        <v>578</v>
      </c>
      <c r="C2942" s="49" t="s">
        <v>449</v>
      </c>
      <c r="D2942">
        <v>98</v>
      </c>
      <c r="E2942" s="49" t="s">
        <v>378</v>
      </c>
    </row>
    <row r="2943" spans="1:5" x14ac:dyDescent="0.3">
      <c r="A2943" s="49" t="s">
        <v>1652</v>
      </c>
      <c r="B2943" s="49" t="s">
        <v>578</v>
      </c>
      <c r="C2943" s="49" t="s">
        <v>449</v>
      </c>
      <c r="D2943">
        <v>99</v>
      </c>
      <c r="E2943" s="49" t="s">
        <v>378</v>
      </c>
    </row>
    <row r="2944" spans="1:5" x14ac:dyDescent="0.3">
      <c r="A2944" s="49" t="s">
        <v>1653</v>
      </c>
      <c r="B2944" s="49" t="s">
        <v>578</v>
      </c>
      <c r="C2944" s="49" t="s">
        <v>449</v>
      </c>
      <c r="D2944">
        <v>98</v>
      </c>
      <c r="E2944" s="49" t="s">
        <v>378</v>
      </c>
    </row>
    <row r="2945" spans="1:5" x14ac:dyDescent="0.3">
      <c r="A2945" s="49" t="s">
        <v>1653</v>
      </c>
      <c r="B2945" s="49" t="s">
        <v>578</v>
      </c>
      <c r="C2945" s="49" t="s">
        <v>449</v>
      </c>
      <c r="D2945">
        <v>99</v>
      </c>
      <c r="E2945" s="49" t="s">
        <v>378</v>
      </c>
    </row>
    <row r="2946" spans="1:5" x14ac:dyDescent="0.3">
      <c r="A2946" s="49" t="s">
        <v>1654</v>
      </c>
      <c r="B2946" s="49" t="s">
        <v>578</v>
      </c>
      <c r="C2946" s="49" t="s">
        <v>449</v>
      </c>
      <c r="D2946">
        <v>98</v>
      </c>
      <c r="E2946" s="49" t="s">
        <v>378</v>
      </c>
    </row>
    <row r="2947" spans="1:5" x14ac:dyDescent="0.3">
      <c r="A2947" s="49" t="s">
        <v>1654</v>
      </c>
      <c r="B2947" s="49" t="s">
        <v>578</v>
      </c>
      <c r="C2947" s="49" t="s">
        <v>449</v>
      </c>
      <c r="D2947">
        <v>99</v>
      </c>
      <c r="E2947" s="49" t="s">
        <v>378</v>
      </c>
    </row>
    <row r="2948" spans="1:5" x14ac:dyDescent="0.3">
      <c r="A2948" s="49" t="s">
        <v>1655</v>
      </c>
      <c r="B2948" s="49" t="s">
        <v>578</v>
      </c>
      <c r="C2948" s="49" t="s">
        <v>449</v>
      </c>
      <c r="D2948">
        <v>98</v>
      </c>
      <c r="E2948" s="49" t="s">
        <v>378</v>
      </c>
    </row>
    <row r="2949" spans="1:5" x14ac:dyDescent="0.3">
      <c r="A2949" s="49" t="s">
        <v>1655</v>
      </c>
      <c r="B2949" s="49" t="s">
        <v>578</v>
      </c>
      <c r="C2949" s="49" t="s">
        <v>449</v>
      </c>
      <c r="D2949">
        <v>99</v>
      </c>
      <c r="E2949" s="49" t="s">
        <v>378</v>
      </c>
    </row>
    <row r="2950" spans="1:5" x14ac:dyDescent="0.3">
      <c r="A2950" s="49" t="s">
        <v>1656</v>
      </c>
      <c r="B2950" s="49" t="s">
        <v>578</v>
      </c>
      <c r="C2950" s="49" t="s">
        <v>449</v>
      </c>
      <c r="D2950">
        <v>98</v>
      </c>
      <c r="E2950" s="49" t="s">
        <v>378</v>
      </c>
    </row>
    <row r="2951" spans="1:5" x14ac:dyDescent="0.3">
      <c r="A2951" s="49" t="s">
        <v>1656</v>
      </c>
      <c r="B2951" s="49" t="s">
        <v>578</v>
      </c>
      <c r="C2951" s="49" t="s">
        <v>449</v>
      </c>
      <c r="D2951">
        <v>99</v>
      </c>
      <c r="E2951" s="49" t="s">
        <v>378</v>
      </c>
    </row>
    <row r="2952" spans="1:5" x14ac:dyDescent="0.3">
      <c r="A2952" s="49" t="s">
        <v>1657</v>
      </c>
      <c r="B2952" s="49" t="s">
        <v>578</v>
      </c>
      <c r="C2952" s="49" t="s">
        <v>449</v>
      </c>
      <c r="D2952">
        <v>98</v>
      </c>
      <c r="E2952" s="49" t="s">
        <v>378</v>
      </c>
    </row>
    <row r="2953" spans="1:5" x14ac:dyDescent="0.3">
      <c r="A2953" s="49" t="s">
        <v>1657</v>
      </c>
      <c r="B2953" s="49" t="s">
        <v>578</v>
      </c>
      <c r="C2953" s="49" t="s">
        <v>449</v>
      </c>
      <c r="D2953">
        <v>99</v>
      </c>
      <c r="E2953" s="49" t="s">
        <v>378</v>
      </c>
    </row>
    <row r="2954" spans="1:5" x14ac:dyDescent="0.3">
      <c r="A2954" s="49" t="s">
        <v>1658</v>
      </c>
      <c r="B2954" s="49" t="s">
        <v>578</v>
      </c>
      <c r="C2954" s="49" t="s">
        <v>449</v>
      </c>
      <c r="D2954">
        <v>98</v>
      </c>
      <c r="E2954" s="49" t="s">
        <v>378</v>
      </c>
    </row>
    <row r="2955" spans="1:5" x14ac:dyDescent="0.3">
      <c r="A2955" s="49" t="s">
        <v>1658</v>
      </c>
      <c r="B2955" s="49" t="s">
        <v>578</v>
      </c>
      <c r="C2955" s="49" t="s">
        <v>449</v>
      </c>
      <c r="D2955">
        <v>99</v>
      </c>
      <c r="E2955" s="49" t="s">
        <v>378</v>
      </c>
    </row>
    <row r="2956" spans="1:5" x14ac:dyDescent="0.3">
      <c r="A2956" s="49" t="s">
        <v>1659</v>
      </c>
      <c r="B2956" s="49" t="s">
        <v>578</v>
      </c>
      <c r="C2956" s="49" t="s">
        <v>449</v>
      </c>
      <c r="D2956">
        <v>98</v>
      </c>
      <c r="E2956" s="49" t="s">
        <v>378</v>
      </c>
    </row>
    <row r="2957" spans="1:5" x14ac:dyDescent="0.3">
      <c r="A2957" s="49" t="s">
        <v>1659</v>
      </c>
      <c r="B2957" s="49" t="s">
        <v>578</v>
      </c>
      <c r="C2957" s="49" t="s">
        <v>449</v>
      </c>
      <c r="D2957">
        <v>99</v>
      </c>
      <c r="E2957" s="49" t="s">
        <v>378</v>
      </c>
    </row>
    <row r="2958" spans="1:5" x14ac:dyDescent="0.3">
      <c r="A2958" s="49" t="s">
        <v>1660</v>
      </c>
      <c r="B2958" s="49" t="s">
        <v>578</v>
      </c>
      <c r="C2958" s="49" t="s">
        <v>449</v>
      </c>
      <c r="D2958">
        <v>98</v>
      </c>
      <c r="E2958" s="49" t="s">
        <v>378</v>
      </c>
    </row>
    <row r="2959" spans="1:5" x14ac:dyDescent="0.3">
      <c r="A2959" s="49" t="s">
        <v>1660</v>
      </c>
      <c r="B2959" s="49" t="s">
        <v>578</v>
      </c>
      <c r="C2959" s="49" t="s">
        <v>449</v>
      </c>
      <c r="D2959">
        <v>99</v>
      </c>
      <c r="E2959" s="49" t="s">
        <v>378</v>
      </c>
    </row>
    <row r="2960" spans="1:5" x14ac:dyDescent="0.3">
      <c r="A2960" s="49" t="s">
        <v>1661</v>
      </c>
      <c r="B2960" s="49" t="s">
        <v>578</v>
      </c>
      <c r="C2960" s="49" t="s">
        <v>449</v>
      </c>
      <c r="D2960">
        <v>98</v>
      </c>
      <c r="E2960" s="49" t="s">
        <v>378</v>
      </c>
    </row>
    <row r="2961" spans="1:5" x14ac:dyDescent="0.3">
      <c r="A2961" s="49" t="s">
        <v>1661</v>
      </c>
      <c r="B2961" s="49" t="s">
        <v>578</v>
      </c>
      <c r="C2961" s="49" t="s">
        <v>449</v>
      </c>
      <c r="D2961">
        <v>99</v>
      </c>
      <c r="E2961" s="49" t="s">
        <v>378</v>
      </c>
    </row>
    <row r="2962" spans="1:5" x14ac:dyDescent="0.3">
      <c r="A2962" s="49" t="s">
        <v>1662</v>
      </c>
      <c r="B2962" s="49" t="s">
        <v>578</v>
      </c>
      <c r="C2962" s="49" t="s">
        <v>449</v>
      </c>
      <c r="D2962">
        <v>98</v>
      </c>
      <c r="E2962" s="49" t="s">
        <v>378</v>
      </c>
    </row>
    <row r="2963" spans="1:5" x14ac:dyDescent="0.3">
      <c r="A2963" s="49" t="s">
        <v>1662</v>
      </c>
      <c r="B2963" s="49" t="s">
        <v>578</v>
      </c>
      <c r="C2963" s="49" t="s">
        <v>449</v>
      </c>
      <c r="D2963">
        <v>99</v>
      </c>
      <c r="E2963" s="49" t="s">
        <v>378</v>
      </c>
    </row>
    <row r="2964" spans="1:5" x14ac:dyDescent="0.3">
      <c r="A2964" s="49" t="s">
        <v>1663</v>
      </c>
      <c r="B2964" s="49" t="s">
        <v>578</v>
      </c>
      <c r="C2964" s="49" t="s">
        <v>449</v>
      </c>
      <c r="D2964">
        <v>98</v>
      </c>
      <c r="E2964" s="49" t="s">
        <v>378</v>
      </c>
    </row>
    <row r="2965" spans="1:5" x14ac:dyDescent="0.3">
      <c r="A2965" s="49" t="s">
        <v>1663</v>
      </c>
      <c r="B2965" s="49" t="s">
        <v>578</v>
      </c>
      <c r="C2965" s="49" t="s">
        <v>449</v>
      </c>
      <c r="D2965">
        <v>99</v>
      </c>
      <c r="E2965" s="49" t="s">
        <v>378</v>
      </c>
    </row>
    <row r="2966" spans="1:5" x14ac:dyDescent="0.3">
      <c r="A2966" s="49" t="s">
        <v>1664</v>
      </c>
      <c r="B2966" s="49" t="s">
        <v>578</v>
      </c>
      <c r="C2966" s="49" t="s">
        <v>449</v>
      </c>
      <c r="D2966">
        <v>98</v>
      </c>
      <c r="E2966" s="49" t="s">
        <v>378</v>
      </c>
    </row>
    <row r="2967" spans="1:5" x14ac:dyDescent="0.3">
      <c r="A2967" s="49" t="s">
        <v>1664</v>
      </c>
      <c r="B2967" s="49" t="s">
        <v>578</v>
      </c>
      <c r="C2967" s="49" t="s">
        <v>449</v>
      </c>
      <c r="D2967">
        <v>99</v>
      </c>
      <c r="E2967" s="49" t="s">
        <v>378</v>
      </c>
    </row>
    <row r="2968" spans="1:5" x14ac:dyDescent="0.3">
      <c r="A2968" s="49" t="s">
        <v>1665</v>
      </c>
      <c r="B2968" s="49" t="s">
        <v>578</v>
      </c>
      <c r="C2968" s="49" t="s">
        <v>449</v>
      </c>
      <c r="D2968">
        <v>98</v>
      </c>
      <c r="E2968" s="49" t="s">
        <v>378</v>
      </c>
    </row>
    <row r="2969" spans="1:5" x14ac:dyDescent="0.3">
      <c r="A2969" s="49" t="s">
        <v>1665</v>
      </c>
      <c r="B2969" s="49" t="s">
        <v>578</v>
      </c>
      <c r="C2969" s="49" t="s">
        <v>449</v>
      </c>
      <c r="D2969">
        <v>99</v>
      </c>
      <c r="E2969" s="49" t="s">
        <v>378</v>
      </c>
    </row>
    <row r="2970" spans="1:5" x14ac:dyDescent="0.3">
      <c r="A2970" s="49" t="s">
        <v>1666</v>
      </c>
      <c r="B2970" s="49" t="s">
        <v>578</v>
      </c>
      <c r="C2970" s="49" t="s">
        <v>449</v>
      </c>
      <c r="D2970">
        <v>98</v>
      </c>
      <c r="E2970" s="49" t="s">
        <v>378</v>
      </c>
    </row>
    <row r="2971" spans="1:5" x14ac:dyDescent="0.3">
      <c r="A2971" s="49" t="s">
        <v>1666</v>
      </c>
      <c r="B2971" s="49" t="s">
        <v>578</v>
      </c>
      <c r="C2971" s="49" t="s">
        <v>449</v>
      </c>
      <c r="D2971">
        <v>99</v>
      </c>
      <c r="E2971" s="49" t="s">
        <v>378</v>
      </c>
    </row>
    <row r="2972" spans="1:5" x14ac:dyDescent="0.3">
      <c r="A2972" s="49" t="s">
        <v>1667</v>
      </c>
      <c r="B2972" s="49" t="s">
        <v>578</v>
      </c>
      <c r="C2972" s="49" t="s">
        <v>449</v>
      </c>
      <c r="D2972">
        <v>98</v>
      </c>
      <c r="E2972" s="49" t="s">
        <v>378</v>
      </c>
    </row>
    <row r="2973" spans="1:5" x14ac:dyDescent="0.3">
      <c r="A2973" s="49" t="s">
        <v>1667</v>
      </c>
      <c r="B2973" s="49" t="s">
        <v>578</v>
      </c>
      <c r="C2973" s="49" t="s">
        <v>449</v>
      </c>
      <c r="D2973">
        <v>99</v>
      </c>
      <c r="E2973" s="49" t="s">
        <v>378</v>
      </c>
    </row>
    <row r="2974" spans="1:5" x14ac:dyDescent="0.3">
      <c r="A2974" s="49" t="s">
        <v>1668</v>
      </c>
      <c r="B2974" s="49" t="s">
        <v>578</v>
      </c>
      <c r="C2974" s="49" t="s">
        <v>449</v>
      </c>
      <c r="D2974">
        <v>98</v>
      </c>
      <c r="E2974" s="49" t="s">
        <v>378</v>
      </c>
    </row>
    <row r="2975" spans="1:5" x14ac:dyDescent="0.3">
      <c r="A2975" s="49" t="s">
        <v>1668</v>
      </c>
      <c r="B2975" s="49" t="s">
        <v>578</v>
      </c>
      <c r="C2975" s="49" t="s">
        <v>449</v>
      </c>
      <c r="D2975">
        <v>99</v>
      </c>
      <c r="E2975" s="49" t="s">
        <v>378</v>
      </c>
    </row>
    <row r="2976" spans="1:5" x14ac:dyDescent="0.3">
      <c r="A2976" s="49" t="s">
        <v>1669</v>
      </c>
      <c r="B2976" s="49" t="s">
        <v>578</v>
      </c>
      <c r="C2976" s="49" t="s">
        <v>449</v>
      </c>
      <c r="D2976">
        <v>98</v>
      </c>
      <c r="E2976" s="49" t="s">
        <v>378</v>
      </c>
    </row>
    <row r="2977" spans="1:5" x14ac:dyDescent="0.3">
      <c r="A2977" s="49" t="s">
        <v>1669</v>
      </c>
      <c r="B2977" s="49" t="s">
        <v>578</v>
      </c>
      <c r="C2977" s="49" t="s">
        <v>449</v>
      </c>
      <c r="D2977">
        <v>99</v>
      </c>
      <c r="E2977" s="49" t="s">
        <v>378</v>
      </c>
    </row>
    <row r="2978" spans="1:5" x14ac:dyDescent="0.3">
      <c r="A2978" s="49" t="s">
        <v>1670</v>
      </c>
      <c r="B2978" s="49" t="s">
        <v>578</v>
      </c>
      <c r="C2978" s="49" t="s">
        <v>449</v>
      </c>
      <c r="D2978">
        <v>98</v>
      </c>
      <c r="E2978" s="49" t="s">
        <v>378</v>
      </c>
    </row>
    <row r="2979" spans="1:5" x14ac:dyDescent="0.3">
      <c r="A2979" s="49" t="s">
        <v>1670</v>
      </c>
      <c r="B2979" s="49" t="s">
        <v>578</v>
      </c>
      <c r="C2979" s="49" t="s">
        <v>449</v>
      </c>
      <c r="D2979">
        <v>99</v>
      </c>
      <c r="E2979" s="49" t="s">
        <v>378</v>
      </c>
    </row>
    <row r="2980" spans="1:5" x14ac:dyDescent="0.3">
      <c r="A2980" s="49" t="s">
        <v>1671</v>
      </c>
      <c r="B2980" s="49" t="s">
        <v>578</v>
      </c>
      <c r="C2980" s="49" t="s">
        <v>449</v>
      </c>
      <c r="D2980">
        <v>98</v>
      </c>
      <c r="E2980" s="49" t="s">
        <v>378</v>
      </c>
    </row>
    <row r="2981" spans="1:5" x14ac:dyDescent="0.3">
      <c r="A2981" s="49" t="s">
        <v>1671</v>
      </c>
      <c r="B2981" s="49" t="s">
        <v>578</v>
      </c>
      <c r="C2981" s="49" t="s">
        <v>449</v>
      </c>
      <c r="D2981">
        <v>99</v>
      </c>
      <c r="E2981" s="49" t="s">
        <v>378</v>
      </c>
    </row>
    <row r="2982" spans="1:5" x14ac:dyDescent="0.3">
      <c r="A2982" s="49" t="s">
        <v>1672</v>
      </c>
      <c r="B2982" s="49" t="s">
        <v>578</v>
      </c>
      <c r="C2982" s="49" t="s">
        <v>449</v>
      </c>
      <c r="D2982">
        <v>98</v>
      </c>
      <c r="E2982" s="49" t="s">
        <v>378</v>
      </c>
    </row>
    <row r="2983" spans="1:5" x14ac:dyDescent="0.3">
      <c r="A2983" s="49" t="s">
        <v>1672</v>
      </c>
      <c r="B2983" s="49" t="s">
        <v>578</v>
      </c>
      <c r="C2983" s="49" t="s">
        <v>449</v>
      </c>
      <c r="D2983">
        <v>99</v>
      </c>
      <c r="E2983" s="49" t="s">
        <v>378</v>
      </c>
    </row>
    <row r="2984" spans="1:5" x14ac:dyDescent="0.3">
      <c r="A2984" s="49" t="s">
        <v>1673</v>
      </c>
      <c r="B2984" s="49" t="s">
        <v>578</v>
      </c>
      <c r="C2984" s="49" t="s">
        <v>449</v>
      </c>
      <c r="D2984">
        <v>98</v>
      </c>
      <c r="E2984" s="49" t="s">
        <v>378</v>
      </c>
    </row>
    <row r="2985" spans="1:5" x14ac:dyDescent="0.3">
      <c r="A2985" s="49" t="s">
        <v>1673</v>
      </c>
      <c r="B2985" s="49" t="s">
        <v>578</v>
      </c>
      <c r="C2985" s="49" t="s">
        <v>449</v>
      </c>
      <c r="D2985">
        <v>99</v>
      </c>
      <c r="E2985" s="49" t="s">
        <v>378</v>
      </c>
    </row>
    <row r="2986" spans="1:5" x14ac:dyDescent="0.3">
      <c r="A2986" s="49" t="s">
        <v>1674</v>
      </c>
      <c r="B2986" s="49" t="s">
        <v>578</v>
      </c>
      <c r="C2986" s="49" t="s">
        <v>449</v>
      </c>
      <c r="D2986">
        <v>98</v>
      </c>
      <c r="E2986" s="49" t="s">
        <v>378</v>
      </c>
    </row>
    <row r="2987" spans="1:5" x14ac:dyDescent="0.3">
      <c r="A2987" s="49" t="s">
        <v>1674</v>
      </c>
      <c r="B2987" s="49" t="s">
        <v>578</v>
      </c>
      <c r="C2987" s="49" t="s">
        <v>449</v>
      </c>
      <c r="D2987">
        <v>99</v>
      </c>
      <c r="E2987" s="49" t="s">
        <v>378</v>
      </c>
    </row>
    <row r="2988" spans="1:5" x14ac:dyDescent="0.3">
      <c r="A2988" s="49" t="s">
        <v>1675</v>
      </c>
      <c r="B2988" s="49" t="s">
        <v>578</v>
      </c>
      <c r="C2988" s="49" t="s">
        <v>449</v>
      </c>
      <c r="D2988">
        <v>98</v>
      </c>
      <c r="E2988" s="49" t="s">
        <v>378</v>
      </c>
    </row>
    <row r="2989" spans="1:5" x14ac:dyDescent="0.3">
      <c r="A2989" s="49" t="s">
        <v>1675</v>
      </c>
      <c r="B2989" s="49" t="s">
        <v>578</v>
      </c>
      <c r="C2989" s="49" t="s">
        <v>449</v>
      </c>
      <c r="D2989">
        <v>99</v>
      </c>
      <c r="E2989" s="49" t="s">
        <v>378</v>
      </c>
    </row>
    <row r="2990" spans="1:5" x14ac:dyDescent="0.3">
      <c r="A2990" s="49" t="s">
        <v>1676</v>
      </c>
      <c r="B2990" s="49" t="s">
        <v>578</v>
      </c>
      <c r="C2990" s="49" t="s">
        <v>449</v>
      </c>
      <c r="D2990">
        <v>98</v>
      </c>
      <c r="E2990" s="49" t="s">
        <v>378</v>
      </c>
    </row>
    <row r="2991" spans="1:5" x14ac:dyDescent="0.3">
      <c r="A2991" s="49" t="s">
        <v>1676</v>
      </c>
      <c r="B2991" s="49" t="s">
        <v>578</v>
      </c>
      <c r="C2991" s="49" t="s">
        <v>449</v>
      </c>
      <c r="D2991">
        <v>99</v>
      </c>
      <c r="E2991" s="49" t="s">
        <v>378</v>
      </c>
    </row>
    <row r="2992" spans="1:5" x14ac:dyDescent="0.3">
      <c r="A2992" s="49" t="s">
        <v>1677</v>
      </c>
      <c r="B2992" s="49" t="s">
        <v>578</v>
      </c>
      <c r="C2992" s="49" t="s">
        <v>449</v>
      </c>
      <c r="D2992">
        <v>98</v>
      </c>
      <c r="E2992" s="49" t="s">
        <v>378</v>
      </c>
    </row>
    <row r="2993" spans="1:5" x14ac:dyDescent="0.3">
      <c r="A2993" s="49" t="s">
        <v>1677</v>
      </c>
      <c r="B2993" s="49" t="s">
        <v>578</v>
      </c>
      <c r="C2993" s="49" t="s">
        <v>449</v>
      </c>
      <c r="D2993">
        <v>99</v>
      </c>
      <c r="E2993" s="49" t="s">
        <v>378</v>
      </c>
    </row>
    <row r="2994" spans="1:5" x14ac:dyDescent="0.3">
      <c r="A2994" s="49" t="s">
        <v>1678</v>
      </c>
      <c r="B2994" s="49" t="s">
        <v>578</v>
      </c>
      <c r="C2994" s="49" t="s">
        <v>449</v>
      </c>
      <c r="D2994">
        <v>98</v>
      </c>
      <c r="E2994" s="49" t="s">
        <v>378</v>
      </c>
    </row>
    <row r="2995" spans="1:5" x14ac:dyDescent="0.3">
      <c r="A2995" s="49" t="s">
        <v>1678</v>
      </c>
      <c r="B2995" s="49" t="s">
        <v>578</v>
      </c>
      <c r="C2995" s="49" t="s">
        <v>449</v>
      </c>
      <c r="D2995">
        <v>99</v>
      </c>
      <c r="E2995" s="49" t="s">
        <v>378</v>
      </c>
    </row>
    <row r="2996" spans="1:5" x14ac:dyDescent="0.3">
      <c r="A2996" s="49" t="s">
        <v>1679</v>
      </c>
      <c r="B2996" s="49" t="s">
        <v>578</v>
      </c>
      <c r="C2996" s="49" t="s">
        <v>449</v>
      </c>
      <c r="D2996">
        <v>98</v>
      </c>
      <c r="E2996" s="49" t="s">
        <v>378</v>
      </c>
    </row>
    <row r="2997" spans="1:5" x14ac:dyDescent="0.3">
      <c r="A2997" s="49" t="s">
        <v>1679</v>
      </c>
      <c r="B2997" s="49" t="s">
        <v>578</v>
      </c>
      <c r="C2997" s="49" t="s">
        <v>449</v>
      </c>
      <c r="D2997">
        <v>99</v>
      </c>
      <c r="E2997" s="49" t="s">
        <v>378</v>
      </c>
    </row>
    <row r="2998" spans="1:5" x14ac:dyDescent="0.3">
      <c r="A2998" s="49" t="s">
        <v>1680</v>
      </c>
      <c r="B2998" s="49" t="s">
        <v>578</v>
      </c>
      <c r="C2998" s="49" t="s">
        <v>449</v>
      </c>
      <c r="D2998">
        <v>98</v>
      </c>
      <c r="E2998" s="49" t="s">
        <v>378</v>
      </c>
    </row>
    <row r="2999" spans="1:5" x14ac:dyDescent="0.3">
      <c r="A2999" s="49" t="s">
        <v>1680</v>
      </c>
      <c r="B2999" s="49" t="s">
        <v>578</v>
      </c>
      <c r="C2999" s="49" t="s">
        <v>449</v>
      </c>
      <c r="D2999">
        <v>99</v>
      </c>
      <c r="E2999" s="49" t="s">
        <v>378</v>
      </c>
    </row>
    <row r="3000" spans="1:5" x14ac:dyDescent="0.3">
      <c r="A3000" s="49" t="s">
        <v>1681</v>
      </c>
      <c r="B3000" s="49" t="s">
        <v>578</v>
      </c>
      <c r="C3000" s="49" t="s">
        <v>449</v>
      </c>
      <c r="D3000">
        <v>98</v>
      </c>
      <c r="E3000" s="49" t="s">
        <v>378</v>
      </c>
    </row>
    <row r="3001" spans="1:5" x14ac:dyDescent="0.3">
      <c r="A3001" s="49" t="s">
        <v>1681</v>
      </c>
      <c r="B3001" s="49" t="s">
        <v>578</v>
      </c>
      <c r="C3001" s="49" t="s">
        <v>449</v>
      </c>
      <c r="D3001">
        <v>99</v>
      </c>
      <c r="E3001" s="49" t="s">
        <v>378</v>
      </c>
    </row>
    <row r="3002" spans="1:5" x14ac:dyDescent="0.3">
      <c r="A3002" s="49" t="s">
        <v>1682</v>
      </c>
      <c r="B3002" s="49" t="s">
        <v>578</v>
      </c>
      <c r="C3002" s="49" t="s">
        <v>449</v>
      </c>
      <c r="D3002">
        <v>98</v>
      </c>
      <c r="E3002" s="49" t="s">
        <v>378</v>
      </c>
    </row>
    <row r="3003" spans="1:5" x14ac:dyDescent="0.3">
      <c r="A3003" s="49" t="s">
        <v>1682</v>
      </c>
      <c r="B3003" s="49" t="s">
        <v>578</v>
      </c>
      <c r="C3003" s="49" t="s">
        <v>449</v>
      </c>
      <c r="D3003">
        <v>99</v>
      </c>
      <c r="E3003" s="49" t="s">
        <v>378</v>
      </c>
    </row>
    <row r="3004" spans="1:5" x14ac:dyDescent="0.3">
      <c r="A3004" s="49" t="s">
        <v>1683</v>
      </c>
      <c r="B3004" s="49" t="s">
        <v>578</v>
      </c>
      <c r="C3004" s="49" t="s">
        <v>449</v>
      </c>
      <c r="D3004">
        <v>98</v>
      </c>
      <c r="E3004" s="49" t="s">
        <v>378</v>
      </c>
    </row>
    <row r="3005" spans="1:5" x14ac:dyDescent="0.3">
      <c r="A3005" s="49" t="s">
        <v>1683</v>
      </c>
      <c r="B3005" s="49" t="s">
        <v>578</v>
      </c>
      <c r="C3005" s="49" t="s">
        <v>449</v>
      </c>
      <c r="D3005">
        <v>99</v>
      </c>
      <c r="E3005" s="49" t="s">
        <v>378</v>
      </c>
    </row>
    <row r="3006" spans="1:5" x14ac:dyDescent="0.3">
      <c r="A3006" s="49" t="s">
        <v>1684</v>
      </c>
      <c r="B3006" s="49" t="s">
        <v>578</v>
      </c>
      <c r="C3006" s="49" t="s">
        <v>449</v>
      </c>
      <c r="D3006">
        <v>98</v>
      </c>
      <c r="E3006" s="49" t="s">
        <v>378</v>
      </c>
    </row>
    <row r="3007" spans="1:5" x14ac:dyDescent="0.3">
      <c r="A3007" s="49" t="s">
        <v>1684</v>
      </c>
      <c r="B3007" s="49" t="s">
        <v>578</v>
      </c>
      <c r="C3007" s="49" t="s">
        <v>449</v>
      </c>
      <c r="D3007">
        <v>99</v>
      </c>
      <c r="E3007" s="49" t="s">
        <v>378</v>
      </c>
    </row>
    <row r="3008" spans="1:5" x14ac:dyDescent="0.3">
      <c r="A3008" s="49" t="s">
        <v>1685</v>
      </c>
      <c r="B3008" s="49" t="s">
        <v>578</v>
      </c>
      <c r="C3008" s="49" t="s">
        <v>449</v>
      </c>
      <c r="D3008">
        <v>98</v>
      </c>
      <c r="E3008" s="49" t="s">
        <v>378</v>
      </c>
    </row>
    <row r="3009" spans="1:5" x14ac:dyDescent="0.3">
      <c r="A3009" s="49" t="s">
        <v>1685</v>
      </c>
      <c r="B3009" s="49" t="s">
        <v>578</v>
      </c>
      <c r="C3009" s="49" t="s">
        <v>449</v>
      </c>
      <c r="D3009">
        <v>99</v>
      </c>
      <c r="E3009" s="49" t="s">
        <v>378</v>
      </c>
    </row>
    <row r="3010" spans="1:5" x14ac:dyDescent="0.3">
      <c r="A3010" s="49" t="s">
        <v>1686</v>
      </c>
      <c r="B3010" s="49" t="s">
        <v>578</v>
      </c>
      <c r="C3010" s="49" t="s">
        <v>449</v>
      </c>
      <c r="D3010">
        <v>98</v>
      </c>
      <c r="E3010" s="49" t="s">
        <v>378</v>
      </c>
    </row>
    <row r="3011" spans="1:5" x14ac:dyDescent="0.3">
      <c r="A3011" s="49" t="s">
        <v>1686</v>
      </c>
      <c r="B3011" s="49" t="s">
        <v>578</v>
      </c>
      <c r="C3011" s="49" t="s">
        <v>449</v>
      </c>
      <c r="D3011">
        <v>99</v>
      </c>
      <c r="E3011" s="49" t="s">
        <v>378</v>
      </c>
    </row>
    <row r="3012" spans="1:5" x14ac:dyDescent="0.3">
      <c r="A3012" s="49" t="s">
        <v>1687</v>
      </c>
      <c r="B3012" s="49" t="s">
        <v>578</v>
      </c>
      <c r="C3012" s="49" t="s">
        <v>449</v>
      </c>
      <c r="D3012">
        <v>98</v>
      </c>
      <c r="E3012" s="49" t="s">
        <v>378</v>
      </c>
    </row>
    <row r="3013" spans="1:5" x14ac:dyDescent="0.3">
      <c r="A3013" s="49" t="s">
        <v>1687</v>
      </c>
      <c r="B3013" s="49" t="s">
        <v>578</v>
      </c>
      <c r="C3013" s="49" t="s">
        <v>449</v>
      </c>
      <c r="D3013">
        <v>99</v>
      </c>
      <c r="E3013" s="49" t="s">
        <v>378</v>
      </c>
    </row>
    <row r="3014" spans="1:5" x14ac:dyDescent="0.3">
      <c r="A3014" s="49" t="s">
        <v>1688</v>
      </c>
      <c r="B3014" s="49" t="s">
        <v>578</v>
      </c>
      <c r="C3014" s="49" t="s">
        <v>449</v>
      </c>
      <c r="D3014">
        <v>98</v>
      </c>
      <c r="E3014" s="49" t="s">
        <v>378</v>
      </c>
    </row>
    <row r="3015" spans="1:5" x14ac:dyDescent="0.3">
      <c r="A3015" s="49" t="s">
        <v>1688</v>
      </c>
      <c r="B3015" s="49" t="s">
        <v>578</v>
      </c>
      <c r="C3015" s="49" t="s">
        <v>449</v>
      </c>
      <c r="D3015">
        <v>99</v>
      </c>
      <c r="E3015" s="49" t="s">
        <v>378</v>
      </c>
    </row>
    <row r="3016" spans="1:5" x14ac:dyDescent="0.3">
      <c r="A3016" s="49" t="s">
        <v>1689</v>
      </c>
      <c r="B3016" s="49" t="s">
        <v>578</v>
      </c>
      <c r="C3016" s="49" t="s">
        <v>449</v>
      </c>
      <c r="D3016">
        <v>98</v>
      </c>
      <c r="E3016" s="49" t="s">
        <v>378</v>
      </c>
    </row>
    <row r="3017" spans="1:5" x14ac:dyDescent="0.3">
      <c r="A3017" s="49" t="s">
        <v>1689</v>
      </c>
      <c r="B3017" s="49" t="s">
        <v>578</v>
      </c>
      <c r="C3017" s="49" t="s">
        <v>449</v>
      </c>
      <c r="D3017">
        <v>99</v>
      </c>
      <c r="E3017" s="49" t="s">
        <v>378</v>
      </c>
    </row>
    <row r="3018" spans="1:5" x14ac:dyDescent="0.3">
      <c r="A3018" s="49" t="s">
        <v>1690</v>
      </c>
      <c r="B3018" s="49" t="s">
        <v>578</v>
      </c>
      <c r="C3018" s="49" t="s">
        <v>449</v>
      </c>
      <c r="D3018">
        <v>98</v>
      </c>
      <c r="E3018" s="49" t="s">
        <v>378</v>
      </c>
    </row>
    <row r="3019" spans="1:5" x14ac:dyDescent="0.3">
      <c r="A3019" s="49" t="s">
        <v>1690</v>
      </c>
      <c r="B3019" s="49" t="s">
        <v>578</v>
      </c>
      <c r="C3019" s="49" t="s">
        <v>449</v>
      </c>
      <c r="D3019">
        <v>99</v>
      </c>
      <c r="E3019" s="49" t="s">
        <v>378</v>
      </c>
    </row>
    <row r="3020" spans="1:5" x14ac:dyDescent="0.3">
      <c r="A3020" s="49" t="s">
        <v>1691</v>
      </c>
      <c r="B3020" s="49" t="s">
        <v>578</v>
      </c>
      <c r="C3020" s="49" t="s">
        <v>449</v>
      </c>
      <c r="D3020">
        <v>98</v>
      </c>
      <c r="E3020" s="49" t="s">
        <v>378</v>
      </c>
    </row>
    <row r="3021" spans="1:5" x14ac:dyDescent="0.3">
      <c r="A3021" s="49" t="s">
        <v>1691</v>
      </c>
      <c r="B3021" s="49" t="s">
        <v>578</v>
      </c>
      <c r="C3021" s="49" t="s">
        <v>449</v>
      </c>
      <c r="D3021">
        <v>99</v>
      </c>
      <c r="E3021" s="49" t="s">
        <v>378</v>
      </c>
    </row>
    <row r="3022" spans="1:5" x14ac:dyDescent="0.3">
      <c r="A3022" s="49" t="s">
        <v>1692</v>
      </c>
      <c r="B3022" s="49" t="s">
        <v>578</v>
      </c>
      <c r="C3022" s="49" t="s">
        <v>449</v>
      </c>
      <c r="D3022">
        <v>98</v>
      </c>
      <c r="E3022" s="49" t="s">
        <v>378</v>
      </c>
    </row>
    <row r="3023" spans="1:5" x14ac:dyDescent="0.3">
      <c r="A3023" s="49" t="s">
        <v>1692</v>
      </c>
      <c r="B3023" s="49" t="s">
        <v>578</v>
      </c>
      <c r="C3023" s="49" t="s">
        <v>449</v>
      </c>
      <c r="D3023">
        <v>99</v>
      </c>
      <c r="E3023" s="49" t="s">
        <v>378</v>
      </c>
    </row>
    <row r="3024" spans="1:5" x14ac:dyDescent="0.3">
      <c r="A3024" s="49" t="s">
        <v>1693</v>
      </c>
      <c r="B3024" s="49" t="s">
        <v>578</v>
      </c>
      <c r="C3024" s="49" t="s">
        <v>449</v>
      </c>
      <c r="D3024">
        <v>98</v>
      </c>
      <c r="E3024" s="49" t="s">
        <v>378</v>
      </c>
    </row>
    <row r="3025" spans="1:5" x14ac:dyDescent="0.3">
      <c r="A3025" s="49" t="s">
        <v>1693</v>
      </c>
      <c r="B3025" s="49" t="s">
        <v>578</v>
      </c>
      <c r="C3025" s="49" t="s">
        <v>449</v>
      </c>
      <c r="D3025">
        <v>99</v>
      </c>
      <c r="E3025" s="49" t="s">
        <v>378</v>
      </c>
    </row>
    <row r="3026" spans="1:5" x14ac:dyDescent="0.3">
      <c r="A3026" s="49" t="s">
        <v>1694</v>
      </c>
      <c r="B3026" s="49" t="s">
        <v>578</v>
      </c>
      <c r="C3026" s="49" t="s">
        <v>449</v>
      </c>
      <c r="D3026">
        <v>98</v>
      </c>
      <c r="E3026" s="49" t="s">
        <v>378</v>
      </c>
    </row>
    <row r="3027" spans="1:5" x14ac:dyDescent="0.3">
      <c r="A3027" s="49" t="s">
        <v>1694</v>
      </c>
      <c r="B3027" s="49" t="s">
        <v>578</v>
      </c>
      <c r="C3027" s="49" t="s">
        <v>449</v>
      </c>
      <c r="D3027">
        <v>99</v>
      </c>
      <c r="E3027" s="49" t="s">
        <v>378</v>
      </c>
    </row>
    <row r="3028" spans="1:5" x14ac:dyDescent="0.3">
      <c r="A3028" s="49" t="s">
        <v>1695</v>
      </c>
      <c r="B3028" s="49" t="s">
        <v>578</v>
      </c>
      <c r="C3028" s="49" t="s">
        <v>449</v>
      </c>
      <c r="D3028">
        <v>98</v>
      </c>
      <c r="E3028" s="49" t="s">
        <v>378</v>
      </c>
    </row>
    <row r="3029" spans="1:5" x14ac:dyDescent="0.3">
      <c r="A3029" s="49" t="s">
        <v>1695</v>
      </c>
      <c r="B3029" s="49" t="s">
        <v>578</v>
      </c>
      <c r="C3029" s="49" t="s">
        <v>449</v>
      </c>
      <c r="D3029">
        <v>99</v>
      </c>
      <c r="E3029" s="49" t="s">
        <v>378</v>
      </c>
    </row>
    <row r="3030" spans="1:5" x14ac:dyDescent="0.3">
      <c r="A3030" s="49" t="s">
        <v>1696</v>
      </c>
      <c r="B3030" s="49" t="s">
        <v>578</v>
      </c>
      <c r="C3030" s="49" t="s">
        <v>449</v>
      </c>
      <c r="D3030">
        <v>98</v>
      </c>
      <c r="E3030" s="49" t="s">
        <v>378</v>
      </c>
    </row>
    <row r="3031" spans="1:5" x14ac:dyDescent="0.3">
      <c r="A3031" s="49" t="s">
        <v>1696</v>
      </c>
      <c r="B3031" s="49" t="s">
        <v>578</v>
      </c>
      <c r="C3031" s="49" t="s">
        <v>449</v>
      </c>
      <c r="D3031">
        <v>99</v>
      </c>
      <c r="E3031" s="49" t="s">
        <v>378</v>
      </c>
    </row>
    <row r="3032" spans="1:5" x14ac:dyDescent="0.3">
      <c r="A3032" s="49" t="s">
        <v>1697</v>
      </c>
      <c r="B3032" s="49" t="s">
        <v>578</v>
      </c>
      <c r="C3032" s="49" t="s">
        <v>449</v>
      </c>
      <c r="D3032">
        <v>98</v>
      </c>
      <c r="E3032" s="49" t="s">
        <v>378</v>
      </c>
    </row>
    <row r="3033" spans="1:5" x14ac:dyDescent="0.3">
      <c r="A3033" s="49" t="s">
        <v>1697</v>
      </c>
      <c r="B3033" s="49" t="s">
        <v>578</v>
      </c>
      <c r="C3033" s="49" t="s">
        <v>449</v>
      </c>
      <c r="D3033">
        <v>99</v>
      </c>
      <c r="E3033" s="49" t="s">
        <v>378</v>
      </c>
    </row>
    <row r="3034" spans="1:5" x14ac:dyDescent="0.3">
      <c r="A3034" s="49" t="s">
        <v>1698</v>
      </c>
      <c r="B3034" s="49" t="s">
        <v>578</v>
      </c>
      <c r="C3034" s="49" t="s">
        <v>449</v>
      </c>
      <c r="D3034">
        <v>98</v>
      </c>
      <c r="E3034" s="49" t="s">
        <v>378</v>
      </c>
    </row>
    <row r="3035" spans="1:5" x14ac:dyDescent="0.3">
      <c r="A3035" s="49" t="s">
        <v>1698</v>
      </c>
      <c r="B3035" s="49" t="s">
        <v>578</v>
      </c>
      <c r="C3035" s="49" t="s">
        <v>449</v>
      </c>
      <c r="D3035">
        <v>99</v>
      </c>
      <c r="E3035" s="49" t="s">
        <v>378</v>
      </c>
    </row>
    <row r="3036" spans="1:5" x14ac:dyDescent="0.3">
      <c r="A3036" s="49" t="s">
        <v>1699</v>
      </c>
      <c r="B3036" s="49" t="s">
        <v>578</v>
      </c>
      <c r="C3036" s="49" t="s">
        <v>449</v>
      </c>
      <c r="D3036">
        <v>98</v>
      </c>
      <c r="E3036" s="49" t="s">
        <v>378</v>
      </c>
    </row>
    <row r="3037" spans="1:5" x14ac:dyDescent="0.3">
      <c r="A3037" s="49" t="s">
        <v>1699</v>
      </c>
      <c r="B3037" s="49" t="s">
        <v>578</v>
      </c>
      <c r="C3037" s="49" t="s">
        <v>449</v>
      </c>
      <c r="D3037">
        <v>99</v>
      </c>
      <c r="E3037" s="49" t="s">
        <v>378</v>
      </c>
    </row>
    <row r="3038" spans="1:5" x14ac:dyDescent="0.3">
      <c r="A3038" s="49" t="s">
        <v>1700</v>
      </c>
      <c r="B3038" s="49" t="s">
        <v>578</v>
      </c>
      <c r="C3038" s="49" t="s">
        <v>449</v>
      </c>
      <c r="D3038">
        <v>98</v>
      </c>
      <c r="E3038" s="49" t="s">
        <v>378</v>
      </c>
    </row>
    <row r="3039" spans="1:5" x14ac:dyDescent="0.3">
      <c r="A3039" s="49" t="s">
        <v>1700</v>
      </c>
      <c r="B3039" s="49" t="s">
        <v>578</v>
      </c>
      <c r="C3039" s="49" t="s">
        <v>449</v>
      </c>
      <c r="D3039">
        <v>99</v>
      </c>
      <c r="E3039" s="49" t="s">
        <v>378</v>
      </c>
    </row>
    <row r="3040" spans="1:5" x14ac:dyDescent="0.3">
      <c r="A3040" s="49" t="s">
        <v>1701</v>
      </c>
      <c r="B3040" s="49" t="s">
        <v>578</v>
      </c>
      <c r="C3040" s="49" t="s">
        <v>449</v>
      </c>
      <c r="D3040">
        <v>98</v>
      </c>
      <c r="E3040" s="49" t="s">
        <v>378</v>
      </c>
    </row>
    <row r="3041" spans="1:5" x14ac:dyDescent="0.3">
      <c r="A3041" s="49" t="s">
        <v>1701</v>
      </c>
      <c r="B3041" s="49" t="s">
        <v>578</v>
      </c>
      <c r="C3041" s="49" t="s">
        <v>449</v>
      </c>
      <c r="D3041">
        <v>99</v>
      </c>
      <c r="E3041" s="49" t="s">
        <v>378</v>
      </c>
    </row>
    <row r="3042" spans="1:5" x14ac:dyDescent="0.3">
      <c r="A3042" s="49" t="s">
        <v>1702</v>
      </c>
      <c r="B3042" s="49" t="s">
        <v>578</v>
      </c>
      <c r="C3042" s="49" t="s">
        <v>449</v>
      </c>
      <c r="D3042">
        <v>98</v>
      </c>
      <c r="E3042" s="49" t="s">
        <v>378</v>
      </c>
    </row>
    <row r="3043" spans="1:5" x14ac:dyDescent="0.3">
      <c r="A3043" s="49" t="s">
        <v>1702</v>
      </c>
      <c r="B3043" s="49" t="s">
        <v>578</v>
      </c>
      <c r="C3043" s="49" t="s">
        <v>449</v>
      </c>
      <c r="D3043">
        <v>99</v>
      </c>
      <c r="E3043" s="49" t="s">
        <v>378</v>
      </c>
    </row>
    <row r="3044" spans="1:5" x14ac:dyDescent="0.3">
      <c r="A3044" s="49" t="s">
        <v>1703</v>
      </c>
      <c r="B3044" s="49" t="s">
        <v>578</v>
      </c>
      <c r="C3044" s="49" t="s">
        <v>449</v>
      </c>
      <c r="D3044">
        <v>98</v>
      </c>
      <c r="E3044" s="49" t="s">
        <v>378</v>
      </c>
    </row>
    <row r="3045" spans="1:5" x14ac:dyDescent="0.3">
      <c r="A3045" s="49" t="s">
        <v>1703</v>
      </c>
      <c r="B3045" s="49" t="s">
        <v>578</v>
      </c>
      <c r="C3045" s="49" t="s">
        <v>449</v>
      </c>
      <c r="D3045">
        <v>99</v>
      </c>
      <c r="E3045" s="49" t="s">
        <v>378</v>
      </c>
    </row>
    <row r="3046" spans="1:5" x14ac:dyDescent="0.3">
      <c r="A3046" s="49" t="s">
        <v>1704</v>
      </c>
      <c r="B3046" s="49" t="s">
        <v>578</v>
      </c>
      <c r="C3046" s="49" t="s">
        <v>449</v>
      </c>
      <c r="D3046">
        <v>98</v>
      </c>
      <c r="E3046" s="49" t="s">
        <v>378</v>
      </c>
    </row>
    <row r="3047" spans="1:5" x14ac:dyDescent="0.3">
      <c r="A3047" s="49" t="s">
        <v>1704</v>
      </c>
      <c r="B3047" s="49" t="s">
        <v>578</v>
      </c>
      <c r="C3047" s="49" t="s">
        <v>449</v>
      </c>
      <c r="D3047">
        <v>99</v>
      </c>
      <c r="E3047" s="49" t="s">
        <v>378</v>
      </c>
    </row>
    <row r="3048" spans="1:5" x14ac:dyDescent="0.3">
      <c r="A3048" s="49" t="s">
        <v>1705</v>
      </c>
      <c r="B3048" s="49" t="s">
        <v>578</v>
      </c>
      <c r="C3048" s="49" t="s">
        <v>449</v>
      </c>
      <c r="D3048">
        <v>98</v>
      </c>
      <c r="E3048" s="49" t="s">
        <v>378</v>
      </c>
    </row>
    <row r="3049" spans="1:5" x14ac:dyDescent="0.3">
      <c r="A3049" s="49" t="s">
        <v>1705</v>
      </c>
      <c r="B3049" s="49" t="s">
        <v>578</v>
      </c>
      <c r="C3049" s="49" t="s">
        <v>449</v>
      </c>
      <c r="D3049">
        <v>99</v>
      </c>
      <c r="E3049" s="49" t="s">
        <v>378</v>
      </c>
    </row>
    <row r="3050" spans="1:5" x14ac:dyDescent="0.3">
      <c r="A3050" s="49" t="s">
        <v>1706</v>
      </c>
      <c r="B3050" s="49" t="s">
        <v>578</v>
      </c>
      <c r="C3050" s="49" t="s">
        <v>449</v>
      </c>
      <c r="D3050">
        <v>98</v>
      </c>
      <c r="E3050" s="49" t="s">
        <v>378</v>
      </c>
    </row>
    <row r="3051" spans="1:5" x14ac:dyDescent="0.3">
      <c r="A3051" s="49" t="s">
        <v>1706</v>
      </c>
      <c r="B3051" s="49" t="s">
        <v>578</v>
      </c>
      <c r="C3051" s="49" t="s">
        <v>449</v>
      </c>
      <c r="D3051">
        <v>99</v>
      </c>
      <c r="E3051" s="49" t="s">
        <v>378</v>
      </c>
    </row>
    <row r="3052" spans="1:5" x14ac:dyDescent="0.3">
      <c r="A3052" s="49" t="s">
        <v>1707</v>
      </c>
      <c r="B3052" s="49" t="s">
        <v>578</v>
      </c>
      <c r="C3052" s="49" t="s">
        <v>449</v>
      </c>
      <c r="D3052">
        <v>98</v>
      </c>
      <c r="E3052" s="49" t="s">
        <v>378</v>
      </c>
    </row>
    <row r="3053" spans="1:5" x14ac:dyDescent="0.3">
      <c r="A3053" s="49" t="s">
        <v>1707</v>
      </c>
      <c r="B3053" s="49" t="s">
        <v>578</v>
      </c>
      <c r="C3053" s="49" t="s">
        <v>449</v>
      </c>
      <c r="D3053">
        <v>99</v>
      </c>
      <c r="E3053" s="49" t="s">
        <v>378</v>
      </c>
    </row>
    <row r="3054" spans="1:5" x14ac:dyDescent="0.3">
      <c r="A3054" s="49" t="s">
        <v>1708</v>
      </c>
      <c r="B3054" s="49" t="s">
        <v>578</v>
      </c>
      <c r="C3054" s="49" t="s">
        <v>449</v>
      </c>
      <c r="D3054">
        <v>98</v>
      </c>
      <c r="E3054" s="49" t="s">
        <v>378</v>
      </c>
    </row>
    <row r="3055" spans="1:5" x14ac:dyDescent="0.3">
      <c r="A3055" s="49" t="s">
        <v>1708</v>
      </c>
      <c r="B3055" s="49" t="s">
        <v>578</v>
      </c>
      <c r="C3055" s="49" t="s">
        <v>449</v>
      </c>
      <c r="D3055">
        <v>99</v>
      </c>
      <c r="E3055" s="49" t="s">
        <v>378</v>
      </c>
    </row>
    <row r="3056" spans="1:5" x14ac:dyDescent="0.3">
      <c r="A3056" s="49" t="s">
        <v>1709</v>
      </c>
      <c r="B3056" s="49" t="s">
        <v>578</v>
      </c>
      <c r="C3056" s="49" t="s">
        <v>449</v>
      </c>
      <c r="D3056">
        <v>98</v>
      </c>
      <c r="E3056" s="49" t="s">
        <v>378</v>
      </c>
    </row>
    <row r="3057" spans="1:5" x14ac:dyDescent="0.3">
      <c r="A3057" s="49" t="s">
        <v>1709</v>
      </c>
      <c r="B3057" s="49" t="s">
        <v>578</v>
      </c>
      <c r="C3057" s="49" t="s">
        <v>449</v>
      </c>
      <c r="D3057">
        <v>99</v>
      </c>
      <c r="E3057" s="49" t="s">
        <v>378</v>
      </c>
    </row>
    <row r="3058" spans="1:5" x14ac:dyDescent="0.3">
      <c r="A3058" s="49" t="s">
        <v>1710</v>
      </c>
      <c r="B3058" s="49" t="s">
        <v>578</v>
      </c>
      <c r="C3058" s="49" t="s">
        <v>449</v>
      </c>
      <c r="D3058">
        <v>98</v>
      </c>
      <c r="E3058" s="49" t="s">
        <v>378</v>
      </c>
    </row>
    <row r="3059" spans="1:5" x14ac:dyDescent="0.3">
      <c r="A3059" s="49" t="s">
        <v>1710</v>
      </c>
      <c r="B3059" s="49" t="s">
        <v>578</v>
      </c>
      <c r="C3059" s="49" t="s">
        <v>449</v>
      </c>
      <c r="D3059">
        <v>99</v>
      </c>
      <c r="E3059" s="49" t="s">
        <v>378</v>
      </c>
    </row>
    <row r="3060" spans="1:5" x14ac:dyDescent="0.3">
      <c r="A3060" s="49" t="s">
        <v>1711</v>
      </c>
      <c r="B3060" s="49" t="s">
        <v>578</v>
      </c>
      <c r="C3060" s="49" t="s">
        <v>449</v>
      </c>
      <c r="D3060">
        <v>98</v>
      </c>
      <c r="E3060" s="49" t="s">
        <v>378</v>
      </c>
    </row>
    <row r="3061" spans="1:5" x14ac:dyDescent="0.3">
      <c r="A3061" s="49" t="s">
        <v>1711</v>
      </c>
      <c r="B3061" s="49" t="s">
        <v>578</v>
      </c>
      <c r="C3061" s="49" t="s">
        <v>449</v>
      </c>
      <c r="D3061">
        <v>99</v>
      </c>
      <c r="E3061" s="49" t="s">
        <v>378</v>
      </c>
    </row>
    <row r="3062" spans="1:5" x14ac:dyDescent="0.3">
      <c r="A3062" s="49" t="s">
        <v>1712</v>
      </c>
      <c r="B3062" s="49" t="s">
        <v>578</v>
      </c>
      <c r="C3062" s="49" t="s">
        <v>449</v>
      </c>
      <c r="D3062">
        <v>98</v>
      </c>
      <c r="E3062" s="49" t="s">
        <v>378</v>
      </c>
    </row>
    <row r="3063" spans="1:5" x14ac:dyDescent="0.3">
      <c r="A3063" s="49" t="s">
        <v>1712</v>
      </c>
      <c r="B3063" s="49" t="s">
        <v>578</v>
      </c>
      <c r="C3063" s="49" t="s">
        <v>449</v>
      </c>
      <c r="D3063">
        <v>99</v>
      </c>
      <c r="E3063" s="49" t="s">
        <v>378</v>
      </c>
    </row>
    <row r="3064" spans="1:5" x14ac:dyDescent="0.3">
      <c r="A3064" s="49" t="s">
        <v>1713</v>
      </c>
      <c r="B3064" s="49" t="s">
        <v>578</v>
      </c>
      <c r="C3064" s="49" t="s">
        <v>449</v>
      </c>
      <c r="D3064">
        <v>98</v>
      </c>
      <c r="E3064" s="49" t="s">
        <v>378</v>
      </c>
    </row>
    <row r="3065" spans="1:5" x14ac:dyDescent="0.3">
      <c r="A3065" s="49" t="s">
        <v>1713</v>
      </c>
      <c r="B3065" s="49" t="s">
        <v>578</v>
      </c>
      <c r="C3065" s="49" t="s">
        <v>449</v>
      </c>
      <c r="D3065">
        <v>99</v>
      </c>
      <c r="E3065" s="49" t="s">
        <v>378</v>
      </c>
    </row>
    <row r="3066" spans="1:5" x14ac:dyDescent="0.3">
      <c r="A3066" s="49" t="s">
        <v>1714</v>
      </c>
      <c r="B3066" s="49" t="s">
        <v>578</v>
      </c>
      <c r="C3066" s="49" t="s">
        <v>449</v>
      </c>
      <c r="D3066">
        <v>98</v>
      </c>
      <c r="E3066" s="49" t="s">
        <v>378</v>
      </c>
    </row>
    <row r="3067" spans="1:5" x14ac:dyDescent="0.3">
      <c r="A3067" s="49" t="s">
        <v>1714</v>
      </c>
      <c r="B3067" s="49" t="s">
        <v>578</v>
      </c>
      <c r="C3067" s="49" t="s">
        <v>449</v>
      </c>
      <c r="D3067">
        <v>99</v>
      </c>
      <c r="E3067" s="49" t="s">
        <v>378</v>
      </c>
    </row>
    <row r="3068" spans="1:5" x14ac:dyDescent="0.3">
      <c r="A3068" s="49" t="s">
        <v>1715</v>
      </c>
      <c r="B3068" s="49" t="s">
        <v>578</v>
      </c>
      <c r="C3068" s="49" t="s">
        <v>449</v>
      </c>
      <c r="D3068">
        <v>98</v>
      </c>
      <c r="E3068" s="49" t="s">
        <v>378</v>
      </c>
    </row>
    <row r="3069" spans="1:5" x14ac:dyDescent="0.3">
      <c r="A3069" s="49" t="s">
        <v>1715</v>
      </c>
      <c r="B3069" s="49" t="s">
        <v>578</v>
      </c>
      <c r="C3069" s="49" t="s">
        <v>449</v>
      </c>
      <c r="D3069">
        <v>99</v>
      </c>
      <c r="E3069" s="49" t="s">
        <v>378</v>
      </c>
    </row>
    <row r="3070" spans="1:5" x14ac:dyDescent="0.3">
      <c r="A3070" s="49" t="s">
        <v>1716</v>
      </c>
      <c r="B3070" s="49" t="s">
        <v>578</v>
      </c>
      <c r="C3070" s="49" t="s">
        <v>449</v>
      </c>
      <c r="D3070">
        <v>98</v>
      </c>
      <c r="E3070" s="49" t="s">
        <v>378</v>
      </c>
    </row>
    <row r="3071" spans="1:5" x14ac:dyDescent="0.3">
      <c r="A3071" s="49" t="s">
        <v>1716</v>
      </c>
      <c r="B3071" s="49" t="s">
        <v>578</v>
      </c>
      <c r="C3071" s="49" t="s">
        <v>449</v>
      </c>
      <c r="D3071">
        <v>99</v>
      </c>
      <c r="E3071" s="49" t="s">
        <v>378</v>
      </c>
    </row>
    <row r="3072" spans="1:5" x14ac:dyDescent="0.3">
      <c r="A3072" s="49" t="s">
        <v>1717</v>
      </c>
      <c r="B3072" s="49" t="s">
        <v>578</v>
      </c>
      <c r="C3072" s="49" t="s">
        <v>449</v>
      </c>
      <c r="D3072">
        <v>98</v>
      </c>
      <c r="E3072" s="49" t="s">
        <v>378</v>
      </c>
    </row>
    <row r="3073" spans="1:5" x14ac:dyDescent="0.3">
      <c r="A3073" s="49" t="s">
        <v>1717</v>
      </c>
      <c r="B3073" s="49" t="s">
        <v>578</v>
      </c>
      <c r="C3073" s="49" t="s">
        <v>449</v>
      </c>
      <c r="D3073">
        <v>99</v>
      </c>
      <c r="E3073" s="49" t="s">
        <v>378</v>
      </c>
    </row>
    <row r="3074" spans="1:5" x14ac:dyDescent="0.3">
      <c r="A3074" s="49" t="s">
        <v>1718</v>
      </c>
      <c r="B3074" s="49" t="s">
        <v>578</v>
      </c>
      <c r="C3074" s="49" t="s">
        <v>449</v>
      </c>
      <c r="D3074">
        <v>98</v>
      </c>
      <c r="E3074" s="49" t="s">
        <v>378</v>
      </c>
    </row>
    <row r="3075" spans="1:5" x14ac:dyDescent="0.3">
      <c r="A3075" s="49" t="s">
        <v>1718</v>
      </c>
      <c r="B3075" s="49" t="s">
        <v>578</v>
      </c>
      <c r="C3075" s="49" t="s">
        <v>449</v>
      </c>
      <c r="D3075">
        <v>99</v>
      </c>
      <c r="E3075" s="49" t="s">
        <v>378</v>
      </c>
    </row>
    <row r="3076" spans="1:5" x14ac:dyDescent="0.3">
      <c r="A3076" s="49" t="s">
        <v>1719</v>
      </c>
      <c r="B3076" s="49" t="s">
        <v>578</v>
      </c>
      <c r="C3076" s="49" t="s">
        <v>449</v>
      </c>
      <c r="D3076">
        <v>98</v>
      </c>
      <c r="E3076" s="49" t="s">
        <v>378</v>
      </c>
    </row>
    <row r="3077" spans="1:5" x14ac:dyDescent="0.3">
      <c r="A3077" s="49" t="s">
        <v>1719</v>
      </c>
      <c r="B3077" s="49" t="s">
        <v>578</v>
      </c>
      <c r="C3077" s="49" t="s">
        <v>449</v>
      </c>
      <c r="D3077">
        <v>99</v>
      </c>
      <c r="E3077" s="49" t="s">
        <v>378</v>
      </c>
    </row>
    <row r="3078" spans="1:5" x14ac:dyDescent="0.3">
      <c r="A3078" s="49" t="s">
        <v>1720</v>
      </c>
      <c r="B3078" s="49" t="s">
        <v>578</v>
      </c>
      <c r="C3078" s="49" t="s">
        <v>449</v>
      </c>
      <c r="D3078">
        <v>98</v>
      </c>
      <c r="E3078" s="49" t="s">
        <v>378</v>
      </c>
    </row>
    <row r="3079" spans="1:5" x14ac:dyDescent="0.3">
      <c r="A3079" s="49" t="s">
        <v>1720</v>
      </c>
      <c r="B3079" s="49" t="s">
        <v>578</v>
      </c>
      <c r="C3079" s="49" t="s">
        <v>449</v>
      </c>
      <c r="D3079">
        <v>99</v>
      </c>
      <c r="E3079" s="49" t="s">
        <v>378</v>
      </c>
    </row>
    <row r="3080" spans="1:5" x14ac:dyDescent="0.3">
      <c r="A3080" s="49" t="s">
        <v>1721</v>
      </c>
      <c r="B3080" s="49" t="s">
        <v>578</v>
      </c>
      <c r="C3080" s="49" t="s">
        <v>449</v>
      </c>
      <c r="D3080">
        <v>98</v>
      </c>
      <c r="E3080" s="49" t="s">
        <v>378</v>
      </c>
    </row>
    <row r="3081" spans="1:5" x14ac:dyDescent="0.3">
      <c r="A3081" s="49" t="s">
        <v>1721</v>
      </c>
      <c r="B3081" s="49" t="s">
        <v>578</v>
      </c>
      <c r="C3081" s="49" t="s">
        <v>449</v>
      </c>
      <c r="D3081">
        <v>99</v>
      </c>
      <c r="E3081" s="49" t="s">
        <v>378</v>
      </c>
    </row>
    <row r="3082" spans="1:5" x14ac:dyDescent="0.3">
      <c r="A3082" s="49" t="s">
        <v>1722</v>
      </c>
      <c r="B3082" s="49" t="s">
        <v>578</v>
      </c>
      <c r="C3082" s="49" t="s">
        <v>449</v>
      </c>
      <c r="D3082">
        <v>98</v>
      </c>
      <c r="E3082" s="49" t="s">
        <v>378</v>
      </c>
    </row>
    <row r="3083" spans="1:5" x14ac:dyDescent="0.3">
      <c r="A3083" s="49" t="s">
        <v>1722</v>
      </c>
      <c r="B3083" s="49" t="s">
        <v>578</v>
      </c>
      <c r="C3083" s="49" t="s">
        <v>449</v>
      </c>
      <c r="D3083">
        <v>99</v>
      </c>
      <c r="E3083" s="49" t="s">
        <v>378</v>
      </c>
    </row>
    <row r="3084" spans="1:5" x14ac:dyDescent="0.3">
      <c r="A3084" s="49" t="s">
        <v>1723</v>
      </c>
      <c r="B3084" s="49" t="s">
        <v>578</v>
      </c>
      <c r="C3084" s="49" t="s">
        <v>449</v>
      </c>
      <c r="D3084">
        <v>98</v>
      </c>
      <c r="E3084" s="49" t="s">
        <v>378</v>
      </c>
    </row>
    <row r="3085" spans="1:5" x14ac:dyDescent="0.3">
      <c r="A3085" s="49" t="s">
        <v>1723</v>
      </c>
      <c r="B3085" s="49" t="s">
        <v>578</v>
      </c>
      <c r="C3085" s="49" t="s">
        <v>449</v>
      </c>
      <c r="D3085">
        <v>99</v>
      </c>
      <c r="E3085" s="49" t="s">
        <v>378</v>
      </c>
    </row>
    <row r="3086" spans="1:5" x14ac:dyDescent="0.3">
      <c r="A3086" s="49" t="s">
        <v>1724</v>
      </c>
      <c r="B3086" s="49" t="s">
        <v>578</v>
      </c>
      <c r="C3086" s="49" t="s">
        <v>449</v>
      </c>
      <c r="D3086">
        <v>98</v>
      </c>
      <c r="E3086" s="49" t="s">
        <v>378</v>
      </c>
    </row>
    <row r="3087" spans="1:5" x14ac:dyDescent="0.3">
      <c r="A3087" s="49" t="s">
        <v>1724</v>
      </c>
      <c r="B3087" s="49" t="s">
        <v>578</v>
      </c>
      <c r="C3087" s="49" t="s">
        <v>449</v>
      </c>
      <c r="D3087">
        <v>99</v>
      </c>
      <c r="E3087" s="49" t="s">
        <v>378</v>
      </c>
    </row>
    <row r="3088" spans="1:5" x14ac:dyDescent="0.3">
      <c r="A3088" s="49" t="s">
        <v>1725</v>
      </c>
      <c r="B3088" s="49" t="s">
        <v>578</v>
      </c>
      <c r="C3088" s="49" t="s">
        <v>449</v>
      </c>
      <c r="D3088">
        <v>98</v>
      </c>
      <c r="E3088" s="49" t="s">
        <v>378</v>
      </c>
    </row>
    <row r="3089" spans="1:5" x14ac:dyDescent="0.3">
      <c r="A3089" s="49" t="s">
        <v>1725</v>
      </c>
      <c r="B3089" s="49" t="s">
        <v>578</v>
      </c>
      <c r="C3089" s="49" t="s">
        <v>449</v>
      </c>
      <c r="D3089">
        <v>99</v>
      </c>
      <c r="E3089" s="49" t="s">
        <v>378</v>
      </c>
    </row>
    <row r="3090" spans="1:5" x14ac:dyDescent="0.3">
      <c r="A3090" s="49" t="s">
        <v>1726</v>
      </c>
      <c r="B3090" s="49" t="s">
        <v>578</v>
      </c>
      <c r="C3090" s="49" t="s">
        <v>449</v>
      </c>
      <c r="D3090">
        <v>98</v>
      </c>
      <c r="E3090" s="49" t="s">
        <v>378</v>
      </c>
    </row>
    <row r="3091" spans="1:5" x14ac:dyDescent="0.3">
      <c r="A3091" s="49" t="s">
        <v>1726</v>
      </c>
      <c r="B3091" s="49" t="s">
        <v>578</v>
      </c>
      <c r="C3091" s="49" t="s">
        <v>449</v>
      </c>
      <c r="D3091">
        <v>99</v>
      </c>
      <c r="E3091" s="49" t="s">
        <v>378</v>
      </c>
    </row>
    <row r="3092" spans="1:5" x14ac:dyDescent="0.3">
      <c r="A3092" s="49" t="s">
        <v>1727</v>
      </c>
      <c r="B3092" s="49" t="s">
        <v>578</v>
      </c>
      <c r="C3092" s="49" t="s">
        <v>449</v>
      </c>
      <c r="D3092">
        <v>98</v>
      </c>
      <c r="E3092" s="49" t="s">
        <v>378</v>
      </c>
    </row>
    <row r="3093" spans="1:5" x14ac:dyDescent="0.3">
      <c r="A3093" s="49" t="s">
        <v>1727</v>
      </c>
      <c r="B3093" s="49" t="s">
        <v>578</v>
      </c>
      <c r="C3093" s="49" t="s">
        <v>449</v>
      </c>
      <c r="D3093">
        <v>99</v>
      </c>
      <c r="E3093" s="49" t="s">
        <v>378</v>
      </c>
    </row>
    <row r="3094" spans="1:5" x14ac:dyDescent="0.3">
      <c r="A3094" s="49" t="s">
        <v>1728</v>
      </c>
      <c r="B3094" s="49" t="s">
        <v>578</v>
      </c>
      <c r="C3094" s="49" t="s">
        <v>449</v>
      </c>
      <c r="D3094">
        <v>98</v>
      </c>
      <c r="E3094" s="49" t="s">
        <v>378</v>
      </c>
    </row>
    <row r="3095" spans="1:5" x14ac:dyDescent="0.3">
      <c r="A3095" s="49" t="s">
        <v>1728</v>
      </c>
      <c r="B3095" s="49" t="s">
        <v>578</v>
      </c>
      <c r="C3095" s="49" t="s">
        <v>449</v>
      </c>
      <c r="D3095">
        <v>99</v>
      </c>
      <c r="E3095" s="49" t="s">
        <v>378</v>
      </c>
    </row>
    <row r="3096" spans="1:5" x14ac:dyDescent="0.3">
      <c r="A3096" s="49" t="s">
        <v>1729</v>
      </c>
      <c r="B3096" s="49" t="s">
        <v>578</v>
      </c>
      <c r="C3096" s="49" t="s">
        <v>449</v>
      </c>
      <c r="D3096">
        <v>98</v>
      </c>
      <c r="E3096" s="49" t="s">
        <v>378</v>
      </c>
    </row>
    <row r="3097" spans="1:5" x14ac:dyDescent="0.3">
      <c r="A3097" s="49" t="s">
        <v>1729</v>
      </c>
      <c r="B3097" s="49" t="s">
        <v>578</v>
      </c>
      <c r="C3097" s="49" t="s">
        <v>449</v>
      </c>
      <c r="D3097">
        <v>99</v>
      </c>
      <c r="E3097" s="49" t="s">
        <v>378</v>
      </c>
    </row>
    <row r="3098" spans="1:5" x14ac:dyDescent="0.3">
      <c r="A3098" s="49" t="s">
        <v>1730</v>
      </c>
      <c r="B3098" s="49" t="s">
        <v>578</v>
      </c>
      <c r="C3098" s="49" t="s">
        <v>449</v>
      </c>
      <c r="D3098">
        <v>98</v>
      </c>
      <c r="E3098" s="49" t="s">
        <v>378</v>
      </c>
    </row>
    <row r="3099" spans="1:5" x14ac:dyDescent="0.3">
      <c r="A3099" s="49" t="s">
        <v>1730</v>
      </c>
      <c r="B3099" s="49" t="s">
        <v>578</v>
      </c>
      <c r="C3099" s="49" t="s">
        <v>449</v>
      </c>
      <c r="D3099">
        <v>99</v>
      </c>
      <c r="E3099" s="49" t="s">
        <v>378</v>
      </c>
    </row>
    <row r="3100" spans="1:5" x14ac:dyDescent="0.3">
      <c r="A3100" s="49" t="s">
        <v>1731</v>
      </c>
      <c r="B3100" s="49" t="s">
        <v>578</v>
      </c>
      <c r="C3100" s="49" t="s">
        <v>449</v>
      </c>
      <c r="D3100">
        <v>98</v>
      </c>
      <c r="E3100" s="49" t="s">
        <v>378</v>
      </c>
    </row>
    <row r="3101" spans="1:5" x14ac:dyDescent="0.3">
      <c r="A3101" s="49" t="s">
        <v>1731</v>
      </c>
      <c r="B3101" s="49" t="s">
        <v>578</v>
      </c>
      <c r="C3101" s="49" t="s">
        <v>449</v>
      </c>
      <c r="D3101">
        <v>99</v>
      </c>
      <c r="E3101" s="49" t="s">
        <v>378</v>
      </c>
    </row>
    <row r="3102" spans="1:5" x14ac:dyDescent="0.3">
      <c r="A3102" s="49" t="s">
        <v>1732</v>
      </c>
      <c r="B3102" s="49" t="s">
        <v>578</v>
      </c>
      <c r="C3102" s="49" t="s">
        <v>449</v>
      </c>
      <c r="D3102">
        <v>98</v>
      </c>
      <c r="E3102" s="49" t="s">
        <v>378</v>
      </c>
    </row>
    <row r="3103" spans="1:5" x14ac:dyDescent="0.3">
      <c r="A3103" s="49" t="s">
        <v>1732</v>
      </c>
      <c r="B3103" s="49" t="s">
        <v>578</v>
      </c>
      <c r="C3103" s="49" t="s">
        <v>449</v>
      </c>
      <c r="D3103">
        <v>99</v>
      </c>
      <c r="E3103" s="49" t="s">
        <v>378</v>
      </c>
    </row>
    <row r="3104" spans="1:5" x14ac:dyDescent="0.3">
      <c r="A3104" s="49" t="s">
        <v>1733</v>
      </c>
      <c r="B3104" s="49" t="s">
        <v>578</v>
      </c>
      <c r="C3104" s="49" t="s">
        <v>449</v>
      </c>
      <c r="D3104">
        <v>98</v>
      </c>
      <c r="E3104" s="49" t="s">
        <v>378</v>
      </c>
    </row>
    <row r="3105" spans="1:5" x14ac:dyDescent="0.3">
      <c r="A3105" s="49" t="s">
        <v>1733</v>
      </c>
      <c r="B3105" s="49" t="s">
        <v>578</v>
      </c>
      <c r="C3105" s="49" t="s">
        <v>449</v>
      </c>
      <c r="D3105">
        <v>99</v>
      </c>
      <c r="E3105" s="49" t="s">
        <v>378</v>
      </c>
    </row>
    <row r="3106" spans="1:5" x14ac:dyDescent="0.3">
      <c r="A3106" s="49" t="s">
        <v>1734</v>
      </c>
      <c r="B3106" s="49" t="s">
        <v>578</v>
      </c>
      <c r="C3106" s="49" t="s">
        <v>449</v>
      </c>
      <c r="D3106">
        <v>98</v>
      </c>
      <c r="E3106" s="49" t="s">
        <v>378</v>
      </c>
    </row>
    <row r="3107" spans="1:5" x14ac:dyDescent="0.3">
      <c r="A3107" s="49" t="s">
        <v>1734</v>
      </c>
      <c r="B3107" s="49" t="s">
        <v>578</v>
      </c>
      <c r="C3107" s="49" t="s">
        <v>449</v>
      </c>
      <c r="D3107">
        <v>99</v>
      </c>
      <c r="E3107" s="49" t="s">
        <v>378</v>
      </c>
    </row>
    <row r="3108" spans="1:5" x14ac:dyDescent="0.3">
      <c r="A3108" s="49" t="s">
        <v>1735</v>
      </c>
      <c r="B3108" s="49" t="s">
        <v>578</v>
      </c>
      <c r="C3108" s="49" t="s">
        <v>449</v>
      </c>
      <c r="D3108">
        <v>98</v>
      </c>
      <c r="E3108" s="49" t="s">
        <v>378</v>
      </c>
    </row>
    <row r="3109" spans="1:5" x14ac:dyDescent="0.3">
      <c r="A3109" s="49" t="s">
        <v>1735</v>
      </c>
      <c r="B3109" s="49" t="s">
        <v>578</v>
      </c>
      <c r="C3109" s="49" t="s">
        <v>449</v>
      </c>
      <c r="D3109">
        <v>99</v>
      </c>
      <c r="E3109" s="49" t="s">
        <v>378</v>
      </c>
    </row>
    <row r="3110" spans="1:5" x14ac:dyDescent="0.3">
      <c r="A3110" s="49" t="s">
        <v>1736</v>
      </c>
      <c r="B3110" s="49" t="s">
        <v>578</v>
      </c>
      <c r="C3110" s="49" t="s">
        <v>449</v>
      </c>
      <c r="D3110">
        <v>98</v>
      </c>
      <c r="E3110" s="49" t="s">
        <v>378</v>
      </c>
    </row>
    <row r="3111" spans="1:5" x14ac:dyDescent="0.3">
      <c r="A3111" s="49" t="s">
        <v>1736</v>
      </c>
      <c r="B3111" s="49" t="s">
        <v>578</v>
      </c>
      <c r="C3111" s="49" t="s">
        <v>449</v>
      </c>
      <c r="D3111">
        <v>99</v>
      </c>
      <c r="E3111" s="49" t="s">
        <v>378</v>
      </c>
    </row>
    <row r="3112" spans="1:5" x14ac:dyDescent="0.3">
      <c r="A3112" s="49" t="s">
        <v>1737</v>
      </c>
      <c r="B3112" s="49" t="s">
        <v>578</v>
      </c>
      <c r="C3112" s="49" t="s">
        <v>449</v>
      </c>
      <c r="D3112">
        <v>98</v>
      </c>
      <c r="E3112" s="49" t="s">
        <v>378</v>
      </c>
    </row>
    <row r="3113" spans="1:5" x14ac:dyDescent="0.3">
      <c r="A3113" s="49" t="s">
        <v>1737</v>
      </c>
      <c r="B3113" s="49" t="s">
        <v>578</v>
      </c>
      <c r="C3113" s="49" t="s">
        <v>449</v>
      </c>
      <c r="D3113">
        <v>99</v>
      </c>
      <c r="E3113" s="49" t="s">
        <v>378</v>
      </c>
    </row>
    <row r="3114" spans="1:5" x14ac:dyDescent="0.3">
      <c r="A3114" s="49" t="s">
        <v>1738</v>
      </c>
      <c r="B3114" s="49" t="s">
        <v>578</v>
      </c>
      <c r="C3114" s="49" t="s">
        <v>449</v>
      </c>
      <c r="D3114">
        <v>98</v>
      </c>
      <c r="E3114" s="49" t="s">
        <v>378</v>
      </c>
    </row>
    <row r="3115" spans="1:5" x14ac:dyDescent="0.3">
      <c r="A3115" s="49" t="s">
        <v>1738</v>
      </c>
      <c r="B3115" s="49" t="s">
        <v>578</v>
      </c>
      <c r="C3115" s="49" t="s">
        <v>449</v>
      </c>
      <c r="D3115">
        <v>99</v>
      </c>
      <c r="E3115" s="49" t="s">
        <v>378</v>
      </c>
    </row>
    <row r="3116" spans="1:5" x14ac:dyDescent="0.3">
      <c r="A3116" s="49" t="s">
        <v>1739</v>
      </c>
      <c r="B3116" s="49" t="s">
        <v>578</v>
      </c>
      <c r="C3116" s="49" t="s">
        <v>449</v>
      </c>
      <c r="D3116">
        <v>98</v>
      </c>
      <c r="E3116" s="49" t="s">
        <v>378</v>
      </c>
    </row>
    <row r="3117" spans="1:5" x14ac:dyDescent="0.3">
      <c r="A3117" s="49" t="s">
        <v>1739</v>
      </c>
      <c r="B3117" s="49" t="s">
        <v>578</v>
      </c>
      <c r="C3117" s="49" t="s">
        <v>449</v>
      </c>
      <c r="D3117">
        <v>99</v>
      </c>
      <c r="E3117" s="49" t="s">
        <v>378</v>
      </c>
    </row>
    <row r="3118" spans="1:5" x14ac:dyDescent="0.3">
      <c r="A3118" s="49" t="s">
        <v>1740</v>
      </c>
      <c r="B3118" s="49" t="s">
        <v>578</v>
      </c>
      <c r="C3118" s="49" t="s">
        <v>449</v>
      </c>
      <c r="D3118">
        <v>98</v>
      </c>
      <c r="E3118" s="49" t="s">
        <v>378</v>
      </c>
    </row>
    <row r="3119" spans="1:5" x14ac:dyDescent="0.3">
      <c r="A3119" s="49" t="s">
        <v>1740</v>
      </c>
      <c r="B3119" s="49" t="s">
        <v>578</v>
      </c>
      <c r="C3119" s="49" t="s">
        <v>449</v>
      </c>
      <c r="D3119">
        <v>99</v>
      </c>
      <c r="E3119" s="49" t="s">
        <v>378</v>
      </c>
    </row>
    <row r="3120" spans="1:5" x14ac:dyDescent="0.3">
      <c r="A3120" s="49" t="s">
        <v>1741</v>
      </c>
      <c r="B3120" s="49" t="s">
        <v>578</v>
      </c>
      <c r="C3120" s="49" t="s">
        <v>449</v>
      </c>
      <c r="D3120">
        <v>98</v>
      </c>
      <c r="E3120" s="49" t="s">
        <v>378</v>
      </c>
    </row>
    <row r="3121" spans="1:5" x14ac:dyDescent="0.3">
      <c r="A3121" s="49" t="s">
        <v>1741</v>
      </c>
      <c r="B3121" s="49" t="s">
        <v>578</v>
      </c>
      <c r="C3121" s="49" t="s">
        <v>449</v>
      </c>
      <c r="D3121">
        <v>99</v>
      </c>
      <c r="E3121" s="49" t="s">
        <v>378</v>
      </c>
    </row>
    <row r="3122" spans="1:5" x14ac:dyDescent="0.3">
      <c r="A3122" s="49" t="s">
        <v>1742</v>
      </c>
      <c r="B3122" s="49" t="s">
        <v>578</v>
      </c>
      <c r="C3122" s="49" t="s">
        <v>449</v>
      </c>
      <c r="D3122">
        <v>98</v>
      </c>
      <c r="E3122" s="49" t="s">
        <v>378</v>
      </c>
    </row>
    <row r="3123" spans="1:5" x14ac:dyDescent="0.3">
      <c r="A3123" s="49" t="s">
        <v>1742</v>
      </c>
      <c r="B3123" s="49" t="s">
        <v>578</v>
      </c>
      <c r="C3123" s="49" t="s">
        <v>449</v>
      </c>
      <c r="D3123">
        <v>99</v>
      </c>
      <c r="E3123" s="49" t="s">
        <v>378</v>
      </c>
    </row>
    <row r="3124" spans="1:5" x14ac:dyDescent="0.3">
      <c r="A3124" s="49" t="s">
        <v>555</v>
      </c>
      <c r="B3124" s="49" t="s">
        <v>578</v>
      </c>
      <c r="C3124" s="49" t="s">
        <v>449</v>
      </c>
      <c r="D3124">
        <v>98</v>
      </c>
      <c r="E3124" s="49" t="s">
        <v>378</v>
      </c>
    </row>
    <row r="3125" spans="1:5" x14ac:dyDescent="0.3">
      <c r="A3125" s="49" t="s">
        <v>555</v>
      </c>
      <c r="B3125" s="49" t="s">
        <v>578</v>
      </c>
      <c r="C3125" s="49" t="s">
        <v>449</v>
      </c>
      <c r="D3125">
        <v>99</v>
      </c>
      <c r="E3125" s="49" t="s">
        <v>378</v>
      </c>
    </row>
    <row r="3126" spans="1:5" x14ac:dyDescent="0.3">
      <c r="A3126" s="49" t="s">
        <v>1743</v>
      </c>
      <c r="B3126" s="49" t="s">
        <v>578</v>
      </c>
      <c r="C3126" s="49" t="s">
        <v>449</v>
      </c>
      <c r="D3126">
        <v>98</v>
      </c>
      <c r="E3126" s="49" t="s">
        <v>378</v>
      </c>
    </row>
    <row r="3127" spans="1:5" x14ac:dyDescent="0.3">
      <c r="A3127" s="49" t="s">
        <v>1743</v>
      </c>
      <c r="B3127" s="49" t="s">
        <v>578</v>
      </c>
      <c r="C3127" s="49" t="s">
        <v>449</v>
      </c>
      <c r="D3127">
        <v>99</v>
      </c>
      <c r="E3127" s="49" t="s">
        <v>378</v>
      </c>
    </row>
    <row r="3128" spans="1:5" x14ac:dyDescent="0.3">
      <c r="A3128" s="49" t="s">
        <v>1744</v>
      </c>
      <c r="B3128" s="49" t="s">
        <v>578</v>
      </c>
      <c r="C3128" s="49" t="s">
        <v>449</v>
      </c>
      <c r="D3128">
        <v>98</v>
      </c>
      <c r="E3128" s="49" t="s">
        <v>378</v>
      </c>
    </row>
    <row r="3129" spans="1:5" x14ac:dyDescent="0.3">
      <c r="A3129" s="49" t="s">
        <v>1744</v>
      </c>
      <c r="B3129" s="49" t="s">
        <v>578</v>
      </c>
      <c r="C3129" s="49" t="s">
        <v>449</v>
      </c>
      <c r="D3129">
        <v>99</v>
      </c>
      <c r="E3129" s="49" t="s">
        <v>378</v>
      </c>
    </row>
    <row r="3130" spans="1:5" x14ac:dyDescent="0.3">
      <c r="A3130" s="49" t="s">
        <v>1745</v>
      </c>
      <c r="B3130" s="49" t="s">
        <v>578</v>
      </c>
      <c r="C3130" s="49" t="s">
        <v>449</v>
      </c>
      <c r="D3130">
        <v>98</v>
      </c>
      <c r="E3130" s="49" t="s">
        <v>378</v>
      </c>
    </row>
    <row r="3131" spans="1:5" x14ac:dyDescent="0.3">
      <c r="A3131" s="49" t="s">
        <v>1745</v>
      </c>
      <c r="B3131" s="49" t="s">
        <v>578</v>
      </c>
      <c r="C3131" s="49" t="s">
        <v>449</v>
      </c>
      <c r="D3131">
        <v>99</v>
      </c>
      <c r="E3131" s="49" t="s">
        <v>378</v>
      </c>
    </row>
    <row r="3132" spans="1:5" x14ac:dyDescent="0.3">
      <c r="A3132" s="49" t="s">
        <v>1781</v>
      </c>
      <c r="B3132" s="49" t="s">
        <v>409</v>
      </c>
      <c r="C3132" s="49" t="s">
        <v>449</v>
      </c>
      <c r="D3132">
        <v>0</v>
      </c>
      <c r="E3132" s="49" t="s">
        <v>378</v>
      </c>
    </row>
    <row r="3133" spans="1:5" x14ac:dyDescent="0.3">
      <c r="A3133" s="49" t="s">
        <v>1781</v>
      </c>
      <c r="B3133" s="49" t="s">
        <v>409</v>
      </c>
      <c r="C3133" s="49" t="s">
        <v>449</v>
      </c>
      <c r="D3133">
        <v>1</v>
      </c>
      <c r="E3133" s="49" t="s">
        <v>378</v>
      </c>
    </row>
    <row r="3134" spans="1:5" x14ac:dyDescent="0.3">
      <c r="A3134" s="49" t="s">
        <v>1781</v>
      </c>
      <c r="B3134" s="49" t="s">
        <v>409</v>
      </c>
      <c r="C3134" s="49" t="s">
        <v>449</v>
      </c>
      <c r="D3134">
        <v>2</v>
      </c>
      <c r="E3134" s="49" t="s">
        <v>378</v>
      </c>
    </row>
    <row r="3135" spans="1:5" x14ac:dyDescent="0.3">
      <c r="A3135" s="49" t="s">
        <v>1781</v>
      </c>
      <c r="B3135" s="49" t="s">
        <v>409</v>
      </c>
      <c r="C3135" s="49" t="s">
        <v>449</v>
      </c>
      <c r="D3135">
        <v>3</v>
      </c>
      <c r="E3135" s="49" t="s">
        <v>378</v>
      </c>
    </row>
    <row r="3136" spans="1:5" x14ac:dyDescent="0.3">
      <c r="A3136" s="49" t="s">
        <v>1781</v>
      </c>
      <c r="B3136" s="49" t="s">
        <v>409</v>
      </c>
      <c r="C3136" s="49" t="s">
        <v>449</v>
      </c>
      <c r="D3136">
        <v>4</v>
      </c>
      <c r="E3136" s="49" t="s">
        <v>378</v>
      </c>
    </row>
    <row r="3137" spans="1:5" x14ac:dyDescent="0.3">
      <c r="A3137" s="49" t="s">
        <v>1781</v>
      </c>
      <c r="B3137" s="49" t="s">
        <v>409</v>
      </c>
      <c r="C3137" s="49" t="s">
        <v>449</v>
      </c>
      <c r="D3137">
        <v>5</v>
      </c>
      <c r="E3137" s="49" t="s">
        <v>378</v>
      </c>
    </row>
    <row r="3138" spans="1:5" x14ac:dyDescent="0.3">
      <c r="A3138" s="49" t="s">
        <v>1781</v>
      </c>
      <c r="B3138" s="49" t="s">
        <v>409</v>
      </c>
      <c r="C3138" s="49" t="s">
        <v>449</v>
      </c>
      <c r="D3138">
        <v>6</v>
      </c>
      <c r="E3138" s="49" t="s">
        <v>378</v>
      </c>
    </row>
    <row r="3139" spans="1:5" x14ac:dyDescent="0.3">
      <c r="A3139" s="49" t="s">
        <v>1781</v>
      </c>
      <c r="B3139" s="49" t="s">
        <v>409</v>
      </c>
      <c r="C3139" s="49" t="s">
        <v>449</v>
      </c>
      <c r="D3139">
        <v>7</v>
      </c>
      <c r="E3139" s="49" t="s">
        <v>378</v>
      </c>
    </row>
    <row r="3140" spans="1:5" x14ac:dyDescent="0.3">
      <c r="A3140" s="49" t="s">
        <v>1781</v>
      </c>
      <c r="B3140" s="49" t="s">
        <v>409</v>
      </c>
      <c r="C3140" s="49" t="s">
        <v>449</v>
      </c>
      <c r="D3140">
        <v>8</v>
      </c>
      <c r="E3140" s="49" t="s">
        <v>378</v>
      </c>
    </row>
    <row r="3141" spans="1:5" x14ac:dyDescent="0.3">
      <c r="A3141" s="49" t="s">
        <v>1782</v>
      </c>
      <c r="B3141" s="49" t="s">
        <v>409</v>
      </c>
      <c r="C3141" s="49" t="s">
        <v>449</v>
      </c>
      <c r="D3141">
        <v>0</v>
      </c>
      <c r="E3141" s="49" t="s">
        <v>378</v>
      </c>
    </row>
    <row r="3142" spans="1:5" x14ac:dyDescent="0.3">
      <c r="A3142" s="49" t="s">
        <v>1782</v>
      </c>
      <c r="B3142" s="49" t="s">
        <v>409</v>
      </c>
      <c r="C3142" s="49" t="s">
        <v>449</v>
      </c>
      <c r="D3142">
        <v>1</v>
      </c>
      <c r="E3142" s="49" t="s">
        <v>378</v>
      </c>
    </row>
    <row r="3143" spans="1:5" x14ac:dyDescent="0.3">
      <c r="A3143" s="49" t="s">
        <v>1782</v>
      </c>
      <c r="B3143" s="49" t="s">
        <v>409</v>
      </c>
      <c r="C3143" s="49" t="s">
        <v>449</v>
      </c>
      <c r="D3143">
        <v>2</v>
      </c>
      <c r="E3143" s="49" t="s">
        <v>378</v>
      </c>
    </row>
    <row r="3144" spans="1:5" x14ac:dyDescent="0.3">
      <c r="A3144" s="49" t="s">
        <v>1782</v>
      </c>
      <c r="B3144" s="49" t="s">
        <v>409</v>
      </c>
      <c r="C3144" s="49" t="s">
        <v>449</v>
      </c>
      <c r="D3144">
        <v>3</v>
      </c>
      <c r="E3144" s="49" t="s">
        <v>378</v>
      </c>
    </row>
    <row r="3145" spans="1:5" x14ac:dyDescent="0.3">
      <c r="A3145" s="49" t="s">
        <v>1782</v>
      </c>
      <c r="B3145" s="49" t="s">
        <v>409</v>
      </c>
      <c r="C3145" s="49" t="s">
        <v>449</v>
      </c>
      <c r="D3145">
        <v>4</v>
      </c>
      <c r="E3145" s="49" t="s">
        <v>378</v>
      </c>
    </row>
    <row r="3146" spans="1:5" x14ac:dyDescent="0.3">
      <c r="A3146" s="49" t="s">
        <v>1782</v>
      </c>
      <c r="B3146" s="49" t="s">
        <v>409</v>
      </c>
      <c r="C3146" s="49" t="s">
        <v>449</v>
      </c>
      <c r="D3146">
        <v>5</v>
      </c>
      <c r="E3146" s="49" t="s">
        <v>378</v>
      </c>
    </row>
    <row r="3147" spans="1:5" x14ac:dyDescent="0.3">
      <c r="A3147" s="49" t="s">
        <v>1782</v>
      </c>
      <c r="B3147" s="49" t="s">
        <v>409</v>
      </c>
      <c r="C3147" s="49" t="s">
        <v>449</v>
      </c>
      <c r="D3147">
        <v>6</v>
      </c>
      <c r="E3147" s="49" t="s">
        <v>378</v>
      </c>
    </row>
    <row r="3148" spans="1:5" x14ac:dyDescent="0.3">
      <c r="A3148" s="49" t="s">
        <v>1782</v>
      </c>
      <c r="B3148" s="49" t="s">
        <v>409</v>
      </c>
      <c r="C3148" s="49" t="s">
        <v>449</v>
      </c>
      <c r="D3148">
        <v>7</v>
      </c>
      <c r="E3148" s="49" t="s">
        <v>378</v>
      </c>
    </row>
    <row r="3149" spans="1:5" x14ac:dyDescent="0.3">
      <c r="A3149" s="49" t="s">
        <v>1782</v>
      </c>
      <c r="B3149" s="49" t="s">
        <v>409</v>
      </c>
      <c r="C3149" s="49" t="s">
        <v>449</v>
      </c>
      <c r="D3149">
        <v>8</v>
      </c>
      <c r="E3149" s="49" t="s">
        <v>378</v>
      </c>
    </row>
    <row r="3150" spans="1:5" x14ac:dyDescent="0.3">
      <c r="A3150" s="49" t="s">
        <v>1783</v>
      </c>
      <c r="B3150" s="49" t="s">
        <v>409</v>
      </c>
      <c r="C3150" s="49" t="s">
        <v>449</v>
      </c>
      <c r="D3150">
        <v>0</v>
      </c>
      <c r="E3150" s="49" t="s">
        <v>379</v>
      </c>
    </row>
    <row r="3151" spans="1:5" x14ac:dyDescent="0.3">
      <c r="A3151" s="49" t="s">
        <v>1783</v>
      </c>
      <c r="B3151" s="49" t="s">
        <v>409</v>
      </c>
      <c r="C3151" s="49" t="s">
        <v>449</v>
      </c>
      <c r="D3151">
        <v>1</v>
      </c>
      <c r="E3151" s="49" t="s">
        <v>379</v>
      </c>
    </row>
    <row r="3152" spans="1:5" x14ac:dyDescent="0.3">
      <c r="A3152" s="49" t="s">
        <v>1783</v>
      </c>
      <c r="B3152" s="49" t="s">
        <v>409</v>
      </c>
      <c r="C3152" s="49" t="s">
        <v>449</v>
      </c>
      <c r="D3152">
        <v>2</v>
      </c>
      <c r="E3152" s="49" t="s">
        <v>379</v>
      </c>
    </row>
    <row r="3153" spans="1:5" x14ac:dyDescent="0.3">
      <c r="A3153" s="49" t="s">
        <v>1783</v>
      </c>
      <c r="B3153" s="49" t="s">
        <v>409</v>
      </c>
      <c r="C3153" s="49" t="s">
        <v>449</v>
      </c>
      <c r="D3153">
        <v>3</v>
      </c>
      <c r="E3153" s="49" t="s">
        <v>379</v>
      </c>
    </row>
    <row r="3154" spans="1:5" x14ac:dyDescent="0.3">
      <c r="A3154" s="49" t="s">
        <v>1783</v>
      </c>
      <c r="B3154" s="49" t="s">
        <v>409</v>
      </c>
      <c r="C3154" s="49" t="s">
        <v>449</v>
      </c>
      <c r="D3154">
        <v>4</v>
      </c>
      <c r="E3154" s="49" t="s">
        <v>379</v>
      </c>
    </row>
    <row r="3155" spans="1:5" x14ac:dyDescent="0.3">
      <c r="A3155" s="49" t="s">
        <v>1783</v>
      </c>
      <c r="B3155" s="49" t="s">
        <v>409</v>
      </c>
      <c r="C3155" s="49" t="s">
        <v>449</v>
      </c>
      <c r="D3155">
        <v>5</v>
      </c>
      <c r="E3155" s="49" t="s">
        <v>379</v>
      </c>
    </row>
    <row r="3156" spans="1:5" x14ac:dyDescent="0.3">
      <c r="A3156" s="49" t="s">
        <v>1783</v>
      </c>
      <c r="B3156" s="49" t="s">
        <v>409</v>
      </c>
      <c r="C3156" s="49" t="s">
        <v>449</v>
      </c>
      <c r="D3156">
        <v>6</v>
      </c>
      <c r="E3156" s="49" t="s">
        <v>379</v>
      </c>
    </row>
    <row r="3157" spans="1:5" x14ac:dyDescent="0.3">
      <c r="A3157" s="49" t="s">
        <v>1783</v>
      </c>
      <c r="B3157" s="49" t="s">
        <v>409</v>
      </c>
      <c r="C3157" s="49" t="s">
        <v>449</v>
      </c>
      <c r="D3157">
        <v>7</v>
      </c>
      <c r="E3157" s="49" t="s">
        <v>379</v>
      </c>
    </row>
    <row r="3158" spans="1:5" x14ac:dyDescent="0.3">
      <c r="A3158" s="49" t="s">
        <v>1783</v>
      </c>
      <c r="B3158" s="49" t="s">
        <v>409</v>
      </c>
      <c r="C3158" s="49" t="s">
        <v>449</v>
      </c>
      <c r="D3158">
        <v>8</v>
      </c>
      <c r="E3158" s="49" t="s">
        <v>379</v>
      </c>
    </row>
    <row r="3159" spans="1:5" x14ac:dyDescent="0.3">
      <c r="A3159" s="49" t="s">
        <v>1784</v>
      </c>
      <c r="B3159" s="49" t="s">
        <v>409</v>
      </c>
      <c r="C3159" s="49" t="s">
        <v>449</v>
      </c>
      <c r="D3159">
        <v>0</v>
      </c>
      <c r="E3159" s="49" t="s">
        <v>378</v>
      </c>
    </row>
    <row r="3160" spans="1:5" x14ac:dyDescent="0.3">
      <c r="A3160" s="49" t="s">
        <v>1784</v>
      </c>
      <c r="B3160" s="49" t="s">
        <v>409</v>
      </c>
      <c r="C3160" s="49" t="s">
        <v>449</v>
      </c>
      <c r="D3160">
        <v>1</v>
      </c>
      <c r="E3160" s="49" t="s">
        <v>378</v>
      </c>
    </row>
    <row r="3161" spans="1:5" x14ac:dyDescent="0.3">
      <c r="A3161" s="49" t="s">
        <v>1784</v>
      </c>
      <c r="B3161" s="49" t="s">
        <v>409</v>
      </c>
      <c r="C3161" s="49" t="s">
        <v>449</v>
      </c>
      <c r="D3161">
        <v>2</v>
      </c>
      <c r="E3161" s="49" t="s">
        <v>378</v>
      </c>
    </row>
    <row r="3162" spans="1:5" x14ac:dyDescent="0.3">
      <c r="A3162" s="49" t="s">
        <v>1784</v>
      </c>
      <c r="B3162" s="49" t="s">
        <v>409</v>
      </c>
      <c r="C3162" s="49" t="s">
        <v>449</v>
      </c>
      <c r="D3162">
        <v>3</v>
      </c>
      <c r="E3162" s="49" t="s">
        <v>378</v>
      </c>
    </row>
    <row r="3163" spans="1:5" x14ac:dyDescent="0.3">
      <c r="A3163" s="49" t="s">
        <v>1784</v>
      </c>
      <c r="B3163" s="49" t="s">
        <v>409</v>
      </c>
      <c r="C3163" s="49" t="s">
        <v>449</v>
      </c>
      <c r="D3163">
        <v>4</v>
      </c>
      <c r="E3163" s="49" t="s">
        <v>378</v>
      </c>
    </row>
    <row r="3164" spans="1:5" x14ac:dyDescent="0.3">
      <c r="A3164" s="49" t="s">
        <v>1784</v>
      </c>
      <c r="B3164" s="49" t="s">
        <v>409</v>
      </c>
      <c r="C3164" s="49" t="s">
        <v>449</v>
      </c>
      <c r="D3164">
        <v>5</v>
      </c>
      <c r="E3164" s="49" t="s">
        <v>378</v>
      </c>
    </row>
    <row r="3165" spans="1:5" x14ac:dyDescent="0.3">
      <c r="A3165" s="49" t="s">
        <v>1784</v>
      </c>
      <c r="B3165" s="49" t="s">
        <v>409</v>
      </c>
      <c r="C3165" s="49" t="s">
        <v>449</v>
      </c>
      <c r="D3165">
        <v>6</v>
      </c>
      <c r="E3165" s="49" t="s">
        <v>378</v>
      </c>
    </row>
    <row r="3166" spans="1:5" x14ac:dyDescent="0.3">
      <c r="A3166" s="49" t="s">
        <v>1784</v>
      </c>
      <c r="B3166" s="49" t="s">
        <v>409</v>
      </c>
      <c r="C3166" s="49" t="s">
        <v>449</v>
      </c>
      <c r="D3166">
        <v>7</v>
      </c>
      <c r="E3166" s="49" t="s">
        <v>378</v>
      </c>
    </row>
    <row r="3167" spans="1:5" x14ac:dyDescent="0.3">
      <c r="A3167" s="49" t="s">
        <v>1784</v>
      </c>
      <c r="B3167" s="49" t="s">
        <v>409</v>
      </c>
      <c r="C3167" s="49" t="s">
        <v>449</v>
      </c>
      <c r="D3167">
        <v>8</v>
      </c>
      <c r="E3167" s="49" t="s">
        <v>378</v>
      </c>
    </row>
    <row r="3168" spans="1:5" x14ac:dyDescent="0.3">
      <c r="A3168" s="49" t="s">
        <v>1785</v>
      </c>
      <c r="B3168" s="49" t="s">
        <v>409</v>
      </c>
      <c r="C3168" s="49" t="s">
        <v>449</v>
      </c>
      <c r="D3168">
        <v>0</v>
      </c>
      <c r="E3168" s="49" t="s">
        <v>378</v>
      </c>
    </row>
    <row r="3169" spans="1:5" x14ac:dyDescent="0.3">
      <c r="A3169" s="49" t="s">
        <v>1785</v>
      </c>
      <c r="B3169" s="49" t="s">
        <v>409</v>
      </c>
      <c r="C3169" s="49" t="s">
        <v>449</v>
      </c>
      <c r="D3169">
        <v>1</v>
      </c>
      <c r="E3169" s="49" t="s">
        <v>378</v>
      </c>
    </row>
    <row r="3170" spans="1:5" x14ac:dyDescent="0.3">
      <c r="A3170" s="49" t="s">
        <v>1785</v>
      </c>
      <c r="B3170" s="49" t="s">
        <v>409</v>
      </c>
      <c r="C3170" s="49" t="s">
        <v>449</v>
      </c>
      <c r="D3170">
        <v>2</v>
      </c>
      <c r="E3170" s="49" t="s">
        <v>378</v>
      </c>
    </row>
    <row r="3171" spans="1:5" x14ac:dyDescent="0.3">
      <c r="A3171" s="49" t="s">
        <v>1785</v>
      </c>
      <c r="B3171" s="49" t="s">
        <v>409</v>
      </c>
      <c r="C3171" s="49" t="s">
        <v>449</v>
      </c>
      <c r="D3171">
        <v>3</v>
      </c>
      <c r="E3171" s="49" t="s">
        <v>378</v>
      </c>
    </row>
    <row r="3172" spans="1:5" x14ac:dyDescent="0.3">
      <c r="A3172" s="49" t="s">
        <v>1785</v>
      </c>
      <c r="B3172" s="49" t="s">
        <v>409</v>
      </c>
      <c r="C3172" s="49" t="s">
        <v>449</v>
      </c>
      <c r="D3172">
        <v>4</v>
      </c>
      <c r="E3172" s="49" t="s">
        <v>378</v>
      </c>
    </row>
    <row r="3173" spans="1:5" x14ac:dyDescent="0.3">
      <c r="A3173" s="49" t="s">
        <v>1785</v>
      </c>
      <c r="B3173" s="49" t="s">
        <v>409</v>
      </c>
      <c r="C3173" s="49" t="s">
        <v>449</v>
      </c>
      <c r="D3173">
        <v>5</v>
      </c>
      <c r="E3173" s="49" t="s">
        <v>378</v>
      </c>
    </row>
    <row r="3174" spans="1:5" x14ac:dyDescent="0.3">
      <c r="A3174" s="49" t="s">
        <v>1785</v>
      </c>
      <c r="B3174" s="49" t="s">
        <v>409</v>
      </c>
      <c r="C3174" s="49" t="s">
        <v>449</v>
      </c>
      <c r="D3174">
        <v>6</v>
      </c>
      <c r="E3174" s="49" t="s">
        <v>378</v>
      </c>
    </row>
    <row r="3175" spans="1:5" x14ac:dyDescent="0.3">
      <c r="A3175" s="49" t="s">
        <v>1785</v>
      </c>
      <c r="B3175" s="49" t="s">
        <v>409</v>
      </c>
      <c r="C3175" s="49" t="s">
        <v>449</v>
      </c>
      <c r="D3175">
        <v>7</v>
      </c>
      <c r="E3175" s="49" t="s">
        <v>378</v>
      </c>
    </row>
    <row r="3176" spans="1:5" x14ac:dyDescent="0.3">
      <c r="A3176" s="49" t="s">
        <v>1785</v>
      </c>
      <c r="B3176" s="49" t="s">
        <v>409</v>
      </c>
      <c r="C3176" s="49" t="s">
        <v>449</v>
      </c>
      <c r="D3176">
        <v>8</v>
      </c>
      <c r="E3176" s="49" t="s">
        <v>378</v>
      </c>
    </row>
    <row r="3177" spans="1:5" x14ac:dyDescent="0.3">
      <c r="A3177" s="49" t="s">
        <v>1786</v>
      </c>
      <c r="B3177" s="49" t="s">
        <v>409</v>
      </c>
      <c r="C3177" s="49" t="s">
        <v>449</v>
      </c>
      <c r="D3177">
        <v>0</v>
      </c>
      <c r="E3177" s="49" t="s">
        <v>378</v>
      </c>
    </row>
    <row r="3178" spans="1:5" x14ac:dyDescent="0.3">
      <c r="A3178" s="49" t="s">
        <v>1786</v>
      </c>
      <c r="B3178" s="49" t="s">
        <v>409</v>
      </c>
      <c r="C3178" s="49" t="s">
        <v>449</v>
      </c>
      <c r="D3178">
        <v>1</v>
      </c>
      <c r="E3178" s="49" t="s">
        <v>378</v>
      </c>
    </row>
    <row r="3179" spans="1:5" x14ac:dyDescent="0.3">
      <c r="A3179" s="49" t="s">
        <v>1786</v>
      </c>
      <c r="B3179" s="49" t="s">
        <v>409</v>
      </c>
      <c r="C3179" s="49" t="s">
        <v>449</v>
      </c>
      <c r="D3179">
        <v>2</v>
      </c>
      <c r="E3179" s="49" t="s">
        <v>378</v>
      </c>
    </row>
    <row r="3180" spans="1:5" x14ac:dyDescent="0.3">
      <c r="A3180" s="49" t="s">
        <v>1786</v>
      </c>
      <c r="B3180" s="49" t="s">
        <v>409</v>
      </c>
      <c r="C3180" s="49" t="s">
        <v>449</v>
      </c>
      <c r="D3180">
        <v>3</v>
      </c>
      <c r="E3180" s="49" t="s">
        <v>378</v>
      </c>
    </row>
    <row r="3181" spans="1:5" x14ac:dyDescent="0.3">
      <c r="A3181" s="49" t="s">
        <v>1786</v>
      </c>
      <c r="B3181" s="49" t="s">
        <v>409</v>
      </c>
      <c r="C3181" s="49" t="s">
        <v>449</v>
      </c>
      <c r="D3181">
        <v>4</v>
      </c>
      <c r="E3181" s="49" t="s">
        <v>378</v>
      </c>
    </row>
    <row r="3182" spans="1:5" x14ac:dyDescent="0.3">
      <c r="A3182" s="49" t="s">
        <v>1786</v>
      </c>
      <c r="B3182" s="49" t="s">
        <v>409</v>
      </c>
      <c r="C3182" s="49" t="s">
        <v>449</v>
      </c>
      <c r="D3182">
        <v>5</v>
      </c>
      <c r="E3182" s="49" t="s">
        <v>378</v>
      </c>
    </row>
    <row r="3183" spans="1:5" x14ac:dyDescent="0.3">
      <c r="A3183" s="49" t="s">
        <v>1786</v>
      </c>
      <c r="B3183" s="49" t="s">
        <v>409</v>
      </c>
      <c r="C3183" s="49" t="s">
        <v>449</v>
      </c>
      <c r="D3183">
        <v>6</v>
      </c>
      <c r="E3183" s="49" t="s">
        <v>378</v>
      </c>
    </row>
    <row r="3184" spans="1:5" x14ac:dyDescent="0.3">
      <c r="A3184" s="49" t="s">
        <v>1786</v>
      </c>
      <c r="B3184" s="49" t="s">
        <v>409</v>
      </c>
      <c r="C3184" s="49" t="s">
        <v>449</v>
      </c>
      <c r="D3184">
        <v>7</v>
      </c>
      <c r="E3184" s="49" t="s">
        <v>378</v>
      </c>
    </row>
    <row r="3185" spans="1:5" x14ac:dyDescent="0.3">
      <c r="A3185" s="49" t="s">
        <v>1786</v>
      </c>
      <c r="B3185" s="49" t="s">
        <v>409</v>
      </c>
      <c r="C3185" s="49" t="s">
        <v>449</v>
      </c>
      <c r="D3185">
        <v>8</v>
      </c>
      <c r="E3185" s="49" t="s">
        <v>378</v>
      </c>
    </row>
    <row r="3186" spans="1:5" x14ac:dyDescent="0.3">
      <c r="A3186" s="49" t="s">
        <v>1787</v>
      </c>
      <c r="B3186" s="49" t="s">
        <v>409</v>
      </c>
      <c r="C3186" s="49" t="s">
        <v>449</v>
      </c>
      <c r="D3186">
        <v>0</v>
      </c>
      <c r="E3186" s="49" t="s">
        <v>378</v>
      </c>
    </row>
    <row r="3187" spans="1:5" x14ac:dyDescent="0.3">
      <c r="A3187" s="49" t="s">
        <v>1787</v>
      </c>
      <c r="B3187" s="49" t="s">
        <v>409</v>
      </c>
      <c r="C3187" s="49" t="s">
        <v>449</v>
      </c>
      <c r="D3187">
        <v>1</v>
      </c>
      <c r="E3187" s="49" t="s">
        <v>378</v>
      </c>
    </row>
    <row r="3188" spans="1:5" x14ac:dyDescent="0.3">
      <c r="A3188" s="49" t="s">
        <v>1787</v>
      </c>
      <c r="B3188" s="49" t="s">
        <v>409</v>
      </c>
      <c r="C3188" s="49" t="s">
        <v>449</v>
      </c>
      <c r="D3188">
        <v>2</v>
      </c>
      <c r="E3188" s="49" t="s">
        <v>378</v>
      </c>
    </row>
    <row r="3189" spans="1:5" x14ac:dyDescent="0.3">
      <c r="A3189" s="49" t="s">
        <v>1787</v>
      </c>
      <c r="B3189" s="49" t="s">
        <v>409</v>
      </c>
      <c r="C3189" s="49" t="s">
        <v>449</v>
      </c>
      <c r="D3189">
        <v>3</v>
      </c>
      <c r="E3189" s="49" t="s">
        <v>378</v>
      </c>
    </row>
    <row r="3190" spans="1:5" x14ac:dyDescent="0.3">
      <c r="A3190" s="49" t="s">
        <v>1787</v>
      </c>
      <c r="B3190" s="49" t="s">
        <v>409</v>
      </c>
      <c r="C3190" s="49" t="s">
        <v>449</v>
      </c>
      <c r="D3190">
        <v>4</v>
      </c>
      <c r="E3190" s="49" t="s">
        <v>378</v>
      </c>
    </row>
    <row r="3191" spans="1:5" x14ac:dyDescent="0.3">
      <c r="A3191" s="49" t="s">
        <v>1787</v>
      </c>
      <c r="B3191" s="49" t="s">
        <v>409</v>
      </c>
      <c r="C3191" s="49" t="s">
        <v>449</v>
      </c>
      <c r="D3191">
        <v>5</v>
      </c>
      <c r="E3191" s="49" t="s">
        <v>378</v>
      </c>
    </row>
    <row r="3192" spans="1:5" x14ac:dyDescent="0.3">
      <c r="A3192" s="49" t="s">
        <v>1787</v>
      </c>
      <c r="B3192" s="49" t="s">
        <v>409</v>
      </c>
      <c r="C3192" s="49" t="s">
        <v>449</v>
      </c>
      <c r="D3192">
        <v>6</v>
      </c>
      <c r="E3192" s="49" t="s">
        <v>378</v>
      </c>
    </row>
    <row r="3193" spans="1:5" x14ac:dyDescent="0.3">
      <c r="A3193" s="49" t="s">
        <v>1787</v>
      </c>
      <c r="B3193" s="49" t="s">
        <v>409</v>
      </c>
      <c r="C3193" s="49" t="s">
        <v>449</v>
      </c>
      <c r="D3193">
        <v>7</v>
      </c>
      <c r="E3193" s="49" t="s">
        <v>378</v>
      </c>
    </row>
    <row r="3194" spans="1:5" x14ac:dyDescent="0.3">
      <c r="A3194" s="49" t="s">
        <v>1787</v>
      </c>
      <c r="B3194" s="49" t="s">
        <v>409</v>
      </c>
      <c r="C3194" s="49" t="s">
        <v>449</v>
      </c>
      <c r="D3194">
        <v>8</v>
      </c>
      <c r="E3194" s="49" t="s">
        <v>378</v>
      </c>
    </row>
    <row r="3195" spans="1:5" x14ac:dyDescent="0.3">
      <c r="A3195" s="49" t="s">
        <v>1788</v>
      </c>
      <c r="B3195" s="49" t="s">
        <v>409</v>
      </c>
      <c r="C3195" s="49" t="s">
        <v>449</v>
      </c>
      <c r="D3195">
        <v>0</v>
      </c>
      <c r="E3195" s="49" t="s">
        <v>378</v>
      </c>
    </row>
    <row r="3196" spans="1:5" x14ac:dyDescent="0.3">
      <c r="A3196" s="49" t="s">
        <v>1788</v>
      </c>
      <c r="B3196" s="49" t="s">
        <v>409</v>
      </c>
      <c r="C3196" s="49" t="s">
        <v>449</v>
      </c>
      <c r="D3196">
        <v>1</v>
      </c>
      <c r="E3196" s="49" t="s">
        <v>378</v>
      </c>
    </row>
    <row r="3197" spans="1:5" x14ac:dyDescent="0.3">
      <c r="A3197" s="49" t="s">
        <v>1788</v>
      </c>
      <c r="B3197" s="49" t="s">
        <v>409</v>
      </c>
      <c r="C3197" s="49" t="s">
        <v>449</v>
      </c>
      <c r="D3197">
        <v>2</v>
      </c>
      <c r="E3197" s="49" t="s">
        <v>378</v>
      </c>
    </row>
    <row r="3198" spans="1:5" x14ac:dyDescent="0.3">
      <c r="A3198" s="49" t="s">
        <v>1788</v>
      </c>
      <c r="B3198" s="49" t="s">
        <v>409</v>
      </c>
      <c r="C3198" s="49" t="s">
        <v>449</v>
      </c>
      <c r="D3198">
        <v>3</v>
      </c>
      <c r="E3198" s="49" t="s">
        <v>378</v>
      </c>
    </row>
    <row r="3199" spans="1:5" x14ac:dyDescent="0.3">
      <c r="A3199" s="49" t="s">
        <v>1788</v>
      </c>
      <c r="B3199" s="49" t="s">
        <v>409</v>
      </c>
      <c r="C3199" s="49" t="s">
        <v>449</v>
      </c>
      <c r="D3199">
        <v>4</v>
      </c>
      <c r="E3199" s="49" t="s">
        <v>378</v>
      </c>
    </row>
    <row r="3200" spans="1:5" x14ac:dyDescent="0.3">
      <c r="A3200" s="49" t="s">
        <v>1788</v>
      </c>
      <c r="B3200" s="49" t="s">
        <v>409</v>
      </c>
      <c r="C3200" s="49" t="s">
        <v>449</v>
      </c>
      <c r="D3200">
        <v>5</v>
      </c>
      <c r="E3200" s="49" t="s">
        <v>378</v>
      </c>
    </row>
    <row r="3201" spans="1:5" x14ac:dyDescent="0.3">
      <c r="A3201" s="49" t="s">
        <v>1788</v>
      </c>
      <c r="B3201" s="49" t="s">
        <v>409</v>
      </c>
      <c r="C3201" s="49" t="s">
        <v>449</v>
      </c>
      <c r="D3201">
        <v>6</v>
      </c>
      <c r="E3201" s="49" t="s">
        <v>378</v>
      </c>
    </row>
    <row r="3202" spans="1:5" x14ac:dyDescent="0.3">
      <c r="A3202" s="49" t="s">
        <v>1788</v>
      </c>
      <c r="B3202" s="49" t="s">
        <v>409</v>
      </c>
      <c r="C3202" s="49" t="s">
        <v>449</v>
      </c>
      <c r="D3202">
        <v>7</v>
      </c>
      <c r="E3202" s="49" t="s">
        <v>378</v>
      </c>
    </row>
    <row r="3203" spans="1:5" x14ac:dyDescent="0.3">
      <c r="A3203" s="49" t="s">
        <v>1788</v>
      </c>
      <c r="B3203" s="49" t="s">
        <v>409</v>
      </c>
      <c r="C3203" s="49" t="s">
        <v>449</v>
      </c>
      <c r="D3203">
        <v>8</v>
      </c>
      <c r="E3203" s="49" t="s">
        <v>378</v>
      </c>
    </row>
    <row r="3204" spans="1:5" x14ac:dyDescent="0.3">
      <c r="A3204" s="49" t="s">
        <v>1789</v>
      </c>
      <c r="B3204" s="49" t="s">
        <v>409</v>
      </c>
      <c r="C3204" s="49" t="s">
        <v>449</v>
      </c>
      <c r="D3204">
        <v>0</v>
      </c>
      <c r="E3204" s="49" t="s">
        <v>378</v>
      </c>
    </row>
    <row r="3205" spans="1:5" x14ac:dyDescent="0.3">
      <c r="A3205" s="49" t="s">
        <v>1789</v>
      </c>
      <c r="B3205" s="49" t="s">
        <v>409</v>
      </c>
      <c r="C3205" s="49" t="s">
        <v>449</v>
      </c>
      <c r="D3205">
        <v>1</v>
      </c>
      <c r="E3205" s="49" t="s">
        <v>378</v>
      </c>
    </row>
    <row r="3206" spans="1:5" x14ac:dyDescent="0.3">
      <c r="A3206" s="49" t="s">
        <v>1789</v>
      </c>
      <c r="B3206" s="49" t="s">
        <v>409</v>
      </c>
      <c r="C3206" s="49" t="s">
        <v>449</v>
      </c>
      <c r="D3206">
        <v>2</v>
      </c>
      <c r="E3206" s="49" t="s">
        <v>378</v>
      </c>
    </row>
    <row r="3207" spans="1:5" x14ac:dyDescent="0.3">
      <c r="A3207" s="49" t="s">
        <v>1789</v>
      </c>
      <c r="B3207" s="49" t="s">
        <v>409</v>
      </c>
      <c r="C3207" s="49" t="s">
        <v>449</v>
      </c>
      <c r="D3207">
        <v>3</v>
      </c>
      <c r="E3207" s="49" t="s">
        <v>378</v>
      </c>
    </row>
    <row r="3208" spans="1:5" x14ac:dyDescent="0.3">
      <c r="A3208" s="49" t="s">
        <v>1789</v>
      </c>
      <c r="B3208" s="49" t="s">
        <v>409</v>
      </c>
      <c r="C3208" s="49" t="s">
        <v>449</v>
      </c>
      <c r="D3208">
        <v>4</v>
      </c>
      <c r="E3208" s="49" t="s">
        <v>378</v>
      </c>
    </row>
    <row r="3209" spans="1:5" x14ac:dyDescent="0.3">
      <c r="A3209" s="49" t="s">
        <v>1789</v>
      </c>
      <c r="B3209" s="49" t="s">
        <v>409</v>
      </c>
      <c r="C3209" s="49" t="s">
        <v>449</v>
      </c>
      <c r="D3209">
        <v>5</v>
      </c>
      <c r="E3209" s="49" t="s">
        <v>378</v>
      </c>
    </row>
    <row r="3210" spans="1:5" x14ac:dyDescent="0.3">
      <c r="A3210" s="49" t="s">
        <v>1789</v>
      </c>
      <c r="B3210" s="49" t="s">
        <v>409</v>
      </c>
      <c r="C3210" s="49" t="s">
        <v>449</v>
      </c>
      <c r="D3210">
        <v>6</v>
      </c>
      <c r="E3210" s="49" t="s">
        <v>378</v>
      </c>
    </row>
    <row r="3211" spans="1:5" x14ac:dyDescent="0.3">
      <c r="A3211" s="49" t="s">
        <v>1789</v>
      </c>
      <c r="B3211" s="49" t="s">
        <v>409</v>
      </c>
      <c r="C3211" s="49" t="s">
        <v>449</v>
      </c>
      <c r="D3211">
        <v>7</v>
      </c>
      <c r="E3211" s="49" t="s">
        <v>378</v>
      </c>
    </row>
    <row r="3212" spans="1:5" x14ac:dyDescent="0.3">
      <c r="A3212" s="49" t="s">
        <v>1789</v>
      </c>
      <c r="B3212" s="49" t="s">
        <v>409</v>
      </c>
      <c r="C3212" s="49" t="s">
        <v>449</v>
      </c>
      <c r="D3212">
        <v>8</v>
      </c>
      <c r="E3212" s="49" t="s">
        <v>378</v>
      </c>
    </row>
    <row r="3213" spans="1:5" x14ac:dyDescent="0.3">
      <c r="A3213" s="49" t="s">
        <v>1790</v>
      </c>
      <c r="B3213" s="49" t="s">
        <v>409</v>
      </c>
      <c r="C3213" s="49" t="s">
        <v>449</v>
      </c>
      <c r="D3213">
        <v>0</v>
      </c>
      <c r="E3213" s="49" t="s">
        <v>378</v>
      </c>
    </row>
    <row r="3214" spans="1:5" x14ac:dyDescent="0.3">
      <c r="A3214" s="49" t="s">
        <v>1790</v>
      </c>
      <c r="B3214" s="49" t="s">
        <v>409</v>
      </c>
      <c r="C3214" s="49" t="s">
        <v>449</v>
      </c>
      <c r="D3214">
        <v>1</v>
      </c>
      <c r="E3214" s="49" t="s">
        <v>378</v>
      </c>
    </row>
    <row r="3215" spans="1:5" x14ac:dyDescent="0.3">
      <c r="A3215" s="49" t="s">
        <v>1790</v>
      </c>
      <c r="B3215" s="49" t="s">
        <v>409</v>
      </c>
      <c r="C3215" s="49" t="s">
        <v>449</v>
      </c>
      <c r="D3215">
        <v>2</v>
      </c>
      <c r="E3215" s="49" t="s">
        <v>378</v>
      </c>
    </row>
    <row r="3216" spans="1:5" x14ac:dyDescent="0.3">
      <c r="A3216" s="49" t="s">
        <v>1790</v>
      </c>
      <c r="B3216" s="49" t="s">
        <v>409</v>
      </c>
      <c r="C3216" s="49" t="s">
        <v>449</v>
      </c>
      <c r="D3216">
        <v>3</v>
      </c>
      <c r="E3216" s="49" t="s">
        <v>378</v>
      </c>
    </row>
    <row r="3217" spans="1:5" x14ac:dyDescent="0.3">
      <c r="A3217" s="49" t="s">
        <v>1790</v>
      </c>
      <c r="B3217" s="49" t="s">
        <v>409</v>
      </c>
      <c r="C3217" s="49" t="s">
        <v>449</v>
      </c>
      <c r="D3217">
        <v>4</v>
      </c>
      <c r="E3217" s="49" t="s">
        <v>378</v>
      </c>
    </row>
    <row r="3218" spans="1:5" x14ac:dyDescent="0.3">
      <c r="A3218" s="49" t="s">
        <v>1790</v>
      </c>
      <c r="B3218" s="49" t="s">
        <v>409</v>
      </c>
      <c r="C3218" s="49" t="s">
        <v>449</v>
      </c>
      <c r="D3218">
        <v>5</v>
      </c>
      <c r="E3218" s="49" t="s">
        <v>378</v>
      </c>
    </row>
    <row r="3219" spans="1:5" x14ac:dyDescent="0.3">
      <c r="A3219" s="49" t="s">
        <v>1790</v>
      </c>
      <c r="B3219" s="49" t="s">
        <v>409</v>
      </c>
      <c r="C3219" s="49" t="s">
        <v>449</v>
      </c>
      <c r="D3219">
        <v>6</v>
      </c>
      <c r="E3219" s="49" t="s">
        <v>378</v>
      </c>
    </row>
    <row r="3220" spans="1:5" x14ac:dyDescent="0.3">
      <c r="A3220" s="49" t="s">
        <v>1790</v>
      </c>
      <c r="B3220" s="49" t="s">
        <v>409</v>
      </c>
      <c r="C3220" s="49" t="s">
        <v>449</v>
      </c>
      <c r="D3220">
        <v>7</v>
      </c>
      <c r="E3220" s="49" t="s">
        <v>378</v>
      </c>
    </row>
    <row r="3221" spans="1:5" x14ac:dyDescent="0.3">
      <c r="A3221" s="49" t="s">
        <v>1790</v>
      </c>
      <c r="B3221" s="49" t="s">
        <v>409</v>
      </c>
      <c r="C3221" s="49" t="s">
        <v>449</v>
      </c>
      <c r="D3221">
        <v>8</v>
      </c>
      <c r="E3221" s="49" t="s">
        <v>378</v>
      </c>
    </row>
    <row r="3222" spans="1:5" x14ac:dyDescent="0.3">
      <c r="A3222" s="49" t="s">
        <v>1791</v>
      </c>
      <c r="B3222" s="49" t="s">
        <v>409</v>
      </c>
      <c r="C3222" s="49" t="s">
        <v>449</v>
      </c>
      <c r="D3222">
        <v>0</v>
      </c>
      <c r="E3222" s="49" t="s">
        <v>378</v>
      </c>
    </row>
    <row r="3223" spans="1:5" x14ac:dyDescent="0.3">
      <c r="A3223" s="49" t="s">
        <v>1791</v>
      </c>
      <c r="B3223" s="49" t="s">
        <v>409</v>
      </c>
      <c r="C3223" s="49" t="s">
        <v>449</v>
      </c>
      <c r="D3223">
        <v>1</v>
      </c>
      <c r="E3223" s="49" t="s">
        <v>378</v>
      </c>
    </row>
    <row r="3224" spans="1:5" x14ac:dyDescent="0.3">
      <c r="A3224" s="49" t="s">
        <v>1791</v>
      </c>
      <c r="B3224" s="49" t="s">
        <v>409</v>
      </c>
      <c r="C3224" s="49" t="s">
        <v>449</v>
      </c>
      <c r="D3224">
        <v>2</v>
      </c>
      <c r="E3224" s="49" t="s">
        <v>378</v>
      </c>
    </row>
    <row r="3225" spans="1:5" x14ac:dyDescent="0.3">
      <c r="A3225" s="49" t="s">
        <v>1791</v>
      </c>
      <c r="B3225" s="49" t="s">
        <v>409</v>
      </c>
      <c r="C3225" s="49" t="s">
        <v>449</v>
      </c>
      <c r="D3225">
        <v>3</v>
      </c>
      <c r="E3225" s="49" t="s">
        <v>378</v>
      </c>
    </row>
    <row r="3226" spans="1:5" x14ac:dyDescent="0.3">
      <c r="A3226" s="49" t="s">
        <v>1791</v>
      </c>
      <c r="B3226" s="49" t="s">
        <v>409</v>
      </c>
      <c r="C3226" s="49" t="s">
        <v>449</v>
      </c>
      <c r="D3226">
        <v>4</v>
      </c>
      <c r="E3226" s="49" t="s">
        <v>378</v>
      </c>
    </row>
    <row r="3227" spans="1:5" x14ac:dyDescent="0.3">
      <c r="A3227" s="49" t="s">
        <v>1791</v>
      </c>
      <c r="B3227" s="49" t="s">
        <v>409</v>
      </c>
      <c r="C3227" s="49" t="s">
        <v>449</v>
      </c>
      <c r="D3227">
        <v>5</v>
      </c>
      <c r="E3227" s="49" t="s">
        <v>378</v>
      </c>
    </row>
    <row r="3228" spans="1:5" x14ac:dyDescent="0.3">
      <c r="A3228" s="49" t="s">
        <v>1791</v>
      </c>
      <c r="B3228" s="49" t="s">
        <v>409</v>
      </c>
      <c r="C3228" s="49" t="s">
        <v>449</v>
      </c>
      <c r="D3228">
        <v>6</v>
      </c>
      <c r="E3228" s="49" t="s">
        <v>378</v>
      </c>
    </row>
    <row r="3229" spans="1:5" x14ac:dyDescent="0.3">
      <c r="A3229" s="49" t="s">
        <v>1791</v>
      </c>
      <c r="B3229" s="49" t="s">
        <v>409</v>
      </c>
      <c r="C3229" s="49" t="s">
        <v>449</v>
      </c>
      <c r="D3229">
        <v>7</v>
      </c>
      <c r="E3229" s="49" t="s">
        <v>378</v>
      </c>
    </row>
    <row r="3230" spans="1:5" x14ac:dyDescent="0.3">
      <c r="A3230" s="49" t="s">
        <v>1791</v>
      </c>
      <c r="B3230" s="49" t="s">
        <v>409</v>
      </c>
      <c r="C3230" s="49" t="s">
        <v>449</v>
      </c>
      <c r="D3230">
        <v>8</v>
      </c>
      <c r="E3230" s="49" t="s">
        <v>378</v>
      </c>
    </row>
    <row r="3231" spans="1:5" x14ac:dyDescent="0.3">
      <c r="A3231" s="49" t="s">
        <v>1792</v>
      </c>
      <c r="B3231" s="49" t="s">
        <v>409</v>
      </c>
      <c r="C3231" s="49" t="s">
        <v>449</v>
      </c>
      <c r="D3231">
        <v>0</v>
      </c>
      <c r="E3231" s="49" t="s">
        <v>378</v>
      </c>
    </row>
    <row r="3232" spans="1:5" x14ac:dyDescent="0.3">
      <c r="A3232" s="49" t="s">
        <v>1792</v>
      </c>
      <c r="B3232" s="49" t="s">
        <v>409</v>
      </c>
      <c r="C3232" s="49" t="s">
        <v>449</v>
      </c>
      <c r="D3232">
        <v>1</v>
      </c>
      <c r="E3232" s="49" t="s">
        <v>378</v>
      </c>
    </row>
    <row r="3233" spans="1:5" x14ac:dyDescent="0.3">
      <c r="A3233" s="49" t="s">
        <v>1792</v>
      </c>
      <c r="B3233" s="49" t="s">
        <v>409</v>
      </c>
      <c r="C3233" s="49" t="s">
        <v>449</v>
      </c>
      <c r="D3233">
        <v>2</v>
      </c>
      <c r="E3233" s="49" t="s">
        <v>378</v>
      </c>
    </row>
    <row r="3234" spans="1:5" x14ac:dyDescent="0.3">
      <c r="A3234" s="49" t="s">
        <v>1792</v>
      </c>
      <c r="B3234" s="49" t="s">
        <v>409</v>
      </c>
      <c r="C3234" s="49" t="s">
        <v>449</v>
      </c>
      <c r="D3234">
        <v>3</v>
      </c>
      <c r="E3234" s="49" t="s">
        <v>378</v>
      </c>
    </row>
    <row r="3235" spans="1:5" x14ac:dyDescent="0.3">
      <c r="A3235" s="49" t="s">
        <v>1792</v>
      </c>
      <c r="B3235" s="49" t="s">
        <v>409</v>
      </c>
      <c r="C3235" s="49" t="s">
        <v>449</v>
      </c>
      <c r="D3235">
        <v>4</v>
      </c>
      <c r="E3235" s="49" t="s">
        <v>378</v>
      </c>
    </row>
    <row r="3236" spans="1:5" x14ac:dyDescent="0.3">
      <c r="A3236" s="49" t="s">
        <v>1792</v>
      </c>
      <c r="B3236" s="49" t="s">
        <v>409</v>
      </c>
      <c r="C3236" s="49" t="s">
        <v>449</v>
      </c>
      <c r="D3236">
        <v>5</v>
      </c>
      <c r="E3236" s="49" t="s">
        <v>378</v>
      </c>
    </row>
    <row r="3237" spans="1:5" x14ac:dyDescent="0.3">
      <c r="A3237" s="49" t="s">
        <v>1792</v>
      </c>
      <c r="B3237" s="49" t="s">
        <v>409</v>
      </c>
      <c r="C3237" s="49" t="s">
        <v>449</v>
      </c>
      <c r="D3237">
        <v>6</v>
      </c>
      <c r="E3237" s="49" t="s">
        <v>378</v>
      </c>
    </row>
    <row r="3238" spans="1:5" x14ac:dyDescent="0.3">
      <c r="A3238" s="49" t="s">
        <v>1792</v>
      </c>
      <c r="B3238" s="49" t="s">
        <v>409</v>
      </c>
      <c r="C3238" s="49" t="s">
        <v>449</v>
      </c>
      <c r="D3238">
        <v>7</v>
      </c>
      <c r="E3238" s="49" t="s">
        <v>378</v>
      </c>
    </row>
    <row r="3239" spans="1:5" x14ac:dyDescent="0.3">
      <c r="A3239" s="49" t="s">
        <v>1792</v>
      </c>
      <c r="B3239" s="49" t="s">
        <v>409</v>
      </c>
      <c r="C3239" s="49" t="s">
        <v>449</v>
      </c>
      <c r="D3239">
        <v>8</v>
      </c>
      <c r="E3239" s="49" t="s">
        <v>378</v>
      </c>
    </row>
    <row r="3240" spans="1:5" x14ac:dyDescent="0.3">
      <c r="A3240" s="49" t="s">
        <v>1793</v>
      </c>
      <c r="B3240" s="49" t="s">
        <v>409</v>
      </c>
      <c r="C3240" s="49" t="s">
        <v>449</v>
      </c>
      <c r="D3240">
        <v>0</v>
      </c>
      <c r="E3240" s="49" t="s">
        <v>378</v>
      </c>
    </row>
    <row r="3241" spans="1:5" x14ac:dyDescent="0.3">
      <c r="A3241" s="49" t="s">
        <v>1793</v>
      </c>
      <c r="B3241" s="49" t="s">
        <v>409</v>
      </c>
      <c r="C3241" s="49" t="s">
        <v>449</v>
      </c>
      <c r="D3241">
        <v>1</v>
      </c>
      <c r="E3241" s="49" t="s">
        <v>378</v>
      </c>
    </row>
    <row r="3242" spans="1:5" x14ac:dyDescent="0.3">
      <c r="A3242" s="49" t="s">
        <v>1793</v>
      </c>
      <c r="B3242" s="49" t="s">
        <v>409</v>
      </c>
      <c r="C3242" s="49" t="s">
        <v>449</v>
      </c>
      <c r="D3242">
        <v>2</v>
      </c>
      <c r="E3242" s="49" t="s">
        <v>378</v>
      </c>
    </row>
    <row r="3243" spans="1:5" x14ac:dyDescent="0.3">
      <c r="A3243" s="49" t="s">
        <v>1793</v>
      </c>
      <c r="B3243" s="49" t="s">
        <v>409</v>
      </c>
      <c r="C3243" s="49" t="s">
        <v>449</v>
      </c>
      <c r="D3243">
        <v>3</v>
      </c>
      <c r="E3243" s="49" t="s">
        <v>378</v>
      </c>
    </row>
    <row r="3244" spans="1:5" x14ac:dyDescent="0.3">
      <c r="A3244" s="49" t="s">
        <v>1793</v>
      </c>
      <c r="B3244" s="49" t="s">
        <v>409</v>
      </c>
      <c r="C3244" s="49" t="s">
        <v>449</v>
      </c>
      <c r="D3244">
        <v>4</v>
      </c>
      <c r="E3244" s="49" t="s">
        <v>378</v>
      </c>
    </row>
    <row r="3245" spans="1:5" x14ac:dyDescent="0.3">
      <c r="A3245" s="49" t="s">
        <v>1793</v>
      </c>
      <c r="B3245" s="49" t="s">
        <v>409</v>
      </c>
      <c r="C3245" s="49" t="s">
        <v>449</v>
      </c>
      <c r="D3245">
        <v>5</v>
      </c>
      <c r="E3245" s="49" t="s">
        <v>378</v>
      </c>
    </row>
    <row r="3246" spans="1:5" x14ac:dyDescent="0.3">
      <c r="A3246" s="49" t="s">
        <v>1793</v>
      </c>
      <c r="B3246" s="49" t="s">
        <v>409</v>
      </c>
      <c r="C3246" s="49" t="s">
        <v>449</v>
      </c>
      <c r="D3246">
        <v>6</v>
      </c>
      <c r="E3246" s="49" t="s">
        <v>378</v>
      </c>
    </row>
    <row r="3247" spans="1:5" x14ac:dyDescent="0.3">
      <c r="A3247" s="49" t="s">
        <v>1793</v>
      </c>
      <c r="B3247" s="49" t="s">
        <v>409</v>
      </c>
      <c r="C3247" s="49" t="s">
        <v>449</v>
      </c>
      <c r="D3247">
        <v>7</v>
      </c>
      <c r="E3247" s="49" t="s">
        <v>378</v>
      </c>
    </row>
    <row r="3248" spans="1:5" x14ac:dyDescent="0.3">
      <c r="A3248" s="49" t="s">
        <v>1793</v>
      </c>
      <c r="B3248" s="49" t="s">
        <v>409</v>
      </c>
      <c r="C3248" s="49" t="s">
        <v>449</v>
      </c>
      <c r="D3248">
        <v>8</v>
      </c>
      <c r="E3248" s="49" t="s">
        <v>378</v>
      </c>
    </row>
    <row r="3249" spans="1:5" x14ac:dyDescent="0.3">
      <c r="A3249" s="49" t="s">
        <v>1794</v>
      </c>
      <c r="B3249" s="49" t="s">
        <v>409</v>
      </c>
      <c r="C3249" s="49" t="s">
        <v>449</v>
      </c>
      <c r="D3249">
        <v>0</v>
      </c>
      <c r="E3249" s="49" t="s">
        <v>378</v>
      </c>
    </row>
    <row r="3250" spans="1:5" x14ac:dyDescent="0.3">
      <c r="A3250" s="49" t="s">
        <v>1794</v>
      </c>
      <c r="B3250" s="49" t="s">
        <v>409</v>
      </c>
      <c r="C3250" s="49" t="s">
        <v>449</v>
      </c>
      <c r="D3250">
        <v>1</v>
      </c>
      <c r="E3250" s="49" t="s">
        <v>378</v>
      </c>
    </row>
    <row r="3251" spans="1:5" x14ac:dyDescent="0.3">
      <c r="A3251" s="49" t="s">
        <v>1794</v>
      </c>
      <c r="B3251" s="49" t="s">
        <v>409</v>
      </c>
      <c r="C3251" s="49" t="s">
        <v>449</v>
      </c>
      <c r="D3251">
        <v>2</v>
      </c>
      <c r="E3251" s="49" t="s">
        <v>378</v>
      </c>
    </row>
    <row r="3252" spans="1:5" x14ac:dyDescent="0.3">
      <c r="A3252" s="49" t="s">
        <v>1794</v>
      </c>
      <c r="B3252" s="49" t="s">
        <v>409</v>
      </c>
      <c r="C3252" s="49" t="s">
        <v>449</v>
      </c>
      <c r="D3252">
        <v>3</v>
      </c>
      <c r="E3252" s="49" t="s">
        <v>378</v>
      </c>
    </row>
    <row r="3253" spans="1:5" x14ac:dyDescent="0.3">
      <c r="A3253" s="49" t="s">
        <v>1794</v>
      </c>
      <c r="B3253" s="49" t="s">
        <v>409</v>
      </c>
      <c r="C3253" s="49" t="s">
        <v>449</v>
      </c>
      <c r="D3253">
        <v>4</v>
      </c>
      <c r="E3253" s="49" t="s">
        <v>378</v>
      </c>
    </row>
    <row r="3254" spans="1:5" x14ac:dyDescent="0.3">
      <c r="A3254" s="49" t="s">
        <v>1794</v>
      </c>
      <c r="B3254" s="49" t="s">
        <v>409</v>
      </c>
      <c r="C3254" s="49" t="s">
        <v>449</v>
      </c>
      <c r="D3254">
        <v>5</v>
      </c>
      <c r="E3254" s="49" t="s">
        <v>378</v>
      </c>
    </row>
    <row r="3255" spans="1:5" x14ac:dyDescent="0.3">
      <c r="A3255" s="49" t="s">
        <v>1794</v>
      </c>
      <c r="B3255" s="49" t="s">
        <v>409</v>
      </c>
      <c r="C3255" s="49" t="s">
        <v>449</v>
      </c>
      <c r="D3255">
        <v>6</v>
      </c>
      <c r="E3255" s="49" t="s">
        <v>378</v>
      </c>
    </row>
    <row r="3256" spans="1:5" x14ac:dyDescent="0.3">
      <c r="A3256" s="49" t="s">
        <v>1794</v>
      </c>
      <c r="B3256" s="49" t="s">
        <v>409</v>
      </c>
      <c r="C3256" s="49" t="s">
        <v>449</v>
      </c>
      <c r="D3256">
        <v>7</v>
      </c>
      <c r="E3256" s="49" t="s">
        <v>378</v>
      </c>
    </row>
    <row r="3257" spans="1:5" x14ac:dyDescent="0.3">
      <c r="A3257" s="49" t="s">
        <v>1794</v>
      </c>
      <c r="B3257" s="49" t="s">
        <v>409</v>
      </c>
      <c r="C3257" s="49" t="s">
        <v>449</v>
      </c>
      <c r="D3257">
        <v>8</v>
      </c>
      <c r="E3257" s="49" t="s">
        <v>378</v>
      </c>
    </row>
    <row r="3258" spans="1:5" x14ac:dyDescent="0.3">
      <c r="A3258" s="49" t="s">
        <v>1795</v>
      </c>
      <c r="B3258" s="49" t="s">
        <v>409</v>
      </c>
      <c r="C3258" s="49" t="s">
        <v>449</v>
      </c>
      <c r="D3258">
        <v>0</v>
      </c>
      <c r="E3258" s="49" t="s">
        <v>378</v>
      </c>
    </row>
    <row r="3259" spans="1:5" x14ac:dyDescent="0.3">
      <c r="A3259" s="49" t="s">
        <v>1795</v>
      </c>
      <c r="B3259" s="49" t="s">
        <v>409</v>
      </c>
      <c r="C3259" s="49" t="s">
        <v>449</v>
      </c>
      <c r="D3259">
        <v>1</v>
      </c>
      <c r="E3259" s="49" t="s">
        <v>378</v>
      </c>
    </row>
    <row r="3260" spans="1:5" x14ac:dyDescent="0.3">
      <c r="A3260" s="49" t="s">
        <v>1795</v>
      </c>
      <c r="B3260" s="49" t="s">
        <v>409</v>
      </c>
      <c r="C3260" s="49" t="s">
        <v>449</v>
      </c>
      <c r="D3260">
        <v>2</v>
      </c>
      <c r="E3260" s="49" t="s">
        <v>378</v>
      </c>
    </row>
    <row r="3261" spans="1:5" x14ac:dyDescent="0.3">
      <c r="A3261" s="49" t="s">
        <v>1795</v>
      </c>
      <c r="B3261" s="49" t="s">
        <v>409</v>
      </c>
      <c r="C3261" s="49" t="s">
        <v>449</v>
      </c>
      <c r="D3261">
        <v>3</v>
      </c>
      <c r="E3261" s="49" t="s">
        <v>378</v>
      </c>
    </row>
    <row r="3262" spans="1:5" x14ac:dyDescent="0.3">
      <c r="A3262" s="49" t="s">
        <v>1795</v>
      </c>
      <c r="B3262" s="49" t="s">
        <v>409</v>
      </c>
      <c r="C3262" s="49" t="s">
        <v>449</v>
      </c>
      <c r="D3262">
        <v>4</v>
      </c>
      <c r="E3262" s="49" t="s">
        <v>378</v>
      </c>
    </row>
    <row r="3263" spans="1:5" x14ac:dyDescent="0.3">
      <c r="A3263" s="49" t="s">
        <v>1795</v>
      </c>
      <c r="B3263" s="49" t="s">
        <v>409</v>
      </c>
      <c r="C3263" s="49" t="s">
        <v>449</v>
      </c>
      <c r="D3263">
        <v>5</v>
      </c>
      <c r="E3263" s="49" t="s">
        <v>378</v>
      </c>
    </row>
    <row r="3264" spans="1:5" x14ac:dyDescent="0.3">
      <c r="A3264" s="49" t="s">
        <v>1795</v>
      </c>
      <c r="B3264" s="49" t="s">
        <v>409</v>
      </c>
      <c r="C3264" s="49" t="s">
        <v>449</v>
      </c>
      <c r="D3264">
        <v>6</v>
      </c>
      <c r="E3264" s="49" t="s">
        <v>378</v>
      </c>
    </row>
    <row r="3265" spans="1:5" x14ac:dyDescent="0.3">
      <c r="A3265" s="49" t="s">
        <v>1795</v>
      </c>
      <c r="B3265" s="49" t="s">
        <v>409</v>
      </c>
      <c r="C3265" s="49" t="s">
        <v>449</v>
      </c>
      <c r="D3265">
        <v>7</v>
      </c>
      <c r="E3265" s="49" t="s">
        <v>378</v>
      </c>
    </row>
    <row r="3266" spans="1:5" x14ac:dyDescent="0.3">
      <c r="A3266" s="49" t="s">
        <v>1795</v>
      </c>
      <c r="B3266" s="49" t="s">
        <v>409</v>
      </c>
      <c r="C3266" s="49" t="s">
        <v>449</v>
      </c>
      <c r="D3266">
        <v>8</v>
      </c>
      <c r="E3266" s="49" t="s">
        <v>378</v>
      </c>
    </row>
    <row r="3267" spans="1:5" x14ac:dyDescent="0.3">
      <c r="A3267" s="49" t="s">
        <v>1795</v>
      </c>
      <c r="B3267" s="49" t="s">
        <v>409</v>
      </c>
      <c r="C3267" s="49" t="s">
        <v>449</v>
      </c>
      <c r="D3267">
        <v>9</v>
      </c>
      <c r="E3267" s="49" t="s">
        <v>378</v>
      </c>
    </row>
    <row r="3268" spans="1:5" x14ac:dyDescent="0.3">
      <c r="A3268" s="49" t="s">
        <v>1795</v>
      </c>
      <c r="B3268" s="49" t="s">
        <v>409</v>
      </c>
      <c r="C3268" s="49" t="s">
        <v>449</v>
      </c>
      <c r="D3268">
        <v>10</v>
      </c>
      <c r="E3268" s="49" t="s">
        <v>378</v>
      </c>
    </row>
    <row r="3269" spans="1:5" x14ac:dyDescent="0.3">
      <c r="A3269" s="49" t="s">
        <v>1795</v>
      </c>
      <c r="B3269" s="49" t="s">
        <v>409</v>
      </c>
      <c r="C3269" s="49" t="s">
        <v>449</v>
      </c>
      <c r="D3269">
        <v>11</v>
      </c>
      <c r="E3269" s="49" t="s">
        <v>378</v>
      </c>
    </row>
    <row r="3270" spans="1:5" x14ac:dyDescent="0.3">
      <c r="A3270" s="49" t="s">
        <v>1795</v>
      </c>
      <c r="B3270" s="49" t="s">
        <v>409</v>
      </c>
      <c r="C3270" s="49" t="s">
        <v>449</v>
      </c>
      <c r="D3270">
        <v>12</v>
      </c>
      <c r="E3270" s="49" t="s">
        <v>378</v>
      </c>
    </row>
    <row r="3271" spans="1:5" x14ac:dyDescent="0.3">
      <c r="A3271" s="49" t="s">
        <v>1795</v>
      </c>
      <c r="B3271" s="49" t="s">
        <v>409</v>
      </c>
      <c r="C3271" s="49" t="s">
        <v>449</v>
      </c>
      <c r="D3271">
        <v>13</v>
      </c>
      <c r="E3271" s="49" t="s">
        <v>378</v>
      </c>
    </row>
    <row r="3272" spans="1:5" x14ac:dyDescent="0.3">
      <c r="A3272" s="49" t="s">
        <v>1795</v>
      </c>
      <c r="B3272" s="49" t="s">
        <v>409</v>
      </c>
      <c r="C3272" s="49" t="s">
        <v>449</v>
      </c>
      <c r="D3272">
        <v>14</v>
      </c>
      <c r="E3272" s="49" t="s">
        <v>378</v>
      </c>
    </row>
    <row r="3273" spans="1:5" x14ac:dyDescent="0.3">
      <c r="A3273" s="49" t="s">
        <v>1795</v>
      </c>
      <c r="B3273" s="49" t="s">
        <v>409</v>
      </c>
      <c r="C3273" s="49" t="s">
        <v>449</v>
      </c>
      <c r="D3273">
        <v>15</v>
      </c>
      <c r="E3273" s="49" t="s">
        <v>378</v>
      </c>
    </row>
    <row r="3274" spans="1:5" x14ac:dyDescent="0.3">
      <c r="A3274" s="49" t="s">
        <v>1795</v>
      </c>
      <c r="B3274" s="49" t="s">
        <v>409</v>
      </c>
      <c r="C3274" s="49" t="s">
        <v>449</v>
      </c>
      <c r="D3274">
        <v>16</v>
      </c>
      <c r="E3274" s="49" t="s">
        <v>378</v>
      </c>
    </row>
    <row r="3275" spans="1:5" x14ac:dyDescent="0.3">
      <c r="A3275" s="49" t="s">
        <v>1795</v>
      </c>
      <c r="B3275" s="49" t="s">
        <v>409</v>
      </c>
      <c r="C3275" s="49" t="s">
        <v>449</v>
      </c>
      <c r="D3275">
        <v>17</v>
      </c>
      <c r="E3275" s="49" t="s">
        <v>378</v>
      </c>
    </row>
    <row r="3276" spans="1:5" x14ac:dyDescent="0.3">
      <c r="A3276" s="49" t="s">
        <v>1796</v>
      </c>
      <c r="B3276" s="49" t="s">
        <v>409</v>
      </c>
      <c r="C3276" s="49" t="s">
        <v>449</v>
      </c>
      <c r="D3276">
        <v>0</v>
      </c>
      <c r="E3276" s="49" t="s">
        <v>378</v>
      </c>
    </row>
    <row r="3277" spans="1:5" x14ac:dyDescent="0.3">
      <c r="A3277" s="49" t="s">
        <v>1796</v>
      </c>
      <c r="B3277" s="49" t="s">
        <v>409</v>
      </c>
      <c r="C3277" s="49" t="s">
        <v>449</v>
      </c>
      <c r="D3277">
        <v>1</v>
      </c>
      <c r="E3277" s="49" t="s">
        <v>378</v>
      </c>
    </row>
    <row r="3278" spans="1:5" x14ac:dyDescent="0.3">
      <c r="A3278" s="49" t="s">
        <v>1796</v>
      </c>
      <c r="B3278" s="49" t="s">
        <v>409</v>
      </c>
      <c r="C3278" s="49" t="s">
        <v>449</v>
      </c>
      <c r="D3278">
        <v>2</v>
      </c>
      <c r="E3278" s="49" t="s">
        <v>378</v>
      </c>
    </row>
    <row r="3279" spans="1:5" x14ac:dyDescent="0.3">
      <c r="A3279" s="49" t="s">
        <v>1796</v>
      </c>
      <c r="B3279" s="49" t="s">
        <v>409</v>
      </c>
      <c r="C3279" s="49" t="s">
        <v>449</v>
      </c>
      <c r="D3279">
        <v>3</v>
      </c>
      <c r="E3279" s="49" t="s">
        <v>378</v>
      </c>
    </row>
    <row r="3280" spans="1:5" x14ac:dyDescent="0.3">
      <c r="A3280" s="49" t="s">
        <v>1796</v>
      </c>
      <c r="B3280" s="49" t="s">
        <v>409</v>
      </c>
      <c r="C3280" s="49" t="s">
        <v>449</v>
      </c>
      <c r="D3280">
        <v>4</v>
      </c>
      <c r="E3280" s="49" t="s">
        <v>378</v>
      </c>
    </row>
    <row r="3281" spans="1:5" x14ac:dyDescent="0.3">
      <c r="A3281" s="49" t="s">
        <v>1796</v>
      </c>
      <c r="B3281" s="49" t="s">
        <v>409</v>
      </c>
      <c r="C3281" s="49" t="s">
        <v>449</v>
      </c>
      <c r="D3281">
        <v>5</v>
      </c>
      <c r="E3281" s="49" t="s">
        <v>378</v>
      </c>
    </row>
    <row r="3282" spans="1:5" x14ac:dyDescent="0.3">
      <c r="A3282" s="49" t="s">
        <v>1796</v>
      </c>
      <c r="B3282" s="49" t="s">
        <v>409</v>
      </c>
      <c r="C3282" s="49" t="s">
        <v>449</v>
      </c>
      <c r="D3282">
        <v>6</v>
      </c>
      <c r="E3282" s="49" t="s">
        <v>378</v>
      </c>
    </row>
    <row r="3283" spans="1:5" x14ac:dyDescent="0.3">
      <c r="A3283" s="49" t="s">
        <v>1796</v>
      </c>
      <c r="B3283" s="49" t="s">
        <v>409</v>
      </c>
      <c r="C3283" s="49" t="s">
        <v>449</v>
      </c>
      <c r="D3283">
        <v>7</v>
      </c>
      <c r="E3283" s="49" t="s">
        <v>378</v>
      </c>
    </row>
    <row r="3284" spans="1:5" x14ac:dyDescent="0.3">
      <c r="A3284" s="49" t="s">
        <v>1796</v>
      </c>
      <c r="B3284" s="49" t="s">
        <v>409</v>
      </c>
      <c r="C3284" s="49" t="s">
        <v>449</v>
      </c>
      <c r="D3284">
        <v>8</v>
      </c>
      <c r="E3284" s="49" t="s">
        <v>378</v>
      </c>
    </row>
    <row r="3285" spans="1:5" x14ac:dyDescent="0.3">
      <c r="A3285" s="49" t="s">
        <v>1796</v>
      </c>
      <c r="B3285" s="49" t="s">
        <v>409</v>
      </c>
      <c r="C3285" s="49" t="s">
        <v>449</v>
      </c>
      <c r="D3285">
        <v>9</v>
      </c>
      <c r="E3285" s="49" t="s">
        <v>378</v>
      </c>
    </row>
    <row r="3286" spans="1:5" x14ac:dyDescent="0.3">
      <c r="A3286" s="49" t="s">
        <v>1796</v>
      </c>
      <c r="B3286" s="49" t="s">
        <v>409</v>
      </c>
      <c r="C3286" s="49" t="s">
        <v>449</v>
      </c>
      <c r="D3286">
        <v>10</v>
      </c>
      <c r="E3286" s="49" t="s">
        <v>378</v>
      </c>
    </row>
    <row r="3287" spans="1:5" x14ac:dyDescent="0.3">
      <c r="A3287" s="49" t="s">
        <v>1796</v>
      </c>
      <c r="B3287" s="49" t="s">
        <v>409</v>
      </c>
      <c r="C3287" s="49" t="s">
        <v>449</v>
      </c>
      <c r="D3287">
        <v>11</v>
      </c>
      <c r="E3287" s="49" t="s">
        <v>378</v>
      </c>
    </row>
    <row r="3288" spans="1:5" x14ac:dyDescent="0.3">
      <c r="A3288" s="49" t="s">
        <v>1796</v>
      </c>
      <c r="B3288" s="49" t="s">
        <v>409</v>
      </c>
      <c r="C3288" s="49" t="s">
        <v>449</v>
      </c>
      <c r="D3288">
        <v>12</v>
      </c>
      <c r="E3288" s="49" t="s">
        <v>378</v>
      </c>
    </row>
    <row r="3289" spans="1:5" x14ac:dyDescent="0.3">
      <c r="A3289" s="49" t="s">
        <v>1796</v>
      </c>
      <c r="B3289" s="49" t="s">
        <v>409</v>
      </c>
      <c r="C3289" s="49" t="s">
        <v>449</v>
      </c>
      <c r="D3289">
        <v>13</v>
      </c>
      <c r="E3289" s="49" t="s">
        <v>378</v>
      </c>
    </row>
    <row r="3290" spans="1:5" x14ac:dyDescent="0.3">
      <c r="A3290" s="49" t="s">
        <v>1796</v>
      </c>
      <c r="B3290" s="49" t="s">
        <v>409</v>
      </c>
      <c r="C3290" s="49" t="s">
        <v>449</v>
      </c>
      <c r="D3290">
        <v>14</v>
      </c>
      <c r="E3290" s="49" t="s">
        <v>378</v>
      </c>
    </row>
    <row r="3291" spans="1:5" x14ac:dyDescent="0.3">
      <c r="A3291" s="49" t="s">
        <v>1796</v>
      </c>
      <c r="B3291" s="49" t="s">
        <v>409</v>
      </c>
      <c r="C3291" s="49" t="s">
        <v>449</v>
      </c>
      <c r="D3291">
        <v>15</v>
      </c>
      <c r="E3291" s="49" t="s">
        <v>378</v>
      </c>
    </row>
    <row r="3292" spans="1:5" x14ac:dyDescent="0.3">
      <c r="A3292" s="49" t="s">
        <v>1796</v>
      </c>
      <c r="B3292" s="49" t="s">
        <v>409</v>
      </c>
      <c r="C3292" s="49" t="s">
        <v>449</v>
      </c>
      <c r="D3292">
        <v>16</v>
      </c>
      <c r="E3292" s="49" t="s">
        <v>378</v>
      </c>
    </row>
    <row r="3293" spans="1:5" x14ac:dyDescent="0.3">
      <c r="A3293" s="49" t="s">
        <v>1796</v>
      </c>
      <c r="B3293" s="49" t="s">
        <v>409</v>
      </c>
      <c r="C3293" s="49" t="s">
        <v>449</v>
      </c>
      <c r="D3293">
        <v>17</v>
      </c>
      <c r="E3293" s="49" t="s">
        <v>378</v>
      </c>
    </row>
    <row r="3294" spans="1:5" x14ac:dyDescent="0.3">
      <c r="A3294" s="49" t="s">
        <v>1797</v>
      </c>
      <c r="B3294" s="49" t="s">
        <v>409</v>
      </c>
      <c r="C3294" s="49" t="s">
        <v>449</v>
      </c>
      <c r="D3294">
        <v>0</v>
      </c>
      <c r="E3294" s="49" t="s">
        <v>379</v>
      </c>
    </row>
    <row r="3295" spans="1:5" x14ac:dyDescent="0.3">
      <c r="A3295" s="49" t="s">
        <v>1797</v>
      </c>
      <c r="B3295" s="49" t="s">
        <v>409</v>
      </c>
      <c r="C3295" s="49" t="s">
        <v>449</v>
      </c>
      <c r="D3295">
        <v>1</v>
      </c>
      <c r="E3295" s="49" t="s">
        <v>379</v>
      </c>
    </row>
    <row r="3296" spans="1:5" x14ac:dyDescent="0.3">
      <c r="A3296" s="49" t="s">
        <v>1797</v>
      </c>
      <c r="B3296" s="49" t="s">
        <v>409</v>
      </c>
      <c r="C3296" s="49" t="s">
        <v>449</v>
      </c>
      <c r="D3296">
        <v>2</v>
      </c>
      <c r="E3296" s="49" t="s">
        <v>379</v>
      </c>
    </row>
    <row r="3297" spans="1:5" x14ac:dyDescent="0.3">
      <c r="A3297" s="49" t="s">
        <v>1797</v>
      </c>
      <c r="B3297" s="49" t="s">
        <v>409</v>
      </c>
      <c r="C3297" s="49" t="s">
        <v>449</v>
      </c>
      <c r="D3297">
        <v>3</v>
      </c>
      <c r="E3297" s="49" t="s">
        <v>379</v>
      </c>
    </row>
    <row r="3298" spans="1:5" x14ac:dyDescent="0.3">
      <c r="A3298" s="49" t="s">
        <v>1797</v>
      </c>
      <c r="B3298" s="49" t="s">
        <v>409</v>
      </c>
      <c r="C3298" s="49" t="s">
        <v>449</v>
      </c>
      <c r="D3298">
        <v>4</v>
      </c>
      <c r="E3298" s="49" t="s">
        <v>379</v>
      </c>
    </row>
    <row r="3299" spans="1:5" x14ac:dyDescent="0.3">
      <c r="A3299" s="49" t="s">
        <v>1797</v>
      </c>
      <c r="B3299" s="49" t="s">
        <v>409</v>
      </c>
      <c r="C3299" s="49" t="s">
        <v>449</v>
      </c>
      <c r="D3299">
        <v>5</v>
      </c>
      <c r="E3299" s="49" t="s">
        <v>379</v>
      </c>
    </row>
    <row r="3300" spans="1:5" x14ac:dyDescent="0.3">
      <c r="A3300" s="49" t="s">
        <v>1797</v>
      </c>
      <c r="B3300" s="49" t="s">
        <v>409</v>
      </c>
      <c r="C3300" s="49" t="s">
        <v>449</v>
      </c>
      <c r="D3300">
        <v>6</v>
      </c>
      <c r="E3300" s="49" t="s">
        <v>379</v>
      </c>
    </row>
    <row r="3301" spans="1:5" x14ac:dyDescent="0.3">
      <c r="A3301" s="49" t="s">
        <v>1797</v>
      </c>
      <c r="B3301" s="49" t="s">
        <v>409</v>
      </c>
      <c r="C3301" s="49" t="s">
        <v>449</v>
      </c>
      <c r="D3301">
        <v>7</v>
      </c>
      <c r="E3301" s="49" t="s">
        <v>379</v>
      </c>
    </row>
    <row r="3302" spans="1:5" x14ac:dyDescent="0.3">
      <c r="A3302" s="49" t="s">
        <v>1797</v>
      </c>
      <c r="B3302" s="49" t="s">
        <v>409</v>
      </c>
      <c r="C3302" s="49" t="s">
        <v>449</v>
      </c>
      <c r="D3302">
        <v>8</v>
      </c>
      <c r="E3302" s="49" t="s">
        <v>379</v>
      </c>
    </row>
    <row r="3303" spans="1:5" x14ac:dyDescent="0.3">
      <c r="A3303" s="49" t="s">
        <v>1797</v>
      </c>
      <c r="B3303" s="49" t="s">
        <v>409</v>
      </c>
      <c r="C3303" s="49" t="s">
        <v>449</v>
      </c>
      <c r="D3303">
        <v>9</v>
      </c>
      <c r="E3303" s="49" t="s">
        <v>379</v>
      </c>
    </row>
    <row r="3304" spans="1:5" x14ac:dyDescent="0.3">
      <c r="A3304" s="49" t="s">
        <v>1797</v>
      </c>
      <c r="B3304" s="49" t="s">
        <v>409</v>
      </c>
      <c r="C3304" s="49" t="s">
        <v>449</v>
      </c>
      <c r="D3304">
        <v>10</v>
      </c>
      <c r="E3304" s="49" t="s">
        <v>379</v>
      </c>
    </row>
    <row r="3305" spans="1:5" x14ac:dyDescent="0.3">
      <c r="A3305" s="49" t="s">
        <v>1797</v>
      </c>
      <c r="B3305" s="49" t="s">
        <v>409</v>
      </c>
      <c r="C3305" s="49" t="s">
        <v>449</v>
      </c>
      <c r="D3305">
        <v>11</v>
      </c>
      <c r="E3305" s="49" t="s">
        <v>379</v>
      </c>
    </row>
    <row r="3306" spans="1:5" x14ac:dyDescent="0.3">
      <c r="A3306" s="49" t="s">
        <v>1797</v>
      </c>
      <c r="B3306" s="49" t="s">
        <v>409</v>
      </c>
      <c r="C3306" s="49" t="s">
        <v>449</v>
      </c>
      <c r="D3306">
        <v>12</v>
      </c>
      <c r="E3306" s="49" t="s">
        <v>379</v>
      </c>
    </row>
    <row r="3307" spans="1:5" x14ac:dyDescent="0.3">
      <c r="A3307" s="49" t="s">
        <v>1797</v>
      </c>
      <c r="B3307" s="49" t="s">
        <v>409</v>
      </c>
      <c r="C3307" s="49" t="s">
        <v>449</v>
      </c>
      <c r="D3307">
        <v>13</v>
      </c>
      <c r="E3307" s="49" t="s">
        <v>379</v>
      </c>
    </row>
    <row r="3308" spans="1:5" x14ac:dyDescent="0.3">
      <c r="A3308" s="49" t="s">
        <v>1797</v>
      </c>
      <c r="B3308" s="49" t="s">
        <v>409</v>
      </c>
      <c r="C3308" s="49" t="s">
        <v>449</v>
      </c>
      <c r="D3308">
        <v>14</v>
      </c>
      <c r="E3308" s="49" t="s">
        <v>379</v>
      </c>
    </row>
    <row r="3309" spans="1:5" x14ac:dyDescent="0.3">
      <c r="A3309" s="49" t="s">
        <v>1797</v>
      </c>
      <c r="B3309" s="49" t="s">
        <v>409</v>
      </c>
      <c r="C3309" s="49" t="s">
        <v>449</v>
      </c>
      <c r="D3309">
        <v>15</v>
      </c>
      <c r="E3309" s="49" t="s">
        <v>379</v>
      </c>
    </row>
    <row r="3310" spans="1:5" x14ac:dyDescent="0.3">
      <c r="A3310" s="49" t="s">
        <v>1797</v>
      </c>
      <c r="B3310" s="49" t="s">
        <v>409</v>
      </c>
      <c r="C3310" s="49" t="s">
        <v>449</v>
      </c>
      <c r="D3310">
        <v>16</v>
      </c>
      <c r="E3310" s="49" t="s">
        <v>379</v>
      </c>
    </row>
    <row r="3311" spans="1:5" x14ac:dyDescent="0.3">
      <c r="A3311" s="49" t="s">
        <v>1797</v>
      </c>
      <c r="B3311" s="49" t="s">
        <v>409</v>
      </c>
      <c r="C3311" s="49" t="s">
        <v>449</v>
      </c>
      <c r="D3311">
        <v>17</v>
      </c>
      <c r="E3311" s="49" t="s">
        <v>379</v>
      </c>
    </row>
    <row r="3312" spans="1:5" x14ac:dyDescent="0.3">
      <c r="A3312" s="49" t="s">
        <v>1798</v>
      </c>
      <c r="B3312" s="49" t="s">
        <v>409</v>
      </c>
      <c r="C3312" s="49" t="s">
        <v>449</v>
      </c>
      <c r="D3312">
        <v>0</v>
      </c>
      <c r="E3312" s="49" t="s">
        <v>378</v>
      </c>
    </row>
    <row r="3313" spans="1:5" x14ac:dyDescent="0.3">
      <c r="A3313" s="49" t="s">
        <v>1798</v>
      </c>
      <c r="B3313" s="49" t="s">
        <v>409</v>
      </c>
      <c r="C3313" s="49" t="s">
        <v>449</v>
      </c>
      <c r="D3313">
        <v>1</v>
      </c>
      <c r="E3313" s="49" t="s">
        <v>378</v>
      </c>
    </row>
    <row r="3314" spans="1:5" x14ac:dyDescent="0.3">
      <c r="A3314" s="49" t="s">
        <v>1798</v>
      </c>
      <c r="B3314" s="49" t="s">
        <v>409</v>
      </c>
      <c r="C3314" s="49" t="s">
        <v>449</v>
      </c>
      <c r="D3314">
        <v>2</v>
      </c>
      <c r="E3314" s="49" t="s">
        <v>378</v>
      </c>
    </row>
    <row r="3315" spans="1:5" x14ac:dyDescent="0.3">
      <c r="A3315" s="49" t="s">
        <v>1798</v>
      </c>
      <c r="B3315" s="49" t="s">
        <v>409</v>
      </c>
      <c r="C3315" s="49" t="s">
        <v>449</v>
      </c>
      <c r="D3315">
        <v>3</v>
      </c>
      <c r="E3315" s="49" t="s">
        <v>378</v>
      </c>
    </row>
    <row r="3316" spans="1:5" x14ac:dyDescent="0.3">
      <c r="A3316" s="49" t="s">
        <v>1798</v>
      </c>
      <c r="B3316" s="49" t="s">
        <v>409</v>
      </c>
      <c r="C3316" s="49" t="s">
        <v>449</v>
      </c>
      <c r="D3316">
        <v>4</v>
      </c>
      <c r="E3316" s="49" t="s">
        <v>378</v>
      </c>
    </row>
    <row r="3317" spans="1:5" x14ac:dyDescent="0.3">
      <c r="A3317" s="49" t="s">
        <v>1798</v>
      </c>
      <c r="B3317" s="49" t="s">
        <v>409</v>
      </c>
      <c r="C3317" s="49" t="s">
        <v>449</v>
      </c>
      <c r="D3317">
        <v>5</v>
      </c>
      <c r="E3317" s="49" t="s">
        <v>378</v>
      </c>
    </row>
    <row r="3318" spans="1:5" x14ac:dyDescent="0.3">
      <c r="A3318" s="49" t="s">
        <v>1798</v>
      </c>
      <c r="B3318" s="49" t="s">
        <v>409</v>
      </c>
      <c r="C3318" s="49" t="s">
        <v>449</v>
      </c>
      <c r="D3318">
        <v>6</v>
      </c>
      <c r="E3318" s="49" t="s">
        <v>378</v>
      </c>
    </row>
    <row r="3319" spans="1:5" x14ac:dyDescent="0.3">
      <c r="A3319" s="49" t="s">
        <v>1798</v>
      </c>
      <c r="B3319" s="49" t="s">
        <v>409</v>
      </c>
      <c r="C3319" s="49" t="s">
        <v>449</v>
      </c>
      <c r="D3319">
        <v>7</v>
      </c>
      <c r="E3319" s="49" t="s">
        <v>378</v>
      </c>
    </row>
    <row r="3320" spans="1:5" x14ac:dyDescent="0.3">
      <c r="A3320" s="49" t="s">
        <v>1798</v>
      </c>
      <c r="B3320" s="49" t="s">
        <v>409</v>
      </c>
      <c r="C3320" s="49" t="s">
        <v>449</v>
      </c>
      <c r="D3320">
        <v>8</v>
      </c>
      <c r="E3320" s="49" t="s">
        <v>378</v>
      </c>
    </row>
    <row r="3321" spans="1:5" x14ac:dyDescent="0.3">
      <c r="A3321" s="49" t="s">
        <v>1798</v>
      </c>
      <c r="B3321" s="49" t="s">
        <v>409</v>
      </c>
      <c r="C3321" s="49" t="s">
        <v>449</v>
      </c>
      <c r="D3321">
        <v>9</v>
      </c>
      <c r="E3321" s="49" t="s">
        <v>378</v>
      </c>
    </row>
    <row r="3322" spans="1:5" x14ac:dyDescent="0.3">
      <c r="A3322" s="49" t="s">
        <v>1798</v>
      </c>
      <c r="B3322" s="49" t="s">
        <v>409</v>
      </c>
      <c r="C3322" s="49" t="s">
        <v>449</v>
      </c>
      <c r="D3322">
        <v>10</v>
      </c>
      <c r="E3322" s="49" t="s">
        <v>378</v>
      </c>
    </row>
    <row r="3323" spans="1:5" x14ac:dyDescent="0.3">
      <c r="A3323" s="49" t="s">
        <v>1798</v>
      </c>
      <c r="B3323" s="49" t="s">
        <v>409</v>
      </c>
      <c r="C3323" s="49" t="s">
        <v>449</v>
      </c>
      <c r="D3323">
        <v>11</v>
      </c>
      <c r="E3323" s="49" t="s">
        <v>378</v>
      </c>
    </row>
    <row r="3324" spans="1:5" x14ac:dyDescent="0.3">
      <c r="A3324" s="49" t="s">
        <v>1798</v>
      </c>
      <c r="B3324" s="49" t="s">
        <v>409</v>
      </c>
      <c r="C3324" s="49" t="s">
        <v>449</v>
      </c>
      <c r="D3324">
        <v>12</v>
      </c>
      <c r="E3324" s="49" t="s">
        <v>378</v>
      </c>
    </row>
    <row r="3325" spans="1:5" x14ac:dyDescent="0.3">
      <c r="A3325" s="49" t="s">
        <v>1798</v>
      </c>
      <c r="B3325" s="49" t="s">
        <v>409</v>
      </c>
      <c r="C3325" s="49" t="s">
        <v>449</v>
      </c>
      <c r="D3325">
        <v>13</v>
      </c>
      <c r="E3325" s="49" t="s">
        <v>378</v>
      </c>
    </row>
    <row r="3326" spans="1:5" x14ac:dyDescent="0.3">
      <c r="A3326" s="49" t="s">
        <v>1798</v>
      </c>
      <c r="B3326" s="49" t="s">
        <v>409</v>
      </c>
      <c r="C3326" s="49" t="s">
        <v>449</v>
      </c>
      <c r="D3326">
        <v>14</v>
      </c>
      <c r="E3326" s="49" t="s">
        <v>378</v>
      </c>
    </row>
    <row r="3327" spans="1:5" x14ac:dyDescent="0.3">
      <c r="A3327" s="49" t="s">
        <v>1798</v>
      </c>
      <c r="B3327" s="49" t="s">
        <v>409</v>
      </c>
      <c r="C3327" s="49" t="s">
        <v>449</v>
      </c>
      <c r="D3327">
        <v>15</v>
      </c>
      <c r="E3327" s="49" t="s">
        <v>378</v>
      </c>
    </row>
    <row r="3328" spans="1:5" x14ac:dyDescent="0.3">
      <c r="A3328" s="49" t="s">
        <v>1798</v>
      </c>
      <c r="B3328" s="49" t="s">
        <v>409</v>
      </c>
      <c r="C3328" s="49" t="s">
        <v>449</v>
      </c>
      <c r="D3328">
        <v>16</v>
      </c>
      <c r="E3328" s="49" t="s">
        <v>378</v>
      </c>
    </row>
    <row r="3329" spans="1:5" x14ac:dyDescent="0.3">
      <c r="A3329" s="49" t="s">
        <v>1798</v>
      </c>
      <c r="B3329" s="49" t="s">
        <v>409</v>
      </c>
      <c r="C3329" s="49" t="s">
        <v>449</v>
      </c>
      <c r="D3329">
        <v>17</v>
      </c>
      <c r="E3329" s="49" t="s">
        <v>378</v>
      </c>
    </row>
    <row r="3330" spans="1:5" x14ac:dyDescent="0.3">
      <c r="A3330" s="49" t="s">
        <v>1799</v>
      </c>
      <c r="B3330" s="49" t="s">
        <v>409</v>
      </c>
      <c r="C3330" s="49" t="s">
        <v>449</v>
      </c>
      <c r="D3330">
        <v>0</v>
      </c>
      <c r="E3330" s="49" t="s">
        <v>378</v>
      </c>
    </row>
    <row r="3331" spans="1:5" x14ac:dyDescent="0.3">
      <c r="A3331" s="49" t="s">
        <v>1799</v>
      </c>
      <c r="B3331" s="49" t="s">
        <v>409</v>
      </c>
      <c r="C3331" s="49" t="s">
        <v>449</v>
      </c>
      <c r="D3331">
        <v>1</v>
      </c>
      <c r="E3331" s="49" t="s">
        <v>378</v>
      </c>
    </row>
    <row r="3332" spans="1:5" x14ac:dyDescent="0.3">
      <c r="A3332" s="49" t="s">
        <v>1799</v>
      </c>
      <c r="B3332" s="49" t="s">
        <v>409</v>
      </c>
      <c r="C3332" s="49" t="s">
        <v>449</v>
      </c>
      <c r="D3332">
        <v>2</v>
      </c>
      <c r="E3332" s="49" t="s">
        <v>378</v>
      </c>
    </row>
    <row r="3333" spans="1:5" x14ac:dyDescent="0.3">
      <c r="A3333" s="49" t="s">
        <v>1799</v>
      </c>
      <c r="B3333" s="49" t="s">
        <v>409</v>
      </c>
      <c r="C3333" s="49" t="s">
        <v>449</v>
      </c>
      <c r="D3333">
        <v>3</v>
      </c>
      <c r="E3333" s="49" t="s">
        <v>378</v>
      </c>
    </row>
    <row r="3334" spans="1:5" x14ac:dyDescent="0.3">
      <c r="A3334" s="49" t="s">
        <v>1799</v>
      </c>
      <c r="B3334" s="49" t="s">
        <v>409</v>
      </c>
      <c r="C3334" s="49" t="s">
        <v>449</v>
      </c>
      <c r="D3334">
        <v>4</v>
      </c>
      <c r="E3334" s="49" t="s">
        <v>378</v>
      </c>
    </row>
    <row r="3335" spans="1:5" x14ac:dyDescent="0.3">
      <c r="A3335" s="49" t="s">
        <v>1799</v>
      </c>
      <c r="B3335" s="49" t="s">
        <v>409</v>
      </c>
      <c r="C3335" s="49" t="s">
        <v>449</v>
      </c>
      <c r="D3335">
        <v>5</v>
      </c>
      <c r="E3335" s="49" t="s">
        <v>378</v>
      </c>
    </row>
    <row r="3336" spans="1:5" x14ac:dyDescent="0.3">
      <c r="A3336" s="49" t="s">
        <v>1799</v>
      </c>
      <c r="B3336" s="49" t="s">
        <v>409</v>
      </c>
      <c r="C3336" s="49" t="s">
        <v>449</v>
      </c>
      <c r="D3336">
        <v>6</v>
      </c>
      <c r="E3336" s="49" t="s">
        <v>378</v>
      </c>
    </row>
    <row r="3337" spans="1:5" x14ac:dyDescent="0.3">
      <c r="A3337" s="49" t="s">
        <v>1799</v>
      </c>
      <c r="B3337" s="49" t="s">
        <v>409</v>
      </c>
      <c r="C3337" s="49" t="s">
        <v>449</v>
      </c>
      <c r="D3337">
        <v>7</v>
      </c>
      <c r="E3337" s="49" t="s">
        <v>378</v>
      </c>
    </row>
    <row r="3338" spans="1:5" x14ac:dyDescent="0.3">
      <c r="A3338" s="49" t="s">
        <v>1799</v>
      </c>
      <c r="B3338" s="49" t="s">
        <v>409</v>
      </c>
      <c r="C3338" s="49" t="s">
        <v>449</v>
      </c>
      <c r="D3338">
        <v>8</v>
      </c>
      <c r="E3338" s="49" t="s">
        <v>378</v>
      </c>
    </row>
    <row r="3339" spans="1:5" x14ac:dyDescent="0.3">
      <c r="A3339" s="49" t="s">
        <v>1799</v>
      </c>
      <c r="B3339" s="49" t="s">
        <v>409</v>
      </c>
      <c r="C3339" s="49" t="s">
        <v>449</v>
      </c>
      <c r="D3339">
        <v>9</v>
      </c>
      <c r="E3339" s="49" t="s">
        <v>378</v>
      </c>
    </row>
    <row r="3340" spans="1:5" x14ac:dyDescent="0.3">
      <c r="A3340" s="49" t="s">
        <v>1799</v>
      </c>
      <c r="B3340" s="49" t="s">
        <v>409</v>
      </c>
      <c r="C3340" s="49" t="s">
        <v>449</v>
      </c>
      <c r="D3340">
        <v>10</v>
      </c>
      <c r="E3340" s="49" t="s">
        <v>378</v>
      </c>
    </row>
    <row r="3341" spans="1:5" x14ac:dyDescent="0.3">
      <c r="A3341" s="49" t="s">
        <v>1799</v>
      </c>
      <c r="B3341" s="49" t="s">
        <v>409</v>
      </c>
      <c r="C3341" s="49" t="s">
        <v>449</v>
      </c>
      <c r="D3341">
        <v>11</v>
      </c>
      <c r="E3341" s="49" t="s">
        <v>378</v>
      </c>
    </row>
    <row r="3342" spans="1:5" x14ac:dyDescent="0.3">
      <c r="A3342" s="49" t="s">
        <v>1799</v>
      </c>
      <c r="B3342" s="49" t="s">
        <v>409</v>
      </c>
      <c r="C3342" s="49" t="s">
        <v>449</v>
      </c>
      <c r="D3342">
        <v>12</v>
      </c>
      <c r="E3342" s="49" t="s">
        <v>378</v>
      </c>
    </row>
    <row r="3343" spans="1:5" x14ac:dyDescent="0.3">
      <c r="A3343" s="49" t="s">
        <v>1799</v>
      </c>
      <c r="B3343" s="49" t="s">
        <v>409</v>
      </c>
      <c r="C3343" s="49" t="s">
        <v>449</v>
      </c>
      <c r="D3343">
        <v>13</v>
      </c>
      <c r="E3343" s="49" t="s">
        <v>378</v>
      </c>
    </row>
    <row r="3344" spans="1:5" x14ac:dyDescent="0.3">
      <c r="A3344" s="49" t="s">
        <v>1799</v>
      </c>
      <c r="B3344" s="49" t="s">
        <v>409</v>
      </c>
      <c r="C3344" s="49" t="s">
        <v>449</v>
      </c>
      <c r="D3344">
        <v>14</v>
      </c>
      <c r="E3344" s="49" t="s">
        <v>378</v>
      </c>
    </row>
    <row r="3345" spans="1:5" x14ac:dyDescent="0.3">
      <c r="A3345" s="49" t="s">
        <v>1799</v>
      </c>
      <c r="B3345" s="49" t="s">
        <v>409</v>
      </c>
      <c r="C3345" s="49" t="s">
        <v>449</v>
      </c>
      <c r="D3345">
        <v>15</v>
      </c>
      <c r="E3345" s="49" t="s">
        <v>378</v>
      </c>
    </row>
    <row r="3346" spans="1:5" x14ac:dyDescent="0.3">
      <c r="A3346" s="49" t="s">
        <v>1799</v>
      </c>
      <c r="B3346" s="49" t="s">
        <v>409</v>
      </c>
      <c r="C3346" s="49" t="s">
        <v>449</v>
      </c>
      <c r="D3346">
        <v>16</v>
      </c>
      <c r="E3346" s="49" t="s">
        <v>378</v>
      </c>
    </row>
    <row r="3347" spans="1:5" x14ac:dyDescent="0.3">
      <c r="A3347" s="49" t="s">
        <v>1799</v>
      </c>
      <c r="B3347" s="49" t="s">
        <v>409</v>
      </c>
      <c r="C3347" s="49" t="s">
        <v>449</v>
      </c>
      <c r="D3347">
        <v>17</v>
      </c>
      <c r="E3347" s="49" t="s">
        <v>378</v>
      </c>
    </row>
    <row r="3348" spans="1:5" x14ac:dyDescent="0.3">
      <c r="A3348" s="49" t="s">
        <v>1800</v>
      </c>
      <c r="B3348" s="49" t="s">
        <v>409</v>
      </c>
      <c r="C3348" s="49" t="s">
        <v>449</v>
      </c>
      <c r="D3348">
        <v>0</v>
      </c>
      <c r="E3348" s="49" t="s">
        <v>378</v>
      </c>
    </row>
    <row r="3349" spans="1:5" x14ac:dyDescent="0.3">
      <c r="A3349" s="49" t="s">
        <v>1800</v>
      </c>
      <c r="B3349" s="49" t="s">
        <v>409</v>
      </c>
      <c r="C3349" s="49" t="s">
        <v>449</v>
      </c>
      <c r="D3349">
        <v>1</v>
      </c>
      <c r="E3349" s="49" t="s">
        <v>378</v>
      </c>
    </row>
    <row r="3350" spans="1:5" x14ac:dyDescent="0.3">
      <c r="A3350" s="49" t="s">
        <v>1800</v>
      </c>
      <c r="B3350" s="49" t="s">
        <v>409</v>
      </c>
      <c r="C3350" s="49" t="s">
        <v>449</v>
      </c>
      <c r="D3350">
        <v>2</v>
      </c>
      <c r="E3350" s="49" t="s">
        <v>378</v>
      </c>
    </row>
    <row r="3351" spans="1:5" x14ac:dyDescent="0.3">
      <c r="A3351" s="49" t="s">
        <v>1800</v>
      </c>
      <c r="B3351" s="49" t="s">
        <v>409</v>
      </c>
      <c r="C3351" s="49" t="s">
        <v>449</v>
      </c>
      <c r="D3351">
        <v>3</v>
      </c>
      <c r="E3351" s="49" t="s">
        <v>378</v>
      </c>
    </row>
    <row r="3352" spans="1:5" x14ac:dyDescent="0.3">
      <c r="A3352" s="49" t="s">
        <v>1800</v>
      </c>
      <c r="B3352" s="49" t="s">
        <v>409</v>
      </c>
      <c r="C3352" s="49" t="s">
        <v>449</v>
      </c>
      <c r="D3352">
        <v>4</v>
      </c>
      <c r="E3352" s="49" t="s">
        <v>378</v>
      </c>
    </row>
    <row r="3353" spans="1:5" x14ac:dyDescent="0.3">
      <c r="A3353" s="49" t="s">
        <v>1800</v>
      </c>
      <c r="B3353" s="49" t="s">
        <v>409</v>
      </c>
      <c r="C3353" s="49" t="s">
        <v>449</v>
      </c>
      <c r="D3353">
        <v>5</v>
      </c>
      <c r="E3353" s="49" t="s">
        <v>378</v>
      </c>
    </row>
    <row r="3354" spans="1:5" x14ac:dyDescent="0.3">
      <c r="A3354" s="49" t="s">
        <v>1800</v>
      </c>
      <c r="B3354" s="49" t="s">
        <v>409</v>
      </c>
      <c r="C3354" s="49" t="s">
        <v>449</v>
      </c>
      <c r="D3354">
        <v>6</v>
      </c>
      <c r="E3354" s="49" t="s">
        <v>378</v>
      </c>
    </row>
    <row r="3355" spans="1:5" x14ac:dyDescent="0.3">
      <c r="A3355" s="49" t="s">
        <v>1800</v>
      </c>
      <c r="B3355" s="49" t="s">
        <v>409</v>
      </c>
      <c r="C3355" s="49" t="s">
        <v>449</v>
      </c>
      <c r="D3355">
        <v>7</v>
      </c>
      <c r="E3355" s="49" t="s">
        <v>378</v>
      </c>
    </row>
    <row r="3356" spans="1:5" x14ac:dyDescent="0.3">
      <c r="A3356" s="49" t="s">
        <v>1800</v>
      </c>
      <c r="B3356" s="49" t="s">
        <v>409</v>
      </c>
      <c r="C3356" s="49" t="s">
        <v>449</v>
      </c>
      <c r="D3356">
        <v>8</v>
      </c>
      <c r="E3356" s="49" t="s">
        <v>378</v>
      </c>
    </row>
    <row r="3357" spans="1:5" x14ac:dyDescent="0.3">
      <c r="A3357" s="49" t="s">
        <v>1800</v>
      </c>
      <c r="B3357" s="49" t="s">
        <v>409</v>
      </c>
      <c r="C3357" s="49" t="s">
        <v>449</v>
      </c>
      <c r="D3357">
        <v>9</v>
      </c>
      <c r="E3357" s="49" t="s">
        <v>378</v>
      </c>
    </row>
    <row r="3358" spans="1:5" x14ac:dyDescent="0.3">
      <c r="A3358" s="49" t="s">
        <v>1800</v>
      </c>
      <c r="B3358" s="49" t="s">
        <v>409</v>
      </c>
      <c r="C3358" s="49" t="s">
        <v>449</v>
      </c>
      <c r="D3358">
        <v>10</v>
      </c>
      <c r="E3358" s="49" t="s">
        <v>378</v>
      </c>
    </row>
    <row r="3359" spans="1:5" x14ac:dyDescent="0.3">
      <c r="A3359" s="49" t="s">
        <v>1800</v>
      </c>
      <c r="B3359" s="49" t="s">
        <v>409</v>
      </c>
      <c r="C3359" s="49" t="s">
        <v>449</v>
      </c>
      <c r="D3359">
        <v>11</v>
      </c>
      <c r="E3359" s="49" t="s">
        <v>378</v>
      </c>
    </row>
    <row r="3360" spans="1:5" x14ac:dyDescent="0.3">
      <c r="A3360" s="49" t="s">
        <v>1800</v>
      </c>
      <c r="B3360" s="49" t="s">
        <v>409</v>
      </c>
      <c r="C3360" s="49" t="s">
        <v>449</v>
      </c>
      <c r="D3360">
        <v>12</v>
      </c>
      <c r="E3360" s="49" t="s">
        <v>378</v>
      </c>
    </row>
    <row r="3361" spans="1:5" x14ac:dyDescent="0.3">
      <c r="A3361" s="49" t="s">
        <v>1800</v>
      </c>
      <c r="B3361" s="49" t="s">
        <v>409</v>
      </c>
      <c r="C3361" s="49" t="s">
        <v>449</v>
      </c>
      <c r="D3361">
        <v>13</v>
      </c>
      <c r="E3361" s="49" t="s">
        <v>378</v>
      </c>
    </row>
    <row r="3362" spans="1:5" x14ac:dyDescent="0.3">
      <c r="A3362" s="49" t="s">
        <v>1800</v>
      </c>
      <c r="B3362" s="49" t="s">
        <v>409</v>
      </c>
      <c r="C3362" s="49" t="s">
        <v>449</v>
      </c>
      <c r="D3362">
        <v>14</v>
      </c>
      <c r="E3362" s="49" t="s">
        <v>378</v>
      </c>
    </row>
    <row r="3363" spans="1:5" x14ac:dyDescent="0.3">
      <c r="A3363" s="49" t="s">
        <v>1800</v>
      </c>
      <c r="B3363" s="49" t="s">
        <v>409</v>
      </c>
      <c r="C3363" s="49" t="s">
        <v>449</v>
      </c>
      <c r="D3363">
        <v>15</v>
      </c>
      <c r="E3363" s="49" t="s">
        <v>378</v>
      </c>
    </row>
    <row r="3364" spans="1:5" x14ac:dyDescent="0.3">
      <c r="A3364" s="49" t="s">
        <v>1800</v>
      </c>
      <c r="B3364" s="49" t="s">
        <v>409</v>
      </c>
      <c r="C3364" s="49" t="s">
        <v>449</v>
      </c>
      <c r="D3364">
        <v>16</v>
      </c>
      <c r="E3364" s="49" t="s">
        <v>378</v>
      </c>
    </row>
    <row r="3365" spans="1:5" x14ac:dyDescent="0.3">
      <c r="A3365" s="49" t="s">
        <v>1800</v>
      </c>
      <c r="B3365" s="49" t="s">
        <v>409</v>
      </c>
      <c r="C3365" s="49" t="s">
        <v>449</v>
      </c>
      <c r="D3365">
        <v>17</v>
      </c>
      <c r="E3365" s="49" t="s">
        <v>378</v>
      </c>
    </row>
    <row r="3366" spans="1:5" x14ac:dyDescent="0.3">
      <c r="A3366" s="49" t="s">
        <v>1801</v>
      </c>
      <c r="B3366" s="49" t="s">
        <v>409</v>
      </c>
      <c r="C3366" s="49" t="s">
        <v>449</v>
      </c>
      <c r="D3366">
        <v>0</v>
      </c>
      <c r="E3366" s="49" t="s">
        <v>378</v>
      </c>
    </row>
    <row r="3367" spans="1:5" x14ac:dyDescent="0.3">
      <c r="A3367" s="49" t="s">
        <v>1801</v>
      </c>
      <c r="B3367" s="49" t="s">
        <v>409</v>
      </c>
      <c r="C3367" s="49" t="s">
        <v>449</v>
      </c>
      <c r="D3367">
        <v>1</v>
      </c>
      <c r="E3367" s="49" t="s">
        <v>378</v>
      </c>
    </row>
    <row r="3368" spans="1:5" x14ac:dyDescent="0.3">
      <c r="A3368" s="49" t="s">
        <v>1801</v>
      </c>
      <c r="B3368" s="49" t="s">
        <v>409</v>
      </c>
      <c r="C3368" s="49" t="s">
        <v>449</v>
      </c>
      <c r="D3368">
        <v>2</v>
      </c>
      <c r="E3368" s="49" t="s">
        <v>378</v>
      </c>
    </row>
    <row r="3369" spans="1:5" x14ac:dyDescent="0.3">
      <c r="A3369" s="49" t="s">
        <v>1801</v>
      </c>
      <c r="B3369" s="49" t="s">
        <v>409</v>
      </c>
      <c r="C3369" s="49" t="s">
        <v>449</v>
      </c>
      <c r="D3369">
        <v>3</v>
      </c>
      <c r="E3369" s="49" t="s">
        <v>378</v>
      </c>
    </row>
    <row r="3370" spans="1:5" x14ac:dyDescent="0.3">
      <c r="A3370" s="49" t="s">
        <v>1801</v>
      </c>
      <c r="B3370" s="49" t="s">
        <v>409</v>
      </c>
      <c r="C3370" s="49" t="s">
        <v>449</v>
      </c>
      <c r="D3370">
        <v>4</v>
      </c>
      <c r="E3370" s="49" t="s">
        <v>378</v>
      </c>
    </row>
    <row r="3371" spans="1:5" x14ac:dyDescent="0.3">
      <c r="A3371" s="49" t="s">
        <v>1801</v>
      </c>
      <c r="B3371" s="49" t="s">
        <v>409</v>
      </c>
      <c r="C3371" s="49" t="s">
        <v>449</v>
      </c>
      <c r="D3371">
        <v>5</v>
      </c>
      <c r="E3371" s="49" t="s">
        <v>378</v>
      </c>
    </row>
    <row r="3372" spans="1:5" x14ac:dyDescent="0.3">
      <c r="A3372" s="49" t="s">
        <v>1801</v>
      </c>
      <c r="B3372" s="49" t="s">
        <v>409</v>
      </c>
      <c r="C3372" s="49" t="s">
        <v>449</v>
      </c>
      <c r="D3372">
        <v>6</v>
      </c>
      <c r="E3372" s="49" t="s">
        <v>378</v>
      </c>
    </row>
    <row r="3373" spans="1:5" x14ac:dyDescent="0.3">
      <c r="A3373" s="49" t="s">
        <v>1801</v>
      </c>
      <c r="B3373" s="49" t="s">
        <v>409</v>
      </c>
      <c r="C3373" s="49" t="s">
        <v>449</v>
      </c>
      <c r="D3373">
        <v>7</v>
      </c>
      <c r="E3373" s="49" t="s">
        <v>378</v>
      </c>
    </row>
    <row r="3374" spans="1:5" x14ac:dyDescent="0.3">
      <c r="A3374" s="49" t="s">
        <v>1801</v>
      </c>
      <c r="B3374" s="49" t="s">
        <v>409</v>
      </c>
      <c r="C3374" s="49" t="s">
        <v>449</v>
      </c>
      <c r="D3374">
        <v>8</v>
      </c>
      <c r="E3374" s="49" t="s">
        <v>378</v>
      </c>
    </row>
    <row r="3375" spans="1:5" x14ac:dyDescent="0.3">
      <c r="A3375" s="49" t="s">
        <v>1801</v>
      </c>
      <c r="B3375" s="49" t="s">
        <v>409</v>
      </c>
      <c r="C3375" s="49" t="s">
        <v>449</v>
      </c>
      <c r="D3375">
        <v>9</v>
      </c>
      <c r="E3375" s="49" t="s">
        <v>378</v>
      </c>
    </row>
    <row r="3376" spans="1:5" x14ac:dyDescent="0.3">
      <c r="A3376" s="49" t="s">
        <v>1801</v>
      </c>
      <c r="B3376" s="49" t="s">
        <v>409</v>
      </c>
      <c r="C3376" s="49" t="s">
        <v>449</v>
      </c>
      <c r="D3376">
        <v>10</v>
      </c>
      <c r="E3376" s="49" t="s">
        <v>378</v>
      </c>
    </row>
    <row r="3377" spans="1:5" x14ac:dyDescent="0.3">
      <c r="A3377" s="49" t="s">
        <v>1801</v>
      </c>
      <c r="B3377" s="49" t="s">
        <v>409</v>
      </c>
      <c r="C3377" s="49" t="s">
        <v>449</v>
      </c>
      <c r="D3377">
        <v>11</v>
      </c>
      <c r="E3377" s="49" t="s">
        <v>378</v>
      </c>
    </row>
    <row r="3378" spans="1:5" x14ac:dyDescent="0.3">
      <c r="A3378" s="49" t="s">
        <v>1801</v>
      </c>
      <c r="B3378" s="49" t="s">
        <v>409</v>
      </c>
      <c r="C3378" s="49" t="s">
        <v>449</v>
      </c>
      <c r="D3378">
        <v>12</v>
      </c>
      <c r="E3378" s="49" t="s">
        <v>378</v>
      </c>
    </row>
    <row r="3379" spans="1:5" x14ac:dyDescent="0.3">
      <c r="A3379" s="49" t="s">
        <v>1801</v>
      </c>
      <c r="B3379" s="49" t="s">
        <v>409</v>
      </c>
      <c r="C3379" s="49" t="s">
        <v>449</v>
      </c>
      <c r="D3379">
        <v>13</v>
      </c>
      <c r="E3379" s="49" t="s">
        <v>378</v>
      </c>
    </row>
    <row r="3380" spans="1:5" x14ac:dyDescent="0.3">
      <c r="A3380" s="49" t="s">
        <v>1801</v>
      </c>
      <c r="B3380" s="49" t="s">
        <v>409</v>
      </c>
      <c r="C3380" s="49" t="s">
        <v>449</v>
      </c>
      <c r="D3380">
        <v>14</v>
      </c>
      <c r="E3380" s="49" t="s">
        <v>378</v>
      </c>
    </row>
    <row r="3381" spans="1:5" x14ac:dyDescent="0.3">
      <c r="A3381" s="49" t="s">
        <v>1801</v>
      </c>
      <c r="B3381" s="49" t="s">
        <v>409</v>
      </c>
      <c r="C3381" s="49" t="s">
        <v>449</v>
      </c>
      <c r="D3381">
        <v>15</v>
      </c>
      <c r="E3381" s="49" t="s">
        <v>378</v>
      </c>
    </row>
    <row r="3382" spans="1:5" x14ac:dyDescent="0.3">
      <c r="A3382" s="49" t="s">
        <v>1801</v>
      </c>
      <c r="B3382" s="49" t="s">
        <v>409</v>
      </c>
      <c r="C3382" s="49" t="s">
        <v>449</v>
      </c>
      <c r="D3382">
        <v>16</v>
      </c>
      <c r="E3382" s="49" t="s">
        <v>378</v>
      </c>
    </row>
    <row r="3383" spans="1:5" x14ac:dyDescent="0.3">
      <c r="A3383" s="49" t="s">
        <v>1801</v>
      </c>
      <c r="B3383" s="49" t="s">
        <v>409</v>
      </c>
      <c r="C3383" s="49" t="s">
        <v>449</v>
      </c>
      <c r="D3383">
        <v>17</v>
      </c>
      <c r="E3383" s="49" t="s">
        <v>378</v>
      </c>
    </row>
    <row r="3384" spans="1:5" x14ac:dyDescent="0.3">
      <c r="A3384" s="49" t="s">
        <v>1802</v>
      </c>
      <c r="B3384" s="49" t="s">
        <v>409</v>
      </c>
      <c r="C3384" s="49" t="s">
        <v>449</v>
      </c>
      <c r="D3384">
        <v>0</v>
      </c>
      <c r="E3384" s="49" t="s">
        <v>378</v>
      </c>
    </row>
    <row r="3385" spans="1:5" x14ac:dyDescent="0.3">
      <c r="A3385" s="49" t="s">
        <v>1802</v>
      </c>
      <c r="B3385" s="49" t="s">
        <v>409</v>
      </c>
      <c r="C3385" s="49" t="s">
        <v>449</v>
      </c>
      <c r="D3385">
        <v>1</v>
      </c>
      <c r="E3385" s="49" t="s">
        <v>378</v>
      </c>
    </row>
    <row r="3386" spans="1:5" x14ac:dyDescent="0.3">
      <c r="A3386" s="49" t="s">
        <v>1802</v>
      </c>
      <c r="B3386" s="49" t="s">
        <v>409</v>
      </c>
      <c r="C3386" s="49" t="s">
        <v>449</v>
      </c>
      <c r="D3386">
        <v>2</v>
      </c>
      <c r="E3386" s="49" t="s">
        <v>378</v>
      </c>
    </row>
    <row r="3387" spans="1:5" x14ac:dyDescent="0.3">
      <c r="A3387" s="49" t="s">
        <v>1802</v>
      </c>
      <c r="B3387" s="49" t="s">
        <v>409</v>
      </c>
      <c r="C3387" s="49" t="s">
        <v>449</v>
      </c>
      <c r="D3387">
        <v>3</v>
      </c>
      <c r="E3387" s="49" t="s">
        <v>378</v>
      </c>
    </row>
    <row r="3388" spans="1:5" x14ac:dyDescent="0.3">
      <c r="A3388" s="49" t="s">
        <v>1802</v>
      </c>
      <c r="B3388" s="49" t="s">
        <v>409</v>
      </c>
      <c r="C3388" s="49" t="s">
        <v>449</v>
      </c>
      <c r="D3388">
        <v>4</v>
      </c>
      <c r="E3388" s="49" t="s">
        <v>378</v>
      </c>
    </row>
    <row r="3389" spans="1:5" x14ac:dyDescent="0.3">
      <c r="A3389" s="49" t="s">
        <v>1802</v>
      </c>
      <c r="B3389" s="49" t="s">
        <v>409</v>
      </c>
      <c r="C3389" s="49" t="s">
        <v>449</v>
      </c>
      <c r="D3389">
        <v>5</v>
      </c>
      <c r="E3389" s="49" t="s">
        <v>378</v>
      </c>
    </row>
    <row r="3390" spans="1:5" x14ac:dyDescent="0.3">
      <c r="A3390" s="49" t="s">
        <v>1802</v>
      </c>
      <c r="B3390" s="49" t="s">
        <v>409</v>
      </c>
      <c r="C3390" s="49" t="s">
        <v>449</v>
      </c>
      <c r="D3390">
        <v>6</v>
      </c>
      <c r="E3390" s="49" t="s">
        <v>378</v>
      </c>
    </row>
    <row r="3391" spans="1:5" x14ac:dyDescent="0.3">
      <c r="A3391" s="49" t="s">
        <v>1802</v>
      </c>
      <c r="B3391" s="49" t="s">
        <v>409</v>
      </c>
      <c r="C3391" s="49" t="s">
        <v>449</v>
      </c>
      <c r="D3391">
        <v>7</v>
      </c>
      <c r="E3391" s="49" t="s">
        <v>378</v>
      </c>
    </row>
    <row r="3392" spans="1:5" x14ac:dyDescent="0.3">
      <c r="A3392" s="49" t="s">
        <v>1802</v>
      </c>
      <c r="B3392" s="49" t="s">
        <v>409</v>
      </c>
      <c r="C3392" s="49" t="s">
        <v>449</v>
      </c>
      <c r="D3392">
        <v>8</v>
      </c>
      <c r="E3392" s="49" t="s">
        <v>378</v>
      </c>
    </row>
    <row r="3393" spans="1:5" x14ac:dyDescent="0.3">
      <c r="A3393" s="49" t="s">
        <v>1802</v>
      </c>
      <c r="B3393" s="49" t="s">
        <v>409</v>
      </c>
      <c r="C3393" s="49" t="s">
        <v>449</v>
      </c>
      <c r="D3393">
        <v>9</v>
      </c>
      <c r="E3393" s="49" t="s">
        <v>378</v>
      </c>
    </row>
    <row r="3394" spans="1:5" x14ac:dyDescent="0.3">
      <c r="A3394" s="49" t="s">
        <v>1802</v>
      </c>
      <c r="B3394" s="49" t="s">
        <v>409</v>
      </c>
      <c r="C3394" s="49" t="s">
        <v>449</v>
      </c>
      <c r="D3394">
        <v>10</v>
      </c>
      <c r="E3394" s="49" t="s">
        <v>378</v>
      </c>
    </row>
    <row r="3395" spans="1:5" x14ac:dyDescent="0.3">
      <c r="A3395" s="49" t="s">
        <v>1802</v>
      </c>
      <c r="B3395" s="49" t="s">
        <v>409</v>
      </c>
      <c r="C3395" s="49" t="s">
        <v>449</v>
      </c>
      <c r="D3395">
        <v>11</v>
      </c>
      <c r="E3395" s="49" t="s">
        <v>378</v>
      </c>
    </row>
    <row r="3396" spans="1:5" x14ac:dyDescent="0.3">
      <c r="A3396" s="49" t="s">
        <v>1802</v>
      </c>
      <c r="B3396" s="49" t="s">
        <v>409</v>
      </c>
      <c r="C3396" s="49" t="s">
        <v>449</v>
      </c>
      <c r="D3396">
        <v>12</v>
      </c>
      <c r="E3396" s="49" t="s">
        <v>378</v>
      </c>
    </row>
    <row r="3397" spans="1:5" x14ac:dyDescent="0.3">
      <c r="A3397" s="49" t="s">
        <v>1802</v>
      </c>
      <c r="B3397" s="49" t="s">
        <v>409</v>
      </c>
      <c r="C3397" s="49" t="s">
        <v>449</v>
      </c>
      <c r="D3397">
        <v>13</v>
      </c>
      <c r="E3397" s="49" t="s">
        <v>378</v>
      </c>
    </row>
    <row r="3398" spans="1:5" x14ac:dyDescent="0.3">
      <c r="A3398" s="49" t="s">
        <v>1802</v>
      </c>
      <c r="B3398" s="49" t="s">
        <v>409</v>
      </c>
      <c r="C3398" s="49" t="s">
        <v>449</v>
      </c>
      <c r="D3398">
        <v>14</v>
      </c>
      <c r="E3398" s="49" t="s">
        <v>378</v>
      </c>
    </row>
    <row r="3399" spans="1:5" x14ac:dyDescent="0.3">
      <c r="A3399" s="49" t="s">
        <v>1802</v>
      </c>
      <c r="B3399" s="49" t="s">
        <v>409</v>
      </c>
      <c r="C3399" s="49" t="s">
        <v>449</v>
      </c>
      <c r="D3399">
        <v>15</v>
      </c>
      <c r="E3399" s="49" t="s">
        <v>378</v>
      </c>
    </row>
    <row r="3400" spans="1:5" x14ac:dyDescent="0.3">
      <c r="A3400" s="49" t="s">
        <v>1802</v>
      </c>
      <c r="B3400" s="49" t="s">
        <v>409</v>
      </c>
      <c r="C3400" s="49" t="s">
        <v>449</v>
      </c>
      <c r="D3400">
        <v>16</v>
      </c>
      <c r="E3400" s="49" t="s">
        <v>378</v>
      </c>
    </row>
    <row r="3401" spans="1:5" x14ac:dyDescent="0.3">
      <c r="A3401" s="49" t="s">
        <v>1802</v>
      </c>
      <c r="B3401" s="49" t="s">
        <v>409</v>
      </c>
      <c r="C3401" s="49" t="s">
        <v>449</v>
      </c>
      <c r="D3401">
        <v>17</v>
      </c>
      <c r="E3401" s="49" t="s">
        <v>378</v>
      </c>
    </row>
    <row r="3402" spans="1:5" x14ac:dyDescent="0.3">
      <c r="A3402" s="49" t="s">
        <v>1803</v>
      </c>
      <c r="B3402" s="49" t="s">
        <v>409</v>
      </c>
      <c r="C3402" s="49" t="s">
        <v>449</v>
      </c>
      <c r="D3402">
        <v>0</v>
      </c>
      <c r="E3402" s="49" t="s">
        <v>378</v>
      </c>
    </row>
    <row r="3403" spans="1:5" x14ac:dyDescent="0.3">
      <c r="A3403" s="49" t="s">
        <v>1803</v>
      </c>
      <c r="B3403" s="49" t="s">
        <v>409</v>
      </c>
      <c r="C3403" s="49" t="s">
        <v>449</v>
      </c>
      <c r="D3403">
        <v>1</v>
      </c>
      <c r="E3403" s="49" t="s">
        <v>378</v>
      </c>
    </row>
    <row r="3404" spans="1:5" x14ac:dyDescent="0.3">
      <c r="A3404" s="49" t="s">
        <v>1803</v>
      </c>
      <c r="B3404" s="49" t="s">
        <v>409</v>
      </c>
      <c r="C3404" s="49" t="s">
        <v>449</v>
      </c>
      <c r="D3404">
        <v>2</v>
      </c>
      <c r="E3404" s="49" t="s">
        <v>378</v>
      </c>
    </row>
    <row r="3405" spans="1:5" x14ac:dyDescent="0.3">
      <c r="A3405" s="49" t="s">
        <v>1803</v>
      </c>
      <c r="B3405" s="49" t="s">
        <v>409</v>
      </c>
      <c r="C3405" s="49" t="s">
        <v>449</v>
      </c>
      <c r="D3405">
        <v>3</v>
      </c>
      <c r="E3405" s="49" t="s">
        <v>378</v>
      </c>
    </row>
    <row r="3406" spans="1:5" x14ac:dyDescent="0.3">
      <c r="A3406" s="49" t="s">
        <v>1803</v>
      </c>
      <c r="B3406" s="49" t="s">
        <v>409</v>
      </c>
      <c r="C3406" s="49" t="s">
        <v>449</v>
      </c>
      <c r="D3406">
        <v>4</v>
      </c>
      <c r="E3406" s="49" t="s">
        <v>378</v>
      </c>
    </row>
    <row r="3407" spans="1:5" x14ac:dyDescent="0.3">
      <c r="A3407" s="49" t="s">
        <v>1803</v>
      </c>
      <c r="B3407" s="49" t="s">
        <v>409</v>
      </c>
      <c r="C3407" s="49" t="s">
        <v>449</v>
      </c>
      <c r="D3407">
        <v>5</v>
      </c>
      <c r="E3407" s="49" t="s">
        <v>378</v>
      </c>
    </row>
    <row r="3408" spans="1:5" x14ac:dyDescent="0.3">
      <c r="A3408" s="49" t="s">
        <v>1803</v>
      </c>
      <c r="B3408" s="49" t="s">
        <v>409</v>
      </c>
      <c r="C3408" s="49" t="s">
        <v>449</v>
      </c>
      <c r="D3408">
        <v>6</v>
      </c>
      <c r="E3408" s="49" t="s">
        <v>378</v>
      </c>
    </row>
    <row r="3409" spans="1:5" x14ac:dyDescent="0.3">
      <c r="A3409" s="49" t="s">
        <v>1803</v>
      </c>
      <c r="B3409" s="49" t="s">
        <v>409</v>
      </c>
      <c r="C3409" s="49" t="s">
        <v>449</v>
      </c>
      <c r="D3409">
        <v>7</v>
      </c>
      <c r="E3409" s="49" t="s">
        <v>378</v>
      </c>
    </row>
    <row r="3410" spans="1:5" x14ac:dyDescent="0.3">
      <c r="A3410" s="49" t="s">
        <v>1803</v>
      </c>
      <c r="B3410" s="49" t="s">
        <v>409</v>
      </c>
      <c r="C3410" s="49" t="s">
        <v>449</v>
      </c>
      <c r="D3410">
        <v>8</v>
      </c>
      <c r="E3410" s="49" t="s">
        <v>378</v>
      </c>
    </row>
    <row r="3411" spans="1:5" x14ac:dyDescent="0.3">
      <c r="A3411" s="49" t="s">
        <v>1803</v>
      </c>
      <c r="B3411" s="49" t="s">
        <v>409</v>
      </c>
      <c r="C3411" s="49" t="s">
        <v>449</v>
      </c>
      <c r="D3411">
        <v>9</v>
      </c>
      <c r="E3411" s="49" t="s">
        <v>378</v>
      </c>
    </row>
    <row r="3412" spans="1:5" x14ac:dyDescent="0.3">
      <c r="A3412" s="49" t="s">
        <v>1803</v>
      </c>
      <c r="B3412" s="49" t="s">
        <v>409</v>
      </c>
      <c r="C3412" s="49" t="s">
        <v>449</v>
      </c>
      <c r="D3412">
        <v>10</v>
      </c>
      <c r="E3412" s="49" t="s">
        <v>378</v>
      </c>
    </row>
    <row r="3413" spans="1:5" x14ac:dyDescent="0.3">
      <c r="A3413" s="49" t="s">
        <v>1803</v>
      </c>
      <c r="B3413" s="49" t="s">
        <v>409</v>
      </c>
      <c r="C3413" s="49" t="s">
        <v>449</v>
      </c>
      <c r="D3413">
        <v>11</v>
      </c>
      <c r="E3413" s="49" t="s">
        <v>378</v>
      </c>
    </row>
    <row r="3414" spans="1:5" x14ac:dyDescent="0.3">
      <c r="A3414" s="49" t="s">
        <v>1803</v>
      </c>
      <c r="B3414" s="49" t="s">
        <v>409</v>
      </c>
      <c r="C3414" s="49" t="s">
        <v>449</v>
      </c>
      <c r="D3414">
        <v>12</v>
      </c>
      <c r="E3414" s="49" t="s">
        <v>378</v>
      </c>
    </row>
    <row r="3415" spans="1:5" x14ac:dyDescent="0.3">
      <c r="A3415" s="49" t="s">
        <v>1803</v>
      </c>
      <c r="B3415" s="49" t="s">
        <v>409</v>
      </c>
      <c r="C3415" s="49" t="s">
        <v>449</v>
      </c>
      <c r="D3415">
        <v>13</v>
      </c>
      <c r="E3415" s="49" t="s">
        <v>378</v>
      </c>
    </row>
    <row r="3416" spans="1:5" x14ac:dyDescent="0.3">
      <c r="A3416" s="49" t="s">
        <v>1803</v>
      </c>
      <c r="B3416" s="49" t="s">
        <v>409</v>
      </c>
      <c r="C3416" s="49" t="s">
        <v>449</v>
      </c>
      <c r="D3416">
        <v>14</v>
      </c>
      <c r="E3416" s="49" t="s">
        <v>378</v>
      </c>
    </row>
    <row r="3417" spans="1:5" x14ac:dyDescent="0.3">
      <c r="A3417" s="49" t="s">
        <v>1803</v>
      </c>
      <c r="B3417" s="49" t="s">
        <v>409</v>
      </c>
      <c r="C3417" s="49" t="s">
        <v>449</v>
      </c>
      <c r="D3417">
        <v>15</v>
      </c>
      <c r="E3417" s="49" t="s">
        <v>378</v>
      </c>
    </row>
    <row r="3418" spans="1:5" x14ac:dyDescent="0.3">
      <c r="A3418" s="49" t="s">
        <v>1803</v>
      </c>
      <c r="B3418" s="49" t="s">
        <v>409</v>
      </c>
      <c r="C3418" s="49" t="s">
        <v>449</v>
      </c>
      <c r="D3418">
        <v>16</v>
      </c>
      <c r="E3418" s="49" t="s">
        <v>378</v>
      </c>
    </row>
    <row r="3419" spans="1:5" x14ac:dyDescent="0.3">
      <c r="A3419" s="49" t="s">
        <v>1803</v>
      </c>
      <c r="B3419" s="49" t="s">
        <v>409</v>
      </c>
      <c r="C3419" s="49" t="s">
        <v>449</v>
      </c>
      <c r="D3419">
        <v>17</v>
      </c>
      <c r="E3419" s="49" t="s">
        <v>378</v>
      </c>
    </row>
    <row r="3420" spans="1:5" x14ac:dyDescent="0.3">
      <c r="A3420" s="49" t="s">
        <v>1804</v>
      </c>
      <c r="B3420" s="49" t="s">
        <v>409</v>
      </c>
      <c r="C3420" s="49" t="s">
        <v>449</v>
      </c>
      <c r="D3420">
        <v>0</v>
      </c>
      <c r="E3420" s="49" t="s">
        <v>378</v>
      </c>
    </row>
    <row r="3421" spans="1:5" x14ac:dyDescent="0.3">
      <c r="A3421" s="49" t="s">
        <v>1804</v>
      </c>
      <c r="B3421" s="49" t="s">
        <v>409</v>
      </c>
      <c r="C3421" s="49" t="s">
        <v>449</v>
      </c>
      <c r="D3421">
        <v>1</v>
      </c>
      <c r="E3421" s="49" t="s">
        <v>378</v>
      </c>
    </row>
    <row r="3422" spans="1:5" x14ac:dyDescent="0.3">
      <c r="A3422" s="49" t="s">
        <v>1804</v>
      </c>
      <c r="B3422" s="49" t="s">
        <v>409</v>
      </c>
      <c r="C3422" s="49" t="s">
        <v>449</v>
      </c>
      <c r="D3422">
        <v>2</v>
      </c>
      <c r="E3422" s="49" t="s">
        <v>378</v>
      </c>
    </row>
    <row r="3423" spans="1:5" x14ac:dyDescent="0.3">
      <c r="A3423" s="49" t="s">
        <v>1804</v>
      </c>
      <c r="B3423" s="49" t="s">
        <v>409</v>
      </c>
      <c r="C3423" s="49" t="s">
        <v>449</v>
      </c>
      <c r="D3423">
        <v>3</v>
      </c>
      <c r="E3423" s="49" t="s">
        <v>378</v>
      </c>
    </row>
    <row r="3424" spans="1:5" x14ac:dyDescent="0.3">
      <c r="A3424" s="49" t="s">
        <v>1804</v>
      </c>
      <c r="B3424" s="49" t="s">
        <v>409</v>
      </c>
      <c r="C3424" s="49" t="s">
        <v>449</v>
      </c>
      <c r="D3424">
        <v>4</v>
      </c>
      <c r="E3424" s="49" t="s">
        <v>378</v>
      </c>
    </row>
    <row r="3425" spans="1:5" x14ac:dyDescent="0.3">
      <c r="A3425" s="49" t="s">
        <v>1804</v>
      </c>
      <c r="B3425" s="49" t="s">
        <v>409</v>
      </c>
      <c r="C3425" s="49" t="s">
        <v>449</v>
      </c>
      <c r="D3425">
        <v>5</v>
      </c>
      <c r="E3425" s="49" t="s">
        <v>378</v>
      </c>
    </row>
    <row r="3426" spans="1:5" x14ac:dyDescent="0.3">
      <c r="A3426" s="49" t="s">
        <v>1804</v>
      </c>
      <c r="B3426" s="49" t="s">
        <v>409</v>
      </c>
      <c r="C3426" s="49" t="s">
        <v>449</v>
      </c>
      <c r="D3426">
        <v>6</v>
      </c>
      <c r="E3426" s="49" t="s">
        <v>378</v>
      </c>
    </row>
    <row r="3427" spans="1:5" x14ac:dyDescent="0.3">
      <c r="A3427" s="49" t="s">
        <v>1804</v>
      </c>
      <c r="B3427" s="49" t="s">
        <v>409</v>
      </c>
      <c r="C3427" s="49" t="s">
        <v>449</v>
      </c>
      <c r="D3427">
        <v>7</v>
      </c>
      <c r="E3427" s="49" t="s">
        <v>378</v>
      </c>
    </row>
    <row r="3428" spans="1:5" x14ac:dyDescent="0.3">
      <c r="A3428" s="49" t="s">
        <v>1804</v>
      </c>
      <c r="B3428" s="49" t="s">
        <v>409</v>
      </c>
      <c r="C3428" s="49" t="s">
        <v>449</v>
      </c>
      <c r="D3428">
        <v>8</v>
      </c>
      <c r="E3428" s="49" t="s">
        <v>378</v>
      </c>
    </row>
    <row r="3429" spans="1:5" x14ac:dyDescent="0.3">
      <c r="A3429" s="49" t="s">
        <v>1804</v>
      </c>
      <c r="B3429" s="49" t="s">
        <v>409</v>
      </c>
      <c r="C3429" s="49" t="s">
        <v>449</v>
      </c>
      <c r="D3429">
        <v>9</v>
      </c>
      <c r="E3429" s="49" t="s">
        <v>378</v>
      </c>
    </row>
    <row r="3430" spans="1:5" x14ac:dyDescent="0.3">
      <c r="A3430" s="49" t="s">
        <v>1804</v>
      </c>
      <c r="B3430" s="49" t="s">
        <v>409</v>
      </c>
      <c r="C3430" s="49" t="s">
        <v>449</v>
      </c>
      <c r="D3430">
        <v>10</v>
      </c>
      <c r="E3430" s="49" t="s">
        <v>378</v>
      </c>
    </row>
    <row r="3431" spans="1:5" x14ac:dyDescent="0.3">
      <c r="A3431" s="49" t="s">
        <v>1804</v>
      </c>
      <c r="B3431" s="49" t="s">
        <v>409</v>
      </c>
      <c r="C3431" s="49" t="s">
        <v>449</v>
      </c>
      <c r="D3431">
        <v>11</v>
      </c>
      <c r="E3431" s="49" t="s">
        <v>378</v>
      </c>
    </row>
    <row r="3432" spans="1:5" x14ac:dyDescent="0.3">
      <c r="A3432" s="49" t="s">
        <v>1804</v>
      </c>
      <c r="B3432" s="49" t="s">
        <v>409</v>
      </c>
      <c r="C3432" s="49" t="s">
        <v>449</v>
      </c>
      <c r="D3432">
        <v>12</v>
      </c>
      <c r="E3432" s="49" t="s">
        <v>378</v>
      </c>
    </row>
    <row r="3433" spans="1:5" x14ac:dyDescent="0.3">
      <c r="A3433" s="49" t="s">
        <v>1804</v>
      </c>
      <c r="B3433" s="49" t="s">
        <v>409</v>
      </c>
      <c r="C3433" s="49" t="s">
        <v>449</v>
      </c>
      <c r="D3433">
        <v>13</v>
      </c>
      <c r="E3433" s="49" t="s">
        <v>378</v>
      </c>
    </row>
    <row r="3434" spans="1:5" x14ac:dyDescent="0.3">
      <c r="A3434" s="49" t="s">
        <v>1804</v>
      </c>
      <c r="B3434" s="49" t="s">
        <v>409</v>
      </c>
      <c r="C3434" s="49" t="s">
        <v>449</v>
      </c>
      <c r="D3434">
        <v>14</v>
      </c>
      <c r="E3434" s="49" t="s">
        <v>378</v>
      </c>
    </row>
    <row r="3435" spans="1:5" x14ac:dyDescent="0.3">
      <c r="A3435" s="49" t="s">
        <v>1804</v>
      </c>
      <c r="B3435" s="49" t="s">
        <v>409</v>
      </c>
      <c r="C3435" s="49" t="s">
        <v>449</v>
      </c>
      <c r="D3435">
        <v>15</v>
      </c>
      <c r="E3435" s="49" t="s">
        <v>378</v>
      </c>
    </row>
    <row r="3436" spans="1:5" x14ac:dyDescent="0.3">
      <c r="A3436" s="49" t="s">
        <v>1804</v>
      </c>
      <c r="B3436" s="49" t="s">
        <v>409</v>
      </c>
      <c r="C3436" s="49" t="s">
        <v>449</v>
      </c>
      <c r="D3436">
        <v>16</v>
      </c>
      <c r="E3436" s="49" t="s">
        <v>378</v>
      </c>
    </row>
    <row r="3437" spans="1:5" x14ac:dyDescent="0.3">
      <c r="A3437" s="49" t="s">
        <v>1804</v>
      </c>
      <c r="B3437" s="49" t="s">
        <v>409</v>
      </c>
      <c r="C3437" s="49" t="s">
        <v>449</v>
      </c>
      <c r="D3437">
        <v>17</v>
      </c>
      <c r="E3437" s="49" t="s">
        <v>378</v>
      </c>
    </row>
    <row r="3438" spans="1:5" x14ac:dyDescent="0.3">
      <c r="A3438" s="49" t="s">
        <v>1805</v>
      </c>
      <c r="B3438" s="49" t="s">
        <v>409</v>
      </c>
      <c r="C3438" s="49" t="s">
        <v>449</v>
      </c>
      <c r="D3438">
        <v>0</v>
      </c>
      <c r="E3438" s="49" t="s">
        <v>378</v>
      </c>
    </row>
    <row r="3439" spans="1:5" x14ac:dyDescent="0.3">
      <c r="A3439" s="49" t="s">
        <v>1805</v>
      </c>
      <c r="B3439" s="49" t="s">
        <v>409</v>
      </c>
      <c r="C3439" s="49" t="s">
        <v>449</v>
      </c>
      <c r="D3439">
        <v>1</v>
      </c>
      <c r="E3439" s="49" t="s">
        <v>378</v>
      </c>
    </row>
    <row r="3440" spans="1:5" x14ac:dyDescent="0.3">
      <c r="A3440" s="49" t="s">
        <v>1805</v>
      </c>
      <c r="B3440" s="49" t="s">
        <v>409</v>
      </c>
      <c r="C3440" s="49" t="s">
        <v>449</v>
      </c>
      <c r="D3440">
        <v>2</v>
      </c>
      <c r="E3440" s="49" t="s">
        <v>378</v>
      </c>
    </row>
    <row r="3441" spans="1:5" x14ac:dyDescent="0.3">
      <c r="A3441" s="49" t="s">
        <v>1805</v>
      </c>
      <c r="B3441" s="49" t="s">
        <v>409</v>
      </c>
      <c r="C3441" s="49" t="s">
        <v>449</v>
      </c>
      <c r="D3441">
        <v>3</v>
      </c>
      <c r="E3441" s="49" t="s">
        <v>378</v>
      </c>
    </row>
    <row r="3442" spans="1:5" x14ac:dyDescent="0.3">
      <c r="A3442" s="49" t="s">
        <v>1805</v>
      </c>
      <c r="B3442" s="49" t="s">
        <v>409</v>
      </c>
      <c r="C3442" s="49" t="s">
        <v>449</v>
      </c>
      <c r="D3442">
        <v>4</v>
      </c>
      <c r="E3442" s="49" t="s">
        <v>378</v>
      </c>
    </row>
    <row r="3443" spans="1:5" x14ac:dyDescent="0.3">
      <c r="A3443" s="49" t="s">
        <v>1805</v>
      </c>
      <c r="B3443" s="49" t="s">
        <v>409</v>
      </c>
      <c r="C3443" s="49" t="s">
        <v>449</v>
      </c>
      <c r="D3443">
        <v>5</v>
      </c>
      <c r="E3443" s="49" t="s">
        <v>378</v>
      </c>
    </row>
    <row r="3444" spans="1:5" x14ac:dyDescent="0.3">
      <c r="A3444" s="49" t="s">
        <v>1805</v>
      </c>
      <c r="B3444" s="49" t="s">
        <v>409</v>
      </c>
      <c r="C3444" s="49" t="s">
        <v>449</v>
      </c>
      <c r="D3444">
        <v>6</v>
      </c>
      <c r="E3444" s="49" t="s">
        <v>378</v>
      </c>
    </row>
    <row r="3445" spans="1:5" x14ac:dyDescent="0.3">
      <c r="A3445" s="49" t="s">
        <v>1805</v>
      </c>
      <c r="B3445" s="49" t="s">
        <v>409</v>
      </c>
      <c r="C3445" s="49" t="s">
        <v>449</v>
      </c>
      <c r="D3445">
        <v>7</v>
      </c>
      <c r="E3445" s="49" t="s">
        <v>378</v>
      </c>
    </row>
    <row r="3446" spans="1:5" x14ac:dyDescent="0.3">
      <c r="A3446" s="49" t="s">
        <v>1805</v>
      </c>
      <c r="B3446" s="49" t="s">
        <v>409</v>
      </c>
      <c r="C3446" s="49" t="s">
        <v>449</v>
      </c>
      <c r="D3446">
        <v>8</v>
      </c>
      <c r="E3446" s="49" t="s">
        <v>378</v>
      </c>
    </row>
    <row r="3447" spans="1:5" x14ac:dyDescent="0.3">
      <c r="A3447" s="49" t="s">
        <v>1805</v>
      </c>
      <c r="B3447" s="49" t="s">
        <v>409</v>
      </c>
      <c r="C3447" s="49" t="s">
        <v>449</v>
      </c>
      <c r="D3447">
        <v>9</v>
      </c>
      <c r="E3447" s="49" t="s">
        <v>378</v>
      </c>
    </row>
    <row r="3448" spans="1:5" x14ac:dyDescent="0.3">
      <c r="A3448" s="49" t="s">
        <v>1805</v>
      </c>
      <c r="B3448" s="49" t="s">
        <v>409</v>
      </c>
      <c r="C3448" s="49" t="s">
        <v>449</v>
      </c>
      <c r="D3448">
        <v>10</v>
      </c>
      <c r="E3448" s="49" t="s">
        <v>378</v>
      </c>
    </row>
    <row r="3449" spans="1:5" x14ac:dyDescent="0.3">
      <c r="A3449" s="49" t="s">
        <v>1805</v>
      </c>
      <c r="B3449" s="49" t="s">
        <v>409</v>
      </c>
      <c r="C3449" s="49" t="s">
        <v>449</v>
      </c>
      <c r="D3449">
        <v>11</v>
      </c>
      <c r="E3449" s="49" t="s">
        <v>378</v>
      </c>
    </row>
    <row r="3450" spans="1:5" x14ac:dyDescent="0.3">
      <c r="A3450" s="49" t="s">
        <v>1805</v>
      </c>
      <c r="B3450" s="49" t="s">
        <v>409</v>
      </c>
      <c r="C3450" s="49" t="s">
        <v>449</v>
      </c>
      <c r="D3450">
        <v>12</v>
      </c>
      <c r="E3450" s="49" t="s">
        <v>378</v>
      </c>
    </row>
    <row r="3451" spans="1:5" x14ac:dyDescent="0.3">
      <c r="A3451" s="49" t="s">
        <v>1805</v>
      </c>
      <c r="B3451" s="49" t="s">
        <v>409</v>
      </c>
      <c r="C3451" s="49" t="s">
        <v>449</v>
      </c>
      <c r="D3451">
        <v>13</v>
      </c>
      <c r="E3451" s="49" t="s">
        <v>378</v>
      </c>
    </row>
    <row r="3452" spans="1:5" x14ac:dyDescent="0.3">
      <c r="A3452" s="49" t="s">
        <v>1805</v>
      </c>
      <c r="B3452" s="49" t="s">
        <v>409</v>
      </c>
      <c r="C3452" s="49" t="s">
        <v>449</v>
      </c>
      <c r="D3452">
        <v>14</v>
      </c>
      <c r="E3452" s="49" t="s">
        <v>378</v>
      </c>
    </row>
    <row r="3453" spans="1:5" x14ac:dyDescent="0.3">
      <c r="A3453" s="49" t="s">
        <v>1805</v>
      </c>
      <c r="B3453" s="49" t="s">
        <v>409</v>
      </c>
      <c r="C3453" s="49" t="s">
        <v>449</v>
      </c>
      <c r="D3453">
        <v>15</v>
      </c>
      <c r="E3453" s="49" t="s">
        <v>378</v>
      </c>
    </row>
    <row r="3454" spans="1:5" x14ac:dyDescent="0.3">
      <c r="A3454" s="49" t="s">
        <v>1805</v>
      </c>
      <c r="B3454" s="49" t="s">
        <v>409</v>
      </c>
      <c r="C3454" s="49" t="s">
        <v>449</v>
      </c>
      <c r="D3454">
        <v>16</v>
      </c>
      <c r="E3454" s="49" t="s">
        <v>378</v>
      </c>
    </row>
    <row r="3455" spans="1:5" x14ac:dyDescent="0.3">
      <c r="A3455" s="49" t="s">
        <v>1805</v>
      </c>
      <c r="B3455" s="49" t="s">
        <v>409</v>
      </c>
      <c r="C3455" s="49" t="s">
        <v>449</v>
      </c>
      <c r="D3455">
        <v>17</v>
      </c>
      <c r="E3455" s="49" t="s">
        <v>378</v>
      </c>
    </row>
    <row r="3456" spans="1:5" x14ac:dyDescent="0.3">
      <c r="A3456" s="49" t="s">
        <v>1806</v>
      </c>
      <c r="B3456" s="49" t="s">
        <v>409</v>
      </c>
      <c r="C3456" s="49" t="s">
        <v>449</v>
      </c>
      <c r="D3456">
        <v>0</v>
      </c>
      <c r="E3456" s="49" t="s">
        <v>378</v>
      </c>
    </row>
    <row r="3457" spans="1:5" x14ac:dyDescent="0.3">
      <c r="A3457" s="49" t="s">
        <v>1806</v>
      </c>
      <c r="B3457" s="49" t="s">
        <v>409</v>
      </c>
      <c r="C3457" s="49" t="s">
        <v>449</v>
      </c>
      <c r="D3457">
        <v>1</v>
      </c>
      <c r="E3457" s="49" t="s">
        <v>378</v>
      </c>
    </row>
    <row r="3458" spans="1:5" x14ac:dyDescent="0.3">
      <c r="A3458" s="49" t="s">
        <v>1806</v>
      </c>
      <c r="B3458" s="49" t="s">
        <v>409</v>
      </c>
      <c r="C3458" s="49" t="s">
        <v>449</v>
      </c>
      <c r="D3458">
        <v>2</v>
      </c>
      <c r="E3458" s="49" t="s">
        <v>378</v>
      </c>
    </row>
    <row r="3459" spans="1:5" x14ac:dyDescent="0.3">
      <c r="A3459" s="49" t="s">
        <v>1806</v>
      </c>
      <c r="B3459" s="49" t="s">
        <v>409</v>
      </c>
      <c r="C3459" s="49" t="s">
        <v>449</v>
      </c>
      <c r="D3459">
        <v>3</v>
      </c>
      <c r="E3459" s="49" t="s">
        <v>378</v>
      </c>
    </row>
    <row r="3460" spans="1:5" x14ac:dyDescent="0.3">
      <c r="A3460" s="49" t="s">
        <v>1806</v>
      </c>
      <c r="B3460" s="49" t="s">
        <v>409</v>
      </c>
      <c r="C3460" s="49" t="s">
        <v>449</v>
      </c>
      <c r="D3460">
        <v>4</v>
      </c>
      <c r="E3460" s="49" t="s">
        <v>378</v>
      </c>
    </row>
    <row r="3461" spans="1:5" x14ac:dyDescent="0.3">
      <c r="A3461" s="49" t="s">
        <v>1806</v>
      </c>
      <c r="B3461" s="49" t="s">
        <v>409</v>
      </c>
      <c r="C3461" s="49" t="s">
        <v>449</v>
      </c>
      <c r="D3461">
        <v>5</v>
      </c>
      <c r="E3461" s="49" t="s">
        <v>378</v>
      </c>
    </row>
    <row r="3462" spans="1:5" x14ac:dyDescent="0.3">
      <c r="A3462" s="49" t="s">
        <v>1806</v>
      </c>
      <c r="B3462" s="49" t="s">
        <v>409</v>
      </c>
      <c r="C3462" s="49" t="s">
        <v>449</v>
      </c>
      <c r="D3462">
        <v>6</v>
      </c>
      <c r="E3462" s="49" t="s">
        <v>378</v>
      </c>
    </row>
    <row r="3463" spans="1:5" x14ac:dyDescent="0.3">
      <c r="A3463" s="49" t="s">
        <v>1806</v>
      </c>
      <c r="B3463" s="49" t="s">
        <v>409</v>
      </c>
      <c r="C3463" s="49" t="s">
        <v>449</v>
      </c>
      <c r="D3463">
        <v>7</v>
      </c>
      <c r="E3463" s="49" t="s">
        <v>378</v>
      </c>
    </row>
    <row r="3464" spans="1:5" x14ac:dyDescent="0.3">
      <c r="A3464" s="49" t="s">
        <v>1806</v>
      </c>
      <c r="B3464" s="49" t="s">
        <v>409</v>
      </c>
      <c r="C3464" s="49" t="s">
        <v>449</v>
      </c>
      <c r="D3464">
        <v>8</v>
      </c>
      <c r="E3464" s="49" t="s">
        <v>378</v>
      </c>
    </row>
    <row r="3465" spans="1:5" x14ac:dyDescent="0.3">
      <c r="A3465" s="49" t="s">
        <v>1806</v>
      </c>
      <c r="B3465" s="49" t="s">
        <v>409</v>
      </c>
      <c r="C3465" s="49" t="s">
        <v>449</v>
      </c>
      <c r="D3465">
        <v>9</v>
      </c>
      <c r="E3465" s="49" t="s">
        <v>378</v>
      </c>
    </row>
    <row r="3466" spans="1:5" x14ac:dyDescent="0.3">
      <c r="A3466" s="49" t="s">
        <v>1806</v>
      </c>
      <c r="B3466" s="49" t="s">
        <v>409</v>
      </c>
      <c r="C3466" s="49" t="s">
        <v>449</v>
      </c>
      <c r="D3466">
        <v>10</v>
      </c>
      <c r="E3466" s="49" t="s">
        <v>378</v>
      </c>
    </row>
    <row r="3467" spans="1:5" x14ac:dyDescent="0.3">
      <c r="A3467" s="49" t="s">
        <v>1806</v>
      </c>
      <c r="B3467" s="49" t="s">
        <v>409</v>
      </c>
      <c r="C3467" s="49" t="s">
        <v>449</v>
      </c>
      <c r="D3467">
        <v>11</v>
      </c>
      <c r="E3467" s="49" t="s">
        <v>378</v>
      </c>
    </row>
    <row r="3468" spans="1:5" x14ac:dyDescent="0.3">
      <c r="A3468" s="49" t="s">
        <v>1806</v>
      </c>
      <c r="B3468" s="49" t="s">
        <v>409</v>
      </c>
      <c r="C3468" s="49" t="s">
        <v>449</v>
      </c>
      <c r="D3468">
        <v>12</v>
      </c>
      <c r="E3468" s="49" t="s">
        <v>378</v>
      </c>
    </row>
    <row r="3469" spans="1:5" x14ac:dyDescent="0.3">
      <c r="A3469" s="49" t="s">
        <v>1806</v>
      </c>
      <c r="B3469" s="49" t="s">
        <v>409</v>
      </c>
      <c r="C3469" s="49" t="s">
        <v>449</v>
      </c>
      <c r="D3469">
        <v>13</v>
      </c>
      <c r="E3469" s="49" t="s">
        <v>378</v>
      </c>
    </row>
    <row r="3470" spans="1:5" x14ac:dyDescent="0.3">
      <c r="A3470" s="49" t="s">
        <v>1806</v>
      </c>
      <c r="B3470" s="49" t="s">
        <v>409</v>
      </c>
      <c r="C3470" s="49" t="s">
        <v>449</v>
      </c>
      <c r="D3470">
        <v>14</v>
      </c>
      <c r="E3470" s="49" t="s">
        <v>378</v>
      </c>
    </row>
    <row r="3471" spans="1:5" x14ac:dyDescent="0.3">
      <c r="A3471" s="49" t="s">
        <v>1806</v>
      </c>
      <c r="B3471" s="49" t="s">
        <v>409</v>
      </c>
      <c r="C3471" s="49" t="s">
        <v>449</v>
      </c>
      <c r="D3471">
        <v>15</v>
      </c>
      <c r="E3471" s="49" t="s">
        <v>378</v>
      </c>
    </row>
    <row r="3472" spans="1:5" x14ac:dyDescent="0.3">
      <c r="A3472" s="49" t="s">
        <v>1806</v>
      </c>
      <c r="B3472" s="49" t="s">
        <v>409</v>
      </c>
      <c r="C3472" s="49" t="s">
        <v>449</v>
      </c>
      <c r="D3472">
        <v>16</v>
      </c>
      <c r="E3472" s="49" t="s">
        <v>378</v>
      </c>
    </row>
    <row r="3473" spans="1:5" x14ac:dyDescent="0.3">
      <c r="A3473" s="49" t="s">
        <v>1806</v>
      </c>
      <c r="B3473" s="49" t="s">
        <v>409</v>
      </c>
      <c r="C3473" s="49" t="s">
        <v>449</v>
      </c>
      <c r="D3473">
        <v>17</v>
      </c>
      <c r="E3473" s="49" t="s">
        <v>378</v>
      </c>
    </row>
    <row r="3474" spans="1:5" x14ac:dyDescent="0.3">
      <c r="A3474" s="49" t="s">
        <v>1807</v>
      </c>
      <c r="B3474" s="49" t="s">
        <v>409</v>
      </c>
      <c r="C3474" s="49" t="s">
        <v>449</v>
      </c>
      <c r="D3474">
        <v>0</v>
      </c>
      <c r="E3474" s="49" t="s">
        <v>378</v>
      </c>
    </row>
    <row r="3475" spans="1:5" x14ac:dyDescent="0.3">
      <c r="A3475" s="49" t="s">
        <v>1807</v>
      </c>
      <c r="B3475" s="49" t="s">
        <v>409</v>
      </c>
      <c r="C3475" s="49" t="s">
        <v>449</v>
      </c>
      <c r="D3475">
        <v>1</v>
      </c>
      <c r="E3475" s="49" t="s">
        <v>378</v>
      </c>
    </row>
    <row r="3476" spans="1:5" x14ac:dyDescent="0.3">
      <c r="A3476" s="49" t="s">
        <v>1807</v>
      </c>
      <c r="B3476" s="49" t="s">
        <v>409</v>
      </c>
      <c r="C3476" s="49" t="s">
        <v>449</v>
      </c>
      <c r="D3476">
        <v>2</v>
      </c>
      <c r="E3476" s="49" t="s">
        <v>378</v>
      </c>
    </row>
    <row r="3477" spans="1:5" x14ac:dyDescent="0.3">
      <c r="A3477" s="49" t="s">
        <v>1807</v>
      </c>
      <c r="B3477" s="49" t="s">
        <v>409</v>
      </c>
      <c r="C3477" s="49" t="s">
        <v>449</v>
      </c>
      <c r="D3477">
        <v>3</v>
      </c>
      <c r="E3477" s="49" t="s">
        <v>378</v>
      </c>
    </row>
    <row r="3478" spans="1:5" x14ac:dyDescent="0.3">
      <c r="A3478" s="49" t="s">
        <v>1807</v>
      </c>
      <c r="B3478" s="49" t="s">
        <v>409</v>
      </c>
      <c r="C3478" s="49" t="s">
        <v>449</v>
      </c>
      <c r="D3478">
        <v>4</v>
      </c>
      <c r="E3478" s="49" t="s">
        <v>378</v>
      </c>
    </row>
    <row r="3479" spans="1:5" x14ac:dyDescent="0.3">
      <c r="A3479" s="49" t="s">
        <v>1807</v>
      </c>
      <c r="B3479" s="49" t="s">
        <v>409</v>
      </c>
      <c r="C3479" s="49" t="s">
        <v>449</v>
      </c>
      <c r="D3479">
        <v>5</v>
      </c>
      <c r="E3479" s="49" t="s">
        <v>378</v>
      </c>
    </row>
    <row r="3480" spans="1:5" x14ac:dyDescent="0.3">
      <c r="A3480" s="49" t="s">
        <v>1807</v>
      </c>
      <c r="B3480" s="49" t="s">
        <v>409</v>
      </c>
      <c r="C3480" s="49" t="s">
        <v>449</v>
      </c>
      <c r="D3480">
        <v>6</v>
      </c>
      <c r="E3480" s="49" t="s">
        <v>378</v>
      </c>
    </row>
    <row r="3481" spans="1:5" x14ac:dyDescent="0.3">
      <c r="A3481" s="49" t="s">
        <v>1807</v>
      </c>
      <c r="B3481" s="49" t="s">
        <v>409</v>
      </c>
      <c r="C3481" s="49" t="s">
        <v>449</v>
      </c>
      <c r="D3481">
        <v>7</v>
      </c>
      <c r="E3481" s="49" t="s">
        <v>378</v>
      </c>
    </row>
    <row r="3482" spans="1:5" x14ac:dyDescent="0.3">
      <c r="A3482" s="49" t="s">
        <v>1807</v>
      </c>
      <c r="B3482" s="49" t="s">
        <v>409</v>
      </c>
      <c r="C3482" s="49" t="s">
        <v>449</v>
      </c>
      <c r="D3482">
        <v>8</v>
      </c>
      <c r="E3482" s="49" t="s">
        <v>378</v>
      </c>
    </row>
    <row r="3483" spans="1:5" x14ac:dyDescent="0.3">
      <c r="A3483" s="49" t="s">
        <v>1807</v>
      </c>
      <c r="B3483" s="49" t="s">
        <v>409</v>
      </c>
      <c r="C3483" s="49" t="s">
        <v>449</v>
      </c>
      <c r="D3483">
        <v>9</v>
      </c>
      <c r="E3483" s="49" t="s">
        <v>378</v>
      </c>
    </row>
    <row r="3484" spans="1:5" x14ac:dyDescent="0.3">
      <c r="A3484" s="49" t="s">
        <v>1807</v>
      </c>
      <c r="B3484" s="49" t="s">
        <v>409</v>
      </c>
      <c r="C3484" s="49" t="s">
        <v>449</v>
      </c>
      <c r="D3484">
        <v>10</v>
      </c>
      <c r="E3484" s="49" t="s">
        <v>378</v>
      </c>
    </row>
    <row r="3485" spans="1:5" x14ac:dyDescent="0.3">
      <c r="A3485" s="49" t="s">
        <v>1807</v>
      </c>
      <c r="B3485" s="49" t="s">
        <v>409</v>
      </c>
      <c r="C3485" s="49" t="s">
        <v>449</v>
      </c>
      <c r="D3485">
        <v>11</v>
      </c>
      <c r="E3485" s="49" t="s">
        <v>378</v>
      </c>
    </row>
    <row r="3486" spans="1:5" x14ac:dyDescent="0.3">
      <c r="A3486" s="49" t="s">
        <v>1807</v>
      </c>
      <c r="B3486" s="49" t="s">
        <v>409</v>
      </c>
      <c r="C3486" s="49" t="s">
        <v>449</v>
      </c>
      <c r="D3486">
        <v>12</v>
      </c>
      <c r="E3486" s="49" t="s">
        <v>378</v>
      </c>
    </row>
    <row r="3487" spans="1:5" x14ac:dyDescent="0.3">
      <c r="A3487" s="49" t="s">
        <v>1807</v>
      </c>
      <c r="B3487" s="49" t="s">
        <v>409</v>
      </c>
      <c r="C3487" s="49" t="s">
        <v>449</v>
      </c>
      <c r="D3487">
        <v>13</v>
      </c>
      <c r="E3487" s="49" t="s">
        <v>378</v>
      </c>
    </row>
    <row r="3488" spans="1:5" x14ac:dyDescent="0.3">
      <c r="A3488" s="49" t="s">
        <v>1807</v>
      </c>
      <c r="B3488" s="49" t="s">
        <v>409</v>
      </c>
      <c r="C3488" s="49" t="s">
        <v>449</v>
      </c>
      <c r="D3488">
        <v>14</v>
      </c>
      <c r="E3488" s="49" t="s">
        <v>378</v>
      </c>
    </row>
    <row r="3489" spans="1:5" x14ac:dyDescent="0.3">
      <c r="A3489" s="49" t="s">
        <v>1807</v>
      </c>
      <c r="B3489" s="49" t="s">
        <v>409</v>
      </c>
      <c r="C3489" s="49" t="s">
        <v>449</v>
      </c>
      <c r="D3489">
        <v>15</v>
      </c>
      <c r="E3489" s="49" t="s">
        <v>378</v>
      </c>
    </row>
    <row r="3490" spans="1:5" x14ac:dyDescent="0.3">
      <c r="A3490" s="49" t="s">
        <v>1807</v>
      </c>
      <c r="B3490" s="49" t="s">
        <v>409</v>
      </c>
      <c r="C3490" s="49" t="s">
        <v>449</v>
      </c>
      <c r="D3490">
        <v>16</v>
      </c>
      <c r="E3490" s="49" t="s">
        <v>378</v>
      </c>
    </row>
    <row r="3491" spans="1:5" x14ac:dyDescent="0.3">
      <c r="A3491" s="49" t="s">
        <v>1807</v>
      </c>
      <c r="B3491" s="49" t="s">
        <v>409</v>
      </c>
      <c r="C3491" s="49" t="s">
        <v>449</v>
      </c>
      <c r="D3491">
        <v>17</v>
      </c>
      <c r="E3491" s="49" t="s">
        <v>378</v>
      </c>
    </row>
    <row r="3492" spans="1:5" x14ac:dyDescent="0.3">
      <c r="A3492" s="49" t="s">
        <v>1808</v>
      </c>
      <c r="B3492" s="49" t="s">
        <v>409</v>
      </c>
      <c r="C3492" s="49" t="s">
        <v>449</v>
      </c>
      <c r="D3492">
        <v>0</v>
      </c>
      <c r="E3492" s="49" t="s">
        <v>378</v>
      </c>
    </row>
    <row r="3493" spans="1:5" x14ac:dyDescent="0.3">
      <c r="A3493" s="49" t="s">
        <v>1808</v>
      </c>
      <c r="B3493" s="49" t="s">
        <v>409</v>
      </c>
      <c r="C3493" s="49" t="s">
        <v>449</v>
      </c>
      <c r="D3493">
        <v>1</v>
      </c>
      <c r="E3493" s="49" t="s">
        <v>378</v>
      </c>
    </row>
    <row r="3494" spans="1:5" x14ac:dyDescent="0.3">
      <c r="A3494" s="49" t="s">
        <v>1808</v>
      </c>
      <c r="B3494" s="49" t="s">
        <v>409</v>
      </c>
      <c r="C3494" s="49" t="s">
        <v>449</v>
      </c>
      <c r="D3494">
        <v>2</v>
      </c>
      <c r="E3494" s="49" t="s">
        <v>378</v>
      </c>
    </row>
    <row r="3495" spans="1:5" x14ac:dyDescent="0.3">
      <c r="A3495" s="49" t="s">
        <v>1808</v>
      </c>
      <c r="B3495" s="49" t="s">
        <v>409</v>
      </c>
      <c r="C3495" s="49" t="s">
        <v>449</v>
      </c>
      <c r="D3495">
        <v>3</v>
      </c>
      <c r="E3495" s="49" t="s">
        <v>378</v>
      </c>
    </row>
    <row r="3496" spans="1:5" x14ac:dyDescent="0.3">
      <c r="A3496" s="49" t="s">
        <v>1808</v>
      </c>
      <c r="B3496" s="49" t="s">
        <v>409</v>
      </c>
      <c r="C3496" s="49" t="s">
        <v>449</v>
      </c>
      <c r="D3496">
        <v>4</v>
      </c>
      <c r="E3496" s="49" t="s">
        <v>378</v>
      </c>
    </row>
    <row r="3497" spans="1:5" x14ac:dyDescent="0.3">
      <c r="A3497" s="49" t="s">
        <v>1808</v>
      </c>
      <c r="B3497" s="49" t="s">
        <v>409</v>
      </c>
      <c r="C3497" s="49" t="s">
        <v>449</v>
      </c>
      <c r="D3497">
        <v>5</v>
      </c>
      <c r="E3497" s="49" t="s">
        <v>378</v>
      </c>
    </row>
    <row r="3498" spans="1:5" x14ac:dyDescent="0.3">
      <c r="A3498" s="49" t="s">
        <v>1808</v>
      </c>
      <c r="B3498" s="49" t="s">
        <v>409</v>
      </c>
      <c r="C3498" s="49" t="s">
        <v>449</v>
      </c>
      <c r="D3498">
        <v>6</v>
      </c>
      <c r="E3498" s="49" t="s">
        <v>378</v>
      </c>
    </row>
    <row r="3499" spans="1:5" x14ac:dyDescent="0.3">
      <c r="A3499" s="49" t="s">
        <v>1808</v>
      </c>
      <c r="B3499" s="49" t="s">
        <v>409</v>
      </c>
      <c r="C3499" s="49" t="s">
        <v>449</v>
      </c>
      <c r="D3499">
        <v>7</v>
      </c>
      <c r="E3499" s="49" t="s">
        <v>378</v>
      </c>
    </row>
    <row r="3500" spans="1:5" x14ac:dyDescent="0.3">
      <c r="A3500" s="49" t="s">
        <v>1808</v>
      </c>
      <c r="B3500" s="49" t="s">
        <v>409</v>
      </c>
      <c r="C3500" s="49" t="s">
        <v>449</v>
      </c>
      <c r="D3500">
        <v>8</v>
      </c>
      <c r="E3500" s="49" t="s">
        <v>378</v>
      </c>
    </row>
    <row r="3501" spans="1:5" x14ac:dyDescent="0.3">
      <c r="A3501" s="49" t="s">
        <v>1808</v>
      </c>
      <c r="B3501" s="49" t="s">
        <v>409</v>
      </c>
      <c r="C3501" s="49" t="s">
        <v>449</v>
      </c>
      <c r="D3501">
        <v>9</v>
      </c>
      <c r="E3501" s="49" t="s">
        <v>378</v>
      </c>
    </row>
    <row r="3502" spans="1:5" x14ac:dyDescent="0.3">
      <c r="A3502" s="49" t="s">
        <v>1808</v>
      </c>
      <c r="B3502" s="49" t="s">
        <v>409</v>
      </c>
      <c r="C3502" s="49" t="s">
        <v>449</v>
      </c>
      <c r="D3502">
        <v>10</v>
      </c>
      <c r="E3502" s="49" t="s">
        <v>378</v>
      </c>
    </row>
    <row r="3503" spans="1:5" x14ac:dyDescent="0.3">
      <c r="A3503" s="49" t="s">
        <v>1808</v>
      </c>
      <c r="B3503" s="49" t="s">
        <v>409</v>
      </c>
      <c r="C3503" s="49" t="s">
        <v>449</v>
      </c>
      <c r="D3503">
        <v>11</v>
      </c>
      <c r="E3503" s="49" t="s">
        <v>378</v>
      </c>
    </row>
    <row r="3504" spans="1:5" x14ac:dyDescent="0.3">
      <c r="A3504" s="49" t="s">
        <v>1808</v>
      </c>
      <c r="B3504" s="49" t="s">
        <v>409</v>
      </c>
      <c r="C3504" s="49" t="s">
        <v>449</v>
      </c>
      <c r="D3504">
        <v>12</v>
      </c>
      <c r="E3504" s="49" t="s">
        <v>378</v>
      </c>
    </row>
    <row r="3505" spans="1:5" x14ac:dyDescent="0.3">
      <c r="A3505" s="49" t="s">
        <v>1808</v>
      </c>
      <c r="B3505" s="49" t="s">
        <v>409</v>
      </c>
      <c r="C3505" s="49" t="s">
        <v>449</v>
      </c>
      <c r="D3505">
        <v>13</v>
      </c>
      <c r="E3505" s="49" t="s">
        <v>378</v>
      </c>
    </row>
    <row r="3506" spans="1:5" x14ac:dyDescent="0.3">
      <c r="A3506" s="49" t="s">
        <v>1808</v>
      </c>
      <c r="B3506" s="49" t="s">
        <v>409</v>
      </c>
      <c r="C3506" s="49" t="s">
        <v>449</v>
      </c>
      <c r="D3506">
        <v>14</v>
      </c>
      <c r="E3506" s="49" t="s">
        <v>378</v>
      </c>
    </row>
    <row r="3507" spans="1:5" x14ac:dyDescent="0.3">
      <c r="A3507" s="49" t="s">
        <v>1808</v>
      </c>
      <c r="B3507" s="49" t="s">
        <v>409</v>
      </c>
      <c r="C3507" s="49" t="s">
        <v>449</v>
      </c>
      <c r="D3507">
        <v>15</v>
      </c>
      <c r="E3507" s="49" t="s">
        <v>378</v>
      </c>
    </row>
    <row r="3508" spans="1:5" x14ac:dyDescent="0.3">
      <c r="A3508" s="49" t="s">
        <v>1808</v>
      </c>
      <c r="B3508" s="49" t="s">
        <v>409</v>
      </c>
      <c r="C3508" s="49" t="s">
        <v>449</v>
      </c>
      <c r="D3508">
        <v>16</v>
      </c>
      <c r="E3508" s="49" t="s">
        <v>378</v>
      </c>
    </row>
    <row r="3509" spans="1:5" x14ac:dyDescent="0.3">
      <c r="A3509" s="49" t="s">
        <v>1808</v>
      </c>
      <c r="B3509" s="49" t="s">
        <v>409</v>
      </c>
      <c r="C3509" s="49" t="s">
        <v>449</v>
      </c>
      <c r="D3509">
        <v>17</v>
      </c>
      <c r="E3509" s="49" t="s">
        <v>378</v>
      </c>
    </row>
    <row r="3510" spans="1:5" x14ac:dyDescent="0.3">
      <c r="A3510" s="49" t="s">
        <v>1746</v>
      </c>
      <c r="B3510" s="49" t="s">
        <v>1747</v>
      </c>
      <c r="C3510" s="49" t="s">
        <v>1748</v>
      </c>
      <c r="D3510">
        <v>0</v>
      </c>
      <c r="E3510" s="49" t="s">
        <v>378</v>
      </c>
    </row>
    <row r="3511" spans="1:5" x14ac:dyDescent="0.3">
      <c r="A3511" s="49" t="s">
        <v>1749</v>
      </c>
      <c r="B3511" s="49" t="s">
        <v>1747</v>
      </c>
      <c r="C3511" s="49" t="s">
        <v>1748</v>
      </c>
      <c r="D3511">
        <v>0</v>
      </c>
      <c r="E3511" s="49" t="s">
        <v>378</v>
      </c>
    </row>
    <row r="3512" spans="1:5" x14ac:dyDescent="0.3">
      <c r="A3512" s="49" t="s">
        <v>1750</v>
      </c>
      <c r="B3512" s="49" t="s">
        <v>1747</v>
      </c>
      <c r="C3512" s="49" t="s">
        <v>1748</v>
      </c>
      <c r="D3512">
        <v>0</v>
      </c>
      <c r="E3512" s="49" t="s">
        <v>379</v>
      </c>
    </row>
    <row r="3513" spans="1:5" x14ac:dyDescent="0.3">
      <c r="A3513" s="49" t="s">
        <v>1751</v>
      </c>
      <c r="B3513" s="49" t="s">
        <v>1747</v>
      </c>
      <c r="C3513" s="49" t="s">
        <v>1748</v>
      </c>
      <c r="D3513">
        <v>0</v>
      </c>
      <c r="E3513" s="49" t="s">
        <v>379</v>
      </c>
    </row>
    <row r="3514" spans="1:5" x14ac:dyDescent="0.3">
      <c r="A3514" s="49" t="s">
        <v>1752</v>
      </c>
      <c r="B3514" s="49" t="s">
        <v>1747</v>
      </c>
      <c r="C3514" s="49" t="s">
        <v>1748</v>
      </c>
      <c r="D3514">
        <v>0</v>
      </c>
      <c r="E3514" s="49" t="s">
        <v>378</v>
      </c>
    </row>
    <row r="3515" spans="1:5" x14ac:dyDescent="0.3">
      <c r="A3515" s="49" t="s">
        <v>1753</v>
      </c>
      <c r="B3515" s="49" t="s">
        <v>1747</v>
      </c>
      <c r="C3515" s="49" t="s">
        <v>1748</v>
      </c>
      <c r="D3515">
        <v>0</v>
      </c>
      <c r="E3515" s="49" t="s">
        <v>378</v>
      </c>
    </row>
    <row r="3516" spans="1:5" x14ac:dyDescent="0.3">
      <c r="A3516" s="49" t="s">
        <v>1754</v>
      </c>
      <c r="B3516" s="49" t="s">
        <v>1747</v>
      </c>
      <c r="C3516" s="49" t="s">
        <v>1748</v>
      </c>
      <c r="D3516">
        <v>0</v>
      </c>
      <c r="E3516" s="49" t="s">
        <v>378</v>
      </c>
    </row>
    <row r="3517" spans="1:5" x14ac:dyDescent="0.3">
      <c r="A3517" s="49" t="s">
        <v>1755</v>
      </c>
      <c r="B3517" s="49" t="s">
        <v>1747</v>
      </c>
      <c r="C3517" s="49" t="s">
        <v>1748</v>
      </c>
      <c r="D3517">
        <v>0</v>
      </c>
      <c r="E3517" s="49" t="s">
        <v>378</v>
      </c>
    </row>
    <row r="3518" spans="1:5" x14ac:dyDescent="0.3">
      <c r="A3518" s="49" t="s">
        <v>1756</v>
      </c>
      <c r="B3518" s="49" t="s">
        <v>1747</v>
      </c>
      <c r="C3518" s="49" t="s">
        <v>1748</v>
      </c>
      <c r="D3518">
        <v>0</v>
      </c>
      <c r="E3518" s="49" t="s">
        <v>379</v>
      </c>
    </row>
    <row r="3519" spans="1:5" x14ac:dyDescent="0.3">
      <c r="A3519" s="49" t="s">
        <v>1757</v>
      </c>
      <c r="B3519" s="49" t="s">
        <v>1747</v>
      </c>
      <c r="C3519" s="49" t="s">
        <v>1748</v>
      </c>
      <c r="D3519">
        <v>0</v>
      </c>
      <c r="E3519" s="49" t="s">
        <v>379</v>
      </c>
    </row>
    <row r="3520" spans="1:5" x14ac:dyDescent="0.3">
      <c r="A3520" s="49" t="s">
        <v>1758</v>
      </c>
      <c r="B3520" s="49" t="s">
        <v>1747</v>
      </c>
      <c r="C3520" s="49" t="s">
        <v>1748</v>
      </c>
      <c r="D3520">
        <v>0</v>
      </c>
      <c r="E3520" s="49" t="s">
        <v>378</v>
      </c>
    </row>
    <row r="3521" spans="1:5" x14ac:dyDescent="0.3">
      <c r="A3521" s="49" t="s">
        <v>1759</v>
      </c>
      <c r="B3521" s="49" t="s">
        <v>1747</v>
      </c>
      <c r="C3521" s="49" t="s">
        <v>1748</v>
      </c>
      <c r="D3521">
        <v>0</v>
      </c>
      <c r="E3521" s="49" t="s">
        <v>378</v>
      </c>
    </row>
    <row r="3522" spans="1:5" x14ac:dyDescent="0.3">
      <c r="A3522" s="49" t="s">
        <v>1760</v>
      </c>
      <c r="B3522" s="49" t="s">
        <v>1747</v>
      </c>
      <c r="C3522" s="49" t="s">
        <v>1748</v>
      </c>
      <c r="D3522">
        <v>0</v>
      </c>
      <c r="E3522" s="49" t="s">
        <v>378</v>
      </c>
    </row>
    <row r="3523" spans="1:5" x14ac:dyDescent="0.3">
      <c r="A3523" s="49" t="s">
        <v>1761</v>
      </c>
      <c r="B3523" s="49" t="s">
        <v>1747</v>
      </c>
      <c r="C3523" s="49" t="s">
        <v>1748</v>
      </c>
      <c r="D3523">
        <v>0</v>
      </c>
      <c r="E3523" s="49" t="s">
        <v>378</v>
      </c>
    </row>
    <row r="3524" spans="1:5" x14ac:dyDescent="0.3">
      <c r="A3524" s="49" t="s">
        <v>1762</v>
      </c>
      <c r="B3524" s="49" t="s">
        <v>1747</v>
      </c>
      <c r="C3524" s="49" t="s">
        <v>1748</v>
      </c>
      <c r="D3524">
        <v>0</v>
      </c>
      <c r="E3524" s="49" t="s">
        <v>378</v>
      </c>
    </row>
    <row r="3525" spans="1:5" x14ac:dyDescent="0.3">
      <c r="A3525" s="49" t="s">
        <v>1763</v>
      </c>
      <c r="B3525" s="49" t="s">
        <v>1747</v>
      </c>
      <c r="C3525" s="49" t="s">
        <v>1748</v>
      </c>
      <c r="D3525">
        <v>0</v>
      </c>
      <c r="E3525" s="49" t="s">
        <v>378</v>
      </c>
    </row>
    <row r="3526" spans="1:5" x14ac:dyDescent="0.3">
      <c r="A3526" s="49" t="s">
        <v>388</v>
      </c>
      <c r="B3526" s="49" t="s">
        <v>257</v>
      </c>
      <c r="C3526" s="49" t="s">
        <v>449</v>
      </c>
      <c r="D3526">
        <v>1</v>
      </c>
      <c r="E3526" s="49" t="s">
        <v>379</v>
      </c>
    </row>
  </sheetData>
  <phoneticPr fontId="26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D2F9-5BC5-4C03-8F12-BFF5123D369A}">
  <sheetPr codeName="Sheet3"/>
  <dimension ref="A1:BK102"/>
  <sheetViews>
    <sheetView zoomScale="85" zoomScaleNormal="85" workbookViewId="0">
      <selection activeCell="C84" sqref="C84"/>
    </sheetView>
  </sheetViews>
  <sheetFormatPr defaultColWidth="9.109375" defaultRowHeight="11.4" x14ac:dyDescent="0.2"/>
  <cols>
    <col min="1" max="1" width="9.109375" style="2"/>
    <col min="2" max="2" width="25.109375" style="2" bestFit="1" customWidth="1"/>
    <col min="3" max="4" width="9.109375" style="2"/>
    <col min="5" max="5" width="18.6640625" style="2" bestFit="1" customWidth="1"/>
    <col min="6" max="10" width="18.6640625" style="2" customWidth="1"/>
    <col min="11" max="11" width="9.109375" style="2"/>
    <col min="12" max="12" width="9.109375" style="2" customWidth="1"/>
    <col min="13" max="13" width="13.33203125" style="2" bestFit="1" customWidth="1"/>
    <col min="14" max="16384" width="9.109375" style="2"/>
  </cols>
  <sheetData>
    <row r="1" spans="1:63" x14ac:dyDescent="0.2">
      <c r="A1" s="70" t="s">
        <v>419</v>
      </c>
      <c r="AL1" s="41" t="s">
        <v>180</v>
      </c>
    </row>
    <row r="2" spans="1:63" ht="12" thickBot="1" x14ac:dyDescent="0.25">
      <c r="BJ2" s="2" t="s">
        <v>132</v>
      </c>
      <c r="BK2" s="2" t="s">
        <v>133</v>
      </c>
    </row>
    <row r="3" spans="1:63" ht="12" thickBot="1" x14ac:dyDescent="0.25">
      <c r="B3" s="2" t="str">
        <f>'Control Panel'!B3</f>
        <v>Calibration</v>
      </c>
      <c r="C3" s="2">
        <f>IF('Control Panel'!C3=Switch_options_hidden!C3,1,0)</f>
        <v>0</v>
      </c>
      <c r="K3" s="220" t="s">
        <v>78</v>
      </c>
      <c r="L3" s="221"/>
      <c r="M3" s="221"/>
      <c r="N3" s="221"/>
      <c r="O3" s="221"/>
      <c r="P3" s="221"/>
      <c r="Q3" s="221"/>
      <c r="R3" s="221"/>
      <c r="S3" s="221"/>
      <c r="T3" s="221"/>
      <c r="U3" s="222"/>
      <c r="BJ3" s="2" t="s">
        <v>83</v>
      </c>
      <c r="BK3" s="2" t="s">
        <v>91</v>
      </c>
    </row>
    <row r="4" spans="1:63" ht="12" thickBot="1" x14ac:dyDescent="0.25">
      <c r="B4" s="2" t="str">
        <f>'Control Panel'!B4</f>
        <v>Calibration type</v>
      </c>
      <c r="C4" s="2">
        <f>IF('Control Panel'!C4=Switch_options_hidden!F3,1,0)</f>
        <v>0</v>
      </c>
      <c r="E4" s="99" t="s">
        <v>455</v>
      </c>
      <c r="F4" s="101" t="s">
        <v>450</v>
      </c>
      <c r="G4" s="102" t="s">
        <v>237</v>
      </c>
      <c r="H4" s="103" t="s">
        <v>436</v>
      </c>
      <c r="I4" s="103" t="s">
        <v>238</v>
      </c>
      <c r="J4" s="103" t="s">
        <v>437</v>
      </c>
      <c r="K4" s="3" t="s">
        <v>82</v>
      </c>
      <c r="L4" s="40" t="str">
        <f>IF('Control Panel'!L$3="NONE","",'Control Panel'!L$3)</f>
        <v>yB_u_1</v>
      </c>
      <c r="M4" s="40" t="str">
        <f>IF('Control Panel'!M$3="NONE","",'Control Panel'!M$3)</f>
        <v>yB_u_2</v>
      </c>
      <c r="N4" s="40" t="str">
        <f>IF('Control Panel'!N$3="NONE","",'Control Panel'!N$3)</f>
        <v>k_H_1</v>
      </c>
      <c r="O4" s="40" t="str">
        <f>IF('Control Panel'!O$3="NONE","",'Control Panel'!O$3)</f>
        <v>k_H_2</v>
      </c>
      <c r="P4" s="40" t="str">
        <f>IF('Control Panel'!P$3="NONE","",'Control Panel'!P$3)</f>
        <v>HB_u_1</v>
      </c>
      <c r="Q4" s="40" t="str">
        <f>IF('Control Panel'!Q$3="NONE","",'Control Panel'!Q$3)</f>
        <v>HB_u_2</v>
      </c>
      <c r="R4" s="40" t="str">
        <f>IF('Control Panel'!R$3="NONE","",'Control Panel'!R$3)</f>
        <v>n_H_1</v>
      </c>
      <c r="S4" s="40" t="str">
        <f>IF('Control Panel'!S$3="NONE","",'Control Panel'!S$3)</f>
        <v/>
      </c>
      <c r="T4" s="40" t="str">
        <f>IF('Control Panel'!T$3="NONE","",'Control Panel'!T$3)</f>
        <v/>
      </c>
      <c r="U4" s="40" t="str">
        <f>IF('Control Panel'!U$3="NONE","",'Control Panel'!U$3)</f>
        <v/>
      </c>
      <c r="V4" s="65"/>
      <c r="W4" s="14" t="str">
        <f>'Control Panel'!W3</f>
        <v>y_u_F</v>
      </c>
      <c r="X4" s="14" t="str">
        <f>'Control Panel'!X3</f>
        <v>p_u_F</v>
      </c>
      <c r="Y4" s="14" t="str">
        <f>'Control Panel'!Y3</f>
        <v>k_p_F</v>
      </c>
      <c r="Z4" s="14" t="str">
        <f>'Control Panel'!Z3</f>
        <v>n_p_F</v>
      </c>
      <c r="AA4" s="14" t="str">
        <f>'Control Panel'!AA3</f>
        <v>tetam_u_F</v>
      </c>
      <c r="AB4" s="14" t="str">
        <f>'Control Panel'!AB3</f>
        <v>m_u_F</v>
      </c>
      <c r="AC4" s="14" t="str">
        <f>'Control Panel'!AC3</f>
        <v>k_m_F</v>
      </c>
      <c r="AD4" s="14" t="str">
        <f>'Control Panel'!AD3</f>
        <v>n_m_F</v>
      </c>
      <c r="AE4" s="14" t="str">
        <f>'Control Panel'!AE3</f>
        <v>yB_u_F</v>
      </c>
      <c r="AF4" s="14" t="str">
        <f>'Control Panel'!AF3</f>
        <v>HB_u_F</v>
      </c>
      <c r="AG4" s="14" t="str">
        <f>'Control Panel'!AG3</f>
        <v>k_H_F</v>
      </c>
      <c r="AH4" s="14" t="str">
        <f>'Control Panel'!AH3</f>
        <v>n_H_F</v>
      </c>
      <c r="AI4" s="14" t="str">
        <f>'Control Panel'!AI3</f>
        <v>tetaMb_u_F</v>
      </c>
      <c r="AJ4" s="14" t="str">
        <f>'Control Panel'!AJ3</f>
        <v>MB_u_F</v>
      </c>
      <c r="AK4" s="14" t="str">
        <f>'Control Panel'!AK3</f>
        <v>k_Mb_F</v>
      </c>
      <c r="AL4" s="14" t="str">
        <f>'Control Panel'!AL3</f>
        <v>n_Mb_F</v>
      </c>
      <c r="AN4" s="32" t="s">
        <v>190</v>
      </c>
      <c r="AO4" s="33" t="str">
        <f>IF('Control Panel'!AO3=Exchange!$AL$1,Exchange!$AH$4,'Control Panel'!AO3)</f>
        <v>n_H_F</v>
      </c>
      <c r="AP4" s="33" t="str">
        <f>IF('Control Panel'!AP3=Exchange!$AL$1,"",'Control Panel'!AP3)</f>
        <v/>
      </c>
      <c r="AQ4" s="33" t="str">
        <f>IF('Control Panel'!AQ3=Exchange!$AL$1,"",'Control Panel'!AQ3)</f>
        <v/>
      </c>
      <c r="AR4" s="33" t="str">
        <f>IF('Control Panel'!AR3=Exchange!$AL$1,"",'Control Panel'!AR3)</f>
        <v/>
      </c>
      <c r="AS4" s="33" t="str">
        <f>IF('Control Panel'!AS3=Exchange!$AL$1,"",'Control Panel'!AS3)</f>
        <v/>
      </c>
      <c r="AT4" s="33" t="str">
        <f>IF('Control Panel'!AT3=Exchange!$AL$1,"",'Control Panel'!AT3)</f>
        <v/>
      </c>
      <c r="AU4" s="33" t="str">
        <f>IF('Control Panel'!AU3=Exchange!$AL$1,"",'Control Panel'!AU3)</f>
        <v/>
      </c>
      <c r="AV4" s="33" t="str">
        <f>IF('Control Panel'!AV3=Exchange!$AL$1,"",'Control Panel'!AV3)</f>
        <v/>
      </c>
      <c r="AW4" s="33" t="str">
        <f>IF('Control Panel'!AW3=Exchange!$AL$1,"",'Control Panel'!AW3)</f>
        <v/>
      </c>
      <c r="BJ4" s="2" t="s">
        <v>134</v>
      </c>
      <c r="BK4" s="2" t="s">
        <v>91</v>
      </c>
    </row>
    <row r="5" spans="1:63" ht="12" thickBot="1" x14ac:dyDescent="0.25">
      <c r="B5" s="2" t="str">
        <f>'Control Panel'!B5</f>
        <v>Calibration method</v>
      </c>
      <c r="C5" s="2" t="str">
        <f>'Control Panel'!C5</f>
        <v>Non-linear least square residual</v>
      </c>
      <c r="E5" s="2">
        <f>IF('Control Panel'!E4="","",'Control Panel'!E4)</f>
        <v>1</v>
      </c>
      <c r="F5" s="2" t="str">
        <f>IF(E5=1,IF('Control Panel'!F4="","",'Control Panel'!F4),"")</f>
        <v>NGI_U3_1</v>
      </c>
      <c r="G5" s="2" t="str">
        <f>IF(E5=1,IF('Control Panel'!G4="","",'Control Panel'!G4),"")</f>
        <v>Empire_Wind_1</v>
      </c>
      <c r="H5" s="2" t="str">
        <f>IF(E5=1,IF('Control Panel'!H4="","",'Control Panel'!H4),"")</f>
        <v>NA</v>
      </c>
      <c r="I5" s="2">
        <f>IF(E5=1,IF('Control Panel'!I4="","",'Control Panel'!I4),"")</f>
        <v>7</v>
      </c>
      <c r="J5" s="2" t="str">
        <f>IF(E5=1,IF('Control Panel'!J4="","",'Control Panel'!J4),"")</f>
        <v>NGI_U3_1</v>
      </c>
      <c r="K5" s="25">
        <f>IF(E5=1,IF('Control Panel'!K4="","",'Control Panel'!K4),"")</f>
        <v>1</v>
      </c>
      <c r="L5" s="21">
        <f>IF($K5="","",IF(L$4="","",IF('Control Panel'!L4="",VLOOKUP($F5,'Table Output'!$A:$BW,MATCH(L$4,'Table Output'!$A$1:$BT$1,0),),'Control Panel'!L4)))</f>
        <v>-0.53</v>
      </c>
      <c r="M5" s="21">
        <f>IF($K5="","",IF(M$4="","",IF('Control Panel'!M4="",VLOOKUP($F5,'Table Output'!$A:$BW,MATCH(M$4,'Table Output'!$A$1:$BT$1,0),),'Control Panel'!M4)))</f>
        <v>3.4</v>
      </c>
      <c r="N5" s="21">
        <f>IF($K5="","",IF(N$4="","",IF('Control Panel'!N4="",VLOOKUP($F5,'Table Output'!$A:$BW,MATCH(N$4,'Table Output'!$A$1:$BT$1,0),),'Control Panel'!N4)))</f>
        <v>-0.44</v>
      </c>
      <c r="O5" s="21">
        <f>IF($K5="","",IF(O$4="","",IF('Control Panel'!O4="",VLOOKUP($F5,'Table Output'!$A:$BW,MATCH(O$4,'Table Output'!$A$1:$BT$1,0),),'Control Panel'!O4)))</f>
        <v>3.52</v>
      </c>
      <c r="P5" s="21">
        <f>IF($K5="","",IF(P$4="","",IF('Control Panel'!P4="",VLOOKUP($F5,'Table Output'!$A:$BW,MATCH(P$4,'Table Output'!$A$1:$BT$1,0),),'Control Panel'!P4)))</f>
        <v>0.03</v>
      </c>
      <c r="Q5" s="21">
        <f>IF($K5="","",IF(Q$4="","",IF('Control Panel'!Q4="",VLOOKUP($F5,'Table Output'!$A:$BW,MATCH(Q$4,'Table Output'!$A$1:$BT$1,0),),'Control Panel'!Q4)))</f>
        <v>0.9</v>
      </c>
      <c r="R5" s="21">
        <f>IF($K5="","",IF(R$4="","",IF('Control Panel'!R4="",VLOOKUP($F5,'Table Output'!$A:$BW,MATCH(R$4,'Table Output'!$A$1:$BT$1,0),),'Control Panel'!R4)))</f>
        <v>-7.0000000000000007E-2</v>
      </c>
      <c r="S5" s="21" t="str">
        <f>IF($K5="","",IF(S$4="","",IF('Control Panel'!S4="",VLOOKUP($F5,'Table Output'!$A:$BW,MATCH(S$4,'Table Output'!$A$1:$BT$1,0),),'Control Panel'!S4)))</f>
        <v/>
      </c>
      <c r="T5" s="21" t="str">
        <f>IF($K5="","",IF(T$4="","",IF('Control Panel'!T4="",VLOOKUP($F5,'Table Output'!$A:$BW,MATCH(T$4,'Table Output'!$A$1:$BT$1,0),),'Control Panel'!T4)))</f>
        <v/>
      </c>
      <c r="U5" s="21" t="str">
        <f>IF($K5="","",IF(U$4="","",IF('Control Panel'!U4="",VLOOKUP($F5,'Table Output'!$A:$BW,MATCH(U$4,'Table Output'!$A$1:$BT$1,0),),'Control Panel'!U4)))</f>
        <v/>
      </c>
      <c r="W5" s="21">
        <f>IF($K5="","",IF('Control Panel'!W4="",VLOOKUP($F5,'Table Output'!$A$2:$BW$99998,MATCH(W$4,'Table Output'!$A$1:$BT$1,0),),'Control Panel'!W4))</f>
        <v>0</v>
      </c>
      <c r="X5" s="21">
        <f>IF($K5="","",IF('Control Panel'!X4="",VLOOKUP($F5,'Table Output'!$A$2:$BW$99998,MATCH(X$4,'Table Output'!$A$1:$BT$1,0),),'Control Panel'!X4))</f>
        <v>1</v>
      </c>
      <c r="Y5" s="21">
        <f>IF($K5="","",IF('Control Panel'!Y4="",VLOOKUP($F5,'Table Output'!$A$2:$BW$99998,MATCH(Y$4,'Table Output'!$A$1:$BT$1,0),),'Control Panel'!Y4))</f>
        <v>1</v>
      </c>
      <c r="Z5" s="21">
        <f>IF($K5="","",IF('Control Panel'!Z4="",VLOOKUP($F5,'Table Output'!$A$2:$BW$99998,MATCH(Z$4,'Table Output'!$A$1:$BT$1,0),),'Control Panel'!Z4))</f>
        <v>0</v>
      </c>
      <c r="AA5" s="21">
        <f>IF($K5="","",IF('Control Panel'!AA4="",VLOOKUP($F5,'Table Output'!$A$2:$BW$99998,MATCH(AA$4,'Table Output'!$A$1:$BT$1,0),),'Control Panel'!AA4))</f>
        <v>0</v>
      </c>
      <c r="AB5" s="21">
        <f>IF($K5="","",IF('Control Panel'!AB4="",VLOOKUP($F5,'Table Output'!$A$2:$BW$99998,MATCH(AB$4,'Table Output'!$A$1:$BT$1,0),),'Control Panel'!AB4))</f>
        <v>1</v>
      </c>
      <c r="AC5" s="21">
        <f>IF($K5="","",IF('Control Panel'!AC4="",VLOOKUP($F5,'Table Output'!$A$2:$BW$99998,MATCH(AC$4,'Table Output'!$A$1:$BT$1,0),),'Control Panel'!AC4))</f>
        <v>0</v>
      </c>
      <c r="AD5" s="21">
        <f>IF($K5="","",IF('Control Panel'!AD4="",VLOOKUP($F5,'Table Output'!$A$2:$BW$99998,MATCH(AD$4,'Table Output'!$A$1:$BT$1,0),),'Control Panel'!AD4))</f>
        <v>0</v>
      </c>
      <c r="AE5" s="21">
        <f>IF($K5="","",IF('Control Panel'!AE4="",VLOOKUP($F5,'Table Output'!$A$2:$BW$99998,MATCH(AE$4,'Table Output'!$A$1:$BT$1,0),),'Control Panel'!AE4))</f>
        <v>1</v>
      </c>
      <c r="AF5" s="21">
        <f>IF($K5="","",IF('Control Panel'!AF4="",VLOOKUP($F5,'Table Output'!$A$2:$BW$99998,MATCH(AF$4,'Table Output'!$A$1:$BT$1,0),),'Control Panel'!AF4))</f>
        <v>0</v>
      </c>
      <c r="AG5" s="21">
        <f>IF($K5="","",IF('Control Panel'!AG4="",VLOOKUP($F5,'Table Output'!$A$2:$BW$99998,MATCH(AG$4,'Table Output'!$A$1:$BT$1,0),),'Control Panel'!AG4))</f>
        <v>1</v>
      </c>
      <c r="AH5" s="21">
        <f>IF($K5="","",IF('Control Panel'!AH4="",VLOOKUP($F5,'Table Output'!$A$2:$BW$99998,MATCH(AH$4,'Table Output'!$A$1:$BT$1,0),),'Control Panel'!AH4))</f>
        <v>1</v>
      </c>
      <c r="AI5" s="21">
        <f>IF($K5="","",IF('Control Panel'!AI4="",VLOOKUP($F5,'Table Output'!$A$2:$BW$99998,MATCH(AI$4,'Table Output'!$A$1:$BT$1,0),),'Control Panel'!AI4))</f>
        <v>0</v>
      </c>
      <c r="AJ5" s="21">
        <f>IF($K5="","",IF('Control Panel'!AJ4="",VLOOKUP($F5,'Table Output'!$A$2:$BW$99998,MATCH(AJ$4,'Table Output'!$A$1:$BT$1,0),),'Control Panel'!AJ4))</f>
        <v>0</v>
      </c>
      <c r="AK5" s="21">
        <f>IF($K5="","",IF('Control Panel'!AK4="",VLOOKUP($F5,'Table Output'!$A$2:$BW$99998,MATCH(AK$4,'Table Output'!$A$1:$BT$1,0),),'Control Panel'!AK4))</f>
        <v>0</v>
      </c>
      <c r="AL5" s="21">
        <f>IF($K5="","",IF('Control Panel'!AL4="",VLOOKUP($F5,'Table Output'!$A$2:$BW$99998,MATCH(AL$4,'Table Output'!$A$1:$BT$1,0),),'Control Panel'!AL4))</f>
        <v>0</v>
      </c>
      <c r="AN5" s="34">
        <f>K5</f>
        <v>1</v>
      </c>
      <c r="AO5" s="31">
        <f>IF(AO$4="","",IF($K5="","",IF('Control Panel'!AO4="",VLOOKUP($F5,'Table Output'!$A$2:$BW$99998,MATCH(AO$4,'Table Output'!$A$1:$BT$1,0),FALSE),'Control Panel'!AO4)))</f>
        <v>1</v>
      </c>
      <c r="AP5" s="31" t="str">
        <f>IF(AP$4="","",IF($K5="","",IF('Control Panel'!AP4="",VLOOKUP($F5,'Table Output'!$A$2:$BW$99998,MATCH(AP$4,'Table Output'!$A$1:$BT$1,0),FALSE),'Control Panel'!AP4)))</f>
        <v/>
      </c>
      <c r="AQ5" s="31" t="str">
        <f>IF(AQ$4="","",IF($K5="","",IF('Control Panel'!AQ4="",VLOOKUP($F5,'Table Output'!$A$2:$BW$99998,MATCH(AQ$4,'Table Output'!$A$1:$BT$1,0),FALSE),'Control Panel'!AQ4)))</f>
        <v/>
      </c>
      <c r="AR5" s="31" t="str">
        <f>IF(AR$4="","",IF($K5="","",IF('Control Panel'!AR4="",VLOOKUP($F5,'Table Output'!$A$2:$BW$99998,MATCH(AR$4,'Table Output'!$A$1:$BT$1,0),FALSE),'Control Panel'!AR4)))</f>
        <v/>
      </c>
      <c r="AS5" s="31" t="str">
        <f>IF(AS$4="","",IF($K5="","",IF('Control Panel'!AS4="",VLOOKUP($F5,'Table Output'!$A$2:$BW$99998,MATCH(AS$4,'Table Output'!$A$1:$BT$1,0),FALSE),'Control Panel'!AS4)))</f>
        <v/>
      </c>
      <c r="AT5" s="31" t="str">
        <f>IF(AT$4="","",IF($K5="","",IF('Control Panel'!AT4="",VLOOKUP($F5,'Table Output'!$A$2:$BW$99998,MATCH(AT$4,'Table Output'!$A$1:$BT$1,0),FALSE),'Control Panel'!AT4)))</f>
        <v/>
      </c>
      <c r="AU5" s="31" t="str">
        <f>IF(AU$4="","",IF($K5="","",IF('Control Panel'!AU4="",VLOOKUP($F5,'Table Output'!$A$2:$BW$99998,MATCH(AU$4,'Table Output'!$A$1:$BT$1,0),FALSE),'Control Panel'!AU4)))</f>
        <v/>
      </c>
      <c r="AV5" s="31" t="str">
        <f>IF(AV$4="","",IF($K5="","",IF('Control Panel'!AV4="",VLOOKUP($F5,'Table Output'!$A$2:$BW$99998,MATCH(AV$4,'Table Output'!$A$1:$BT$1,0),FALSE),'Control Panel'!AV4)))</f>
        <v/>
      </c>
      <c r="AW5" s="31" t="str">
        <f>IF(AW$4="","",IF($K5="","",IF('Control Panel'!AW4="",VLOOKUP($F5,'Table Output'!$A$2:$BW$99998,MATCH(AW$4,'Table Output'!$A$1:$BT$1,0),FALSE),'Control Panel'!AW4)))</f>
        <v/>
      </c>
      <c r="BJ5" s="2" t="s">
        <v>135</v>
      </c>
      <c r="BK5" s="2" t="s">
        <v>91</v>
      </c>
    </row>
    <row r="6" spans="1:63" ht="12" thickBot="1" x14ac:dyDescent="0.25">
      <c r="B6" s="2" t="str">
        <f>'Control Panel'!B6</f>
        <v>Cost function</v>
      </c>
      <c r="C6" s="2" t="str">
        <f>'Control Panel'!C6</f>
        <v>Vector</v>
      </c>
      <c r="E6" s="2">
        <f>IF('Control Panel'!E5="","",'Control Panel'!E5)</f>
        <v>1</v>
      </c>
      <c r="F6" s="2" t="str">
        <f>IF(E6=1,IF('Control Panel'!F5="","",'Control Panel'!F5),"")</f>
        <v>NGI_U3_2</v>
      </c>
      <c r="G6" s="2" t="str">
        <f>IF(E6=1,IF('Control Panel'!G5="","",'Control Panel'!G5),"")</f>
        <v>Empire_Wind_1</v>
      </c>
      <c r="H6" s="2" t="str">
        <f>IF(E6=1,IF('Control Panel'!H5="","",'Control Panel'!H5),"")</f>
        <v>NA</v>
      </c>
      <c r="I6" s="2">
        <f>IF(E6=1,IF('Control Panel'!I5="","",'Control Panel'!I5),"")</f>
        <v>7</v>
      </c>
      <c r="J6" s="2" t="str">
        <f>IF(E6=1,IF('Control Panel'!J5="","",'Control Panel'!J5),"")</f>
        <v>NGI_U3_2</v>
      </c>
      <c r="K6" s="25">
        <f>IF(E6=1,IF('Control Panel'!K5="","",'Control Panel'!K5),"")</f>
        <v>2</v>
      </c>
      <c r="L6" s="21">
        <f>IF($K6="","",IF(L$4="","",IF('Control Panel'!L5="",VLOOKUP($F6,'Table Output'!$A:$BW,MATCH(L$4,'Table Output'!$A$1:$BT$1,0),),'Control Panel'!L5)))</f>
        <v>-0.53</v>
      </c>
      <c r="M6" s="21">
        <f>IF($K6="","",IF(M$4="","",IF('Control Panel'!M5="",VLOOKUP($F6,'Table Output'!$A:$BW,MATCH(M$4,'Table Output'!$A$1:$BT$1,0),),'Control Panel'!M5)))</f>
        <v>3.4</v>
      </c>
      <c r="N6" s="21">
        <f>IF($K6="","",IF(N$4="","",IF('Control Panel'!N5="",VLOOKUP($F6,'Table Output'!$A:$BW,MATCH(N$4,'Table Output'!$A$1:$BT$1,0),),'Control Panel'!N5)))</f>
        <v>-0.44</v>
      </c>
      <c r="O6" s="21">
        <f>IF($K6="","",IF(O$4="","",IF('Control Panel'!O5="",VLOOKUP($F6,'Table Output'!$A:$BW,MATCH(O$4,'Table Output'!$A$1:$BT$1,0),),'Control Panel'!O5)))</f>
        <v>3.52</v>
      </c>
      <c r="P6" s="21">
        <f>IF($K6="","",IF(P$4="","",IF('Control Panel'!P5="",VLOOKUP($F6,'Table Output'!$A:$BW,MATCH(P$4,'Table Output'!$A$1:$BT$1,0),),'Control Panel'!P5)))</f>
        <v>0.03</v>
      </c>
      <c r="Q6" s="21">
        <f>IF($K6="","",IF(Q$4="","",IF('Control Panel'!Q5="",VLOOKUP($F6,'Table Output'!$A:$BW,MATCH(Q$4,'Table Output'!$A$1:$BT$1,0),),'Control Panel'!Q5)))</f>
        <v>0.9</v>
      </c>
      <c r="R6" s="21">
        <f>IF($K6="","",IF(R$4="","",IF('Control Panel'!R5="",VLOOKUP($F6,'Table Output'!$A:$BW,MATCH(R$4,'Table Output'!$A$1:$BT$1,0),),'Control Panel'!R5)))</f>
        <v>-7.0000000000000007E-2</v>
      </c>
      <c r="S6" s="21" t="str">
        <f>IF($K6="","",IF(S$4="","",IF('Control Panel'!S5="",VLOOKUP($F6,'Table Output'!$A:$BW,MATCH(S$4,'Table Output'!$A$1:$BT$1,0),),'Control Panel'!S5)))</f>
        <v/>
      </c>
      <c r="T6" s="21" t="str">
        <f>IF($K6="","",IF(T$4="","",IF('Control Panel'!T5="",VLOOKUP($F6,'Table Output'!$A:$BW,MATCH(T$4,'Table Output'!$A$1:$BT$1,0),),'Control Panel'!T5)))</f>
        <v/>
      </c>
      <c r="U6" s="21" t="str">
        <f>IF($K6="","",IF(U$4="","",IF('Control Panel'!U5="",VLOOKUP($F6,'Table Output'!$A:$BW,MATCH(U$4,'Table Output'!$A$1:$BT$1,0),),'Control Panel'!U5)))</f>
        <v/>
      </c>
      <c r="W6" s="21">
        <f>IF($K6="","",IF('Control Panel'!W5="",VLOOKUP($F6,'Table Output'!$A$2:$BW$99998,MATCH(W$4,'Table Output'!$A$1:$BT$1,0),),'Control Panel'!W5))</f>
        <v>0</v>
      </c>
      <c r="X6" s="21">
        <f>IF($K6="","",IF('Control Panel'!X5="",VLOOKUP($F6,'Table Output'!$A$2:$BW$99998,MATCH(X$4,'Table Output'!$A$1:$BT$1,0),),'Control Panel'!X5))</f>
        <v>1</v>
      </c>
      <c r="Y6" s="21">
        <f>IF($K6="","",IF('Control Panel'!Y5="",VLOOKUP($F6,'Table Output'!$A$2:$BW$99998,MATCH(Y$4,'Table Output'!$A$1:$BT$1,0),),'Control Panel'!Y5))</f>
        <v>1</v>
      </c>
      <c r="Z6" s="21">
        <f>IF($K6="","",IF('Control Panel'!Z5="",VLOOKUP($F6,'Table Output'!$A$2:$BW$99998,MATCH(Z$4,'Table Output'!$A$1:$BT$1,0),),'Control Panel'!Z5))</f>
        <v>0</v>
      </c>
      <c r="AA6" s="21">
        <f>IF($K6="","",IF('Control Panel'!AA5="",VLOOKUP($F6,'Table Output'!$A$2:$BW$99998,MATCH(AA$4,'Table Output'!$A$1:$BT$1,0),),'Control Panel'!AA5))</f>
        <v>0</v>
      </c>
      <c r="AB6" s="21">
        <f>IF($K6="","",IF('Control Panel'!AB5="",VLOOKUP($F6,'Table Output'!$A$2:$BW$99998,MATCH(AB$4,'Table Output'!$A$1:$BT$1,0),),'Control Panel'!AB5))</f>
        <v>1</v>
      </c>
      <c r="AC6" s="21">
        <f>IF($K6="","",IF('Control Panel'!AC5="",VLOOKUP($F6,'Table Output'!$A$2:$BW$99998,MATCH(AC$4,'Table Output'!$A$1:$BT$1,0),),'Control Panel'!AC5))</f>
        <v>0</v>
      </c>
      <c r="AD6" s="21">
        <f>IF($K6="","",IF('Control Panel'!AD5="",VLOOKUP($F6,'Table Output'!$A$2:$BW$99998,MATCH(AD$4,'Table Output'!$A$1:$BT$1,0),),'Control Panel'!AD5))</f>
        <v>0</v>
      </c>
      <c r="AE6" s="21">
        <f>IF($K6="","",IF('Control Panel'!AE5="",VLOOKUP($F6,'Table Output'!$A$2:$BW$99998,MATCH(AE$4,'Table Output'!$A$1:$BT$1,0),),'Control Panel'!AE5))</f>
        <v>1</v>
      </c>
      <c r="AF6" s="21">
        <f>IF($K6="","",IF('Control Panel'!AF5="",VLOOKUP($F6,'Table Output'!$A$2:$BW$99998,MATCH(AF$4,'Table Output'!$A$1:$BT$1,0),),'Control Panel'!AF5))</f>
        <v>0</v>
      </c>
      <c r="AG6" s="21">
        <f>IF($K6="","",IF('Control Panel'!AG5="",VLOOKUP($F6,'Table Output'!$A$2:$BW$99998,MATCH(AG$4,'Table Output'!$A$1:$BT$1,0),),'Control Panel'!AG5))</f>
        <v>1</v>
      </c>
      <c r="AH6" s="21">
        <f>IF($K6="","",IF('Control Panel'!AH5="",VLOOKUP($F6,'Table Output'!$A$2:$BW$99998,MATCH(AH$4,'Table Output'!$A$1:$BT$1,0),),'Control Panel'!AH5))</f>
        <v>1</v>
      </c>
      <c r="AI6" s="21">
        <f>IF($K6="","",IF('Control Panel'!AI5="",VLOOKUP($F6,'Table Output'!$A$2:$BW$99998,MATCH(AI$4,'Table Output'!$A$1:$BT$1,0),),'Control Panel'!AI5))</f>
        <v>0</v>
      </c>
      <c r="AJ6" s="21">
        <f>IF($K6="","",IF('Control Panel'!AJ5="",VLOOKUP($F6,'Table Output'!$A$2:$BW$99998,MATCH(AJ$4,'Table Output'!$A$1:$BT$1,0),),'Control Panel'!AJ5))</f>
        <v>0</v>
      </c>
      <c r="AK6" s="21">
        <f>IF($K6="","",IF('Control Panel'!AK5="",VLOOKUP($F6,'Table Output'!$A$2:$BW$99998,MATCH(AK$4,'Table Output'!$A$1:$BT$1,0),),'Control Panel'!AK5))</f>
        <v>0</v>
      </c>
      <c r="AL6" s="21">
        <f>IF($K6="","",IF('Control Panel'!AL5="",VLOOKUP($F6,'Table Output'!$A$2:$BW$99998,MATCH(AL$4,'Table Output'!$A$1:$BT$1,0),),'Control Panel'!AL5))</f>
        <v>0</v>
      </c>
      <c r="AN6" s="34">
        <f t="shared" ref="AN6:AN24" si="0">K6</f>
        <v>2</v>
      </c>
      <c r="AO6" s="31">
        <f>IF(AO$4="","",IF($K6="","",IF('Control Panel'!AO5="",VLOOKUP($F6,'Table Output'!$A$2:$BW$99998,MATCH(AO$4,'Table Output'!$A$1:$BT$1,0),FALSE),'Control Panel'!AO5)))</f>
        <v>1</v>
      </c>
      <c r="AP6" s="31" t="str">
        <f>IF(AP$4="","",IF($K6="","",IF('Control Panel'!AP5="",VLOOKUP($F6,'Table Output'!$A$2:$BW$99998,MATCH(AP$4,'Table Output'!$A$1:$BT$1,0),FALSE),'Control Panel'!AP5)))</f>
        <v/>
      </c>
      <c r="AQ6" s="31" t="str">
        <f>IF(AQ$4="","",IF($K6="","",IF('Control Panel'!AQ5="",VLOOKUP($F6,'Table Output'!$A$2:$BW$99998,MATCH(AQ$4,'Table Output'!$A$1:$BT$1,0),FALSE),'Control Panel'!AQ5)))</f>
        <v/>
      </c>
      <c r="AR6" s="31" t="str">
        <f>IF(AR$4="","",IF($K6="","",IF('Control Panel'!AR5="",VLOOKUP($F6,'Table Output'!$A$2:$BW$99998,MATCH(AR$4,'Table Output'!$A$1:$BT$1,0),FALSE),'Control Panel'!AR5)))</f>
        <v/>
      </c>
      <c r="AS6" s="31" t="str">
        <f>IF(AS$4="","",IF($K6="","",IF('Control Panel'!AS5="",VLOOKUP($F6,'Table Output'!$A$2:$BW$99998,MATCH(AS$4,'Table Output'!$A$1:$BT$1,0),FALSE),'Control Panel'!AS5)))</f>
        <v/>
      </c>
      <c r="AT6" s="31" t="str">
        <f>IF(AT$4="","",IF($K6="","",IF('Control Panel'!AT5="",VLOOKUP($F6,'Table Output'!$A$2:$BW$99998,MATCH(AT$4,'Table Output'!$A$1:$BT$1,0),FALSE),'Control Panel'!AT5)))</f>
        <v/>
      </c>
      <c r="AU6" s="31" t="str">
        <f>IF(AU$4="","",IF($K6="","",IF('Control Panel'!AU5="",VLOOKUP($F6,'Table Output'!$A$2:$BW$99998,MATCH(AU$4,'Table Output'!$A$1:$BT$1,0),FALSE),'Control Panel'!AU5)))</f>
        <v/>
      </c>
      <c r="AV6" s="31" t="str">
        <f>IF(AV$4="","",IF($K6="","",IF('Control Panel'!AV5="",VLOOKUP($F6,'Table Output'!$A$2:$BW$99998,MATCH(AV$4,'Table Output'!$A$1:$BT$1,0),FALSE),'Control Panel'!AV5)))</f>
        <v/>
      </c>
      <c r="AW6" s="31" t="str">
        <f>IF(AW$4="","",IF($K6="","",IF('Control Panel'!AW5="",VLOOKUP($F6,'Table Output'!$A$2:$BW$99998,MATCH(AW$4,'Table Output'!$A$1:$BT$1,0),FALSE),'Control Panel'!AW5)))</f>
        <v/>
      </c>
      <c r="BJ6" s="2" t="s">
        <v>136</v>
      </c>
      <c r="BK6" s="2" t="s">
        <v>92</v>
      </c>
    </row>
    <row r="7" spans="1:63" ht="12" thickBot="1" x14ac:dyDescent="0.25">
      <c r="B7" s="2" t="str">
        <f>'Control Panel'!B7</f>
        <v>Involvement</v>
      </c>
      <c r="C7" s="2" t="str">
        <f>'Control Panel'!C7</f>
        <v>def_mom_defmud</v>
      </c>
      <c r="E7" s="2">
        <f>IF('Control Panel'!E6="","",'Control Panel'!E6)</f>
        <v>1</v>
      </c>
      <c r="F7" s="2" t="str">
        <f>IF(E7=1,IF('Control Panel'!F6="","",'Control Panel'!F6),"")</f>
        <v>NGI_U3_3</v>
      </c>
      <c r="G7" s="2" t="str">
        <f>IF(E7=1,IF('Control Panel'!G6="","",'Control Panel'!G6),"")</f>
        <v>Empire_Wind_1</v>
      </c>
      <c r="H7" s="2" t="str">
        <f>IF(E7=1,IF('Control Panel'!H6="","",'Control Panel'!H6),"")</f>
        <v>NA</v>
      </c>
      <c r="I7" s="2">
        <f>IF(E7=1,IF('Control Panel'!I6="","",'Control Panel'!I6),"")</f>
        <v>7</v>
      </c>
      <c r="J7" s="2" t="str">
        <f>IF(E7=1,IF('Control Panel'!J6="","",'Control Panel'!J6),"")</f>
        <v>NGI_U3_3</v>
      </c>
      <c r="K7" s="25">
        <f>IF(E7=1,IF('Control Panel'!K6="","",'Control Panel'!K6),"")</f>
        <v>3</v>
      </c>
      <c r="L7" s="21">
        <f>IF($K7="","",IF(L$4="","",IF('Control Panel'!L6="",VLOOKUP($F7,'Table Output'!$A:$BW,MATCH(L$4,'Table Output'!$A$1:$BT$1,0),),'Control Panel'!L6)))</f>
        <v>-0.53</v>
      </c>
      <c r="M7" s="21">
        <f>IF($K7="","",IF(M$4="","",IF('Control Panel'!M6="",VLOOKUP($F7,'Table Output'!$A:$BW,MATCH(M$4,'Table Output'!$A$1:$BT$1,0),),'Control Panel'!M6)))</f>
        <v>3.4</v>
      </c>
      <c r="N7" s="21">
        <f>IF($K7="","",IF(N$4="","",IF('Control Panel'!N6="",VLOOKUP($F7,'Table Output'!$A:$BW,MATCH(N$4,'Table Output'!$A$1:$BT$1,0),),'Control Panel'!N6)))</f>
        <v>-0.44</v>
      </c>
      <c r="O7" s="21">
        <f>IF($K7="","",IF(O$4="","",IF('Control Panel'!O6="",VLOOKUP($F7,'Table Output'!$A:$BW,MATCH(O$4,'Table Output'!$A$1:$BT$1,0),),'Control Panel'!O6)))</f>
        <v>3.52</v>
      </c>
      <c r="P7" s="21">
        <f>IF($K7="","",IF(P$4="","",IF('Control Panel'!P6="",VLOOKUP($F7,'Table Output'!$A:$BW,MATCH(P$4,'Table Output'!$A$1:$BT$1,0),),'Control Panel'!P6)))</f>
        <v>0.03</v>
      </c>
      <c r="Q7" s="21">
        <f>IF($K7="","",IF(Q$4="","",IF('Control Panel'!Q6="",VLOOKUP($F7,'Table Output'!$A:$BW,MATCH(Q$4,'Table Output'!$A$1:$BT$1,0),),'Control Panel'!Q6)))</f>
        <v>0.9</v>
      </c>
      <c r="R7" s="21">
        <f>IF($K7="","",IF(R$4="","",IF('Control Panel'!R6="",VLOOKUP($F7,'Table Output'!$A:$BW,MATCH(R$4,'Table Output'!$A$1:$BT$1,0),),'Control Panel'!R6)))</f>
        <v>-7.0000000000000007E-2</v>
      </c>
      <c r="S7" s="21" t="str">
        <f>IF($K7="","",IF(S$4="","",IF('Control Panel'!S6="",VLOOKUP($F7,'Table Output'!$A:$BW,MATCH(S$4,'Table Output'!$A$1:$BT$1,0),),'Control Panel'!S6)))</f>
        <v/>
      </c>
      <c r="T7" s="21" t="str">
        <f>IF($K7="","",IF(T$4="","",IF('Control Panel'!T6="",VLOOKUP($F7,'Table Output'!$A:$BW,MATCH(T$4,'Table Output'!$A$1:$BT$1,0),),'Control Panel'!T6)))</f>
        <v/>
      </c>
      <c r="U7" s="21" t="str">
        <f>IF($K7="","",IF(U$4="","",IF('Control Panel'!U6="",VLOOKUP($F7,'Table Output'!$A:$BW,MATCH(U$4,'Table Output'!$A$1:$BT$1,0),),'Control Panel'!U6)))</f>
        <v/>
      </c>
      <c r="W7" s="21">
        <f>IF($K7="","",IF('Control Panel'!W6="",VLOOKUP($F7,'Table Output'!$A$2:$BW$99998,MATCH(W$4,'Table Output'!$A$1:$BT$1,0),),'Control Panel'!W6))</f>
        <v>0</v>
      </c>
      <c r="X7" s="21">
        <f>IF($K7="","",IF('Control Panel'!X6="",VLOOKUP($F7,'Table Output'!$A$2:$BW$99998,MATCH(X$4,'Table Output'!$A$1:$BT$1,0),),'Control Panel'!X6))</f>
        <v>1</v>
      </c>
      <c r="Y7" s="21">
        <f>IF($K7="","",IF('Control Panel'!Y6="",VLOOKUP($F7,'Table Output'!$A$2:$BW$99998,MATCH(Y$4,'Table Output'!$A$1:$BT$1,0),),'Control Panel'!Y6))</f>
        <v>1</v>
      </c>
      <c r="Z7" s="21">
        <f>IF($K7="","",IF('Control Panel'!Z6="",VLOOKUP($F7,'Table Output'!$A$2:$BW$99998,MATCH(Z$4,'Table Output'!$A$1:$BT$1,0),),'Control Panel'!Z6))</f>
        <v>0</v>
      </c>
      <c r="AA7" s="21">
        <f>IF($K7="","",IF('Control Panel'!AA6="",VLOOKUP($F7,'Table Output'!$A$2:$BW$99998,MATCH(AA$4,'Table Output'!$A$1:$BT$1,0),),'Control Panel'!AA6))</f>
        <v>0</v>
      </c>
      <c r="AB7" s="21">
        <f>IF($K7="","",IF('Control Panel'!AB6="",VLOOKUP($F7,'Table Output'!$A$2:$BW$99998,MATCH(AB$4,'Table Output'!$A$1:$BT$1,0),),'Control Panel'!AB6))</f>
        <v>1</v>
      </c>
      <c r="AC7" s="21">
        <f>IF($K7="","",IF('Control Panel'!AC6="",VLOOKUP($F7,'Table Output'!$A$2:$BW$99998,MATCH(AC$4,'Table Output'!$A$1:$BT$1,0),),'Control Panel'!AC6))</f>
        <v>0</v>
      </c>
      <c r="AD7" s="21">
        <f>IF($K7="","",IF('Control Panel'!AD6="",VLOOKUP($F7,'Table Output'!$A$2:$BW$99998,MATCH(AD$4,'Table Output'!$A$1:$BT$1,0),),'Control Panel'!AD6))</f>
        <v>0</v>
      </c>
      <c r="AE7" s="21">
        <f>IF($K7="","",IF('Control Panel'!AE6="",VLOOKUP($F7,'Table Output'!$A$2:$BW$99998,MATCH(AE$4,'Table Output'!$A$1:$BT$1,0),),'Control Panel'!AE6))</f>
        <v>1</v>
      </c>
      <c r="AF7" s="21">
        <f>IF($K7="","",IF('Control Panel'!AF6="",VLOOKUP($F7,'Table Output'!$A$2:$BW$99998,MATCH(AF$4,'Table Output'!$A$1:$BT$1,0),),'Control Panel'!AF6))</f>
        <v>0</v>
      </c>
      <c r="AG7" s="21">
        <f>IF($K7="","",IF('Control Panel'!AG6="",VLOOKUP($F7,'Table Output'!$A$2:$BW$99998,MATCH(AG$4,'Table Output'!$A$1:$BT$1,0),),'Control Panel'!AG6))</f>
        <v>1</v>
      </c>
      <c r="AH7" s="21">
        <f>IF($K7="","",IF('Control Panel'!AH6="",VLOOKUP($F7,'Table Output'!$A$2:$BW$99998,MATCH(AH$4,'Table Output'!$A$1:$BT$1,0),),'Control Panel'!AH6))</f>
        <v>1</v>
      </c>
      <c r="AI7" s="21">
        <f>IF($K7="","",IF('Control Panel'!AI6="",VLOOKUP($F7,'Table Output'!$A$2:$BW$99998,MATCH(AI$4,'Table Output'!$A$1:$BT$1,0),),'Control Panel'!AI6))</f>
        <v>0</v>
      </c>
      <c r="AJ7" s="21">
        <f>IF($K7="","",IF('Control Panel'!AJ6="",VLOOKUP($F7,'Table Output'!$A$2:$BW$99998,MATCH(AJ$4,'Table Output'!$A$1:$BT$1,0),),'Control Panel'!AJ6))</f>
        <v>0</v>
      </c>
      <c r="AK7" s="21">
        <f>IF($K7="","",IF('Control Panel'!AK6="",VLOOKUP($F7,'Table Output'!$A$2:$BW$99998,MATCH(AK$4,'Table Output'!$A$1:$BT$1,0),),'Control Panel'!AK6))</f>
        <v>0</v>
      </c>
      <c r="AL7" s="21">
        <f>IF($K7="","",IF('Control Panel'!AL6="",VLOOKUP($F7,'Table Output'!$A$2:$BW$99998,MATCH(AL$4,'Table Output'!$A$1:$BT$1,0),),'Control Panel'!AL6))</f>
        <v>0</v>
      </c>
      <c r="AN7" s="34">
        <f t="shared" si="0"/>
        <v>3</v>
      </c>
      <c r="AO7" s="31">
        <f>IF(AO$4="","",IF($K7="","",IF('Control Panel'!AO6="",VLOOKUP($F7,'Table Output'!$A$2:$BW$99998,MATCH(AO$4,'Table Output'!$A$1:$BT$1,0),FALSE),'Control Panel'!AO6)))</f>
        <v>1</v>
      </c>
      <c r="AP7" s="31" t="str">
        <f>IF(AP$4="","",IF($K7="","",IF('Control Panel'!AP6="",VLOOKUP($F7,'Table Output'!$A$2:$BW$99998,MATCH(AP$4,'Table Output'!$A$1:$BT$1,0),FALSE),'Control Panel'!AP6)))</f>
        <v/>
      </c>
      <c r="AQ7" s="31" t="str">
        <f>IF(AQ$4="","",IF($K7="","",IF('Control Panel'!AQ6="",VLOOKUP($F7,'Table Output'!$A$2:$BW$99998,MATCH(AQ$4,'Table Output'!$A$1:$BT$1,0),FALSE),'Control Panel'!AQ6)))</f>
        <v/>
      </c>
      <c r="AR7" s="31" t="str">
        <f>IF(AR$4="","",IF($K7="","",IF('Control Panel'!AR6="",VLOOKUP($F7,'Table Output'!$A$2:$BW$99998,MATCH(AR$4,'Table Output'!$A$1:$BT$1,0),FALSE),'Control Panel'!AR6)))</f>
        <v/>
      </c>
      <c r="AS7" s="31" t="str">
        <f>IF(AS$4="","",IF($K7="","",IF('Control Panel'!AS6="",VLOOKUP($F7,'Table Output'!$A$2:$BW$99998,MATCH(AS$4,'Table Output'!$A$1:$BT$1,0),FALSE),'Control Panel'!AS6)))</f>
        <v/>
      </c>
      <c r="AT7" s="31" t="str">
        <f>IF(AT$4="","",IF($K7="","",IF('Control Panel'!AT6="",VLOOKUP($F7,'Table Output'!$A$2:$BW$99998,MATCH(AT$4,'Table Output'!$A$1:$BT$1,0),FALSE),'Control Panel'!AT6)))</f>
        <v/>
      </c>
      <c r="AU7" s="31" t="str">
        <f>IF(AU$4="","",IF($K7="","",IF('Control Panel'!AU6="",VLOOKUP($F7,'Table Output'!$A$2:$BW$99998,MATCH(AU$4,'Table Output'!$A$1:$BT$1,0),FALSE),'Control Panel'!AU6)))</f>
        <v/>
      </c>
      <c r="AV7" s="31" t="str">
        <f>IF(AV$4="","",IF($K7="","",IF('Control Panel'!AV6="",VLOOKUP($F7,'Table Output'!$A$2:$BW$99998,MATCH(AV$4,'Table Output'!$A$1:$BT$1,0),FALSE),'Control Panel'!AV6)))</f>
        <v/>
      </c>
      <c r="AW7" s="31" t="str">
        <f>IF(AW$4="","",IF($K7="","",IF('Control Panel'!AW6="",VLOOKUP($F7,'Table Output'!$A$2:$BW$99998,MATCH(AW$4,'Table Output'!$A$1:$BT$1,0),FALSE),'Control Panel'!AW6)))</f>
        <v/>
      </c>
      <c r="BJ7" s="2" t="s">
        <v>84</v>
      </c>
      <c r="BK7" s="2" t="s">
        <v>92</v>
      </c>
    </row>
    <row r="8" spans="1:63" ht="12" thickBot="1" x14ac:dyDescent="0.25">
      <c r="B8" s="2" t="str">
        <f>'Control Panel'!B8</f>
        <v>Calibration type</v>
      </c>
      <c r="C8" s="2" t="str">
        <f>'Control Panel'!C8</f>
        <v>sqpso</v>
      </c>
      <c r="E8" s="2">
        <f>IF('Control Panel'!E7="","",'Control Panel'!E7)</f>
        <v>1</v>
      </c>
      <c r="F8" s="2" t="str">
        <f>IF(E8=1,IF('Control Panel'!F7="","",'Control Panel'!F7),"")</f>
        <v>NGI_U3_4</v>
      </c>
      <c r="G8" s="2" t="str">
        <f>IF(E8=1,IF('Control Panel'!G7="","",'Control Panel'!G7),"")</f>
        <v>Empire_Wind_1</v>
      </c>
      <c r="H8" s="2" t="str">
        <f>IF(E8=1,IF('Control Panel'!H7="","",'Control Panel'!H7),"")</f>
        <v>NA</v>
      </c>
      <c r="I8" s="2">
        <f>IF(E8=1,IF('Control Panel'!I7="","",'Control Panel'!I7),"")</f>
        <v>7</v>
      </c>
      <c r="J8" s="2" t="str">
        <f>IF(E8=1,IF('Control Panel'!J7="","",'Control Panel'!J7),"")</f>
        <v>NGI_U3_4</v>
      </c>
      <c r="K8" s="25">
        <f>IF(E8=1,IF('Control Panel'!K7="","",'Control Panel'!K7),"")</f>
        <v>4</v>
      </c>
      <c r="L8" s="21">
        <f>IF($K8="","",IF(L$4="","",IF('Control Panel'!L7="",VLOOKUP($F8,'Table Output'!$A:$BW,MATCH(L$4,'Table Output'!$A$1:$BT$1,0),),'Control Panel'!L7)))</f>
        <v>-0.34281</v>
      </c>
      <c r="M8" s="21">
        <f>IF($K8="","",IF(M$4="","",IF('Control Panel'!M7="",VLOOKUP($F8,'Table Output'!$A:$BW,MATCH(M$4,'Table Output'!$A$1:$BT$1,0),),'Control Panel'!M7)))</f>
        <v>2.6196000000000002</v>
      </c>
      <c r="N8" s="21">
        <f>IF($K8="","",IF(N$4="","",IF('Control Panel'!N7="",VLOOKUP($F8,'Table Output'!$A:$BW,MATCH(N$4,'Table Output'!$A$1:$BT$1,0),),'Control Panel'!N7)))</f>
        <v>-0.32128000000000001</v>
      </c>
      <c r="O8" s="21">
        <f>IF($K8="","",IF(O$4="","",IF('Control Panel'!O7="",VLOOKUP($F8,'Table Output'!$A:$BW,MATCH(O$4,'Table Output'!$A$1:$BT$1,0),),'Control Panel'!O7)))</f>
        <v>4.3258999999999999</v>
      </c>
      <c r="P8" s="21">
        <f>IF($K8="","",IF(P$4="","",IF('Control Panel'!P7="",VLOOKUP($F8,'Table Output'!$A:$BW,MATCH(P$4,'Table Output'!$A$1:$BT$1,0),),'Control Panel'!P7)))</f>
        <v>0.03</v>
      </c>
      <c r="Q8" s="21">
        <f>IF($K8="","",IF(Q$4="","",IF('Control Panel'!Q7="",VLOOKUP($F8,'Table Output'!$A:$BW,MATCH(Q$4,'Table Output'!$A$1:$BT$1,0),),'Control Panel'!Q7)))</f>
        <v>0.68323</v>
      </c>
      <c r="R8" s="21">
        <f>IF($K8="","",IF(R$4="","",IF('Control Panel'!R7="",VLOOKUP($F8,'Table Output'!$A:$BW,MATCH(R$4,'Table Output'!$A$1:$BT$1,0),),'Control Panel'!R7)))</f>
        <v>-4.6143000000000003E-2</v>
      </c>
      <c r="S8" s="21" t="str">
        <f>IF($K8="","",IF(S$4="","",IF('Control Panel'!S7="",VLOOKUP($F8,'Table Output'!$A:$BW,MATCH(S$4,'Table Output'!$A$1:$BT$1,0),),'Control Panel'!S7)))</f>
        <v/>
      </c>
      <c r="T8" s="21" t="str">
        <f>IF($K8="","",IF(T$4="","",IF('Control Panel'!T7="",VLOOKUP($F8,'Table Output'!$A:$BW,MATCH(T$4,'Table Output'!$A$1:$BT$1,0),),'Control Panel'!T7)))</f>
        <v/>
      </c>
      <c r="U8" s="21" t="str">
        <f>IF($K8="","",IF(U$4="","",IF('Control Panel'!U7="",VLOOKUP($F8,'Table Output'!$A:$BW,MATCH(U$4,'Table Output'!$A$1:$BT$1,0),),'Control Panel'!U7)))</f>
        <v/>
      </c>
      <c r="W8" s="21">
        <f>IF($K8="","",IF('Control Panel'!W7="",VLOOKUP($F8,'Table Output'!$A$2:$BW$99998,MATCH(W$4,'Table Output'!$A$1:$BT$1,0),),'Control Panel'!W7))</f>
        <v>0</v>
      </c>
      <c r="X8" s="21">
        <f>IF($K8="","",IF('Control Panel'!X7="",VLOOKUP($F8,'Table Output'!$A$2:$BW$99998,MATCH(X$4,'Table Output'!$A$1:$BT$1,0),),'Control Panel'!X7))</f>
        <v>1</v>
      </c>
      <c r="Y8" s="21">
        <f>IF($K8="","",IF('Control Panel'!Y7="",VLOOKUP($F8,'Table Output'!$A$2:$BW$99998,MATCH(Y$4,'Table Output'!$A$1:$BT$1,0),),'Control Panel'!Y7))</f>
        <v>1</v>
      </c>
      <c r="Z8" s="21">
        <f>IF($K8="","",IF('Control Panel'!Z7="",VLOOKUP($F8,'Table Output'!$A$2:$BW$99998,MATCH(Z$4,'Table Output'!$A$1:$BT$1,0),),'Control Panel'!Z7))</f>
        <v>0</v>
      </c>
      <c r="AA8" s="21">
        <f>IF($K8="","",IF('Control Panel'!AA7="",VLOOKUP($F8,'Table Output'!$A$2:$BW$99998,MATCH(AA$4,'Table Output'!$A$1:$BT$1,0),),'Control Panel'!AA7))</f>
        <v>0</v>
      </c>
      <c r="AB8" s="21">
        <f>IF($K8="","",IF('Control Panel'!AB7="",VLOOKUP($F8,'Table Output'!$A$2:$BW$99998,MATCH(AB$4,'Table Output'!$A$1:$BT$1,0),),'Control Panel'!AB7))</f>
        <v>1</v>
      </c>
      <c r="AC8" s="21">
        <f>IF($K8="","",IF('Control Panel'!AC7="",VLOOKUP($F8,'Table Output'!$A$2:$BW$99998,MATCH(AC$4,'Table Output'!$A$1:$BT$1,0),),'Control Panel'!AC7))</f>
        <v>0</v>
      </c>
      <c r="AD8" s="21">
        <f>IF($K8="","",IF('Control Panel'!AD7="",VLOOKUP($F8,'Table Output'!$A$2:$BW$99998,MATCH(AD$4,'Table Output'!$A$1:$BT$1,0),),'Control Panel'!AD7))</f>
        <v>0</v>
      </c>
      <c r="AE8" s="21">
        <f>IF($K8="","",IF('Control Panel'!AE7="",VLOOKUP($F8,'Table Output'!$A$2:$BW$99998,MATCH(AE$4,'Table Output'!$A$1:$BT$1,0),),'Control Panel'!AE7))</f>
        <v>1</v>
      </c>
      <c r="AF8" s="21">
        <f>IF($K8="","",IF('Control Panel'!AF7="",VLOOKUP($F8,'Table Output'!$A$2:$BW$99998,MATCH(AF$4,'Table Output'!$A$1:$BT$1,0),),'Control Panel'!AF7))</f>
        <v>0</v>
      </c>
      <c r="AG8" s="21">
        <f>IF($K8="","",IF('Control Panel'!AG7="",VLOOKUP($F8,'Table Output'!$A$2:$BW$99998,MATCH(AG$4,'Table Output'!$A$1:$BT$1,0),),'Control Panel'!AG7))</f>
        <v>1</v>
      </c>
      <c r="AH8" s="21">
        <f>IF($K8="","",IF('Control Panel'!AH7="",VLOOKUP($F8,'Table Output'!$A$2:$BW$99998,MATCH(AH$4,'Table Output'!$A$1:$BT$1,0),),'Control Panel'!AH7))</f>
        <v>1</v>
      </c>
      <c r="AI8" s="21">
        <f>IF($K8="","",IF('Control Panel'!AI7="",VLOOKUP($F8,'Table Output'!$A$2:$BW$99998,MATCH(AI$4,'Table Output'!$A$1:$BT$1,0),),'Control Panel'!AI7))</f>
        <v>0</v>
      </c>
      <c r="AJ8" s="21">
        <f>IF($K8="","",IF('Control Panel'!AJ7="",VLOOKUP($F8,'Table Output'!$A$2:$BW$99998,MATCH(AJ$4,'Table Output'!$A$1:$BT$1,0),),'Control Panel'!AJ7))</f>
        <v>0</v>
      </c>
      <c r="AK8" s="21">
        <f>IF($K8="","",IF('Control Panel'!AK7="",VLOOKUP($F8,'Table Output'!$A$2:$BW$99998,MATCH(AK$4,'Table Output'!$A$1:$BT$1,0),),'Control Panel'!AK7))</f>
        <v>0</v>
      </c>
      <c r="AL8" s="21">
        <f>IF($K8="","",IF('Control Panel'!AL7="",VLOOKUP($F8,'Table Output'!$A$2:$BW$99998,MATCH(AL$4,'Table Output'!$A$1:$BT$1,0),),'Control Panel'!AL7))</f>
        <v>0</v>
      </c>
      <c r="AN8" s="34">
        <f t="shared" si="0"/>
        <v>4</v>
      </c>
      <c r="AO8" s="31">
        <f>IF(AO$4="","",IF($K8="","",IF('Control Panel'!AO7="",VLOOKUP($F8,'Table Output'!$A$2:$BW$99998,MATCH(AO$4,'Table Output'!$A$1:$BT$1,0),FALSE),'Control Panel'!AO7)))</f>
        <v>1</v>
      </c>
      <c r="AP8" s="31" t="str">
        <f>IF(AP$4="","",IF($K8="","",IF('Control Panel'!AP7="",VLOOKUP($F8,'Table Output'!$A$2:$BW$99998,MATCH(AP$4,'Table Output'!$A$1:$BT$1,0),FALSE),'Control Panel'!AP7)))</f>
        <v/>
      </c>
      <c r="AQ8" s="31" t="str">
        <f>IF(AQ$4="","",IF($K8="","",IF('Control Panel'!AQ7="",VLOOKUP($F8,'Table Output'!$A$2:$BW$99998,MATCH(AQ$4,'Table Output'!$A$1:$BT$1,0),FALSE),'Control Panel'!AQ7)))</f>
        <v/>
      </c>
      <c r="AR8" s="31" t="str">
        <f>IF(AR$4="","",IF($K8="","",IF('Control Panel'!AR7="",VLOOKUP($F8,'Table Output'!$A$2:$BW$99998,MATCH(AR$4,'Table Output'!$A$1:$BT$1,0),FALSE),'Control Panel'!AR7)))</f>
        <v/>
      </c>
      <c r="AS8" s="31" t="str">
        <f>IF(AS$4="","",IF($K8="","",IF('Control Panel'!AS7="",VLOOKUP($F8,'Table Output'!$A$2:$BW$99998,MATCH(AS$4,'Table Output'!$A$1:$BT$1,0),FALSE),'Control Panel'!AS7)))</f>
        <v/>
      </c>
      <c r="AT8" s="31" t="str">
        <f>IF(AT$4="","",IF($K8="","",IF('Control Panel'!AT7="",VLOOKUP($F8,'Table Output'!$A$2:$BW$99998,MATCH(AT$4,'Table Output'!$A$1:$BT$1,0),FALSE),'Control Panel'!AT7)))</f>
        <v/>
      </c>
      <c r="AU8" s="31" t="str">
        <f>IF(AU$4="","",IF($K8="","",IF('Control Panel'!AU7="",VLOOKUP($F8,'Table Output'!$A$2:$BW$99998,MATCH(AU$4,'Table Output'!$A$1:$BT$1,0),FALSE),'Control Panel'!AU7)))</f>
        <v/>
      </c>
      <c r="AV8" s="31" t="str">
        <f>IF(AV$4="","",IF($K8="","",IF('Control Panel'!AV7="",VLOOKUP($F8,'Table Output'!$A$2:$BW$99998,MATCH(AV$4,'Table Output'!$A$1:$BT$1,0),FALSE),'Control Panel'!AV7)))</f>
        <v/>
      </c>
      <c r="AW8" s="31" t="str">
        <f>IF(AW$4="","",IF($K8="","",IF('Control Panel'!AW7="",VLOOKUP($F8,'Table Output'!$A$2:$BW$99998,MATCH(AW$4,'Table Output'!$A$1:$BT$1,0),FALSE),'Control Panel'!AW7)))</f>
        <v/>
      </c>
      <c r="BJ8" s="2" t="s">
        <v>86</v>
      </c>
      <c r="BK8" s="2" t="s">
        <v>92</v>
      </c>
    </row>
    <row r="9" spans="1:63" ht="12" thickBot="1" x14ac:dyDescent="0.25">
      <c r="B9" s="2" t="str">
        <f>'Control Panel'!B9</f>
        <v>Weight type</v>
      </c>
      <c r="C9" s="2" t="str">
        <f>'Control Panel'!C9</f>
        <v>SWR_Max</v>
      </c>
      <c r="E9" s="2">
        <f>IF('Control Panel'!E8="","",'Control Panel'!E8)</f>
        <v>1</v>
      </c>
      <c r="F9" s="2" t="str">
        <f>IF(E9=1,IF('Control Panel'!F8="","",'Control Panel'!F8),"")</f>
        <v>NGI_U3_4</v>
      </c>
      <c r="G9" s="2" t="str">
        <f>IF(E9=1,IF('Control Panel'!G8="","",'Control Panel'!G8),"")</f>
        <v>Empire_Wind_1</v>
      </c>
      <c r="H9" s="2" t="str">
        <f>IF(E9=1,IF('Control Panel'!H8="","",'Control Panel'!H8),"")</f>
        <v>NA</v>
      </c>
      <c r="I9" s="2">
        <f>IF(E9=1,IF('Control Panel'!I8="","",'Control Panel'!I8),"")</f>
        <v>7</v>
      </c>
      <c r="J9" s="2" t="str">
        <f>IF(E9=1,IF('Control Panel'!J8="","",'Control Panel'!J8),"")</f>
        <v>NGI_U3_4</v>
      </c>
      <c r="K9" s="25">
        <f>IF(E9=1,IF('Control Panel'!K8="","",'Control Panel'!K8),"")</f>
        <v>5</v>
      </c>
      <c r="L9" s="21">
        <f>IF($K9="","",IF(L$4="","",IF('Control Panel'!L8="",VLOOKUP($F9,'Table Output'!$A:$BW,MATCH(L$4,'Table Output'!$A$1:$BT$1,0),),'Control Panel'!L8)))</f>
        <v>-0.34281</v>
      </c>
      <c r="M9" s="21">
        <f>IF($K9="","",IF(M$4="","",IF('Control Panel'!M8="",VLOOKUP($F9,'Table Output'!$A:$BW,MATCH(M$4,'Table Output'!$A$1:$BT$1,0),),'Control Panel'!M8)))</f>
        <v>2.6196000000000002</v>
      </c>
      <c r="N9" s="21">
        <f>IF($K9="","",IF(N$4="","",IF('Control Panel'!N8="",VLOOKUP($F9,'Table Output'!$A:$BW,MATCH(N$4,'Table Output'!$A$1:$BT$1,0),),'Control Panel'!N8)))</f>
        <v>-0.32128000000000001</v>
      </c>
      <c r="O9" s="21">
        <f>IF($K9="","",IF(O$4="","",IF('Control Panel'!O8="",VLOOKUP($F9,'Table Output'!$A:$BW,MATCH(O$4,'Table Output'!$A$1:$BT$1,0),),'Control Panel'!O8)))</f>
        <v>4.3258999999999999</v>
      </c>
      <c r="P9" s="21">
        <f>IF($K9="","",IF(P$4="","",IF('Control Panel'!P8="",VLOOKUP($F9,'Table Output'!$A:$BW,MATCH(P$4,'Table Output'!$A$1:$BT$1,0),),'Control Panel'!P8)))</f>
        <v>0.03</v>
      </c>
      <c r="Q9" s="21">
        <f>IF($K9="","",IF(Q$4="","",IF('Control Panel'!Q8="",VLOOKUP($F9,'Table Output'!$A:$BW,MATCH(Q$4,'Table Output'!$A$1:$BT$1,0),),'Control Panel'!Q8)))</f>
        <v>0.68323</v>
      </c>
      <c r="R9" s="21">
        <f>IF($K9="","",IF(R$4="","",IF('Control Panel'!R8="",VLOOKUP($F9,'Table Output'!$A:$BW,MATCH(R$4,'Table Output'!$A$1:$BT$1,0),),'Control Panel'!R8)))</f>
        <v>-4.6143000000000003E-2</v>
      </c>
      <c r="S9" s="21" t="str">
        <f>IF($K9="","",IF(S$4="","",IF('Control Panel'!S8="",VLOOKUP($F9,'Table Output'!$A:$BW,MATCH(S$4,'Table Output'!$A$1:$BT$1,0),),'Control Panel'!S8)))</f>
        <v/>
      </c>
      <c r="T9" s="21" t="str">
        <f>IF($K9="","",IF(T$4="","",IF('Control Panel'!T8="",VLOOKUP($F9,'Table Output'!$A:$BW,MATCH(T$4,'Table Output'!$A$1:$BT$1,0),),'Control Panel'!T8)))</f>
        <v/>
      </c>
      <c r="U9" s="21" t="str">
        <f>IF($K9="","",IF(U$4="","",IF('Control Panel'!U8="",VLOOKUP($F9,'Table Output'!$A:$BW,MATCH(U$4,'Table Output'!$A$1:$BT$1,0),),'Control Panel'!U8)))</f>
        <v/>
      </c>
      <c r="W9" s="21">
        <f>IF($K9="","",IF('Control Panel'!W8="",VLOOKUP($F9,'Table Output'!$A$2:$BW$99998,MATCH(W$4,'Table Output'!$A$1:$BT$1,0),),'Control Panel'!W8))</f>
        <v>0</v>
      </c>
      <c r="X9" s="21">
        <f>IF($K9="","",IF('Control Panel'!X8="",VLOOKUP($F9,'Table Output'!$A$2:$BW$99998,MATCH(X$4,'Table Output'!$A$1:$BT$1,0),),'Control Panel'!X8))</f>
        <v>1</v>
      </c>
      <c r="Y9" s="21">
        <f>IF($K9="","",IF('Control Panel'!Y8="",VLOOKUP($F9,'Table Output'!$A$2:$BW$99998,MATCH(Y$4,'Table Output'!$A$1:$BT$1,0),),'Control Panel'!Y8))</f>
        <v>1</v>
      </c>
      <c r="Z9" s="21">
        <f>IF($K9="","",IF('Control Panel'!Z8="",VLOOKUP($F9,'Table Output'!$A$2:$BW$99998,MATCH(Z$4,'Table Output'!$A$1:$BT$1,0),),'Control Panel'!Z8))</f>
        <v>0</v>
      </c>
      <c r="AA9" s="21">
        <f>IF($K9="","",IF('Control Panel'!AA8="",VLOOKUP($F9,'Table Output'!$A$2:$BW$99998,MATCH(AA$4,'Table Output'!$A$1:$BT$1,0),),'Control Panel'!AA8))</f>
        <v>0</v>
      </c>
      <c r="AB9" s="21">
        <f>IF($K9="","",IF('Control Panel'!AB8="",VLOOKUP($F9,'Table Output'!$A$2:$BW$99998,MATCH(AB$4,'Table Output'!$A$1:$BT$1,0),),'Control Panel'!AB8))</f>
        <v>1</v>
      </c>
      <c r="AC9" s="21">
        <f>IF($K9="","",IF('Control Panel'!AC8="",VLOOKUP($F9,'Table Output'!$A$2:$BW$99998,MATCH(AC$4,'Table Output'!$A$1:$BT$1,0),),'Control Panel'!AC8))</f>
        <v>0</v>
      </c>
      <c r="AD9" s="21">
        <f>IF($K9="","",IF('Control Panel'!AD8="",VLOOKUP($F9,'Table Output'!$A$2:$BW$99998,MATCH(AD$4,'Table Output'!$A$1:$BT$1,0),),'Control Panel'!AD8))</f>
        <v>0</v>
      </c>
      <c r="AE9" s="21">
        <f>IF($K9="","",IF('Control Panel'!AE8="",VLOOKUP($F9,'Table Output'!$A$2:$BW$99998,MATCH(AE$4,'Table Output'!$A$1:$BT$1,0),),'Control Panel'!AE8))</f>
        <v>1</v>
      </c>
      <c r="AF9" s="21">
        <f>IF($K9="","",IF('Control Panel'!AF8="",VLOOKUP($F9,'Table Output'!$A$2:$BW$99998,MATCH(AF$4,'Table Output'!$A$1:$BT$1,0),),'Control Panel'!AF8))</f>
        <v>0</v>
      </c>
      <c r="AG9" s="21">
        <f>IF($K9="","",IF('Control Panel'!AG8="",VLOOKUP($F9,'Table Output'!$A$2:$BW$99998,MATCH(AG$4,'Table Output'!$A$1:$BT$1,0),),'Control Panel'!AG8))</f>
        <v>1</v>
      </c>
      <c r="AH9" s="21">
        <f>IF($K9="","",IF('Control Panel'!AH8="",VLOOKUP($F9,'Table Output'!$A$2:$BW$99998,MATCH(AH$4,'Table Output'!$A$1:$BT$1,0),),'Control Panel'!AH8))</f>
        <v>1</v>
      </c>
      <c r="AI9" s="21">
        <f>IF($K9="","",IF('Control Panel'!AI8="",VLOOKUP($F9,'Table Output'!$A$2:$BW$99998,MATCH(AI$4,'Table Output'!$A$1:$BT$1,0),),'Control Panel'!AI8))</f>
        <v>0</v>
      </c>
      <c r="AJ9" s="21">
        <f>IF($K9="","",IF('Control Panel'!AJ8="",VLOOKUP($F9,'Table Output'!$A$2:$BW$99998,MATCH(AJ$4,'Table Output'!$A$1:$BT$1,0),),'Control Panel'!AJ8))</f>
        <v>0</v>
      </c>
      <c r="AK9" s="21">
        <f>IF($K9="","",IF('Control Panel'!AK8="",VLOOKUP($F9,'Table Output'!$A$2:$BW$99998,MATCH(AK$4,'Table Output'!$A$1:$BT$1,0),),'Control Panel'!AK8))</f>
        <v>0</v>
      </c>
      <c r="AL9" s="21">
        <f>IF($K9="","",IF('Control Panel'!AL8="",VLOOKUP($F9,'Table Output'!$A$2:$BW$99998,MATCH(AL$4,'Table Output'!$A$1:$BT$1,0),),'Control Panel'!AL8))</f>
        <v>0</v>
      </c>
      <c r="AN9" s="34">
        <f t="shared" si="0"/>
        <v>5</v>
      </c>
      <c r="AO9" s="31">
        <f>IF(AO$4="","",IF($K9="","",IF('Control Panel'!AO8="",VLOOKUP($F9,'Table Output'!$A$2:$BW$99998,MATCH(AO$4,'Table Output'!$A$1:$BT$1,0),FALSE),'Control Panel'!AO8)))</f>
        <v>1</v>
      </c>
      <c r="AP9" s="31" t="str">
        <f>IF(AP$4="","",IF($K9="","",IF('Control Panel'!AP8="",VLOOKUP($F9,'Table Output'!$A$2:$BW$99998,MATCH(AP$4,'Table Output'!$A$1:$BT$1,0),FALSE),'Control Panel'!AP8)))</f>
        <v/>
      </c>
      <c r="AQ9" s="31" t="str">
        <f>IF(AQ$4="","",IF($K9="","",IF('Control Panel'!AQ8="",VLOOKUP($F9,'Table Output'!$A$2:$BW$99998,MATCH(AQ$4,'Table Output'!$A$1:$BT$1,0),FALSE),'Control Panel'!AQ8)))</f>
        <v/>
      </c>
      <c r="AR9" s="31" t="str">
        <f>IF(AR$4="","",IF($K9="","",IF('Control Panel'!AR8="",VLOOKUP($F9,'Table Output'!$A$2:$BW$99998,MATCH(AR$4,'Table Output'!$A$1:$BT$1,0),FALSE),'Control Panel'!AR8)))</f>
        <v/>
      </c>
      <c r="AS9" s="31" t="str">
        <f>IF(AS$4="","",IF($K9="","",IF('Control Panel'!AS8="",VLOOKUP($F9,'Table Output'!$A$2:$BW$99998,MATCH(AS$4,'Table Output'!$A$1:$BT$1,0),FALSE),'Control Panel'!AS8)))</f>
        <v/>
      </c>
      <c r="AT9" s="31" t="str">
        <f>IF(AT$4="","",IF($K9="","",IF('Control Panel'!AT8="",VLOOKUP($F9,'Table Output'!$A$2:$BW$99998,MATCH(AT$4,'Table Output'!$A$1:$BT$1,0),FALSE),'Control Panel'!AT8)))</f>
        <v/>
      </c>
      <c r="AU9" s="31" t="str">
        <f>IF(AU$4="","",IF($K9="","",IF('Control Panel'!AU8="",VLOOKUP($F9,'Table Output'!$A$2:$BW$99998,MATCH(AU$4,'Table Output'!$A$1:$BT$1,0),FALSE),'Control Panel'!AU8)))</f>
        <v/>
      </c>
      <c r="AV9" s="31" t="str">
        <f>IF(AV$4="","",IF($K9="","",IF('Control Panel'!AV8="",VLOOKUP($F9,'Table Output'!$A$2:$BW$99998,MATCH(AV$4,'Table Output'!$A$1:$BT$1,0),FALSE),'Control Panel'!AV8)))</f>
        <v/>
      </c>
      <c r="AW9" s="31" t="str">
        <f>IF(AW$4="","",IF($K9="","",IF('Control Panel'!AW8="",VLOOKUP($F9,'Table Output'!$A$2:$BW$99998,MATCH(AW$4,'Table Output'!$A$1:$BT$1,0),FALSE),'Control Panel'!AW8)))</f>
        <v/>
      </c>
      <c r="BJ9" s="2" t="s">
        <v>85</v>
      </c>
      <c r="BK9" s="2" t="s">
        <v>93</v>
      </c>
    </row>
    <row r="10" spans="1:63" ht="12" thickBot="1" x14ac:dyDescent="0.25">
      <c r="E10" s="2">
        <f>IF('Control Panel'!E9="","",'Control Panel'!E9)</f>
        <v>1</v>
      </c>
      <c r="F10" s="2" t="str">
        <f>IF(E10=1,IF('Control Panel'!F9="","",'Control Panel'!F9),"")</f>
        <v>NGI_U3_5</v>
      </c>
      <c r="G10" s="2" t="str">
        <f>IF(E10=1,IF('Control Panel'!G9="","",'Control Panel'!G9),"")</f>
        <v>Empire_Wind_1</v>
      </c>
      <c r="H10" s="2" t="str">
        <f>IF(E10=1,IF('Control Panel'!H9="","",'Control Panel'!H9),"")</f>
        <v>NA</v>
      </c>
      <c r="I10" s="2">
        <f>IF(E10=1,IF('Control Panel'!I9="","",'Control Panel'!I9),"")</f>
        <v>7</v>
      </c>
      <c r="J10" s="2" t="str">
        <f>IF(E10=1,IF('Control Panel'!J9="","",'Control Panel'!J9),"")</f>
        <v>NGI_U3_5</v>
      </c>
      <c r="K10" s="25">
        <f>IF(E10=1,IF('Control Panel'!K9="","",'Control Panel'!K9),"")</f>
        <v>6</v>
      </c>
      <c r="L10" s="21">
        <f>IF($K10="","",IF(L$4="","",IF('Control Panel'!L9="",VLOOKUP($F10,'Table Output'!$A:$BW,MATCH(L$4,'Table Output'!$A$1:$BT$1,0),),'Control Panel'!L9)))</f>
        <v>-0.46211999999999998</v>
      </c>
      <c r="M10" s="21">
        <f>IF($K10="","",IF(M$4="","",IF('Control Panel'!M9="",VLOOKUP($F10,'Table Output'!$A:$BW,MATCH(M$4,'Table Output'!$A$1:$BT$1,0),),'Control Panel'!M9)))</f>
        <v>3.1097000000000001</v>
      </c>
      <c r="N10" s="21">
        <f>IF($K10="","",IF(N$4="","",IF('Control Panel'!N9="",VLOOKUP($F10,'Table Output'!$A:$BW,MATCH(N$4,'Table Output'!$A$1:$BT$1,0),),'Control Panel'!N9)))</f>
        <v>-0.39424999999999999</v>
      </c>
      <c r="O10" s="21">
        <f>IF($K10="","",IF(O$4="","",IF('Control Panel'!O9="",VLOOKUP($F10,'Table Output'!$A:$BW,MATCH(O$4,'Table Output'!$A$1:$BT$1,0),),'Control Panel'!O9)))</f>
        <v>3.8184999999999998</v>
      </c>
      <c r="P10" s="21">
        <f>IF($K10="","",IF(P$4="","",IF('Control Panel'!P9="",VLOOKUP($F10,'Table Output'!$A:$BW,MATCH(P$4,'Table Output'!$A$1:$BT$1,0),),'Control Panel'!P9)))</f>
        <v>0.03</v>
      </c>
      <c r="Q10" s="21">
        <f>IF($K10="","",IF(Q$4="","",IF('Control Panel'!Q9="",VLOOKUP($F10,'Table Output'!$A:$BW,MATCH(Q$4,'Table Output'!$A$1:$BT$1,0),),'Control Panel'!Q9)))</f>
        <v>0.81916</v>
      </c>
      <c r="R10" s="21">
        <f>IF($K10="","",IF(R$4="","",IF('Control Panel'!R9="",VLOOKUP($F10,'Table Output'!$A:$BW,MATCH(R$4,'Table Output'!$A$1:$BT$1,0),),'Control Panel'!R9)))</f>
        <v>-5.8050999999999998E-2</v>
      </c>
      <c r="S10" s="21" t="str">
        <f>IF($K10="","",IF(S$4="","",IF('Control Panel'!S9="",VLOOKUP($F10,'Table Output'!$A:$BW,MATCH(S$4,'Table Output'!$A$1:$BT$1,0),),'Control Panel'!S9)))</f>
        <v/>
      </c>
      <c r="T10" s="21" t="str">
        <f>IF($K10="","",IF(T$4="","",IF('Control Panel'!T9="",VLOOKUP($F10,'Table Output'!$A:$BW,MATCH(T$4,'Table Output'!$A$1:$BT$1,0),),'Control Panel'!T9)))</f>
        <v/>
      </c>
      <c r="U10" s="21" t="str">
        <f>IF($K10="","",IF(U$4="","",IF('Control Panel'!U9="",VLOOKUP($F10,'Table Output'!$A:$BW,MATCH(U$4,'Table Output'!$A$1:$BT$1,0),),'Control Panel'!U9)))</f>
        <v/>
      </c>
      <c r="W10" s="21">
        <f>IF($K10="","",IF('Control Panel'!W9="",VLOOKUP($F10,'Table Output'!$A$2:$BW$99998,MATCH(W$4,'Table Output'!$A$1:$BT$1,0),),'Control Panel'!W9))</f>
        <v>0</v>
      </c>
      <c r="X10" s="21">
        <f>IF($K10="","",IF('Control Panel'!X9="",VLOOKUP($F10,'Table Output'!$A$2:$BW$99998,MATCH(X$4,'Table Output'!$A$1:$BT$1,0),),'Control Panel'!X9))</f>
        <v>1</v>
      </c>
      <c r="Y10" s="21">
        <f>IF($K10="","",IF('Control Panel'!Y9="",VLOOKUP($F10,'Table Output'!$A$2:$BW$99998,MATCH(Y$4,'Table Output'!$A$1:$BT$1,0),),'Control Panel'!Y9))</f>
        <v>1</v>
      </c>
      <c r="Z10" s="21">
        <f>IF($K10="","",IF('Control Panel'!Z9="",VLOOKUP($F10,'Table Output'!$A$2:$BW$99998,MATCH(Z$4,'Table Output'!$A$1:$BT$1,0),),'Control Panel'!Z9))</f>
        <v>0</v>
      </c>
      <c r="AA10" s="21">
        <f>IF($K10="","",IF('Control Panel'!AA9="",VLOOKUP($F10,'Table Output'!$A$2:$BW$99998,MATCH(AA$4,'Table Output'!$A$1:$BT$1,0),),'Control Panel'!AA9))</f>
        <v>0</v>
      </c>
      <c r="AB10" s="21">
        <f>IF($K10="","",IF('Control Panel'!AB9="",VLOOKUP($F10,'Table Output'!$A$2:$BW$99998,MATCH(AB$4,'Table Output'!$A$1:$BT$1,0),),'Control Panel'!AB9))</f>
        <v>1</v>
      </c>
      <c r="AC10" s="21">
        <f>IF($K10="","",IF('Control Panel'!AC9="",VLOOKUP($F10,'Table Output'!$A$2:$BW$99998,MATCH(AC$4,'Table Output'!$A$1:$BT$1,0),),'Control Panel'!AC9))</f>
        <v>0</v>
      </c>
      <c r="AD10" s="21">
        <f>IF($K10="","",IF('Control Panel'!AD9="",VLOOKUP($F10,'Table Output'!$A$2:$BW$99998,MATCH(AD$4,'Table Output'!$A$1:$BT$1,0),),'Control Panel'!AD9))</f>
        <v>0</v>
      </c>
      <c r="AE10" s="21">
        <f>IF($K10="","",IF('Control Panel'!AE9="",VLOOKUP($F10,'Table Output'!$A$2:$BW$99998,MATCH(AE$4,'Table Output'!$A$1:$BT$1,0),),'Control Panel'!AE9))</f>
        <v>1</v>
      </c>
      <c r="AF10" s="21">
        <f>IF($K10="","",IF('Control Panel'!AF9="",VLOOKUP($F10,'Table Output'!$A$2:$BW$99998,MATCH(AF$4,'Table Output'!$A$1:$BT$1,0),),'Control Panel'!AF9))</f>
        <v>0</v>
      </c>
      <c r="AG10" s="21">
        <f>IF($K10="","",IF('Control Panel'!AG9="",VLOOKUP($F10,'Table Output'!$A$2:$BW$99998,MATCH(AG$4,'Table Output'!$A$1:$BT$1,0),),'Control Panel'!AG9))</f>
        <v>1</v>
      </c>
      <c r="AH10" s="21">
        <f>IF($K10="","",IF('Control Panel'!AH9="",VLOOKUP($F10,'Table Output'!$A$2:$BW$99998,MATCH(AH$4,'Table Output'!$A$1:$BT$1,0),),'Control Panel'!AH9))</f>
        <v>1</v>
      </c>
      <c r="AI10" s="21">
        <f>IF($K10="","",IF('Control Panel'!AI9="",VLOOKUP($F10,'Table Output'!$A$2:$BW$99998,MATCH(AI$4,'Table Output'!$A$1:$BT$1,0),),'Control Panel'!AI9))</f>
        <v>0</v>
      </c>
      <c r="AJ10" s="21">
        <f>IF($K10="","",IF('Control Panel'!AJ9="",VLOOKUP($F10,'Table Output'!$A$2:$BW$99998,MATCH(AJ$4,'Table Output'!$A$1:$BT$1,0),),'Control Panel'!AJ9))</f>
        <v>0</v>
      </c>
      <c r="AK10" s="21">
        <f>IF($K10="","",IF('Control Panel'!AK9="",VLOOKUP($F10,'Table Output'!$A$2:$BW$99998,MATCH(AK$4,'Table Output'!$A$1:$BT$1,0),),'Control Panel'!AK9))</f>
        <v>0</v>
      </c>
      <c r="AL10" s="21">
        <f>IF($K10="","",IF('Control Panel'!AL9="",VLOOKUP($F10,'Table Output'!$A$2:$BW$99998,MATCH(AL$4,'Table Output'!$A$1:$BT$1,0),),'Control Panel'!AL9))</f>
        <v>0</v>
      </c>
      <c r="AN10" s="34">
        <f t="shared" si="0"/>
        <v>6</v>
      </c>
      <c r="AO10" s="31">
        <f>IF(AO$4="","",IF($K10="","",IF('Control Panel'!AO9="",VLOOKUP($F10,'Table Output'!$A$2:$BW$99998,MATCH(AO$4,'Table Output'!$A$1:$BT$1,0),FALSE),'Control Panel'!AO9)))</f>
        <v>1</v>
      </c>
      <c r="AP10" s="31" t="str">
        <f>IF(AP$4="","",IF($K10="","",IF('Control Panel'!AP9="",VLOOKUP($F10,'Table Output'!$A$2:$BW$99998,MATCH(AP$4,'Table Output'!$A$1:$BT$1,0),FALSE),'Control Panel'!AP9)))</f>
        <v/>
      </c>
      <c r="AQ10" s="31" t="str">
        <f>IF(AQ$4="","",IF($K10="","",IF('Control Panel'!AQ9="",VLOOKUP($F10,'Table Output'!$A$2:$BW$99998,MATCH(AQ$4,'Table Output'!$A$1:$BT$1,0),FALSE),'Control Panel'!AQ9)))</f>
        <v/>
      </c>
      <c r="AR10" s="31" t="str">
        <f>IF(AR$4="","",IF($K10="","",IF('Control Panel'!AR9="",VLOOKUP($F10,'Table Output'!$A$2:$BW$99998,MATCH(AR$4,'Table Output'!$A$1:$BT$1,0),FALSE),'Control Panel'!AR9)))</f>
        <v/>
      </c>
      <c r="AS10" s="31" t="str">
        <f>IF(AS$4="","",IF($K10="","",IF('Control Panel'!AS9="",VLOOKUP($F10,'Table Output'!$A$2:$BW$99998,MATCH(AS$4,'Table Output'!$A$1:$BT$1,0),FALSE),'Control Panel'!AS9)))</f>
        <v/>
      </c>
      <c r="AT10" s="31" t="str">
        <f>IF(AT$4="","",IF($K10="","",IF('Control Panel'!AT9="",VLOOKUP($F10,'Table Output'!$A$2:$BW$99998,MATCH(AT$4,'Table Output'!$A$1:$BT$1,0),FALSE),'Control Panel'!AT9)))</f>
        <v/>
      </c>
      <c r="AU10" s="31" t="str">
        <f>IF(AU$4="","",IF($K10="","",IF('Control Panel'!AU9="",VLOOKUP($F10,'Table Output'!$A$2:$BW$99998,MATCH(AU$4,'Table Output'!$A$1:$BT$1,0),FALSE),'Control Panel'!AU9)))</f>
        <v/>
      </c>
      <c r="AV10" s="31" t="str">
        <f>IF(AV$4="","",IF($K10="","",IF('Control Panel'!AV9="",VLOOKUP($F10,'Table Output'!$A$2:$BW$99998,MATCH(AV$4,'Table Output'!$A$1:$BT$1,0),FALSE),'Control Panel'!AV9)))</f>
        <v/>
      </c>
      <c r="AW10" s="31" t="str">
        <f>IF(AW$4="","",IF($K10="","",IF('Control Panel'!AW9="",VLOOKUP($F10,'Table Output'!$A$2:$BW$99998,MATCH(AW$4,'Table Output'!$A$1:$BT$1,0),FALSE),'Control Panel'!AW9)))</f>
        <v/>
      </c>
      <c r="BJ10" s="2" t="s">
        <v>137</v>
      </c>
      <c r="BK10" s="2" t="s">
        <v>93</v>
      </c>
    </row>
    <row r="11" spans="1:63" ht="12" thickBot="1" x14ac:dyDescent="0.25">
      <c r="B11" s="2" t="str">
        <f>'Control Panel'!B11</f>
        <v>Layered_wise_calibration</v>
      </c>
      <c r="C11" s="2">
        <f>IF('Control Panel'!C11=Switch_options_hidden!C3,1,0)</f>
        <v>0</v>
      </c>
      <c r="E11" s="2">
        <f>IF('Control Panel'!E10="","",'Control Panel'!E10)</f>
        <v>1</v>
      </c>
      <c r="F11" s="2" t="str">
        <f>IF(E11=1,IF('Control Panel'!F10="","",'Control Panel'!F10),"")</f>
        <v>NGI_U3_5</v>
      </c>
      <c r="G11" s="2" t="str">
        <f>IF(E11=1,IF('Control Panel'!G10="","",'Control Panel'!G10),"")</f>
        <v>Empire_Wind_1</v>
      </c>
      <c r="H11" s="2" t="str">
        <f>IF(E11=1,IF('Control Panel'!H10="","",'Control Panel'!H10),"")</f>
        <v>NA</v>
      </c>
      <c r="I11" s="2">
        <f>IF(E11=1,IF('Control Panel'!I10="","",'Control Panel'!I10),"")</f>
        <v>7</v>
      </c>
      <c r="J11" s="2" t="str">
        <f>IF(E11=1,IF('Control Panel'!J10="","",'Control Panel'!J10),"")</f>
        <v>NGI_U3_5</v>
      </c>
      <c r="K11" s="25">
        <f>IF(E11=1,IF('Control Panel'!K10="","",'Control Panel'!K10),"")</f>
        <v>7</v>
      </c>
      <c r="L11" s="21">
        <f>IF($K11="","",IF(L$4="","",IF('Control Panel'!L10="",VLOOKUP($F11,'Table Output'!$A:$BW,MATCH(L$4,'Table Output'!$A$1:$BT$1,0),),'Control Panel'!L10)))</f>
        <v>-0.46211999999999998</v>
      </c>
      <c r="M11" s="21">
        <f>IF($K11="","",IF(M$4="","",IF('Control Panel'!M10="",VLOOKUP($F11,'Table Output'!$A:$BW,MATCH(M$4,'Table Output'!$A$1:$BT$1,0),),'Control Panel'!M10)))</f>
        <v>3.1097000000000001</v>
      </c>
      <c r="N11" s="21">
        <f>IF($K11="","",IF(N$4="","",IF('Control Panel'!N10="",VLOOKUP($F11,'Table Output'!$A:$BW,MATCH(N$4,'Table Output'!$A$1:$BT$1,0),),'Control Panel'!N10)))</f>
        <v>-0.39424999999999999</v>
      </c>
      <c r="O11" s="21">
        <f>IF($K11="","",IF(O$4="","",IF('Control Panel'!O10="",VLOOKUP($F11,'Table Output'!$A:$BW,MATCH(O$4,'Table Output'!$A$1:$BT$1,0),),'Control Panel'!O10)))</f>
        <v>3.8184999999999998</v>
      </c>
      <c r="P11" s="21">
        <f>IF($K11="","",IF(P$4="","",IF('Control Panel'!P10="",VLOOKUP($F11,'Table Output'!$A:$BW,MATCH(P$4,'Table Output'!$A$1:$BT$1,0),),'Control Panel'!P10)))</f>
        <v>0.03</v>
      </c>
      <c r="Q11" s="21">
        <f>IF($K11="","",IF(Q$4="","",IF('Control Panel'!Q10="",VLOOKUP($F11,'Table Output'!$A:$BW,MATCH(Q$4,'Table Output'!$A$1:$BT$1,0),),'Control Panel'!Q10)))</f>
        <v>0.81916</v>
      </c>
      <c r="R11" s="21">
        <f>IF($K11="","",IF(R$4="","",IF('Control Panel'!R10="",VLOOKUP($F11,'Table Output'!$A:$BW,MATCH(R$4,'Table Output'!$A$1:$BT$1,0),),'Control Panel'!R10)))</f>
        <v>-5.8050999999999998E-2</v>
      </c>
      <c r="S11" s="21" t="str">
        <f>IF($K11="","",IF(S$4="","",IF('Control Panel'!S10="",VLOOKUP($F11,'Table Output'!$A:$BW,MATCH(S$4,'Table Output'!$A$1:$BT$1,0),),'Control Panel'!S10)))</f>
        <v/>
      </c>
      <c r="T11" s="21" t="str">
        <f>IF($K11="","",IF(T$4="","",IF('Control Panel'!T10="",VLOOKUP($F11,'Table Output'!$A:$BW,MATCH(T$4,'Table Output'!$A$1:$BT$1,0),),'Control Panel'!T10)))</f>
        <v/>
      </c>
      <c r="U11" s="21" t="str">
        <f>IF($K11="","",IF(U$4="","",IF('Control Panel'!U10="",VLOOKUP($F11,'Table Output'!$A:$BW,MATCH(U$4,'Table Output'!$A$1:$BT$1,0),),'Control Panel'!U10)))</f>
        <v/>
      </c>
      <c r="W11" s="21">
        <f>IF($K11="","",IF('Control Panel'!W10="",VLOOKUP($F11,'Table Output'!$A$2:$BW$99998,MATCH(W$4,'Table Output'!$A$1:$BT$1,0),),'Control Panel'!W10))</f>
        <v>0</v>
      </c>
      <c r="X11" s="21">
        <f>IF($K11="","",IF('Control Panel'!X10="",VLOOKUP($F11,'Table Output'!$A$2:$BW$99998,MATCH(X$4,'Table Output'!$A$1:$BT$1,0),),'Control Panel'!X10))</f>
        <v>1</v>
      </c>
      <c r="Y11" s="21">
        <f>IF($K11="","",IF('Control Panel'!Y10="",VLOOKUP($F11,'Table Output'!$A$2:$BW$99998,MATCH(Y$4,'Table Output'!$A$1:$BT$1,0),),'Control Panel'!Y10))</f>
        <v>1</v>
      </c>
      <c r="Z11" s="21">
        <f>IF($K11="","",IF('Control Panel'!Z10="",VLOOKUP($F11,'Table Output'!$A$2:$BW$99998,MATCH(Z$4,'Table Output'!$A$1:$BT$1,0),),'Control Panel'!Z10))</f>
        <v>0</v>
      </c>
      <c r="AA11" s="21">
        <f>IF($K11="","",IF('Control Panel'!AA10="",VLOOKUP($F11,'Table Output'!$A$2:$BW$99998,MATCH(AA$4,'Table Output'!$A$1:$BT$1,0),),'Control Panel'!AA10))</f>
        <v>0</v>
      </c>
      <c r="AB11" s="21">
        <f>IF($K11="","",IF('Control Panel'!AB10="",VLOOKUP($F11,'Table Output'!$A$2:$BW$99998,MATCH(AB$4,'Table Output'!$A$1:$BT$1,0),),'Control Panel'!AB10))</f>
        <v>1</v>
      </c>
      <c r="AC11" s="21">
        <f>IF($K11="","",IF('Control Panel'!AC10="",VLOOKUP($F11,'Table Output'!$A$2:$BW$99998,MATCH(AC$4,'Table Output'!$A$1:$BT$1,0),),'Control Panel'!AC10))</f>
        <v>0</v>
      </c>
      <c r="AD11" s="21">
        <f>IF($K11="","",IF('Control Panel'!AD10="",VLOOKUP($F11,'Table Output'!$A$2:$BW$99998,MATCH(AD$4,'Table Output'!$A$1:$BT$1,0),),'Control Panel'!AD10))</f>
        <v>0</v>
      </c>
      <c r="AE11" s="21">
        <f>IF($K11="","",IF('Control Panel'!AE10="",VLOOKUP($F11,'Table Output'!$A$2:$BW$99998,MATCH(AE$4,'Table Output'!$A$1:$BT$1,0),),'Control Panel'!AE10))</f>
        <v>1</v>
      </c>
      <c r="AF11" s="21">
        <f>IF($K11="","",IF('Control Panel'!AF10="",VLOOKUP($F11,'Table Output'!$A$2:$BW$99998,MATCH(AF$4,'Table Output'!$A$1:$BT$1,0),),'Control Panel'!AF10))</f>
        <v>0</v>
      </c>
      <c r="AG11" s="21">
        <f>IF($K11="","",IF('Control Panel'!AG10="",VLOOKUP($F11,'Table Output'!$A$2:$BW$99998,MATCH(AG$4,'Table Output'!$A$1:$BT$1,0),),'Control Panel'!AG10))</f>
        <v>1</v>
      </c>
      <c r="AH11" s="21">
        <f>IF($K11="","",IF('Control Panel'!AH10="",VLOOKUP($F11,'Table Output'!$A$2:$BW$99998,MATCH(AH$4,'Table Output'!$A$1:$BT$1,0),),'Control Panel'!AH10))</f>
        <v>1</v>
      </c>
      <c r="AI11" s="21">
        <f>IF($K11="","",IF('Control Panel'!AI10="",VLOOKUP($F11,'Table Output'!$A$2:$BW$99998,MATCH(AI$4,'Table Output'!$A$1:$BT$1,0),),'Control Panel'!AI10))</f>
        <v>0</v>
      </c>
      <c r="AJ11" s="21">
        <f>IF($K11="","",IF('Control Panel'!AJ10="",VLOOKUP($F11,'Table Output'!$A$2:$BW$99998,MATCH(AJ$4,'Table Output'!$A$1:$BT$1,0),),'Control Panel'!AJ10))</f>
        <v>0</v>
      </c>
      <c r="AK11" s="21">
        <f>IF($K11="","",IF('Control Panel'!AK10="",VLOOKUP($F11,'Table Output'!$A$2:$BW$99998,MATCH(AK$4,'Table Output'!$A$1:$BT$1,0),),'Control Panel'!AK10))</f>
        <v>0</v>
      </c>
      <c r="AL11" s="21">
        <f>IF($K11="","",IF('Control Panel'!AL10="",VLOOKUP($F11,'Table Output'!$A$2:$BW$99998,MATCH(AL$4,'Table Output'!$A$1:$BT$1,0),),'Control Panel'!AL10))</f>
        <v>0</v>
      </c>
      <c r="AN11" s="34">
        <f t="shared" si="0"/>
        <v>7</v>
      </c>
      <c r="AO11" s="31">
        <f>IF(AO$4="","",IF($K11="","",IF('Control Panel'!AO10="",VLOOKUP($F11,'Table Output'!$A$2:$BW$99998,MATCH(AO$4,'Table Output'!$A$1:$BT$1,0),FALSE),'Control Panel'!AO10)))</f>
        <v>1</v>
      </c>
      <c r="AP11" s="31" t="str">
        <f>IF(AP$4="","",IF($K11="","",IF('Control Panel'!AP10="",VLOOKUP($F11,'Table Output'!$A$2:$BW$99998,MATCH(AP$4,'Table Output'!$A$1:$BT$1,0),FALSE),'Control Panel'!AP10)))</f>
        <v/>
      </c>
      <c r="AQ11" s="31" t="str">
        <f>IF(AQ$4="","",IF($K11="","",IF('Control Panel'!AQ10="",VLOOKUP($F11,'Table Output'!$A$2:$BW$99998,MATCH(AQ$4,'Table Output'!$A$1:$BT$1,0),FALSE),'Control Panel'!AQ10)))</f>
        <v/>
      </c>
      <c r="AR11" s="31" t="str">
        <f>IF(AR$4="","",IF($K11="","",IF('Control Panel'!AR10="",VLOOKUP($F11,'Table Output'!$A$2:$BW$99998,MATCH(AR$4,'Table Output'!$A$1:$BT$1,0),FALSE),'Control Panel'!AR10)))</f>
        <v/>
      </c>
      <c r="AS11" s="31" t="str">
        <f>IF(AS$4="","",IF($K11="","",IF('Control Panel'!AS10="",VLOOKUP($F11,'Table Output'!$A$2:$BW$99998,MATCH(AS$4,'Table Output'!$A$1:$BT$1,0),FALSE),'Control Panel'!AS10)))</f>
        <v/>
      </c>
      <c r="AT11" s="31" t="str">
        <f>IF(AT$4="","",IF($K11="","",IF('Control Panel'!AT10="",VLOOKUP($F11,'Table Output'!$A$2:$BW$99998,MATCH(AT$4,'Table Output'!$A$1:$BT$1,0),FALSE),'Control Panel'!AT10)))</f>
        <v/>
      </c>
      <c r="AU11" s="31" t="str">
        <f>IF(AU$4="","",IF($K11="","",IF('Control Panel'!AU10="",VLOOKUP($F11,'Table Output'!$A$2:$BW$99998,MATCH(AU$4,'Table Output'!$A$1:$BT$1,0),FALSE),'Control Panel'!AU10)))</f>
        <v/>
      </c>
      <c r="AV11" s="31" t="str">
        <f>IF(AV$4="","",IF($K11="","",IF('Control Panel'!AV10="",VLOOKUP($F11,'Table Output'!$A$2:$BW$99998,MATCH(AV$4,'Table Output'!$A$1:$BT$1,0),FALSE),'Control Panel'!AV10)))</f>
        <v/>
      </c>
      <c r="AW11" s="31" t="str">
        <f>IF(AW$4="","",IF($K11="","",IF('Control Panel'!AW10="",VLOOKUP($F11,'Table Output'!$A$2:$BW$99998,MATCH(AW$4,'Table Output'!$A$1:$BT$1,0),FALSE),'Control Panel'!AW10)))</f>
        <v/>
      </c>
      <c r="BJ11" s="2" t="s">
        <v>138</v>
      </c>
      <c r="BK11" s="2" t="s">
        <v>93</v>
      </c>
    </row>
    <row r="12" spans="1:63" ht="12" thickBot="1" x14ac:dyDescent="0.25">
      <c r="B12" s="2" t="str">
        <f>'Control Panel'!B12</f>
        <v>Direct_Soil_Springs</v>
      </c>
      <c r="C12" s="2">
        <f>IF('Control Panel'!C12=Switch_options_hidden!C3,1,0)</f>
        <v>0</v>
      </c>
      <c r="E12" s="2">
        <f>IF('Control Panel'!E11="","",'Control Panel'!E11)</f>
        <v>1</v>
      </c>
      <c r="F12" s="2" t="str">
        <f>IF(E12=1,IF('Control Panel'!F11="","",'Control Panel'!F11),"")</f>
        <v>NGI_U3_6</v>
      </c>
      <c r="G12" s="2" t="str">
        <f>IF(E12=1,IF('Control Panel'!G11="","",'Control Panel'!G11),"")</f>
        <v>Empire_Wind_1</v>
      </c>
      <c r="H12" s="2" t="str">
        <f>IF(E12=1,IF('Control Panel'!H11="","",'Control Panel'!H11),"")</f>
        <v>NA</v>
      </c>
      <c r="I12" s="2">
        <f>IF(E12=1,IF('Control Panel'!I11="","",'Control Panel'!I11),"")</f>
        <v>7</v>
      </c>
      <c r="J12" s="2" t="str">
        <f>IF(E12=1,IF('Control Panel'!J11="","",'Control Panel'!J11),"")</f>
        <v>NGI_U3_6</v>
      </c>
      <c r="K12" s="25">
        <f>IF(E12=1,IF('Control Panel'!K11="","",'Control Panel'!K11),"")</f>
        <v>8</v>
      </c>
      <c r="L12" s="21">
        <f>IF($K12="","",IF(L$4="","",IF('Control Panel'!L11="",VLOOKUP($F12,'Table Output'!$A:$BW,MATCH(L$4,'Table Output'!$A$1:$BT$1,0),),'Control Panel'!L11)))</f>
        <v>-0.43404999999999999</v>
      </c>
      <c r="M12" s="21">
        <f>IF($K12="","",IF(M$4="","",IF('Control Panel'!M11="",VLOOKUP($F12,'Table Output'!$A:$BW,MATCH(M$4,'Table Output'!$A$1:$BT$1,0),),'Control Panel'!M11)))</f>
        <v>2.9944000000000002</v>
      </c>
      <c r="N12" s="21">
        <f>IF($K12="","",IF(N$4="","",IF('Control Panel'!N11="",VLOOKUP($F12,'Table Output'!$A:$BW,MATCH(N$4,'Table Output'!$A$1:$BT$1,0),),'Control Panel'!N11)))</f>
        <v>-0.37708000000000003</v>
      </c>
      <c r="O12" s="21">
        <f>IF($K12="","",IF(O$4="","",IF('Control Panel'!O11="",VLOOKUP($F12,'Table Output'!$A:$BW,MATCH(O$4,'Table Output'!$A$1:$BT$1,0),),'Control Panel'!O11)))</f>
        <v>3.9379</v>
      </c>
      <c r="P12" s="21">
        <f>IF($K12="","",IF(P$4="","",IF('Control Panel'!P11="",VLOOKUP($F12,'Table Output'!$A:$BW,MATCH(P$4,'Table Output'!$A$1:$BT$1,0),),'Control Panel'!P11)))</f>
        <v>0.03</v>
      </c>
      <c r="Q12" s="21">
        <f>IF($K12="","",IF(Q$4="","",IF('Control Panel'!Q11="",VLOOKUP($F12,'Table Output'!$A:$BW,MATCH(Q$4,'Table Output'!$A$1:$BT$1,0),),'Control Panel'!Q11)))</f>
        <v>0.78717999999999999</v>
      </c>
      <c r="R12" s="21">
        <f>IF($K12="","",IF(R$4="","",IF('Control Panel'!R11="",VLOOKUP($F12,'Table Output'!$A:$BW,MATCH(R$4,'Table Output'!$A$1:$BT$1,0),),'Control Panel'!R11)))</f>
        <v>-5.5248999999999999E-2</v>
      </c>
      <c r="S12" s="21" t="str">
        <f>IF($K12="","",IF(S$4="","",IF('Control Panel'!S11="",VLOOKUP($F12,'Table Output'!$A:$BW,MATCH(S$4,'Table Output'!$A$1:$BT$1,0),),'Control Panel'!S11)))</f>
        <v/>
      </c>
      <c r="T12" s="21" t="str">
        <f>IF($K12="","",IF(T$4="","",IF('Control Panel'!T11="",VLOOKUP($F12,'Table Output'!$A:$BW,MATCH(T$4,'Table Output'!$A$1:$BT$1,0),),'Control Panel'!T11)))</f>
        <v/>
      </c>
      <c r="U12" s="21" t="str">
        <f>IF($K12="","",IF(U$4="","",IF('Control Panel'!U11="",VLOOKUP($F12,'Table Output'!$A:$BW,MATCH(U$4,'Table Output'!$A$1:$BT$1,0),),'Control Panel'!U11)))</f>
        <v/>
      </c>
      <c r="W12" s="21">
        <f>IF($K12="","",IF('Control Panel'!W11="",VLOOKUP($F12,'Table Output'!$A$2:$BW$99998,MATCH(W$4,'Table Output'!$A$1:$BT$1,0),),'Control Panel'!W11))</f>
        <v>0</v>
      </c>
      <c r="X12" s="21">
        <f>IF($K12="","",IF('Control Panel'!X11="",VLOOKUP($F12,'Table Output'!$A$2:$BW$99998,MATCH(X$4,'Table Output'!$A$1:$BT$1,0),),'Control Panel'!X11))</f>
        <v>1</v>
      </c>
      <c r="Y12" s="21">
        <f>IF($K12="","",IF('Control Panel'!Y11="",VLOOKUP($F12,'Table Output'!$A$2:$BW$99998,MATCH(Y$4,'Table Output'!$A$1:$BT$1,0),),'Control Panel'!Y11))</f>
        <v>1</v>
      </c>
      <c r="Z12" s="21">
        <f>IF($K12="","",IF('Control Panel'!Z11="",VLOOKUP($F12,'Table Output'!$A$2:$BW$99998,MATCH(Z$4,'Table Output'!$A$1:$BT$1,0),),'Control Panel'!Z11))</f>
        <v>0</v>
      </c>
      <c r="AA12" s="21">
        <f>IF($K12="","",IF('Control Panel'!AA11="",VLOOKUP($F12,'Table Output'!$A$2:$BW$99998,MATCH(AA$4,'Table Output'!$A$1:$BT$1,0),),'Control Panel'!AA11))</f>
        <v>0</v>
      </c>
      <c r="AB12" s="21">
        <f>IF($K12="","",IF('Control Panel'!AB11="",VLOOKUP($F12,'Table Output'!$A$2:$BW$99998,MATCH(AB$4,'Table Output'!$A$1:$BT$1,0),),'Control Panel'!AB11))</f>
        <v>1</v>
      </c>
      <c r="AC12" s="21">
        <f>IF($K12="","",IF('Control Panel'!AC11="",VLOOKUP($F12,'Table Output'!$A$2:$BW$99998,MATCH(AC$4,'Table Output'!$A$1:$BT$1,0),),'Control Panel'!AC11))</f>
        <v>0</v>
      </c>
      <c r="AD12" s="21">
        <f>IF($K12="","",IF('Control Panel'!AD11="",VLOOKUP($F12,'Table Output'!$A$2:$BW$99998,MATCH(AD$4,'Table Output'!$A$1:$BT$1,0),),'Control Panel'!AD11))</f>
        <v>0</v>
      </c>
      <c r="AE12" s="21">
        <f>IF($K12="","",IF('Control Panel'!AE11="",VLOOKUP($F12,'Table Output'!$A$2:$BW$99998,MATCH(AE$4,'Table Output'!$A$1:$BT$1,0),),'Control Panel'!AE11))</f>
        <v>1</v>
      </c>
      <c r="AF12" s="21">
        <f>IF($K12="","",IF('Control Panel'!AF11="",VLOOKUP($F12,'Table Output'!$A$2:$BW$99998,MATCH(AF$4,'Table Output'!$A$1:$BT$1,0),),'Control Panel'!AF11))</f>
        <v>0</v>
      </c>
      <c r="AG12" s="21">
        <f>IF($K12="","",IF('Control Panel'!AG11="",VLOOKUP($F12,'Table Output'!$A$2:$BW$99998,MATCH(AG$4,'Table Output'!$A$1:$BT$1,0),),'Control Panel'!AG11))</f>
        <v>1</v>
      </c>
      <c r="AH12" s="21">
        <f>IF($K12="","",IF('Control Panel'!AH11="",VLOOKUP($F12,'Table Output'!$A$2:$BW$99998,MATCH(AH$4,'Table Output'!$A$1:$BT$1,0),),'Control Panel'!AH11))</f>
        <v>1</v>
      </c>
      <c r="AI12" s="21">
        <f>IF($K12="","",IF('Control Panel'!AI11="",VLOOKUP($F12,'Table Output'!$A$2:$BW$99998,MATCH(AI$4,'Table Output'!$A$1:$BT$1,0),),'Control Panel'!AI11))</f>
        <v>0</v>
      </c>
      <c r="AJ12" s="21">
        <f>IF($K12="","",IF('Control Panel'!AJ11="",VLOOKUP($F12,'Table Output'!$A$2:$BW$99998,MATCH(AJ$4,'Table Output'!$A$1:$BT$1,0),),'Control Panel'!AJ11))</f>
        <v>0</v>
      </c>
      <c r="AK12" s="21">
        <f>IF($K12="","",IF('Control Panel'!AK11="",VLOOKUP($F12,'Table Output'!$A$2:$BW$99998,MATCH(AK$4,'Table Output'!$A$1:$BT$1,0),),'Control Panel'!AK11))</f>
        <v>0</v>
      </c>
      <c r="AL12" s="21">
        <f>IF($K12="","",IF('Control Panel'!AL11="",VLOOKUP($F12,'Table Output'!$A$2:$BW$99998,MATCH(AL$4,'Table Output'!$A$1:$BT$1,0),),'Control Panel'!AL11))</f>
        <v>0</v>
      </c>
      <c r="AN12" s="34">
        <f t="shared" si="0"/>
        <v>8</v>
      </c>
      <c r="AO12" s="31">
        <f>IF(AO$4="","",IF($K12="","",IF('Control Panel'!AO11="",VLOOKUP($F12,'Table Output'!$A$2:$BW$99998,MATCH(AO$4,'Table Output'!$A$1:$BT$1,0),FALSE),'Control Panel'!AO11)))</f>
        <v>1</v>
      </c>
      <c r="AP12" s="31" t="str">
        <f>IF(AP$4="","",IF($K12="","",IF('Control Panel'!AP11="",VLOOKUP($F12,'Table Output'!$A$2:$BW$99998,MATCH(AP$4,'Table Output'!$A$1:$BT$1,0),FALSE),'Control Panel'!AP11)))</f>
        <v/>
      </c>
      <c r="AQ12" s="31" t="str">
        <f>IF(AQ$4="","",IF($K12="","",IF('Control Panel'!AQ11="",VLOOKUP($F12,'Table Output'!$A$2:$BW$99998,MATCH(AQ$4,'Table Output'!$A$1:$BT$1,0),FALSE),'Control Panel'!AQ11)))</f>
        <v/>
      </c>
      <c r="AR12" s="31" t="str">
        <f>IF(AR$4="","",IF($K12="","",IF('Control Panel'!AR11="",VLOOKUP($F12,'Table Output'!$A$2:$BW$99998,MATCH(AR$4,'Table Output'!$A$1:$BT$1,0),FALSE),'Control Panel'!AR11)))</f>
        <v/>
      </c>
      <c r="AS12" s="31" t="str">
        <f>IF(AS$4="","",IF($K12="","",IF('Control Panel'!AS11="",VLOOKUP($F12,'Table Output'!$A$2:$BW$99998,MATCH(AS$4,'Table Output'!$A$1:$BT$1,0),FALSE),'Control Panel'!AS11)))</f>
        <v/>
      </c>
      <c r="AT12" s="31" t="str">
        <f>IF(AT$4="","",IF($K12="","",IF('Control Panel'!AT11="",VLOOKUP($F12,'Table Output'!$A$2:$BW$99998,MATCH(AT$4,'Table Output'!$A$1:$BT$1,0),FALSE),'Control Panel'!AT11)))</f>
        <v/>
      </c>
      <c r="AU12" s="31" t="str">
        <f>IF(AU$4="","",IF($K12="","",IF('Control Panel'!AU11="",VLOOKUP($F12,'Table Output'!$A$2:$BW$99998,MATCH(AU$4,'Table Output'!$A$1:$BT$1,0),FALSE),'Control Panel'!AU11)))</f>
        <v/>
      </c>
      <c r="AV12" s="31" t="str">
        <f>IF(AV$4="","",IF($K12="","",IF('Control Panel'!AV11="",VLOOKUP($F12,'Table Output'!$A$2:$BW$99998,MATCH(AV$4,'Table Output'!$A$1:$BT$1,0),FALSE),'Control Panel'!AV11)))</f>
        <v/>
      </c>
      <c r="AW12" s="31" t="str">
        <f>IF(AW$4="","",IF($K12="","",IF('Control Panel'!AW11="",VLOOKUP($F12,'Table Output'!$A$2:$BW$99998,MATCH(AW$4,'Table Output'!$A$1:$BT$1,0),FALSE),'Control Panel'!AW11)))</f>
        <v/>
      </c>
      <c r="BJ12" s="2" t="s">
        <v>139</v>
      </c>
      <c r="BK12" s="2" t="s">
        <v>94</v>
      </c>
    </row>
    <row r="13" spans="1:63" ht="12" thickBot="1" x14ac:dyDescent="0.25">
      <c r="B13" s="2" t="str">
        <f>'Control Panel'!B13</f>
        <v>Ommit_Bad_curves</v>
      </c>
      <c r="C13" s="2">
        <f>IF('Control Panel'!C13=Switch_options_hidden!C3,1,0)</f>
        <v>0</v>
      </c>
      <c r="E13" s="2">
        <f>IF('Control Panel'!E12="","",'Control Panel'!E12)</f>
        <v>1</v>
      </c>
      <c r="F13" s="2" t="str">
        <f>IF(E13=1,IF('Control Panel'!F12="","",'Control Panel'!F12),"")</f>
        <v>NGI_U3_8</v>
      </c>
      <c r="G13" s="2" t="str">
        <f>IF(E13=1,IF('Control Panel'!G12="","",'Control Panel'!G12),"")</f>
        <v>Empire_Wind_1</v>
      </c>
      <c r="H13" s="2" t="str">
        <f>IF(E13=1,IF('Control Panel'!H12="","",'Control Panel'!H12),"")</f>
        <v>NA</v>
      </c>
      <c r="I13" s="2">
        <f>IF(E13=1,IF('Control Panel'!I12="","",'Control Panel'!I12),"")</f>
        <v>7</v>
      </c>
      <c r="J13" s="2" t="str">
        <f>IF(E13=1,IF('Control Panel'!J12="","",'Control Panel'!J12),"")</f>
        <v>NGI_U3_8</v>
      </c>
      <c r="K13" s="25">
        <f>IF(E13=1,IF('Control Panel'!K12="","",'Control Panel'!K12),"")</f>
        <v>9</v>
      </c>
      <c r="L13" s="21">
        <f>IF($K13="","",IF(L$4="","",IF('Control Panel'!L12="",VLOOKUP($F13,'Table Output'!$A:$BW,MATCH(L$4,'Table Output'!$A$1:$BT$1,0),),'Control Panel'!L12)))</f>
        <v>-0.51124999999999998</v>
      </c>
      <c r="M13" s="21">
        <f>IF($K13="","",IF(M$4="","",IF('Control Panel'!M12="",VLOOKUP($F13,'Table Output'!$A:$BW,MATCH(M$4,'Table Output'!$A$1:$BT$1,0),),'Control Panel'!M12)))</f>
        <v>3.3115000000000001</v>
      </c>
      <c r="N13" s="21">
        <f>IF($K13="","",IF(N$4="","",IF('Control Panel'!N12="",VLOOKUP($F13,'Table Output'!$A:$BW,MATCH(N$4,'Table Output'!$A$1:$BT$1,0),),'Control Panel'!N12)))</f>
        <v>-0.42429</v>
      </c>
      <c r="O13" s="21">
        <f>IF($K13="","",IF(O$4="","",IF('Control Panel'!O12="",VLOOKUP($F13,'Table Output'!$A:$BW,MATCH(O$4,'Table Output'!$A$1:$BT$1,0),),'Control Panel'!O12)))</f>
        <v>3.6095999999999999</v>
      </c>
      <c r="P13" s="21">
        <f>IF($K13="","",IF(P$4="","",IF('Control Panel'!P12="",VLOOKUP($F13,'Table Output'!$A:$BW,MATCH(P$4,'Table Output'!$A$1:$BT$1,0),),'Control Panel'!P12)))</f>
        <v>0.03</v>
      </c>
      <c r="Q13" s="21">
        <f>IF($K13="","",IF(Q$4="","",IF('Control Panel'!Q12="",VLOOKUP($F13,'Table Output'!$A:$BW,MATCH(Q$4,'Table Output'!$A$1:$BT$1,0),),'Control Panel'!Q12)))</f>
        <v>0.87512999999999996</v>
      </c>
      <c r="R13" s="21">
        <f>IF($K13="","",IF(R$4="","",IF('Control Panel'!R12="",VLOOKUP($F13,'Table Output'!$A:$BW,MATCH(R$4,'Table Output'!$A$1:$BT$1,0),),'Control Panel'!R12)))</f>
        <v>-6.2953999999999996E-2</v>
      </c>
      <c r="S13" s="21" t="str">
        <f>IF($K13="","",IF(S$4="","",IF('Control Panel'!S12="",VLOOKUP($F13,'Table Output'!$A:$BW,MATCH(S$4,'Table Output'!$A$1:$BT$1,0),),'Control Panel'!S12)))</f>
        <v/>
      </c>
      <c r="T13" s="21" t="str">
        <f>IF($K13="","",IF(T$4="","",IF('Control Panel'!T12="",VLOOKUP($F13,'Table Output'!$A:$BW,MATCH(T$4,'Table Output'!$A$1:$BT$1,0),),'Control Panel'!T12)))</f>
        <v/>
      </c>
      <c r="U13" s="21" t="str">
        <f>IF($K13="","",IF(U$4="","",IF('Control Panel'!U12="",VLOOKUP($F13,'Table Output'!$A:$BW,MATCH(U$4,'Table Output'!$A$1:$BT$1,0),),'Control Panel'!U12)))</f>
        <v/>
      </c>
      <c r="W13" s="21">
        <f>IF($K13="","",IF('Control Panel'!W12="",VLOOKUP($F13,'Table Output'!$A$2:$BW$99998,MATCH(W$4,'Table Output'!$A$1:$BT$1,0),),'Control Panel'!W12))</f>
        <v>0</v>
      </c>
      <c r="X13" s="21">
        <f>IF($K13="","",IF('Control Panel'!X12="",VLOOKUP($F13,'Table Output'!$A$2:$BW$99998,MATCH(X$4,'Table Output'!$A$1:$BT$1,0),),'Control Panel'!X12))</f>
        <v>1</v>
      </c>
      <c r="Y13" s="21">
        <f>IF($K13="","",IF('Control Panel'!Y12="",VLOOKUP($F13,'Table Output'!$A$2:$BW$99998,MATCH(Y$4,'Table Output'!$A$1:$BT$1,0),),'Control Panel'!Y12))</f>
        <v>1</v>
      </c>
      <c r="Z13" s="21">
        <f>IF($K13="","",IF('Control Panel'!Z12="",VLOOKUP($F13,'Table Output'!$A$2:$BW$99998,MATCH(Z$4,'Table Output'!$A$1:$BT$1,0),),'Control Panel'!Z12))</f>
        <v>0</v>
      </c>
      <c r="AA13" s="21">
        <f>IF($K13="","",IF('Control Panel'!AA12="",VLOOKUP($F13,'Table Output'!$A$2:$BW$99998,MATCH(AA$4,'Table Output'!$A$1:$BT$1,0),),'Control Panel'!AA12))</f>
        <v>0</v>
      </c>
      <c r="AB13" s="21">
        <f>IF($K13="","",IF('Control Panel'!AB12="",VLOOKUP($F13,'Table Output'!$A$2:$BW$99998,MATCH(AB$4,'Table Output'!$A$1:$BT$1,0),),'Control Panel'!AB12))</f>
        <v>1</v>
      </c>
      <c r="AC13" s="21">
        <f>IF($K13="","",IF('Control Panel'!AC12="",VLOOKUP($F13,'Table Output'!$A$2:$BW$99998,MATCH(AC$4,'Table Output'!$A$1:$BT$1,0),),'Control Panel'!AC12))</f>
        <v>0</v>
      </c>
      <c r="AD13" s="21">
        <f>IF($K13="","",IF('Control Panel'!AD12="",VLOOKUP($F13,'Table Output'!$A$2:$BW$99998,MATCH(AD$4,'Table Output'!$A$1:$BT$1,0),),'Control Panel'!AD12))</f>
        <v>0</v>
      </c>
      <c r="AE13" s="21">
        <f>IF($K13="","",IF('Control Panel'!AE12="",VLOOKUP($F13,'Table Output'!$A$2:$BW$99998,MATCH(AE$4,'Table Output'!$A$1:$BT$1,0),),'Control Panel'!AE12))</f>
        <v>1</v>
      </c>
      <c r="AF13" s="21">
        <f>IF($K13="","",IF('Control Panel'!AF12="",VLOOKUP($F13,'Table Output'!$A$2:$BW$99998,MATCH(AF$4,'Table Output'!$A$1:$BT$1,0),),'Control Panel'!AF12))</f>
        <v>0</v>
      </c>
      <c r="AG13" s="21">
        <f>IF($K13="","",IF('Control Panel'!AG12="",VLOOKUP($F13,'Table Output'!$A$2:$BW$99998,MATCH(AG$4,'Table Output'!$A$1:$BT$1,0),),'Control Panel'!AG12))</f>
        <v>1</v>
      </c>
      <c r="AH13" s="21">
        <f>IF($K13="","",IF('Control Panel'!AH12="",VLOOKUP($F13,'Table Output'!$A$2:$BW$99998,MATCH(AH$4,'Table Output'!$A$1:$BT$1,0),),'Control Panel'!AH12))</f>
        <v>1</v>
      </c>
      <c r="AI13" s="21">
        <f>IF($K13="","",IF('Control Panel'!AI12="",VLOOKUP($F13,'Table Output'!$A$2:$BW$99998,MATCH(AI$4,'Table Output'!$A$1:$BT$1,0),),'Control Panel'!AI12))</f>
        <v>0</v>
      </c>
      <c r="AJ13" s="21">
        <f>IF($K13="","",IF('Control Panel'!AJ12="",VLOOKUP($F13,'Table Output'!$A$2:$BW$99998,MATCH(AJ$4,'Table Output'!$A$1:$BT$1,0),),'Control Panel'!AJ12))</f>
        <v>0</v>
      </c>
      <c r="AK13" s="21">
        <f>IF($K13="","",IF('Control Panel'!AK12="",VLOOKUP($F13,'Table Output'!$A$2:$BW$99998,MATCH(AK$4,'Table Output'!$A$1:$BT$1,0),),'Control Panel'!AK12))</f>
        <v>0</v>
      </c>
      <c r="AL13" s="21">
        <f>IF($K13="","",IF('Control Panel'!AL12="",VLOOKUP($F13,'Table Output'!$A$2:$BW$99998,MATCH(AL$4,'Table Output'!$A$1:$BT$1,0),),'Control Panel'!AL12))</f>
        <v>0</v>
      </c>
      <c r="AN13" s="34">
        <f t="shared" si="0"/>
        <v>9</v>
      </c>
      <c r="AO13" s="31">
        <f>IF(AO$4="","",IF($K13="","",IF('Control Panel'!AO12="",VLOOKUP($F13,'Table Output'!$A$2:$BW$99998,MATCH(AO$4,'Table Output'!$A$1:$BT$1,0),FALSE),'Control Panel'!AO12)))</f>
        <v>1</v>
      </c>
      <c r="AP13" s="31" t="str">
        <f>IF(AP$4="","",IF($K13="","",IF('Control Panel'!AP12="",VLOOKUP($F13,'Table Output'!$A$2:$BW$99998,MATCH(AP$4,'Table Output'!$A$1:$BT$1,0),FALSE),'Control Panel'!AP12)))</f>
        <v/>
      </c>
      <c r="AQ13" s="31" t="str">
        <f>IF(AQ$4="","",IF($K13="","",IF('Control Panel'!AQ12="",VLOOKUP($F13,'Table Output'!$A$2:$BW$99998,MATCH(AQ$4,'Table Output'!$A$1:$BT$1,0),FALSE),'Control Panel'!AQ12)))</f>
        <v/>
      </c>
      <c r="AR13" s="31" t="str">
        <f>IF(AR$4="","",IF($K13="","",IF('Control Panel'!AR12="",VLOOKUP($F13,'Table Output'!$A$2:$BW$99998,MATCH(AR$4,'Table Output'!$A$1:$BT$1,0),FALSE),'Control Panel'!AR12)))</f>
        <v/>
      </c>
      <c r="AS13" s="31" t="str">
        <f>IF(AS$4="","",IF($K13="","",IF('Control Panel'!AS12="",VLOOKUP($F13,'Table Output'!$A$2:$BW$99998,MATCH(AS$4,'Table Output'!$A$1:$BT$1,0),FALSE),'Control Panel'!AS12)))</f>
        <v/>
      </c>
      <c r="AT13" s="31" t="str">
        <f>IF(AT$4="","",IF($K13="","",IF('Control Panel'!AT12="",VLOOKUP($F13,'Table Output'!$A$2:$BW$99998,MATCH(AT$4,'Table Output'!$A$1:$BT$1,0),FALSE),'Control Panel'!AT12)))</f>
        <v/>
      </c>
      <c r="AU13" s="31" t="str">
        <f>IF(AU$4="","",IF($K13="","",IF('Control Panel'!AU12="",VLOOKUP($F13,'Table Output'!$A$2:$BW$99998,MATCH(AU$4,'Table Output'!$A$1:$BT$1,0),FALSE),'Control Panel'!AU12)))</f>
        <v/>
      </c>
      <c r="AV13" s="31" t="str">
        <f>IF(AV$4="","",IF($K13="","",IF('Control Panel'!AV12="",VLOOKUP($F13,'Table Output'!$A$2:$BW$99998,MATCH(AV$4,'Table Output'!$A$1:$BT$1,0),FALSE),'Control Panel'!AV12)))</f>
        <v/>
      </c>
      <c r="AW13" s="31" t="str">
        <f>IF(AW$4="","",IF($K13="","",IF('Control Panel'!AW12="",VLOOKUP($F13,'Table Output'!$A$2:$BW$99998,MATCH(AW$4,'Table Output'!$A$1:$BT$1,0),FALSE),'Control Panel'!AW12)))</f>
        <v/>
      </c>
      <c r="BJ13" s="2" t="s">
        <v>140</v>
      </c>
      <c r="BK13" s="2" t="s">
        <v>94</v>
      </c>
    </row>
    <row r="14" spans="1:63" ht="12" thickBot="1" x14ac:dyDescent="0.25">
      <c r="E14" s="2">
        <f>IF('Control Panel'!E13="","",'Control Panel'!E13)</f>
        <v>1</v>
      </c>
      <c r="F14" s="2" t="str">
        <f>IF(E14=1,IF('Control Panel'!F13="","",'Control Panel'!F13),"")</f>
        <v>NGI_U3_8</v>
      </c>
      <c r="G14" s="2" t="str">
        <f>IF(E14=1,IF('Control Panel'!G13="","",'Control Panel'!G13),"")</f>
        <v>Empire_Wind_1</v>
      </c>
      <c r="H14" s="2" t="str">
        <f>IF(E14=1,IF('Control Panel'!H13="","",'Control Panel'!H13),"")</f>
        <v>NA</v>
      </c>
      <c r="I14" s="2">
        <f>IF(E14=1,IF('Control Panel'!I13="","",'Control Panel'!I13),"")</f>
        <v>7</v>
      </c>
      <c r="J14" s="2" t="str">
        <f>IF(E14=1,IF('Control Panel'!J13="","",'Control Panel'!J13),"")</f>
        <v>NGI_U3_8</v>
      </c>
      <c r="K14" s="25">
        <f>IF(E14=1,IF('Control Panel'!K13="","",'Control Panel'!K13),"")</f>
        <v>10</v>
      </c>
      <c r="L14" s="21">
        <f>IF($K14="","",IF(L$4="","",IF('Control Panel'!L13="",VLOOKUP($F14,'Table Output'!$A:$BW,MATCH(L$4,'Table Output'!$A$1:$BT$1,0),),'Control Panel'!L13)))</f>
        <v>-0.51124999999999998</v>
      </c>
      <c r="M14" s="21">
        <f>IF($K14="","",IF(M$4="","",IF('Control Panel'!M13="",VLOOKUP($F14,'Table Output'!$A:$BW,MATCH(M$4,'Table Output'!$A$1:$BT$1,0),),'Control Panel'!M13)))</f>
        <v>3.3115000000000001</v>
      </c>
      <c r="N14" s="21">
        <f>IF($K14="","",IF(N$4="","",IF('Control Panel'!N13="",VLOOKUP($F14,'Table Output'!$A:$BW,MATCH(N$4,'Table Output'!$A$1:$BT$1,0),),'Control Panel'!N13)))</f>
        <v>-0.42429</v>
      </c>
      <c r="O14" s="21">
        <f>IF($K14="","",IF(O$4="","",IF('Control Panel'!O13="",VLOOKUP($F14,'Table Output'!$A:$BW,MATCH(O$4,'Table Output'!$A$1:$BT$1,0),),'Control Panel'!O13)))</f>
        <v>3.6095999999999999</v>
      </c>
      <c r="P14" s="21">
        <f>IF($K14="","",IF(P$4="","",IF('Control Panel'!P13="",VLOOKUP($F14,'Table Output'!$A:$BW,MATCH(P$4,'Table Output'!$A$1:$BT$1,0),),'Control Panel'!P13)))</f>
        <v>0.03</v>
      </c>
      <c r="Q14" s="21">
        <f>IF($K14="","",IF(Q$4="","",IF('Control Panel'!Q13="",VLOOKUP($F14,'Table Output'!$A:$BW,MATCH(Q$4,'Table Output'!$A$1:$BT$1,0),),'Control Panel'!Q13)))</f>
        <v>0.87512999999999996</v>
      </c>
      <c r="R14" s="21">
        <f>IF($K14="","",IF(R$4="","",IF('Control Panel'!R13="",VLOOKUP($F14,'Table Output'!$A:$BW,MATCH(R$4,'Table Output'!$A$1:$BT$1,0),),'Control Panel'!R13)))</f>
        <v>-6.2953999999999996E-2</v>
      </c>
      <c r="S14" s="21" t="str">
        <f>IF($K14="","",IF(S$4="","",IF('Control Panel'!S13="",VLOOKUP($F14,'Table Output'!$A:$BW,MATCH(S$4,'Table Output'!$A$1:$BT$1,0),),'Control Panel'!S13)))</f>
        <v/>
      </c>
      <c r="T14" s="21" t="str">
        <f>IF($K14="","",IF(T$4="","",IF('Control Panel'!T13="",VLOOKUP($F14,'Table Output'!$A:$BW,MATCH(T$4,'Table Output'!$A$1:$BT$1,0),),'Control Panel'!T13)))</f>
        <v/>
      </c>
      <c r="U14" s="21" t="str">
        <f>IF($K14="","",IF(U$4="","",IF('Control Panel'!U13="",VLOOKUP($F14,'Table Output'!$A:$BW,MATCH(U$4,'Table Output'!$A$1:$BT$1,0),),'Control Panel'!U13)))</f>
        <v/>
      </c>
      <c r="W14" s="21">
        <f>IF($K14="","",IF('Control Panel'!W13="",VLOOKUP($F14,'Table Output'!$A$2:$BW$99998,MATCH(W$4,'Table Output'!$A$1:$BT$1,0),),'Control Panel'!W13))</f>
        <v>0</v>
      </c>
      <c r="X14" s="21">
        <f>IF($K14="","",IF('Control Panel'!X13="",VLOOKUP($F14,'Table Output'!$A$2:$BW$99998,MATCH(X$4,'Table Output'!$A$1:$BT$1,0),),'Control Panel'!X13))</f>
        <v>1</v>
      </c>
      <c r="Y14" s="21">
        <f>IF($K14="","",IF('Control Panel'!Y13="",VLOOKUP($F14,'Table Output'!$A$2:$BW$99998,MATCH(Y$4,'Table Output'!$A$1:$BT$1,0),),'Control Panel'!Y13))</f>
        <v>1</v>
      </c>
      <c r="Z14" s="21">
        <f>IF($K14="","",IF('Control Panel'!Z13="",VLOOKUP($F14,'Table Output'!$A$2:$BW$99998,MATCH(Z$4,'Table Output'!$A$1:$BT$1,0),),'Control Panel'!Z13))</f>
        <v>0</v>
      </c>
      <c r="AA14" s="21">
        <f>IF($K14="","",IF('Control Panel'!AA13="",VLOOKUP($F14,'Table Output'!$A$2:$BW$99998,MATCH(AA$4,'Table Output'!$A$1:$BT$1,0),),'Control Panel'!AA13))</f>
        <v>0</v>
      </c>
      <c r="AB14" s="21">
        <f>IF($K14="","",IF('Control Panel'!AB13="",VLOOKUP($F14,'Table Output'!$A$2:$BW$99998,MATCH(AB$4,'Table Output'!$A$1:$BT$1,0),),'Control Panel'!AB13))</f>
        <v>1</v>
      </c>
      <c r="AC14" s="21">
        <f>IF($K14="","",IF('Control Panel'!AC13="",VLOOKUP($F14,'Table Output'!$A$2:$BW$99998,MATCH(AC$4,'Table Output'!$A$1:$BT$1,0),),'Control Panel'!AC13))</f>
        <v>0</v>
      </c>
      <c r="AD14" s="21">
        <f>IF($K14="","",IF('Control Panel'!AD13="",VLOOKUP($F14,'Table Output'!$A$2:$BW$99998,MATCH(AD$4,'Table Output'!$A$1:$BT$1,0),),'Control Panel'!AD13))</f>
        <v>0</v>
      </c>
      <c r="AE14" s="21">
        <f>IF($K14="","",IF('Control Panel'!AE13="",VLOOKUP($F14,'Table Output'!$A$2:$BW$99998,MATCH(AE$4,'Table Output'!$A$1:$BT$1,0),),'Control Panel'!AE13))</f>
        <v>1</v>
      </c>
      <c r="AF14" s="21">
        <f>IF($K14="","",IF('Control Panel'!AF13="",VLOOKUP($F14,'Table Output'!$A$2:$BW$99998,MATCH(AF$4,'Table Output'!$A$1:$BT$1,0),),'Control Panel'!AF13))</f>
        <v>0</v>
      </c>
      <c r="AG14" s="21">
        <f>IF($K14="","",IF('Control Panel'!AG13="",VLOOKUP($F14,'Table Output'!$A$2:$BW$99998,MATCH(AG$4,'Table Output'!$A$1:$BT$1,0),),'Control Panel'!AG13))</f>
        <v>1</v>
      </c>
      <c r="AH14" s="21">
        <f>IF($K14="","",IF('Control Panel'!AH13="",VLOOKUP($F14,'Table Output'!$A$2:$BW$99998,MATCH(AH$4,'Table Output'!$A$1:$BT$1,0),),'Control Panel'!AH13))</f>
        <v>1</v>
      </c>
      <c r="AI14" s="21">
        <f>IF($K14="","",IF('Control Panel'!AI13="",VLOOKUP($F14,'Table Output'!$A$2:$BW$99998,MATCH(AI$4,'Table Output'!$A$1:$BT$1,0),),'Control Panel'!AI13))</f>
        <v>0</v>
      </c>
      <c r="AJ14" s="21">
        <f>IF($K14="","",IF('Control Panel'!AJ13="",VLOOKUP($F14,'Table Output'!$A$2:$BW$99998,MATCH(AJ$4,'Table Output'!$A$1:$BT$1,0),),'Control Panel'!AJ13))</f>
        <v>0</v>
      </c>
      <c r="AK14" s="21">
        <f>IF($K14="","",IF('Control Panel'!AK13="",VLOOKUP($F14,'Table Output'!$A$2:$BW$99998,MATCH(AK$4,'Table Output'!$A$1:$BT$1,0),),'Control Panel'!AK13))</f>
        <v>0</v>
      </c>
      <c r="AL14" s="21">
        <f>IF($K14="","",IF('Control Panel'!AL13="",VLOOKUP($F14,'Table Output'!$A$2:$BW$99998,MATCH(AL$4,'Table Output'!$A$1:$BT$1,0),),'Control Panel'!AL13))</f>
        <v>0</v>
      </c>
      <c r="AN14" s="34">
        <f t="shared" si="0"/>
        <v>10</v>
      </c>
      <c r="AO14" s="31">
        <f>IF(AO$4="","",IF($K14="","",IF('Control Panel'!AO13="",VLOOKUP($F14,'Table Output'!$A$2:$BW$99998,MATCH(AO$4,'Table Output'!$A$1:$BT$1,0),FALSE),'Control Panel'!AO13)))</f>
        <v>1</v>
      </c>
      <c r="AP14" s="31" t="str">
        <f>IF(AP$4="","",IF($K14="","",IF('Control Panel'!AP13="",VLOOKUP($F14,'Table Output'!$A$2:$BW$99998,MATCH(AP$4,'Table Output'!$A$1:$BT$1,0),FALSE),'Control Panel'!AP13)))</f>
        <v/>
      </c>
      <c r="AQ14" s="31" t="str">
        <f>IF(AQ$4="","",IF($K14="","",IF('Control Panel'!AQ13="",VLOOKUP($F14,'Table Output'!$A$2:$BW$99998,MATCH(AQ$4,'Table Output'!$A$1:$BT$1,0),FALSE),'Control Panel'!AQ13)))</f>
        <v/>
      </c>
      <c r="AR14" s="31" t="str">
        <f>IF(AR$4="","",IF($K14="","",IF('Control Panel'!AR13="",VLOOKUP($F14,'Table Output'!$A$2:$BW$99998,MATCH(AR$4,'Table Output'!$A$1:$BT$1,0),FALSE),'Control Panel'!AR13)))</f>
        <v/>
      </c>
      <c r="AS14" s="31" t="str">
        <f>IF(AS$4="","",IF($K14="","",IF('Control Panel'!AS13="",VLOOKUP($F14,'Table Output'!$A$2:$BW$99998,MATCH(AS$4,'Table Output'!$A$1:$BT$1,0),FALSE),'Control Panel'!AS13)))</f>
        <v/>
      </c>
      <c r="AT14" s="31" t="str">
        <f>IF(AT$4="","",IF($K14="","",IF('Control Panel'!AT13="",VLOOKUP($F14,'Table Output'!$A$2:$BW$99998,MATCH(AT$4,'Table Output'!$A$1:$BT$1,0),FALSE),'Control Panel'!AT13)))</f>
        <v/>
      </c>
      <c r="AU14" s="31" t="str">
        <f>IF(AU$4="","",IF($K14="","",IF('Control Panel'!AU13="",VLOOKUP($F14,'Table Output'!$A$2:$BW$99998,MATCH(AU$4,'Table Output'!$A$1:$BT$1,0),FALSE),'Control Panel'!AU13)))</f>
        <v/>
      </c>
      <c r="AV14" s="31" t="str">
        <f>IF(AV$4="","",IF($K14="","",IF('Control Panel'!AV13="",VLOOKUP($F14,'Table Output'!$A$2:$BW$99998,MATCH(AV$4,'Table Output'!$A$1:$BT$1,0),FALSE),'Control Panel'!AV13)))</f>
        <v/>
      </c>
      <c r="AW14" s="31" t="str">
        <f>IF(AW$4="","",IF($K14="","",IF('Control Panel'!AW13="",VLOOKUP($F14,'Table Output'!$A$2:$BW$99998,MATCH(AW$4,'Table Output'!$A$1:$BT$1,0),FALSE),'Control Panel'!AW13)))</f>
        <v/>
      </c>
      <c r="BJ14" s="2" t="s">
        <v>141</v>
      </c>
      <c r="BK14" s="2" t="s">
        <v>94</v>
      </c>
    </row>
    <row r="15" spans="1:63" ht="12" thickBot="1" x14ac:dyDescent="0.25">
      <c r="B15" s="2" t="str">
        <f>'Control Panel'!B15</f>
        <v>Models</v>
      </c>
      <c r="C15" s="2" t="str">
        <f>'Control Panel'!C15</f>
        <v>U03_NGI_L42</v>
      </c>
      <c r="E15" s="2">
        <f>IF('Control Panel'!E14="","",'Control Panel'!E14)</f>
        <v>1</v>
      </c>
      <c r="F15" s="2" t="str">
        <f>IF(E15=1,IF('Control Panel'!F14="","",'Control Panel'!F14),"")</f>
        <v>NGI_U3_9</v>
      </c>
      <c r="G15" s="2" t="str">
        <f>IF(E15=1,IF('Control Panel'!G14="","",'Control Panel'!G14),"")</f>
        <v>Empire_Wind_1</v>
      </c>
      <c r="H15" s="2" t="str">
        <f>IF(E15=1,IF('Control Panel'!H14="","",'Control Panel'!H14),"")</f>
        <v>NA</v>
      </c>
      <c r="I15" s="2">
        <f>IF(E15=1,IF('Control Panel'!I14="","",'Control Panel'!I14),"")</f>
        <v>7</v>
      </c>
      <c r="J15" s="2" t="str">
        <f>IF(E15=1,IF('Control Panel'!J14="","",'Control Panel'!J14),"")</f>
        <v>NGI_U3_9</v>
      </c>
      <c r="K15" s="25">
        <f>IF(E15=1,IF('Control Panel'!K14="","",'Control Panel'!K14),"")</f>
        <v>11</v>
      </c>
      <c r="L15" s="21">
        <f>IF($K15="","",IF(L$4="","",IF('Control Panel'!L14="",VLOOKUP($F15,'Table Output'!$A:$BW,MATCH(L$4,'Table Output'!$A$1:$BT$1,0),),'Control Panel'!L14)))</f>
        <v>300</v>
      </c>
      <c r="M15" s="21">
        <f>IF($K15="","",IF(M$4="","",IF('Control Panel'!M14="",VLOOKUP($F15,'Table Output'!$A:$BW,MATCH(M$4,'Table Output'!$A$1:$BT$1,0),),'Control Panel'!M14)))</f>
        <v>0</v>
      </c>
      <c r="N15" s="21">
        <f>IF($K15="","",IF(N$4="","",IF('Control Panel'!N14="",VLOOKUP($F15,'Table Output'!$A:$BW,MATCH(N$4,'Table Output'!$A$1:$BT$1,0),),'Control Panel'!N14)))</f>
        <v>-0.32</v>
      </c>
      <c r="O15" s="21">
        <f>IF($K15="","",IF(O$4="","",IF('Control Panel'!O14="",VLOOKUP($F15,'Table Output'!$A:$BW,MATCH(O$4,'Table Output'!$A$1:$BT$1,0),),'Control Panel'!O14)))</f>
        <v>2.56</v>
      </c>
      <c r="P15" s="21">
        <f>IF($K15="","",IF(P$4="","",IF('Control Panel'!P14="",VLOOKUP($F15,'Table Output'!$A:$BW,MATCH(P$4,'Table Output'!$A$1:$BT$1,0),),'Control Panel'!P14)))</f>
        <v>0.05</v>
      </c>
      <c r="Q15" s="21">
        <f>IF($K15="","",IF(Q$4="","",IF('Control Panel'!Q14="",VLOOKUP($F15,'Table Output'!$A:$BW,MATCH(Q$4,'Table Output'!$A$1:$BT$1,0),),'Control Panel'!Q14)))</f>
        <v>0.6</v>
      </c>
      <c r="R15" s="21">
        <f>IF($K15="","",IF(R$4="","",IF('Control Panel'!R14="",VLOOKUP($F15,'Table Output'!$A:$BW,MATCH(R$4,'Table Output'!$A$1:$BT$1,0),),'Control Panel'!R14)))</f>
        <v>-0.03</v>
      </c>
      <c r="S15" s="21" t="str">
        <f>IF($K15="","",IF(S$4="","",IF('Control Panel'!S14="",VLOOKUP($F15,'Table Output'!$A:$BW,MATCH(S$4,'Table Output'!$A$1:$BT$1,0),),'Control Panel'!S14)))</f>
        <v/>
      </c>
      <c r="T15" s="21" t="str">
        <f>IF($K15="","",IF(T$4="","",IF('Control Panel'!T14="",VLOOKUP($F15,'Table Output'!$A:$BW,MATCH(T$4,'Table Output'!$A$1:$BT$1,0),),'Control Panel'!T14)))</f>
        <v/>
      </c>
      <c r="U15" s="21" t="str">
        <f>IF($K15="","",IF(U$4="","",IF('Control Panel'!U14="",VLOOKUP($F15,'Table Output'!$A:$BW,MATCH(U$4,'Table Output'!$A$1:$BT$1,0),),'Control Panel'!U14)))</f>
        <v/>
      </c>
      <c r="W15" s="21">
        <f>IF($K15="","",IF('Control Panel'!W14="",VLOOKUP($F15,'Table Output'!$A$2:$BW$99998,MATCH(W$4,'Table Output'!$A$1:$BT$1,0),),'Control Panel'!W14))</f>
        <v>0</v>
      </c>
      <c r="X15" s="21">
        <f>IF($K15="","",IF('Control Panel'!X14="",VLOOKUP($F15,'Table Output'!$A$2:$BW$99998,MATCH(X$4,'Table Output'!$A$1:$BT$1,0),),'Control Panel'!X14))</f>
        <v>2</v>
      </c>
      <c r="Y15" s="21">
        <f>IF($K15="","",IF('Control Panel'!Y14="",VLOOKUP($F15,'Table Output'!$A$2:$BW$99998,MATCH(Y$4,'Table Output'!$A$1:$BT$1,0),),'Control Panel'!Y14))</f>
        <v>1</v>
      </c>
      <c r="Z15" s="21">
        <f>IF($K15="","",IF('Control Panel'!Z14="",VLOOKUP($F15,'Table Output'!$A$2:$BW$99998,MATCH(Z$4,'Table Output'!$A$1:$BT$1,0),),'Control Panel'!Z14))</f>
        <v>1</v>
      </c>
      <c r="AA15" s="21">
        <f>IF($K15="","",IF('Control Panel'!AA14="",VLOOKUP($F15,'Table Output'!$A$2:$BW$99998,MATCH(AA$4,'Table Output'!$A$1:$BT$1,0),),'Control Panel'!AA14))</f>
        <v>0</v>
      </c>
      <c r="AB15" s="21">
        <f>IF($K15="","",IF('Control Panel'!AB14="",VLOOKUP($F15,'Table Output'!$A$2:$BW$99998,MATCH(AB$4,'Table Output'!$A$1:$BT$1,0),),'Control Panel'!AB14))</f>
        <v>1</v>
      </c>
      <c r="AC15" s="21">
        <f>IF($K15="","",IF('Control Panel'!AC14="",VLOOKUP($F15,'Table Output'!$A$2:$BW$99998,MATCH(AC$4,'Table Output'!$A$1:$BT$1,0),),'Control Panel'!AC14))</f>
        <v>1</v>
      </c>
      <c r="AD15" s="21">
        <f>IF($K15="","",IF('Control Panel'!AD14="",VLOOKUP($F15,'Table Output'!$A$2:$BW$99998,MATCH(AD$4,'Table Output'!$A$1:$BT$1,0),),'Control Panel'!AD14))</f>
        <v>0</v>
      </c>
      <c r="AE15" s="21">
        <f>IF($K15="","",IF('Control Panel'!AE14="",VLOOKUP($F15,'Table Output'!$A$2:$BW$99998,MATCH(AE$4,'Table Output'!$A$1:$BT$1,0),),'Control Panel'!AE14))</f>
        <v>0</v>
      </c>
      <c r="AF15" s="21">
        <f>IF($K15="","",IF('Control Panel'!AF14="",VLOOKUP($F15,'Table Output'!$A$2:$BW$99998,MATCH(AF$4,'Table Output'!$A$1:$BT$1,0),),'Control Panel'!AF14))</f>
        <v>0</v>
      </c>
      <c r="AG15" s="21">
        <f>IF($K15="","",IF('Control Panel'!AG14="",VLOOKUP($F15,'Table Output'!$A$2:$BW$99998,MATCH(AG$4,'Table Output'!$A$1:$BT$1,0),),'Control Panel'!AG14))</f>
        <v>1</v>
      </c>
      <c r="AH15" s="21">
        <f>IF($K15="","",IF('Control Panel'!AH14="",VLOOKUP($F15,'Table Output'!$A$2:$BW$99998,MATCH(AH$4,'Table Output'!$A$1:$BT$1,0),),'Control Panel'!AH14))</f>
        <v>1</v>
      </c>
      <c r="AI15" s="21">
        <f>IF($K15="","",IF('Control Panel'!AI14="",VLOOKUP($F15,'Table Output'!$A$2:$BW$99998,MATCH(AI$4,'Table Output'!$A$1:$BT$1,0),),'Control Panel'!AI14))</f>
        <v>0</v>
      </c>
      <c r="AJ15" s="21">
        <f>IF($K15="","",IF('Control Panel'!AJ14="",VLOOKUP($F15,'Table Output'!$A$2:$BW$99998,MATCH(AJ$4,'Table Output'!$A$1:$BT$1,0),),'Control Panel'!AJ14))</f>
        <v>0</v>
      </c>
      <c r="AK15" s="21">
        <f>IF($K15="","",IF('Control Panel'!AK14="",VLOOKUP($F15,'Table Output'!$A$2:$BW$99998,MATCH(AK$4,'Table Output'!$A$1:$BT$1,0),),'Control Panel'!AK14))</f>
        <v>1</v>
      </c>
      <c r="AL15" s="21">
        <f>IF($K15="","",IF('Control Panel'!AL14="",VLOOKUP($F15,'Table Output'!$A$2:$BW$99998,MATCH(AL$4,'Table Output'!$A$1:$BT$1,0),),'Control Panel'!AL14))</f>
        <v>1</v>
      </c>
      <c r="AN15" s="34">
        <f t="shared" si="0"/>
        <v>11</v>
      </c>
      <c r="AO15" s="31">
        <f>IF(AO$4="","",IF($K15="","",IF('Control Panel'!AO14="",VLOOKUP($F15,'Table Output'!$A$2:$BW$99998,MATCH(AO$4,'Table Output'!$A$1:$BT$1,0),FALSE),'Control Panel'!AO14)))</f>
        <v>1</v>
      </c>
      <c r="AP15" s="31" t="str">
        <f>IF(AP$4="","",IF($K15="","",IF('Control Panel'!AP14="",VLOOKUP($F15,'Table Output'!$A$2:$BW$99998,MATCH(AP$4,'Table Output'!$A$1:$BT$1,0),FALSE),'Control Panel'!AP14)))</f>
        <v/>
      </c>
      <c r="AQ15" s="31" t="str">
        <f>IF(AQ$4="","",IF($K15="","",IF('Control Panel'!AQ14="",VLOOKUP($F15,'Table Output'!$A$2:$BW$99998,MATCH(AQ$4,'Table Output'!$A$1:$BT$1,0),FALSE),'Control Panel'!AQ14)))</f>
        <v/>
      </c>
      <c r="AR15" s="31" t="str">
        <f>IF(AR$4="","",IF($K15="","",IF('Control Panel'!AR14="",VLOOKUP($F15,'Table Output'!$A$2:$BW$99998,MATCH(AR$4,'Table Output'!$A$1:$BT$1,0),FALSE),'Control Panel'!AR14)))</f>
        <v/>
      </c>
      <c r="AS15" s="31" t="str">
        <f>IF(AS$4="","",IF($K15="","",IF('Control Panel'!AS14="",VLOOKUP($F15,'Table Output'!$A$2:$BW$99998,MATCH(AS$4,'Table Output'!$A$1:$BT$1,0),FALSE),'Control Panel'!AS14)))</f>
        <v/>
      </c>
      <c r="AT15" s="31" t="str">
        <f>IF(AT$4="","",IF($K15="","",IF('Control Panel'!AT14="",VLOOKUP($F15,'Table Output'!$A$2:$BW$99998,MATCH(AT$4,'Table Output'!$A$1:$BT$1,0),FALSE),'Control Panel'!AT14)))</f>
        <v/>
      </c>
      <c r="AU15" s="31" t="str">
        <f>IF(AU$4="","",IF($K15="","",IF('Control Panel'!AU14="",VLOOKUP($F15,'Table Output'!$A$2:$BW$99998,MATCH(AU$4,'Table Output'!$A$1:$BT$1,0),FALSE),'Control Panel'!AU14)))</f>
        <v/>
      </c>
      <c r="AV15" s="31" t="str">
        <f>IF(AV$4="","",IF($K15="","",IF('Control Panel'!AV14="",VLOOKUP($F15,'Table Output'!$A$2:$BW$99998,MATCH(AV$4,'Table Output'!$A$1:$BT$1,0),FALSE),'Control Panel'!AV14)))</f>
        <v/>
      </c>
      <c r="AW15" s="31" t="str">
        <f>IF(AW$4="","",IF($K15="","",IF('Control Panel'!AW14="",VLOOKUP($F15,'Table Output'!$A$2:$BW$99998,MATCH(AW$4,'Table Output'!$A$1:$BT$1,0),FALSE),'Control Panel'!AW14)))</f>
        <v/>
      </c>
      <c r="BJ15" s="2" t="s">
        <v>87</v>
      </c>
      <c r="BK15" s="2" t="s">
        <v>95</v>
      </c>
    </row>
    <row r="16" spans="1:63" ht="12" thickBot="1" x14ac:dyDescent="0.25">
      <c r="B16" s="2" t="str">
        <f>'Control Panel'!B16</f>
        <v>Load levels</v>
      </c>
      <c r="C16" s="2" t="str">
        <f>'Control Panel'!C16</f>
        <v>D_10,D_200</v>
      </c>
      <c r="E16" s="2">
        <f>IF('Control Panel'!E15="","",'Control Panel'!E15)</f>
        <v>1</v>
      </c>
      <c r="F16" s="2" t="str">
        <f>IF(E16=1,IF('Control Panel'!F15="","",'Control Panel'!F15),"")</f>
        <v>NGI_U3_10</v>
      </c>
      <c r="G16" s="2" t="str">
        <f>IF(E16=1,IF('Control Panel'!G15="","",'Control Panel'!G15),"")</f>
        <v>Empire_Wind_1</v>
      </c>
      <c r="H16" s="2" t="str">
        <f>IF(E16=1,IF('Control Panel'!H15="","",'Control Panel'!H15),"")</f>
        <v>NA</v>
      </c>
      <c r="I16" s="2">
        <f>IF(E16=1,IF('Control Panel'!I15="","",'Control Panel'!I15),"")</f>
        <v>7</v>
      </c>
      <c r="J16" s="2" t="str">
        <f>IF(E16=1,IF('Control Panel'!J15="","",'Control Panel'!J15),"")</f>
        <v>NGI_U3_10</v>
      </c>
      <c r="K16" s="25">
        <f>IF(E16=1,IF('Control Panel'!K15="","",'Control Panel'!K15),"")</f>
        <v>12</v>
      </c>
      <c r="L16" s="21">
        <f>IF($K16="","",IF(L$4="","",IF('Control Panel'!L15="",VLOOKUP($F16,'Table Output'!$A:$BW,MATCH(L$4,'Table Output'!$A$1:$BT$1,0),),'Control Panel'!L15)))</f>
        <v>300</v>
      </c>
      <c r="M16" s="21">
        <f>IF($K16="","",IF(M$4="","",IF('Control Panel'!M15="",VLOOKUP($F16,'Table Output'!$A:$BW,MATCH(M$4,'Table Output'!$A$1:$BT$1,0),),'Control Panel'!M15)))</f>
        <v>0</v>
      </c>
      <c r="N16" s="21">
        <f>IF($K16="","",IF(N$4="","",IF('Control Panel'!N15="",VLOOKUP($F16,'Table Output'!$A:$BW,MATCH(N$4,'Table Output'!$A$1:$BT$1,0),),'Control Panel'!N15)))</f>
        <v>-0.32</v>
      </c>
      <c r="O16" s="21">
        <f>IF($K16="","",IF(O$4="","",IF('Control Panel'!O15="",VLOOKUP($F16,'Table Output'!$A:$BW,MATCH(O$4,'Table Output'!$A$1:$BT$1,0),),'Control Panel'!O15)))</f>
        <v>2.56</v>
      </c>
      <c r="P16" s="21">
        <f>IF($K16="","",IF(P$4="","",IF('Control Panel'!P15="",VLOOKUP($F16,'Table Output'!$A:$BW,MATCH(P$4,'Table Output'!$A$1:$BT$1,0),),'Control Panel'!P15)))</f>
        <v>0.05</v>
      </c>
      <c r="Q16" s="21">
        <f>IF($K16="","",IF(Q$4="","",IF('Control Panel'!Q15="",VLOOKUP($F16,'Table Output'!$A:$BW,MATCH(Q$4,'Table Output'!$A$1:$BT$1,0),),'Control Panel'!Q15)))</f>
        <v>0.6</v>
      </c>
      <c r="R16" s="21">
        <f>IF($K16="","",IF(R$4="","",IF('Control Panel'!R15="",VLOOKUP($F16,'Table Output'!$A:$BW,MATCH(R$4,'Table Output'!$A$1:$BT$1,0),),'Control Panel'!R15)))</f>
        <v>-0.03</v>
      </c>
      <c r="S16" s="21" t="str">
        <f>IF($K16="","",IF(S$4="","",IF('Control Panel'!S15="",VLOOKUP($F16,'Table Output'!$A:$BW,MATCH(S$4,'Table Output'!$A$1:$BT$1,0),),'Control Panel'!S15)))</f>
        <v/>
      </c>
      <c r="T16" s="21" t="str">
        <f>IF($K16="","",IF(T$4="","",IF('Control Panel'!T15="",VLOOKUP($F16,'Table Output'!$A:$BW,MATCH(T$4,'Table Output'!$A$1:$BT$1,0),),'Control Panel'!T15)))</f>
        <v/>
      </c>
      <c r="U16" s="21" t="str">
        <f>IF($K16="","",IF(U$4="","",IF('Control Panel'!U15="",VLOOKUP($F16,'Table Output'!$A:$BW,MATCH(U$4,'Table Output'!$A$1:$BT$1,0),),'Control Panel'!U15)))</f>
        <v/>
      </c>
      <c r="W16" s="21">
        <f>IF($K16="","",IF('Control Panel'!W15="",VLOOKUP($F16,'Table Output'!$A$2:$BW$99998,MATCH(W$4,'Table Output'!$A$1:$BT$1,0),),'Control Panel'!W15))</f>
        <v>0</v>
      </c>
      <c r="X16" s="21">
        <f>IF($K16="","",IF('Control Panel'!X15="",VLOOKUP($F16,'Table Output'!$A$2:$BW$99998,MATCH(X$4,'Table Output'!$A$1:$BT$1,0),),'Control Panel'!X15))</f>
        <v>2</v>
      </c>
      <c r="Y16" s="21">
        <f>IF($K16="","",IF('Control Panel'!Y15="",VLOOKUP($F16,'Table Output'!$A$2:$BW$99998,MATCH(Y$4,'Table Output'!$A$1:$BT$1,0),),'Control Panel'!Y15))</f>
        <v>1</v>
      </c>
      <c r="Z16" s="21">
        <f>IF($K16="","",IF('Control Panel'!Z15="",VLOOKUP($F16,'Table Output'!$A$2:$BW$99998,MATCH(Z$4,'Table Output'!$A$1:$BT$1,0),),'Control Panel'!Z15))</f>
        <v>1</v>
      </c>
      <c r="AA16" s="21">
        <f>IF($K16="","",IF('Control Panel'!AA15="",VLOOKUP($F16,'Table Output'!$A$2:$BW$99998,MATCH(AA$4,'Table Output'!$A$1:$BT$1,0),),'Control Panel'!AA15))</f>
        <v>0</v>
      </c>
      <c r="AB16" s="21">
        <f>IF($K16="","",IF('Control Panel'!AB15="",VLOOKUP($F16,'Table Output'!$A$2:$BW$99998,MATCH(AB$4,'Table Output'!$A$1:$BT$1,0),),'Control Panel'!AB15))</f>
        <v>1</v>
      </c>
      <c r="AC16" s="21">
        <f>IF($K16="","",IF('Control Panel'!AC15="",VLOOKUP($F16,'Table Output'!$A$2:$BW$99998,MATCH(AC$4,'Table Output'!$A$1:$BT$1,0),),'Control Panel'!AC15))</f>
        <v>1</v>
      </c>
      <c r="AD16" s="21">
        <f>IF($K16="","",IF('Control Panel'!AD15="",VLOOKUP($F16,'Table Output'!$A$2:$BW$99998,MATCH(AD$4,'Table Output'!$A$1:$BT$1,0),),'Control Panel'!AD15))</f>
        <v>0</v>
      </c>
      <c r="AE16" s="21">
        <f>IF($K16="","",IF('Control Panel'!AE15="",VLOOKUP($F16,'Table Output'!$A$2:$BW$99998,MATCH(AE$4,'Table Output'!$A$1:$BT$1,0),),'Control Panel'!AE15))</f>
        <v>0</v>
      </c>
      <c r="AF16" s="21">
        <f>IF($K16="","",IF('Control Panel'!AF15="",VLOOKUP($F16,'Table Output'!$A$2:$BW$99998,MATCH(AF$4,'Table Output'!$A$1:$BT$1,0),),'Control Panel'!AF15))</f>
        <v>0</v>
      </c>
      <c r="AG16" s="21">
        <f>IF($K16="","",IF('Control Panel'!AG15="",VLOOKUP($F16,'Table Output'!$A$2:$BW$99998,MATCH(AG$4,'Table Output'!$A$1:$BT$1,0),),'Control Panel'!AG15))</f>
        <v>1</v>
      </c>
      <c r="AH16" s="21">
        <f>IF($K16="","",IF('Control Panel'!AH15="",VLOOKUP($F16,'Table Output'!$A$2:$BW$99998,MATCH(AH$4,'Table Output'!$A$1:$BT$1,0),),'Control Panel'!AH15))</f>
        <v>1</v>
      </c>
      <c r="AI16" s="21">
        <f>IF($K16="","",IF('Control Panel'!AI15="",VLOOKUP($F16,'Table Output'!$A$2:$BW$99998,MATCH(AI$4,'Table Output'!$A$1:$BT$1,0),),'Control Panel'!AI15))</f>
        <v>0</v>
      </c>
      <c r="AJ16" s="21">
        <f>IF($K16="","",IF('Control Panel'!AJ15="",VLOOKUP($F16,'Table Output'!$A$2:$BW$99998,MATCH(AJ$4,'Table Output'!$A$1:$BT$1,0),),'Control Panel'!AJ15))</f>
        <v>0</v>
      </c>
      <c r="AK16" s="21">
        <f>IF($K16="","",IF('Control Panel'!AK15="",VLOOKUP($F16,'Table Output'!$A$2:$BW$99998,MATCH(AK$4,'Table Output'!$A$1:$BT$1,0),),'Control Panel'!AK15))</f>
        <v>1</v>
      </c>
      <c r="AL16" s="21">
        <f>IF($K16="","",IF('Control Panel'!AL15="",VLOOKUP($F16,'Table Output'!$A$2:$BW$99998,MATCH(AL$4,'Table Output'!$A$1:$BT$1,0),),'Control Panel'!AL15))</f>
        <v>1</v>
      </c>
      <c r="AN16" s="34">
        <f t="shared" si="0"/>
        <v>12</v>
      </c>
      <c r="AO16" s="31">
        <f>IF(AO$4="","",IF($K16="","",IF('Control Panel'!AO15="",VLOOKUP($F16,'Table Output'!$A$2:$BW$99998,MATCH(AO$4,'Table Output'!$A$1:$BT$1,0),FALSE),'Control Panel'!AO15)))</f>
        <v>1</v>
      </c>
      <c r="AP16" s="31" t="str">
        <f>IF(AP$4="","",IF($K16="","",IF('Control Panel'!AP15="",VLOOKUP($F16,'Table Output'!$A$2:$BW$99998,MATCH(AP$4,'Table Output'!$A$1:$BT$1,0),FALSE),'Control Panel'!AP15)))</f>
        <v/>
      </c>
      <c r="AQ16" s="31" t="str">
        <f>IF(AQ$4="","",IF($K16="","",IF('Control Panel'!AQ15="",VLOOKUP($F16,'Table Output'!$A$2:$BW$99998,MATCH(AQ$4,'Table Output'!$A$1:$BT$1,0),FALSE),'Control Panel'!AQ15)))</f>
        <v/>
      </c>
      <c r="AR16" s="31" t="str">
        <f>IF(AR$4="","",IF($K16="","",IF('Control Panel'!AR15="",VLOOKUP($F16,'Table Output'!$A$2:$BW$99998,MATCH(AR$4,'Table Output'!$A$1:$BT$1,0),FALSE),'Control Panel'!AR15)))</f>
        <v/>
      </c>
      <c r="AS16" s="31" t="str">
        <f>IF(AS$4="","",IF($K16="","",IF('Control Panel'!AS15="",VLOOKUP($F16,'Table Output'!$A$2:$BW$99998,MATCH(AS$4,'Table Output'!$A$1:$BT$1,0),FALSE),'Control Panel'!AS15)))</f>
        <v/>
      </c>
      <c r="AT16" s="31" t="str">
        <f>IF(AT$4="","",IF($K16="","",IF('Control Panel'!AT15="",VLOOKUP($F16,'Table Output'!$A$2:$BW$99998,MATCH(AT$4,'Table Output'!$A$1:$BT$1,0),FALSE),'Control Panel'!AT15)))</f>
        <v/>
      </c>
      <c r="AU16" s="31" t="str">
        <f>IF(AU$4="","",IF($K16="","",IF('Control Panel'!AU15="",VLOOKUP($F16,'Table Output'!$A$2:$BW$99998,MATCH(AU$4,'Table Output'!$A$1:$BT$1,0),FALSE),'Control Panel'!AU15)))</f>
        <v/>
      </c>
      <c r="AV16" s="31" t="str">
        <f>IF(AV$4="","",IF($K16="","",IF('Control Panel'!AV15="",VLOOKUP($F16,'Table Output'!$A$2:$BW$99998,MATCH(AV$4,'Table Output'!$A$1:$BT$1,0),FALSE),'Control Panel'!AV15)))</f>
        <v/>
      </c>
      <c r="AW16" s="31" t="str">
        <f>IF(AW$4="","",IF($K16="","",IF('Control Panel'!AW15="",VLOOKUP($F16,'Table Output'!$A$2:$BW$99998,MATCH(AW$4,'Table Output'!$A$1:$BT$1,0),FALSE),'Control Panel'!AW15)))</f>
        <v/>
      </c>
      <c r="BJ16" s="2" t="s">
        <v>142</v>
      </c>
      <c r="BK16" s="2" t="s">
        <v>95</v>
      </c>
    </row>
    <row r="17" spans="2:63" ht="12" thickBot="1" x14ac:dyDescent="0.25">
      <c r="B17" s="2" t="str">
        <f>'Control Panel'!B17</f>
        <v>Springs type</v>
      </c>
      <c r="C17" s="2">
        <f>IF('Control Panel'!C17=Switch_options_hidden!D3,0,IF('Control Panel'!C17=Switch_options_hidden!D4,1,IF('Control Panel'!C17=Switch_options_hidden!D5,2,IF('Control Panel'!C17=Switch_options_hidden!D6,3,NA()))))</f>
        <v>0</v>
      </c>
      <c r="E17" s="2">
        <f>IF('Control Panel'!E16="","",'Control Panel'!E16)</f>
        <v>1</v>
      </c>
      <c r="F17" s="2" t="str">
        <f>IF(E17=1,IF('Control Panel'!F16="","",'Control Panel'!F16),"")</f>
        <v>NGI_U3_11</v>
      </c>
      <c r="G17" s="2" t="str">
        <f>IF(E17=1,IF('Control Panel'!G16="","",'Control Panel'!G16),"")</f>
        <v>Empire_Wind_1</v>
      </c>
      <c r="H17" s="2" t="str">
        <f>IF(E17=1,IF('Control Panel'!H16="","",'Control Panel'!H16),"")</f>
        <v>NA</v>
      </c>
      <c r="I17" s="2">
        <f>IF(E17=1,IF('Control Panel'!I16="","",'Control Panel'!I16),"")</f>
        <v>7</v>
      </c>
      <c r="J17" s="2" t="str">
        <f>IF(E17=1,IF('Control Panel'!J16="","",'Control Panel'!J16),"")</f>
        <v>NGI_U3_11</v>
      </c>
      <c r="K17" s="25">
        <f>IF(E17=1,IF('Control Panel'!K16="","",'Control Panel'!K16),"")</f>
        <v>13</v>
      </c>
      <c r="L17" s="21">
        <f>IF($K17="","",IF(L$4="","",IF('Control Panel'!L16="",VLOOKUP($F17,'Table Output'!$A:$BW,MATCH(L$4,'Table Output'!$A$1:$BT$1,0),),'Control Panel'!L16)))</f>
        <v>-0.29369000000000001</v>
      </c>
      <c r="M17" s="21">
        <f>IF($K17="","",IF(M$4="","",IF('Control Panel'!M16="",VLOOKUP($F17,'Table Output'!$A:$BW,MATCH(M$4,'Table Output'!$A$1:$BT$1,0),),'Control Panel'!M16)))</f>
        <v>2.4178000000000002</v>
      </c>
      <c r="N17" s="21">
        <f>IF($K17="","",IF(N$4="","",IF('Control Panel'!N16="",VLOOKUP($F17,'Table Output'!$A:$BW,MATCH(N$4,'Table Output'!$A$1:$BT$1,0),),'Control Panel'!N16)))</f>
        <v>-0.29124</v>
      </c>
      <c r="O17" s="21">
        <f>IF($K17="","",IF(O$4="","",IF('Control Panel'!O16="",VLOOKUP($F17,'Table Output'!$A:$BW,MATCH(O$4,'Table Output'!$A$1:$BT$1,0),),'Control Panel'!O16)))</f>
        <v>4.5349000000000004</v>
      </c>
      <c r="P17" s="21">
        <f>IF($K17="","",IF(P$4="","",IF('Control Panel'!P16="",VLOOKUP($F17,'Table Output'!$A:$BW,MATCH(P$4,'Table Output'!$A$1:$BT$1,0),),'Control Panel'!P16)))</f>
        <v>0.03</v>
      </c>
      <c r="Q17" s="21">
        <f>IF($K17="","",IF(Q$4="","",IF('Control Panel'!Q16="",VLOOKUP($F17,'Table Output'!$A:$BW,MATCH(Q$4,'Table Output'!$A$1:$BT$1,0),),'Control Panel'!Q16)))</f>
        <v>0.62726000000000004</v>
      </c>
      <c r="R17" s="21">
        <f>IF($K17="","",IF(R$4="","",IF('Control Panel'!R16="",VLOOKUP($F17,'Table Output'!$A:$BW,MATCH(R$4,'Table Output'!$A$1:$BT$1,0),),'Control Panel'!R16)))</f>
        <v>-4.1238999999999998E-2</v>
      </c>
      <c r="S17" s="21" t="str">
        <f>IF($K17="","",IF(S$4="","",IF('Control Panel'!S16="",VLOOKUP($F17,'Table Output'!$A:$BW,MATCH(S$4,'Table Output'!$A$1:$BT$1,0),),'Control Panel'!S16)))</f>
        <v/>
      </c>
      <c r="T17" s="21" t="str">
        <f>IF($K17="","",IF(T$4="","",IF('Control Panel'!T16="",VLOOKUP($F17,'Table Output'!$A:$BW,MATCH(T$4,'Table Output'!$A$1:$BT$1,0),),'Control Panel'!T16)))</f>
        <v/>
      </c>
      <c r="U17" s="21" t="str">
        <f>IF($K17="","",IF(U$4="","",IF('Control Panel'!U16="",VLOOKUP($F17,'Table Output'!$A:$BW,MATCH(U$4,'Table Output'!$A$1:$BT$1,0),),'Control Panel'!U16)))</f>
        <v/>
      </c>
      <c r="W17" s="21">
        <f>IF($K17="","",IF('Control Panel'!W16="",VLOOKUP($F17,'Table Output'!$A$2:$BW$99998,MATCH(W$4,'Table Output'!$A$1:$BT$1,0),),'Control Panel'!W16))</f>
        <v>0</v>
      </c>
      <c r="X17" s="21">
        <f>IF($K17="","",IF('Control Panel'!X16="",VLOOKUP($F17,'Table Output'!$A$2:$BW$99998,MATCH(X$4,'Table Output'!$A$1:$BT$1,0),),'Control Panel'!X16))</f>
        <v>1</v>
      </c>
      <c r="Y17" s="21">
        <f>IF($K17="","",IF('Control Panel'!Y16="",VLOOKUP($F17,'Table Output'!$A$2:$BW$99998,MATCH(Y$4,'Table Output'!$A$1:$BT$1,0),),'Control Panel'!Y16))</f>
        <v>1</v>
      </c>
      <c r="Z17" s="21">
        <f>IF($K17="","",IF('Control Panel'!Z16="",VLOOKUP($F17,'Table Output'!$A$2:$BW$99998,MATCH(Z$4,'Table Output'!$A$1:$BT$1,0),),'Control Panel'!Z16))</f>
        <v>0</v>
      </c>
      <c r="AA17" s="21">
        <f>IF($K17="","",IF('Control Panel'!AA16="",VLOOKUP($F17,'Table Output'!$A$2:$BW$99998,MATCH(AA$4,'Table Output'!$A$1:$BT$1,0),),'Control Panel'!AA16))</f>
        <v>0</v>
      </c>
      <c r="AB17" s="21">
        <f>IF($K17="","",IF('Control Panel'!AB16="",VLOOKUP($F17,'Table Output'!$A$2:$BW$99998,MATCH(AB$4,'Table Output'!$A$1:$BT$1,0),),'Control Panel'!AB16))</f>
        <v>1</v>
      </c>
      <c r="AC17" s="21">
        <f>IF($K17="","",IF('Control Panel'!AC16="",VLOOKUP($F17,'Table Output'!$A$2:$BW$99998,MATCH(AC$4,'Table Output'!$A$1:$BT$1,0),),'Control Panel'!AC16))</f>
        <v>0</v>
      </c>
      <c r="AD17" s="21">
        <f>IF($K17="","",IF('Control Panel'!AD16="",VLOOKUP($F17,'Table Output'!$A$2:$BW$99998,MATCH(AD$4,'Table Output'!$A$1:$BT$1,0),),'Control Panel'!AD16))</f>
        <v>0</v>
      </c>
      <c r="AE17" s="21">
        <f>IF($K17="","",IF('Control Panel'!AE16="",VLOOKUP($F17,'Table Output'!$A$2:$BW$99998,MATCH(AE$4,'Table Output'!$A$1:$BT$1,0),),'Control Panel'!AE16))</f>
        <v>1</v>
      </c>
      <c r="AF17" s="21">
        <f>IF($K17="","",IF('Control Panel'!AF16="",VLOOKUP($F17,'Table Output'!$A$2:$BW$99998,MATCH(AF$4,'Table Output'!$A$1:$BT$1,0),),'Control Panel'!AF16))</f>
        <v>0</v>
      </c>
      <c r="AG17" s="21">
        <f>IF($K17="","",IF('Control Panel'!AG16="",VLOOKUP($F17,'Table Output'!$A$2:$BW$99998,MATCH(AG$4,'Table Output'!$A$1:$BT$1,0),),'Control Panel'!AG16))</f>
        <v>1</v>
      </c>
      <c r="AH17" s="21">
        <f>IF($K17="","",IF('Control Panel'!AH16="",VLOOKUP($F17,'Table Output'!$A$2:$BW$99998,MATCH(AH$4,'Table Output'!$A$1:$BT$1,0),),'Control Panel'!AH16))</f>
        <v>1</v>
      </c>
      <c r="AI17" s="21">
        <f>IF($K17="","",IF('Control Panel'!AI16="",VLOOKUP($F17,'Table Output'!$A$2:$BW$99998,MATCH(AI$4,'Table Output'!$A$1:$BT$1,0),),'Control Panel'!AI16))</f>
        <v>0</v>
      </c>
      <c r="AJ17" s="21">
        <f>IF($K17="","",IF('Control Panel'!AJ16="",VLOOKUP($F17,'Table Output'!$A$2:$BW$99998,MATCH(AJ$4,'Table Output'!$A$1:$BT$1,0),),'Control Panel'!AJ16))</f>
        <v>0</v>
      </c>
      <c r="AK17" s="21">
        <f>IF($K17="","",IF('Control Panel'!AK16="",VLOOKUP($F17,'Table Output'!$A$2:$BW$99998,MATCH(AK$4,'Table Output'!$A$1:$BT$1,0),),'Control Panel'!AK16))</f>
        <v>0</v>
      </c>
      <c r="AL17" s="21">
        <f>IF($K17="","",IF('Control Panel'!AL16="",VLOOKUP($F17,'Table Output'!$A$2:$BW$99998,MATCH(AL$4,'Table Output'!$A$1:$BT$1,0),),'Control Panel'!AL16))</f>
        <v>0</v>
      </c>
      <c r="AN17" s="34">
        <f t="shared" si="0"/>
        <v>13</v>
      </c>
      <c r="AO17" s="31">
        <f>IF(AO$4="","",IF($K17="","",IF('Control Panel'!AO16="",VLOOKUP($F17,'Table Output'!$A$2:$BW$99998,MATCH(AO$4,'Table Output'!$A$1:$BT$1,0),FALSE),'Control Panel'!AO16)))</f>
        <v>1</v>
      </c>
      <c r="AP17" s="31" t="str">
        <f>IF(AP$4="","",IF($K17="","",IF('Control Panel'!AP16="",VLOOKUP($F17,'Table Output'!$A$2:$BW$99998,MATCH(AP$4,'Table Output'!$A$1:$BT$1,0),FALSE),'Control Panel'!AP16)))</f>
        <v/>
      </c>
      <c r="AQ17" s="31" t="str">
        <f>IF(AQ$4="","",IF($K17="","",IF('Control Panel'!AQ16="",VLOOKUP($F17,'Table Output'!$A$2:$BW$99998,MATCH(AQ$4,'Table Output'!$A$1:$BT$1,0),FALSE),'Control Panel'!AQ16)))</f>
        <v/>
      </c>
      <c r="AR17" s="31" t="str">
        <f>IF(AR$4="","",IF($K17="","",IF('Control Panel'!AR16="",VLOOKUP($F17,'Table Output'!$A$2:$BW$99998,MATCH(AR$4,'Table Output'!$A$1:$BT$1,0),FALSE),'Control Panel'!AR16)))</f>
        <v/>
      </c>
      <c r="AS17" s="31" t="str">
        <f>IF(AS$4="","",IF($K17="","",IF('Control Panel'!AS16="",VLOOKUP($F17,'Table Output'!$A$2:$BW$99998,MATCH(AS$4,'Table Output'!$A$1:$BT$1,0),FALSE),'Control Panel'!AS16)))</f>
        <v/>
      </c>
      <c r="AT17" s="31" t="str">
        <f>IF(AT$4="","",IF($K17="","",IF('Control Panel'!AT16="",VLOOKUP($F17,'Table Output'!$A$2:$BW$99998,MATCH(AT$4,'Table Output'!$A$1:$BT$1,0),FALSE),'Control Panel'!AT16)))</f>
        <v/>
      </c>
      <c r="AU17" s="31" t="str">
        <f>IF(AU$4="","",IF($K17="","",IF('Control Panel'!AU16="",VLOOKUP($F17,'Table Output'!$A$2:$BW$99998,MATCH(AU$4,'Table Output'!$A$1:$BT$1,0),FALSE),'Control Panel'!AU16)))</f>
        <v/>
      </c>
      <c r="AV17" s="31" t="str">
        <f>IF(AV$4="","",IF($K17="","",IF('Control Panel'!AV16="",VLOOKUP($F17,'Table Output'!$A$2:$BW$99998,MATCH(AV$4,'Table Output'!$A$1:$BT$1,0),FALSE),'Control Panel'!AV16)))</f>
        <v/>
      </c>
      <c r="AW17" s="31" t="str">
        <f>IF(AW$4="","",IF($K17="","",IF('Control Panel'!AW16="",VLOOKUP($F17,'Table Output'!$A$2:$BW$99998,MATCH(AW$4,'Table Output'!$A$1:$BT$1,0),FALSE),'Control Panel'!AW16)))</f>
        <v/>
      </c>
      <c r="BJ17" s="2" t="s">
        <v>89</v>
      </c>
      <c r="BK17" s="2" t="s">
        <v>95</v>
      </c>
    </row>
    <row r="18" spans="2:63" ht="12" thickBot="1" x14ac:dyDescent="0.25">
      <c r="B18" s="2" t="str">
        <f>'Control Panel'!B18</f>
        <v>Stratigraphy</v>
      </c>
      <c r="C18" s="2" t="str">
        <f>'Control Panel'!C18</f>
        <v>Layered</v>
      </c>
      <c r="E18" s="2">
        <f>IF('Control Panel'!E17="","",'Control Panel'!E17)</f>
        <v>1</v>
      </c>
      <c r="F18" s="2" t="str">
        <f>IF(E18=1,IF('Control Panel'!F17="","",'Control Panel'!F17),"")</f>
        <v>NGI_U3_11</v>
      </c>
      <c r="G18" s="2" t="str">
        <f>IF(E18=1,IF('Control Panel'!G17="","",'Control Panel'!G17),"")</f>
        <v>Empire_Wind_1</v>
      </c>
      <c r="H18" s="2" t="str">
        <f>IF(E18=1,IF('Control Panel'!H17="","",'Control Panel'!H17),"")</f>
        <v>NA</v>
      </c>
      <c r="I18" s="2">
        <f>IF(E18=1,IF('Control Panel'!I17="","",'Control Panel'!I17),"")</f>
        <v>7</v>
      </c>
      <c r="J18" s="2" t="str">
        <f>IF(E18=1,IF('Control Panel'!J17="","",'Control Panel'!J17),"")</f>
        <v>NGI_U3_11</v>
      </c>
      <c r="K18" s="25">
        <f>IF(E18=1,IF('Control Panel'!K17="","",'Control Panel'!K17),"")</f>
        <v>14</v>
      </c>
      <c r="L18" s="21">
        <f>IF($K18="","",IF(L$4="","",IF('Control Panel'!L17="",VLOOKUP($F18,'Table Output'!$A:$BW,MATCH(L$4,'Table Output'!$A$1:$BT$1,0),),'Control Panel'!L17)))</f>
        <v>-0.29369000000000001</v>
      </c>
      <c r="M18" s="21">
        <f>IF($K18="","",IF(M$4="","",IF('Control Panel'!M17="",VLOOKUP($F18,'Table Output'!$A:$BW,MATCH(M$4,'Table Output'!$A$1:$BT$1,0),),'Control Panel'!M17)))</f>
        <v>2.4178000000000002</v>
      </c>
      <c r="N18" s="21">
        <f>IF($K18="","",IF(N$4="","",IF('Control Panel'!N17="",VLOOKUP($F18,'Table Output'!$A:$BW,MATCH(N$4,'Table Output'!$A$1:$BT$1,0),),'Control Panel'!N17)))</f>
        <v>-0.29124</v>
      </c>
      <c r="O18" s="21">
        <f>IF($K18="","",IF(O$4="","",IF('Control Panel'!O17="",VLOOKUP($F18,'Table Output'!$A:$BW,MATCH(O$4,'Table Output'!$A$1:$BT$1,0),),'Control Panel'!O17)))</f>
        <v>4.5349000000000004</v>
      </c>
      <c r="P18" s="21">
        <f>IF($K18="","",IF(P$4="","",IF('Control Panel'!P17="",VLOOKUP($F18,'Table Output'!$A:$BW,MATCH(P$4,'Table Output'!$A$1:$BT$1,0),),'Control Panel'!P17)))</f>
        <v>0.03</v>
      </c>
      <c r="Q18" s="21">
        <f>IF($K18="","",IF(Q$4="","",IF('Control Panel'!Q17="",VLOOKUP($F18,'Table Output'!$A:$BW,MATCH(Q$4,'Table Output'!$A$1:$BT$1,0),),'Control Panel'!Q17)))</f>
        <v>0.62726000000000004</v>
      </c>
      <c r="R18" s="21">
        <f>IF($K18="","",IF(R$4="","",IF('Control Panel'!R17="",VLOOKUP($F18,'Table Output'!$A:$BW,MATCH(R$4,'Table Output'!$A$1:$BT$1,0),),'Control Panel'!R17)))</f>
        <v>-4.1238999999999998E-2</v>
      </c>
      <c r="S18" s="21" t="str">
        <f>IF($K18="","",IF(S$4="","",IF('Control Panel'!S17="",VLOOKUP($F18,'Table Output'!$A:$BW,MATCH(S$4,'Table Output'!$A$1:$BT$1,0),),'Control Panel'!S17)))</f>
        <v/>
      </c>
      <c r="T18" s="21" t="str">
        <f>IF($K18="","",IF(T$4="","",IF('Control Panel'!T17="",VLOOKUP($F18,'Table Output'!$A:$BW,MATCH(T$4,'Table Output'!$A$1:$BT$1,0),),'Control Panel'!T17)))</f>
        <v/>
      </c>
      <c r="U18" s="21" t="str">
        <f>IF($K18="","",IF(U$4="","",IF('Control Panel'!U17="",VLOOKUP($F18,'Table Output'!$A:$BW,MATCH(U$4,'Table Output'!$A$1:$BT$1,0),),'Control Panel'!U17)))</f>
        <v/>
      </c>
      <c r="W18" s="21">
        <f>IF($K18="","",IF('Control Panel'!W17="",VLOOKUP($F18,'Table Output'!$A$2:$BW$99998,MATCH(W$4,'Table Output'!$A$1:$BT$1,0),),'Control Panel'!W17))</f>
        <v>0</v>
      </c>
      <c r="X18" s="21">
        <f>IF($K18="","",IF('Control Panel'!X17="",VLOOKUP($F18,'Table Output'!$A$2:$BW$99998,MATCH(X$4,'Table Output'!$A$1:$BT$1,0),),'Control Panel'!X17))</f>
        <v>1</v>
      </c>
      <c r="Y18" s="21">
        <f>IF($K18="","",IF('Control Panel'!Y17="",VLOOKUP($F18,'Table Output'!$A$2:$BW$99998,MATCH(Y$4,'Table Output'!$A$1:$BT$1,0),),'Control Panel'!Y17))</f>
        <v>1</v>
      </c>
      <c r="Z18" s="21">
        <f>IF($K18="","",IF('Control Panel'!Z17="",VLOOKUP($F18,'Table Output'!$A$2:$BW$99998,MATCH(Z$4,'Table Output'!$A$1:$BT$1,0),),'Control Panel'!Z17))</f>
        <v>0</v>
      </c>
      <c r="AA18" s="21">
        <f>IF($K18="","",IF('Control Panel'!AA17="",VLOOKUP($F18,'Table Output'!$A$2:$BW$99998,MATCH(AA$4,'Table Output'!$A$1:$BT$1,0),),'Control Panel'!AA17))</f>
        <v>0</v>
      </c>
      <c r="AB18" s="21">
        <f>IF($K18="","",IF('Control Panel'!AB17="",VLOOKUP($F18,'Table Output'!$A$2:$BW$99998,MATCH(AB$4,'Table Output'!$A$1:$BT$1,0),),'Control Panel'!AB17))</f>
        <v>1</v>
      </c>
      <c r="AC18" s="21">
        <f>IF($K18="","",IF('Control Panel'!AC17="",VLOOKUP($F18,'Table Output'!$A$2:$BW$99998,MATCH(AC$4,'Table Output'!$A$1:$BT$1,0),),'Control Panel'!AC17))</f>
        <v>0</v>
      </c>
      <c r="AD18" s="21">
        <f>IF($K18="","",IF('Control Panel'!AD17="",VLOOKUP($F18,'Table Output'!$A$2:$BW$99998,MATCH(AD$4,'Table Output'!$A$1:$BT$1,0),),'Control Panel'!AD17))</f>
        <v>0</v>
      </c>
      <c r="AE18" s="21">
        <f>IF($K18="","",IF('Control Panel'!AE17="",VLOOKUP($F18,'Table Output'!$A$2:$BW$99998,MATCH(AE$4,'Table Output'!$A$1:$BT$1,0),),'Control Panel'!AE17))</f>
        <v>1</v>
      </c>
      <c r="AF18" s="21">
        <f>IF($K18="","",IF('Control Panel'!AF17="",VLOOKUP($F18,'Table Output'!$A$2:$BW$99998,MATCH(AF$4,'Table Output'!$A$1:$BT$1,0),),'Control Panel'!AF17))</f>
        <v>0</v>
      </c>
      <c r="AG18" s="21">
        <f>IF($K18="","",IF('Control Panel'!AG17="",VLOOKUP($F18,'Table Output'!$A$2:$BW$99998,MATCH(AG$4,'Table Output'!$A$1:$BT$1,0),),'Control Panel'!AG17))</f>
        <v>1</v>
      </c>
      <c r="AH18" s="21">
        <f>IF($K18="","",IF('Control Panel'!AH17="",VLOOKUP($F18,'Table Output'!$A$2:$BW$99998,MATCH(AH$4,'Table Output'!$A$1:$BT$1,0),),'Control Panel'!AH17))</f>
        <v>1</v>
      </c>
      <c r="AI18" s="21">
        <f>IF($K18="","",IF('Control Panel'!AI17="",VLOOKUP($F18,'Table Output'!$A$2:$BW$99998,MATCH(AI$4,'Table Output'!$A$1:$BT$1,0),),'Control Panel'!AI17))</f>
        <v>0</v>
      </c>
      <c r="AJ18" s="21">
        <f>IF($K18="","",IF('Control Panel'!AJ17="",VLOOKUP($F18,'Table Output'!$A$2:$BW$99998,MATCH(AJ$4,'Table Output'!$A$1:$BT$1,0),),'Control Panel'!AJ17))</f>
        <v>0</v>
      </c>
      <c r="AK18" s="21">
        <f>IF($K18="","",IF('Control Panel'!AK17="",VLOOKUP($F18,'Table Output'!$A$2:$BW$99998,MATCH(AK$4,'Table Output'!$A$1:$BT$1,0),),'Control Panel'!AK17))</f>
        <v>0</v>
      </c>
      <c r="AL18" s="21">
        <f>IF($K18="","",IF('Control Panel'!AL17="",VLOOKUP($F18,'Table Output'!$A$2:$BW$99998,MATCH(AL$4,'Table Output'!$A$1:$BT$1,0),),'Control Panel'!AL17))</f>
        <v>0</v>
      </c>
      <c r="AN18" s="34">
        <f t="shared" si="0"/>
        <v>14</v>
      </c>
      <c r="AO18" s="31">
        <f>IF(AO$4="","",IF($K18="","",IF('Control Panel'!AO17="",VLOOKUP($F18,'Table Output'!$A$2:$BW$99998,MATCH(AO$4,'Table Output'!$A$1:$BT$1,0),FALSE),'Control Panel'!AO17)))</f>
        <v>1</v>
      </c>
      <c r="AP18" s="31" t="str">
        <f>IF(AP$4="","",IF($K18="","",IF('Control Panel'!AP17="",VLOOKUP($F18,'Table Output'!$A$2:$BW$99998,MATCH(AP$4,'Table Output'!$A$1:$BT$1,0),FALSE),'Control Panel'!AP17)))</f>
        <v/>
      </c>
      <c r="AQ18" s="31" t="str">
        <f>IF(AQ$4="","",IF($K18="","",IF('Control Panel'!AQ17="",VLOOKUP($F18,'Table Output'!$A$2:$BW$99998,MATCH(AQ$4,'Table Output'!$A$1:$BT$1,0),FALSE),'Control Panel'!AQ17)))</f>
        <v/>
      </c>
      <c r="AR18" s="31" t="str">
        <f>IF(AR$4="","",IF($K18="","",IF('Control Panel'!AR17="",VLOOKUP($F18,'Table Output'!$A$2:$BW$99998,MATCH(AR$4,'Table Output'!$A$1:$BT$1,0),FALSE),'Control Panel'!AR17)))</f>
        <v/>
      </c>
      <c r="AS18" s="31" t="str">
        <f>IF(AS$4="","",IF($K18="","",IF('Control Panel'!AS17="",VLOOKUP($F18,'Table Output'!$A$2:$BW$99998,MATCH(AS$4,'Table Output'!$A$1:$BT$1,0),FALSE),'Control Panel'!AS17)))</f>
        <v/>
      </c>
      <c r="AT18" s="31" t="str">
        <f>IF(AT$4="","",IF($K18="","",IF('Control Panel'!AT17="",VLOOKUP($F18,'Table Output'!$A$2:$BW$99998,MATCH(AT$4,'Table Output'!$A$1:$BT$1,0),FALSE),'Control Panel'!AT17)))</f>
        <v/>
      </c>
      <c r="AU18" s="31" t="str">
        <f>IF(AU$4="","",IF($K18="","",IF('Control Panel'!AU17="",VLOOKUP($F18,'Table Output'!$A$2:$BW$99998,MATCH(AU$4,'Table Output'!$A$1:$BT$1,0),FALSE),'Control Panel'!AU17)))</f>
        <v/>
      </c>
      <c r="AV18" s="31" t="str">
        <f>IF(AV$4="","",IF($K18="","",IF('Control Panel'!AV17="",VLOOKUP($F18,'Table Output'!$A$2:$BW$99998,MATCH(AV$4,'Table Output'!$A$1:$BT$1,0),FALSE),'Control Panel'!AV17)))</f>
        <v/>
      </c>
      <c r="AW18" s="31" t="str">
        <f>IF(AW$4="","",IF($K18="","",IF('Control Panel'!AW17="",VLOOKUP($F18,'Table Output'!$A$2:$BW$99998,MATCH(AW$4,'Table Output'!$A$1:$BT$1,0),FALSE),'Control Panel'!AW17)))</f>
        <v/>
      </c>
      <c r="BJ18" s="2" t="s">
        <v>143</v>
      </c>
      <c r="BK18" s="2" t="s">
        <v>96</v>
      </c>
    </row>
    <row r="19" spans="2:63" ht="12" thickBot="1" x14ac:dyDescent="0.25">
      <c r="E19" s="2">
        <f>IF('Control Panel'!E18="","",'Control Panel'!E18)</f>
        <v>1</v>
      </c>
      <c r="F19" s="2" t="str">
        <f>IF(E19=1,IF('Control Panel'!F18="","",'Control Panel'!F18),"")</f>
        <v>NGI_U3_11</v>
      </c>
      <c r="G19" s="2" t="str">
        <f>IF(E19=1,IF('Control Panel'!G18="","",'Control Panel'!G18),"")</f>
        <v>Empire_Wind_1</v>
      </c>
      <c r="H19" s="2" t="str">
        <f>IF(E19=1,IF('Control Panel'!H18="","",'Control Panel'!H18),"")</f>
        <v>NA</v>
      </c>
      <c r="I19" s="2">
        <f>IF(E19=1,IF('Control Panel'!I18="","",'Control Panel'!I18),"")</f>
        <v>7</v>
      </c>
      <c r="J19" s="2" t="str">
        <f>IF(E19=1,IF('Control Panel'!J18="","",'Control Panel'!J18),"")</f>
        <v>NGI_U3_11</v>
      </c>
      <c r="K19" s="25">
        <f>IF(E19=1,IF('Control Panel'!K18="","",'Control Panel'!K18),"")</f>
        <v>15</v>
      </c>
      <c r="L19" s="21">
        <f>IF($K19="","",IF(L$4="","",IF('Control Panel'!L18="",VLOOKUP($F19,'Table Output'!$A:$BW,MATCH(L$4,'Table Output'!$A$1:$BT$1,0),),'Control Panel'!L18)))</f>
        <v>-0.29369000000000001</v>
      </c>
      <c r="M19" s="21">
        <f>IF($K19="","",IF(M$4="","",IF('Control Panel'!M18="",VLOOKUP($F19,'Table Output'!$A:$BW,MATCH(M$4,'Table Output'!$A$1:$BT$1,0),),'Control Panel'!M18)))</f>
        <v>2.4178000000000002</v>
      </c>
      <c r="N19" s="21">
        <f>IF($K19="","",IF(N$4="","",IF('Control Panel'!N18="",VLOOKUP($F19,'Table Output'!$A:$BW,MATCH(N$4,'Table Output'!$A$1:$BT$1,0),),'Control Panel'!N18)))</f>
        <v>-0.29124</v>
      </c>
      <c r="O19" s="21">
        <f>IF($K19="","",IF(O$4="","",IF('Control Panel'!O18="",VLOOKUP($F19,'Table Output'!$A:$BW,MATCH(O$4,'Table Output'!$A$1:$BT$1,0),),'Control Panel'!O18)))</f>
        <v>4.5349000000000004</v>
      </c>
      <c r="P19" s="21">
        <f>IF($K19="","",IF(P$4="","",IF('Control Panel'!P18="",VLOOKUP($F19,'Table Output'!$A:$BW,MATCH(P$4,'Table Output'!$A$1:$BT$1,0),),'Control Panel'!P18)))</f>
        <v>0.03</v>
      </c>
      <c r="Q19" s="21">
        <f>IF($K19="","",IF(Q$4="","",IF('Control Panel'!Q18="",VLOOKUP($F19,'Table Output'!$A:$BW,MATCH(Q$4,'Table Output'!$A$1:$BT$1,0),),'Control Panel'!Q18)))</f>
        <v>0.62726000000000004</v>
      </c>
      <c r="R19" s="21">
        <f>IF($K19="","",IF(R$4="","",IF('Control Panel'!R18="",VLOOKUP($F19,'Table Output'!$A:$BW,MATCH(R$4,'Table Output'!$A$1:$BT$1,0),),'Control Panel'!R18)))</f>
        <v>-4.1238999999999998E-2</v>
      </c>
      <c r="S19" s="21" t="str">
        <f>IF($K19="","",IF(S$4="","",IF('Control Panel'!S18="",VLOOKUP($F19,'Table Output'!$A:$BW,MATCH(S$4,'Table Output'!$A$1:$BT$1,0),),'Control Panel'!S18)))</f>
        <v/>
      </c>
      <c r="T19" s="21" t="str">
        <f>IF($K19="","",IF(T$4="","",IF('Control Panel'!T18="",VLOOKUP($F19,'Table Output'!$A:$BW,MATCH(T$4,'Table Output'!$A$1:$BT$1,0),),'Control Panel'!T18)))</f>
        <v/>
      </c>
      <c r="U19" s="21" t="str">
        <f>IF($K19="","",IF(U$4="","",IF('Control Panel'!U18="",VLOOKUP($F19,'Table Output'!$A:$BW,MATCH(U$4,'Table Output'!$A$1:$BT$1,0),),'Control Panel'!U18)))</f>
        <v/>
      </c>
      <c r="W19" s="21">
        <f>IF($K19="","",IF('Control Panel'!W18="",VLOOKUP($F19,'Table Output'!$A$2:$BW$99998,MATCH(W$4,'Table Output'!$A$1:$BT$1,0),),'Control Panel'!W18))</f>
        <v>0</v>
      </c>
      <c r="X19" s="21">
        <f>IF($K19="","",IF('Control Panel'!X18="",VLOOKUP($F19,'Table Output'!$A$2:$BW$99998,MATCH(X$4,'Table Output'!$A$1:$BT$1,0),),'Control Panel'!X18))</f>
        <v>1</v>
      </c>
      <c r="Y19" s="21">
        <f>IF($K19="","",IF('Control Panel'!Y18="",VLOOKUP($F19,'Table Output'!$A$2:$BW$99998,MATCH(Y$4,'Table Output'!$A$1:$BT$1,0),),'Control Panel'!Y18))</f>
        <v>1</v>
      </c>
      <c r="Z19" s="21">
        <f>IF($K19="","",IF('Control Panel'!Z18="",VLOOKUP($F19,'Table Output'!$A$2:$BW$99998,MATCH(Z$4,'Table Output'!$A$1:$BT$1,0),),'Control Panel'!Z18))</f>
        <v>0</v>
      </c>
      <c r="AA19" s="21">
        <f>IF($K19="","",IF('Control Panel'!AA18="",VLOOKUP($F19,'Table Output'!$A$2:$BW$99998,MATCH(AA$4,'Table Output'!$A$1:$BT$1,0),),'Control Panel'!AA18))</f>
        <v>0</v>
      </c>
      <c r="AB19" s="21">
        <f>IF($K19="","",IF('Control Panel'!AB18="",VLOOKUP($F19,'Table Output'!$A$2:$BW$99998,MATCH(AB$4,'Table Output'!$A$1:$BT$1,0),),'Control Panel'!AB18))</f>
        <v>1</v>
      </c>
      <c r="AC19" s="21">
        <f>IF($K19="","",IF('Control Panel'!AC18="",VLOOKUP($F19,'Table Output'!$A$2:$BW$99998,MATCH(AC$4,'Table Output'!$A$1:$BT$1,0),),'Control Panel'!AC18))</f>
        <v>0</v>
      </c>
      <c r="AD19" s="21">
        <f>IF($K19="","",IF('Control Panel'!AD18="",VLOOKUP($F19,'Table Output'!$A$2:$BW$99998,MATCH(AD$4,'Table Output'!$A$1:$BT$1,0),),'Control Panel'!AD18))</f>
        <v>0</v>
      </c>
      <c r="AE19" s="21">
        <f>IF($K19="","",IF('Control Panel'!AE18="",VLOOKUP($F19,'Table Output'!$A$2:$BW$99998,MATCH(AE$4,'Table Output'!$A$1:$BT$1,0),),'Control Panel'!AE18))</f>
        <v>1</v>
      </c>
      <c r="AF19" s="21">
        <f>IF($K19="","",IF('Control Panel'!AF18="",VLOOKUP($F19,'Table Output'!$A$2:$BW$99998,MATCH(AF$4,'Table Output'!$A$1:$BT$1,0),),'Control Panel'!AF18))</f>
        <v>0</v>
      </c>
      <c r="AG19" s="21">
        <f>IF($K19="","",IF('Control Panel'!AG18="",VLOOKUP($F19,'Table Output'!$A$2:$BW$99998,MATCH(AG$4,'Table Output'!$A$1:$BT$1,0),),'Control Panel'!AG18))</f>
        <v>1</v>
      </c>
      <c r="AH19" s="21">
        <f>IF($K19="","",IF('Control Panel'!AH18="",VLOOKUP($F19,'Table Output'!$A$2:$BW$99998,MATCH(AH$4,'Table Output'!$A$1:$BT$1,0),),'Control Panel'!AH18))</f>
        <v>1</v>
      </c>
      <c r="AI19" s="21">
        <f>IF($K19="","",IF('Control Panel'!AI18="",VLOOKUP($F19,'Table Output'!$A$2:$BW$99998,MATCH(AI$4,'Table Output'!$A$1:$BT$1,0),),'Control Panel'!AI18))</f>
        <v>0</v>
      </c>
      <c r="AJ19" s="21">
        <f>IF($K19="","",IF('Control Panel'!AJ18="",VLOOKUP($F19,'Table Output'!$A$2:$BW$99998,MATCH(AJ$4,'Table Output'!$A$1:$BT$1,0),),'Control Panel'!AJ18))</f>
        <v>0</v>
      </c>
      <c r="AK19" s="21">
        <f>IF($K19="","",IF('Control Panel'!AK18="",VLOOKUP($F19,'Table Output'!$A$2:$BW$99998,MATCH(AK$4,'Table Output'!$A$1:$BT$1,0),),'Control Panel'!AK18))</f>
        <v>0</v>
      </c>
      <c r="AL19" s="21">
        <f>IF($K19="","",IF('Control Panel'!AL18="",VLOOKUP($F19,'Table Output'!$A$2:$BW$99998,MATCH(AL$4,'Table Output'!$A$1:$BT$1,0),),'Control Panel'!AL18))</f>
        <v>0</v>
      </c>
      <c r="AN19" s="34">
        <f t="shared" si="0"/>
        <v>15</v>
      </c>
      <c r="AO19" s="31">
        <f>IF(AO$4="","",IF($K19="","",IF('Control Panel'!AO18="",VLOOKUP($F19,'Table Output'!$A$2:$BW$99998,MATCH(AO$4,'Table Output'!$A$1:$BT$1,0),FALSE),'Control Panel'!AO18)))</f>
        <v>1</v>
      </c>
      <c r="AP19" s="31" t="str">
        <f>IF(AP$4="","",IF($K19="","",IF('Control Panel'!AP18="",VLOOKUP($F19,'Table Output'!$A$2:$BW$99998,MATCH(AP$4,'Table Output'!$A$1:$BT$1,0),FALSE),'Control Panel'!AP18)))</f>
        <v/>
      </c>
      <c r="AQ19" s="31" t="str">
        <f>IF(AQ$4="","",IF($K19="","",IF('Control Panel'!AQ18="",VLOOKUP($F19,'Table Output'!$A$2:$BW$99998,MATCH(AQ$4,'Table Output'!$A$1:$BT$1,0),FALSE),'Control Panel'!AQ18)))</f>
        <v/>
      </c>
      <c r="AR19" s="31" t="str">
        <f>IF(AR$4="","",IF($K19="","",IF('Control Panel'!AR18="",VLOOKUP($F19,'Table Output'!$A$2:$BW$99998,MATCH(AR$4,'Table Output'!$A$1:$BT$1,0),FALSE),'Control Panel'!AR18)))</f>
        <v/>
      </c>
      <c r="AS19" s="31" t="str">
        <f>IF(AS$4="","",IF($K19="","",IF('Control Panel'!AS18="",VLOOKUP($F19,'Table Output'!$A$2:$BW$99998,MATCH(AS$4,'Table Output'!$A$1:$BT$1,0),FALSE),'Control Panel'!AS18)))</f>
        <v/>
      </c>
      <c r="AT19" s="31" t="str">
        <f>IF(AT$4="","",IF($K19="","",IF('Control Panel'!AT18="",VLOOKUP($F19,'Table Output'!$A$2:$BW$99998,MATCH(AT$4,'Table Output'!$A$1:$BT$1,0),FALSE),'Control Panel'!AT18)))</f>
        <v/>
      </c>
      <c r="AU19" s="31" t="str">
        <f>IF(AU$4="","",IF($K19="","",IF('Control Panel'!AU18="",VLOOKUP($F19,'Table Output'!$A$2:$BW$99998,MATCH(AU$4,'Table Output'!$A$1:$BT$1,0),FALSE),'Control Panel'!AU18)))</f>
        <v/>
      </c>
      <c r="AV19" s="31" t="str">
        <f>IF(AV$4="","",IF($K19="","",IF('Control Panel'!AV18="",VLOOKUP($F19,'Table Output'!$A$2:$BW$99998,MATCH(AV$4,'Table Output'!$A$1:$BT$1,0),FALSE),'Control Panel'!AV18)))</f>
        <v/>
      </c>
      <c r="AW19" s="31" t="str">
        <f>IF(AW$4="","",IF($K19="","",IF('Control Panel'!AW18="",VLOOKUP($F19,'Table Output'!$A$2:$BW$99998,MATCH(AW$4,'Table Output'!$A$1:$BT$1,0),FALSE),'Control Panel'!AW18)))</f>
        <v/>
      </c>
      <c r="BJ19" s="2" t="s">
        <v>144</v>
      </c>
      <c r="BK19" s="2" t="s">
        <v>96</v>
      </c>
    </row>
    <row r="20" spans="2:63" ht="12" thickBot="1" x14ac:dyDescent="0.25">
      <c r="B20" s="2" t="str">
        <f>'Control Panel'!B20</f>
        <v>Write text file output</v>
      </c>
      <c r="C20" s="2">
        <f>IF('Control Panel'!C20=Switch_options_hidden!C3,1,0)</f>
        <v>1</v>
      </c>
      <c r="E20" s="2">
        <f>IF('Control Panel'!E19="","",'Control Panel'!E19)</f>
        <v>1</v>
      </c>
      <c r="F20" s="2" t="str">
        <f>IF(E20=1,IF('Control Panel'!F19="","",'Control Panel'!F19),"")</f>
        <v>NGI_U3_11</v>
      </c>
      <c r="G20" s="2" t="str">
        <f>IF(E20=1,IF('Control Panel'!G19="","",'Control Panel'!G19),"")</f>
        <v>Empire_Wind_1</v>
      </c>
      <c r="H20" s="2" t="str">
        <f>IF(E20=1,IF('Control Panel'!H19="","",'Control Panel'!H19),"")</f>
        <v>NA</v>
      </c>
      <c r="I20" s="2">
        <f>IF(E20=1,IF('Control Panel'!I19="","",'Control Panel'!I19),"")</f>
        <v>7</v>
      </c>
      <c r="J20" s="2" t="str">
        <f>IF(E20=1,IF('Control Panel'!J19="","",'Control Panel'!J19),"")</f>
        <v>NGI_U3_11</v>
      </c>
      <c r="K20" s="25">
        <f>IF(E20=1,IF('Control Panel'!K19="","",'Control Panel'!K19),"")</f>
        <v>16</v>
      </c>
      <c r="L20" s="21">
        <f>IF($K20="","",IF(L$4="","",IF('Control Panel'!L19="",VLOOKUP($F20,'Table Output'!$A:$BW,MATCH(L$4,'Table Output'!$A$1:$BT$1,0),),'Control Panel'!L19)))</f>
        <v>-0.29369000000000001</v>
      </c>
      <c r="M20" s="21">
        <f>IF($K20="","",IF(M$4="","",IF('Control Panel'!M19="",VLOOKUP($F20,'Table Output'!$A:$BW,MATCH(M$4,'Table Output'!$A$1:$BT$1,0),),'Control Panel'!M19)))</f>
        <v>2.4178000000000002</v>
      </c>
      <c r="N20" s="21">
        <f>IF($K20="","",IF(N$4="","",IF('Control Panel'!N19="",VLOOKUP($F20,'Table Output'!$A:$BW,MATCH(N$4,'Table Output'!$A$1:$BT$1,0),),'Control Panel'!N19)))</f>
        <v>-0.29124</v>
      </c>
      <c r="O20" s="21">
        <f>IF($K20="","",IF(O$4="","",IF('Control Panel'!O19="",VLOOKUP($F20,'Table Output'!$A:$BW,MATCH(O$4,'Table Output'!$A$1:$BT$1,0),),'Control Panel'!O19)))</f>
        <v>4.5349000000000004</v>
      </c>
      <c r="P20" s="21">
        <f>IF($K20="","",IF(P$4="","",IF('Control Panel'!P19="",VLOOKUP($F20,'Table Output'!$A:$BW,MATCH(P$4,'Table Output'!$A$1:$BT$1,0),),'Control Panel'!P19)))</f>
        <v>0.03</v>
      </c>
      <c r="Q20" s="21">
        <f>IF($K20="","",IF(Q$4="","",IF('Control Panel'!Q19="",VLOOKUP($F20,'Table Output'!$A:$BW,MATCH(Q$4,'Table Output'!$A$1:$BT$1,0),),'Control Panel'!Q19)))</f>
        <v>0.62726000000000004</v>
      </c>
      <c r="R20" s="21">
        <f>IF($K20="","",IF(R$4="","",IF('Control Panel'!R19="",VLOOKUP($F20,'Table Output'!$A:$BW,MATCH(R$4,'Table Output'!$A$1:$BT$1,0),),'Control Panel'!R19)))</f>
        <v>-4.1238999999999998E-2</v>
      </c>
      <c r="S20" s="21" t="str">
        <f>IF($K20="","",IF(S$4="","",IF('Control Panel'!S19="",VLOOKUP($F20,'Table Output'!$A:$BW,MATCH(S$4,'Table Output'!$A$1:$BT$1,0),),'Control Panel'!S19)))</f>
        <v/>
      </c>
      <c r="T20" s="21" t="str">
        <f>IF($K20="","",IF(T$4="","",IF('Control Panel'!T19="",VLOOKUP($F20,'Table Output'!$A:$BW,MATCH(T$4,'Table Output'!$A$1:$BT$1,0),),'Control Panel'!T19)))</f>
        <v/>
      </c>
      <c r="U20" s="21" t="str">
        <f>IF($K20="","",IF(U$4="","",IF('Control Panel'!U19="",VLOOKUP($F20,'Table Output'!$A:$BW,MATCH(U$4,'Table Output'!$A$1:$BT$1,0),),'Control Panel'!U19)))</f>
        <v/>
      </c>
      <c r="W20" s="21">
        <f>IF($K20="","",IF('Control Panel'!W19="",VLOOKUP($F20,'Table Output'!$A$2:$BW$99998,MATCH(W$4,'Table Output'!$A$1:$BT$1,0),),'Control Panel'!W19))</f>
        <v>0</v>
      </c>
      <c r="X20" s="21">
        <f>IF($K20="","",IF('Control Panel'!X19="",VLOOKUP($F20,'Table Output'!$A$2:$BW$99998,MATCH(X$4,'Table Output'!$A$1:$BT$1,0),),'Control Panel'!X19))</f>
        <v>1</v>
      </c>
      <c r="Y20" s="21">
        <f>IF($K20="","",IF('Control Panel'!Y19="",VLOOKUP($F20,'Table Output'!$A$2:$BW$99998,MATCH(Y$4,'Table Output'!$A$1:$BT$1,0),),'Control Panel'!Y19))</f>
        <v>1</v>
      </c>
      <c r="Z20" s="21">
        <f>IF($K20="","",IF('Control Panel'!Z19="",VLOOKUP($F20,'Table Output'!$A$2:$BW$99998,MATCH(Z$4,'Table Output'!$A$1:$BT$1,0),),'Control Panel'!Z19))</f>
        <v>0</v>
      </c>
      <c r="AA20" s="21">
        <f>IF($K20="","",IF('Control Panel'!AA19="",VLOOKUP($F20,'Table Output'!$A$2:$BW$99998,MATCH(AA$4,'Table Output'!$A$1:$BT$1,0),),'Control Panel'!AA19))</f>
        <v>0</v>
      </c>
      <c r="AB20" s="21">
        <f>IF($K20="","",IF('Control Panel'!AB19="",VLOOKUP($F20,'Table Output'!$A$2:$BW$99998,MATCH(AB$4,'Table Output'!$A$1:$BT$1,0),),'Control Panel'!AB19))</f>
        <v>1</v>
      </c>
      <c r="AC20" s="21">
        <f>IF($K20="","",IF('Control Panel'!AC19="",VLOOKUP($F20,'Table Output'!$A$2:$BW$99998,MATCH(AC$4,'Table Output'!$A$1:$BT$1,0),),'Control Panel'!AC19))</f>
        <v>0</v>
      </c>
      <c r="AD20" s="21">
        <f>IF($K20="","",IF('Control Panel'!AD19="",VLOOKUP($F20,'Table Output'!$A$2:$BW$99998,MATCH(AD$4,'Table Output'!$A$1:$BT$1,0),),'Control Panel'!AD19))</f>
        <v>0</v>
      </c>
      <c r="AE20" s="21">
        <f>IF($K20="","",IF('Control Panel'!AE19="",VLOOKUP($F20,'Table Output'!$A$2:$BW$99998,MATCH(AE$4,'Table Output'!$A$1:$BT$1,0),),'Control Panel'!AE19))</f>
        <v>1</v>
      </c>
      <c r="AF20" s="21">
        <f>IF($K20="","",IF('Control Panel'!AF19="",VLOOKUP($F20,'Table Output'!$A$2:$BW$99998,MATCH(AF$4,'Table Output'!$A$1:$BT$1,0),),'Control Panel'!AF19))</f>
        <v>0</v>
      </c>
      <c r="AG20" s="21">
        <f>IF($K20="","",IF('Control Panel'!AG19="",VLOOKUP($F20,'Table Output'!$A$2:$BW$99998,MATCH(AG$4,'Table Output'!$A$1:$BT$1,0),),'Control Panel'!AG19))</f>
        <v>1</v>
      </c>
      <c r="AH20" s="21">
        <f>IF($K20="","",IF('Control Panel'!AH19="",VLOOKUP($F20,'Table Output'!$A$2:$BW$99998,MATCH(AH$4,'Table Output'!$A$1:$BT$1,0),),'Control Panel'!AH19))</f>
        <v>1</v>
      </c>
      <c r="AI20" s="21">
        <f>IF($K20="","",IF('Control Panel'!AI19="",VLOOKUP($F20,'Table Output'!$A$2:$BW$99998,MATCH(AI$4,'Table Output'!$A$1:$BT$1,0),),'Control Panel'!AI19))</f>
        <v>0</v>
      </c>
      <c r="AJ20" s="21">
        <f>IF($K20="","",IF('Control Panel'!AJ19="",VLOOKUP($F20,'Table Output'!$A$2:$BW$99998,MATCH(AJ$4,'Table Output'!$A$1:$BT$1,0),),'Control Panel'!AJ19))</f>
        <v>0</v>
      </c>
      <c r="AK20" s="21">
        <f>IF($K20="","",IF('Control Panel'!AK19="",VLOOKUP($F20,'Table Output'!$A$2:$BW$99998,MATCH(AK$4,'Table Output'!$A$1:$BT$1,0),),'Control Panel'!AK19))</f>
        <v>0</v>
      </c>
      <c r="AL20" s="21">
        <f>IF($K20="","",IF('Control Panel'!AL19="",VLOOKUP($F20,'Table Output'!$A$2:$BW$99998,MATCH(AL$4,'Table Output'!$A$1:$BT$1,0),),'Control Panel'!AL19))</f>
        <v>0</v>
      </c>
      <c r="AN20" s="34">
        <f t="shared" si="0"/>
        <v>16</v>
      </c>
      <c r="AO20" s="31">
        <f>IF(AO$4="","",IF($K20="","",IF('Control Panel'!AO19="",VLOOKUP($F20,'Table Output'!$A$2:$BW$99998,MATCH(AO$4,'Table Output'!$A$1:$BT$1,0),FALSE),'Control Panel'!AO19)))</f>
        <v>1</v>
      </c>
      <c r="AP20" s="31" t="str">
        <f>IF(AP$4="","",IF($K20="","",IF('Control Panel'!AP19="",VLOOKUP($F20,'Table Output'!$A$2:$BW$99998,MATCH(AP$4,'Table Output'!$A$1:$BT$1,0),FALSE),'Control Panel'!AP19)))</f>
        <v/>
      </c>
      <c r="AQ20" s="31" t="str">
        <f>IF(AQ$4="","",IF($K20="","",IF('Control Panel'!AQ19="",VLOOKUP($F20,'Table Output'!$A$2:$BW$99998,MATCH(AQ$4,'Table Output'!$A$1:$BT$1,0),FALSE),'Control Panel'!AQ19)))</f>
        <v/>
      </c>
      <c r="AR20" s="31" t="str">
        <f>IF(AR$4="","",IF($K20="","",IF('Control Panel'!AR19="",VLOOKUP($F20,'Table Output'!$A$2:$BW$99998,MATCH(AR$4,'Table Output'!$A$1:$BT$1,0),FALSE),'Control Panel'!AR19)))</f>
        <v/>
      </c>
      <c r="AS20" s="31" t="str">
        <f>IF(AS$4="","",IF($K20="","",IF('Control Panel'!AS19="",VLOOKUP($F20,'Table Output'!$A$2:$BW$99998,MATCH(AS$4,'Table Output'!$A$1:$BT$1,0),FALSE),'Control Panel'!AS19)))</f>
        <v/>
      </c>
      <c r="AT20" s="31" t="str">
        <f>IF(AT$4="","",IF($K20="","",IF('Control Panel'!AT19="",VLOOKUP($F20,'Table Output'!$A$2:$BW$99998,MATCH(AT$4,'Table Output'!$A$1:$BT$1,0),FALSE),'Control Panel'!AT19)))</f>
        <v/>
      </c>
      <c r="AU20" s="31" t="str">
        <f>IF(AU$4="","",IF($K20="","",IF('Control Panel'!AU19="",VLOOKUP($F20,'Table Output'!$A$2:$BW$99998,MATCH(AU$4,'Table Output'!$A$1:$BT$1,0),FALSE),'Control Panel'!AU19)))</f>
        <v/>
      </c>
      <c r="AV20" s="31" t="str">
        <f>IF(AV$4="","",IF($K20="","",IF('Control Panel'!AV19="",VLOOKUP($F20,'Table Output'!$A$2:$BW$99998,MATCH(AV$4,'Table Output'!$A$1:$BT$1,0),FALSE),'Control Panel'!AV19)))</f>
        <v/>
      </c>
      <c r="AW20" s="31" t="str">
        <f>IF(AW$4="","",IF($K20="","",IF('Control Panel'!AW19="",VLOOKUP($F20,'Table Output'!$A$2:$BW$99998,MATCH(AW$4,'Table Output'!$A$1:$BT$1,0),FALSE),'Control Panel'!AW19)))</f>
        <v/>
      </c>
      <c r="BJ20" s="2" t="s">
        <v>145</v>
      </c>
      <c r="BK20" s="2" t="s">
        <v>96</v>
      </c>
    </row>
    <row r="21" spans="2:63" ht="12" thickBot="1" x14ac:dyDescent="0.25">
      <c r="B21" s="2" t="str">
        <f>'Control Panel'!B21</f>
        <v>Database update</v>
      </c>
      <c r="C21" s="2">
        <f>IF('Control Panel'!C21=Switch_options_hidden!C3,1,0)</f>
        <v>0</v>
      </c>
      <c r="E21" s="2">
        <f>IF('Control Panel'!E20="","",'Control Panel'!E20)</f>
        <v>1</v>
      </c>
      <c r="F21" s="2" t="str">
        <f>IF(E21=1,IF('Control Panel'!F20="","",'Control Panel'!F20),"")</f>
        <v>NGI_U3_12</v>
      </c>
      <c r="G21" s="2" t="str">
        <f>IF(E21=1,IF('Control Panel'!G20="","",'Control Panel'!G20),"")</f>
        <v>Empire_Wind_1</v>
      </c>
      <c r="H21" s="2" t="str">
        <f>IF(E21=1,IF('Control Panel'!H20="","",'Control Panel'!H20),"")</f>
        <v>NA</v>
      </c>
      <c r="I21" s="2">
        <f>IF(E21=1,IF('Control Panel'!I20="","",'Control Panel'!I20),"")</f>
        <v>7</v>
      </c>
      <c r="J21" s="2" t="str">
        <f>IF(E21=1,IF('Control Panel'!J20="","",'Control Panel'!J20),"")</f>
        <v>NGI_U3_12</v>
      </c>
      <c r="K21" s="25">
        <f>IF(E21=1,IF('Control Panel'!K20="","",'Control Panel'!K20),"")</f>
        <v>17</v>
      </c>
      <c r="L21" s="21">
        <f>IF($K21="","",IF(L$4="","",IF('Control Panel'!L20="",VLOOKUP($F21,'Table Output'!$A:$BW,MATCH(L$4,'Table Output'!$A$1:$BT$1,0),),'Control Panel'!L20)))</f>
        <v>1.5017</v>
      </c>
      <c r="M21" s="21">
        <f>IF($K21="","",IF(M$4="","",IF('Control Panel'!M20="",VLOOKUP($F21,'Table Output'!$A:$BW,MATCH(M$4,'Table Output'!$A$1:$BT$1,0),),'Control Panel'!M20)))</f>
        <v>2.2160000000000002</v>
      </c>
      <c r="N21" s="21">
        <f>IF($K21="","",IF(N$4="","",IF('Control Panel'!N20="",VLOOKUP($F21,'Table Output'!$A:$BW,MATCH(N$4,'Table Output'!$A$1:$BT$1,0),),'Control Panel'!N20)))</f>
        <v>1.2484E-2</v>
      </c>
      <c r="O21" s="21">
        <f>IF($K21="","",IF(O$4="","",IF('Control Panel'!O20="",VLOOKUP($F21,'Table Output'!$A:$BW,MATCH(O$4,'Table Output'!$A$1:$BT$1,0),),'Control Panel'!O20)))</f>
        <v>4.7439</v>
      </c>
      <c r="P21" s="21">
        <f>IF($K21="","",IF(P$4="","",IF('Control Panel'!P20="",VLOOKUP($F21,'Table Output'!$A:$BW,MATCH(P$4,'Table Output'!$A$1:$BT$1,0),),'Control Panel'!P20)))</f>
        <v>0.01</v>
      </c>
      <c r="Q21" s="21">
        <f>IF($K21="","",IF(Q$4="","",IF('Control Panel'!Q20="",VLOOKUP($F21,'Table Output'!$A:$BW,MATCH(Q$4,'Table Output'!$A$1:$BT$1,0),),'Control Panel'!Q20)))</f>
        <v>0.57128000000000001</v>
      </c>
      <c r="R21" s="21">
        <f>IF($K21="","",IF(R$4="","",IF('Control Panel'!R20="",VLOOKUP($F21,'Table Output'!$A:$BW,MATCH(R$4,'Table Output'!$A$1:$BT$1,0),),'Control Panel'!R20)))</f>
        <v>0.50685999999999998</v>
      </c>
      <c r="S21" s="21" t="str">
        <f>IF($K21="","",IF(S$4="","",IF('Control Panel'!S20="",VLOOKUP($F21,'Table Output'!$A:$BW,MATCH(S$4,'Table Output'!$A$1:$BT$1,0),),'Control Panel'!S20)))</f>
        <v/>
      </c>
      <c r="T21" s="21" t="str">
        <f>IF($K21="","",IF(T$4="","",IF('Control Panel'!T20="",VLOOKUP($F21,'Table Output'!$A:$BW,MATCH(T$4,'Table Output'!$A$1:$BT$1,0),),'Control Panel'!T20)))</f>
        <v/>
      </c>
      <c r="U21" s="21" t="str">
        <f>IF($K21="","",IF(U$4="","",IF('Control Panel'!U20="",VLOOKUP($F21,'Table Output'!$A:$BW,MATCH(U$4,'Table Output'!$A$1:$BT$1,0),),'Control Panel'!U20)))</f>
        <v/>
      </c>
      <c r="W21" s="21">
        <f>IF($K21="","",IF('Control Panel'!W20="",VLOOKUP($F21,'Table Output'!$A$2:$BW$99998,MATCH(W$4,'Table Output'!$A$1:$BT$1,0),),'Control Panel'!W20))</f>
        <v>0</v>
      </c>
      <c r="X21" s="21">
        <f>IF($K21="","",IF('Control Panel'!X20="",VLOOKUP($F21,'Table Output'!$A$2:$BW$99998,MATCH(X$4,'Table Output'!$A$1:$BT$1,0),),'Control Panel'!X20))</f>
        <v>1</v>
      </c>
      <c r="Y21" s="21">
        <f>IF($K21="","",IF('Control Panel'!Y20="",VLOOKUP($F21,'Table Output'!$A$2:$BW$99998,MATCH(Y$4,'Table Output'!$A$1:$BT$1,0),),'Control Panel'!Y20))</f>
        <v>1</v>
      </c>
      <c r="Z21" s="21">
        <f>IF($K21="","",IF('Control Panel'!Z20="",VLOOKUP($F21,'Table Output'!$A$2:$BW$99998,MATCH(Z$4,'Table Output'!$A$1:$BT$1,0),),'Control Panel'!Z20))</f>
        <v>0</v>
      </c>
      <c r="AA21" s="21">
        <f>IF($K21="","",IF('Control Panel'!AA20="",VLOOKUP($F21,'Table Output'!$A$2:$BW$99998,MATCH(AA$4,'Table Output'!$A$1:$BT$1,0),),'Control Panel'!AA20))</f>
        <v>0</v>
      </c>
      <c r="AB21" s="21">
        <f>IF($K21="","",IF('Control Panel'!AB20="",VLOOKUP($F21,'Table Output'!$A$2:$BW$99998,MATCH(AB$4,'Table Output'!$A$1:$BT$1,0),),'Control Panel'!AB20))</f>
        <v>1</v>
      </c>
      <c r="AC21" s="21">
        <f>IF($K21="","",IF('Control Panel'!AC20="",VLOOKUP($F21,'Table Output'!$A$2:$BW$99998,MATCH(AC$4,'Table Output'!$A$1:$BT$1,0),),'Control Panel'!AC20))</f>
        <v>0</v>
      </c>
      <c r="AD21" s="21">
        <f>IF($K21="","",IF('Control Panel'!AD20="",VLOOKUP($F21,'Table Output'!$A$2:$BW$99998,MATCH(AD$4,'Table Output'!$A$1:$BT$1,0),),'Control Panel'!AD20))</f>
        <v>0</v>
      </c>
      <c r="AE21" s="21">
        <f>IF($K21="","",IF('Control Panel'!AE20="",VLOOKUP($F21,'Table Output'!$A$2:$BW$99998,MATCH(AE$4,'Table Output'!$A$1:$BT$1,0),),'Control Panel'!AE20))</f>
        <v>0</v>
      </c>
      <c r="AF21" s="21">
        <f>IF($K21="","",IF('Control Panel'!AF20="",VLOOKUP($F21,'Table Output'!$A$2:$BW$99998,MATCH(AF$4,'Table Output'!$A$1:$BT$1,0),),'Control Panel'!AF20))</f>
        <v>0</v>
      </c>
      <c r="AG21" s="21">
        <f>IF($K21="","",IF('Control Panel'!AG20="",VLOOKUP($F21,'Table Output'!$A$2:$BW$99998,MATCH(AG$4,'Table Output'!$A$1:$BT$1,0),),'Control Panel'!AG20))</f>
        <v>0</v>
      </c>
      <c r="AH21" s="21">
        <f>IF($K21="","",IF('Control Panel'!AH20="",VLOOKUP($F21,'Table Output'!$A$2:$BW$99998,MATCH(AH$4,'Table Output'!$A$1:$BT$1,0),),'Control Panel'!AH20))</f>
        <v>0</v>
      </c>
      <c r="AI21" s="21">
        <f>IF($K21="","",IF('Control Panel'!AI20="",VLOOKUP($F21,'Table Output'!$A$2:$BW$99998,MATCH(AI$4,'Table Output'!$A$1:$BT$1,0),),'Control Panel'!AI20))</f>
        <v>0</v>
      </c>
      <c r="AJ21" s="21">
        <f>IF($K21="","",IF('Control Panel'!AJ20="",VLOOKUP($F21,'Table Output'!$A$2:$BW$99998,MATCH(AJ$4,'Table Output'!$A$1:$BT$1,0),),'Control Panel'!AJ20))</f>
        <v>0</v>
      </c>
      <c r="AK21" s="21">
        <f>IF($K21="","",IF('Control Panel'!AK20="",VLOOKUP($F21,'Table Output'!$A$2:$BW$99998,MATCH(AK$4,'Table Output'!$A$1:$BT$1,0),),'Control Panel'!AK20))</f>
        <v>0</v>
      </c>
      <c r="AL21" s="21">
        <f>IF($K21="","",IF('Control Panel'!AL20="",VLOOKUP($F21,'Table Output'!$A$2:$BW$99998,MATCH(AL$4,'Table Output'!$A$1:$BT$1,0),),'Control Panel'!AL20))</f>
        <v>0</v>
      </c>
      <c r="AN21" s="34">
        <f t="shared" si="0"/>
        <v>17</v>
      </c>
      <c r="AO21" s="31">
        <f>IF(AO$4="","",IF($K21="","",IF('Control Panel'!AO20="",VLOOKUP($F21,'Table Output'!$A$2:$BW$99998,MATCH(AO$4,'Table Output'!$A$1:$BT$1,0),FALSE),'Control Panel'!AO20)))</f>
        <v>0</v>
      </c>
      <c r="AP21" s="31" t="str">
        <f>IF(AP$4="","",IF($K21="","",IF('Control Panel'!AP20="",VLOOKUP($F21,'Table Output'!$A$2:$BW$99998,MATCH(AP$4,'Table Output'!$A$1:$BT$1,0),FALSE),'Control Panel'!AP20)))</f>
        <v/>
      </c>
      <c r="AQ21" s="31" t="str">
        <f>IF(AQ$4="","",IF($K21="","",IF('Control Panel'!AQ20="",VLOOKUP($F21,'Table Output'!$A$2:$BW$99998,MATCH(AQ$4,'Table Output'!$A$1:$BT$1,0),FALSE),'Control Panel'!AQ20)))</f>
        <v/>
      </c>
      <c r="AR21" s="31" t="str">
        <f>IF(AR$4="","",IF($K21="","",IF('Control Panel'!AR20="",VLOOKUP($F21,'Table Output'!$A$2:$BW$99998,MATCH(AR$4,'Table Output'!$A$1:$BT$1,0),FALSE),'Control Panel'!AR20)))</f>
        <v/>
      </c>
      <c r="AS21" s="31" t="str">
        <f>IF(AS$4="","",IF($K21="","",IF('Control Panel'!AS20="",VLOOKUP($F21,'Table Output'!$A$2:$BW$99998,MATCH(AS$4,'Table Output'!$A$1:$BT$1,0),FALSE),'Control Panel'!AS20)))</f>
        <v/>
      </c>
      <c r="AT21" s="31" t="str">
        <f>IF(AT$4="","",IF($K21="","",IF('Control Panel'!AT20="",VLOOKUP($F21,'Table Output'!$A$2:$BW$99998,MATCH(AT$4,'Table Output'!$A$1:$BT$1,0),FALSE),'Control Panel'!AT20)))</f>
        <v/>
      </c>
      <c r="AU21" s="31" t="str">
        <f>IF(AU$4="","",IF($K21="","",IF('Control Panel'!AU20="",VLOOKUP($F21,'Table Output'!$A$2:$BW$99998,MATCH(AU$4,'Table Output'!$A$1:$BT$1,0),FALSE),'Control Panel'!AU20)))</f>
        <v/>
      </c>
      <c r="AV21" s="31" t="str">
        <f>IF(AV$4="","",IF($K21="","",IF('Control Panel'!AV20="",VLOOKUP($F21,'Table Output'!$A$2:$BW$99998,MATCH(AV$4,'Table Output'!$A$1:$BT$1,0),FALSE),'Control Panel'!AV20)))</f>
        <v/>
      </c>
      <c r="AW21" s="31" t="str">
        <f>IF(AW$4="","",IF($K21="","",IF('Control Panel'!AW20="",VLOOKUP($F21,'Table Output'!$A$2:$BW$99998,MATCH(AW$4,'Table Output'!$A$1:$BT$1,0),FALSE),'Control Panel'!AW20)))</f>
        <v/>
      </c>
      <c r="BJ21" s="2" t="s">
        <v>146</v>
      </c>
      <c r="BK21" s="2" t="s">
        <v>97</v>
      </c>
    </row>
    <row r="22" spans="2:63" ht="12" thickBot="1" x14ac:dyDescent="0.25">
      <c r="B22" s="2" t="str">
        <f>'Control Panel'!B22</f>
        <v>Project name</v>
      </c>
      <c r="C22" s="2" t="str">
        <f>'Control Panel'!C22</f>
        <v>Empire_Wind_1</v>
      </c>
      <c r="E22" s="2">
        <f>IF('Control Panel'!E21="","",'Control Panel'!E21)</f>
        <v>1</v>
      </c>
      <c r="F22" s="2" t="str">
        <f>IF(E22=1,IF('Control Panel'!F21="","",'Control Panel'!F21),"")</f>
        <v>NGI_U3_12</v>
      </c>
      <c r="G22" s="2" t="str">
        <f>IF(E22=1,IF('Control Panel'!G21="","",'Control Panel'!G21),"")</f>
        <v>Empire_Wind_1</v>
      </c>
      <c r="H22" s="2" t="str">
        <f>IF(E22=1,IF('Control Panel'!H21="","",'Control Panel'!H21),"")</f>
        <v>NA</v>
      </c>
      <c r="I22" s="2">
        <f>IF(E22=1,IF('Control Panel'!I21="","",'Control Panel'!I21),"")</f>
        <v>7</v>
      </c>
      <c r="J22" s="2" t="str">
        <f>IF(E22=1,IF('Control Panel'!J21="","",'Control Panel'!J21),"")</f>
        <v>NGI_U3_12</v>
      </c>
      <c r="K22" s="25">
        <f>IF(E22=1,IF('Control Panel'!K21="","",'Control Panel'!K21),"")</f>
        <v>18</v>
      </c>
      <c r="L22" s="21">
        <f>IF($K22="","",IF(L$4="","",IF('Control Panel'!L21="",VLOOKUP($F22,'Table Output'!$A:$BW,MATCH(L$4,'Table Output'!$A$1:$BT$1,0),),'Control Panel'!L21)))</f>
        <v>1.5017</v>
      </c>
      <c r="M22" s="21">
        <f>IF($K22="","",IF(M$4="","",IF('Control Panel'!M21="",VLOOKUP($F22,'Table Output'!$A:$BW,MATCH(M$4,'Table Output'!$A$1:$BT$1,0),),'Control Panel'!M21)))</f>
        <v>2.2160000000000002</v>
      </c>
      <c r="N22" s="21">
        <f>IF($K22="","",IF(N$4="","",IF('Control Panel'!N21="",VLOOKUP($F22,'Table Output'!$A:$BW,MATCH(N$4,'Table Output'!$A$1:$BT$1,0),),'Control Panel'!N21)))</f>
        <v>1.2484E-2</v>
      </c>
      <c r="O22" s="21">
        <f>IF($K22="","",IF(O$4="","",IF('Control Panel'!O21="",VLOOKUP($F22,'Table Output'!$A:$BW,MATCH(O$4,'Table Output'!$A$1:$BT$1,0),),'Control Panel'!O21)))</f>
        <v>4.7439</v>
      </c>
      <c r="P22" s="21">
        <f>IF($K22="","",IF(P$4="","",IF('Control Panel'!P21="",VLOOKUP($F22,'Table Output'!$A:$BW,MATCH(P$4,'Table Output'!$A$1:$BT$1,0),),'Control Panel'!P21)))</f>
        <v>0.01</v>
      </c>
      <c r="Q22" s="21">
        <f>IF($K22="","",IF(Q$4="","",IF('Control Panel'!Q21="",VLOOKUP($F22,'Table Output'!$A:$BW,MATCH(Q$4,'Table Output'!$A$1:$BT$1,0),),'Control Panel'!Q21)))</f>
        <v>0.57128000000000001</v>
      </c>
      <c r="R22" s="21">
        <f>IF($K22="","",IF(R$4="","",IF('Control Panel'!R21="",VLOOKUP($F22,'Table Output'!$A:$BW,MATCH(R$4,'Table Output'!$A$1:$BT$1,0),),'Control Panel'!R21)))</f>
        <v>0.50685999999999998</v>
      </c>
      <c r="S22" s="21" t="str">
        <f>IF($K22="","",IF(S$4="","",IF('Control Panel'!S21="",VLOOKUP($F22,'Table Output'!$A:$BW,MATCH(S$4,'Table Output'!$A$1:$BT$1,0),),'Control Panel'!S21)))</f>
        <v/>
      </c>
      <c r="T22" s="21" t="str">
        <f>IF($K22="","",IF(T$4="","",IF('Control Panel'!T21="",VLOOKUP($F22,'Table Output'!$A:$BW,MATCH(T$4,'Table Output'!$A$1:$BT$1,0),),'Control Panel'!T21)))</f>
        <v/>
      </c>
      <c r="U22" s="21" t="str">
        <f>IF($K22="","",IF(U$4="","",IF('Control Panel'!U21="",VLOOKUP($F22,'Table Output'!$A:$BW,MATCH(U$4,'Table Output'!$A$1:$BT$1,0),),'Control Panel'!U21)))</f>
        <v/>
      </c>
      <c r="W22" s="21">
        <f>IF($K22="","",IF('Control Panel'!W21="",VLOOKUP($F22,'Table Output'!$A$2:$BW$99998,MATCH(W$4,'Table Output'!$A$1:$BT$1,0),),'Control Panel'!W21))</f>
        <v>0</v>
      </c>
      <c r="X22" s="21">
        <f>IF($K22="","",IF('Control Panel'!X21="",VLOOKUP($F22,'Table Output'!$A$2:$BW$99998,MATCH(X$4,'Table Output'!$A$1:$BT$1,0),),'Control Panel'!X21))</f>
        <v>1</v>
      </c>
      <c r="Y22" s="21">
        <f>IF($K22="","",IF('Control Panel'!Y21="",VLOOKUP($F22,'Table Output'!$A$2:$BW$99998,MATCH(Y$4,'Table Output'!$A$1:$BT$1,0),),'Control Panel'!Y21))</f>
        <v>1</v>
      </c>
      <c r="Z22" s="21">
        <f>IF($K22="","",IF('Control Panel'!Z21="",VLOOKUP($F22,'Table Output'!$A$2:$BW$99998,MATCH(Z$4,'Table Output'!$A$1:$BT$1,0),),'Control Panel'!Z21))</f>
        <v>0</v>
      </c>
      <c r="AA22" s="21">
        <f>IF($K22="","",IF('Control Panel'!AA21="",VLOOKUP($F22,'Table Output'!$A$2:$BW$99998,MATCH(AA$4,'Table Output'!$A$1:$BT$1,0),),'Control Panel'!AA21))</f>
        <v>0</v>
      </c>
      <c r="AB22" s="21">
        <f>IF($K22="","",IF('Control Panel'!AB21="",VLOOKUP($F22,'Table Output'!$A$2:$BW$99998,MATCH(AB$4,'Table Output'!$A$1:$BT$1,0),),'Control Panel'!AB21))</f>
        <v>1</v>
      </c>
      <c r="AC22" s="21">
        <f>IF($K22="","",IF('Control Panel'!AC21="",VLOOKUP($F22,'Table Output'!$A$2:$BW$99998,MATCH(AC$4,'Table Output'!$A$1:$BT$1,0),),'Control Panel'!AC21))</f>
        <v>0</v>
      </c>
      <c r="AD22" s="21">
        <f>IF($K22="","",IF('Control Panel'!AD21="",VLOOKUP($F22,'Table Output'!$A$2:$BW$99998,MATCH(AD$4,'Table Output'!$A$1:$BT$1,0),),'Control Panel'!AD21))</f>
        <v>0</v>
      </c>
      <c r="AE22" s="21">
        <f>IF($K22="","",IF('Control Panel'!AE21="",VLOOKUP($F22,'Table Output'!$A$2:$BW$99998,MATCH(AE$4,'Table Output'!$A$1:$BT$1,0),),'Control Panel'!AE21))</f>
        <v>0</v>
      </c>
      <c r="AF22" s="21">
        <f>IF($K22="","",IF('Control Panel'!AF21="",VLOOKUP($F22,'Table Output'!$A$2:$BW$99998,MATCH(AF$4,'Table Output'!$A$1:$BT$1,0),),'Control Panel'!AF21))</f>
        <v>0</v>
      </c>
      <c r="AG22" s="21">
        <f>IF($K22="","",IF('Control Panel'!AG21="",VLOOKUP($F22,'Table Output'!$A$2:$BW$99998,MATCH(AG$4,'Table Output'!$A$1:$BT$1,0),),'Control Panel'!AG21))</f>
        <v>0</v>
      </c>
      <c r="AH22" s="21">
        <f>IF($K22="","",IF('Control Panel'!AH21="",VLOOKUP($F22,'Table Output'!$A$2:$BW$99998,MATCH(AH$4,'Table Output'!$A$1:$BT$1,0),),'Control Panel'!AH21))</f>
        <v>0</v>
      </c>
      <c r="AI22" s="21">
        <f>IF($K22="","",IF('Control Panel'!AI21="",VLOOKUP($F22,'Table Output'!$A$2:$BW$99998,MATCH(AI$4,'Table Output'!$A$1:$BT$1,0),),'Control Panel'!AI21))</f>
        <v>0</v>
      </c>
      <c r="AJ22" s="21">
        <f>IF($K22="","",IF('Control Panel'!AJ21="",VLOOKUP($F22,'Table Output'!$A$2:$BW$99998,MATCH(AJ$4,'Table Output'!$A$1:$BT$1,0),),'Control Panel'!AJ21))</f>
        <v>0</v>
      </c>
      <c r="AK22" s="21">
        <f>IF($K22="","",IF('Control Panel'!AK21="",VLOOKUP($F22,'Table Output'!$A$2:$BW$99998,MATCH(AK$4,'Table Output'!$A$1:$BT$1,0),),'Control Panel'!AK21))</f>
        <v>0</v>
      </c>
      <c r="AL22" s="21">
        <f>IF($K22="","",IF('Control Panel'!AL21="",VLOOKUP($F22,'Table Output'!$A$2:$BW$99998,MATCH(AL$4,'Table Output'!$A$1:$BT$1,0),),'Control Panel'!AL21))</f>
        <v>0</v>
      </c>
      <c r="AN22" s="34">
        <f t="shared" si="0"/>
        <v>18</v>
      </c>
      <c r="AO22" s="31">
        <f>IF(AO$4="","",IF($K22="","",IF('Control Panel'!AO21="",VLOOKUP($F22,'Table Output'!$A$2:$BW$99998,MATCH(AO$4,'Table Output'!$A$1:$BT$1,0),FALSE),'Control Panel'!AO21)))</f>
        <v>0</v>
      </c>
      <c r="AP22" s="31" t="str">
        <f>IF(AP$4="","",IF($K22="","",IF('Control Panel'!AP21="",VLOOKUP($F22,'Table Output'!$A$2:$BW$99998,MATCH(AP$4,'Table Output'!$A$1:$BT$1,0),FALSE),'Control Panel'!AP21)))</f>
        <v/>
      </c>
      <c r="AQ22" s="31" t="str">
        <f>IF(AQ$4="","",IF($K22="","",IF('Control Panel'!AQ21="",VLOOKUP($F22,'Table Output'!$A$2:$BW$99998,MATCH(AQ$4,'Table Output'!$A$1:$BT$1,0),FALSE),'Control Panel'!AQ21)))</f>
        <v/>
      </c>
      <c r="AR22" s="31" t="str">
        <f>IF(AR$4="","",IF($K22="","",IF('Control Panel'!AR21="",VLOOKUP($F22,'Table Output'!$A$2:$BW$99998,MATCH(AR$4,'Table Output'!$A$1:$BT$1,0),FALSE),'Control Panel'!AR21)))</f>
        <v/>
      </c>
      <c r="AS22" s="31" t="str">
        <f>IF(AS$4="","",IF($K22="","",IF('Control Panel'!AS21="",VLOOKUP($F22,'Table Output'!$A$2:$BW$99998,MATCH(AS$4,'Table Output'!$A$1:$BT$1,0),FALSE),'Control Panel'!AS21)))</f>
        <v/>
      </c>
      <c r="AT22" s="31" t="str">
        <f>IF(AT$4="","",IF($K22="","",IF('Control Panel'!AT21="",VLOOKUP($F22,'Table Output'!$A$2:$BW$99998,MATCH(AT$4,'Table Output'!$A$1:$BT$1,0),FALSE),'Control Panel'!AT21)))</f>
        <v/>
      </c>
      <c r="AU22" s="31" t="str">
        <f>IF(AU$4="","",IF($K22="","",IF('Control Panel'!AU21="",VLOOKUP($F22,'Table Output'!$A$2:$BW$99998,MATCH(AU$4,'Table Output'!$A$1:$BT$1,0),FALSE),'Control Panel'!AU21)))</f>
        <v/>
      </c>
      <c r="AV22" s="31" t="str">
        <f>IF(AV$4="","",IF($K22="","",IF('Control Panel'!AV21="",VLOOKUP($F22,'Table Output'!$A$2:$BW$99998,MATCH(AV$4,'Table Output'!$A$1:$BT$1,0),FALSE),'Control Panel'!AV21)))</f>
        <v/>
      </c>
      <c r="AW22" s="31" t="str">
        <f>IF(AW$4="","",IF($K22="","",IF('Control Panel'!AW21="",VLOOKUP($F22,'Table Output'!$A$2:$BW$99998,MATCH(AW$4,'Table Output'!$A$1:$BT$1,0),FALSE),'Control Panel'!AW21)))</f>
        <v/>
      </c>
      <c r="BJ22" s="2" t="s">
        <v>147</v>
      </c>
      <c r="BK22" s="2" t="s">
        <v>97</v>
      </c>
    </row>
    <row r="23" spans="2:63" ht="12" thickBot="1" x14ac:dyDescent="0.25">
      <c r="B23" s="2" t="str">
        <f>'Control Panel'!B23</f>
        <v>Location name</v>
      </c>
      <c r="C23" s="2" t="str">
        <f>'Control Panel'!C23</f>
        <v>U05</v>
      </c>
      <c r="E23" s="2">
        <f>IF('Control Panel'!E22="","",'Control Panel'!E22)</f>
        <v>1</v>
      </c>
      <c r="F23" s="2" t="str">
        <f>IF(E23=1,IF('Control Panel'!F22="","",'Control Panel'!F22),"")</f>
        <v>NGI_U3_12</v>
      </c>
      <c r="G23" s="2" t="str">
        <f>IF(E23=1,IF('Control Panel'!G22="","",'Control Panel'!G22),"")</f>
        <v>Empire_Wind_1</v>
      </c>
      <c r="H23" s="2" t="str">
        <f>IF(E23=1,IF('Control Panel'!H22="","",'Control Panel'!H22),"")</f>
        <v>NA</v>
      </c>
      <c r="I23" s="2">
        <f>IF(E23=1,IF('Control Panel'!I22="","",'Control Panel'!I22),"")</f>
        <v>7</v>
      </c>
      <c r="J23" s="2" t="str">
        <f>IF(E23=1,IF('Control Panel'!J22="","",'Control Panel'!J22),"")</f>
        <v>NGI_U3_12</v>
      </c>
      <c r="K23" s="25">
        <f>IF(E23=1,IF('Control Panel'!K22="","",'Control Panel'!K22),"")</f>
        <v>19</v>
      </c>
      <c r="L23" s="21">
        <f>IF($K23="","",IF(L$4="","",IF('Control Panel'!L22="",VLOOKUP($F23,'Table Output'!$A:$BW,MATCH(L$4,'Table Output'!$A$1:$BT$1,0),),'Control Panel'!L22)))</f>
        <v>1.5017</v>
      </c>
      <c r="M23" s="21">
        <f>IF($K23="","",IF(M$4="","",IF('Control Panel'!M22="",VLOOKUP($F23,'Table Output'!$A:$BW,MATCH(M$4,'Table Output'!$A$1:$BT$1,0),),'Control Panel'!M22)))</f>
        <v>2.2160000000000002</v>
      </c>
      <c r="N23" s="21">
        <f>IF($K23="","",IF(N$4="","",IF('Control Panel'!N22="",VLOOKUP($F23,'Table Output'!$A:$BW,MATCH(N$4,'Table Output'!$A$1:$BT$1,0),),'Control Panel'!N22)))</f>
        <v>1.2484E-2</v>
      </c>
      <c r="O23" s="21">
        <f>IF($K23="","",IF(O$4="","",IF('Control Panel'!O22="",VLOOKUP($F23,'Table Output'!$A:$BW,MATCH(O$4,'Table Output'!$A$1:$BT$1,0),),'Control Panel'!O22)))</f>
        <v>4.7439</v>
      </c>
      <c r="P23" s="21">
        <f>IF($K23="","",IF(P$4="","",IF('Control Panel'!P22="",VLOOKUP($F23,'Table Output'!$A:$BW,MATCH(P$4,'Table Output'!$A$1:$BT$1,0),),'Control Panel'!P22)))</f>
        <v>0.01</v>
      </c>
      <c r="Q23" s="21">
        <f>IF($K23="","",IF(Q$4="","",IF('Control Panel'!Q22="",VLOOKUP($F23,'Table Output'!$A:$BW,MATCH(Q$4,'Table Output'!$A$1:$BT$1,0),),'Control Panel'!Q22)))</f>
        <v>0.57128000000000001</v>
      </c>
      <c r="R23" s="21">
        <f>IF($K23="","",IF(R$4="","",IF('Control Panel'!R22="",VLOOKUP($F23,'Table Output'!$A:$BW,MATCH(R$4,'Table Output'!$A$1:$BT$1,0),),'Control Panel'!R22)))</f>
        <v>0.50685999999999998</v>
      </c>
      <c r="S23" s="21" t="str">
        <f>IF($K23="","",IF(S$4="","",IF('Control Panel'!S22="",VLOOKUP($F23,'Table Output'!$A:$BW,MATCH(S$4,'Table Output'!$A$1:$BT$1,0),),'Control Panel'!S22)))</f>
        <v/>
      </c>
      <c r="T23" s="21" t="str">
        <f>IF($K23="","",IF(T$4="","",IF('Control Panel'!T22="",VLOOKUP($F23,'Table Output'!$A:$BW,MATCH(T$4,'Table Output'!$A$1:$BT$1,0),),'Control Panel'!T22)))</f>
        <v/>
      </c>
      <c r="U23" s="21" t="str">
        <f>IF($K23="","",IF(U$4="","",IF('Control Panel'!U22="",VLOOKUP($F23,'Table Output'!$A:$BW,MATCH(U$4,'Table Output'!$A$1:$BT$1,0),),'Control Panel'!U22)))</f>
        <v/>
      </c>
      <c r="W23" s="21">
        <f>IF($K23="","",IF('Control Panel'!W22="",VLOOKUP($F23,'Table Output'!$A$2:$BW$99998,MATCH(W$4,'Table Output'!$A$1:$BT$1,0),),'Control Panel'!W22))</f>
        <v>0</v>
      </c>
      <c r="X23" s="21">
        <f>IF($K23="","",IF('Control Panel'!X22="",VLOOKUP($F23,'Table Output'!$A$2:$BW$99998,MATCH(X$4,'Table Output'!$A$1:$BT$1,0),),'Control Panel'!X22))</f>
        <v>1</v>
      </c>
      <c r="Y23" s="21">
        <f>IF($K23="","",IF('Control Panel'!Y22="",VLOOKUP($F23,'Table Output'!$A$2:$BW$99998,MATCH(Y$4,'Table Output'!$A$1:$BT$1,0),),'Control Panel'!Y22))</f>
        <v>1</v>
      </c>
      <c r="Z23" s="21">
        <f>IF($K23="","",IF('Control Panel'!Z22="",VLOOKUP($F23,'Table Output'!$A$2:$BW$99998,MATCH(Z$4,'Table Output'!$A$1:$BT$1,0),),'Control Panel'!Z22))</f>
        <v>0</v>
      </c>
      <c r="AA23" s="21">
        <f>IF($K23="","",IF('Control Panel'!AA22="",VLOOKUP($F23,'Table Output'!$A$2:$BW$99998,MATCH(AA$4,'Table Output'!$A$1:$BT$1,0),),'Control Panel'!AA22))</f>
        <v>0</v>
      </c>
      <c r="AB23" s="21">
        <f>IF($K23="","",IF('Control Panel'!AB22="",VLOOKUP($F23,'Table Output'!$A$2:$BW$99998,MATCH(AB$4,'Table Output'!$A$1:$BT$1,0),),'Control Panel'!AB22))</f>
        <v>1</v>
      </c>
      <c r="AC23" s="21">
        <f>IF($K23="","",IF('Control Panel'!AC22="",VLOOKUP($F23,'Table Output'!$A$2:$BW$99998,MATCH(AC$4,'Table Output'!$A$1:$BT$1,0),),'Control Panel'!AC22))</f>
        <v>0</v>
      </c>
      <c r="AD23" s="21">
        <f>IF($K23="","",IF('Control Panel'!AD22="",VLOOKUP($F23,'Table Output'!$A$2:$BW$99998,MATCH(AD$4,'Table Output'!$A$1:$BT$1,0),),'Control Panel'!AD22))</f>
        <v>0</v>
      </c>
      <c r="AE23" s="21">
        <f>IF($K23="","",IF('Control Panel'!AE22="",VLOOKUP($F23,'Table Output'!$A$2:$BW$99998,MATCH(AE$4,'Table Output'!$A$1:$BT$1,0),),'Control Panel'!AE22))</f>
        <v>0</v>
      </c>
      <c r="AF23" s="21">
        <f>IF($K23="","",IF('Control Panel'!AF22="",VLOOKUP($F23,'Table Output'!$A$2:$BW$99998,MATCH(AF$4,'Table Output'!$A$1:$BT$1,0),),'Control Panel'!AF22))</f>
        <v>0</v>
      </c>
      <c r="AG23" s="21">
        <f>IF($K23="","",IF('Control Panel'!AG22="",VLOOKUP($F23,'Table Output'!$A$2:$BW$99998,MATCH(AG$4,'Table Output'!$A$1:$BT$1,0),),'Control Panel'!AG22))</f>
        <v>0</v>
      </c>
      <c r="AH23" s="21">
        <f>IF($K23="","",IF('Control Panel'!AH22="",VLOOKUP($F23,'Table Output'!$A$2:$BW$99998,MATCH(AH$4,'Table Output'!$A$1:$BT$1,0),),'Control Panel'!AH22))</f>
        <v>0</v>
      </c>
      <c r="AI23" s="21">
        <f>IF($K23="","",IF('Control Panel'!AI22="",VLOOKUP($F23,'Table Output'!$A$2:$BW$99998,MATCH(AI$4,'Table Output'!$A$1:$BT$1,0),),'Control Panel'!AI22))</f>
        <v>0</v>
      </c>
      <c r="AJ23" s="21">
        <f>IF($K23="","",IF('Control Panel'!AJ22="",VLOOKUP($F23,'Table Output'!$A$2:$BW$99998,MATCH(AJ$4,'Table Output'!$A$1:$BT$1,0),),'Control Panel'!AJ22))</f>
        <v>0</v>
      </c>
      <c r="AK23" s="21">
        <f>IF($K23="","",IF('Control Panel'!AK22="",VLOOKUP($F23,'Table Output'!$A$2:$BW$99998,MATCH(AK$4,'Table Output'!$A$1:$BT$1,0),),'Control Panel'!AK22))</f>
        <v>0</v>
      </c>
      <c r="AL23" s="21">
        <f>IF($K23="","",IF('Control Panel'!AL22="",VLOOKUP($F23,'Table Output'!$A$2:$BW$99998,MATCH(AL$4,'Table Output'!$A$1:$BT$1,0),),'Control Panel'!AL22))</f>
        <v>0</v>
      </c>
      <c r="AN23" s="34">
        <f t="shared" si="0"/>
        <v>19</v>
      </c>
      <c r="AO23" s="31">
        <f>IF(AO$4="","",IF($K23="","",IF('Control Panel'!AO22="",VLOOKUP($F23,'Table Output'!$A$2:$BW$99998,MATCH(AO$4,'Table Output'!$A$1:$BT$1,0),FALSE),'Control Panel'!AO22)))</f>
        <v>0</v>
      </c>
      <c r="AP23" s="31" t="str">
        <f>IF(AP$4="","",IF($K23="","",IF('Control Panel'!AP22="",VLOOKUP($F23,'Table Output'!$A$2:$BW$99998,MATCH(AP$4,'Table Output'!$A$1:$BT$1,0),FALSE),'Control Panel'!AP22)))</f>
        <v/>
      </c>
      <c r="AQ23" s="31" t="str">
        <f>IF(AQ$4="","",IF($K23="","",IF('Control Panel'!AQ22="",VLOOKUP($F23,'Table Output'!$A$2:$BW$99998,MATCH(AQ$4,'Table Output'!$A$1:$BT$1,0),FALSE),'Control Panel'!AQ22)))</f>
        <v/>
      </c>
      <c r="AR23" s="31" t="str">
        <f>IF(AR$4="","",IF($K23="","",IF('Control Panel'!AR22="",VLOOKUP($F23,'Table Output'!$A$2:$BW$99998,MATCH(AR$4,'Table Output'!$A$1:$BT$1,0),FALSE),'Control Panel'!AR22)))</f>
        <v/>
      </c>
      <c r="AS23" s="31" t="str">
        <f>IF(AS$4="","",IF($K23="","",IF('Control Panel'!AS22="",VLOOKUP($F23,'Table Output'!$A$2:$BW$99998,MATCH(AS$4,'Table Output'!$A$1:$BT$1,0),FALSE),'Control Panel'!AS22)))</f>
        <v/>
      </c>
      <c r="AT23" s="31" t="str">
        <f>IF(AT$4="","",IF($K23="","",IF('Control Panel'!AT22="",VLOOKUP($F23,'Table Output'!$A$2:$BW$99998,MATCH(AT$4,'Table Output'!$A$1:$BT$1,0),FALSE),'Control Panel'!AT22)))</f>
        <v/>
      </c>
      <c r="AU23" s="31" t="str">
        <f>IF(AU$4="","",IF($K23="","",IF('Control Panel'!AU22="",VLOOKUP($F23,'Table Output'!$A$2:$BW$99998,MATCH(AU$4,'Table Output'!$A$1:$BT$1,0),FALSE),'Control Panel'!AU22)))</f>
        <v/>
      </c>
      <c r="AV23" s="31" t="str">
        <f>IF(AV$4="","",IF($K23="","",IF('Control Panel'!AV22="",VLOOKUP($F23,'Table Output'!$A$2:$BW$99998,MATCH(AV$4,'Table Output'!$A$1:$BT$1,0),FALSE),'Control Panel'!AV22)))</f>
        <v/>
      </c>
      <c r="AW23" s="31" t="str">
        <f>IF(AW$4="","",IF($K23="","",IF('Control Panel'!AW22="",VLOOKUP($F23,'Table Output'!$A$2:$BW$99998,MATCH(AW$4,'Table Output'!$A$1:$BT$1,0),FALSE),'Control Panel'!AW22)))</f>
        <v/>
      </c>
      <c r="BJ23" s="2" t="s">
        <v>148</v>
      </c>
      <c r="BK23" s="2" t="s">
        <v>97</v>
      </c>
    </row>
    <row r="24" spans="2:63" ht="12" thickBot="1" x14ac:dyDescent="0.25">
      <c r="B24" s="2" t="str">
        <f>'Control Panel'!B24</f>
        <v>Revision</v>
      </c>
      <c r="C24" s="2">
        <f>'Control Panel'!C24</f>
        <v>33</v>
      </c>
      <c r="E24" s="2">
        <f>IF('Control Panel'!E23="","",'Control Panel'!E23)</f>
        <v>1</v>
      </c>
      <c r="F24" s="2" t="str">
        <f>IF(E24=1,IF('Control Panel'!F23="","",'Control Panel'!F23),"")</f>
        <v>NGI_U3_12</v>
      </c>
      <c r="G24" s="2" t="str">
        <f>IF(E24=1,IF('Control Panel'!G23="","",'Control Panel'!G23),"")</f>
        <v>Empire_Wind_1</v>
      </c>
      <c r="H24" s="2" t="str">
        <f>IF(E24=1,IF('Control Panel'!H23="","",'Control Panel'!H23),"")</f>
        <v>NA</v>
      </c>
      <c r="I24" s="2">
        <f>IF(E24=1,IF('Control Panel'!I23="","",'Control Panel'!I23),"")</f>
        <v>7</v>
      </c>
      <c r="J24" s="2" t="str">
        <f>IF(E24=1,IF('Control Panel'!J23="","",'Control Panel'!J23),"")</f>
        <v>NGI_U3_12</v>
      </c>
      <c r="K24" s="25">
        <f>IF(E24=1,IF('Control Panel'!K23="","",'Control Panel'!K23),"")</f>
        <v>20</v>
      </c>
      <c r="L24" s="21">
        <f>IF($K24="","",IF(L$4="","",IF('Control Panel'!L23="",VLOOKUP($F24,'Table Output'!$A:$BW,MATCH(L$4,'Table Output'!$A$1:$BT$1,0),),'Control Panel'!L23)))</f>
        <v>1.5017</v>
      </c>
      <c r="M24" s="21">
        <f>IF($K24="","",IF(M$4="","",IF('Control Panel'!M23="",VLOOKUP($F24,'Table Output'!$A:$BW,MATCH(M$4,'Table Output'!$A$1:$BT$1,0),),'Control Panel'!M23)))</f>
        <v>2.2160000000000002</v>
      </c>
      <c r="N24" s="21">
        <f>IF($K24="","",IF(N$4="","",IF('Control Panel'!N23="",VLOOKUP($F24,'Table Output'!$A:$BW,MATCH(N$4,'Table Output'!$A$1:$BT$1,0),),'Control Panel'!N23)))</f>
        <v>1.2484E-2</v>
      </c>
      <c r="O24" s="21">
        <f>IF($K24="","",IF(O$4="","",IF('Control Panel'!O23="",VLOOKUP($F24,'Table Output'!$A:$BW,MATCH(O$4,'Table Output'!$A$1:$BT$1,0),),'Control Panel'!O23)))</f>
        <v>4.7439</v>
      </c>
      <c r="P24" s="21">
        <f>IF($K24="","",IF(P$4="","",IF('Control Panel'!P23="",VLOOKUP($F24,'Table Output'!$A:$BW,MATCH(P$4,'Table Output'!$A$1:$BT$1,0),),'Control Panel'!P23)))</f>
        <v>0.01</v>
      </c>
      <c r="Q24" s="21">
        <f>IF($K24="","",IF(Q$4="","",IF('Control Panel'!Q23="",VLOOKUP($F24,'Table Output'!$A:$BW,MATCH(Q$4,'Table Output'!$A$1:$BT$1,0),),'Control Panel'!Q23)))</f>
        <v>0.57128000000000001</v>
      </c>
      <c r="R24" s="21">
        <f>IF($K24="","",IF(R$4="","",IF('Control Panel'!R23="",VLOOKUP($F24,'Table Output'!$A:$BW,MATCH(R$4,'Table Output'!$A$1:$BT$1,0),),'Control Panel'!R23)))</f>
        <v>0.50685999999999998</v>
      </c>
      <c r="S24" s="21" t="str">
        <f>IF($K24="","",IF(S$4="","",IF('Control Panel'!S23="",VLOOKUP($F24,'Table Output'!$A:$BW,MATCH(S$4,'Table Output'!$A$1:$BT$1,0),),'Control Panel'!S23)))</f>
        <v/>
      </c>
      <c r="T24" s="21" t="str">
        <f>IF($K24="","",IF(T$4="","",IF('Control Panel'!T23="",VLOOKUP($F24,'Table Output'!$A:$BW,MATCH(T$4,'Table Output'!$A$1:$BT$1,0),),'Control Panel'!T23)))</f>
        <v/>
      </c>
      <c r="U24" s="21" t="str">
        <f>IF($K24="","",IF(U$4="","",IF('Control Panel'!U23="",VLOOKUP($F24,'Table Output'!$A:$BW,MATCH(U$4,'Table Output'!$A$1:$BT$1,0),),'Control Panel'!U23)))</f>
        <v/>
      </c>
      <c r="W24" s="21">
        <f>IF($K24="","",IF('Control Panel'!W23="",VLOOKUP($F24,'Table Output'!$A$2:$BW$99998,MATCH(W$4,'Table Output'!$A$1:$BT$1,0),),'Control Panel'!W23))</f>
        <v>0</v>
      </c>
      <c r="X24" s="21">
        <f>IF($K24="","",IF('Control Panel'!X23="",VLOOKUP($F24,'Table Output'!$A$2:$BW$99998,MATCH(X$4,'Table Output'!$A$1:$BT$1,0),),'Control Panel'!X23))</f>
        <v>1</v>
      </c>
      <c r="Y24" s="21">
        <f>IF($K24="","",IF('Control Panel'!Y23="",VLOOKUP($F24,'Table Output'!$A$2:$BW$99998,MATCH(Y$4,'Table Output'!$A$1:$BT$1,0),),'Control Panel'!Y23))</f>
        <v>1</v>
      </c>
      <c r="Z24" s="21">
        <f>IF($K24="","",IF('Control Panel'!Z23="",VLOOKUP($F24,'Table Output'!$A$2:$BW$99998,MATCH(Z$4,'Table Output'!$A$1:$BT$1,0),),'Control Panel'!Z23))</f>
        <v>0</v>
      </c>
      <c r="AA24" s="21">
        <f>IF($K24="","",IF('Control Panel'!AA23="",VLOOKUP($F24,'Table Output'!$A$2:$BW$99998,MATCH(AA$4,'Table Output'!$A$1:$BT$1,0),),'Control Panel'!AA23))</f>
        <v>0</v>
      </c>
      <c r="AB24" s="21">
        <f>IF($K24="","",IF('Control Panel'!AB23="",VLOOKUP($F24,'Table Output'!$A$2:$BW$99998,MATCH(AB$4,'Table Output'!$A$1:$BT$1,0),),'Control Panel'!AB23))</f>
        <v>1</v>
      </c>
      <c r="AC24" s="21">
        <f>IF($K24="","",IF('Control Panel'!AC23="",VLOOKUP($F24,'Table Output'!$A$2:$BW$99998,MATCH(AC$4,'Table Output'!$A$1:$BT$1,0),),'Control Panel'!AC23))</f>
        <v>0</v>
      </c>
      <c r="AD24" s="21">
        <f>IF($K24="","",IF('Control Panel'!AD23="",VLOOKUP($F24,'Table Output'!$A$2:$BW$99998,MATCH(AD$4,'Table Output'!$A$1:$BT$1,0),),'Control Panel'!AD23))</f>
        <v>0</v>
      </c>
      <c r="AE24" s="21">
        <f>IF($K24="","",IF('Control Panel'!AE23="",VLOOKUP($F24,'Table Output'!$A$2:$BW$99998,MATCH(AE$4,'Table Output'!$A$1:$BT$1,0),),'Control Panel'!AE23))</f>
        <v>0</v>
      </c>
      <c r="AF24" s="21">
        <f>IF($K24="","",IF('Control Panel'!AF23="",VLOOKUP($F24,'Table Output'!$A$2:$BW$99998,MATCH(AF$4,'Table Output'!$A$1:$BT$1,0),),'Control Panel'!AF23))</f>
        <v>0</v>
      </c>
      <c r="AG24" s="21">
        <f>IF($K24="","",IF('Control Panel'!AG23="",VLOOKUP($F24,'Table Output'!$A$2:$BW$99998,MATCH(AG$4,'Table Output'!$A$1:$BT$1,0),),'Control Panel'!AG23))</f>
        <v>0</v>
      </c>
      <c r="AH24" s="21">
        <f>IF($K24="","",IF('Control Panel'!AH23="",VLOOKUP($F24,'Table Output'!$A$2:$BW$99998,MATCH(AH$4,'Table Output'!$A$1:$BT$1,0),),'Control Panel'!AH23))</f>
        <v>0</v>
      </c>
      <c r="AI24" s="21">
        <f>IF($K24="","",IF('Control Panel'!AI23="",VLOOKUP($F24,'Table Output'!$A$2:$BW$99998,MATCH(AI$4,'Table Output'!$A$1:$BT$1,0),),'Control Panel'!AI23))</f>
        <v>0</v>
      </c>
      <c r="AJ24" s="21">
        <f>IF($K24="","",IF('Control Panel'!AJ23="",VLOOKUP($F24,'Table Output'!$A$2:$BW$99998,MATCH(AJ$4,'Table Output'!$A$1:$BT$1,0),),'Control Panel'!AJ23))</f>
        <v>0</v>
      </c>
      <c r="AK24" s="21">
        <f>IF($K24="","",IF('Control Panel'!AK23="",VLOOKUP($F24,'Table Output'!$A$2:$BW$99998,MATCH(AK$4,'Table Output'!$A$1:$BT$1,0),),'Control Panel'!AK23))</f>
        <v>0</v>
      </c>
      <c r="AL24" s="21">
        <f>IF($K24="","",IF('Control Panel'!AL23="",VLOOKUP($F24,'Table Output'!$A$2:$BW$99998,MATCH(AL$4,'Table Output'!$A$1:$BT$1,0),),'Control Panel'!AL23))</f>
        <v>0</v>
      </c>
      <c r="AN24" s="34">
        <f t="shared" si="0"/>
        <v>20</v>
      </c>
      <c r="AO24" s="31">
        <f>IF(AO$4="","",IF($K24="","",IF('Control Panel'!AO23="",VLOOKUP($F24,'Table Output'!$A$2:$BW$99998,MATCH(AO$4,'Table Output'!$A$1:$BT$1,0),FALSE),'Control Panel'!AO23)))</f>
        <v>0</v>
      </c>
      <c r="AP24" s="31" t="str">
        <f>IF(AP$4="","",IF($K24="","",IF('Control Panel'!AP23="",VLOOKUP($F24,'Table Output'!$A$2:$BW$99998,MATCH(AP$4,'Table Output'!$A$1:$BT$1,0),FALSE),'Control Panel'!AP23)))</f>
        <v/>
      </c>
      <c r="AQ24" s="31" t="str">
        <f>IF(AQ$4="","",IF($K24="","",IF('Control Panel'!AQ23="",VLOOKUP($F24,'Table Output'!$A$2:$BW$99998,MATCH(AQ$4,'Table Output'!$A$1:$BT$1,0),FALSE),'Control Panel'!AQ23)))</f>
        <v/>
      </c>
      <c r="AR24" s="31" t="str">
        <f>IF(AR$4="","",IF($K24="","",IF('Control Panel'!AR23="",VLOOKUP($F24,'Table Output'!$A$2:$BW$99998,MATCH(AR$4,'Table Output'!$A$1:$BT$1,0),FALSE),'Control Panel'!AR23)))</f>
        <v/>
      </c>
      <c r="AS24" s="31" t="str">
        <f>IF(AS$4="","",IF($K24="","",IF('Control Panel'!AS23="",VLOOKUP($F24,'Table Output'!$A$2:$BW$99998,MATCH(AS$4,'Table Output'!$A$1:$BT$1,0),FALSE),'Control Panel'!AS23)))</f>
        <v/>
      </c>
      <c r="AT24" s="31" t="str">
        <f>IF(AT$4="","",IF($K24="","",IF('Control Panel'!AT23="",VLOOKUP($F24,'Table Output'!$A$2:$BW$99998,MATCH(AT$4,'Table Output'!$A$1:$BT$1,0),FALSE),'Control Panel'!AT23)))</f>
        <v/>
      </c>
      <c r="AU24" s="31" t="str">
        <f>IF(AU$4="","",IF($K24="","",IF('Control Panel'!AU23="",VLOOKUP($F24,'Table Output'!$A$2:$BW$99998,MATCH(AU$4,'Table Output'!$A$1:$BT$1,0),FALSE),'Control Panel'!AU23)))</f>
        <v/>
      </c>
      <c r="AV24" s="31" t="str">
        <f>IF(AV$4="","",IF($K24="","",IF('Control Panel'!AV23="",VLOOKUP($F24,'Table Output'!$A$2:$BW$99998,MATCH(AV$4,'Table Output'!$A$1:$BT$1,0),FALSE),'Control Panel'!AV23)))</f>
        <v/>
      </c>
      <c r="AW24" s="31" t="str">
        <f>IF(AW$4="","",IF($K24="","",IF('Control Panel'!AW23="",VLOOKUP($F24,'Table Output'!$A$2:$BW$99998,MATCH(AW$4,'Table Output'!$A$1:$BT$1,0),FALSE),'Control Panel'!AW23)))</f>
        <v/>
      </c>
      <c r="BJ24" s="2" t="s">
        <v>149</v>
      </c>
      <c r="BK24" s="2" t="s">
        <v>98</v>
      </c>
    </row>
    <row r="25" spans="2:63" ht="12" thickBot="1" x14ac:dyDescent="0.25">
      <c r="B25" s="2" t="str">
        <f>'Control Panel'!B25</f>
        <v>Preparer</v>
      </c>
      <c r="C25" s="2" t="str">
        <f>'Control Panel'!C25</f>
        <v>PNGI</v>
      </c>
      <c r="E25" s="2">
        <f>IF('Control Panel'!E24="","",'Control Panel'!E24)</f>
        <v>1</v>
      </c>
      <c r="F25" s="2" t="str">
        <f>IF(E25=1,IF('Control Panel'!F24="","",'Control Panel'!F24),"")</f>
        <v>NGI_U3_12</v>
      </c>
      <c r="G25" s="2" t="str">
        <f>IF(E25=1,IF('Control Panel'!G24="","",'Control Panel'!G24),"")</f>
        <v>Empire_Wind_1</v>
      </c>
      <c r="H25" s="2" t="str">
        <f>IF(E25=1,IF('Control Panel'!H24="","",'Control Panel'!H24),"")</f>
        <v>NA</v>
      </c>
      <c r="I25" s="2">
        <f>IF(E25=1,IF('Control Panel'!I24="","",'Control Panel'!I24),"")</f>
        <v>7</v>
      </c>
      <c r="J25" s="2" t="str">
        <f>IF(E25=1,IF('Control Panel'!J24="","",'Control Panel'!J24),"")</f>
        <v>NGI_U3_12</v>
      </c>
      <c r="K25" s="25">
        <f>IF(E25=1,IF('Control Panel'!K24="","",'Control Panel'!K24),"")</f>
        <v>21</v>
      </c>
      <c r="L25" s="21">
        <f>IF($K25="","",IF(L$4="","",IF('Control Panel'!L24="",VLOOKUP($F25,'Table Output'!$A:$BW,MATCH(L$4,'Table Output'!$A$1:$BT$1,0),),'Control Panel'!L24)))</f>
        <v>1.5017</v>
      </c>
      <c r="M25" s="21">
        <f>IF($K25="","",IF(M$4="","",IF('Control Panel'!M24="",VLOOKUP($F25,'Table Output'!$A:$BW,MATCH(M$4,'Table Output'!$A$1:$BT$1,0),),'Control Panel'!M24)))</f>
        <v>2.2160000000000002</v>
      </c>
      <c r="N25" s="21">
        <f>IF($K25="","",IF(N$4="","",IF('Control Panel'!N24="",VLOOKUP($F25,'Table Output'!$A:$BW,MATCH(N$4,'Table Output'!$A$1:$BT$1,0),),'Control Panel'!N24)))</f>
        <v>1.2484E-2</v>
      </c>
      <c r="O25" s="21">
        <f>IF($K25="","",IF(O$4="","",IF('Control Panel'!O24="",VLOOKUP($F25,'Table Output'!$A:$BW,MATCH(O$4,'Table Output'!$A$1:$BT$1,0),),'Control Panel'!O24)))</f>
        <v>4.7439</v>
      </c>
      <c r="P25" s="21">
        <f>IF($K25="","",IF(P$4="","",IF('Control Panel'!P24="",VLOOKUP($F25,'Table Output'!$A:$BW,MATCH(P$4,'Table Output'!$A$1:$BT$1,0),),'Control Panel'!P24)))</f>
        <v>0.01</v>
      </c>
      <c r="Q25" s="21">
        <f>IF($K25="","",IF(Q$4="","",IF('Control Panel'!Q24="",VLOOKUP($F25,'Table Output'!$A:$BW,MATCH(Q$4,'Table Output'!$A$1:$BT$1,0),),'Control Panel'!Q24)))</f>
        <v>0.57128000000000001</v>
      </c>
      <c r="R25" s="21">
        <f>IF($K25="","",IF(R$4="","",IF('Control Panel'!R24="",VLOOKUP($F25,'Table Output'!$A:$BW,MATCH(R$4,'Table Output'!$A$1:$BT$1,0),),'Control Panel'!R24)))</f>
        <v>0.50685999999999998</v>
      </c>
      <c r="S25" s="21" t="str">
        <f>IF($K25="","",IF(S$4="","",IF('Control Panel'!S24="",VLOOKUP($F25,'Table Output'!$A:$BW,MATCH(S$4,'Table Output'!$A$1:$BT$1,0),),'Control Panel'!S24)))</f>
        <v/>
      </c>
      <c r="T25" s="21" t="str">
        <f>IF($K25="","",IF(T$4="","",IF('Control Panel'!T24="",VLOOKUP($F25,'Table Output'!$A:$BW,MATCH(T$4,'Table Output'!$A$1:$BT$1,0),),'Control Panel'!T24)))</f>
        <v/>
      </c>
      <c r="U25" s="21" t="str">
        <f>IF($K25="","",IF(U$4="","",IF('Control Panel'!U24="",VLOOKUP($F25,'Table Output'!$A:$BW,MATCH(U$4,'Table Output'!$A$1:$BT$1,0),),'Control Panel'!U24)))</f>
        <v/>
      </c>
      <c r="W25" s="21">
        <f>IF($K25="","",IF('Control Panel'!W24="",VLOOKUP($F25,'Table Output'!$A$2:$BW$99998,MATCH(W$4,'Table Output'!$A$1:$BT$1,0),),'Control Panel'!W24))</f>
        <v>0</v>
      </c>
      <c r="X25" s="21">
        <f>IF($K25="","",IF('Control Panel'!X24="",VLOOKUP($F25,'Table Output'!$A$2:$BW$99998,MATCH(X$4,'Table Output'!$A$1:$BT$1,0),),'Control Panel'!X24))</f>
        <v>1</v>
      </c>
      <c r="Y25" s="21">
        <f>IF($K25="","",IF('Control Panel'!Y24="",VLOOKUP($F25,'Table Output'!$A$2:$BW$99998,MATCH(Y$4,'Table Output'!$A$1:$BT$1,0),),'Control Panel'!Y24))</f>
        <v>1</v>
      </c>
      <c r="Z25" s="21">
        <f>IF($K25="","",IF('Control Panel'!Z24="",VLOOKUP($F25,'Table Output'!$A$2:$BW$99998,MATCH(Z$4,'Table Output'!$A$1:$BT$1,0),),'Control Panel'!Z24))</f>
        <v>0</v>
      </c>
      <c r="AA25" s="21">
        <f>IF($K25="","",IF('Control Panel'!AA24="",VLOOKUP($F25,'Table Output'!$A$2:$BW$99998,MATCH(AA$4,'Table Output'!$A$1:$BT$1,0),),'Control Panel'!AA24))</f>
        <v>0</v>
      </c>
      <c r="AB25" s="21">
        <f>IF($K25="","",IF('Control Panel'!AB24="",VLOOKUP($F25,'Table Output'!$A$2:$BW$99998,MATCH(AB$4,'Table Output'!$A$1:$BT$1,0),),'Control Panel'!AB24))</f>
        <v>1</v>
      </c>
      <c r="AC25" s="21">
        <f>IF($K25="","",IF('Control Panel'!AC24="",VLOOKUP($F25,'Table Output'!$A$2:$BW$99998,MATCH(AC$4,'Table Output'!$A$1:$BT$1,0),),'Control Panel'!AC24))</f>
        <v>0</v>
      </c>
      <c r="AD25" s="21">
        <f>IF($K25="","",IF('Control Panel'!AD24="",VLOOKUP($F25,'Table Output'!$A$2:$BW$99998,MATCH(AD$4,'Table Output'!$A$1:$BT$1,0),),'Control Panel'!AD24))</f>
        <v>0</v>
      </c>
      <c r="AE25" s="21">
        <f>IF($K25="","",IF('Control Panel'!AE24="",VLOOKUP($F25,'Table Output'!$A$2:$BW$99998,MATCH(AE$4,'Table Output'!$A$1:$BT$1,0),),'Control Panel'!AE24))</f>
        <v>0</v>
      </c>
      <c r="AF25" s="21">
        <f>IF($K25="","",IF('Control Panel'!AF24="",VLOOKUP($F25,'Table Output'!$A$2:$BW$99998,MATCH(AF$4,'Table Output'!$A$1:$BT$1,0),),'Control Panel'!AF24))</f>
        <v>0</v>
      </c>
      <c r="AG25" s="21">
        <f>IF($K25="","",IF('Control Panel'!AG24="",VLOOKUP($F25,'Table Output'!$A$2:$BW$99998,MATCH(AG$4,'Table Output'!$A$1:$BT$1,0),),'Control Panel'!AG24))</f>
        <v>0</v>
      </c>
      <c r="AH25" s="21">
        <f>IF($K25="","",IF('Control Panel'!AH24="",VLOOKUP($F25,'Table Output'!$A$2:$BW$99998,MATCH(AH$4,'Table Output'!$A$1:$BT$1,0),),'Control Panel'!AH24))</f>
        <v>0</v>
      </c>
      <c r="AI25" s="21">
        <f>IF($K25="","",IF('Control Panel'!AI24="",VLOOKUP($F25,'Table Output'!$A$2:$BW$99998,MATCH(AI$4,'Table Output'!$A$1:$BT$1,0),),'Control Panel'!AI24))</f>
        <v>0</v>
      </c>
      <c r="AJ25" s="21">
        <f>IF($K25="","",IF('Control Panel'!AJ24="",VLOOKUP($F25,'Table Output'!$A$2:$BW$99998,MATCH(AJ$4,'Table Output'!$A$1:$BT$1,0),),'Control Panel'!AJ24))</f>
        <v>0</v>
      </c>
      <c r="AK25" s="21">
        <f>IF($K25="","",IF('Control Panel'!AK24="",VLOOKUP($F25,'Table Output'!$A$2:$BW$99998,MATCH(AK$4,'Table Output'!$A$1:$BT$1,0),),'Control Panel'!AK24))</f>
        <v>0</v>
      </c>
      <c r="AL25" s="21">
        <f>IF($K25="","",IF('Control Panel'!AL24="",VLOOKUP($F25,'Table Output'!$A$2:$BW$99998,MATCH(AL$4,'Table Output'!$A$1:$BT$1,0),),'Control Panel'!AL24))</f>
        <v>0</v>
      </c>
      <c r="AN25" s="34">
        <f t="shared" ref="AN25:AN34" si="1">K25</f>
        <v>21</v>
      </c>
      <c r="AO25" s="31">
        <f>IF(AO$4="","",IF($K25="","",IF('Control Panel'!AO24="",VLOOKUP($F25,'Table Output'!$A$2:$BW$99998,MATCH(AO$4,'Table Output'!$A$1:$BT$1,0),FALSE),'Control Panel'!AO24)))</f>
        <v>0</v>
      </c>
      <c r="AP25" s="31" t="str">
        <f>IF(AP$4="","",IF($K25="","",IF('Control Panel'!AP24="",VLOOKUP($F25,'Table Output'!$A$2:$BW$99998,MATCH(AP$4,'Table Output'!$A$1:$BT$1,0),FALSE),'Control Panel'!AP24)))</f>
        <v/>
      </c>
      <c r="AQ25" s="31" t="str">
        <f>IF(AQ$4="","",IF($K25="","",IF('Control Panel'!AQ24="",VLOOKUP($F25,'Table Output'!$A$2:$BW$99998,MATCH(AQ$4,'Table Output'!$A$1:$BT$1,0),FALSE),'Control Panel'!AQ24)))</f>
        <v/>
      </c>
      <c r="AR25" s="31" t="str">
        <f>IF(AR$4="","",IF($K25="","",IF('Control Panel'!AR24="",VLOOKUP($F25,'Table Output'!$A$2:$BW$99998,MATCH(AR$4,'Table Output'!$A$1:$BT$1,0),FALSE),'Control Panel'!AR24)))</f>
        <v/>
      </c>
      <c r="AS25" s="31" t="str">
        <f>IF(AS$4="","",IF($K25="","",IF('Control Panel'!AS24="",VLOOKUP($F25,'Table Output'!$A$2:$BW$99998,MATCH(AS$4,'Table Output'!$A$1:$BT$1,0),FALSE),'Control Panel'!AS24)))</f>
        <v/>
      </c>
      <c r="AT25" s="31" t="str">
        <f>IF(AT$4="","",IF($K25="","",IF('Control Panel'!AT24="",VLOOKUP($F25,'Table Output'!$A$2:$BW$99998,MATCH(AT$4,'Table Output'!$A$1:$BT$1,0),FALSE),'Control Panel'!AT24)))</f>
        <v/>
      </c>
      <c r="AU25" s="31" t="str">
        <f>IF(AU$4="","",IF($K25="","",IF('Control Panel'!AU24="",VLOOKUP($F25,'Table Output'!$A$2:$BW$99998,MATCH(AU$4,'Table Output'!$A$1:$BT$1,0),FALSE),'Control Panel'!AU24)))</f>
        <v/>
      </c>
      <c r="AV25" s="31" t="str">
        <f>IF(AV$4="","",IF($K25="","",IF('Control Panel'!AV24="",VLOOKUP($F25,'Table Output'!$A$2:$BW$99998,MATCH(AV$4,'Table Output'!$A$1:$BT$1,0),FALSE),'Control Panel'!AV24)))</f>
        <v/>
      </c>
      <c r="AW25" s="31" t="str">
        <f>IF(AW$4="","",IF($K25="","",IF('Control Panel'!AW24="",VLOOKUP($F25,'Table Output'!$A$2:$BW$99998,MATCH(AW$4,'Table Output'!$A$1:$BT$1,0),FALSE),'Control Panel'!AW24)))</f>
        <v/>
      </c>
      <c r="BJ25" s="2" t="s">
        <v>150</v>
      </c>
      <c r="BK25" s="2" t="s">
        <v>98</v>
      </c>
    </row>
    <row r="26" spans="2:63" ht="12" thickBot="1" x14ac:dyDescent="0.25">
      <c r="E26" s="2" t="str">
        <f>IF('Control Panel'!E25="","",'Control Panel'!E25)</f>
        <v/>
      </c>
      <c r="F26" s="2" t="str">
        <f>IF(E26=1,IF('Control Panel'!F25="","",'Control Panel'!F25),"")</f>
        <v/>
      </c>
      <c r="G26" s="2" t="str">
        <f>IF(E26=1,IF('Control Panel'!G25="","",'Control Panel'!G25),"")</f>
        <v/>
      </c>
      <c r="H26" s="2" t="str">
        <f>IF(E26=1,IF('Control Panel'!H25="","",'Control Panel'!H25),"")</f>
        <v/>
      </c>
      <c r="I26" s="2" t="str">
        <f>IF(E26=1,IF('Control Panel'!I25="","",'Control Panel'!I25),"")</f>
        <v/>
      </c>
      <c r="J26" s="2" t="str">
        <f>IF(E26=1,IF('Control Panel'!J25="","",'Control Panel'!J25),"")</f>
        <v/>
      </c>
      <c r="K26" s="25" t="str">
        <f>IF(E26=1,IF('Control Panel'!K25="","",'Control Panel'!K25),"")</f>
        <v/>
      </c>
      <c r="L26" s="21" t="str">
        <f>IF($K26="","",IF(L$4="","",IF('Control Panel'!L25="",VLOOKUP($F26,'Table Output'!$A:$BW,MATCH(L$4,'Table Output'!$A$1:$BT$1,0),),'Control Panel'!L25)))</f>
        <v/>
      </c>
      <c r="M26" s="21" t="str">
        <f>IF($K26="","",IF(M$4="","",IF('Control Panel'!M25="",VLOOKUP($F26,'Table Output'!$A:$BW,MATCH(M$4,'Table Output'!$A$1:$BT$1,0),),'Control Panel'!M25)))</f>
        <v/>
      </c>
      <c r="N26" s="21" t="str">
        <f>IF($K26="","",IF(N$4="","",IF('Control Panel'!N25="",VLOOKUP($F26,'Table Output'!$A:$BW,MATCH(N$4,'Table Output'!$A$1:$BT$1,0),),'Control Panel'!N25)))</f>
        <v/>
      </c>
      <c r="O26" s="21" t="str">
        <f>IF($K26="","",IF(O$4="","",IF('Control Panel'!O25="",VLOOKUP($F26,'Table Output'!$A:$BW,MATCH(O$4,'Table Output'!$A$1:$BT$1,0),),'Control Panel'!O25)))</f>
        <v/>
      </c>
      <c r="P26" s="21" t="str">
        <f>IF($K26="","",IF(P$4="","",IF('Control Panel'!P25="",VLOOKUP($F26,'Table Output'!$A:$BW,MATCH(P$4,'Table Output'!$A$1:$BT$1,0),),'Control Panel'!P25)))</f>
        <v/>
      </c>
      <c r="Q26" s="21" t="str">
        <f>IF($K26="","",IF(Q$4="","",IF('Control Panel'!Q25="",VLOOKUP($F26,'Table Output'!$A:$BW,MATCH(Q$4,'Table Output'!$A$1:$BT$1,0),),'Control Panel'!Q25)))</f>
        <v/>
      </c>
      <c r="R26" s="21" t="str">
        <f>IF($K26="","",IF(R$4="","",IF('Control Panel'!R25="",VLOOKUP($F26,'Table Output'!$A:$BW,MATCH(R$4,'Table Output'!$A$1:$BT$1,0),),'Control Panel'!R25)))</f>
        <v/>
      </c>
      <c r="S26" s="21" t="str">
        <f>IF($K26="","",IF(S$4="","",IF('Control Panel'!S25="",VLOOKUP($F26,'Table Output'!$A:$BW,MATCH(S$4,'Table Output'!$A$1:$BT$1,0),),'Control Panel'!S25)))</f>
        <v/>
      </c>
      <c r="T26" s="21" t="str">
        <f>IF($K26="","",IF(T$4="","",IF('Control Panel'!T25="",VLOOKUP($F26,'Table Output'!$A:$BW,MATCH(T$4,'Table Output'!$A$1:$BT$1,0),),'Control Panel'!T25)))</f>
        <v/>
      </c>
      <c r="U26" s="21" t="str">
        <f>IF($K26="","",IF(U$4="","",IF('Control Panel'!U25="",VLOOKUP($F26,'Table Output'!$A:$BW,MATCH(U$4,'Table Output'!$A$1:$BT$1,0),),'Control Panel'!U25)))</f>
        <v/>
      </c>
      <c r="W26" s="21" t="str">
        <f>IF($K26="","",IF('Control Panel'!W25="",VLOOKUP($F26,'Table Output'!$A$2:$BW$99998,MATCH(W$4,'Table Output'!$A$1:$BT$1,0),),'Control Panel'!W25))</f>
        <v/>
      </c>
      <c r="X26" s="21" t="str">
        <f>IF($K26="","",IF('Control Panel'!X25="",VLOOKUP($F26,'Table Output'!$A$2:$BW$99998,MATCH(X$4,'Table Output'!$A$1:$BT$1,0),),'Control Panel'!X25))</f>
        <v/>
      </c>
      <c r="Y26" s="21" t="str">
        <f>IF($K26="","",IF('Control Panel'!Y25="",VLOOKUP($F26,'Table Output'!$A$2:$BW$99998,MATCH(Y$4,'Table Output'!$A$1:$BT$1,0),),'Control Panel'!Y25))</f>
        <v/>
      </c>
      <c r="Z26" s="21" t="str">
        <f>IF($K26="","",IF('Control Panel'!Z25="",VLOOKUP($F26,'Table Output'!$A$2:$BW$99998,MATCH(Z$4,'Table Output'!$A$1:$BT$1,0),),'Control Panel'!Z25))</f>
        <v/>
      </c>
      <c r="AA26" s="21" t="str">
        <f>IF($K26="","",IF('Control Panel'!AA25="",VLOOKUP($F26,'Table Output'!$A$2:$BW$99998,MATCH(AA$4,'Table Output'!$A$1:$BT$1,0),),'Control Panel'!AA25))</f>
        <v/>
      </c>
      <c r="AB26" s="21" t="str">
        <f>IF($K26="","",IF('Control Panel'!AB25="",VLOOKUP($F26,'Table Output'!$A$2:$BW$99998,MATCH(AB$4,'Table Output'!$A$1:$BT$1,0),),'Control Panel'!AB25))</f>
        <v/>
      </c>
      <c r="AC26" s="21" t="str">
        <f>IF($K26="","",IF('Control Panel'!AC25="",VLOOKUP($F26,'Table Output'!$A$2:$BW$99998,MATCH(AC$4,'Table Output'!$A$1:$BT$1,0),),'Control Panel'!AC25))</f>
        <v/>
      </c>
      <c r="AD26" s="21" t="str">
        <f>IF($K26="","",IF('Control Panel'!AD25="",VLOOKUP($F26,'Table Output'!$A$2:$BW$99998,MATCH(AD$4,'Table Output'!$A$1:$BT$1,0),),'Control Panel'!AD25))</f>
        <v/>
      </c>
      <c r="AE26" s="21" t="str">
        <f>IF($K26="","",IF('Control Panel'!AE25="",VLOOKUP($F26,'Table Output'!$A$2:$BW$99998,MATCH(AE$4,'Table Output'!$A$1:$BT$1,0),),'Control Panel'!AE25))</f>
        <v/>
      </c>
      <c r="AF26" s="21" t="str">
        <f>IF($K26="","",IF('Control Panel'!AF25="",VLOOKUP($F26,'Table Output'!$A$2:$BW$99998,MATCH(AF$4,'Table Output'!$A$1:$BT$1,0),),'Control Panel'!AF25))</f>
        <v/>
      </c>
      <c r="AG26" s="21" t="str">
        <f>IF($K26="","",IF('Control Panel'!AG25="",VLOOKUP($F26,'Table Output'!$A$2:$BW$99998,MATCH(AG$4,'Table Output'!$A$1:$BT$1,0),),'Control Panel'!AG25))</f>
        <v/>
      </c>
      <c r="AH26" s="21" t="str">
        <f>IF($K26="","",IF('Control Panel'!AH25="",VLOOKUP($F26,'Table Output'!$A$2:$BW$99998,MATCH(AH$4,'Table Output'!$A$1:$BT$1,0),),'Control Panel'!AH25))</f>
        <v/>
      </c>
      <c r="AI26" s="21" t="str">
        <f>IF($K26="","",IF('Control Panel'!AI25="",VLOOKUP($F26,'Table Output'!$A$2:$BW$99998,MATCH(AI$4,'Table Output'!$A$1:$BT$1,0),),'Control Panel'!AI25))</f>
        <v/>
      </c>
      <c r="AJ26" s="21" t="str">
        <f>IF($K26="","",IF('Control Panel'!AJ25="",VLOOKUP($F26,'Table Output'!$A$2:$BW$99998,MATCH(AJ$4,'Table Output'!$A$1:$BT$1,0),),'Control Panel'!AJ25))</f>
        <v/>
      </c>
      <c r="AK26" s="21" t="str">
        <f>IF($K26="","",IF('Control Panel'!AK25="",VLOOKUP($F26,'Table Output'!$A$2:$BW$99998,MATCH(AK$4,'Table Output'!$A$1:$BT$1,0),),'Control Panel'!AK25))</f>
        <v/>
      </c>
      <c r="AL26" s="21" t="str">
        <f>IF($K26="","",IF('Control Panel'!AL25="",VLOOKUP($F26,'Table Output'!$A$2:$BW$99998,MATCH(AL$4,'Table Output'!$A$1:$BT$1,0),),'Control Panel'!AL25))</f>
        <v/>
      </c>
      <c r="AN26" s="34" t="str">
        <f t="shared" si="1"/>
        <v/>
      </c>
      <c r="AO26" s="31" t="str">
        <f>IF(AO$4="","",IF($K26="","",IF('Control Panel'!AO25="",VLOOKUP($F26,'Table Output'!$A$2:$BW$99998,MATCH(AO$4,'Table Output'!$A$1:$BT$1,0),FALSE),'Control Panel'!AO25)))</f>
        <v/>
      </c>
      <c r="AP26" s="31" t="str">
        <f>IF(AP$4="","",IF($K26="","",IF('Control Panel'!AP25="",VLOOKUP($F26,'Table Output'!$A$2:$BW$99998,MATCH(AP$4,'Table Output'!$A$1:$BT$1,0),FALSE),'Control Panel'!AP25)))</f>
        <v/>
      </c>
      <c r="AQ26" s="31" t="str">
        <f>IF(AQ$4="","",IF($K26="","",IF('Control Panel'!AQ25="",VLOOKUP($F26,'Table Output'!$A$2:$BW$99998,MATCH(AQ$4,'Table Output'!$A$1:$BT$1,0),FALSE),'Control Panel'!AQ25)))</f>
        <v/>
      </c>
      <c r="AR26" s="31" t="str">
        <f>IF(AR$4="","",IF($K26="","",IF('Control Panel'!AR25="",VLOOKUP($F26,'Table Output'!$A$2:$BW$99998,MATCH(AR$4,'Table Output'!$A$1:$BT$1,0),FALSE),'Control Panel'!AR25)))</f>
        <v/>
      </c>
      <c r="AS26" s="31" t="str">
        <f>IF(AS$4="","",IF($K26="","",IF('Control Panel'!AS25="",VLOOKUP($F26,'Table Output'!$A$2:$BW$99998,MATCH(AS$4,'Table Output'!$A$1:$BT$1,0),FALSE),'Control Panel'!AS25)))</f>
        <v/>
      </c>
      <c r="AT26" s="31" t="str">
        <f>IF(AT$4="","",IF($K26="","",IF('Control Panel'!AT25="",VLOOKUP($F26,'Table Output'!$A$2:$BW$99998,MATCH(AT$4,'Table Output'!$A$1:$BT$1,0),FALSE),'Control Panel'!AT25)))</f>
        <v/>
      </c>
      <c r="AU26" s="31" t="str">
        <f>IF(AU$4="","",IF($K26="","",IF('Control Panel'!AU25="",VLOOKUP($F26,'Table Output'!$A$2:$BW$99998,MATCH(AU$4,'Table Output'!$A$1:$BT$1,0),FALSE),'Control Panel'!AU25)))</f>
        <v/>
      </c>
      <c r="AV26" s="31" t="str">
        <f>IF(AV$4="","",IF($K26="","",IF('Control Panel'!AV25="",VLOOKUP($F26,'Table Output'!$A$2:$BW$99998,MATCH(AV$4,'Table Output'!$A$1:$BT$1,0),FALSE),'Control Panel'!AV25)))</f>
        <v/>
      </c>
      <c r="AW26" s="31" t="str">
        <f>IF(AW$4="","",IF($K26="","",IF('Control Panel'!AW25="",VLOOKUP($F26,'Table Output'!$A$2:$BW$99998,MATCH(AW$4,'Table Output'!$A$1:$BT$1,0),FALSE),'Control Panel'!AW25)))</f>
        <v/>
      </c>
      <c r="BJ26" s="2" t="s">
        <v>152</v>
      </c>
      <c r="BK26" s="2" t="s">
        <v>98</v>
      </c>
    </row>
    <row r="27" spans="2:63" ht="12" thickBot="1" x14ac:dyDescent="0.25">
      <c r="E27" s="2" t="str">
        <f>IF('Control Panel'!E26="","",'Control Panel'!E26)</f>
        <v/>
      </c>
      <c r="F27" s="2" t="str">
        <f>IF(E27=1,IF('Control Panel'!F26="","",'Control Panel'!F26),"")</f>
        <v/>
      </c>
      <c r="G27" s="2" t="str">
        <f>IF(E27=1,IF('Control Panel'!G26="","",'Control Panel'!G26),"")</f>
        <v/>
      </c>
      <c r="H27" s="2" t="str">
        <f>IF(E27=1,IF('Control Panel'!H26="","",'Control Panel'!H26),"")</f>
        <v/>
      </c>
      <c r="I27" s="2" t="str">
        <f>IF(E27=1,IF('Control Panel'!I26="","",'Control Panel'!I26),"")</f>
        <v/>
      </c>
      <c r="J27" s="2" t="str">
        <f>IF(E27=1,IF('Control Panel'!J26="","",'Control Panel'!J26),"")</f>
        <v/>
      </c>
      <c r="K27" s="25" t="str">
        <f>IF(E27=1,IF('Control Panel'!K26="","",'Control Panel'!K26),"")</f>
        <v/>
      </c>
      <c r="L27" s="21" t="str">
        <f>IF($K27="","",IF(L$4="","",IF('Control Panel'!L26="",VLOOKUP($F27,'Table Output'!$A:$BW,MATCH(L$4,'Table Output'!$A$1:$BT$1,0),),'Control Panel'!L26)))</f>
        <v/>
      </c>
      <c r="M27" s="21" t="str">
        <f>IF($K27="","",IF(M$4="","",IF('Control Panel'!M26="",VLOOKUP($F27,'Table Output'!$A:$BW,MATCH(M$4,'Table Output'!$A$1:$BT$1,0),),'Control Panel'!M26)))</f>
        <v/>
      </c>
      <c r="N27" s="21" t="str">
        <f>IF($K27="","",IF(N$4="","",IF('Control Panel'!N26="",VLOOKUP($F27,'Table Output'!$A:$BW,MATCH(N$4,'Table Output'!$A$1:$BT$1,0),),'Control Panel'!N26)))</f>
        <v/>
      </c>
      <c r="O27" s="21" t="str">
        <f>IF($K27="","",IF(O$4="","",IF('Control Panel'!O26="",VLOOKUP($F27,'Table Output'!$A:$BW,MATCH(O$4,'Table Output'!$A$1:$BT$1,0),),'Control Panel'!O26)))</f>
        <v/>
      </c>
      <c r="P27" s="21" t="str">
        <f>IF($K27="","",IF(P$4="","",IF('Control Panel'!P26="",VLOOKUP($F27,'Table Output'!$A:$BW,MATCH(P$4,'Table Output'!$A$1:$BT$1,0),),'Control Panel'!P26)))</f>
        <v/>
      </c>
      <c r="Q27" s="21" t="str">
        <f>IF($K27="","",IF(Q$4="","",IF('Control Panel'!Q26="",VLOOKUP($F27,'Table Output'!$A:$BW,MATCH(Q$4,'Table Output'!$A$1:$BT$1,0),),'Control Panel'!Q26)))</f>
        <v/>
      </c>
      <c r="R27" s="21" t="str">
        <f>IF($K27="","",IF(R$4="","",IF('Control Panel'!R26="",VLOOKUP($F27,'Table Output'!$A:$BW,MATCH(R$4,'Table Output'!$A$1:$BT$1,0),),'Control Panel'!R26)))</f>
        <v/>
      </c>
      <c r="S27" s="21" t="str">
        <f>IF($K27="","",IF(S$4="","",IF('Control Panel'!S26="",VLOOKUP($F27,'Table Output'!$A:$BW,MATCH(S$4,'Table Output'!$A$1:$BT$1,0),),'Control Panel'!S26)))</f>
        <v/>
      </c>
      <c r="T27" s="21" t="str">
        <f>IF($K27="","",IF(T$4="","",IF('Control Panel'!T26="",VLOOKUP($F27,'Table Output'!$A:$BW,MATCH(T$4,'Table Output'!$A$1:$BT$1,0),),'Control Panel'!T26)))</f>
        <v/>
      </c>
      <c r="U27" s="21" t="str">
        <f>IF($K27="","",IF(U$4="","",IF('Control Panel'!U26="",VLOOKUP($F27,'Table Output'!$A:$BW,MATCH(U$4,'Table Output'!$A$1:$BT$1,0),),'Control Panel'!U26)))</f>
        <v/>
      </c>
      <c r="W27" s="21" t="str">
        <f>IF($K27="","",IF('Control Panel'!W26="",VLOOKUP($F27,'Table Output'!$A$2:$BW$99998,MATCH(W$4,'Table Output'!$A$1:$BT$1,0),),'Control Panel'!W26))</f>
        <v/>
      </c>
      <c r="X27" s="21" t="str">
        <f>IF($K27="","",IF('Control Panel'!X26="",VLOOKUP($F27,'Table Output'!$A$2:$BW$99998,MATCH(X$4,'Table Output'!$A$1:$BT$1,0),),'Control Panel'!X26))</f>
        <v/>
      </c>
      <c r="Y27" s="21" t="str">
        <f>IF($K27="","",IF('Control Panel'!Y26="",VLOOKUP($F27,'Table Output'!$A$2:$BW$99998,MATCH(Y$4,'Table Output'!$A$1:$BT$1,0),),'Control Panel'!Y26))</f>
        <v/>
      </c>
      <c r="Z27" s="21" t="str">
        <f>IF($K27="","",IF('Control Panel'!Z26="",VLOOKUP($F27,'Table Output'!$A$2:$BW$99998,MATCH(Z$4,'Table Output'!$A$1:$BT$1,0),),'Control Panel'!Z26))</f>
        <v/>
      </c>
      <c r="AA27" s="21" t="str">
        <f>IF($K27="","",IF('Control Panel'!AA26="",VLOOKUP($F27,'Table Output'!$A$2:$BW$99998,MATCH(AA$4,'Table Output'!$A$1:$BT$1,0),),'Control Panel'!AA26))</f>
        <v/>
      </c>
      <c r="AB27" s="21" t="str">
        <f>IF($K27="","",IF('Control Panel'!AB26="",VLOOKUP($F27,'Table Output'!$A$2:$BW$99998,MATCH(AB$4,'Table Output'!$A$1:$BT$1,0),),'Control Panel'!AB26))</f>
        <v/>
      </c>
      <c r="AC27" s="21" t="str">
        <f>IF($K27="","",IF('Control Panel'!AC26="",VLOOKUP($F27,'Table Output'!$A$2:$BW$99998,MATCH(AC$4,'Table Output'!$A$1:$BT$1,0),),'Control Panel'!AC26))</f>
        <v/>
      </c>
      <c r="AD27" s="21" t="str">
        <f>IF($K27="","",IF('Control Panel'!AD26="",VLOOKUP($F27,'Table Output'!$A$2:$BW$99998,MATCH(AD$4,'Table Output'!$A$1:$BT$1,0),),'Control Panel'!AD26))</f>
        <v/>
      </c>
      <c r="AE27" s="21" t="str">
        <f>IF($K27="","",IF('Control Panel'!AE26="",VLOOKUP($F27,'Table Output'!$A$2:$BW$99998,MATCH(AE$4,'Table Output'!$A$1:$BT$1,0),),'Control Panel'!AE26))</f>
        <v/>
      </c>
      <c r="AF27" s="21" t="str">
        <f>IF($K27="","",IF('Control Panel'!AF26="",VLOOKUP($F27,'Table Output'!$A$2:$BW$99998,MATCH(AF$4,'Table Output'!$A$1:$BT$1,0),),'Control Panel'!AF26))</f>
        <v/>
      </c>
      <c r="AG27" s="21" t="str">
        <f>IF($K27="","",IF('Control Panel'!AG26="",VLOOKUP($F27,'Table Output'!$A$2:$BW$99998,MATCH(AG$4,'Table Output'!$A$1:$BT$1,0),),'Control Panel'!AG26))</f>
        <v/>
      </c>
      <c r="AH27" s="21" t="str">
        <f>IF($K27="","",IF('Control Panel'!AH26="",VLOOKUP($F27,'Table Output'!$A$2:$BW$99998,MATCH(AH$4,'Table Output'!$A$1:$BT$1,0),),'Control Panel'!AH26))</f>
        <v/>
      </c>
      <c r="AI27" s="21" t="str">
        <f>IF($K27="","",IF('Control Panel'!AI26="",VLOOKUP($F27,'Table Output'!$A$2:$BW$99998,MATCH(AI$4,'Table Output'!$A$1:$BT$1,0),),'Control Panel'!AI26))</f>
        <v/>
      </c>
      <c r="AJ27" s="21" t="str">
        <f>IF($K27="","",IF('Control Panel'!AJ26="",VLOOKUP($F27,'Table Output'!$A$2:$BW$99998,MATCH(AJ$4,'Table Output'!$A$1:$BT$1,0),),'Control Panel'!AJ26))</f>
        <v/>
      </c>
      <c r="AK27" s="21" t="str">
        <f>IF($K27="","",IF('Control Panel'!AK26="",VLOOKUP($F27,'Table Output'!$A$2:$BW$99998,MATCH(AK$4,'Table Output'!$A$1:$BT$1,0),),'Control Panel'!AK26))</f>
        <v/>
      </c>
      <c r="AL27" s="21" t="str">
        <f>IF($K27="","",IF('Control Panel'!AL26="",VLOOKUP($F27,'Table Output'!$A$2:$BW$99998,MATCH(AL$4,'Table Output'!$A$1:$BT$1,0),),'Control Panel'!AL26))</f>
        <v/>
      </c>
      <c r="AN27" s="34" t="str">
        <f t="shared" si="1"/>
        <v/>
      </c>
      <c r="AO27" s="31" t="str">
        <f>IF(AO$4="","",IF($K27="","",IF('Control Panel'!AO26="",VLOOKUP($F27,'Table Output'!$A$2:$BW$99998,MATCH(AO$4,'Table Output'!$A$1:$BT$1,0),FALSE),'Control Panel'!AO26)))</f>
        <v/>
      </c>
      <c r="AP27" s="31" t="str">
        <f>IF(AP$4="","",IF($K27="","",IF('Control Panel'!AP26="",VLOOKUP($F27,'Table Output'!$A$2:$BW$99998,MATCH(AP$4,'Table Output'!$A$1:$BT$1,0),FALSE),'Control Panel'!AP26)))</f>
        <v/>
      </c>
      <c r="AQ27" s="31" t="str">
        <f>IF(AQ$4="","",IF($K27="","",IF('Control Panel'!AQ26="",VLOOKUP($F27,'Table Output'!$A$2:$BW$99998,MATCH(AQ$4,'Table Output'!$A$1:$BT$1,0),FALSE),'Control Panel'!AQ26)))</f>
        <v/>
      </c>
      <c r="AR27" s="31" t="str">
        <f>IF(AR$4="","",IF($K27="","",IF('Control Panel'!AR26="",VLOOKUP($F27,'Table Output'!$A$2:$BW$99998,MATCH(AR$4,'Table Output'!$A$1:$BT$1,0),FALSE),'Control Panel'!AR26)))</f>
        <v/>
      </c>
      <c r="AS27" s="31" t="str">
        <f>IF(AS$4="","",IF($K27="","",IF('Control Panel'!AS26="",VLOOKUP($F27,'Table Output'!$A$2:$BW$99998,MATCH(AS$4,'Table Output'!$A$1:$BT$1,0),FALSE),'Control Panel'!AS26)))</f>
        <v/>
      </c>
      <c r="AT27" s="31" t="str">
        <f>IF(AT$4="","",IF($K27="","",IF('Control Panel'!AT26="",VLOOKUP($F27,'Table Output'!$A$2:$BW$99998,MATCH(AT$4,'Table Output'!$A$1:$BT$1,0),FALSE),'Control Panel'!AT26)))</f>
        <v/>
      </c>
      <c r="AU27" s="31" t="str">
        <f>IF(AU$4="","",IF($K27="","",IF('Control Panel'!AU26="",VLOOKUP($F27,'Table Output'!$A$2:$BW$99998,MATCH(AU$4,'Table Output'!$A$1:$BT$1,0),FALSE),'Control Panel'!AU26)))</f>
        <v/>
      </c>
      <c r="AV27" s="31" t="str">
        <f>IF(AV$4="","",IF($K27="","",IF('Control Panel'!AV26="",VLOOKUP($F27,'Table Output'!$A$2:$BW$99998,MATCH(AV$4,'Table Output'!$A$1:$BT$1,0),FALSE),'Control Panel'!AV26)))</f>
        <v/>
      </c>
      <c r="AW27" s="31" t="str">
        <f>IF(AW$4="","",IF($K27="","",IF('Control Panel'!AW26="",VLOOKUP($F27,'Table Output'!$A$2:$BW$99998,MATCH(AW$4,'Table Output'!$A$1:$BT$1,0),FALSE),'Control Panel'!AW26)))</f>
        <v/>
      </c>
      <c r="BJ27" s="2" t="s">
        <v>90</v>
      </c>
      <c r="BK27" s="2" t="s">
        <v>99</v>
      </c>
    </row>
    <row r="28" spans="2:63" ht="12" thickBot="1" x14ac:dyDescent="0.25">
      <c r="E28" s="2" t="str">
        <f>IF('Control Panel'!E27="","",'Control Panel'!E27)</f>
        <v/>
      </c>
      <c r="F28" s="2" t="str">
        <f>IF(E28=1,IF('Control Panel'!F27="","",'Control Panel'!F27),"")</f>
        <v/>
      </c>
      <c r="G28" s="2" t="str">
        <f>IF(E28=1,IF('Control Panel'!G27="","",'Control Panel'!G27),"")</f>
        <v/>
      </c>
      <c r="H28" s="2" t="str">
        <f>IF(E28=1,IF('Control Panel'!H27="","",'Control Panel'!H27),"")</f>
        <v/>
      </c>
      <c r="I28" s="2" t="str">
        <f>IF(E28=1,IF('Control Panel'!I27="","",'Control Panel'!I27),"")</f>
        <v/>
      </c>
      <c r="J28" s="2" t="str">
        <f>IF(E28=1,IF('Control Panel'!J27="","",'Control Panel'!J27),"")</f>
        <v/>
      </c>
      <c r="K28" s="25" t="str">
        <f>IF(E28=1,IF('Control Panel'!K27="","",'Control Panel'!K27),"")</f>
        <v/>
      </c>
      <c r="L28" s="21" t="str">
        <f>IF($K28="","",IF(L$4="","",IF('Control Panel'!L27="",VLOOKUP($F28,'Table Output'!$A:$BW,MATCH(L$4,'Table Output'!$A$1:$BT$1,0),),'Control Panel'!L27)))</f>
        <v/>
      </c>
      <c r="M28" s="21" t="str">
        <f>IF($K28="","",IF(M$4="","",IF('Control Panel'!M27="",VLOOKUP($F28,'Table Output'!$A:$BW,MATCH(M$4,'Table Output'!$A$1:$BT$1,0),),'Control Panel'!M27)))</f>
        <v/>
      </c>
      <c r="N28" s="21" t="str">
        <f>IF($K28="","",IF(N$4="","",IF('Control Panel'!N27="",VLOOKUP($F28,'Table Output'!$A:$BW,MATCH(N$4,'Table Output'!$A$1:$BT$1,0),),'Control Panel'!N27)))</f>
        <v/>
      </c>
      <c r="O28" s="21" t="str">
        <f>IF($K28="","",IF(O$4="","",IF('Control Panel'!O27="",VLOOKUP($F28,'Table Output'!$A:$BW,MATCH(O$4,'Table Output'!$A$1:$BT$1,0),),'Control Panel'!O27)))</f>
        <v/>
      </c>
      <c r="P28" s="21" t="str">
        <f>IF($K28="","",IF(P$4="","",IF('Control Panel'!P27="",VLOOKUP($F28,'Table Output'!$A:$BW,MATCH(P$4,'Table Output'!$A$1:$BT$1,0),),'Control Panel'!P27)))</f>
        <v/>
      </c>
      <c r="Q28" s="21" t="str">
        <f>IF($K28="","",IF(Q$4="","",IF('Control Panel'!Q27="",VLOOKUP($F28,'Table Output'!$A:$BW,MATCH(Q$4,'Table Output'!$A$1:$BT$1,0),),'Control Panel'!Q27)))</f>
        <v/>
      </c>
      <c r="R28" s="21" t="str">
        <f>IF($K28="","",IF(R$4="","",IF('Control Panel'!R27="",VLOOKUP($F28,'Table Output'!$A:$BW,MATCH(R$4,'Table Output'!$A$1:$BT$1,0),),'Control Panel'!R27)))</f>
        <v/>
      </c>
      <c r="S28" s="21" t="str">
        <f>IF($K28="","",IF(S$4="","",IF('Control Panel'!S27="",VLOOKUP($F28,'Table Output'!$A:$BW,MATCH(S$4,'Table Output'!$A$1:$BT$1,0),),'Control Panel'!S27)))</f>
        <v/>
      </c>
      <c r="T28" s="21" t="str">
        <f>IF($K28="","",IF(T$4="","",IF('Control Panel'!T27="",VLOOKUP($F28,'Table Output'!$A:$BW,MATCH(T$4,'Table Output'!$A$1:$BT$1,0),),'Control Panel'!T27)))</f>
        <v/>
      </c>
      <c r="U28" s="21" t="str">
        <f>IF($K28="","",IF(U$4="","",IF('Control Panel'!U27="",VLOOKUP($F28,'Table Output'!$A:$BW,MATCH(U$4,'Table Output'!$A$1:$BT$1,0),),'Control Panel'!U27)))</f>
        <v/>
      </c>
      <c r="W28" s="21" t="str">
        <f>IF($K28="","",IF('Control Panel'!W27="",VLOOKUP($F28,'Table Output'!$A$2:$BW$99998,MATCH(W$4,'Table Output'!$A$1:$BT$1,0),),'Control Panel'!W27))</f>
        <v/>
      </c>
      <c r="X28" s="21" t="str">
        <f>IF($K28="","",IF('Control Panel'!X27="",VLOOKUP($F28,'Table Output'!$A$2:$BW$99998,MATCH(X$4,'Table Output'!$A$1:$BT$1,0),),'Control Panel'!X27))</f>
        <v/>
      </c>
      <c r="Y28" s="21" t="str">
        <f>IF($K28="","",IF('Control Panel'!Y27="",VLOOKUP($F28,'Table Output'!$A$2:$BW$99998,MATCH(Y$4,'Table Output'!$A$1:$BT$1,0),),'Control Panel'!Y27))</f>
        <v/>
      </c>
      <c r="Z28" s="21" t="str">
        <f>IF($K28="","",IF('Control Panel'!Z27="",VLOOKUP($F28,'Table Output'!$A$2:$BW$99998,MATCH(Z$4,'Table Output'!$A$1:$BT$1,0),),'Control Panel'!Z27))</f>
        <v/>
      </c>
      <c r="AA28" s="21" t="str">
        <f>IF($K28="","",IF('Control Panel'!AA27="",VLOOKUP($F28,'Table Output'!$A$2:$BW$99998,MATCH(AA$4,'Table Output'!$A$1:$BT$1,0),),'Control Panel'!AA27))</f>
        <v/>
      </c>
      <c r="AB28" s="21" t="str">
        <f>IF($K28="","",IF('Control Panel'!AB27="",VLOOKUP($F28,'Table Output'!$A$2:$BW$99998,MATCH(AB$4,'Table Output'!$A$1:$BT$1,0),),'Control Panel'!AB27))</f>
        <v/>
      </c>
      <c r="AC28" s="21" t="str">
        <f>IF($K28="","",IF('Control Panel'!AC27="",VLOOKUP($F28,'Table Output'!$A$2:$BW$99998,MATCH(AC$4,'Table Output'!$A$1:$BT$1,0),),'Control Panel'!AC27))</f>
        <v/>
      </c>
      <c r="AD28" s="21" t="str">
        <f>IF($K28="","",IF('Control Panel'!AD27="",VLOOKUP($F28,'Table Output'!$A$2:$BW$99998,MATCH(AD$4,'Table Output'!$A$1:$BT$1,0),),'Control Panel'!AD27))</f>
        <v/>
      </c>
      <c r="AE28" s="21" t="str">
        <f>IF($K28="","",IF('Control Panel'!AE27="",VLOOKUP($F28,'Table Output'!$A$2:$BW$99998,MATCH(AE$4,'Table Output'!$A$1:$BT$1,0),),'Control Panel'!AE27))</f>
        <v/>
      </c>
      <c r="AF28" s="21" t="str">
        <f>IF($K28="","",IF('Control Panel'!AF27="",VLOOKUP($F28,'Table Output'!$A$2:$BW$99998,MATCH(AF$4,'Table Output'!$A$1:$BT$1,0),),'Control Panel'!AF27))</f>
        <v/>
      </c>
      <c r="AG28" s="21" t="str">
        <f>IF($K28="","",IF('Control Panel'!AG27="",VLOOKUP($F28,'Table Output'!$A$2:$BW$99998,MATCH(AG$4,'Table Output'!$A$1:$BT$1,0),),'Control Panel'!AG27))</f>
        <v/>
      </c>
      <c r="AH28" s="21" t="str">
        <f>IF($K28="","",IF('Control Panel'!AH27="",VLOOKUP($F28,'Table Output'!$A$2:$BW$99998,MATCH(AH$4,'Table Output'!$A$1:$BT$1,0),),'Control Panel'!AH27))</f>
        <v/>
      </c>
      <c r="AI28" s="21" t="str">
        <f>IF($K28="","",IF('Control Panel'!AI27="",VLOOKUP($F28,'Table Output'!$A$2:$BW$99998,MATCH(AI$4,'Table Output'!$A$1:$BT$1,0),),'Control Panel'!AI27))</f>
        <v/>
      </c>
      <c r="AJ28" s="21" t="str">
        <f>IF($K28="","",IF('Control Panel'!AJ27="",VLOOKUP($F28,'Table Output'!$A$2:$BW$99998,MATCH(AJ$4,'Table Output'!$A$1:$BT$1,0),),'Control Panel'!AJ27))</f>
        <v/>
      </c>
      <c r="AK28" s="21" t="str">
        <f>IF($K28="","",IF('Control Panel'!AK27="",VLOOKUP($F28,'Table Output'!$A$2:$BW$99998,MATCH(AK$4,'Table Output'!$A$1:$BT$1,0),),'Control Panel'!AK27))</f>
        <v/>
      </c>
      <c r="AL28" s="21" t="str">
        <f>IF($K28="","",IF('Control Panel'!AL27="",VLOOKUP($F28,'Table Output'!$A$2:$BW$99998,MATCH(AL$4,'Table Output'!$A$1:$BT$1,0),),'Control Panel'!AL27))</f>
        <v/>
      </c>
      <c r="AN28" s="34" t="str">
        <f t="shared" si="1"/>
        <v/>
      </c>
      <c r="AO28" s="31" t="str">
        <f>IF(AO$4="","",IF($K28="","",IF('Control Panel'!AO27="",VLOOKUP($F28,'Table Output'!$A$2:$BW$99998,MATCH(AO$4,'Table Output'!$A$1:$BT$1,0),FALSE),'Control Panel'!AO27)))</f>
        <v/>
      </c>
      <c r="AP28" s="31" t="str">
        <f>IF(AP$4="","",IF($K28="","",IF('Control Panel'!AP27="",VLOOKUP($F28,'Table Output'!$A$2:$BW$99998,MATCH(AP$4,'Table Output'!$A$1:$BT$1,0),FALSE),'Control Panel'!AP27)))</f>
        <v/>
      </c>
      <c r="AQ28" s="31" t="str">
        <f>IF(AQ$4="","",IF($K28="","",IF('Control Panel'!AQ27="",VLOOKUP($F28,'Table Output'!$A$2:$BW$99998,MATCH(AQ$4,'Table Output'!$A$1:$BT$1,0),FALSE),'Control Panel'!AQ27)))</f>
        <v/>
      </c>
      <c r="AR28" s="31" t="str">
        <f>IF(AR$4="","",IF($K28="","",IF('Control Panel'!AR27="",VLOOKUP($F28,'Table Output'!$A$2:$BW$99998,MATCH(AR$4,'Table Output'!$A$1:$BT$1,0),FALSE),'Control Panel'!AR27)))</f>
        <v/>
      </c>
      <c r="AS28" s="31" t="str">
        <f>IF(AS$4="","",IF($K28="","",IF('Control Panel'!AS27="",VLOOKUP($F28,'Table Output'!$A$2:$BW$99998,MATCH(AS$4,'Table Output'!$A$1:$BT$1,0),FALSE),'Control Panel'!AS27)))</f>
        <v/>
      </c>
      <c r="AT28" s="31" t="str">
        <f>IF(AT$4="","",IF($K28="","",IF('Control Panel'!AT27="",VLOOKUP($F28,'Table Output'!$A$2:$BW$99998,MATCH(AT$4,'Table Output'!$A$1:$BT$1,0),FALSE),'Control Panel'!AT27)))</f>
        <v/>
      </c>
      <c r="AU28" s="31" t="str">
        <f>IF(AU$4="","",IF($K28="","",IF('Control Panel'!AU27="",VLOOKUP($F28,'Table Output'!$A$2:$BW$99998,MATCH(AU$4,'Table Output'!$A$1:$BT$1,0),FALSE),'Control Panel'!AU27)))</f>
        <v/>
      </c>
      <c r="AV28" s="31" t="str">
        <f>IF(AV$4="","",IF($K28="","",IF('Control Panel'!AV27="",VLOOKUP($F28,'Table Output'!$A$2:$BW$99998,MATCH(AV$4,'Table Output'!$A$1:$BT$1,0),FALSE),'Control Panel'!AV27)))</f>
        <v/>
      </c>
      <c r="AW28" s="31" t="str">
        <f>IF(AW$4="","",IF($K28="","",IF('Control Panel'!AW27="",VLOOKUP($F28,'Table Output'!$A$2:$BW$99998,MATCH(AW$4,'Table Output'!$A$1:$BT$1,0),FALSE),'Control Panel'!AW27)))</f>
        <v/>
      </c>
      <c r="BJ28" s="2" t="s">
        <v>153</v>
      </c>
      <c r="BK28" s="2" t="s">
        <v>99</v>
      </c>
    </row>
    <row r="29" spans="2:63" ht="12" thickBot="1" x14ac:dyDescent="0.25">
      <c r="E29" s="2" t="str">
        <f>IF('Control Panel'!E28="","",'Control Panel'!E28)</f>
        <v/>
      </c>
      <c r="F29" s="2" t="str">
        <f>IF(E29=1,IF('Control Panel'!F28="","",'Control Panel'!F28),"")</f>
        <v/>
      </c>
      <c r="G29" s="2" t="str">
        <f>IF(E29=1,IF('Control Panel'!G28="","",'Control Panel'!G28),"")</f>
        <v/>
      </c>
      <c r="H29" s="2" t="str">
        <f>IF(E29=1,IF('Control Panel'!H28="","",'Control Panel'!H28),"")</f>
        <v/>
      </c>
      <c r="I29" s="2" t="str">
        <f>IF(E29=1,IF('Control Panel'!I28="","",'Control Panel'!I28),"")</f>
        <v/>
      </c>
      <c r="J29" s="2" t="str">
        <f>IF(E29=1,IF('Control Panel'!J28="","",'Control Panel'!J28),"")</f>
        <v/>
      </c>
      <c r="K29" s="25" t="str">
        <f>IF(E29=1,IF('Control Panel'!K28="","",'Control Panel'!K28),"")</f>
        <v/>
      </c>
      <c r="L29" s="21" t="str">
        <f>IF($K29="","",IF(L$4="","",IF('Control Panel'!L28="",VLOOKUP($F29,'Table Output'!$A:$BW,MATCH(L$4,'Table Output'!$A$1:$BT$1,0),),'Control Panel'!L28)))</f>
        <v/>
      </c>
      <c r="M29" s="21" t="str">
        <f>IF($K29="","",IF(M$4="","",IF('Control Panel'!M28="",VLOOKUP($F29,'Table Output'!$A:$BW,MATCH(M$4,'Table Output'!$A$1:$BT$1,0),),'Control Panel'!M28)))</f>
        <v/>
      </c>
      <c r="N29" s="21" t="str">
        <f>IF($K29="","",IF(N$4="","",IF('Control Panel'!N28="",VLOOKUP($F29,'Table Output'!$A:$BW,MATCH(N$4,'Table Output'!$A$1:$BT$1,0),),'Control Panel'!N28)))</f>
        <v/>
      </c>
      <c r="O29" s="21" t="str">
        <f>IF($K29="","",IF(O$4="","",IF('Control Panel'!O28="",VLOOKUP($F29,'Table Output'!$A:$BW,MATCH(O$4,'Table Output'!$A$1:$BT$1,0),),'Control Panel'!O28)))</f>
        <v/>
      </c>
      <c r="P29" s="21" t="str">
        <f>IF($K29="","",IF(P$4="","",IF('Control Panel'!P28="",VLOOKUP($F29,'Table Output'!$A:$BW,MATCH(P$4,'Table Output'!$A$1:$BT$1,0),),'Control Panel'!P28)))</f>
        <v/>
      </c>
      <c r="Q29" s="21" t="str">
        <f>IF($K29="","",IF(Q$4="","",IF('Control Panel'!Q28="",VLOOKUP($F29,'Table Output'!$A:$BW,MATCH(Q$4,'Table Output'!$A$1:$BT$1,0),),'Control Panel'!Q28)))</f>
        <v/>
      </c>
      <c r="R29" s="21" t="str">
        <f>IF($K29="","",IF(R$4="","",IF('Control Panel'!R28="",VLOOKUP($F29,'Table Output'!$A:$BW,MATCH(R$4,'Table Output'!$A$1:$BT$1,0),),'Control Panel'!R28)))</f>
        <v/>
      </c>
      <c r="S29" s="21" t="str">
        <f>IF($K29="","",IF(S$4="","",IF('Control Panel'!S28="",VLOOKUP($F29,'Table Output'!$A:$BW,MATCH(S$4,'Table Output'!$A$1:$BT$1,0),),'Control Panel'!S28)))</f>
        <v/>
      </c>
      <c r="T29" s="21" t="str">
        <f>IF($K29="","",IF(T$4="","",IF('Control Panel'!T28="",VLOOKUP($F29,'Table Output'!$A:$BW,MATCH(T$4,'Table Output'!$A$1:$BT$1,0),),'Control Panel'!T28)))</f>
        <v/>
      </c>
      <c r="U29" s="21" t="str">
        <f>IF($K29="","",IF(U$4="","",IF('Control Panel'!U28="",VLOOKUP($F29,'Table Output'!$A:$BW,MATCH(U$4,'Table Output'!$A$1:$BT$1,0),),'Control Panel'!U28)))</f>
        <v/>
      </c>
      <c r="W29" s="21" t="str">
        <f>IF($K29="","",IF('Control Panel'!W28="",VLOOKUP($F29,'Table Output'!$A$2:$BW$99998,MATCH(W$4,'Table Output'!$A$1:$BT$1,0),),'Control Panel'!W28))</f>
        <v/>
      </c>
      <c r="X29" s="21" t="str">
        <f>IF($K29="","",IF('Control Panel'!X28="",VLOOKUP($F29,'Table Output'!$A$2:$BW$99998,MATCH(X$4,'Table Output'!$A$1:$BT$1,0),),'Control Panel'!X28))</f>
        <v/>
      </c>
      <c r="Y29" s="21" t="str">
        <f>IF($K29="","",IF('Control Panel'!Y28="",VLOOKUP($F29,'Table Output'!$A$2:$BW$99998,MATCH(Y$4,'Table Output'!$A$1:$BT$1,0),),'Control Panel'!Y28))</f>
        <v/>
      </c>
      <c r="Z29" s="21" t="str">
        <f>IF($K29="","",IF('Control Panel'!Z28="",VLOOKUP($F29,'Table Output'!$A$2:$BW$99998,MATCH(Z$4,'Table Output'!$A$1:$BT$1,0),),'Control Panel'!Z28))</f>
        <v/>
      </c>
      <c r="AA29" s="21" t="str">
        <f>IF($K29="","",IF('Control Panel'!AA28="",VLOOKUP($F29,'Table Output'!$A$2:$BW$99998,MATCH(AA$4,'Table Output'!$A$1:$BT$1,0),),'Control Panel'!AA28))</f>
        <v/>
      </c>
      <c r="AB29" s="21" t="str">
        <f>IF($K29="","",IF('Control Panel'!AB28="",VLOOKUP($F29,'Table Output'!$A$2:$BW$99998,MATCH(AB$4,'Table Output'!$A$1:$BT$1,0),),'Control Panel'!AB28))</f>
        <v/>
      </c>
      <c r="AC29" s="21" t="str">
        <f>IF($K29="","",IF('Control Panel'!AC28="",VLOOKUP($F29,'Table Output'!$A$2:$BW$99998,MATCH(AC$4,'Table Output'!$A$1:$BT$1,0),),'Control Panel'!AC28))</f>
        <v/>
      </c>
      <c r="AD29" s="21" t="str">
        <f>IF($K29="","",IF('Control Panel'!AD28="",VLOOKUP($F29,'Table Output'!$A$2:$BW$99998,MATCH(AD$4,'Table Output'!$A$1:$BT$1,0),),'Control Panel'!AD28))</f>
        <v/>
      </c>
      <c r="AE29" s="21" t="str">
        <f>IF($K29="","",IF('Control Panel'!AE28="",VLOOKUP($F29,'Table Output'!$A$2:$BW$99998,MATCH(AE$4,'Table Output'!$A$1:$BT$1,0),),'Control Panel'!AE28))</f>
        <v/>
      </c>
      <c r="AF29" s="21" t="str">
        <f>IF($K29="","",IF('Control Panel'!AF28="",VLOOKUP($F29,'Table Output'!$A$2:$BW$99998,MATCH(AF$4,'Table Output'!$A$1:$BT$1,0),),'Control Panel'!AF28))</f>
        <v/>
      </c>
      <c r="AG29" s="21" t="str">
        <f>IF($K29="","",IF('Control Panel'!AG28="",VLOOKUP($F29,'Table Output'!$A$2:$BW$99998,MATCH(AG$4,'Table Output'!$A$1:$BT$1,0),),'Control Panel'!AG28))</f>
        <v/>
      </c>
      <c r="AH29" s="21" t="str">
        <f>IF($K29="","",IF('Control Panel'!AH28="",VLOOKUP($F29,'Table Output'!$A$2:$BW$99998,MATCH(AH$4,'Table Output'!$A$1:$BT$1,0),),'Control Panel'!AH28))</f>
        <v/>
      </c>
      <c r="AI29" s="21" t="str">
        <f>IF($K29="","",IF('Control Panel'!AI28="",VLOOKUP($F29,'Table Output'!$A$2:$BW$99998,MATCH(AI$4,'Table Output'!$A$1:$BT$1,0),),'Control Panel'!AI28))</f>
        <v/>
      </c>
      <c r="AJ29" s="21" t="str">
        <f>IF($K29="","",IF('Control Panel'!AJ28="",VLOOKUP($F29,'Table Output'!$A$2:$BW$99998,MATCH(AJ$4,'Table Output'!$A$1:$BT$1,0),),'Control Panel'!AJ28))</f>
        <v/>
      </c>
      <c r="AK29" s="21" t="str">
        <f>IF($K29="","",IF('Control Panel'!AK28="",VLOOKUP($F29,'Table Output'!$A$2:$BW$99998,MATCH(AK$4,'Table Output'!$A$1:$BT$1,0),),'Control Panel'!AK28))</f>
        <v/>
      </c>
      <c r="AL29" s="21" t="str">
        <f>IF($K29="","",IF('Control Panel'!AL28="",VLOOKUP($F29,'Table Output'!$A$2:$BW$99998,MATCH(AL$4,'Table Output'!$A$1:$BT$1,0),),'Control Panel'!AL28))</f>
        <v/>
      </c>
      <c r="AN29" s="34" t="str">
        <f t="shared" si="1"/>
        <v/>
      </c>
      <c r="AO29" s="31" t="str">
        <f>IF(AO$4="","",IF($K29="","",IF('Control Panel'!AO28="",VLOOKUP($F29,'Table Output'!$A$2:$BW$99998,MATCH(AO$4,'Table Output'!$A$1:$BT$1,0),FALSE),'Control Panel'!AO28)))</f>
        <v/>
      </c>
      <c r="AP29" s="31" t="str">
        <f>IF(AP$4="","",IF($K29="","",IF('Control Panel'!AP28="",VLOOKUP($F29,'Table Output'!$A$2:$BW$99998,MATCH(AP$4,'Table Output'!$A$1:$BT$1,0),FALSE),'Control Panel'!AP28)))</f>
        <v/>
      </c>
      <c r="AQ29" s="31" t="str">
        <f>IF(AQ$4="","",IF($K29="","",IF('Control Panel'!AQ28="",VLOOKUP($F29,'Table Output'!$A$2:$BW$99998,MATCH(AQ$4,'Table Output'!$A$1:$BT$1,0),FALSE),'Control Panel'!AQ28)))</f>
        <v/>
      </c>
      <c r="AR29" s="31" t="str">
        <f>IF(AR$4="","",IF($K29="","",IF('Control Panel'!AR28="",VLOOKUP($F29,'Table Output'!$A$2:$BW$99998,MATCH(AR$4,'Table Output'!$A$1:$BT$1,0),FALSE),'Control Panel'!AR28)))</f>
        <v/>
      </c>
      <c r="AS29" s="31" t="str">
        <f>IF(AS$4="","",IF($K29="","",IF('Control Panel'!AS28="",VLOOKUP($F29,'Table Output'!$A$2:$BW$99998,MATCH(AS$4,'Table Output'!$A$1:$BT$1,0),FALSE),'Control Panel'!AS28)))</f>
        <v/>
      </c>
      <c r="AT29" s="31" t="str">
        <f>IF(AT$4="","",IF($K29="","",IF('Control Panel'!AT28="",VLOOKUP($F29,'Table Output'!$A$2:$BW$99998,MATCH(AT$4,'Table Output'!$A$1:$BT$1,0),FALSE),'Control Panel'!AT28)))</f>
        <v/>
      </c>
      <c r="AU29" s="31" t="str">
        <f>IF(AU$4="","",IF($K29="","",IF('Control Panel'!AU28="",VLOOKUP($F29,'Table Output'!$A$2:$BW$99998,MATCH(AU$4,'Table Output'!$A$1:$BT$1,0),FALSE),'Control Panel'!AU28)))</f>
        <v/>
      </c>
      <c r="AV29" s="31" t="str">
        <f>IF(AV$4="","",IF($K29="","",IF('Control Panel'!AV28="",VLOOKUP($F29,'Table Output'!$A$2:$BW$99998,MATCH(AV$4,'Table Output'!$A$1:$BT$1,0),FALSE),'Control Panel'!AV28)))</f>
        <v/>
      </c>
      <c r="AW29" s="31" t="str">
        <f>IF(AW$4="","",IF($K29="","",IF('Control Panel'!AW28="",VLOOKUP($F29,'Table Output'!$A$2:$BW$99998,MATCH(AW$4,'Table Output'!$A$1:$BT$1,0),FALSE),'Control Panel'!AW28)))</f>
        <v/>
      </c>
      <c r="BJ29" s="2" t="s">
        <v>154</v>
      </c>
      <c r="BK29" s="2" t="s">
        <v>99</v>
      </c>
    </row>
    <row r="30" spans="2:63" ht="12" thickBot="1" x14ac:dyDescent="0.25">
      <c r="E30" s="2" t="str">
        <f>IF('Control Panel'!E29="","",'Control Panel'!E29)</f>
        <v/>
      </c>
      <c r="F30" s="2" t="str">
        <f>IF(E30=1,IF('Control Panel'!F29="","",'Control Panel'!F29),"")</f>
        <v/>
      </c>
      <c r="G30" s="2" t="str">
        <f>IF(E30=1,IF('Control Panel'!G29="","",'Control Panel'!G29),"")</f>
        <v/>
      </c>
      <c r="H30" s="2" t="str">
        <f>IF(E30=1,IF('Control Panel'!H29="","",'Control Panel'!H29),"")</f>
        <v/>
      </c>
      <c r="I30" s="2" t="str">
        <f>IF(E30=1,IF('Control Panel'!I29="","",'Control Panel'!I29),"")</f>
        <v/>
      </c>
      <c r="J30" s="2" t="str">
        <f>IF(E30=1,IF('Control Panel'!J29="","",'Control Panel'!J29),"")</f>
        <v/>
      </c>
      <c r="K30" s="25" t="str">
        <f>IF(E30=1,IF('Control Panel'!K29="","",'Control Panel'!K29),"")</f>
        <v/>
      </c>
      <c r="L30" s="21" t="str">
        <f>IF($K30="","",IF(L$4="","",IF('Control Panel'!L29="",VLOOKUP($F30,'Table Output'!$A:$BW,MATCH(L$4,'Table Output'!$A$1:$BT$1,0),),'Control Panel'!L29)))</f>
        <v/>
      </c>
      <c r="M30" s="21" t="str">
        <f>IF($K30="","",IF(M$4="","",IF('Control Panel'!M29="",VLOOKUP($F30,'Table Output'!$A:$BW,MATCH(M$4,'Table Output'!$A$1:$BT$1,0),),'Control Panel'!M29)))</f>
        <v/>
      </c>
      <c r="N30" s="21" t="str">
        <f>IF($K30="","",IF(N$4="","",IF('Control Panel'!N29="",VLOOKUP($F30,'Table Output'!$A:$BW,MATCH(N$4,'Table Output'!$A$1:$BT$1,0),),'Control Panel'!N29)))</f>
        <v/>
      </c>
      <c r="O30" s="21" t="str">
        <f>IF($K30="","",IF(O$4="","",IF('Control Panel'!O29="",VLOOKUP($F30,'Table Output'!$A:$BW,MATCH(O$4,'Table Output'!$A$1:$BT$1,0),),'Control Panel'!O29)))</f>
        <v/>
      </c>
      <c r="P30" s="21" t="str">
        <f>IF($K30="","",IF(P$4="","",IF('Control Panel'!P29="",VLOOKUP($F30,'Table Output'!$A:$BW,MATCH(P$4,'Table Output'!$A$1:$BT$1,0),),'Control Panel'!P29)))</f>
        <v/>
      </c>
      <c r="Q30" s="21" t="str">
        <f>IF($K30="","",IF(Q$4="","",IF('Control Panel'!Q29="",VLOOKUP($F30,'Table Output'!$A:$BW,MATCH(Q$4,'Table Output'!$A$1:$BT$1,0),),'Control Panel'!Q29)))</f>
        <v/>
      </c>
      <c r="R30" s="21" t="str">
        <f>IF($K30="","",IF(R$4="","",IF('Control Panel'!R29="",VLOOKUP($F30,'Table Output'!$A:$BW,MATCH(R$4,'Table Output'!$A$1:$BT$1,0),),'Control Panel'!R29)))</f>
        <v/>
      </c>
      <c r="S30" s="21" t="str">
        <f>IF($K30="","",IF(S$4="","",IF('Control Panel'!S29="",VLOOKUP($F30,'Table Output'!$A:$BW,MATCH(S$4,'Table Output'!$A$1:$BT$1,0),),'Control Panel'!S29)))</f>
        <v/>
      </c>
      <c r="T30" s="21" t="str">
        <f>IF($K30="","",IF(T$4="","",IF('Control Panel'!T29="",VLOOKUP($F30,'Table Output'!$A:$BW,MATCH(T$4,'Table Output'!$A$1:$BT$1,0),),'Control Panel'!T29)))</f>
        <v/>
      </c>
      <c r="U30" s="21" t="str">
        <f>IF($K30="","",IF(U$4="","",IF('Control Panel'!U29="",VLOOKUP($F30,'Table Output'!$A:$BW,MATCH(U$4,'Table Output'!$A$1:$BT$1,0),),'Control Panel'!U29)))</f>
        <v/>
      </c>
      <c r="W30" s="21" t="str">
        <f>IF($K30="","",IF('Control Panel'!W29="",VLOOKUP($F30,'Table Output'!$A$2:$BW$99998,MATCH(W$4,'Table Output'!$A$1:$BT$1,0),),'Control Panel'!W29))</f>
        <v/>
      </c>
      <c r="X30" s="21" t="str">
        <f>IF($K30="","",IF('Control Panel'!X29="",VLOOKUP($F30,'Table Output'!$A$2:$BW$99998,MATCH(X$4,'Table Output'!$A$1:$BT$1,0),),'Control Panel'!X29))</f>
        <v/>
      </c>
      <c r="Y30" s="21" t="str">
        <f>IF($K30="","",IF('Control Panel'!Y29="",VLOOKUP($F30,'Table Output'!$A$2:$BW$99998,MATCH(Y$4,'Table Output'!$A$1:$BT$1,0),),'Control Panel'!Y29))</f>
        <v/>
      </c>
      <c r="Z30" s="21" t="str">
        <f>IF($K30="","",IF('Control Panel'!Z29="",VLOOKUP($F30,'Table Output'!$A$2:$BW$99998,MATCH(Z$4,'Table Output'!$A$1:$BT$1,0),),'Control Panel'!Z29))</f>
        <v/>
      </c>
      <c r="AA30" s="21" t="str">
        <f>IF($K30="","",IF('Control Panel'!AA29="",VLOOKUP($F30,'Table Output'!$A$2:$BW$99998,MATCH(AA$4,'Table Output'!$A$1:$BT$1,0),),'Control Panel'!AA29))</f>
        <v/>
      </c>
      <c r="AB30" s="21" t="str">
        <f>IF($K30="","",IF('Control Panel'!AB29="",VLOOKUP($F30,'Table Output'!$A$2:$BW$99998,MATCH(AB$4,'Table Output'!$A$1:$BT$1,0),),'Control Panel'!AB29))</f>
        <v/>
      </c>
      <c r="AC30" s="21" t="str">
        <f>IF($K30="","",IF('Control Panel'!AC29="",VLOOKUP($F30,'Table Output'!$A$2:$BW$99998,MATCH(AC$4,'Table Output'!$A$1:$BT$1,0),),'Control Panel'!AC29))</f>
        <v/>
      </c>
      <c r="AD30" s="21" t="str">
        <f>IF($K30="","",IF('Control Panel'!AD29="",VLOOKUP($F30,'Table Output'!$A$2:$BW$99998,MATCH(AD$4,'Table Output'!$A$1:$BT$1,0),),'Control Panel'!AD29))</f>
        <v/>
      </c>
      <c r="AE30" s="21" t="str">
        <f>IF($K30="","",IF('Control Panel'!AE29="",VLOOKUP($F30,'Table Output'!$A$2:$BW$99998,MATCH(AE$4,'Table Output'!$A$1:$BT$1,0),),'Control Panel'!AE29))</f>
        <v/>
      </c>
      <c r="AF30" s="21" t="str">
        <f>IF($K30="","",IF('Control Panel'!AF29="",VLOOKUP($F30,'Table Output'!$A$2:$BW$99998,MATCH(AF$4,'Table Output'!$A$1:$BT$1,0),),'Control Panel'!AF29))</f>
        <v/>
      </c>
      <c r="AG30" s="21" t="str">
        <f>IF($K30="","",IF('Control Panel'!AG29="",VLOOKUP($F30,'Table Output'!$A$2:$BW$99998,MATCH(AG$4,'Table Output'!$A$1:$BT$1,0),),'Control Panel'!AG29))</f>
        <v/>
      </c>
      <c r="AH30" s="21" t="str">
        <f>IF($K30="","",IF('Control Panel'!AH29="",VLOOKUP($F30,'Table Output'!$A$2:$BW$99998,MATCH(AH$4,'Table Output'!$A$1:$BT$1,0),),'Control Panel'!AH29))</f>
        <v/>
      </c>
      <c r="AI30" s="21" t="str">
        <f>IF($K30="","",IF('Control Panel'!AI29="",VLOOKUP($F30,'Table Output'!$A$2:$BW$99998,MATCH(AI$4,'Table Output'!$A$1:$BT$1,0),),'Control Panel'!AI29))</f>
        <v/>
      </c>
      <c r="AJ30" s="21" t="str">
        <f>IF($K30="","",IF('Control Panel'!AJ29="",VLOOKUP($F30,'Table Output'!$A$2:$BW$99998,MATCH(AJ$4,'Table Output'!$A$1:$BT$1,0),),'Control Panel'!AJ29))</f>
        <v/>
      </c>
      <c r="AK30" s="21" t="str">
        <f>IF($K30="","",IF('Control Panel'!AK29="",VLOOKUP($F30,'Table Output'!$A$2:$BW$99998,MATCH(AK$4,'Table Output'!$A$1:$BT$1,0),),'Control Panel'!AK29))</f>
        <v/>
      </c>
      <c r="AL30" s="21" t="str">
        <f>IF($K30="","",IF('Control Panel'!AL29="",VLOOKUP($F30,'Table Output'!$A$2:$BW$99998,MATCH(AL$4,'Table Output'!$A$1:$BT$1,0),),'Control Panel'!AL29))</f>
        <v/>
      </c>
      <c r="AN30" s="34" t="str">
        <f t="shared" si="1"/>
        <v/>
      </c>
      <c r="AO30" s="31" t="str">
        <f>IF(AO$4="","",IF($K30="","",IF('Control Panel'!AO29="",VLOOKUP($F30,'Table Output'!$A$2:$BW$99998,MATCH(AO$4,'Table Output'!$A$1:$BT$1,0),FALSE),'Control Panel'!AO29)))</f>
        <v/>
      </c>
      <c r="AP30" s="31" t="str">
        <f>IF(AP$4="","",IF($K30="","",IF('Control Panel'!AP29="",VLOOKUP($F30,'Table Output'!$A$2:$BW$99998,MATCH(AP$4,'Table Output'!$A$1:$BT$1,0),FALSE),'Control Panel'!AP29)))</f>
        <v/>
      </c>
      <c r="AQ30" s="31" t="str">
        <f>IF(AQ$4="","",IF($K30="","",IF('Control Panel'!AQ29="",VLOOKUP($F30,'Table Output'!$A$2:$BW$99998,MATCH(AQ$4,'Table Output'!$A$1:$BT$1,0),FALSE),'Control Panel'!AQ29)))</f>
        <v/>
      </c>
      <c r="AR30" s="31" t="str">
        <f>IF(AR$4="","",IF($K30="","",IF('Control Panel'!AR29="",VLOOKUP($F30,'Table Output'!$A$2:$BW$99998,MATCH(AR$4,'Table Output'!$A$1:$BT$1,0),FALSE),'Control Panel'!AR29)))</f>
        <v/>
      </c>
      <c r="AS30" s="31" t="str">
        <f>IF(AS$4="","",IF($K30="","",IF('Control Panel'!AS29="",VLOOKUP($F30,'Table Output'!$A$2:$BW$99998,MATCH(AS$4,'Table Output'!$A$1:$BT$1,0),FALSE),'Control Panel'!AS29)))</f>
        <v/>
      </c>
      <c r="AT30" s="31" t="str">
        <f>IF(AT$4="","",IF($K30="","",IF('Control Panel'!AT29="",VLOOKUP($F30,'Table Output'!$A$2:$BW$99998,MATCH(AT$4,'Table Output'!$A$1:$BT$1,0),FALSE),'Control Panel'!AT29)))</f>
        <v/>
      </c>
      <c r="AU30" s="31" t="str">
        <f>IF(AU$4="","",IF($K30="","",IF('Control Panel'!AU29="",VLOOKUP($F30,'Table Output'!$A$2:$BW$99998,MATCH(AU$4,'Table Output'!$A$1:$BT$1,0),FALSE),'Control Panel'!AU29)))</f>
        <v/>
      </c>
      <c r="AV30" s="31" t="str">
        <f>IF(AV$4="","",IF($K30="","",IF('Control Panel'!AV29="",VLOOKUP($F30,'Table Output'!$A$2:$BW$99998,MATCH(AV$4,'Table Output'!$A$1:$BT$1,0),FALSE),'Control Panel'!AV29)))</f>
        <v/>
      </c>
      <c r="AW30" s="31" t="str">
        <f>IF(AW$4="","",IF($K30="","",IF('Control Panel'!AW29="",VLOOKUP($F30,'Table Output'!$A$2:$BW$99998,MATCH(AW$4,'Table Output'!$A$1:$BT$1,0),FALSE),'Control Panel'!AW29)))</f>
        <v/>
      </c>
      <c r="BJ30" s="2" t="s">
        <v>155</v>
      </c>
      <c r="BK30" s="2" t="s">
        <v>100</v>
      </c>
    </row>
    <row r="31" spans="2:63" ht="12" thickBot="1" x14ac:dyDescent="0.25">
      <c r="B31" s="2" t="str">
        <f>'Control Panel'!B31</f>
        <v>Moment weight</v>
      </c>
      <c r="C31" s="2">
        <f>'Control Panel'!C31</f>
        <v>0.01</v>
      </c>
      <c r="E31" s="2" t="str">
        <f>IF('Control Panel'!E30="","",'Control Panel'!E30)</f>
        <v/>
      </c>
      <c r="F31" s="2" t="str">
        <f>IF(E31=1,IF('Control Panel'!F30="","",'Control Panel'!F30),"")</f>
        <v/>
      </c>
      <c r="G31" s="2" t="str">
        <f>IF(E31=1,IF('Control Panel'!G30="","",'Control Panel'!G30),"")</f>
        <v/>
      </c>
      <c r="H31" s="2" t="str">
        <f>IF(E31=1,IF('Control Panel'!H30="","",'Control Panel'!H30),"")</f>
        <v/>
      </c>
      <c r="I31" s="2" t="str">
        <f>IF(E31=1,IF('Control Panel'!I30="","",'Control Panel'!I30),"")</f>
        <v/>
      </c>
      <c r="J31" s="2" t="str">
        <f>IF(E31=1,IF('Control Panel'!J30="","",'Control Panel'!J30),"")</f>
        <v/>
      </c>
      <c r="K31" s="25" t="str">
        <f>IF(E31=1,IF('Control Panel'!K30="","",'Control Panel'!K30),"")</f>
        <v/>
      </c>
      <c r="L31" s="21" t="str">
        <f>IF($K31="","",IF(L$4="","",IF('Control Panel'!L30="",VLOOKUP($F31,'Table Output'!$A:$BW,MATCH(L$4,'Table Output'!$A$1:$BT$1,0),),'Control Panel'!L30)))</f>
        <v/>
      </c>
      <c r="M31" s="21" t="str">
        <f>IF($K31="","",IF(M$4="","",IF('Control Panel'!M30="",VLOOKUP($F31,'Table Output'!$A:$BW,MATCH(M$4,'Table Output'!$A$1:$BT$1,0),),'Control Panel'!M30)))</f>
        <v/>
      </c>
      <c r="N31" s="21" t="str">
        <f>IF($K31="","",IF(N$4="","",IF('Control Panel'!N30="",VLOOKUP($F31,'Table Output'!$A:$BW,MATCH(N$4,'Table Output'!$A$1:$BT$1,0),),'Control Panel'!N30)))</f>
        <v/>
      </c>
      <c r="O31" s="21" t="str">
        <f>IF($K31="","",IF(O$4="","",IF('Control Panel'!O30="",VLOOKUP($F31,'Table Output'!$A:$BW,MATCH(O$4,'Table Output'!$A$1:$BT$1,0),),'Control Panel'!O30)))</f>
        <v/>
      </c>
      <c r="P31" s="21" t="str">
        <f>IF($K31="","",IF(P$4="","",IF('Control Panel'!P30="",VLOOKUP($F31,'Table Output'!$A:$BW,MATCH(P$4,'Table Output'!$A$1:$BT$1,0),),'Control Panel'!P30)))</f>
        <v/>
      </c>
      <c r="Q31" s="21" t="str">
        <f>IF($K31="","",IF(Q$4="","",IF('Control Panel'!Q30="",VLOOKUP($F31,'Table Output'!$A:$BW,MATCH(Q$4,'Table Output'!$A$1:$BT$1,0),),'Control Panel'!Q30)))</f>
        <v/>
      </c>
      <c r="R31" s="21" t="str">
        <f>IF($K31="","",IF(R$4="","",IF('Control Panel'!R30="",VLOOKUP($F31,'Table Output'!$A:$BW,MATCH(R$4,'Table Output'!$A$1:$BT$1,0),),'Control Panel'!R30)))</f>
        <v/>
      </c>
      <c r="S31" s="21" t="str">
        <f>IF($K31="","",IF(S$4="","",IF('Control Panel'!S30="",VLOOKUP($F31,'Table Output'!$A:$BW,MATCH(S$4,'Table Output'!$A$1:$BT$1,0),),'Control Panel'!S30)))</f>
        <v/>
      </c>
      <c r="T31" s="21" t="str">
        <f>IF($K31="","",IF(T$4="","",IF('Control Panel'!T30="",VLOOKUP($F31,'Table Output'!$A:$BW,MATCH(T$4,'Table Output'!$A$1:$BT$1,0),),'Control Panel'!T30)))</f>
        <v/>
      </c>
      <c r="U31" s="21" t="str">
        <f>IF($K31="","",IF(U$4="","",IF('Control Panel'!U30="",VLOOKUP($F31,'Table Output'!$A:$BW,MATCH(U$4,'Table Output'!$A$1:$BT$1,0),),'Control Panel'!U30)))</f>
        <v/>
      </c>
      <c r="W31" s="21" t="str">
        <f>IF($K31="","",IF('Control Panel'!W30="",VLOOKUP($F31,'Table Output'!$A$2:$BW$99998,MATCH(W$4,'Table Output'!$A$1:$BT$1,0),),'Control Panel'!W30))</f>
        <v/>
      </c>
      <c r="X31" s="21" t="str">
        <f>IF($K31="","",IF('Control Panel'!X30="",VLOOKUP($F31,'Table Output'!$A$2:$BW$99998,MATCH(X$4,'Table Output'!$A$1:$BT$1,0),),'Control Panel'!X30))</f>
        <v/>
      </c>
      <c r="Y31" s="21" t="str">
        <f>IF($K31="","",IF('Control Panel'!Y30="",VLOOKUP($F31,'Table Output'!$A$2:$BW$99998,MATCH(Y$4,'Table Output'!$A$1:$BT$1,0),),'Control Panel'!Y30))</f>
        <v/>
      </c>
      <c r="Z31" s="21" t="str">
        <f>IF($K31="","",IF('Control Panel'!Z30="",VLOOKUP($F31,'Table Output'!$A$2:$BW$99998,MATCH(Z$4,'Table Output'!$A$1:$BT$1,0),),'Control Panel'!Z30))</f>
        <v/>
      </c>
      <c r="AA31" s="21" t="str">
        <f>IF($K31="","",IF('Control Panel'!AA30="",VLOOKUP($F31,'Table Output'!$A$2:$BW$99998,MATCH(AA$4,'Table Output'!$A$1:$BT$1,0),),'Control Panel'!AA30))</f>
        <v/>
      </c>
      <c r="AB31" s="21" t="str">
        <f>IF($K31="","",IF('Control Panel'!AB30="",VLOOKUP($F31,'Table Output'!$A$2:$BW$99998,MATCH(AB$4,'Table Output'!$A$1:$BT$1,0),),'Control Panel'!AB30))</f>
        <v/>
      </c>
      <c r="AC31" s="21" t="str">
        <f>IF($K31="","",IF('Control Panel'!AC30="",VLOOKUP($F31,'Table Output'!$A$2:$BW$99998,MATCH(AC$4,'Table Output'!$A$1:$BT$1,0),),'Control Panel'!AC30))</f>
        <v/>
      </c>
      <c r="AD31" s="21" t="str">
        <f>IF($K31="","",IF('Control Panel'!AD30="",VLOOKUP($F31,'Table Output'!$A$2:$BW$99998,MATCH(AD$4,'Table Output'!$A$1:$BT$1,0),),'Control Panel'!AD30))</f>
        <v/>
      </c>
      <c r="AE31" s="21" t="str">
        <f>IF($K31="","",IF('Control Panel'!AE30="",VLOOKUP($F31,'Table Output'!$A$2:$BW$99998,MATCH(AE$4,'Table Output'!$A$1:$BT$1,0),),'Control Panel'!AE30))</f>
        <v/>
      </c>
      <c r="AF31" s="21" t="str">
        <f>IF($K31="","",IF('Control Panel'!AF30="",VLOOKUP($F31,'Table Output'!$A$2:$BW$99998,MATCH(AF$4,'Table Output'!$A$1:$BT$1,0),),'Control Panel'!AF30))</f>
        <v/>
      </c>
      <c r="AG31" s="21" t="str">
        <f>IF($K31="","",IF('Control Panel'!AG30="",VLOOKUP($F31,'Table Output'!$A$2:$BW$99998,MATCH(AG$4,'Table Output'!$A$1:$BT$1,0),),'Control Panel'!AG30))</f>
        <v/>
      </c>
      <c r="AH31" s="21" t="str">
        <f>IF($K31="","",IF('Control Panel'!AH30="",VLOOKUP($F31,'Table Output'!$A$2:$BW$99998,MATCH(AH$4,'Table Output'!$A$1:$BT$1,0),),'Control Panel'!AH30))</f>
        <v/>
      </c>
      <c r="AI31" s="21" t="str">
        <f>IF($K31="","",IF('Control Panel'!AI30="",VLOOKUP($F31,'Table Output'!$A$2:$BW$99998,MATCH(AI$4,'Table Output'!$A$1:$BT$1,0),),'Control Panel'!AI30))</f>
        <v/>
      </c>
      <c r="AJ31" s="21" t="str">
        <f>IF($K31="","",IF('Control Panel'!AJ30="",VLOOKUP($F31,'Table Output'!$A$2:$BW$99998,MATCH(AJ$4,'Table Output'!$A$1:$BT$1,0),),'Control Panel'!AJ30))</f>
        <v/>
      </c>
      <c r="AK31" s="21" t="str">
        <f>IF($K31="","",IF('Control Panel'!AK30="",VLOOKUP($F31,'Table Output'!$A$2:$BW$99998,MATCH(AK$4,'Table Output'!$A$1:$BT$1,0),),'Control Panel'!AK30))</f>
        <v/>
      </c>
      <c r="AL31" s="21" t="str">
        <f>IF($K31="","",IF('Control Panel'!AL30="",VLOOKUP($F31,'Table Output'!$A$2:$BW$99998,MATCH(AL$4,'Table Output'!$A$1:$BT$1,0),),'Control Panel'!AL30))</f>
        <v/>
      </c>
      <c r="AN31" s="34" t="str">
        <f t="shared" si="1"/>
        <v/>
      </c>
      <c r="AO31" s="31" t="str">
        <f>IF(AO$4="","",IF($K31="","",IF('Control Panel'!AO30="",VLOOKUP($F31,'Table Output'!$A$2:$BW$99998,MATCH(AO$4,'Table Output'!$A$1:$BT$1,0),FALSE),'Control Panel'!AO30)))</f>
        <v/>
      </c>
      <c r="AP31" s="31" t="str">
        <f>IF(AP$4="","",IF($K31="","",IF('Control Panel'!AP30="",VLOOKUP($F31,'Table Output'!$A$2:$BW$99998,MATCH(AP$4,'Table Output'!$A$1:$BT$1,0),FALSE),'Control Panel'!AP30)))</f>
        <v/>
      </c>
      <c r="AQ31" s="31" t="str">
        <f>IF(AQ$4="","",IF($K31="","",IF('Control Panel'!AQ30="",VLOOKUP($F31,'Table Output'!$A$2:$BW$99998,MATCH(AQ$4,'Table Output'!$A$1:$BT$1,0),FALSE),'Control Panel'!AQ30)))</f>
        <v/>
      </c>
      <c r="AR31" s="31" t="str">
        <f>IF(AR$4="","",IF($K31="","",IF('Control Panel'!AR30="",VLOOKUP($F31,'Table Output'!$A$2:$BW$99998,MATCH(AR$4,'Table Output'!$A$1:$BT$1,0),FALSE),'Control Panel'!AR30)))</f>
        <v/>
      </c>
      <c r="AS31" s="31" t="str">
        <f>IF(AS$4="","",IF($K31="","",IF('Control Panel'!AS30="",VLOOKUP($F31,'Table Output'!$A$2:$BW$99998,MATCH(AS$4,'Table Output'!$A$1:$BT$1,0),FALSE),'Control Panel'!AS30)))</f>
        <v/>
      </c>
      <c r="AT31" s="31" t="str">
        <f>IF(AT$4="","",IF($K31="","",IF('Control Panel'!AT30="",VLOOKUP($F31,'Table Output'!$A$2:$BW$99998,MATCH(AT$4,'Table Output'!$A$1:$BT$1,0),FALSE),'Control Panel'!AT30)))</f>
        <v/>
      </c>
      <c r="AU31" s="31" t="str">
        <f>IF(AU$4="","",IF($K31="","",IF('Control Panel'!AU30="",VLOOKUP($F31,'Table Output'!$A$2:$BW$99998,MATCH(AU$4,'Table Output'!$A$1:$BT$1,0),FALSE),'Control Panel'!AU30)))</f>
        <v/>
      </c>
      <c r="AV31" s="31" t="str">
        <f>IF(AV$4="","",IF($K31="","",IF('Control Panel'!AV30="",VLOOKUP($F31,'Table Output'!$A$2:$BW$99998,MATCH(AV$4,'Table Output'!$A$1:$BT$1,0),FALSE),'Control Panel'!AV30)))</f>
        <v/>
      </c>
      <c r="AW31" s="31" t="str">
        <f>IF(AW$4="","",IF($K31="","",IF('Control Panel'!AW30="",VLOOKUP($F31,'Table Output'!$A$2:$BW$99998,MATCH(AW$4,'Table Output'!$A$1:$BT$1,0),FALSE),'Control Panel'!AW30)))</f>
        <v/>
      </c>
      <c r="BJ31" s="2" t="s">
        <v>156</v>
      </c>
      <c r="BK31" s="2" t="s">
        <v>100</v>
      </c>
    </row>
    <row r="32" spans="2:63" ht="12" thickBot="1" x14ac:dyDescent="0.25">
      <c r="B32" s="2" t="str">
        <f>'Control Panel'!B32</f>
        <v>Displacement weight</v>
      </c>
      <c r="C32" s="2">
        <f>'Control Panel'!C32</f>
        <v>0.01</v>
      </c>
      <c r="E32" s="2" t="str">
        <f>IF('Control Panel'!E31="","",'Control Panel'!E31)</f>
        <v/>
      </c>
      <c r="F32" s="2" t="str">
        <f>IF(E32=1,IF('Control Panel'!F31="","",'Control Panel'!F31),"")</f>
        <v/>
      </c>
      <c r="G32" s="2" t="str">
        <f>IF(E32=1,IF('Control Panel'!G31="","",'Control Panel'!G31),"")</f>
        <v/>
      </c>
      <c r="H32" s="2" t="str">
        <f>IF(E32=1,IF('Control Panel'!H31="","",'Control Panel'!H31),"")</f>
        <v/>
      </c>
      <c r="I32" s="2" t="str">
        <f>IF(E32=1,IF('Control Panel'!I31="","",'Control Panel'!I31),"")</f>
        <v/>
      </c>
      <c r="J32" s="2" t="str">
        <f>IF(E32=1,IF('Control Panel'!J31="","",'Control Panel'!J31),"")</f>
        <v/>
      </c>
      <c r="K32" s="25" t="str">
        <f>IF(E32=1,IF('Control Panel'!K31="","",'Control Panel'!K31),"")</f>
        <v/>
      </c>
      <c r="L32" s="21" t="str">
        <f>IF($K32="","",IF(L$4="","",IF('Control Panel'!L31="",VLOOKUP($F32,'Table Output'!$A:$BW,MATCH(L$4,'Table Output'!$A$1:$BT$1,0),),'Control Panel'!L31)))</f>
        <v/>
      </c>
      <c r="M32" s="21" t="str">
        <f>IF($K32="","",IF(M$4="","",IF('Control Panel'!M31="",VLOOKUP($F32,'Table Output'!$A:$BW,MATCH(M$4,'Table Output'!$A$1:$BT$1,0),),'Control Panel'!M31)))</f>
        <v/>
      </c>
      <c r="N32" s="21" t="str">
        <f>IF($K32="","",IF(N$4="","",IF('Control Panel'!N31="",VLOOKUP($F32,'Table Output'!$A:$BW,MATCH(N$4,'Table Output'!$A$1:$BT$1,0),),'Control Panel'!N31)))</f>
        <v/>
      </c>
      <c r="O32" s="21" t="str">
        <f>IF($K32="","",IF(O$4="","",IF('Control Panel'!O31="",VLOOKUP($F32,'Table Output'!$A:$BW,MATCH(O$4,'Table Output'!$A$1:$BT$1,0),),'Control Panel'!O31)))</f>
        <v/>
      </c>
      <c r="P32" s="21" t="str">
        <f>IF($K32="","",IF(P$4="","",IF('Control Panel'!P31="",VLOOKUP($F32,'Table Output'!$A:$BW,MATCH(P$4,'Table Output'!$A$1:$BT$1,0),),'Control Panel'!P31)))</f>
        <v/>
      </c>
      <c r="Q32" s="21" t="str">
        <f>IF($K32="","",IF(Q$4="","",IF('Control Panel'!Q31="",VLOOKUP($F32,'Table Output'!$A:$BW,MATCH(Q$4,'Table Output'!$A$1:$BT$1,0),),'Control Panel'!Q31)))</f>
        <v/>
      </c>
      <c r="R32" s="21" t="str">
        <f>IF($K32="","",IF(R$4="","",IF('Control Panel'!R31="",VLOOKUP($F32,'Table Output'!$A:$BW,MATCH(R$4,'Table Output'!$A$1:$BT$1,0),),'Control Panel'!R31)))</f>
        <v/>
      </c>
      <c r="S32" s="21" t="str">
        <f>IF($K32="","",IF(S$4="","",IF('Control Panel'!S31="",VLOOKUP($F32,'Table Output'!$A:$BW,MATCH(S$4,'Table Output'!$A$1:$BT$1,0),),'Control Panel'!S31)))</f>
        <v/>
      </c>
      <c r="T32" s="21" t="str">
        <f>IF($K32="","",IF(T$4="","",IF('Control Panel'!T31="",VLOOKUP($F32,'Table Output'!$A:$BW,MATCH(T$4,'Table Output'!$A$1:$BT$1,0),),'Control Panel'!T31)))</f>
        <v/>
      </c>
      <c r="U32" s="21" t="str">
        <f>IF($K32="","",IF(U$4="","",IF('Control Panel'!U31="",VLOOKUP($F32,'Table Output'!$A:$BW,MATCH(U$4,'Table Output'!$A$1:$BT$1,0),),'Control Panel'!U31)))</f>
        <v/>
      </c>
      <c r="W32" s="21" t="str">
        <f>IF($K32="","",IF('Control Panel'!W31="",VLOOKUP($F32,'Table Output'!$A$2:$BW$99998,MATCH(W$4,'Table Output'!$A$1:$BT$1,0),),'Control Panel'!W31))</f>
        <v/>
      </c>
      <c r="X32" s="21" t="str">
        <f>IF($K32="","",IF('Control Panel'!X31="",VLOOKUP($F32,'Table Output'!$A$2:$BW$99998,MATCH(X$4,'Table Output'!$A$1:$BT$1,0),),'Control Panel'!X31))</f>
        <v/>
      </c>
      <c r="Y32" s="21" t="str">
        <f>IF($K32="","",IF('Control Panel'!Y31="",VLOOKUP($F32,'Table Output'!$A$2:$BW$99998,MATCH(Y$4,'Table Output'!$A$1:$BT$1,0),),'Control Panel'!Y31))</f>
        <v/>
      </c>
      <c r="Z32" s="21" t="str">
        <f>IF($K32="","",IF('Control Panel'!Z31="",VLOOKUP($F32,'Table Output'!$A$2:$BW$99998,MATCH(Z$4,'Table Output'!$A$1:$BT$1,0),),'Control Panel'!Z31))</f>
        <v/>
      </c>
      <c r="AA32" s="21" t="str">
        <f>IF($K32="","",IF('Control Panel'!AA31="",VLOOKUP($F32,'Table Output'!$A$2:$BW$99998,MATCH(AA$4,'Table Output'!$A$1:$BT$1,0),),'Control Panel'!AA31))</f>
        <v/>
      </c>
      <c r="AB32" s="21" t="str">
        <f>IF($K32="","",IF('Control Panel'!AB31="",VLOOKUP($F32,'Table Output'!$A$2:$BW$99998,MATCH(AB$4,'Table Output'!$A$1:$BT$1,0),),'Control Panel'!AB31))</f>
        <v/>
      </c>
      <c r="AC32" s="21" t="str">
        <f>IF($K32="","",IF('Control Panel'!AC31="",VLOOKUP($F32,'Table Output'!$A$2:$BW$99998,MATCH(AC$4,'Table Output'!$A$1:$BT$1,0),),'Control Panel'!AC31))</f>
        <v/>
      </c>
      <c r="AD32" s="21" t="str">
        <f>IF($K32="","",IF('Control Panel'!AD31="",VLOOKUP($F32,'Table Output'!$A$2:$BW$99998,MATCH(AD$4,'Table Output'!$A$1:$BT$1,0),),'Control Panel'!AD31))</f>
        <v/>
      </c>
      <c r="AE32" s="21" t="str">
        <f>IF($K32="","",IF('Control Panel'!AE31="",VLOOKUP($F32,'Table Output'!$A$2:$BW$99998,MATCH(AE$4,'Table Output'!$A$1:$BT$1,0),),'Control Panel'!AE31))</f>
        <v/>
      </c>
      <c r="AF32" s="21" t="str">
        <f>IF($K32="","",IF('Control Panel'!AF31="",VLOOKUP($F32,'Table Output'!$A$2:$BW$99998,MATCH(AF$4,'Table Output'!$A$1:$BT$1,0),),'Control Panel'!AF31))</f>
        <v/>
      </c>
      <c r="AG32" s="21" t="str">
        <f>IF($K32="","",IF('Control Panel'!AG31="",VLOOKUP($F32,'Table Output'!$A$2:$BW$99998,MATCH(AG$4,'Table Output'!$A$1:$BT$1,0),),'Control Panel'!AG31))</f>
        <v/>
      </c>
      <c r="AH32" s="21" t="str">
        <f>IF($K32="","",IF('Control Panel'!AH31="",VLOOKUP($F32,'Table Output'!$A$2:$BW$99998,MATCH(AH$4,'Table Output'!$A$1:$BT$1,0),),'Control Panel'!AH31))</f>
        <v/>
      </c>
      <c r="AI32" s="21" t="str">
        <f>IF($K32="","",IF('Control Panel'!AI31="",VLOOKUP($F32,'Table Output'!$A$2:$BW$99998,MATCH(AI$4,'Table Output'!$A$1:$BT$1,0),),'Control Panel'!AI31))</f>
        <v/>
      </c>
      <c r="AJ32" s="21" t="str">
        <f>IF($K32="","",IF('Control Panel'!AJ31="",VLOOKUP($F32,'Table Output'!$A$2:$BW$99998,MATCH(AJ$4,'Table Output'!$A$1:$BT$1,0),),'Control Panel'!AJ31))</f>
        <v/>
      </c>
      <c r="AK32" s="21" t="str">
        <f>IF($K32="","",IF('Control Panel'!AK31="",VLOOKUP($F32,'Table Output'!$A$2:$BW$99998,MATCH(AK$4,'Table Output'!$A$1:$BT$1,0),),'Control Panel'!AK31))</f>
        <v/>
      </c>
      <c r="AL32" s="21" t="str">
        <f>IF($K32="","",IF('Control Panel'!AL31="",VLOOKUP($F32,'Table Output'!$A$2:$BW$99998,MATCH(AL$4,'Table Output'!$A$1:$BT$1,0),),'Control Panel'!AL31))</f>
        <v/>
      </c>
      <c r="AN32" s="34" t="str">
        <f t="shared" si="1"/>
        <v/>
      </c>
      <c r="AO32" s="31" t="str">
        <f>IF(AO$4="","",IF($K32="","",IF('Control Panel'!AO31="",VLOOKUP($F32,'Table Output'!$A$2:$BW$99998,MATCH(AO$4,'Table Output'!$A$1:$BT$1,0),FALSE),'Control Panel'!AO31)))</f>
        <v/>
      </c>
      <c r="AP32" s="31" t="str">
        <f>IF(AP$4="","",IF($K32="","",IF('Control Panel'!AP31="",VLOOKUP($F32,'Table Output'!$A$2:$BW$99998,MATCH(AP$4,'Table Output'!$A$1:$BT$1,0),FALSE),'Control Panel'!AP31)))</f>
        <v/>
      </c>
      <c r="AQ32" s="31" t="str">
        <f>IF(AQ$4="","",IF($K32="","",IF('Control Panel'!AQ31="",VLOOKUP($F32,'Table Output'!$A$2:$BW$99998,MATCH(AQ$4,'Table Output'!$A$1:$BT$1,0),FALSE),'Control Panel'!AQ31)))</f>
        <v/>
      </c>
      <c r="AR32" s="31" t="str">
        <f>IF(AR$4="","",IF($K32="","",IF('Control Panel'!AR31="",VLOOKUP($F32,'Table Output'!$A$2:$BW$99998,MATCH(AR$4,'Table Output'!$A$1:$BT$1,0),FALSE),'Control Panel'!AR31)))</f>
        <v/>
      </c>
      <c r="AS32" s="31" t="str">
        <f>IF(AS$4="","",IF($K32="","",IF('Control Panel'!AS31="",VLOOKUP($F32,'Table Output'!$A$2:$BW$99998,MATCH(AS$4,'Table Output'!$A$1:$BT$1,0),FALSE),'Control Panel'!AS31)))</f>
        <v/>
      </c>
      <c r="AT32" s="31" t="str">
        <f>IF(AT$4="","",IF($K32="","",IF('Control Panel'!AT31="",VLOOKUP($F32,'Table Output'!$A$2:$BW$99998,MATCH(AT$4,'Table Output'!$A$1:$BT$1,0),FALSE),'Control Panel'!AT31)))</f>
        <v/>
      </c>
      <c r="AU32" s="31" t="str">
        <f>IF(AU$4="","",IF($K32="","",IF('Control Panel'!AU31="",VLOOKUP($F32,'Table Output'!$A$2:$BW$99998,MATCH(AU$4,'Table Output'!$A$1:$BT$1,0),FALSE),'Control Panel'!AU31)))</f>
        <v/>
      </c>
      <c r="AV32" s="31" t="str">
        <f>IF(AV$4="","",IF($K32="","",IF('Control Panel'!AV31="",VLOOKUP($F32,'Table Output'!$A$2:$BW$99998,MATCH(AV$4,'Table Output'!$A$1:$BT$1,0),FALSE),'Control Panel'!AV31)))</f>
        <v/>
      </c>
      <c r="AW32" s="31" t="str">
        <f>IF(AW$4="","",IF($K32="","",IF('Control Panel'!AW31="",VLOOKUP($F32,'Table Output'!$A$2:$BW$99998,MATCH(AW$4,'Table Output'!$A$1:$BT$1,0),FALSE),'Control Panel'!AW31)))</f>
        <v/>
      </c>
      <c r="BJ32" s="2" t="s">
        <v>157</v>
      </c>
      <c r="BK32" s="2" t="s">
        <v>100</v>
      </c>
    </row>
    <row r="33" spans="2:63" ht="12" thickBot="1" x14ac:dyDescent="0.25">
      <c r="B33" s="2" t="str">
        <f>'Control Panel'!B33</f>
        <v>Load-displacement weight</v>
      </c>
      <c r="C33" s="2">
        <f>'Control Panel'!C33</f>
        <v>0.01</v>
      </c>
      <c r="E33" s="2" t="str">
        <f>IF('Control Panel'!E32="","",'Control Panel'!E32)</f>
        <v/>
      </c>
      <c r="F33" s="2" t="str">
        <f>IF(E33=1,IF('Control Panel'!F32="","",'Control Panel'!F32),"")</f>
        <v/>
      </c>
      <c r="G33" s="2" t="str">
        <f>IF(E33=1,IF('Control Panel'!G32="","",'Control Panel'!G32),"")</f>
        <v/>
      </c>
      <c r="H33" s="2" t="str">
        <f>IF(E33=1,IF('Control Panel'!H32="","",'Control Panel'!H32),"")</f>
        <v/>
      </c>
      <c r="I33" s="2" t="str">
        <f>IF(E33=1,IF('Control Panel'!I32="","",'Control Panel'!I32),"")</f>
        <v/>
      </c>
      <c r="J33" s="2" t="str">
        <f>IF(E33=1,IF('Control Panel'!J32="","",'Control Panel'!J32),"")</f>
        <v/>
      </c>
      <c r="K33" s="25" t="str">
        <f>IF(E33=1,IF('Control Panel'!K32="","",'Control Panel'!K32),"")</f>
        <v/>
      </c>
      <c r="L33" s="21" t="str">
        <f>IF($K33="","",IF(L$4="","",IF('Control Panel'!L32="",VLOOKUP($F33,'Table Output'!$A:$BW,MATCH(L$4,'Table Output'!$A$1:$BT$1,0),),'Control Panel'!L32)))</f>
        <v/>
      </c>
      <c r="M33" s="21" t="str">
        <f>IF($K33="","",IF(M$4="","",IF('Control Panel'!M32="",VLOOKUP($F33,'Table Output'!$A:$BW,MATCH(M$4,'Table Output'!$A$1:$BT$1,0),),'Control Panel'!M32)))</f>
        <v/>
      </c>
      <c r="N33" s="21" t="str">
        <f>IF($K33="","",IF(N$4="","",IF('Control Panel'!N32="",VLOOKUP($F33,'Table Output'!$A:$BW,MATCH(N$4,'Table Output'!$A$1:$BT$1,0),),'Control Panel'!N32)))</f>
        <v/>
      </c>
      <c r="O33" s="21" t="str">
        <f>IF($K33="","",IF(O$4="","",IF('Control Panel'!O32="",VLOOKUP($F33,'Table Output'!$A:$BW,MATCH(O$4,'Table Output'!$A$1:$BT$1,0),),'Control Panel'!O32)))</f>
        <v/>
      </c>
      <c r="P33" s="21" t="str">
        <f>IF($K33="","",IF(P$4="","",IF('Control Panel'!P32="",VLOOKUP($F33,'Table Output'!$A:$BW,MATCH(P$4,'Table Output'!$A$1:$BT$1,0),),'Control Panel'!P32)))</f>
        <v/>
      </c>
      <c r="Q33" s="21" t="str">
        <f>IF($K33="","",IF(Q$4="","",IF('Control Panel'!Q32="",VLOOKUP($F33,'Table Output'!$A:$BW,MATCH(Q$4,'Table Output'!$A$1:$BT$1,0),),'Control Panel'!Q32)))</f>
        <v/>
      </c>
      <c r="R33" s="21" t="str">
        <f>IF($K33="","",IF(R$4="","",IF('Control Panel'!R32="",VLOOKUP($F33,'Table Output'!$A:$BW,MATCH(R$4,'Table Output'!$A$1:$BT$1,0),),'Control Panel'!R32)))</f>
        <v/>
      </c>
      <c r="S33" s="21" t="str">
        <f>IF($K33="","",IF(S$4="","",IF('Control Panel'!S32="",VLOOKUP($F33,'Table Output'!$A:$BW,MATCH(S$4,'Table Output'!$A$1:$BT$1,0),),'Control Panel'!S32)))</f>
        <v/>
      </c>
      <c r="T33" s="21" t="str">
        <f>IF($K33="","",IF(T$4="","",IF('Control Panel'!T32="",VLOOKUP($F33,'Table Output'!$A:$BW,MATCH(T$4,'Table Output'!$A$1:$BT$1,0),),'Control Panel'!T32)))</f>
        <v/>
      </c>
      <c r="U33" s="21" t="str">
        <f>IF($K33="","",IF(U$4="","",IF('Control Panel'!U32="",VLOOKUP($F33,'Table Output'!$A:$BW,MATCH(U$4,'Table Output'!$A$1:$BT$1,0),),'Control Panel'!U32)))</f>
        <v/>
      </c>
      <c r="W33" s="21" t="str">
        <f>IF($K33="","",IF('Control Panel'!W32="",VLOOKUP($F33,'Table Output'!$A$2:$BW$99998,MATCH(W$4,'Table Output'!$A$1:$BT$1,0),),'Control Panel'!W32))</f>
        <v/>
      </c>
      <c r="X33" s="21" t="str">
        <f>IF($K33="","",IF('Control Panel'!X32="",VLOOKUP($F33,'Table Output'!$A$2:$BW$99998,MATCH(X$4,'Table Output'!$A$1:$BT$1,0),),'Control Panel'!X32))</f>
        <v/>
      </c>
      <c r="Y33" s="21" t="str">
        <f>IF($K33="","",IF('Control Panel'!Y32="",VLOOKUP($F33,'Table Output'!$A$2:$BW$99998,MATCH(Y$4,'Table Output'!$A$1:$BT$1,0),),'Control Panel'!Y32))</f>
        <v/>
      </c>
      <c r="Z33" s="21" t="str">
        <f>IF($K33="","",IF('Control Panel'!Z32="",VLOOKUP($F33,'Table Output'!$A$2:$BW$99998,MATCH(Z$4,'Table Output'!$A$1:$BT$1,0),),'Control Panel'!Z32))</f>
        <v/>
      </c>
      <c r="AA33" s="21" t="str">
        <f>IF($K33="","",IF('Control Panel'!AA32="",VLOOKUP($F33,'Table Output'!$A$2:$BW$99998,MATCH(AA$4,'Table Output'!$A$1:$BT$1,0),),'Control Panel'!AA32))</f>
        <v/>
      </c>
      <c r="AB33" s="21" t="str">
        <f>IF($K33="","",IF('Control Panel'!AB32="",VLOOKUP($F33,'Table Output'!$A$2:$BW$99998,MATCH(AB$4,'Table Output'!$A$1:$BT$1,0),),'Control Panel'!AB32))</f>
        <v/>
      </c>
      <c r="AC33" s="21" t="str">
        <f>IF($K33="","",IF('Control Panel'!AC32="",VLOOKUP($F33,'Table Output'!$A$2:$BW$99998,MATCH(AC$4,'Table Output'!$A$1:$BT$1,0),),'Control Panel'!AC32))</f>
        <v/>
      </c>
      <c r="AD33" s="21" t="str">
        <f>IF($K33="","",IF('Control Panel'!AD32="",VLOOKUP($F33,'Table Output'!$A$2:$BW$99998,MATCH(AD$4,'Table Output'!$A$1:$BT$1,0),),'Control Panel'!AD32))</f>
        <v/>
      </c>
      <c r="AE33" s="21" t="str">
        <f>IF($K33="","",IF('Control Panel'!AE32="",VLOOKUP($F33,'Table Output'!$A$2:$BW$99998,MATCH(AE$4,'Table Output'!$A$1:$BT$1,0),),'Control Panel'!AE32))</f>
        <v/>
      </c>
      <c r="AF33" s="21" t="str">
        <f>IF($K33="","",IF('Control Panel'!AF32="",VLOOKUP($F33,'Table Output'!$A$2:$BW$99998,MATCH(AF$4,'Table Output'!$A$1:$BT$1,0),),'Control Panel'!AF32))</f>
        <v/>
      </c>
      <c r="AG33" s="21" t="str">
        <f>IF($K33="","",IF('Control Panel'!AG32="",VLOOKUP($F33,'Table Output'!$A$2:$BW$99998,MATCH(AG$4,'Table Output'!$A$1:$BT$1,0),),'Control Panel'!AG32))</f>
        <v/>
      </c>
      <c r="AH33" s="21" t="str">
        <f>IF($K33="","",IF('Control Panel'!AH32="",VLOOKUP($F33,'Table Output'!$A$2:$BW$99998,MATCH(AH$4,'Table Output'!$A$1:$BT$1,0),),'Control Panel'!AH32))</f>
        <v/>
      </c>
      <c r="AI33" s="21" t="str">
        <f>IF($K33="","",IF('Control Panel'!AI32="",VLOOKUP($F33,'Table Output'!$A$2:$BW$99998,MATCH(AI$4,'Table Output'!$A$1:$BT$1,0),),'Control Panel'!AI32))</f>
        <v/>
      </c>
      <c r="AJ33" s="21" t="str">
        <f>IF($K33="","",IF('Control Panel'!AJ32="",VLOOKUP($F33,'Table Output'!$A$2:$BW$99998,MATCH(AJ$4,'Table Output'!$A$1:$BT$1,0),),'Control Panel'!AJ32))</f>
        <v/>
      </c>
      <c r="AK33" s="21" t="str">
        <f>IF($K33="","",IF('Control Panel'!AK32="",VLOOKUP($F33,'Table Output'!$A$2:$BW$99998,MATCH(AK$4,'Table Output'!$A$1:$BT$1,0),),'Control Panel'!AK32))</f>
        <v/>
      </c>
      <c r="AL33" s="21" t="str">
        <f>IF($K33="","",IF('Control Panel'!AL32="",VLOOKUP($F33,'Table Output'!$A$2:$BW$99998,MATCH(AL$4,'Table Output'!$A$1:$BT$1,0),),'Control Panel'!AL32))</f>
        <v/>
      </c>
      <c r="AN33" s="34" t="str">
        <f t="shared" si="1"/>
        <v/>
      </c>
      <c r="AO33" s="31" t="str">
        <f>IF(AO$4="","",IF($K33="","",IF('Control Panel'!AO32="",VLOOKUP($F33,'Table Output'!$A$2:$BW$99998,MATCH(AO$4,'Table Output'!$A$1:$BT$1,0),FALSE),'Control Panel'!AO32)))</f>
        <v/>
      </c>
      <c r="AP33" s="31" t="str">
        <f>IF(AP$4="","",IF($K33="","",IF('Control Panel'!AP32="",VLOOKUP($F33,'Table Output'!$A$2:$BW$99998,MATCH(AP$4,'Table Output'!$A$1:$BT$1,0),FALSE),'Control Panel'!AP32)))</f>
        <v/>
      </c>
      <c r="AQ33" s="31" t="str">
        <f>IF(AQ$4="","",IF($K33="","",IF('Control Panel'!AQ32="",VLOOKUP($F33,'Table Output'!$A$2:$BW$99998,MATCH(AQ$4,'Table Output'!$A$1:$BT$1,0),FALSE),'Control Panel'!AQ32)))</f>
        <v/>
      </c>
      <c r="AR33" s="31" t="str">
        <f>IF(AR$4="","",IF($K33="","",IF('Control Panel'!AR32="",VLOOKUP($F33,'Table Output'!$A$2:$BW$99998,MATCH(AR$4,'Table Output'!$A$1:$BT$1,0),FALSE),'Control Panel'!AR32)))</f>
        <v/>
      </c>
      <c r="AS33" s="31" t="str">
        <f>IF(AS$4="","",IF($K33="","",IF('Control Panel'!AS32="",VLOOKUP($F33,'Table Output'!$A$2:$BW$99998,MATCH(AS$4,'Table Output'!$A$1:$BT$1,0),FALSE),'Control Panel'!AS32)))</f>
        <v/>
      </c>
      <c r="AT33" s="31" t="str">
        <f>IF(AT$4="","",IF($K33="","",IF('Control Panel'!AT32="",VLOOKUP($F33,'Table Output'!$A$2:$BW$99998,MATCH(AT$4,'Table Output'!$A$1:$BT$1,0),FALSE),'Control Panel'!AT32)))</f>
        <v/>
      </c>
      <c r="AU33" s="31" t="str">
        <f>IF(AU$4="","",IF($K33="","",IF('Control Panel'!AU32="",VLOOKUP($F33,'Table Output'!$A$2:$BW$99998,MATCH(AU$4,'Table Output'!$A$1:$BT$1,0),FALSE),'Control Panel'!AU32)))</f>
        <v/>
      </c>
      <c r="AV33" s="31" t="str">
        <f>IF(AV$4="","",IF($K33="","",IF('Control Panel'!AV32="",VLOOKUP($F33,'Table Output'!$A$2:$BW$99998,MATCH(AV$4,'Table Output'!$A$1:$BT$1,0),FALSE),'Control Panel'!AV32)))</f>
        <v/>
      </c>
      <c r="AW33" s="31" t="str">
        <f>IF(AW$4="","",IF($K33="","",IF('Control Panel'!AW32="",VLOOKUP($F33,'Table Output'!$A$2:$BW$99998,MATCH(AW$4,'Table Output'!$A$1:$BT$1,0),FALSE),'Control Panel'!AW32)))</f>
        <v/>
      </c>
      <c r="BJ33" s="2" t="s">
        <v>158</v>
      </c>
      <c r="BK33" s="2" t="s">
        <v>101</v>
      </c>
    </row>
    <row r="34" spans="2:63" x14ac:dyDescent="0.2">
      <c r="B34" s="2" t="str">
        <f>'Control Panel'!B34</f>
        <v>Moment focus</v>
      </c>
      <c r="C34" s="2" t="str">
        <f>'Control Panel'!C34</f>
        <v>2&amp;1</v>
      </c>
      <c r="E34" s="2" t="str">
        <f>IF('Control Panel'!E33="","",'Control Panel'!E33)</f>
        <v/>
      </c>
      <c r="F34" s="2" t="str">
        <f>IF(E34=1,IF('Control Panel'!F33="","",'Control Panel'!F33),"")</f>
        <v/>
      </c>
      <c r="G34" s="2" t="str">
        <f>IF(E34=1,IF('Control Panel'!G33="","",'Control Panel'!G33),"")</f>
        <v/>
      </c>
      <c r="H34" s="2" t="str">
        <f>IF(E34=1,IF('Control Panel'!H33="","",'Control Panel'!H33),"")</f>
        <v/>
      </c>
      <c r="I34" s="2" t="str">
        <f>IF(E34=1,IF('Control Panel'!I33="","",'Control Panel'!I33),"")</f>
        <v/>
      </c>
      <c r="J34" s="2" t="str">
        <f>IF(E34=1,IF('Control Panel'!J33="","",'Control Panel'!J33),"")</f>
        <v/>
      </c>
      <c r="K34" s="25" t="str">
        <f>IF(E34=1,IF('Control Panel'!K33="","",'Control Panel'!K33),"")</f>
        <v/>
      </c>
      <c r="L34" s="21" t="str">
        <f>IF($K34="","",IF(L$4="","",IF('Control Panel'!L33="",VLOOKUP($F34,'Table Output'!$A:$BW,MATCH(L$4,'Table Output'!$A$1:$BT$1,0),),'Control Panel'!L33)))</f>
        <v/>
      </c>
      <c r="M34" s="21" t="str">
        <f>IF($K34="","",IF(M$4="","",IF('Control Panel'!M33="",VLOOKUP($F34,'Table Output'!$A:$BW,MATCH(M$4,'Table Output'!$A$1:$BT$1,0),),'Control Panel'!M33)))</f>
        <v/>
      </c>
      <c r="N34" s="21" t="str">
        <f>IF($K34="","",IF(N$4="","",IF('Control Panel'!N33="",VLOOKUP($F34,'Table Output'!$A:$BW,MATCH(N$4,'Table Output'!$A$1:$BT$1,0),),'Control Panel'!N33)))</f>
        <v/>
      </c>
      <c r="O34" s="21" t="str">
        <f>IF($K34="","",IF(O$4="","",IF('Control Panel'!O33="",VLOOKUP($F34,'Table Output'!$A:$BW,MATCH(O$4,'Table Output'!$A$1:$BT$1,0),),'Control Panel'!O33)))</f>
        <v/>
      </c>
      <c r="P34" s="21" t="str">
        <f>IF($K34="","",IF(P$4="","",IF('Control Panel'!P33="",VLOOKUP($F34,'Table Output'!$A:$BW,MATCH(P$4,'Table Output'!$A$1:$BT$1,0),),'Control Panel'!P33)))</f>
        <v/>
      </c>
      <c r="Q34" s="21" t="str">
        <f>IF($K34="","",IF(Q$4="","",IF('Control Panel'!Q33="",VLOOKUP($F34,'Table Output'!$A:$BW,MATCH(Q$4,'Table Output'!$A$1:$BT$1,0),),'Control Panel'!Q33)))</f>
        <v/>
      </c>
      <c r="R34" s="21" t="str">
        <f>IF($K34="","",IF(R$4="","",IF('Control Panel'!R33="",VLOOKUP($F34,'Table Output'!$A:$BW,MATCH(R$4,'Table Output'!$A$1:$BT$1,0),),'Control Panel'!R33)))</f>
        <v/>
      </c>
      <c r="S34" s="21" t="str">
        <f>IF($K34="","",IF(S$4="","",IF('Control Panel'!S33="",VLOOKUP($F34,'Table Output'!$A:$BW,MATCH(S$4,'Table Output'!$A$1:$BT$1,0),),'Control Panel'!S33)))</f>
        <v/>
      </c>
      <c r="T34" s="21" t="str">
        <f>IF($K34="","",IF(T$4="","",IF('Control Panel'!T33="",VLOOKUP($F34,'Table Output'!$A:$BW,MATCH(T$4,'Table Output'!$A$1:$BT$1,0),),'Control Panel'!T33)))</f>
        <v/>
      </c>
      <c r="U34" s="21" t="str">
        <f>IF($K34="","",IF(U$4="","",IF('Control Panel'!U33="",VLOOKUP($F34,'Table Output'!$A:$BW,MATCH(U$4,'Table Output'!$A$1:$BT$1,0),),'Control Panel'!U33)))</f>
        <v/>
      </c>
      <c r="W34" s="21" t="str">
        <f>IF($K34="","",IF('Control Panel'!W33="",VLOOKUP($F34,'Table Output'!$A$2:$BW$99998,MATCH(W$4,'Table Output'!$A$1:$BT$1,0),),'Control Panel'!W33))</f>
        <v/>
      </c>
      <c r="X34" s="21" t="str">
        <f>IF($K34="","",IF('Control Panel'!X33="",VLOOKUP($F34,'Table Output'!$A$2:$BW$99998,MATCH(X$4,'Table Output'!$A$1:$BT$1,0),),'Control Panel'!X33))</f>
        <v/>
      </c>
      <c r="Y34" s="21" t="str">
        <f>IF($K34="","",IF('Control Panel'!Y33="",VLOOKUP($F34,'Table Output'!$A$2:$BW$99998,MATCH(Y$4,'Table Output'!$A$1:$BT$1,0),),'Control Panel'!Y33))</f>
        <v/>
      </c>
      <c r="Z34" s="21" t="str">
        <f>IF($K34="","",IF('Control Panel'!Z33="",VLOOKUP($F34,'Table Output'!$A$2:$BW$99998,MATCH(Z$4,'Table Output'!$A$1:$BT$1,0),),'Control Panel'!Z33))</f>
        <v/>
      </c>
      <c r="AA34" s="21" t="str">
        <f>IF($K34="","",IF('Control Panel'!AA33="",VLOOKUP($F34,'Table Output'!$A$2:$BW$99998,MATCH(AA$4,'Table Output'!$A$1:$BT$1,0),),'Control Panel'!AA33))</f>
        <v/>
      </c>
      <c r="AB34" s="21" t="str">
        <f>IF($K34="","",IF('Control Panel'!AB33="",VLOOKUP($F34,'Table Output'!$A$2:$BW$99998,MATCH(AB$4,'Table Output'!$A$1:$BT$1,0),),'Control Panel'!AB33))</f>
        <v/>
      </c>
      <c r="AC34" s="21" t="str">
        <f>IF($K34="","",IF('Control Panel'!AC33="",VLOOKUP($F34,'Table Output'!$A$2:$BW$99998,MATCH(AC$4,'Table Output'!$A$1:$BT$1,0),),'Control Panel'!AC33))</f>
        <v/>
      </c>
      <c r="AD34" s="21" t="str">
        <f>IF($K34="","",IF('Control Panel'!AD33="",VLOOKUP($F34,'Table Output'!$A$2:$BW$99998,MATCH(AD$4,'Table Output'!$A$1:$BT$1,0),),'Control Panel'!AD33))</f>
        <v/>
      </c>
      <c r="AE34" s="21" t="str">
        <f>IF($K34="","",IF('Control Panel'!AE33="",VLOOKUP($F34,'Table Output'!$A$2:$BW$99998,MATCH(AE$4,'Table Output'!$A$1:$BT$1,0),),'Control Panel'!AE33))</f>
        <v/>
      </c>
      <c r="AF34" s="21" t="str">
        <f>IF($K34="","",IF('Control Panel'!AF33="",VLOOKUP($F34,'Table Output'!$A$2:$BW$99998,MATCH(AF$4,'Table Output'!$A$1:$BT$1,0),),'Control Panel'!AF33))</f>
        <v/>
      </c>
      <c r="AG34" s="21" t="str">
        <f>IF($K34="","",IF('Control Panel'!AG33="",VLOOKUP($F34,'Table Output'!$A$2:$BW$99998,MATCH(AG$4,'Table Output'!$A$1:$BT$1,0),),'Control Panel'!AG33))</f>
        <v/>
      </c>
      <c r="AH34" s="21" t="str">
        <f>IF($K34="","",IF('Control Panel'!AH33="",VLOOKUP($F34,'Table Output'!$A$2:$BW$99998,MATCH(AH$4,'Table Output'!$A$1:$BT$1,0),),'Control Panel'!AH33))</f>
        <v/>
      </c>
      <c r="AI34" s="21" t="str">
        <f>IF($K34="","",IF('Control Panel'!AI33="",VLOOKUP($F34,'Table Output'!$A$2:$BW$99998,MATCH(AI$4,'Table Output'!$A$1:$BT$1,0),),'Control Panel'!AI33))</f>
        <v/>
      </c>
      <c r="AJ34" s="21" t="str">
        <f>IF($K34="","",IF('Control Panel'!AJ33="",VLOOKUP($F34,'Table Output'!$A$2:$BW$99998,MATCH(AJ$4,'Table Output'!$A$1:$BT$1,0),),'Control Panel'!AJ33))</f>
        <v/>
      </c>
      <c r="AK34" s="21" t="str">
        <f>IF($K34="","",IF('Control Panel'!AK33="",VLOOKUP($F34,'Table Output'!$A$2:$BW$99998,MATCH(AK$4,'Table Output'!$A$1:$BT$1,0),),'Control Panel'!AK33))</f>
        <v/>
      </c>
      <c r="AL34" s="21" t="str">
        <f>IF($K34="","",IF('Control Panel'!AL33="",VLOOKUP($F34,'Table Output'!$A$2:$BW$99998,MATCH(AL$4,'Table Output'!$A$1:$BT$1,0),),'Control Panel'!AL33))</f>
        <v/>
      </c>
      <c r="AN34" s="34" t="str">
        <f t="shared" si="1"/>
        <v/>
      </c>
      <c r="AO34" s="31" t="str">
        <f>IF(AO$4="","",IF($K34="","",IF('Control Panel'!AO33="",VLOOKUP($F34,'Table Output'!$A$2:$BW$99998,MATCH(AO$4,'Table Output'!$A$1:$BT$1,0),FALSE),'Control Panel'!AO33)))</f>
        <v/>
      </c>
      <c r="AP34" s="31" t="str">
        <f>IF(AP$4="","",IF($K34="","",IF('Control Panel'!AP33="",VLOOKUP($F34,'Table Output'!$A$2:$BW$99998,MATCH(AP$4,'Table Output'!$A$1:$BT$1,0),FALSE),'Control Panel'!AP33)))</f>
        <v/>
      </c>
      <c r="AQ34" s="31" t="str">
        <f>IF(AQ$4="","",IF($K34="","",IF('Control Panel'!AQ33="",VLOOKUP($F34,'Table Output'!$A$2:$BW$99998,MATCH(AQ$4,'Table Output'!$A$1:$BT$1,0),FALSE),'Control Panel'!AQ33)))</f>
        <v/>
      </c>
      <c r="AR34" s="31" t="str">
        <f>IF(AR$4="","",IF($K34="","",IF('Control Panel'!AR33="",VLOOKUP($F34,'Table Output'!$A$2:$BW$99998,MATCH(AR$4,'Table Output'!$A$1:$BT$1,0),FALSE),'Control Panel'!AR33)))</f>
        <v/>
      </c>
      <c r="AS34" s="31" t="str">
        <f>IF(AS$4="","",IF($K34="","",IF('Control Panel'!AS33="",VLOOKUP($F34,'Table Output'!$A$2:$BW$99998,MATCH(AS$4,'Table Output'!$A$1:$BT$1,0),FALSE),'Control Panel'!AS33)))</f>
        <v/>
      </c>
      <c r="AT34" s="31" t="str">
        <f>IF(AT$4="","",IF($K34="","",IF('Control Panel'!AT33="",VLOOKUP($F34,'Table Output'!$A$2:$BW$99998,MATCH(AT$4,'Table Output'!$A$1:$BT$1,0),FALSE),'Control Panel'!AT33)))</f>
        <v/>
      </c>
      <c r="AU34" s="31" t="str">
        <f>IF(AU$4="","",IF($K34="","",IF('Control Panel'!AU33="",VLOOKUP($F34,'Table Output'!$A$2:$BW$99998,MATCH(AU$4,'Table Output'!$A$1:$BT$1,0),FALSE),'Control Panel'!AU33)))</f>
        <v/>
      </c>
      <c r="AV34" s="31" t="str">
        <f>IF(AV$4="","",IF($K34="","",IF('Control Panel'!AV33="",VLOOKUP($F34,'Table Output'!$A$2:$BW$99998,MATCH(AV$4,'Table Output'!$A$1:$BT$1,0),FALSE),'Control Panel'!AV33)))</f>
        <v/>
      </c>
      <c r="AW34" s="31" t="str">
        <f>IF(AW$4="","",IF($K34="","",IF('Control Panel'!AW33="",VLOOKUP($F34,'Table Output'!$A$2:$BW$99998,MATCH(AW$4,'Table Output'!$A$1:$BT$1,0),FALSE),'Control Panel'!AW33)))</f>
        <v/>
      </c>
      <c r="BJ34" s="2" t="s">
        <v>159</v>
      </c>
      <c r="BK34" s="2" t="s">
        <v>101</v>
      </c>
    </row>
    <row r="35" spans="2:63" ht="12" thickBot="1" x14ac:dyDescent="0.25">
      <c r="B35" s="2" t="str">
        <f>'Control Panel'!B35</f>
        <v>Displacement focus</v>
      </c>
      <c r="C35" s="2" t="str">
        <f>'Control Panel'!C35</f>
        <v>1&amp;1</v>
      </c>
      <c r="BJ35" s="2" t="s">
        <v>160</v>
      </c>
      <c r="BK35" s="2" t="s">
        <v>101</v>
      </c>
    </row>
    <row r="36" spans="2:63" ht="12" thickBot="1" x14ac:dyDescent="0.25">
      <c r="B36" s="2" t="str">
        <f>'Control Panel'!B36</f>
        <v>load-displacement focus</v>
      </c>
      <c r="C36" s="2" t="str">
        <f>'Control Panel'!C36</f>
        <v>1&amp;1</v>
      </c>
      <c r="K36" s="220" t="s">
        <v>151</v>
      </c>
      <c r="L36" s="221"/>
      <c r="M36" s="221"/>
      <c r="N36" s="221"/>
      <c r="O36" s="221"/>
      <c r="P36" s="221"/>
      <c r="Q36" s="221"/>
      <c r="R36" s="221"/>
      <c r="S36" s="221"/>
      <c r="T36" s="221"/>
      <c r="U36" s="222"/>
      <c r="BJ36" s="2" t="s">
        <v>161</v>
      </c>
      <c r="BK36" s="2" t="s">
        <v>102</v>
      </c>
    </row>
    <row r="37" spans="2:63" ht="12" thickBot="1" x14ac:dyDescent="0.25">
      <c r="B37" s="2" t="str">
        <f>'Control Panel'!B37</f>
        <v>Load level focus</v>
      </c>
      <c r="C37" s="2" t="str">
        <f>'Control Panel'!C37</f>
        <v>1&amp;1</v>
      </c>
      <c r="K37" s="16" t="s">
        <v>82</v>
      </c>
      <c r="L37" s="17" t="str">
        <f>L4</f>
        <v>yB_u_1</v>
      </c>
      <c r="M37" s="17" t="str">
        <f t="shared" ref="M37:U37" si="2">M4</f>
        <v>yB_u_2</v>
      </c>
      <c r="N37" s="17" t="str">
        <f t="shared" si="2"/>
        <v>k_H_1</v>
      </c>
      <c r="O37" s="17" t="str">
        <f t="shared" si="2"/>
        <v>k_H_2</v>
      </c>
      <c r="P37" s="17" t="str">
        <f t="shared" si="2"/>
        <v>HB_u_1</v>
      </c>
      <c r="Q37" s="17" t="str">
        <f t="shared" si="2"/>
        <v>HB_u_2</v>
      </c>
      <c r="R37" s="17" t="str">
        <f t="shared" si="2"/>
        <v>n_H_1</v>
      </c>
      <c r="S37" s="17" t="str">
        <f t="shared" si="2"/>
        <v/>
      </c>
      <c r="T37" s="17" t="str">
        <f t="shared" si="2"/>
        <v/>
      </c>
      <c r="U37" s="17" t="str">
        <f t="shared" si="2"/>
        <v/>
      </c>
      <c r="BJ37" s="2" t="s">
        <v>162</v>
      </c>
      <c r="BK37" s="2" t="s">
        <v>102</v>
      </c>
    </row>
    <row r="38" spans="2:63" x14ac:dyDescent="0.2">
      <c r="B38" s="2" t="str">
        <f>'Control Panel'!B38</f>
        <v>Model focus</v>
      </c>
      <c r="C38" s="2" t="str">
        <f>'Control Panel'!C38</f>
        <v>1&amp;1</v>
      </c>
      <c r="F38" s="2" t="str">
        <f>F5</f>
        <v>NGI_U3_1</v>
      </c>
      <c r="K38" s="4">
        <f>K5</f>
        <v>1</v>
      </c>
      <c r="L38" s="27">
        <f>IF($K38="","",IF(L$37="","",IF('Control Panel'!L38="",IF(VLOOKUP($F38,'Table Output'!$A$1:$H$100002,8,FALSE)="Sand",VLOOKUP(L$37,BoundParameters_HiddenSheetSAND!$B$3:$E$50,MATCH(VLOOKUP($K38,$K$5:$AL$34,MATCH(VLOOKUP(L$37,$BJ$3:$BK$50,2,FALSE),$K$4:$AL$4,0),FALSE),BoundParameters_HiddenSheetCLAY!$B$1:$E$1,0),FALSE),IF(VLOOKUP($F38,'Table Output'!$A$1:$H$100002,8,FALSE)="Clay",VLOOKUP(L$37,BoundParameters_HiddenSheetCLAY!$B$3:$E$50,MATCH(VLOOKUP($K38,$K$5:$AL$34,MATCH(VLOOKUP(L$37,$BJ$3:$BK$50,2,FALSE),$K$4:$AL$4,0),FALSE),BoundParameters_HiddenSheetCLAY!$B$1:$E$1,0),FALSE))),'Control Panel'!L38)))</f>
        <v>-7.5</v>
      </c>
      <c r="M38" s="27">
        <f>IF($K38="","",IF(M$37="","",IF('Control Panel'!M38="",IF(VLOOKUP($F38,'Table Output'!$A$1:$H$100002,8,FALSE)="Sand",VLOOKUP(M$37,BoundParameters_HiddenSheetSAND!$B$3:$E$50,MATCH(VLOOKUP($K38,$K$5:$AL$34,MATCH(VLOOKUP(M$37,$BJ$3:$BK$50,2,FALSE),$K$4:$AL$4,0),FALSE),BoundParameters_HiddenSheetCLAY!$B$1:$E$1,0),FALSE),IF(VLOOKUP($F38,'Table Output'!$A$1:$H$100002,8,FALSE)="Clay",VLOOKUP(M$37,BoundParameters_HiddenSheetCLAY!$B$3:$E$50,MATCH(VLOOKUP($K38,$K$5:$AL$34,MATCH(VLOOKUP(M$37,$BJ$3:$BK$50,2,FALSE),$K$4:$AL$4,0),FALSE),BoundParameters_HiddenSheetCLAY!$B$1:$E$1,0),FALSE))),'Control Panel'!M38)))</f>
        <v>0</v>
      </c>
      <c r="N38" s="27">
        <f>IF($K38="","",IF(N$37="","",IF('Control Panel'!N38="",IF(VLOOKUP($F38,'Table Output'!$A$1:$H$100002,8,FALSE)="Sand",VLOOKUP(N$37,BoundParameters_HiddenSheetSAND!$B$3:$E$50,MATCH(VLOOKUP($K38,$K$5:$AL$34,MATCH(VLOOKUP(N$37,$BJ$3:$BK$50,2,FALSE),$K$4:$AL$4,0),FALSE),BoundParameters_HiddenSheetCLAY!$B$1:$E$1,0),FALSE),IF(VLOOKUP($F38,'Table Output'!$A$1:$H$100002,8,FALSE)="Clay",VLOOKUP(N$37,BoundParameters_HiddenSheetCLAY!$B$3:$E$50,MATCH(VLOOKUP($K38,$K$5:$AL$34,MATCH(VLOOKUP(N$37,$BJ$3:$BK$50,2,FALSE),$K$4:$AL$4,0),FALSE),BoundParameters_HiddenSheetCLAY!$B$1:$E$1,0),FALSE))),'Control Panel'!N38)))</f>
        <v>-1.5</v>
      </c>
      <c r="O38" s="27">
        <f>IF($K38="","",IF(O$37="","",IF('Control Panel'!O38="",IF(VLOOKUP($F38,'Table Output'!$A$1:$H$100002,8,FALSE)="Sand",VLOOKUP(O$37,BoundParameters_HiddenSheetSAND!$B$3:$E$50,MATCH(VLOOKUP($K38,$K$5:$AL$34,MATCH(VLOOKUP(O$37,$BJ$3:$BK$50,2,FALSE),$K$4:$AL$4,0),FALSE),BoundParameters_HiddenSheetCLAY!$B$1:$E$1,0),FALSE),IF(VLOOKUP($F38,'Table Output'!$A$1:$H$100002,8,FALSE)="Clay",VLOOKUP(O$37,BoundParameters_HiddenSheetCLAY!$B$3:$E$50,MATCH(VLOOKUP($K38,$K$5:$AL$34,MATCH(VLOOKUP(O$37,$BJ$3:$BK$50,2,FALSE),$K$4:$AL$4,0),FALSE),BoundParameters_HiddenSheetCLAY!$B$1:$E$1,0),FALSE))),'Control Panel'!O38)))</f>
        <v>-0.05</v>
      </c>
      <c r="P38" s="27">
        <f>IF($K38="","",IF(P$37="","",IF('Control Panel'!P38="",IF(VLOOKUP($F38,'Table Output'!$A$1:$H$100002,8,FALSE)="Sand",VLOOKUP(P$37,BoundParameters_HiddenSheetSAND!$B$3:$E$50,MATCH(VLOOKUP($K38,$K$5:$AL$34,MATCH(VLOOKUP(P$37,$BJ$3:$BK$50,2,FALSE),$K$4:$AL$4,0),FALSE),BoundParameters_HiddenSheetCLAY!$B$1:$E$1,0),FALSE),IF(VLOOKUP($F38,'Table Output'!$A$1:$H$100002,8,FALSE)="Clay",VLOOKUP(P$37,BoundParameters_HiddenSheetCLAY!$B$3:$E$50,MATCH(VLOOKUP($K38,$K$5:$AL$34,MATCH(VLOOKUP(P$37,$BJ$3:$BK$50,2,FALSE),$K$4:$AL$4,0),FALSE),BoundParameters_HiddenSheetCLAY!$B$1:$E$1,0),FALSE))),'Control Panel'!P38)))</f>
        <v>0.02</v>
      </c>
      <c r="Q38" s="27">
        <f>IF($K38="","",IF(Q$37="","",IF('Control Panel'!Q38="",IF(VLOOKUP($F38,'Table Output'!$A$1:$H$100002,8,FALSE)="Sand",VLOOKUP(Q$37,BoundParameters_HiddenSheetSAND!$B$3:$E$50,MATCH(VLOOKUP($K38,$K$5:$AL$34,MATCH(VLOOKUP(Q$37,$BJ$3:$BK$50,2,FALSE),$K$4:$AL$4,0),FALSE),BoundParameters_HiddenSheetCLAY!$B$1:$E$1,0),FALSE),IF(VLOOKUP($F38,'Table Output'!$A$1:$H$100002,8,FALSE)="Clay",VLOOKUP(Q$37,BoundParameters_HiddenSheetCLAY!$B$3:$E$50,MATCH(VLOOKUP($K38,$K$5:$AL$34,MATCH(VLOOKUP(Q$37,$BJ$3:$BK$50,2,FALSE),$K$4:$AL$4,0),FALSE),BoundParameters_HiddenSheetCLAY!$B$1:$E$1,0),FALSE))),'Control Panel'!Q38)))</f>
        <v>-5555</v>
      </c>
      <c r="R38" s="27">
        <f>IF($K38="","",IF(R$37="","",IF('Control Panel'!R38="",IF(VLOOKUP($F38,'Table Output'!$A$1:$H$100002,8,FALSE)="Sand",VLOOKUP(R$37,BoundParameters_HiddenSheetSAND!$B$3:$E$50,MATCH(VLOOKUP($K38,$K$5:$AL$34,MATCH(VLOOKUP(R$37,$BJ$3:$BK$50,2,FALSE),$K$4:$AL$4,0),FALSE),BoundParameters_HiddenSheetCLAY!$B$1:$E$1,0),FALSE),IF(VLOOKUP($F38,'Table Output'!$A$1:$H$100002,8,FALSE)="Clay",VLOOKUP(R$37,BoundParameters_HiddenSheetCLAY!$B$3:$E$50,MATCH(VLOOKUP($K38,$K$5:$AL$34,MATCH(VLOOKUP(R$37,$BJ$3:$BK$50,2,FALSE),$K$4:$AL$4,0),FALSE),BoundParameters_HiddenSheetCLAY!$B$1:$E$1,0),FALSE))),'Control Panel'!R38)))</f>
        <v>-0.3</v>
      </c>
      <c r="S38" s="27" t="str">
        <f>IF($K38="","",IF(S$37="","",IF('Control Panel'!S38="",IF(VLOOKUP($F38,'Table Output'!$A$1:$H$100002,8,FALSE)="Sand",VLOOKUP(S$37,BoundParameters_HiddenSheetSAND!$B$3:$E$50,MATCH(VLOOKUP($K38,$K$5:$AL$34,MATCH(VLOOKUP(S$37,$BJ$3:$BK$50,2,FALSE),$K$4:$AL$4,0),FALSE),BoundParameters_HiddenSheetCLAY!$B$1:$E$1,0),FALSE),IF(VLOOKUP($F38,'Table Output'!$A$1:$H$100002,8,FALSE)="Clay",VLOOKUP(S$37,BoundParameters_HiddenSheetCLAY!$B$3:$E$50,MATCH(VLOOKUP($K38,$K$5:$AL$34,MATCH(VLOOKUP(S$37,$BJ$3:$BK$50,2,FALSE),$K$4:$AL$4,0),FALSE),BoundParameters_HiddenSheetCLAY!$B$1:$E$1,0),FALSE))),'Control Panel'!S38)))</f>
        <v/>
      </c>
      <c r="T38" s="27" t="str">
        <f>IF($K38="","",IF(T$37="","",IF('Control Panel'!T38="",IF(VLOOKUP($F38,'Table Output'!$A$1:$H$100002,8,FALSE)="Sand",VLOOKUP(T$37,BoundParameters_HiddenSheetSAND!$B$3:$E$50,MATCH(VLOOKUP($K38,$K$5:$AL$34,MATCH(VLOOKUP(T$37,$BJ$3:$BK$50,2,FALSE),$K$4:$AL$4,0),FALSE),BoundParameters_HiddenSheetCLAY!$B$1:$E$1,0),FALSE),IF(VLOOKUP($F38,'Table Output'!$A$1:$H$100002,8,FALSE)="Clay",VLOOKUP(T$37,BoundParameters_HiddenSheetCLAY!$B$3:$E$50,MATCH(VLOOKUP($K38,$K$5:$AL$34,MATCH(VLOOKUP(T$37,$BJ$3:$BK$50,2,FALSE),$K$4:$AL$4,0),FALSE),BoundParameters_HiddenSheetCLAY!$B$1:$E$1,0),FALSE))),'Control Panel'!T38)))</f>
        <v/>
      </c>
      <c r="U38" s="27" t="str">
        <f>IF($K38="","",IF(U$37="","",IF('Control Panel'!U38="",IF(VLOOKUP($F38,'Table Output'!$A$1:$H$100002,8,FALSE)="Sand",VLOOKUP(U$37,BoundParameters_HiddenSheetSAND!$B$3:$E$50,MATCH(VLOOKUP($K38,$K$5:$AL$34,MATCH(VLOOKUP(U$37,$BJ$3:$BK$50,2,FALSE),$K$4:$AL$4,0),FALSE),BoundParameters_HiddenSheetCLAY!$B$1:$E$1,0),FALSE),IF(VLOOKUP($F38,'Table Output'!$A$1:$H$100002,8,FALSE)="Clay",VLOOKUP(U$37,BoundParameters_HiddenSheetCLAY!$B$3:$E$50,MATCH(VLOOKUP($K38,$K$5:$AL$34,MATCH(VLOOKUP(U$37,$BJ$3:$BK$50,2,FALSE),$K$4:$AL$4,0),FALSE),BoundParameters_HiddenSheetCLAY!$B$1:$E$1,0),FALSE))),'Control Panel'!U38)))</f>
        <v/>
      </c>
      <c r="V38" s="27"/>
      <c r="W38" s="46">
        <v>639966268303430</v>
      </c>
      <c r="X38" s="46">
        <v>100962642597654</v>
      </c>
      <c r="Y38" s="46">
        <v>-476818531357738</v>
      </c>
      <c r="Z38" s="46">
        <v>-129987990211606</v>
      </c>
      <c r="AA38" s="46">
        <v>599383330517103</v>
      </c>
      <c r="AB38" s="2" t="s">
        <v>210</v>
      </c>
      <c r="AC38" s="2" t="s">
        <v>211</v>
      </c>
      <c r="AD38" s="2" t="s">
        <v>212</v>
      </c>
      <c r="BJ38" s="2" t="s">
        <v>163</v>
      </c>
      <c r="BK38" s="2" t="s">
        <v>102</v>
      </c>
    </row>
    <row r="39" spans="2:63" x14ac:dyDescent="0.2">
      <c r="F39" s="2" t="str">
        <f t="shared" ref="F39" si="3">F6</f>
        <v>NGI_U3_2</v>
      </c>
      <c r="K39" s="4">
        <f t="shared" ref="K39:K62" si="4">K6</f>
        <v>2</v>
      </c>
      <c r="L39" s="27">
        <f>IF($K39="","",IF(L$37="","",IF('Control Panel'!L39="",IF(VLOOKUP($F39,'Table Output'!$A$1:$H$100002,8,FALSE)="Sand",VLOOKUP(L$37,BoundParameters_HiddenSheetSAND!$B$3:$E$50,MATCH(VLOOKUP($K39,$K$5:$AL$34,MATCH(VLOOKUP(L$37,$BJ$3:$BK$50,2,FALSE),$K$4:$AL$4,0),FALSE),BoundParameters_HiddenSheetCLAY!$B$1:$E$1,0),FALSE),IF(VLOOKUP($F39,'Table Output'!$A$1:$H$100002,8,FALSE)="Clay",VLOOKUP(L$37,BoundParameters_HiddenSheetCLAY!$B$3:$E$50,MATCH(VLOOKUP($K39,$K$5:$AL$34,MATCH(VLOOKUP(L$37,$BJ$3:$BK$50,2,FALSE),$K$4:$AL$4,0),FALSE),BoundParameters_HiddenSheetCLAY!$B$1:$E$1,0),FALSE))),'Control Panel'!L39)))</f>
        <v>-7.5</v>
      </c>
      <c r="M39" s="27">
        <f>IF($K39="","",IF(M$37="","",IF('Control Panel'!M39="",IF(VLOOKUP($F39,'Table Output'!$A$1:$H$100002,8,FALSE)="Sand",VLOOKUP(M$37,BoundParameters_HiddenSheetSAND!$B$3:$E$50,MATCH(VLOOKUP($K39,$K$5:$AL$34,MATCH(VLOOKUP(M$37,$BJ$3:$BK$50,2,FALSE),$K$4:$AL$4,0),FALSE),BoundParameters_HiddenSheetCLAY!$B$1:$E$1,0),FALSE),IF(VLOOKUP($F39,'Table Output'!$A$1:$H$100002,8,FALSE)="Clay",VLOOKUP(M$37,BoundParameters_HiddenSheetCLAY!$B$3:$E$50,MATCH(VLOOKUP($K39,$K$5:$AL$34,MATCH(VLOOKUP(M$37,$BJ$3:$BK$50,2,FALSE),$K$4:$AL$4,0),FALSE),BoundParameters_HiddenSheetCLAY!$B$1:$E$1,0),FALSE))),'Control Panel'!M39)))</f>
        <v>0</v>
      </c>
      <c r="N39" s="27">
        <f>IF($K39="","",IF(N$37="","",IF('Control Panel'!N39="",IF(VLOOKUP($F39,'Table Output'!$A$1:$H$100002,8,FALSE)="Sand",VLOOKUP(N$37,BoundParameters_HiddenSheetSAND!$B$3:$E$50,MATCH(VLOOKUP($K39,$K$5:$AL$34,MATCH(VLOOKUP(N$37,$BJ$3:$BK$50,2,FALSE),$K$4:$AL$4,0),FALSE),BoundParameters_HiddenSheetCLAY!$B$1:$E$1,0),FALSE),IF(VLOOKUP($F39,'Table Output'!$A$1:$H$100002,8,FALSE)="Clay",VLOOKUP(N$37,BoundParameters_HiddenSheetCLAY!$B$3:$E$50,MATCH(VLOOKUP($K39,$K$5:$AL$34,MATCH(VLOOKUP(N$37,$BJ$3:$BK$50,2,FALSE),$K$4:$AL$4,0),FALSE),BoundParameters_HiddenSheetCLAY!$B$1:$E$1,0),FALSE))),'Control Panel'!N39)))</f>
        <v>-1.5</v>
      </c>
      <c r="O39" s="27">
        <f>IF($K39="","",IF(O$37="","",IF('Control Panel'!O39="",IF(VLOOKUP($F39,'Table Output'!$A$1:$H$100002,8,FALSE)="Sand",VLOOKUP(O$37,BoundParameters_HiddenSheetSAND!$B$3:$E$50,MATCH(VLOOKUP($K39,$K$5:$AL$34,MATCH(VLOOKUP(O$37,$BJ$3:$BK$50,2,FALSE),$K$4:$AL$4,0),FALSE),BoundParameters_HiddenSheetCLAY!$B$1:$E$1,0),FALSE),IF(VLOOKUP($F39,'Table Output'!$A$1:$H$100002,8,FALSE)="Clay",VLOOKUP(O$37,BoundParameters_HiddenSheetCLAY!$B$3:$E$50,MATCH(VLOOKUP($K39,$K$5:$AL$34,MATCH(VLOOKUP(O$37,$BJ$3:$BK$50,2,FALSE),$K$4:$AL$4,0),FALSE),BoundParameters_HiddenSheetCLAY!$B$1:$E$1,0),FALSE))),'Control Panel'!O39)))</f>
        <v>-0.05</v>
      </c>
      <c r="P39" s="27">
        <f>IF($K39="","",IF(P$37="","",IF('Control Panel'!P39="",IF(VLOOKUP($F39,'Table Output'!$A$1:$H$100002,8,FALSE)="Sand",VLOOKUP(P$37,BoundParameters_HiddenSheetSAND!$B$3:$E$50,MATCH(VLOOKUP($K39,$K$5:$AL$34,MATCH(VLOOKUP(P$37,$BJ$3:$BK$50,2,FALSE),$K$4:$AL$4,0),FALSE),BoundParameters_HiddenSheetCLAY!$B$1:$E$1,0),FALSE),IF(VLOOKUP($F39,'Table Output'!$A$1:$H$100002,8,FALSE)="Clay",VLOOKUP(P$37,BoundParameters_HiddenSheetCLAY!$B$3:$E$50,MATCH(VLOOKUP($K39,$K$5:$AL$34,MATCH(VLOOKUP(P$37,$BJ$3:$BK$50,2,FALSE),$K$4:$AL$4,0),FALSE),BoundParameters_HiddenSheetCLAY!$B$1:$E$1,0),FALSE))),'Control Panel'!P39)))</f>
        <v>0.02</v>
      </c>
      <c r="Q39" s="27">
        <f>IF($K39="","",IF(Q$37="","",IF('Control Panel'!Q39="",IF(VLOOKUP($F39,'Table Output'!$A$1:$H$100002,8,FALSE)="Sand",VLOOKUP(Q$37,BoundParameters_HiddenSheetSAND!$B$3:$E$50,MATCH(VLOOKUP($K39,$K$5:$AL$34,MATCH(VLOOKUP(Q$37,$BJ$3:$BK$50,2,FALSE),$K$4:$AL$4,0),FALSE),BoundParameters_HiddenSheetCLAY!$B$1:$E$1,0),FALSE),IF(VLOOKUP($F39,'Table Output'!$A$1:$H$100002,8,FALSE)="Clay",VLOOKUP(Q$37,BoundParameters_HiddenSheetCLAY!$B$3:$E$50,MATCH(VLOOKUP($K39,$K$5:$AL$34,MATCH(VLOOKUP(Q$37,$BJ$3:$BK$50,2,FALSE),$K$4:$AL$4,0),FALSE),BoundParameters_HiddenSheetCLAY!$B$1:$E$1,0),FALSE))),'Control Panel'!Q39)))</f>
        <v>-5555</v>
      </c>
      <c r="R39" s="27">
        <f>IF($K39="","",IF(R$37="","",IF('Control Panel'!R39="",IF(VLOOKUP($F39,'Table Output'!$A$1:$H$100002,8,FALSE)="Sand",VLOOKUP(R$37,BoundParameters_HiddenSheetSAND!$B$3:$E$50,MATCH(VLOOKUP($K39,$K$5:$AL$34,MATCH(VLOOKUP(R$37,$BJ$3:$BK$50,2,FALSE),$K$4:$AL$4,0),FALSE),BoundParameters_HiddenSheetCLAY!$B$1:$E$1,0),FALSE),IF(VLOOKUP($F39,'Table Output'!$A$1:$H$100002,8,FALSE)="Clay",VLOOKUP(R$37,BoundParameters_HiddenSheetCLAY!$B$3:$E$50,MATCH(VLOOKUP($K39,$K$5:$AL$34,MATCH(VLOOKUP(R$37,$BJ$3:$BK$50,2,FALSE),$K$4:$AL$4,0),FALSE),BoundParameters_HiddenSheetCLAY!$B$1:$E$1,0),FALSE))),'Control Panel'!R39)))</f>
        <v>-0.3</v>
      </c>
      <c r="S39" s="27" t="str">
        <f>IF($K39="","",IF(S$37="","",IF('Control Panel'!S39="",IF(VLOOKUP($F39,'Table Output'!$A$1:$H$100002,8,FALSE)="Sand",VLOOKUP(S$37,BoundParameters_HiddenSheetSAND!$B$3:$E$50,MATCH(VLOOKUP($K39,$K$5:$AL$34,MATCH(VLOOKUP(S$37,$BJ$3:$BK$50,2,FALSE),$K$4:$AL$4,0),FALSE),BoundParameters_HiddenSheetCLAY!$B$1:$E$1,0),FALSE),IF(VLOOKUP($F39,'Table Output'!$A$1:$H$100002,8,FALSE)="Clay",VLOOKUP(S$37,BoundParameters_HiddenSheetCLAY!$B$3:$E$50,MATCH(VLOOKUP($K39,$K$5:$AL$34,MATCH(VLOOKUP(S$37,$BJ$3:$BK$50,2,FALSE),$K$4:$AL$4,0),FALSE),BoundParameters_HiddenSheetCLAY!$B$1:$E$1,0),FALSE))),'Control Panel'!S39)))</f>
        <v/>
      </c>
      <c r="T39" s="27" t="str">
        <f>IF($K39="","",IF(T$37="","",IF('Control Panel'!T39="",IF(VLOOKUP($F39,'Table Output'!$A$1:$H$100002,8,FALSE)="Sand",VLOOKUP(T$37,BoundParameters_HiddenSheetSAND!$B$3:$E$50,MATCH(VLOOKUP($K39,$K$5:$AL$34,MATCH(VLOOKUP(T$37,$BJ$3:$BK$50,2,FALSE),$K$4:$AL$4,0),FALSE),BoundParameters_HiddenSheetCLAY!$B$1:$E$1,0),FALSE),IF(VLOOKUP($F39,'Table Output'!$A$1:$H$100002,8,FALSE)="Clay",VLOOKUP(T$37,BoundParameters_HiddenSheetCLAY!$B$3:$E$50,MATCH(VLOOKUP($K39,$K$5:$AL$34,MATCH(VLOOKUP(T$37,$BJ$3:$BK$50,2,FALSE),$K$4:$AL$4,0),FALSE),BoundParameters_HiddenSheetCLAY!$B$1:$E$1,0),FALSE))),'Control Panel'!T39)))</f>
        <v/>
      </c>
      <c r="U39" s="27" t="str">
        <f>IF($K39="","",IF(U$37="","",IF('Control Panel'!U39="",IF(VLOOKUP($F39,'Table Output'!$A$1:$H$100002,8,FALSE)="Sand",VLOOKUP(U$37,BoundParameters_HiddenSheetSAND!$B$3:$E$50,MATCH(VLOOKUP($K39,$K$5:$AL$34,MATCH(VLOOKUP(U$37,$BJ$3:$BK$50,2,FALSE),$K$4:$AL$4,0),FALSE),BoundParameters_HiddenSheetCLAY!$B$1:$E$1,0),FALSE),IF(VLOOKUP($F39,'Table Output'!$A$1:$H$100002,8,FALSE)="Clay",VLOOKUP(U$37,BoundParameters_HiddenSheetCLAY!$B$3:$E$50,MATCH(VLOOKUP($K39,$K$5:$AL$34,MATCH(VLOOKUP(U$37,$BJ$3:$BK$50,2,FALSE),$K$4:$AL$4,0),FALSE),BoundParameters_HiddenSheetCLAY!$B$1:$E$1,0),FALSE))),'Control Panel'!U39)))</f>
        <v/>
      </c>
      <c r="V39" s="38"/>
      <c r="BJ39" s="2" t="s">
        <v>164</v>
      </c>
      <c r="BK39" s="2" t="s">
        <v>103</v>
      </c>
    </row>
    <row r="40" spans="2:63" x14ac:dyDescent="0.2">
      <c r="B40" s="2" t="str">
        <f>'Control Panel'!B40</f>
        <v>ultimate_PU_drained</v>
      </c>
      <c r="C40" s="2">
        <f>'Control Panel'!C40</f>
        <v>1</v>
      </c>
      <c r="F40" s="2" t="str">
        <f t="shared" ref="F40" si="5">F7</f>
        <v>NGI_U3_3</v>
      </c>
      <c r="K40" s="4">
        <f t="shared" si="4"/>
        <v>3</v>
      </c>
      <c r="L40" s="27">
        <f>IF($K40="","",IF(L$37="","",IF('Control Panel'!L40="",IF(VLOOKUP($F40,'Table Output'!$A$1:$H$100002,8,FALSE)="Sand",VLOOKUP(L$37,BoundParameters_HiddenSheetSAND!$B$3:$E$50,MATCH(VLOOKUP($K40,$K$5:$AL$34,MATCH(VLOOKUP(L$37,$BJ$3:$BK$50,2,FALSE),$K$4:$AL$4,0),FALSE),BoundParameters_HiddenSheetCLAY!$B$1:$E$1,0),FALSE),IF(VLOOKUP($F40,'Table Output'!$A$1:$H$100002,8,FALSE)="Clay",VLOOKUP(L$37,BoundParameters_HiddenSheetCLAY!$B$3:$E$50,MATCH(VLOOKUP($K40,$K$5:$AL$34,MATCH(VLOOKUP(L$37,$BJ$3:$BK$50,2,FALSE),$K$4:$AL$4,0),FALSE),BoundParameters_HiddenSheetCLAY!$B$1:$E$1,0),FALSE))),'Control Panel'!L40)))</f>
        <v>-7.5</v>
      </c>
      <c r="M40" s="27">
        <f>IF($K40="","",IF(M$37="","",IF('Control Panel'!M40="",IF(VLOOKUP($F40,'Table Output'!$A$1:$H$100002,8,FALSE)="Sand",VLOOKUP(M$37,BoundParameters_HiddenSheetSAND!$B$3:$E$50,MATCH(VLOOKUP($K40,$K$5:$AL$34,MATCH(VLOOKUP(M$37,$BJ$3:$BK$50,2,FALSE),$K$4:$AL$4,0),FALSE),BoundParameters_HiddenSheetCLAY!$B$1:$E$1,0),FALSE),IF(VLOOKUP($F40,'Table Output'!$A$1:$H$100002,8,FALSE)="Clay",VLOOKUP(M$37,BoundParameters_HiddenSheetCLAY!$B$3:$E$50,MATCH(VLOOKUP($K40,$K$5:$AL$34,MATCH(VLOOKUP(M$37,$BJ$3:$BK$50,2,FALSE),$K$4:$AL$4,0),FALSE),BoundParameters_HiddenSheetCLAY!$B$1:$E$1,0),FALSE))),'Control Panel'!M40)))</f>
        <v>0</v>
      </c>
      <c r="N40" s="27">
        <f>IF($K40="","",IF(N$37="","",IF('Control Panel'!N40="",IF(VLOOKUP($F40,'Table Output'!$A$1:$H$100002,8,FALSE)="Sand",VLOOKUP(N$37,BoundParameters_HiddenSheetSAND!$B$3:$E$50,MATCH(VLOOKUP($K40,$K$5:$AL$34,MATCH(VLOOKUP(N$37,$BJ$3:$BK$50,2,FALSE),$K$4:$AL$4,0),FALSE),BoundParameters_HiddenSheetCLAY!$B$1:$E$1,0),FALSE),IF(VLOOKUP($F40,'Table Output'!$A$1:$H$100002,8,FALSE)="Clay",VLOOKUP(N$37,BoundParameters_HiddenSheetCLAY!$B$3:$E$50,MATCH(VLOOKUP($K40,$K$5:$AL$34,MATCH(VLOOKUP(N$37,$BJ$3:$BK$50,2,FALSE),$K$4:$AL$4,0),FALSE),BoundParameters_HiddenSheetCLAY!$B$1:$E$1,0),FALSE))),'Control Panel'!N40)))</f>
        <v>-1.5</v>
      </c>
      <c r="O40" s="27">
        <f>IF($K40="","",IF(O$37="","",IF('Control Panel'!O40="",IF(VLOOKUP($F40,'Table Output'!$A$1:$H$100002,8,FALSE)="Sand",VLOOKUP(O$37,BoundParameters_HiddenSheetSAND!$B$3:$E$50,MATCH(VLOOKUP($K40,$K$5:$AL$34,MATCH(VLOOKUP(O$37,$BJ$3:$BK$50,2,FALSE),$K$4:$AL$4,0),FALSE),BoundParameters_HiddenSheetCLAY!$B$1:$E$1,0),FALSE),IF(VLOOKUP($F40,'Table Output'!$A$1:$H$100002,8,FALSE)="Clay",VLOOKUP(O$37,BoundParameters_HiddenSheetCLAY!$B$3:$E$50,MATCH(VLOOKUP($K40,$K$5:$AL$34,MATCH(VLOOKUP(O$37,$BJ$3:$BK$50,2,FALSE),$K$4:$AL$4,0),FALSE),BoundParameters_HiddenSheetCLAY!$B$1:$E$1,0),FALSE))),'Control Panel'!O40)))</f>
        <v>-0.05</v>
      </c>
      <c r="P40" s="27">
        <f>IF($K40="","",IF(P$37="","",IF('Control Panel'!P40="",IF(VLOOKUP($F40,'Table Output'!$A$1:$H$100002,8,FALSE)="Sand",VLOOKUP(P$37,BoundParameters_HiddenSheetSAND!$B$3:$E$50,MATCH(VLOOKUP($K40,$K$5:$AL$34,MATCH(VLOOKUP(P$37,$BJ$3:$BK$50,2,FALSE),$K$4:$AL$4,0),FALSE),BoundParameters_HiddenSheetCLAY!$B$1:$E$1,0),FALSE),IF(VLOOKUP($F40,'Table Output'!$A$1:$H$100002,8,FALSE)="Clay",VLOOKUP(P$37,BoundParameters_HiddenSheetCLAY!$B$3:$E$50,MATCH(VLOOKUP($K40,$K$5:$AL$34,MATCH(VLOOKUP(P$37,$BJ$3:$BK$50,2,FALSE),$K$4:$AL$4,0),FALSE),BoundParameters_HiddenSheetCLAY!$B$1:$E$1,0),FALSE))),'Control Panel'!P40)))</f>
        <v>0.02</v>
      </c>
      <c r="Q40" s="27">
        <f>IF($K40="","",IF(Q$37="","",IF('Control Panel'!Q40="",IF(VLOOKUP($F40,'Table Output'!$A$1:$H$100002,8,FALSE)="Sand",VLOOKUP(Q$37,BoundParameters_HiddenSheetSAND!$B$3:$E$50,MATCH(VLOOKUP($K40,$K$5:$AL$34,MATCH(VLOOKUP(Q$37,$BJ$3:$BK$50,2,FALSE),$K$4:$AL$4,0),FALSE),BoundParameters_HiddenSheetCLAY!$B$1:$E$1,0),FALSE),IF(VLOOKUP($F40,'Table Output'!$A$1:$H$100002,8,FALSE)="Clay",VLOOKUP(Q$37,BoundParameters_HiddenSheetCLAY!$B$3:$E$50,MATCH(VLOOKUP($K40,$K$5:$AL$34,MATCH(VLOOKUP(Q$37,$BJ$3:$BK$50,2,FALSE),$K$4:$AL$4,0),FALSE),BoundParameters_HiddenSheetCLAY!$B$1:$E$1,0),FALSE))),'Control Panel'!Q40)))</f>
        <v>-5555</v>
      </c>
      <c r="R40" s="27">
        <f>IF($K40="","",IF(R$37="","",IF('Control Panel'!R40="",IF(VLOOKUP($F40,'Table Output'!$A$1:$H$100002,8,FALSE)="Sand",VLOOKUP(R$37,BoundParameters_HiddenSheetSAND!$B$3:$E$50,MATCH(VLOOKUP($K40,$K$5:$AL$34,MATCH(VLOOKUP(R$37,$BJ$3:$BK$50,2,FALSE),$K$4:$AL$4,0),FALSE),BoundParameters_HiddenSheetCLAY!$B$1:$E$1,0),FALSE),IF(VLOOKUP($F40,'Table Output'!$A$1:$H$100002,8,FALSE)="Clay",VLOOKUP(R$37,BoundParameters_HiddenSheetCLAY!$B$3:$E$50,MATCH(VLOOKUP($K40,$K$5:$AL$34,MATCH(VLOOKUP(R$37,$BJ$3:$BK$50,2,FALSE),$K$4:$AL$4,0),FALSE),BoundParameters_HiddenSheetCLAY!$B$1:$E$1,0),FALSE))),'Control Panel'!R40)))</f>
        <v>-0.3</v>
      </c>
      <c r="S40" s="27" t="str">
        <f>IF($K40="","",IF(S$37="","",IF('Control Panel'!S40="",IF(VLOOKUP($F40,'Table Output'!$A$1:$H$100002,8,FALSE)="Sand",VLOOKUP(S$37,BoundParameters_HiddenSheetSAND!$B$3:$E$50,MATCH(VLOOKUP($K40,$K$5:$AL$34,MATCH(VLOOKUP(S$37,$BJ$3:$BK$50,2,FALSE),$K$4:$AL$4,0),FALSE),BoundParameters_HiddenSheetCLAY!$B$1:$E$1,0),FALSE),IF(VLOOKUP($F40,'Table Output'!$A$1:$H$100002,8,FALSE)="Clay",VLOOKUP(S$37,BoundParameters_HiddenSheetCLAY!$B$3:$E$50,MATCH(VLOOKUP($K40,$K$5:$AL$34,MATCH(VLOOKUP(S$37,$BJ$3:$BK$50,2,FALSE),$K$4:$AL$4,0),FALSE),BoundParameters_HiddenSheetCLAY!$B$1:$E$1,0),FALSE))),'Control Panel'!S40)))</f>
        <v/>
      </c>
      <c r="T40" s="27" t="str">
        <f>IF($K40="","",IF(T$37="","",IF('Control Panel'!T40="",IF(VLOOKUP($F40,'Table Output'!$A$1:$H$100002,8,FALSE)="Sand",VLOOKUP(T$37,BoundParameters_HiddenSheetSAND!$B$3:$E$50,MATCH(VLOOKUP($K40,$K$5:$AL$34,MATCH(VLOOKUP(T$37,$BJ$3:$BK$50,2,FALSE),$K$4:$AL$4,0),FALSE),BoundParameters_HiddenSheetCLAY!$B$1:$E$1,0),FALSE),IF(VLOOKUP($F40,'Table Output'!$A$1:$H$100002,8,FALSE)="Clay",VLOOKUP(T$37,BoundParameters_HiddenSheetCLAY!$B$3:$E$50,MATCH(VLOOKUP($K40,$K$5:$AL$34,MATCH(VLOOKUP(T$37,$BJ$3:$BK$50,2,FALSE),$K$4:$AL$4,0),FALSE),BoundParameters_HiddenSheetCLAY!$B$1:$E$1,0),FALSE))),'Control Panel'!T40)))</f>
        <v/>
      </c>
      <c r="U40" s="27" t="str">
        <f>IF($K40="","",IF(U$37="","",IF('Control Panel'!U40="",IF(VLOOKUP($F40,'Table Output'!$A$1:$H$100002,8,FALSE)="Sand",VLOOKUP(U$37,BoundParameters_HiddenSheetSAND!$B$3:$E$50,MATCH(VLOOKUP($K40,$K$5:$AL$34,MATCH(VLOOKUP(U$37,$BJ$3:$BK$50,2,FALSE),$K$4:$AL$4,0),FALSE),BoundParameters_HiddenSheetCLAY!$B$1:$E$1,0),FALSE),IF(VLOOKUP($F40,'Table Output'!$A$1:$H$100002,8,FALSE)="Clay",VLOOKUP(U$37,BoundParameters_HiddenSheetCLAY!$B$3:$E$50,MATCH(VLOOKUP($K40,$K$5:$AL$34,MATCH(VLOOKUP(U$37,$BJ$3:$BK$50,2,FALSE),$K$4:$AL$4,0),FALSE),BoundParameters_HiddenSheetCLAY!$B$1:$E$1,0),FALSE))),'Control Panel'!U40)))</f>
        <v/>
      </c>
      <c r="V40" s="38"/>
      <c r="BJ40" s="2" t="s">
        <v>165</v>
      </c>
      <c r="BK40" s="2" t="s">
        <v>103</v>
      </c>
    </row>
    <row r="41" spans="2:63" x14ac:dyDescent="0.2">
      <c r="B41" s="2" t="str">
        <f>'Control Panel'!B41</f>
        <v>ultimate_MU_drained</v>
      </c>
      <c r="C41" s="2">
        <f>'Control Panel'!C41</f>
        <v>1</v>
      </c>
      <c r="F41" s="2" t="str">
        <f t="shared" ref="F41" si="6">F8</f>
        <v>NGI_U3_4</v>
      </c>
      <c r="K41" s="4">
        <f t="shared" si="4"/>
        <v>4</v>
      </c>
      <c r="L41" s="27">
        <f>IF($K41="","",IF(L$37="","",IF('Control Panel'!L41="",IF(VLOOKUP($F41,'Table Output'!$A$1:$H$100002,8,FALSE)="Sand",VLOOKUP(L$37,BoundParameters_HiddenSheetSAND!$B$3:$E$50,MATCH(VLOOKUP($K41,$K$5:$AL$34,MATCH(VLOOKUP(L$37,$BJ$3:$BK$50,2,FALSE),$K$4:$AL$4,0),FALSE),BoundParameters_HiddenSheetCLAY!$B$1:$E$1,0),FALSE),IF(VLOOKUP($F41,'Table Output'!$A$1:$H$100002,8,FALSE)="Clay",VLOOKUP(L$37,BoundParameters_HiddenSheetCLAY!$B$3:$E$50,MATCH(VLOOKUP($K41,$K$5:$AL$34,MATCH(VLOOKUP(L$37,$BJ$3:$BK$50,2,FALSE),$K$4:$AL$4,0),FALSE),BoundParameters_HiddenSheetCLAY!$B$1:$E$1,0),FALSE))),'Control Panel'!L41)))</f>
        <v>-7.5</v>
      </c>
      <c r="M41" s="27">
        <f>IF($K41="","",IF(M$37="","",IF('Control Panel'!M41="",IF(VLOOKUP($F41,'Table Output'!$A$1:$H$100002,8,FALSE)="Sand",VLOOKUP(M$37,BoundParameters_HiddenSheetSAND!$B$3:$E$50,MATCH(VLOOKUP($K41,$K$5:$AL$34,MATCH(VLOOKUP(M$37,$BJ$3:$BK$50,2,FALSE),$K$4:$AL$4,0),FALSE),BoundParameters_HiddenSheetCLAY!$B$1:$E$1,0),FALSE),IF(VLOOKUP($F41,'Table Output'!$A$1:$H$100002,8,FALSE)="Clay",VLOOKUP(M$37,BoundParameters_HiddenSheetCLAY!$B$3:$E$50,MATCH(VLOOKUP($K41,$K$5:$AL$34,MATCH(VLOOKUP(M$37,$BJ$3:$BK$50,2,FALSE),$K$4:$AL$4,0),FALSE),BoundParameters_HiddenSheetCLAY!$B$1:$E$1,0),FALSE))),'Control Panel'!M41)))</f>
        <v>0</v>
      </c>
      <c r="N41" s="27">
        <f>IF($K41="","",IF(N$37="","",IF('Control Panel'!N41="",IF(VLOOKUP($F41,'Table Output'!$A$1:$H$100002,8,FALSE)="Sand",VLOOKUP(N$37,BoundParameters_HiddenSheetSAND!$B$3:$E$50,MATCH(VLOOKUP($K41,$K$5:$AL$34,MATCH(VLOOKUP(N$37,$BJ$3:$BK$50,2,FALSE),$K$4:$AL$4,0),FALSE),BoundParameters_HiddenSheetCLAY!$B$1:$E$1,0),FALSE),IF(VLOOKUP($F41,'Table Output'!$A$1:$H$100002,8,FALSE)="Clay",VLOOKUP(N$37,BoundParameters_HiddenSheetCLAY!$B$3:$E$50,MATCH(VLOOKUP($K41,$K$5:$AL$34,MATCH(VLOOKUP(N$37,$BJ$3:$BK$50,2,FALSE),$K$4:$AL$4,0),FALSE),BoundParameters_HiddenSheetCLAY!$B$1:$E$1,0),FALSE))),'Control Panel'!N41)))</f>
        <v>-1.5</v>
      </c>
      <c r="O41" s="27">
        <f>IF($K41="","",IF(O$37="","",IF('Control Panel'!O41="",IF(VLOOKUP($F41,'Table Output'!$A$1:$H$100002,8,FALSE)="Sand",VLOOKUP(O$37,BoundParameters_HiddenSheetSAND!$B$3:$E$50,MATCH(VLOOKUP($K41,$K$5:$AL$34,MATCH(VLOOKUP(O$37,$BJ$3:$BK$50,2,FALSE),$K$4:$AL$4,0),FALSE),BoundParameters_HiddenSheetCLAY!$B$1:$E$1,0),FALSE),IF(VLOOKUP($F41,'Table Output'!$A$1:$H$100002,8,FALSE)="Clay",VLOOKUP(O$37,BoundParameters_HiddenSheetCLAY!$B$3:$E$50,MATCH(VLOOKUP($K41,$K$5:$AL$34,MATCH(VLOOKUP(O$37,$BJ$3:$BK$50,2,FALSE),$K$4:$AL$4,0),FALSE),BoundParameters_HiddenSheetCLAY!$B$1:$E$1,0),FALSE))),'Control Panel'!O41)))</f>
        <v>-0.05</v>
      </c>
      <c r="P41" s="27">
        <f>IF($K41="","",IF(P$37="","",IF('Control Panel'!P41="",IF(VLOOKUP($F41,'Table Output'!$A$1:$H$100002,8,FALSE)="Sand",VLOOKUP(P$37,BoundParameters_HiddenSheetSAND!$B$3:$E$50,MATCH(VLOOKUP($K41,$K$5:$AL$34,MATCH(VLOOKUP(P$37,$BJ$3:$BK$50,2,FALSE),$K$4:$AL$4,0),FALSE),BoundParameters_HiddenSheetCLAY!$B$1:$E$1,0),FALSE),IF(VLOOKUP($F41,'Table Output'!$A$1:$H$100002,8,FALSE)="Clay",VLOOKUP(P$37,BoundParameters_HiddenSheetCLAY!$B$3:$E$50,MATCH(VLOOKUP($K41,$K$5:$AL$34,MATCH(VLOOKUP(P$37,$BJ$3:$BK$50,2,FALSE),$K$4:$AL$4,0),FALSE),BoundParameters_HiddenSheetCLAY!$B$1:$E$1,0),FALSE))),'Control Panel'!P41)))</f>
        <v>0.02</v>
      </c>
      <c r="Q41" s="27">
        <f>IF($K41="","",IF(Q$37="","",IF('Control Panel'!Q41="",IF(VLOOKUP($F41,'Table Output'!$A$1:$H$100002,8,FALSE)="Sand",VLOOKUP(Q$37,BoundParameters_HiddenSheetSAND!$B$3:$E$50,MATCH(VLOOKUP($K41,$K$5:$AL$34,MATCH(VLOOKUP(Q$37,$BJ$3:$BK$50,2,FALSE),$K$4:$AL$4,0),FALSE),BoundParameters_HiddenSheetCLAY!$B$1:$E$1,0),FALSE),IF(VLOOKUP($F41,'Table Output'!$A$1:$H$100002,8,FALSE)="Clay",VLOOKUP(Q$37,BoundParameters_HiddenSheetCLAY!$B$3:$E$50,MATCH(VLOOKUP($K41,$K$5:$AL$34,MATCH(VLOOKUP(Q$37,$BJ$3:$BK$50,2,FALSE),$K$4:$AL$4,0),FALSE),BoundParameters_HiddenSheetCLAY!$B$1:$E$1,0),FALSE))),'Control Panel'!Q41)))</f>
        <v>-5555</v>
      </c>
      <c r="R41" s="27">
        <f>IF($K41="","",IF(R$37="","",IF('Control Panel'!R41="",IF(VLOOKUP($F41,'Table Output'!$A$1:$H$100002,8,FALSE)="Sand",VLOOKUP(R$37,BoundParameters_HiddenSheetSAND!$B$3:$E$50,MATCH(VLOOKUP($K41,$K$5:$AL$34,MATCH(VLOOKUP(R$37,$BJ$3:$BK$50,2,FALSE),$K$4:$AL$4,0),FALSE),BoundParameters_HiddenSheetCLAY!$B$1:$E$1,0),FALSE),IF(VLOOKUP($F41,'Table Output'!$A$1:$H$100002,8,FALSE)="Clay",VLOOKUP(R$37,BoundParameters_HiddenSheetCLAY!$B$3:$E$50,MATCH(VLOOKUP($K41,$K$5:$AL$34,MATCH(VLOOKUP(R$37,$BJ$3:$BK$50,2,FALSE),$K$4:$AL$4,0),FALSE),BoundParameters_HiddenSheetCLAY!$B$1:$E$1,0),FALSE))),'Control Panel'!R41)))</f>
        <v>-0.3</v>
      </c>
      <c r="S41" s="27" t="str">
        <f>IF($K41="","",IF(S$37="","",IF('Control Panel'!S41="",IF(VLOOKUP($F41,'Table Output'!$A$1:$H$100002,8,FALSE)="Sand",VLOOKUP(S$37,BoundParameters_HiddenSheetSAND!$B$3:$E$50,MATCH(VLOOKUP($K41,$K$5:$AL$34,MATCH(VLOOKUP(S$37,$BJ$3:$BK$50,2,FALSE),$K$4:$AL$4,0),FALSE),BoundParameters_HiddenSheetCLAY!$B$1:$E$1,0),FALSE),IF(VLOOKUP($F41,'Table Output'!$A$1:$H$100002,8,FALSE)="Clay",VLOOKUP(S$37,BoundParameters_HiddenSheetCLAY!$B$3:$E$50,MATCH(VLOOKUP($K41,$K$5:$AL$34,MATCH(VLOOKUP(S$37,$BJ$3:$BK$50,2,FALSE),$K$4:$AL$4,0),FALSE),BoundParameters_HiddenSheetCLAY!$B$1:$E$1,0),FALSE))),'Control Panel'!S41)))</f>
        <v/>
      </c>
      <c r="T41" s="27" t="str">
        <f>IF($K41="","",IF(T$37="","",IF('Control Panel'!T41="",IF(VLOOKUP($F41,'Table Output'!$A$1:$H$100002,8,FALSE)="Sand",VLOOKUP(T$37,BoundParameters_HiddenSheetSAND!$B$3:$E$50,MATCH(VLOOKUP($K41,$K$5:$AL$34,MATCH(VLOOKUP(T$37,$BJ$3:$BK$50,2,FALSE),$K$4:$AL$4,0),FALSE),BoundParameters_HiddenSheetCLAY!$B$1:$E$1,0),FALSE),IF(VLOOKUP($F41,'Table Output'!$A$1:$H$100002,8,FALSE)="Clay",VLOOKUP(T$37,BoundParameters_HiddenSheetCLAY!$B$3:$E$50,MATCH(VLOOKUP($K41,$K$5:$AL$34,MATCH(VLOOKUP(T$37,$BJ$3:$BK$50,2,FALSE),$K$4:$AL$4,0),FALSE),BoundParameters_HiddenSheetCLAY!$B$1:$E$1,0),FALSE))),'Control Panel'!T41)))</f>
        <v/>
      </c>
      <c r="U41" s="27" t="str">
        <f>IF($K41="","",IF(U$37="","",IF('Control Panel'!U41="",IF(VLOOKUP($F41,'Table Output'!$A$1:$H$100002,8,FALSE)="Sand",VLOOKUP(U$37,BoundParameters_HiddenSheetSAND!$B$3:$E$50,MATCH(VLOOKUP($K41,$K$5:$AL$34,MATCH(VLOOKUP(U$37,$BJ$3:$BK$50,2,FALSE),$K$4:$AL$4,0),FALSE),BoundParameters_HiddenSheetCLAY!$B$1:$E$1,0),FALSE),IF(VLOOKUP($F41,'Table Output'!$A$1:$H$100002,8,FALSE)="Clay",VLOOKUP(U$37,BoundParameters_HiddenSheetCLAY!$B$3:$E$50,MATCH(VLOOKUP($K41,$K$5:$AL$34,MATCH(VLOOKUP(U$37,$BJ$3:$BK$50,2,FALSE),$K$4:$AL$4,0),FALSE),BoundParameters_HiddenSheetCLAY!$B$1:$E$1,0),FALSE))),'Control Panel'!U41)))</f>
        <v/>
      </c>
      <c r="BJ41" s="2" t="s">
        <v>166</v>
      </c>
      <c r="BK41" s="2" t="s">
        <v>103</v>
      </c>
    </row>
    <row r="42" spans="2:63" x14ac:dyDescent="0.2">
      <c r="B42" s="2" t="str">
        <f>'Control Panel'!B42</f>
        <v>ultimate_PU_undrained</v>
      </c>
      <c r="C42" s="2">
        <f>'Control Panel'!C42</f>
        <v>1</v>
      </c>
      <c r="F42" s="2" t="str">
        <f t="shared" ref="F42" si="7">F9</f>
        <v>NGI_U3_4</v>
      </c>
      <c r="K42" s="4">
        <f t="shared" si="4"/>
        <v>5</v>
      </c>
      <c r="L42" s="27">
        <f>IF($K42="","",IF(L$37="","",IF('Control Panel'!L42="",IF(VLOOKUP($F42,'Table Output'!$A$1:$H$100002,8,FALSE)="Sand",VLOOKUP(L$37,BoundParameters_HiddenSheetSAND!$B$3:$E$50,MATCH(VLOOKUP($K42,$K$5:$AL$34,MATCH(VLOOKUP(L$37,$BJ$3:$BK$50,2,FALSE),$K$4:$AL$4,0),FALSE),BoundParameters_HiddenSheetCLAY!$B$1:$E$1,0),FALSE),IF(VLOOKUP($F42,'Table Output'!$A$1:$H$100002,8,FALSE)="Clay",VLOOKUP(L$37,BoundParameters_HiddenSheetCLAY!$B$3:$E$50,MATCH(VLOOKUP($K42,$K$5:$AL$34,MATCH(VLOOKUP(L$37,$BJ$3:$BK$50,2,FALSE),$K$4:$AL$4,0),FALSE),BoundParameters_HiddenSheetCLAY!$B$1:$E$1,0),FALSE))),'Control Panel'!L42)))</f>
        <v>-7.5</v>
      </c>
      <c r="M42" s="27">
        <f>IF($K42="","",IF(M$37="","",IF('Control Panel'!M42="",IF(VLOOKUP($F42,'Table Output'!$A$1:$H$100002,8,FALSE)="Sand",VLOOKUP(M$37,BoundParameters_HiddenSheetSAND!$B$3:$E$50,MATCH(VLOOKUP($K42,$K$5:$AL$34,MATCH(VLOOKUP(M$37,$BJ$3:$BK$50,2,FALSE),$K$4:$AL$4,0),FALSE),BoundParameters_HiddenSheetCLAY!$B$1:$E$1,0),FALSE),IF(VLOOKUP($F42,'Table Output'!$A$1:$H$100002,8,FALSE)="Clay",VLOOKUP(M$37,BoundParameters_HiddenSheetCLAY!$B$3:$E$50,MATCH(VLOOKUP($K42,$K$5:$AL$34,MATCH(VLOOKUP(M$37,$BJ$3:$BK$50,2,FALSE),$K$4:$AL$4,0),FALSE),BoundParameters_HiddenSheetCLAY!$B$1:$E$1,0),FALSE))),'Control Panel'!M42)))</f>
        <v>0</v>
      </c>
      <c r="N42" s="27">
        <f>IF($K42="","",IF(N$37="","",IF('Control Panel'!N42="",IF(VLOOKUP($F42,'Table Output'!$A$1:$H$100002,8,FALSE)="Sand",VLOOKUP(N$37,BoundParameters_HiddenSheetSAND!$B$3:$E$50,MATCH(VLOOKUP($K42,$K$5:$AL$34,MATCH(VLOOKUP(N$37,$BJ$3:$BK$50,2,FALSE),$K$4:$AL$4,0),FALSE),BoundParameters_HiddenSheetCLAY!$B$1:$E$1,0),FALSE),IF(VLOOKUP($F42,'Table Output'!$A$1:$H$100002,8,FALSE)="Clay",VLOOKUP(N$37,BoundParameters_HiddenSheetCLAY!$B$3:$E$50,MATCH(VLOOKUP($K42,$K$5:$AL$34,MATCH(VLOOKUP(N$37,$BJ$3:$BK$50,2,FALSE),$K$4:$AL$4,0),FALSE),BoundParameters_HiddenSheetCLAY!$B$1:$E$1,0),FALSE))),'Control Panel'!N42)))</f>
        <v>-1.5</v>
      </c>
      <c r="O42" s="27">
        <f>IF($K42="","",IF(O$37="","",IF('Control Panel'!O42="",IF(VLOOKUP($F42,'Table Output'!$A$1:$H$100002,8,FALSE)="Sand",VLOOKUP(O$37,BoundParameters_HiddenSheetSAND!$B$3:$E$50,MATCH(VLOOKUP($K42,$K$5:$AL$34,MATCH(VLOOKUP(O$37,$BJ$3:$BK$50,2,FALSE),$K$4:$AL$4,0),FALSE),BoundParameters_HiddenSheetCLAY!$B$1:$E$1,0),FALSE),IF(VLOOKUP($F42,'Table Output'!$A$1:$H$100002,8,FALSE)="Clay",VLOOKUP(O$37,BoundParameters_HiddenSheetCLAY!$B$3:$E$50,MATCH(VLOOKUP($K42,$K$5:$AL$34,MATCH(VLOOKUP(O$37,$BJ$3:$BK$50,2,FALSE),$K$4:$AL$4,0),FALSE),BoundParameters_HiddenSheetCLAY!$B$1:$E$1,0),FALSE))),'Control Panel'!O42)))</f>
        <v>-0.05</v>
      </c>
      <c r="P42" s="27">
        <f>IF($K42="","",IF(P$37="","",IF('Control Panel'!P42="",IF(VLOOKUP($F42,'Table Output'!$A$1:$H$100002,8,FALSE)="Sand",VLOOKUP(P$37,BoundParameters_HiddenSheetSAND!$B$3:$E$50,MATCH(VLOOKUP($K42,$K$5:$AL$34,MATCH(VLOOKUP(P$37,$BJ$3:$BK$50,2,FALSE),$K$4:$AL$4,0),FALSE),BoundParameters_HiddenSheetCLAY!$B$1:$E$1,0),FALSE),IF(VLOOKUP($F42,'Table Output'!$A$1:$H$100002,8,FALSE)="Clay",VLOOKUP(P$37,BoundParameters_HiddenSheetCLAY!$B$3:$E$50,MATCH(VLOOKUP($K42,$K$5:$AL$34,MATCH(VLOOKUP(P$37,$BJ$3:$BK$50,2,FALSE),$K$4:$AL$4,0),FALSE),BoundParameters_HiddenSheetCLAY!$B$1:$E$1,0),FALSE))),'Control Panel'!P42)))</f>
        <v>0.02</v>
      </c>
      <c r="Q42" s="27">
        <f>IF($K42="","",IF(Q$37="","",IF('Control Panel'!Q42="",IF(VLOOKUP($F42,'Table Output'!$A$1:$H$100002,8,FALSE)="Sand",VLOOKUP(Q$37,BoundParameters_HiddenSheetSAND!$B$3:$E$50,MATCH(VLOOKUP($K42,$K$5:$AL$34,MATCH(VLOOKUP(Q$37,$BJ$3:$BK$50,2,FALSE),$K$4:$AL$4,0),FALSE),BoundParameters_HiddenSheetCLAY!$B$1:$E$1,0),FALSE),IF(VLOOKUP($F42,'Table Output'!$A$1:$H$100002,8,FALSE)="Clay",VLOOKUP(Q$37,BoundParameters_HiddenSheetCLAY!$B$3:$E$50,MATCH(VLOOKUP($K42,$K$5:$AL$34,MATCH(VLOOKUP(Q$37,$BJ$3:$BK$50,2,FALSE),$K$4:$AL$4,0),FALSE),BoundParameters_HiddenSheetCLAY!$B$1:$E$1,0),FALSE))),'Control Panel'!Q42)))</f>
        <v>-5555</v>
      </c>
      <c r="R42" s="27">
        <f>IF($K42="","",IF(R$37="","",IF('Control Panel'!R42="",IF(VLOOKUP($F42,'Table Output'!$A$1:$H$100002,8,FALSE)="Sand",VLOOKUP(R$37,BoundParameters_HiddenSheetSAND!$B$3:$E$50,MATCH(VLOOKUP($K42,$K$5:$AL$34,MATCH(VLOOKUP(R$37,$BJ$3:$BK$50,2,FALSE),$K$4:$AL$4,0),FALSE),BoundParameters_HiddenSheetCLAY!$B$1:$E$1,0),FALSE),IF(VLOOKUP($F42,'Table Output'!$A$1:$H$100002,8,FALSE)="Clay",VLOOKUP(R$37,BoundParameters_HiddenSheetCLAY!$B$3:$E$50,MATCH(VLOOKUP($K42,$K$5:$AL$34,MATCH(VLOOKUP(R$37,$BJ$3:$BK$50,2,FALSE),$K$4:$AL$4,0),FALSE),BoundParameters_HiddenSheetCLAY!$B$1:$E$1,0),FALSE))),'Control Panel'!R42)))</f>
        <v>-0.3</v>
      </c>
      <c r="S42" s="27" t="str">
        <f>IF($K42="","",IF(S$37="","",IF('Control Panel'!S42="",IF(VLOOKUP($F42,'Table Output'!$A$1:$H$100002,8,FALSE)="Sand",VLOOKUP(S$37,BoundParameters_HiddenSheetSAND!$B$3:$E$50,MATCH(VLOOKUP($K42,$K$5:$AL$34,MATCH(VLOOKUP(S$37,$BJ$3:$BK$50,2,FALSE),$K$4:$AL$4,0),FALSE),BoundParameters_HiddenSheetCLAY!$B$1:$E$1,0),FALSE),IF(VLOOKUP($F42,'Table Output'!$A$1:$H$100002,8,FALSE)="Clay",VLOOKUP(S$37,BoundParameters_HiddenSheetCLAY!$B$3:$E$50,MATCH(VLOOKUP($K42,$K$5:$AL$34,MATCH(VLOOKUP(S$37,$BJ$3:$BK$50,2,FALSE),$K$4:$AL$4,0),FALSE),BoundParameters_HiddenSheetCLAY!$B$1:$E$1,0),FALSE))),'Control Panel'!S42)))</f>
        <v/>
      </c>
      <c r="T42" s="27" t="str">
        <f>IF($K42="","",IF(T$37="","",IF('Control Panel'!T42="",IF(VLOOKUP($F42,'Table Output'!$A$1:$H$100002,8,FALSE)="Sand",VLOOKUP(T$37,BoundParameters_HiddenSheetSAND!$B$3:$E$50,MATCH(VLOOKUP($K42,$K$5:$AL$34,MATCH(VLOOKUP(T$37,$BJ$3:$BK$50,2,FALSE),$K$4:$AL$4,0),FALSE),BoundParameters_HiddenSheetCLAY!$B$1:$E$1,0),FALSE),IF(VLOOKUP($F42,'Table Output'!$A$1:$H$100002,8,FALSE)="Clay",VLOOKUP(T$37,BoundParameters_HiddenSheetCLAY!$B$3:$E$50,MATCH(VLOOKUP($K42,$K$5:$AL$34,MATCH(VLOOKUP(T$37,$BJ$3:$BK$50,2,FALSE),$K$4:$AL$4,0),FALSE),BoundParameters_HiddenSheetCLAY!$B$1:$E$1,0),FALSE))),'Control Panel'!T42)))</f>
        <v/>
      </c>
      <c r="U42" s="27" t="str">
        <f>IF($K42="","",IF(U$37="","",IF('Control Panel'!U42="",IF(VLOOKUP($F42,'Table Output'!$A$1:$H$100002,8,FALSE)="Sand",VLOOKUP(U$37,BoundParameters_HiddenSheetSAND!$B$3:$E$50,MATCH(VLOOKUP($K42,$K$5:$AL$34,MATCH(VLOOKUP(U$37,$BJ$3:$BK$50,2,FALSE),$K$4:$AL$4,0),FALSE),BoundParameters_HiddenSheetCLAY!$B$1:$E$1,0),FALSE),IF(VLOOKUP($F42,'Table Output'!$A$1:$H$100002,8,FALSE)="Clay",VLOOKUP(U$37,BoundParameters_HiddenSheetCLAY!$B$3:$E$50,MATCH(VLOOKUP($K42,$K$5:$AL$34,MATCH(VLOOKUP(U$37,$BJ$3:$BK$50,2,FALSE),$K$4:$AL$4,0),FALSE),BoundParameters_HiddenSheetCLAY!$B$1:$E$1,0),FALSE))),'Control Panel'!U42)))</f>
        <v/>
      </c>
      <c r="BJ42" s="2" t="s">
        <v>167</v>
      </c>
      <c r="BK42" s="2" t="s">
        <v>104</v>
      </c>
    </row>
    <row r="43" spans="2:63" x14ac:dyDescent="0.2">
      <c r="B43" s="2" t="str">
        <f>'Control Panel'!B43</f>
        <v>ultimate_MU_undrained</v>
      </c>
      <c r="C43" s="2">
        <f>'Control Panel'!C43</f>
        <v>1</v>
      </c>
      <c r="F43" s="2" t="str">
        <f t="shared" ref="F43" si="8">F10</f>
        <v>NGI_U3_5</v>
      </c>
      <c r="K43" s="4">
        <f t="shared" si="4"/>
        <v>6</v>
      </c>
      <c r="L43" s="27">
        <f>IF($K43="","",IF(L$37="","",IF('Control Panel'!L43="",IF(VLOOKUP($F43,'Table Output'!$A$1:$H$100002,8,FALSE)="Sand",VLOOKUP(L$37,BoundParameters_HiddenSheetSAND!$B$3:$E$50,MATCH(VLOOKUP($K43,$K$5:$AL$34,MATCH(VLOOKUP(L$37,$BJ$3:$BK$50,2,FALSE),$K$4:$AL$4,0),FALSE),BoundParameters_HiddenSheetCLAY!$B$1:$E$1,0),FALSE),IF(VLOOKUP($F43,'Table Output'!$A$1:$H$100002,8,FALSE)="Clay",VLOOKUP(L$37,BoundParameters_HiddenSheetCLAY!$B$3:$E$50,MATCH(VLOOKUP($K43,$K$5:$AL$34,MATCH(VLOOKUP(L$37,$BJ$3:$BK$50,2,FALSE),$K$4:$AL$4,0),FALSE),BoundParameters_HiddenSheetCLAY!$B$1:$E$1,0),FALSE))),'Control Panel'!L43)))</f>
        <v>-7.5</v>
      </c>
      <c r="M43" s="27">
        <f>IF($K43="","",IF(M$37="","",IF('Control Panel'!M43="",IF(VLOOKUP($F43,'Table Output'!$A$1:$H$100002,8,FALSE)="Sand",VLOOKUP(M$37,BoundParameters_HiddenSheetSAND!$B$3:$E$50,MATCH(VLOOKUP($K43,$K$5:$AL$34,MATCH(VLOOKUP(M$37,$BJ$3:$BK$50,2,FALSE),$K$4:$AL$4,0),FALSE),BoundParameters_HiddenSheetCLAY!$B$1:$E$1,0),FALSE),IF(VLOOKUP($F43,'Table Output'!$A$1:$H$100002,8,FALSE)="Clay",VLOOKUP(M$37,BoundParameters_HiddenSheetCLAY!$B$3:$E$50,MATCH(VLOOKUP($K43,$K$5:$AL$34,MATCH(VLOOKUP(M$37,$BJ$3:$BK$50,2,FALSE),$K$4:$AL$4,0),FALSE),BoundParameters_HiddenSheetCLAY!$B$1:$E$1,0),FALSE))),'Control Panel'!M43)))</f>
        <v>0</v>
      </c>
      <c r="N43" s="27">
        <f>IF($K43="","",IF(N$37="","",IF('Control Panel'!N43="",IF(VLOOKUP($F43,'Table Output'!$A$1:$H$100002,8,FALSE)="Sand",VLOOKUP(N$37,BoundParameters_HiddenSheetSAND!$B$3:$E$50,MATCH(VLOOKUP($K43,$K$5:$AL$34,MATCH(VLOOKUP(N$37,$BJ$3:$BK$50,2,FALSE),$K$4:$AL$4,0),FALSE),BoundParameters_HiddenSheetCLAY!$B$1:$E$1,0),FALSE),IF(VLOOKUP($F43,'Table Output'!$A$1:$H$100002,8,FALSE)="Clay",VLOOKUP(N$37,BoundParameters_HiddenSheetCLAY!$B$3:$E$50,MATCH(VLOOKUP($K43,$K$5:$AL$34,MATCH(VLOOKUP(N$37,$BJ$3:$BK$50,2,FALSE),$K$4:$AL$4,0),FALSE),BoundParameters_HiddenSheetCLAY!$B$1:$E$1,0),FALSE))),'Control Panel'!N43)))</f>
        <v>-1.5</v>
      </c>
      <c r="O43" s="27">
        <f>IF($K43="","",IF(O$37="","",IF('Control Panel'!O43="",IF(VLOOKUP($F43,'Table Output'!$A$1:$H$100002,8,FALSE)="Sand",VLOOKUP(O$37,BoundParameters_HiddenSheetSAND!$B$3:$E$50,MATCH(VLOOKUP($K43,$K$5:$AL$34,MATCH(VLOOKUP(O$37,$BJ$3:$BK$50,2,FALSE),$K$4:$AL$4,0),FALSE),BoundParameters_HiddenSheetCLAY!$B$1:$E$1,0),FALSE),IF(VLOOKUP($F43,'Table Output'!$A$1:$H$100002,8,FALSE)="Clay",VLOOKUP(O$37,BoundParameters_HiddenSheetCLAY!$B$3:$E$50,MATCH(VLOOKUP($K43,$K$5:$AL$34,MATCH(VLOOKUP(O$37,$BJ$3:$BK$50,2,FALSE),$K$4:$AL$4,0),FALSE),BoundParameters_HiddenSheetCLAY!$B$1:$E$1,0),FALSE))),'Control Panel'!O43)))</f>
        <v>-0.05</v>
      </c>
      <c r="P43" s="27">
        <f>IF($K43="","",IF(P$37="","",IF('Control Panel'!P43="",IF(VLOOKUP($F43,'Table Output'!$A$1:$H$100002,8,FALSE)="Sand",VLOOKUP(P$37,BoundParameters_HiddenSheetSAND!$B$3:$E$50,MATCH(VLOOKUP($K43,$K$5:$AL$34,MATCH(VLOOKUP(P$37,$BJ$3:$BK$50,2,FALSE),$K$4:$AL$4,0),FALSE),BoundParameters_HiddenSheetCLAY!$B$1:$E$1,0),FALSE),IF(VLOOKUP($F43,'Table Output'!$A$1:$H$100002,8,FALSE)="Clay",VLOOKUP(P$37,BoundParameters_HiddenSheetCLAY!$B$3:$E$50,MATCH(VLOOKUP($K43,$K$5:$AL$34,MATCH(VLOOKUP(P$37,$BJ$3:$BK$50,2,FALSE),$K$4:$AL$4,0),FALSE),BoundParameters_HiddenSheetCLAY!$B$1:$E$1,0),FALSE))),'Control Panel'!P43)))</f>
        <v>0.02</v>
      </c>
      <c r="Q43" s="27">
        <f>IF($K43="","",IF(Q$37="","",IF('Control Panel'!Q43="",IF(VLOOKUP($F43,'Table Output'!$A$1:$H$100002,8,FALSE)="Sand",VLOOKUP(Q$37,BoundParameters_HiddenSheetSAND!$B$3:$E$50,MATCH(VLOOKUP($K43,$K$5:$AL$34,MATCH(VLOOKUP(Q$37,$BJ$3:$BK$50,2,FALSE),$K$4:$AL$4,0),FALSE),BoundParameters_HiddenSheetCLAY!$B$1:$E$1,0),FALSE),IF(VLOOKUP($F43,'Table Output'!$A$1:$H$100002,8,FALSE)="Clay",VLOOKUP(Q$37,BoundParameters_HiddenSheetCLAY!$B$3:$E$50,MATCH(VLOOKUP($K43,$K$5:$AL$34,MATCH(VLOOKUP(Q$37,$BJ$3:$BK$50,2,FALSE),$K$4:$AL$4,0),FALSE),BoundParameters_HiddenSheetCLAY!$B$1:$E$1,0),FALSE))),'Control Panel'!Q43)))</f>
        <v>-5555</v>
      </c>
      <c r="R43" s="27">
        <f>IF($K43="","",IF(R$37="","",IF('Control Panel'!R43="",IF(VLOOKUP($F43,'Table Output'!$A$1:$H$100002,8,FALSE)="Sand",VLOOKUP(R$37,BoundParameters_HiddenSheetSAND!$B$3:$E$50,MATCH(VLOOKUP($K43,$K$5:$AL$34,MATCH(VLOOKUP(R$37,$BJ$3:$BK$50,2,FALSE),$K$4:$AL$4,0),FALSE),BoundParameters_HiddenSheetCLAY!$B$1:$E$1,0),FALSE),IF(VLOOKUP($F43,'Table Output'!$A$1:$H$100002,8,FALSE)="Clay",VLOOKUP(R$37,BoundParameters_HiddenSheetCLAY!$B$3:$E$50,MATCH(VLOOKUP($K43,$K$5:$AL$34,MATCH(VLOOKUP(R$37,$BJ$3:$BK$50,2,FALSE),$K$4:$AL$4,0),FALSE),BoundParameters_HiddenSheetCLAY!$B$1:$E$1,0),FALSE))),'Control Panel'!R43)))</f>
        <v>-0.3</v>
      </c>
      <c r="S43" s="27" t="str">
        <f>IF($K43="","",IF(S$37="","",IF('Control Panel'!S43="",IF(VLOOKUP($F43,'Table Output'!$A$1:$H$100002,8,FALSE)="Sand",VLOOKUP(S$37,BoundParameters_HiddenSheetSAND!$B$3:$E$50,MATCH(VLOOKUP($K43,$K$5:$AL$34,MATCH(VLOOKUP(S$37,$BJ$3:$BK$50,2,FALSE),$K$4:$AL$4,0),FALSE),BoundParameters_HiddenSheetCLAY!$B$1:$E$1,0),FALSE),IF(VLOOKUP($F43,'Table Output'!$A$1:$H$100002,8,FALSE)="Clay",VLOOKUP(S$37,BoundParameters_HiddenSheetCLAY!$B$3:$E$50,MATCH(VLOOKUP($K43,$K$5:$AL$34,MATCH(VLOOKUP(S$37,$BJ$3:$BK$50,2,FALSE),$K$4:$AL$4,0),FALSE),BoundParameters_HiddenSheetCLAY!$B$1:$E$1,0),FALSE))),'Control Panel'!S43)))</f>
        <v/>
      </c>
      <c r="T43" s="27" t="str">
        <f>IF($K43="","",IF(T$37="","",IF('Control Panel'!T43="",IF(VLOOKUP($F43,'Table Output'!$A$1:$H$100002,8,FALSE)="Sand",VLOOKUP(T$37,BoundParameters_HiddenSheetSAND!$B$3:$E$50,MATCH(VLOOKUP($K43,$K$5:$AL$34,MATCH(VLOOKUP(T$37,$BJ$3:$BK$50,2,FALSE),$K$4:$AL$4,0),FALSE),BoundParameters_HiddenSheetCLAY!$B$1:$E$1,0),FALSE),IF(VLOOKUP($F43,'Table Output'!$A$1:$H$100002,8,FALSE)="Clay",VLOOKUP(T$37,BoundParameters_HiddenSheetCLAY!$B$3:$E$50,MATCH(VLOOKUP($K43,$K$5:$AL$34,MATCH(VLOOKUP(T$37,$BJ$3:$BK$50,2,FALSE),$K$4:$AL$4,0),FALSE),BoundParameters_HiddenSheetCLAY!$B$1:$E$1,0),FALSE))),'Control Panel'!T43)))</f>
        <v/>
      </c>
      <c r="U43" s="27" t="str">
        <f>IF($K43="","",IF(U$37="","",IF('Control Panel'!U43="",IF(VLOOKUP($F43,'Table Output'!$A$1:$H$100002,8,FALSE)="Sand",VLOOKUP(U$37,BoundParameters_HiddenSheetSAND!$B$3:$E$50,MATCH(VLOOKUP($K43,$K$5:$AL$34,MATCH(VLOOKUP(U$37,$BJ$3:$BK$50,2,FALSE),$K$4:$AL$4,0),FALSE),BoundParameters_HiddenSheetCLAY!$B$1:$E$1,0),FALSE),IF(VLOOKUP($F43,'Table Output'!$A$1:$H$100002,8,FALSE)="Clay",VLOOKUP(U$37,BoundParameters_HiddenSheetCLAY!$B$3:$E$50,MATCH(VLOOKUP($K43,$K$5:$AL$34,MATCH(VLOOKUP(U$37,$BJ$3:$BK$50,2,FALSE),$K$4:$AL$4,0),FALSE),BoundParameters_HiddenSheetCLAY!$B$1:$E$1,0),FALSE))),'Control Panel'!U43)))</f>
        <v/>
      </c>
      <c r="Z43" s="28"/>
      <c r="BJ43" s="2" t="s">
        <v>168</v>
      </c>
      <c r="BK43" s="2" t="s">
        <v>104</v>
      </c>
    </row>
    <row r="44" spans="2:63" x14ac:dyDescent="0.2">
      <c r="F44" s="2" t="str">
        <f t="shared" ref="F44" si="9">F11</f>
        <v>NGI_U3_5</v>
      </c>
      <c r="K44" s="4">
        <f t="shared" si="4"/>
        <v>7</v>
      </c>
      <c r="L44" s="27">
        <f>IF($K44="","",IF(L$37="","",IF('Control Panel'!L44="",IF(VLOOKUP($F44,'Table Output'!$A$1:$H$100002,8,FALSE)="Sand",VLOOKUP(L$37,BoundParameters_HiddenSheetSAND!$B$3:$E$50,MATCH(VLOOKUP($K44,$K$5:$AL$34,MATCH(VLOOKUP(L$37,$BJ$3:$BK$50,2,FALSE),$K$4:$AL$4,0),FALSE),BoundParameters_HiddenSheetCLAY!$B$1:$E$1,0),FALSE),IF(VLOOKUP($F44,'Table Output'!$A$1:$H$100002,8,FALSE)="Clay",VLOOKUP(L$37,BoundParameters_HiddenSheetCLAY!$B$3:$E$50,MATCH(VLOOKUP($K44,$K$5:$AL$34,MATCH(VLOOKUP(L$37,$BJ$3:$BK$50,2,FALSE),$K$4:$AL$4,0),FALSE),BoundParameters_HiddenSheetCLAY!$B$1:$E$1,0),FALSE))),'Control Panel'!L44)))</f>
        <v>-7.5</v>
      </c>
      <c r="M44" s="27">
        <f>IF($K44="","",IF(M$37="","",IF('Control Panel'!M44="",IF(VLOOKUP($F44,'Table Output'!$A$1:$H$100002,8,FALSE)="Sand",VLOOKUP(M$37,BoundParameters_HiddenSheetSAND!$B$3:$E$50,MATCH(VLOOKUP($K44,$K$5:$AL$34,MATCH(VLOOKUP(M$37,$BJ$3:$BK$50,2,FALSE),$K$4:$AL$4,0),FALSE),BoundParameters_HiddenSheetCLAY!$B$1:$E$1,0),FALSE),IF(VLOOKUP($F44,'Table Output'!$A$1:$H$100002,8,FALSE)="Clay",VLOOKUP(M$37,BoundParameters_HiddenSheetCLAY!$B$3:$E$50,MATCH(VLOOKUP($K44,$K$5:$AL$34,MATCH(VLOOKUP(M$37,$BJ$3:$BK$50,2,FALSE),$K$4:$AL$4,0),FALSE),BoundParameters_HiddenSheetCLAY!$B$1:$E$1,0),FALSE))),'Control Panel'!M44)))</f>
        <v>0</v>
      </c>
      <c r="N44" s="27">
        <f>IF($K44="","",IF(N$37="","",IF('Control Panel'!N44="",IF(VLOOKUP($F44,'Table Output'!$A$1:$H$100002,8,FALSE)="Sand",VLOOKUP(N$37,BoundParameters_HiddenSheetSAND!$B$3:$E$50,MATCH(VLOOKUP($K44,$K$5:$AL$34,MATCH(VLOOKUP(N$37,$BJ$3:$BK$50,2,FALSE),$K$4:$AL$4,0),FALSE),BoundParameters_HiddenSheetCLAY!$B$1:$E$1,0),FALSE),IF(VLOOKUP($F44,'Table Output'!$A$1:$H$100002,8,FALSE)="Clay",VLOOKUP(N$37,BoundParameters_HiddenSheetCLAY!$B$3:$E$50,MATCH(VLOOKUP($K44,$K$5:$AL$34,MATCH(VLOOKUP(N$37,$BJ$3:$BK$50,2,FALSE),$K$4:$AL$4,0),FALSE),BoundParameters_HiddenSheetCLAY!$B$1:$E$1,0),FALSE))),'Control Panel'!N44)))</f>
        <v>-1.5</v>
      </c>
      <c r="O44" s="27">
        <f>IF($K44="","",IF(O$37="","",IF('Control Panel'!O44="",IF(VLOOKUP($F44,'Table Output'!$A$1:$H$100002,8,FALSE)="Sand",VLOOKUP(O$37,BoundParameters_HiddenSheetSAND!$B$3:$E$50,MATCH(VLOOKUP($K44,$K$5:$AL$34,MATCH(VLOOKUP(O$37,$BJ$3:$BK$50,2,FALSE),$K$4:$AL$4,0),FALSE),BoundParameters_HiddenSheetCLAY!$B$1:$E$1,0),FALSE),IF(VLOOKUP($F44,'Table Output'!$A$1:$H$100002,8,FALSE)="Clay",VLOOKUP(O$37,BoundParameters_HiddenSheetCLAY!$B$3:$E$50,MATCH(VLOOKUP($K44,$K$5:$AL$34,MATCH(VLOOKUP(O$37,$BJ$3:$BK$50,2,FALSE),$K$4:$AL$4,0),FALSE),BoundParameters_HiddenSheetCLAY!$B$1:$E$1,0),FALSE))),'Control Panel'!O44)))</f>
        <v>-0.05</v>
      </c>
      <c r="P44" s="27">
        <f>IF($K44="","",IF(P$37="","",IF('Control Panel'!P44="",IF(VLOOKUP($F44,'Table Output'!$A$1:$H$100002,8,FALSE)="Sand",VLOOKUP(P$37,BoundParameters_HiddenSheetSAND!$B$3:$E$50,MATCH(VLOOKUP($K44,$K$5:$AL$34,MATCH(VLOOKUP(P$37,$BJ$3:$BK$50,2,FALSE),$K$4:$AL$4,0),FALSE),BoundParameters_HiddenSheetCLAY!$B$1:$E$1,0),FALSE),IF(VLOOKUP($F44,'Table Output'!$A$1:$H$100002,8,FALSE)="Clay",VLOOKUP(P$37,BoundParameters_HiddenSheetCLAY!$B$3:$E$50,MATCH(VLOOKUP($K44,$K$5:$AL$34,MATCH(VLOOKUP(P$37,$BJ$3:$BK$50,2,FALSE),$K$4:$AL$4,0),FALSE),BoundParameters_HiddenSheetCLAY!$B$1:$E$1,0),FALSE))),'Control Panel'!P44)))</f>
        <v>0.02</v>
      </c>
      <c r="Q44" s="27">
        <f>IF($K44="","",IF(Q$37="","",IF('Control Panel'!Q44="",IF(VLOOKUP($F44,'Table Output'!$A$1:$H$100002,8,FALSE)="Sand",VLOOKUP(Q$37,BoundParameters_HiddenSheetSAND!$B$3:$E$50,MATCH(VLOOKUP($K44,$K$5:$AL$34,MATCH(VLOOKUP(Q$37,$BJ$3:$BK$50,2,FALSE),$K$4:$AL$4,0),FALSE),BoundParameters_HiddenSheetCLAY!$B$1:$E$1,0),FALSE),IF(VLOOKUP($F44,'Table Output'!$A$1:$H$100002,8,FALSE)="Clay",VLOOKUP(Q$37,BoundParameters_HiddenSheetCLAY!$B$3:$E$50,MATCH(VLOOKUP($K44,$K$5:$AL$34,MATCH(VLOOKUP(Q$37,$BJ$3:$BK$50,2,FALSE),$K$4:$AL$4,0),FALSE),BoundParameters_HiddenSheetCLAY!$B$1:$E$1,0),FALSE))),'Control Panel'!Q44)))</f>
        <v>-5555</v>
      </c>
      <c r="R44" s="27">
        <f>IF($K44="","",IF(R$37="","",IF('Control Panel'!R44="",IF(VLOOKUP($F44,'Table Output'!$A$1:$H$100002,8,FALSE)="Sand",VLOOKUP(R$37,BoundParameters_HiddenSheetSAND!$B$3:$E$50,MATCH(VLOOKUP($K44,$K$5:$AL$34,MATCH(VLOOKUP(R$37,$BJ$3:$BK$50,2,FALSE),$K$4:$AL$4,0),FALSE),BoundParameters_HiddenSheetCLAY!$B$1:$E$1,0),FALSE),IF(VLOOKUP($F44,'Table Output'!$A$1:$H$100002,8,FALSE)="Clay",VLOOKUP(R$37,BoundParameters_HiddenSheetCLAY!$B$3:$E$50,MATCH(VLOOKUP($K44,$K$5:$AL$34,MATCH(VLOOKUP(R$37,$BJ$3:$BK$50,2,FALSE),$K$4:$AL$4,0),FALSE),BoundParameters_HiddenSheetCLAY!$B$1:$E$1,0),FALSE))),'Control Panel'!R44)))</f>
        <v>-0.3</v>
      </c>
      <c r="S44" s="27" t="str">
        <f>IF($K44="","",IF(S$37="","",IF('Control Panel'!S44="",IF(VLOOKUP($F44,'Table Output'!$A$1:$H$100002,8,FALSE)="Sand",VLOOKUP(S$37,BoundParameters_HiddenSheetSAND!$B$3:$E$50,MATCH(VLOOKUP($K44,$K$5:$AL$34,MATCH(VLOOKUP(S$37,$BJ$3:$BK$50,2,FALSE),$K$4:$AL$4,0),FALSE),BoundParameters_HiddenSheetCLAY!$B$1:$E$1,0),FALSE),IF(VLOOKUP($F44,'Table Output'!$A$1:$H$100002,8,FALSE)="Clay",VLOOKUP(S$37,BoundParameters_HiddenSheetCLAY!$B$3:$E$50,MATCH(VLOOKUP($K44,$K$5:$AL$34,MATCH(VLOOKUP(S$37,$BJ$3:$BK$50,2,FALSE),$K$4:$AL$4,0),FALSE),BoundParameters_HiddenSheetCLAY!$B$1:$E$1,0),FALSE))),'Control Panel'!S44)))</f>
        <v/>
      </c>
      <c r="T44" s="27" t="str">
        <f>IF($K44="","",IF(T$37="","",IF('Control Panel'!T44="",IF(VLOOKUP($F44,'Table Output'!$A$1:$H$100002,8,FALSE)="Sand",VLOOKUP(T$37,BoundParameters_HiddenSheetSAND!$B$3:$E$50,MATCH(VLOOKUP($K44,$K$5:$AL$34,MATCH(VLOOKUP(T$37,$BJ$3:$BK$50,2,FALSE),$K$4:$AL$4,0),FALSE),BoundParameters_HiddenSheetCLAY!$B$1:$E$1,0),FALSE),IF(VLOOKUP($F44,'Table Output'!$A$1:$H$100002,8,FALSE)="Clay",VLOOKUP(T$37,BoundParameters_HiddenSheetCLAY!$B$3:$E$50,MATCH(VLOOKUP($K44,$K$5:$AL$34,MATCH(VLOOKUP(T$37,$BJ$3:$BK$50,2,FALSE),$K$4:$AL$4,0),FALSE),BoundParameters_HiddenSheetCLAY!$B$1:$E$1,0),FALSE))),'Control Panel'!T44)))</f>
        <v/>
      </c>
      <c r="U44" s="27" t="str">
        <f>IF($K44="","",IF(U$37="","",IF('Control Panel'!U44="",IF(VLOOKUP($F44,'Table Output'!$A$1:$H$100002,8,FALSE)="Sand",VLOOKUP(U$37,BoundParameters_HiddenSheetSAND!$B$3:$E$50,MATCH(VLOOKUP($K44,$K$5:$AL$34,MATCH(VLOOKUP(U$37,$BJ$3:$BK$50,2,FALSE),$K$4:$AL$4,0),FALSE),BoundParameters_HiddenSheetCLAY!$B$1:$E$1,0),FALSE),IF(VLOOKUP($F44,'Table Output'!$A$1:$H$100002,8,FALSE)="Clay",VLOOKUP(U$37,BoundParameters_HiddenSheetCLAY!$B$3:$E$50,MATCH(VLOOKUP($K44,$K$5:$AL$34,MATCH(VLOOKUP(U$37,$BJ$3:$BK$50,2,FALSE),$K$4:$AL$4,0),FALSE),BoundParameters_HiddenSheetCLAY!$B$1:$E$1,0),FALSE))),'Control Panel'!U44)))</f>
        <v/>
      </c>
      <c r="BJ44" s="2" t="s">
        <v>169</v>
      </c>
      <c r="BK44" s="2" t="s">
        <v>104</v>
      </c>
    </row>
    <row r="45" spans="2:63" x14ac:dyDescent="0.2">
      <c r="B45" s="2" t="str">
        <f>'Control Panel'!B45</f>
        <v>Markov settings</v>
      </c>
      <c r="F45" s="2" t="str">
        <f t="shared" ref="F45" si="10">F12</f>
        <v>NGI_U3_6</v>
      </c>
      <c r="K45" s="4">
        <f t="shared" si="4"/>
        <v>8</v>
      </c>
      <c r="L45" s="27">
        <f>IF($K45="","",IF(L$37="","",IF('Control Panel'!L45="",IF(VLOOKUP($F45,'Table Output'!$A$1:$H$100002,8,FALSE)="Sand",VLOOKUP(L$37,BoundParameters_HiddenSheetSAND!$B$3:$E$50,MATCH(VLOOKUP($K45,$K$5:$AL$34,MATCH(VLOOKUP(L$37,$BJ$3:$BK$50,2,FALSE),$K$4:$AL$4,0),FALSE),BoundParameters_HiddenSheetCLAY!$B$1:$E$1,0),FALSE),IF(VLOOKUP($F45,'Table Output'!$A$1:$H$100002,8,FALSE)="Clay",VLOOKUP(L$37,BoundParameters_HiddenSheetCLAY!$B$3:$E$50,MATCH(VLOOKUP($K45,$K$5:$AL$34,MATCH(VLOOKUP(L$37,$BJ$3:$BK$50,2,FALSE),$K$4:$AL$4,0),FALSE),BoundParameters_HiddenSheetCLAY!$B$1:$E$1,0),FALSE))),'Control Panel'!L45)))</f>
        <v>-7.5</v>
      </c>
      <c r="M45" s="27">
        <f>IF($K45="","",IF(M$37="","",IF('Control Panel'!M45="",IF(VLOOKUP($F45,'Table Output'!$A$1:$H$100002,8,FALSE)="Sand",VLOOKUP(M$37,BoundParameters_HiddenSheetSAND!$B$3:$E$50,MATCH(VLOOKUP($K45,$K$5:$AL$34,MATCH(VLOOKUP(M$37,$BJ$3:$BK$50,2,FALSE),$K$4:$AL$4,0),FALSE),BoundParameters_HiddenSheetCLAY!$B$1:$E$1,0),FALSE),IF(VLOOKUP($F45,'Table Output'!$A$1:$H$100002,8,FALSE)="Clay",VLOOKUP(M$37,BoundParameters_HiddenSheetCLAY!$B$3:$E$50,MATCH(VLOOKUP($K45,$K$5:$AL$34,MATCH(VLOOKUP(M$37,$BJ$3:$BK$50,2,FALSE),$K$4:$AL$4,0),FALSE),BoundParameters_HiddenSheetCLAY!$B$1:$E$1,0),FALSE))),'Control Panel'!M45)))</f>
        <v>0</v>
      </c>
      <c r="N45" s="27">
        <f>IF($K45="","",IF(N$37="","",IF('Control Panel'!N45="",IF(VLOOKUP($F45,'Table Output'!$A$1:$H$100002,8,FALSE)="Sand",VLOOKUP(N$37,BoundParameters_HiddenSheetSAND!$B$3:$E$50,MATCH(VLOOKUP($K45,$K$5:$AL$34,MATCH(VLOOKUP(N$37,$BJ$3:$BK$50,2,FALSE),$K$4:$AL$4,0),FALSE),BoundParameters_HiddenSheetCLAY!$B$1:$E$1,0),FALSE),IF(VLOOKUP($F45,'Table Output'!$A$1:$H$100002,8,FALSE)="Clay",VLOOKUP(N$37,BoundParameters_HiddenSheetCLAY!$B$3:$E$50,MATCH(VLOOKUP($K45,$K$5:$AL$34,MATCH(VLOOKUP(N$37,$BJ$3:$BK$50,2,FALSE),$K$4:$AL$4,0),FALSE),BoundParameters_HiddenSheetCLAY!$B$1:$E$1,0),FALSE))),'Control Panel'!N45)))</f>
        <v>-1.5</v>
      </c>
      <c r="O45" s="27">
        <f>IF($K45="","",IF(O$37="","",IF('Control Panel'!O45="",IF(VLOOKUP($F45,'Table Output'!$A$1:$H$100002,8,FALSE)="Sand",VLOOKUP(O$37,BoundParameters_HiddenSheetSAND!$B$3:$E$50,MATCH(VLOOKUP($K45,$K$5:$AL$34,MATCH(VLOOKUP(O$37,$BJ$3:$BK$50,2,FALSE),$K$4:$AL$4,0),FALSE),BoundParameters_HiddenSheetCLAY!$B$1:$E$1,0),FALSE),IF(VLOOKUP($F45,'Table Output'!$A$1:$H$100002,8,FALSE)="Clay",VLOOKUP(O$37,BoundParameters_HiddenSheetCLAY!$B$3:$E$50,MATCH(VLOOKUP($K45,$K$5:$AL$34,MATCH(VLOOKUP(O$37,$BJ$3:$BK$50,2,FALSE),$K$4:$AL$4,0),FALSE),BoundParameters_HiddenSheetCLAY!$B$1:$E$1,0),FALSE))),'Control Panel'!O45)))</f>
        <v>-0.05</v>
      </c>
      <c r="P45" s="27">
        <f>IF($K45="","",IF(P$37="","",IF('Control Panel'!P45="",IF(VLOOKUP($F45,'Table Output'!$A$1:$H$100002,8,FALSE)="Sand",VLOOKUP(P$37,BoundParameters_HiddenSheetSAND!$B$3:$E$50,MATCH(VLOOKUP($K45,$K$5:$AL$34,MATCH(VLOOKUP(P$37,$BJ$3:$BK$50,2,FALSE),$K$4:$AL$4,0),FALSE),BoundParameters_HiddenSheetCLAY!$B$1:$E$1,0),FALSE),IF(VLOOKUP($F45,'Table Output'!$A$1:$H$100002,8,FALSE)="Clay",VLOOKUP(P$37,BoundParameters_HiddenSheetCLAY!$B$3:$E$50,MATCH(VLOOKUP($K45,$K$5:$AL$34,MATCH(VLOOKUP(P$37,$BJ$3:$BK$50,2,FALSE),$K$4:$AL$4,0),FALSE),BoundParameters_HiddenSheetCLAY!$B$1:$E$1,0),FALSE))),'Control Panel'!P45)))</f>
        <v>0.02</v>
      </c>
      <c r="Q45" s="27">
        <f>IF($K45="","",IF(Q$37="","",IF('Control Panel'!Q45="",IF(VLOOKUP($F45,'Table Output'!$A$1:$H$100002,8,FALSE)="Sand",VLOOKUP(Q$37,BoundParameters_HiddenSheetSAND!$B$3:$E$50,MATCH(VLOOKUP($K45,$K$5:$AL$34,MATCH(VLOOKUP(Q$37,$BJ$3:$BK$50,2,FALSE),$K$4:$AL$4,0),FALSE),BoundParameters_HiddenSheetCLAY!$B$1:$E$1,0),FALSE),IF(VLOOKUP($F45,'Table Output'!$A$1:$H$100002,8,FALSE)="Clay",VLOOKUP(Q$37,BoundParameters_HiddenSheetCLAY!$B$3:$E$50,MATCH(VLOOKUP($K45,$K$5:$AL$34,MATCH(VLOOKUP(Q$37,$BJ$3:$BK$50,2,FALSE),$K$4:$AL$4,0),FALSE),BoundParameters_HiddenSheetCLAY!$B$1:$E$1,0),FALSE))),'Control Panel'!Q45)))</f>
        <v>-5555</v>
      </c>
      <c r="R45" s="27">
        <f>IF($K45="","",IF(R$37="","",IF('Control Panel'!R45="",IF(VLOOKUP($F45,'Table Output'!$A$1:$H$100002,8,FALSE)="Sand",VLOOKUP(R$37,BoundParameters_HiddenSheetSAND!$B$3:$E$50,MATCH(VLOOKUP($K45,$K$5:$AL$34,MATCH(VLOOKUP(R$37,$BJ$3:$BK$50,2,FALSE),$K$4:$AL$4,0),FALSE),BoundParameters_HiddenSheetCLAY!$B$1:$E$1,0),FALSE),IF(VLOOKUP($F45,'Table Output'!$A$1:$H$100002,8,FALSE)="Clay",VLOOKUP(R$37,BoundParameters_HiddenSheetCLAY!$B$3:$E$50,MATCH(VLOOKUP($K45,$K$5:$AL$34,MATCH(VLOOKUP(R$37,$BJ$3:$BK$50,2,FALSE),$K$4:$AL$4,0),FALSE),BoundParameters_HiddenSheetCLAY!$B$1:$E$1,0),FALSE))),'Control Panel'!R45)))</f>
        <v>-0.3</v>
      </c>
      <c r="S45" s="27" t="str">
        <f>IF($K45="","",IF(S$37="","",IF('Control Panel'!S45="",IF(VLOOKUP($F45,'Table Output'!$A$1:$H$100002,8,FALSE)="Sand",VLOOKUP(S$37,BoundParameters_HiddenSheetSAND!$B$3:$E$50,MATCH(VLOOKUP($K45,$K$5:$AL$34,MATCH(VLOOKUP(S$37,$BJ$3:$BK$50,2,FALSE),$K$4:$AL$4,0),FALSE),BoundParameters_HiddenSheetCLAY!$B$1:$E$1,0),FALSE),IF(VLOOKUP($F45,'Table Output'!$A$1:$H$100002,8,FALSE)="Clay",VLOOKUP(S$37,BoundParameters_HiddenSheetCLAY!$B$3:$E$50,MATCH(VLOOKUP($K45,$K$5:$AL$34,MATCH(VLOOKUP(S$37,$BJ$3:$BK$50,2,FALSE),$K$4:$AL$4,0),FALSE),BoundParameters_HiddenSheetCLAY!$B$1:$E$1,0),FALSE))),'Control Panel'!S45)))</f>
        <v/>
      </c>
      <c r="T45" s="27" t="str">
        <f>IF($K45="","",IF(T$37="","",IF('Control Panel'!T45="",IF(VLOOKUP($F45,'Table Output'!$A$1:$H$100002,8,FALSE)="Sand",VLOOKUP(T$37,BoundParameters_HiddenSheetSAND!$B$3:$E$50,MATCH(VLOOKUP($K45,$K$5:$AL$34,MATCH(VLOOKUP(T$37,$BJ$3:$BK$50,2,FALSE),$K$4:$AL$4,0),FALSE),BoundParameters_HiddenSheetCLAY!$B$1:$E$1,0),FALSE),IF(VLOOKUP($F45,'Table Output'!$A$1:$H$100002,8,FALSE)="Clay",VLOOKUP(T$37,BoundParameters_HiddenSheetCLAY!$B$3:$E$50,MATCH(VLOOKUP($K45,$K$5:$AL$34,MATCH(VLOOKUP(T$37,$BJ$3:$BK$50,2,FALSE),$K$4:$AL$4,0),FALSE),BoundParameters_HiddenSheetCLAY!$B$1:$E$1,0),FALSE))),'Control Panel'!T45)))</f>
        <v/>
      </c>
      <c r="U45" s="27" t="str">
        <f>IF($K45="","",IF(U$37="","",IF('Control Panel'!U45="",IF(VLOOKUP($F45,'Table Output'!$A$1:$H$100002,8,FALSE)="Sand",VLOOKUP(U$37,BoundParameters_HiddenSheetSAND!$B$3:$E$50,MATCH(VLOOKUP($K45,$K$5:$AL$34,MATCH(VLOOKUP(U$37,$BJ$3:$BK$50,2,FALSE),$K$4:$AL$4,0),FALSE),BoundParameters_HiddenSheetCLAY!$B$1:$E$1,0),FALSE),IF(VLOOKUP($F45,'Table Output'!$A$1:$H$100002,8,FALSE)="Clay",VLOOKUP(U$37,BoundParameters_HiddenSheetCLAY!$B$3:$E$50,MATCH(VLOOKUP($K45,$K$5:$AL$34,MATCH(VLOOKUP(U$37,$BJ$3:$BK$50,2,FALSE),$K$4:$AL$4,0),FALSE),BoundParameters_HiddenSheetCLAY!$B$1:$E$1,0),FALSE))),'Control Panel'!U45)))</f>
        <v/>
      </c>
      <c r="BJ45" s="2" t="s">
        <v>88</v>
      </c>
      <c r="BK45" s="2" t="s">
        <v>105</v>
      </c>
    </row>
    <row r="46" spans="2:63" x14ac:dyDescent="0.2">
      <c r="B46" s="2" t="str">
        <f>'Control Panel'!B46</f>
        <v>Cyclic_concept</v>
      </c>
      <c r="C46" s="2">
        <f>IF('Control Panel'!C46=Switch_options_hidden!C3,1,0)</f>
        <v>1</v>
      </c>
      <c r="F46" s="2" t="str">
        <f t="shared" ref="F46" si="11">F13</f>
        <v>NGI_U3_8</v>
      </c>
      <c r="K46" s="4">
        <f t="shared" si="4"/>
        <v>9</v>
      </c>
      <c r="L46" s="27">
        <f>IF($K46="","",IF(L$37="","",IF('Control Panel'!L46="",IF(VLOOKUP($F46,'Table Output'!$A$1:$H$100002,8,FALSE)="Sand",VLOOKUP(L$37,BoundParameters_HiddenSheetSAND!$B$3:$E$50,MATCH(VLOOKUP($K46,$K$5:$AL$34,MATCH(VLOOKUP(L$37,$BJ$3:$BK$50,2,FALSE),$K$4:$AL$4,0),FALSE),BoundParameters_HiddenSheetCLAY!$B$1:$E$1,0),FALSE),IF(VLOOKUP($F46,'Table Output'!$A$1:$H$100002,8,FALSE)="Clay",VLOOKUP(L$37,BoundParameters_HiddenSheetCLAY!$B$3:$E$50,MATCH(VLOOKUP($K46,$K$5:$AL$34,MATCH(VLOOKUP(L$37,$BJ$3:$BK$50,2,FALSE),$K$4:$AL$4,0),FALSE),BoundParameters_HiddenSheetCLAY!$B$1:$E$1,0),FALSE))),'Control Panel'!L46)))</f>
        <v>-7.5</v>
      </c>
      <c r="M46" s="27">
        <f>IF($K46="","",IF(M$37="","",IF('Control Panel'!M46="",IF(VLOOKUP($F46,'Table Output'!$A$1:$H$100002,8,FALSE)="Sand",VLOOKUP(M$37,BoundParameters_HiddenSheetSAND!$B$3:$E$50,MATCH(VLOOKUP($K46,$K$5:$AL$34,MATCH(VLOOKUP(M$37,$BJ$3:$BK$50,2,FALSE),$K$4:$AL$4,0),FALSE),BoundParameters_HiddenSheetCLAY!$B$1:$E$1,0),FALSE),IF(VLOOKUP($F46,'Table Output'!$A$1:$H$100002,8,FALSE)="Clay",VLOOKUP(M$37,BoundParameters_HiddenSheetCLAY!$B$3:$E$50,MATCH(VLOOKUP($K46,$K$5:$AL$34,MATCH(VLOOKUP(M$37,$BJ$3:$BK$50,2,FALSE),$K$4:$AL$4,0),FALSE),BoundParameters_HiddenSheetCLAY!$B$1:$E$1,0),FALSE))),'Control Panel'!M46)))</f>
        <v>0</v>
      </c>
      <c r="N46" s="27">
        <f>IF($K46="","",IF(N$37="","",IF('Control Panel'!N46="",IF(VLOOKUP($F46,'Table Output'!$A$1:$H$100002,8,FALSE)="Sand",VLOOKUP(N$37,BoundParameters_HiddenSheetSAND!$B$3:$E$50,MATCH(VLOOKUP($K46,$K$5:$AL$34,MATCH(VLOOKUP(N$37,$BJ$3:$BK$50,2,FALSE),$K$4:$AL$4,0),FALSE),BoundParameters_HiddenSheetCLAY!$B$1:$E$1,0),FALSE),IF(VLOOKUP($F46,'Table Output'!$A$1:$H$100002,8,FALSE)="Clay",VLOOKUP(N$37,BoundParameters_HiddenSheetCLAY!$B$3:$E$50,MATCH(VLOOKUP($K46,$K$5:$AL$34,MATCH(VLOOKUP(N$37,$BJ$3:$BK$50,2,FALSE),$K$4:$AL$4,0),FALSE),BoundParameters_HiddenSheetCLAY!$B$1:$E$1,0),FALSE))),'Control Panel'!N46)))</f>
        <v>-1.5</v>
      </c>
      <c r="O46" s="27">
        <f>IF($K46="","",IF(O$37="","",IF('Control Panel'!O46="",IF(VLOOKUP($F46,'Table Output'!$A$1:$H$100002,8,FALSE)="Sand",VLOOKUP(O$37,BoundParameters_HiddenSheetSAND!$B$3:$E$50,MATCH(VLOOKUP($K46,$K$5:$AL$34,MATCH(VLOOKUP(O$37,$BJ$3:$BK$50,2,FALSE),$K$4:$AL$4,0),FALSE),BoundParameters_HiddenSheetCLAY!$B$1:$E$1,0),FALSE),IF(VLOOKUP($F46,'Table Output'!$A$1:$H$100002,8,FALSE)="Clay",VLOOKUP(O$37,BoundParameters_HiddenSheetCLAY!$B$3:$E$50,MATCH(VLOOKUP($K46,$K$5:$AL$34,MATCH(VLOOKUP(O$37,$BJ$3:$BK$50,2,FALSE),$K$4:$AL$4,0),FALSE),BoundParameters_HiddenSheetCLAY!$B$1:$E$1,0),FALSE))),'Control Panel'!O46)))</f>
        <v>-0.05</v>
      </c>
      <c r="P46" s="27">
        <f>IF($K46="","",IF(P$37="","",IF('Control Panel'!P46="",IF(VLOOKUP($F46,'Table Output'!$A$1:$H$100002,8,FALSE)="Sand",VLOOKUP(P$37,BoundParameters_HiddenSheetSAND!$B$3:$E$50,MATCH(VLOOKUP($K46,$K$5:$AL$34,MATCH(VLOOKUP(P$37,$BJ$3:$BK$50,2,FALSE),$K$4:$AL$4,0),FALSE),BoundParameters_HiddenSheetCLAY!$B$1:$E$1,0),FALSE),IF(VLOOKUP($F46,'Table Output'!$A$1:$H$100002,8,FALSE)="Clay",VLOOKUP(P$37,BoundParameters_HiddenSheetCLAY!$B$3:$E$50,MATCH(VLOOKUP($K46,$K$5:$AL$34,MATCH(VLOOKUP(P$37,$BJ$3:$BK$50,2,FALSE),$K$4:$AL$4,0),FALSE),BoundParameters_HiddenSheetCLAY!$B$1:$E$1,0),FALSE))),'Control Panel'!P46)))</f>
        <v>0.02</v>
      </c>
      <c r="Q46" s="27">
        <f>IF($K46="","",IF(Q$37="","",IF('Control Panel'!Q46="",IF(VLOOKUP($F46,'Table Output'!$A$1:$H$100002,8,FALSE)="Sand",VLOOKUP(Q$37,BoundParameters_HiddenSheetSAND!$B$3:$E$50,MATCH(VLOOKUP($K46,$K$5:$AL$34,MATCH(VLOOKUP(Q$37,$BJ$3:$BK$50,2,FALSE),$K$4:$AL$4,0),FALSE),BoundParameters_HiddenSheetCLAY!$B$1:$E$1,0),FALSE),IF(VLOOKUP($F46,'Table Output'!$A$1:$H$100002,8,FALSE)="Clay",VLOOKUP(Q$37,BoundParameters_HiddenSheetCLAY!$B$3:$E$50,MATCH(VLOOKUP($K46,$K$5:$AL$34,MATCH(VLOOKUP(Q$37,$BJ$3:$BK$50,2,FALSE),$K$4:$AL$4,0),FALSE),BoundParameters_HiddenSheetCLAY!$B$1:$E$1,0),FALSE))),'Control Panel'!Q46)))</f>
        <v>-5555</v>
      </c>
      <c r="R46" s="27">
        <f>IF($K46="","",IF(R$37="","",IF('Control Panel'!R46="",IF(VLOOKUP($F46,'Table Output'!$A$1:$H$100002,8,FALSE)="Sand",VLOOKUP(R$37,BoundParameters_HiddenSheetSAND!$B$3:$E$50,MATCH(VLOOKUP($K46,$K$5:$AL$34,MATCH(VLOOKUP(R$37,$BJ$3:$BK$50,2,FALSE),$K$4:$AL$4,0),FALSE),BoundParameters_HiddenSheetCLAY!$B$1:$E$1,0),FALSE),IF(VLOOKUP($F46,'Table Output'!$A$1:$H$100002,8,FALSE)="Clay",VLOOKUP(R$37,BoundParameters_HiddenSheetCLAY!$B$3:$E$50,MATCH(VLOOKUP($K46,$K$5:$AL$34,MATCH(VLOOKUP(R$37,$BJ$3:$BK$50,2,FALSE),$K$4:$AL$4,0),FALSE),BoundParameters_HiddenSheetCLAY!$B$1:$E$1,0),FALSE))),'Control Panel'!R46)))</f>
        <v>-0.3</v>
      </c>
      <c r="S46" s="27" t="str">
        <f>IF($K46="","",IF(S$37="","",IF('Control Panel'!S46="",IF(VLOOKUP($F46,'Table Output'!$A$1:$H$100002,8,FALSE)="Sand",VLOOKUP(S$37,BoundParameters_HiddenSheetSAND!$B$3:$E$50,MATCH(VLOOKUP($K46,$K$5:$AL$34,MATCH(VLOOKUP(S$37,$BJ$3:$BK$50,2,FALSE),$K$4:$AL$4,0),FALSE),BoundParameters_HiddenSheetCLAY!$B$1:$E$1,0),FALSE),IF(VLOOKUP($F46,'Table Output'!$A$1:$H$100002,8,FALSE)="Clay",VLOOKUP(S$37,BoundParameters_HiddenSheetCLAY!$B$3:$E$50,MATCH(VLOOKUP($K46,$K$5:$AL$34,MATCH(VLOOKUP(S$37,$BJ$3:$BK$50,2,FALSE),$K$4:$AL$4,0),FALSE),BoundParameters_HiddenSheetCLAY!$B$1:$E$1,0),FALSE))),'Control Panel'!S46)))</f>
        <v/>
      </c>
      <c r="T46" s="27" t="str">
        <f>IF($K46="","",IF(T$37="","",IF('Control Panel'!T46="",IF(VLOOKUP($F46,'Table Output'!$A$1:$H$100002,8,FALSE)="Sand",VLOOKUP(T$37,BoundParameters_HiddenSheetSAND!$B$3:$E$50,MATCH(VLOOKUP($K46,$K$5:$AL$34,MATCH(VLOOKUP(T$37,$BJ$3:$BK$50,2,FALSE),$K$4:$AL$4,0),FALSE),BoundParameters_HiddenSheetCLAY!$B$1:$E$1,0),FALSE),IF(VLOOKUP($F46,'Table Output'!$A$1:$H$100002,8,FALSE)="Clay",VLOOKUP(T$37,BoundParameters_HiddenSheetCLAY!$B$3:$E$50,MATCH(VLOOKUP($K46,$K$5:$AL$34,MATCH(VLOOKUP(T$37,$BJ$3:$BK$50,2,FALSE),$K$4:$AL$4,0),FALSE),BoundParameters_HiddenSheetCLAY!$B$1:$E$1,0),FALSE))),'Control Panel'!T46)))</f>
        <v/>
      </c>
      <c r="U46" s="27" t="str">
        <f>IF($K46="","",IF(U$37="","",IF('Control Panel'!U46="",IF(VLOOKUP($F46,'Table Output'!$A$1:$H$100002,8,FALSE)="Sand",VLOOKUP(U$37,BoundParameters_HiddenSheetSAND!$B$3:$E$50,MATCH(VLOOKUP($K46,$K$5:$AL$34,MATCH(VLOOKUP(U$37,$BJ$3:$BK$50,2,FALSE),$K$4:$AL$4,0),FALSE),BoundParameters_HiddenSheetCLAY!$B$1:$E$1,0),FALSE),IF(VLOOKUP($F46,'Table Output'!$A$1:$H$100002,8,FALSE)="Clay",VLOOKUP(U$37,BoundParameters_HiddenSheetCLAY!$B$3:$E$50,MATCH(VLOOKUP($K46,$K$5:$AL$34,MATCH(VLOOKUP(U$37,$BJ$3:$BK$50,2,FALSE),$K$4:$AL$4,0),FALSE),BoundParameters_HiddenSheetCLAY!$B$1:$E$1,0),FALSE))),'Control Panel'!U46)))</f>
        <v/>
      </c>
      <c r="BJ46" s="2" t="s">
        <v>170</v>
      </c>
      <c r="BK46" s="2" t="s">
        <v>105</v>
      </c>
    </row>
    <row r="47" spans="2:63" x14ac:dyDescent="0.2">
      <c r="B47" s="2" t="str">
        <f>'Control Panel'!B47</f>
        <v>Markov_matrix_run</v>
      </c>
      <c r="C47" s="2">
        <f>IF('Control Panel'!C47=Switch_options_hidden!C3,1,0)</f>
        <v>1</v>
      </c>
      <c r="F47" s="2" t="str">
        <f t="shared" ref="F47" si="12">F14</f>
        <v>NGI_U3_8</v>
      </c>
      <c r="K47" s="4">
        <f t="shared" si="4"/>
        <v>10</v>
      </c>
      <c r="L47" s="27">
        <f>IF($K47="","",IF(L$37="","",IF('Control Panel'!L47="",IF(VLOOKUP($F47,'Table Output'!$A$1:$H$100002,8,FALSE)="Sand",VLOOKUP(L$37,BoundParameters_HiddenSheetSAND!$B$3:$E$50,MATCH(VLOOKUP($K47,$K$5:$AL$34,MATCH(VLOOKUP(L$37,$BJ$3:$BK$50,2,FALSE),$K$4:$AL$4,0),FALSE),BoundParameters_HiddenSheetCLAY!$B$1:$E$1,0),FALSE),IF(VLOOKUP($F47,'Table Output'!$A$1:$H$100002,8,FALSE)="Clay",VLOOKUP(L$37,BoundParameters_HiddenSheetCLAY!$B$3:$E$50,MATCH(VLOOKUP($K47,$K$5:$AL$34,MATCH(VLOOKUP(L$37,$BJ$3:$BK$50,2,FALSE),$K$4:$AL$4,0),FALSE),BoundParameters_HiddenSheetCLAY!$B$1:$E$1,0),FALSE))),'Control Panel'!L47)))</f>
        <v>-7.5</v>
      </c>
      <c r="M47" s="27">
        <f>IF($K47="","",IF(M$37="","",IF('Control Panel'!M47="",IF(VLOOKUP($F47,'Table Output'!$A$1:$H$100002,8,FALSE)="Sand",VLOOKUP(M$37,BoundParameters_HiddenSheetSAND!$B$3:$E$50,MATCH(VLOOKUP($K47,$K$5:$AL$34,MATCH(VLOOKUP(M$37,$BJ$3:$BK$50,2,FALSE),$K$4:$AL$4,0),FALSE),BoundParameters_HiddenSheetCLAY!$B$1:$E$1,0),FALSE),IF(VLOOKUP($F47,'Table Output'!$A$1:$H$100002,8,FALSE)="Clay",VLOOKUP(M$37,BoundParameters_HiddenSheetCLAY!$B$3:$E$50,MATCH(VLOOKUP($K47,$K$5:$AL$34,MATCH(VLOOKUP(M$37,$BJ$3:$BK$50,2,FALSE),$K$4:$AL$4,0),FALSE),BoundParameters_HiddenSheetCLAY!$B$1:$E$1,0),FALSE))),'Control Panel'!M47)))</f>
        <v>0</v>
      </c>
      <c r="N47" s="27">
        <f>IF($K47="","",IF(N$37="","",IF('Control Panel'!N47="",IF(VLOOKUP($F47,'Table Output'!$A$1:$H$100002,8,FALSE)="Sand",VLOOKUP(N$37,BoundParameters_HiddenSheetSAND!$B$3:$E$50,MATCH(VLOOKUP($K47,$K$5:$AL$34,MATCH(VLOOKUP(N$37,$BJ$3:$BK$50,2,FALSE),$K$4:$AL$4,0),FALSE),BoundParameters_HiddenSheetCLAY!$B$1:$E$1,0),FALSE),IF(VLOOKUP($F47,'Table Output'!$A$1:$H$100002,8,FALSE)="Clay",VLOOKUP(N$37,BoundParameters_HiddenSheetCLAY!$B$3:$E$50,MATCH(VLOOKUP($K47,$K$5:$AL$34,MATCH(VLOOKUP(N$37,$BJ$3:$BK$50,2,FALSE),$K$4:$AL$4,0),FALSE),BoundParameters_HiddenSheetCLAY!$B$1:$E$1,0),FALSE))),'Control Panel'!N47)))</f>
        <v>-1.5</v>
      </c>
      <c r="O47" s="27">
        <f>IF($K47="","",IF(O$37="","",IF('Control Panel'!O47="",IF(VLOOKUP($F47,'Table Output'!$A$1:$H$100002,8,FALSE)="Sand",VLOOKUP(O$37,BoundParameters_HiddenSheetSAND!$B$3:$E$50,MATCH(VLOOKUP($K47,$K$5:$AL$34,MATCH(VLOOKUP(O$37,$BJ$3:$BK$50,2,FALSE),$K$4:$AL$4,0),FALSE),BoundParameters_HiddenSheetCLAY!$B$1:$E$1,0),FALSE),IF(VLOOKUP($F47,'Table Output'!$A$1:$H$100002,8,FALSE)="Clay",VLOOKUP(O$37,BoundParameters_HiddenSheetCLAY!$B$3:$E$50,MATCH(VLOOKUP($K47,$K$5:$AL$34,MATCH(VLOOKUP(O$37,$BJ$3:$BK$50,2,FALSE),$K$4:$AL$4,0),FALSE),BoundParameters_HiddenSheetCLAY!$B$1:$E$1,0),FALSE))),'Control Panel'!O47)))</f>
        <v>-0.05</v>
      </c>
      <c r="P47" s="27">
        <f>IF($K47="","",IF(P$37="","",IF('Control Panel'!P47="",IF(VLOOKUP($F47,'Table Output'!$A$1:$H$100002,8,FALSE)="Sand",VLOOKUP(P$37,BoundParameters_HiddenSheetSAND!$B$3:$E$50,MATCH(VLOOKUP($K47,$K$5:$AL$34,MATCH(VLOOKUP(P$37,$BJ$3:$BK$50,2,FALSE),$K$4:$AL$4,0),FALSE),BoundParameters_HiddenSheetCLAY!$B$1:$E$1,0),FALSE),IF(VLOOKUP($F47,'Table Output'!$A$1:$H$100002,8,FALSE)="Clay",VLOOKUP(P$37,BoundParameters_HiddenSheetCLAY!$B$3:$E$50,MATCH(VLOOKUP($K47,$K$5:$AL$34,MATCH(VLOOKUP(P$37,$BJ$3:$BK$50,2,FALSE),$K$4:$AL$4,0),FALSE),BoundParameters_HiddenSheetCLAY!$B$1:$E$1,0),FALSE))),'Control Panel'!P47)))</f>
        <v>0.02</v>
      </c>
      <c r="Q47" s="27">
        <f>IF($K47="","",IF(Q$37="","",IF('Control Panel'!Q47="",IF(VLOOKUP($F47,'Table Output'!$A$1:$H$100002,8,FALSE)="Sand",VLOOKUP(Q$37,BoundParameters_HiddenSheetSAND!$B$3:$E$50,MATCH(VLOOKUP($K47,$K$5:$AL$34,MATCH(VLOOKUP(Q$37,$BJ$3:$BK$50,2,FALSE),$K$4:$AL$4,0),FALSE),BoundParameters_HiddenSheetCLAY!$B$1:$E$1,0),FALSE),IF(VLOOKUP($F47,'Table Output'!$A$1:$H$100002,8,FALSE)="Clay",VLOOKUP(Q$37,BoundParameters_HiddenSheetCLAY!$B$3:$E$50,MATCH(VLOOKUP($K47,$K$5:$AL$34,MATCH(VLOOKUP(Q$37,$BJ$3:$BK$50,2,FALSE),$K$4:$AL$4,0),FALSE),BoundParameters_HiddenSheetCLAY!$B$1:$E$1,0),FALSE))),'Control Panel'!Q47)))</f>
        <v>-5555</v>
      </c>
      <c r="R47" s="27">
        <f>IF($K47="","",IF(R$37="","",IF('Control Panel'!R47="",IF(VLOOKUP($F47,'Table Output'!$A$1:$H$100002,8,FALSE)="Sand",VLOOKUP(R$37,BoundParameters_HiddenSheetSAND!$B$3:$E$50,MATCH(VLOOKUP($K47,$K$5:$AL$34,MATCH(VLOOKUP(R$37,$BJ$3:$BK$50,2,FALSE),$K$4:$AL$4,0),FALSE),BoundParameters_HiddenSheetCLAY!$B$1:$E$1,0),FALSE),IF(VLOOKUP($F47,'Table Output'!$A$1:$H$100002,8,FALSE)="Clay",VLOOKUP(R$37,BoundParameters_HiddenSheetCLAY!$B$3:$E$50,MATCH(VLOOKUP($K47,$K$5:$AL$34,MATCH(VLOOKUP(R$37,$BJ$3:$BK$50,2,FALSE),$K$4:$AL$4,0),FALSE),BoundParameters_HiddenSheetCLAY!$B$1:$E$1,0),FALSE))),'Control Panel'!R47)))</f>
        <v>-0.3</v>
      </c>
      <c r="S47" s="27" t="str">
        <f>IF($K47="","",IF(S$37="","",IF('Control Panel'!S47="",IF(VLOOKUP($F47,'Table Output'!$A$1:$H$100002,8,FALSE)="Sand",VLOOKUP(S$37,BoundParameters_HiddenSheetSAND!$B$3:$E$50,MATCH(VLOOKUP($K47,$K$5:$AL$34,MATCH(VLOOKUP(S$37,$BJ$3:$BK$50,2,FALSE),$K$4:$AL$4,0),FALSE),BoundParameters_HiddenSheetCLAY!$B$1:$E$1,0),FALSE),IF(VLOOKUP($F47,'Table Output'!$A$1:$H$100002,8,FALSE)="Clay",VLOOKUP(S$37,BoundParameters_HiddenSheetCLAY!$B$3:$E$50,MATCH(VLOOKUP($K47,$K$5:$AL$34,MATCH(VLOOKUP(S$37,$BJ$3:$BK$50,2,FALSE),$K$4:$AL$4,0),FALSE),BoundParameters_HiddenSheetCLAY!$B$1:$E$1,0),FALSE))),'Control Panel'!S47)))</f>
        <v/>
      </c>
      <c r="T47" s="27" t="str">
        <f>IF($K47="","",IF(T$37="","",IF('Control Panel'!T47="",IF(VLOOKUP($F47,'Table Output'!$A$1:$H$100002,8,FALSE)="Sand",VLOOKUP(T$37,BoundParameters_HiddenSheetSAND!$B$3:$E$50,MATCH(VLOOKUP($K47,$K$5:$AL$34,MATCH(VLOOKUP(T$37,$BJ$3:$BK$50,2,FALSE),$K$4:$AL$4,0),FALSE),BoundParameters_HiddenSheetCLAY!$B$1:$E$1,0),FALSE),IF(VLOOKUP($F47,'Table Output'!$A$1:$H$100002,8,FALSE)="Clay",VLOOKUP(T$37,BoundParameters_HiddenSheetCLAY!$B$3:$E$50,MATCH(VLOOKUP($K47,$K$5:$AL$34,MATCH(VLOOKUP(T$37,$BJ$3:$BK$50,2,FALSE),$K$4:$AL$4,0),FALSE),BoundParameters_HiddenSheetCLAY!$B$1:$E$1,0),FALSE))),'Control Panel'!T47)))</f>
        <v/>
      </c>
      <c r="U47" s="27" t="str">
        <f>IF($K47="","",IF(U$37="","",IF('Control Panel'!U47="",IF(VLOOKUP($F47,'Table Output'!$A$1:$H$100002,8,FALSE)="Sand",VLOOKUP(U$37,BoundParameters_HiddenSheetSAND!$B$3:$E$50,MATCH(VLOOKUP($K47,$K$5:$AL$34,MATCH(VLOOKUP(U$37,$BJ$3:$BK$50,2,FALSE),$K$4:$AL$4,0),FALSE),BoundParameters_HiddenSheetCLAY!$B$1:$E$1,0),FALSE),IF(VLOOKUP($F47,'Table Output'!$A$1:$H$100002,8,FALSE)="Clay",VLOOKUP(U$37,BoundParameters_HiddenSheetCLAY!$B$3:$E$50,MATCH(VLOOKUP($K47,$K$5:$AL$34,MATCH(VLOOKUP(U$37,$BJ$3:$BK$50,2,FALSE),$K$4:$AL$4,0),FALSE),BoundParameters_HiddenSheetCLAY!$B$1:$E$1,0),FALSE))),'Control Panel'!U47)))</f>
        <v/>
      </c>
      <c r="Z47" s="26"/>
      <c r="BJ47" s="2" t="s">
        <v>171</v>
      </c>
      <c r="BK47" s="2" t="s">
        <v>105</v>
      </c>
    </row>
    <row r="48" spans="2:63" x14ac:dyDescent="0.2">
      <c r="B48" s="2" t="str">
        <f>'Control Panel'!B48</f>
        <v>Markov_matrix_excel_name</v>
      </c>
      <c r="C48" s="2" t="str">
        <f>'Control Panel'!C48</f>
        <v>Markow_Matrix.xlsx</v>
      </c>
      <c r="F48" s="2" t="str">
        <f t="shared" ref="F48" si="13">F15</f>
        <v>NGI_U3_9</v>
      </c>
      <c r="K48" s="4">
        <f t="shared" si="4"/>
        <v>11</v>
      </c>
      <c r="L48" s="27">
        <f>IF($K48="","",IF(L$37="","",IF('Control Panel'!L48="",IF(VLOOKUP($F48,'Table Output'!$A$1:$H$100002,8,FALSE)="Sand",VLOOKUP(L$37,BoundParameters_HiddenSheetSAND!$B$3:$E$50,MATCH(VLOOKUP($K48,$K$5:$AL$34,MATCH(VLOOKUP(L$37,$BJ$3:$BK$50,2,FALSE),$K$4:$AL$4,0),FALSE),BoundParameters_HiddenSheetCLAY!$B$1:$E$1,0),FALSE),IF(VLOOKUP($F48,'Table Output'!$A$1:$H$100002,8,FALSE)="Clay",VLOOKUP(L$37,BoundParameters_HiddenSheetCLAY!$B$3:$E$50,MATCH(VLOOKUP($K48,$K$5:$AL$34,MATCH(VLOOKUP(L$37,$BJ$3:$BK$50,2,FALSE),$K$4:$AL$4,0),FALSE),BoundParameters_HiddenSheetCLAY!$B$1:$E$1,0),FALSE))),'Control Panel'!L48)))</f>
        <v>1</v>
      </c>
      <c r="M48" s="27">
        <f>IF($K48="","",IF(M$37="","",IF('Control Panel'!M48="",IF(VLOOKUP($F48,'Table Output'!$A$1:$H$100002,8,FALSE)="Sand",VLOOKUP(M$37,BoundParameters_HiddenSheetSAND!$B$3:$E$50,MATCH(VLOOKUP($K48,$K$5:$AL$34,MATCH(VLOOKUP(M$37,$BJ$3:$BK$50,2,FALSE),$K$4:$AL$4,0),FALSE),BoundParameters_HiddenSheetCLAY!$B$1:$E$1,0),FALSE),IF(VLOOKUP($F48,'Table Output'!$A$1:$H$100002,8,FALSE)="Clay",VLOOKUP(M$37,BoundParameters_HiddenSheetCLAY!$B$3:$E$50,MATCH(VLOOKUP($K48,$K$5:$AL$34,MATCH(VLOOKUP(M$37,$BJ$3:$BK$50,2,FALSE),$K$4:$AL$4,0),FALSE),BoundParameters_HiddenSheetCLAY!$B$1:$E$1,0),FALSE))),'Control Panel'!M48)))</f>
        <v>-5555</v>
      </c>
      <c r="N48" s="27">
        <f>IF($K48="","",IF(N$37="","",IF('Control Panel'!N48="",IF(VLOOKUP($F48,'Table Output'!$A$1:$H$100002,8,FALSE)="Sand",VLOOKUP(N$37,BoundParameters_HiddenSheetSAND!$B$3:$E$50,MATCH(VLOOKUP($K48,$K$5:$AL$34,MATCH(VLOOKUP(N$37,$BJ$3:$BK$50,2,FALSE),$K$4:$AL$4,0),FALSE),BoundParameters_HiddenSheetCLAY!$B$1:$E$1,0),FALSE),IF(VLOOKUP($F48,'Table Output'!$A$1:$H$100002,8,FALSE)="Clay",VLOOKUP(N$37,BoundParameters_HiddenSheetCLAY!$B$3:$E$50,MATCH(VLOOKUP($K48,$K$5:$AL$34,MATCH(VLOOKUP(N$37,$BJ$3:$BK$50,2,FALSE),$K$4:$AL$4,0),FALSE),BoundParameters_HiddenSheetCLAY!$B$1:$E$1,0),FALSE))),'Control Panel'!N48)))</f>
        <v>-1.5</v>
      </c>
      <c r="O48" s="27">
        <f>IF($K48="","",IF(O$37="","",IF('Control Panel'!O48="",IF(VLOOKUP($F48,'Table Output'!$A$1:$H$100002,8,FALSE)="Sand",VLOOKUP(O$37,BoundParameters_HiddenSheetSAND!$B$3:$E$50,MATCH(VLOOKUP($K48,$K$5:$AL$34,MATCH(VLOOKUP(O$37,$BJ$3:$BK$50,2,FALSE),$K$4:$AL$4,0),FALSE),BoundParameters_HiddenSheetCLAY!$B$1:$E$1,0),FALSE),IF(VLOOKUP($F48,'Table Output'!$A$1:$H$100002,8,FALSE)="Clay",VLOOKUP(O$37,BoundParameters_HiddenSheetCLAY!$B$3:$E$50,MATCH(VLOOKUP($K48,$K$5:$AL$34,MATCH(VLOOKUP(O$37,$BJ$3:$BK$50,2,FALSE),$K$4:$AL$4,0),FALSE),BoundParameters_HiddenSheetCLAY!$B$1:$E$1,0),FALSE))),'Control Panel'!O48)))</f>
        <v>-0.05</v>
      </c>
      <c r="P48" s="27">
        <f>IF($K48="","",IF(P$37="","",IF('Control Panel'!P48="",IF(VLOOKUP($F48,'Table Output'!$A$1:$H$100002,8,FALSE)="Sand",VLOOKUP(P$37,BoundParameters_HiddenSheetSAND!$B$3:$E$50,MATCH(VLOOKUP($K48,$K$5:$AL$34,MATCH(VLOOKUP(P$37,$BJ$3:$BK$50,2,FALSE),$K$4:$AL$4,0),FALSE),BoundParameters_HiddenSheetCLAY!$B$1:$E$1,0),FALSE),IF(VLOOKUP($F48,'Table Output'!$A$1:$H$100002,8,FALSE)="Clay",VLOOKUP(P$37,BoundParameters_HiddenSheetCLAY!$B$3:$E$50,MATCH(VLOOKUP($K48,$K$5:$AL$34,MATCH(VLOOKUP(P$37,$BJ$3:$BK$50,2,FALSE),$K$4:$AL$4,0),FALSE),BoundParameters_HiddenSheetCLAY!$B$1:$E$1,0),FALSE))),'Control Panel'!P48)))</f>
        <v>0.02</v>
      </c>
      <c r="Q48" s="27">
        <f>IF($K48="","",IF(Q$37="","",IF('Control Panel'!Q48="",IF(VLOOKUP($F48,'Table Output'!$A$1:$H$100002,8,FALSE)="Sand",VLOOKUP(Q$37,BoundParameters_HiddenSheetSAND!$B$3:$E$50,MATCH(VLOOKUP($K48,$K$5:$AL$34,MATCH(VLOOKUP(Q$37,$BJ$3:$BK$50,2,FALSE),$K$4:$AL$4,0),FALSE),BoundParameters_HiddenSheetCLAY!$B$1:$E$1,0),FALSE),IF(VLOOKUP($F48,'Table Output'!$A$1:$H$100002,8,FALSE)="Clay",VLOOKUP(Q$37,BoundParameters_HiddenSheetCLAY!$B$3:$E$50,MATCH(VLOOKUP($K48,$K$5:$AL$34,MATCH(VLOOKUP(Q$37,$BJ$3:$BK$50,2,FALSE),$K$4:$AL$4,0),FALSE),BoundParameters_HiddenSheetCLAY!$B$1:$E$1,0),FALSE))),'Control Panel'!Q48)))</f>
        <v>-5555</v>
      </c>
      <c r="R48" s="27">
        <f>IF($K48="","",IF(R$37="","",IF('Control Panel'!R48="",IF(VLOOKUP($F48,'Table Output'!$A$1:$H$100002,8,FALSE)="Sand",VLOOKUP(R$37,BoundParameters_HiddenSheetSAND!$B$3:$E$50,MATCH(VLOOKUP($K48,$K$5:$AL$34,MATCH(VLOOKUP(R$37,$BJ$3:$BK$50,2,FALSE),$K$4:$AL$4,0),FALSE),BoundParameters_HiddenSheetCLAY!$B$1:$E$1,0),FALSE),IF(VLOOKUP($F48,'Table Output'!$A$1:$H$100002,8,FALSE)="Clay",VLOOKUP(R$37,BoundParameters_HiddenSheetCLAY!$B$3:$E$50,MATCH(VLOOKUP($K48,$K$5:$AL$34,MATCH(VLOOKUP(R$37,$BJ$3:$BK$50,2,FALSE),$K$4:$AL$4,0),FALSE),BoundParameters_HiddenSheetCLAY!$B$1:$E$1,0),FALSE))),'Control Panel'!R48)))</f>
        <v>-0.3</v>
      </c>
      <c r="S48" s="27" t="str">
        <f>IF($K48="","",IF(S$37="","",IF('Control Panel'!S48="",IF(VLOOKUP($F48,'Table Output'!$A$1:$H$100002,8,FALSE)="Sand",VLOOKUP(S$37,BoundParameters_HiddenSheetSAND!$B$3:$E$50,MATCH(VLOOKUP($K48,$K$5:$AL$34,MATCH(VLOOKUP(S$37,$BJ$3:$BK$50,2,FALSE),$K$4:$AL$4,0),FALSE),BoundParameters_HiddenSheetCLAY!$B$1:$E$1,0),FALSE),IF(VLOOKUP($F48,'Table Output'!$A$1:$H$100002,8,FALSE)="Clay",VLOOKUP(S$37,BoundParameters_HiddenSheetCLAY!$B$3:$E$50,MATCH(VLOOKUP($K48,$K$5:$AL$34,MATCH(VLOOKUP(S$37,$BJ$3:$BK$50,2,FALSE),$K$4:$AL$4,0),FALSE),BoundParameters_HiddenSheetCLAY!$B$1:$E$1,0),FALSE))),'Control Panel'!S48)))</f>
        <v/>
      </c>
      <c r="T48" s="27" t="str">
        <f>IF($K48="","",IF(T$37="","",IF('Control Panel'!T48="",IF(VLOOKUP($F48,'Table Output'!$A$1:$H$100002,8,FALSE)="Sand",VLOOKUP(T$37,BoundParameters_HiddenSheetSAND!$B$3:$E$50,MATCH(VLOOKUP($K48,$K$5:$AL$34,MATCH(VLOOKUP(T$37,$BJ$3:$BK$50,2,FALSE),$K$4:$AL$4,0),FALSE),BoundParameters_HiddenSheetCLAY!$B$1:$E$1,0),FALSE),IF(VLOOKUP($F48,'Table Output'!$A$1:$H$100002,8,FALSE)="Clay",VLOOKUP(T$37,BoundParameters_HiddenSheetCLAY!$B$3:$E$50,MATCH(VLOOKUP($K48,$K$5:$AL$34,MATCH(VLOOKUP(T$37,$BJ$3:$BK$50,2,FALSE),$K$4:$AL$4,0),FALSE),BoundParameters_HiddenSheetCLAY!$B$1:$E$1,0),FALSE))),'Control Panel'!T48)))</f>
        <v/>
      </c>
      <c r="U48" s="27" t="str">
        <f>IF($K48="","",IF(U$37="","",IF('Control Panel'!U48="",IF(VLOOKUP($F48,'Table Output'!$A$1:$H$100002,8,FALSE)="Sand",VLOOKUP(U$37,BoundParameters_HiddenSheetSAND!$B$3:$E$50,MATCH(VLOOKUP($K48,$K$5:$AL$34,MATCH(VLOOKUP(U$37,$BJ$3:$BK$50,2,FALSE),$K$4:$AL$4,0),FALSE),BoundParameters_HiddenSheetCLAY!$B$1:$E$1,0),FALSE),IF(VLOOKUP($F48,'Table Output'!$A$1:$H$100002,8,FALSE)="Clay",VLOOKUP(U$37,BoundParameters_HiddenSheetCLAY!$B$3:$E$50,MATCH(VLOOKUP($K48,$K$5:$AL$34,MATCH(VLOOKUP(U$37,$BJ$3:$BK$50,2,FALSE),$K$4:$AL$4,0),FALSE),BoundParameters_HiddenSheetCLAY!$B$1:$E$1,0),FALSE))),'Control Panel'!U48)))</f>
        <v/>
      </c>
      <c r="Z48" s="26"/>
      <c r="BJ48" s="2" t="s">
        <v>172</v>
      </c>
      <c r="BK48" s="2" t="s">
        <v>106</v>
      </c>
    </row>
    <row r="49" spans="2:63" x14ac:dyDescent="0.2">
      <c r="B49" s="2" t="str">
        <f>'Control Panel'!B49</f>
        <v>Markov_matrix_sheet_name</v>
      </c>
      <c r="C49" s="2" t="str">
        <f>'Control Panel'!C49</f>
        <v>Sheet1</v>
      </c>
      <c r="F49" s="2" t="str">
        <f t="shared" ref="F49" si="14">F16</f>
        <v>NGI_U3_10</v>
      </c>
      <c r="K49" s="4">
        <f t="shared" si="4"/>
        <v>12</v>
      </c>
      <c r="L49" s="27">
        <f>IF($K49="","",IF(L$37="","",IF('Control Panel'!L49="",IF(VLOOKUP($F49,'Table Output'!$A$1:$H$100002,8,FALSE)="Sand",VLOOKUP(L$37,BoundParameters_HiddenSheetSAND!$B$3:$E$50,MATCH(VLOOKUP($K49,$K$5:$AL$34,MATCH(VLOOKUP(L$37,$BJ$3:$BK$50,2,FALSE),$K$4:$AL$4,0),FALSE),BoundParameters_HiddenSheetCLAY!$B$1:$E$1,0),FALSE),IF(VLOOKUP($F49,'Table Output'!$A$1:$H$100002,8,FALSE)="Clay",VLOOKUP(L$37,BoundParameters_HiddenSheetCLAY!$B$3:$E$50,MATCH(VLOOKUP($K49,$K$5:$AL$34,MATCH(VLOOKUP(L$37,$BJ$3:$BK$50,2,FALSE),$K$4:$AL$4,0),FALSE),BoundParameters_HiddenSheetCLAY!$B$1:$E$1,0),FALSE))),'Control Panel'!L49)))</f>
        <v>1</v>
      </c>
      <c r="M49" s="27">
        <f>IF($K49="","",IF(M$37="","",IF('Control Panel'!M49="",IF(VLOOKUP($F49,'Table Output'!$A$1:$H$100002,8,FALSE)="Sand",VLOOKUP(M$37,BoundParameters_HiddenSheetSAND!$B$3:$E$50,MATCH(VLOOKUP($K49,$K$5:$AL$34,MATCH(VLOOKUP(M$37,$BJ$3:$BK$50,2,FALSE),$K$4:$AL$4,0),FALSE),BoundParameters_HiddenSheetCLAY!$B$1:$E$1,0),FALSE),IF(VLOOKUP($F49,'Table Output'!$A$1:$H$100002,8,FALSE)="Clay",VLOOKUP(M$37,BoundParameters_HiddenSheetCLAY!$B$3:$E$50,MATCH(VLOOKUP($K49,$K$5:$AL$34,MATCH(VLOOKUP(M$37,$BJ$3:$BK$50,2,FALSE),$K$4:$AL$4,0),FALSE),BoundParameters_HiddenSheetCLAY!$B$1:$E$1,0),FALSE))),'Control Panel'!M49)))</f>
        <v>-5555</v>
      </c>
      <c r="N49" s="27">
        <f>IF($K49="","",IF(N$37="","",IF('Control Panel'!N49="",IF(VLOOKUP($F49,'Table Output'!$A$1:$H$100002,8,FALSE)="Sand",VLOOKUP(N$37,BoundParameters_HiddenSheetSAND!$B$3:$E$50,MATCH(VLOOKUP($K49,$K$5:$AL$34,MATCH(VLOOKUP(N$37,$BJ$3:$BK$50,2,FALSE),$K$4:$AL$4,0),FALSE),BoundParameters_HiddenSheetCLAY!$B$1:$E$1,0),FALSE),IF(VLOOKUP($F49,'Table Output'!$A$1:$H$100002,8,FALSE)="Clay",VLOOKUP(N$37,BoundParameters_HiddenSheetCLAY!$B$3:$E$50,MATCH(VLOOKUP($K49,$K$5:$AL$34,MATCH(VLOOKUP(N$37,$BJ$3:$BK$50,2,FALSE),$K$4:$AL$4,0),FALSE),BoundParameters_HiddenSheetCLAY!$B$1:$E$1,0),FALSE))),'Control Panel'!N49)))</f>
        <v>-1.5</v>
      </c>
      <c r="O49" s="27">
        <f>IF($K49="","",IF(O$37="","",IF('Control Panel'!O49="",IF(VLOOKUP($F49,'Table Output'!$A$1:$H$100002,8,FALSE)="Sand",VLOOKUP(O$37,BoundParameters_HiddenSheetSAND!$B$3:$E$50,MATCH(VLOOKUP($K49,$K$5:$AL$34,MATCH(VLOOKUP(O$37,$BJ$3:$BK$50,2,FALSE),$K$4:$AL$4,0),FALSE),BoundParameters_HiddenSheetCLAY!$B$1:$E$1,0),FALSE),IF(VLOOKUP($F49,'Table Output'!$A$1:$H$100002,8,FALSE)="Clay",VLOOKUP(O$37,BoundParameters_HiddenSheetCLAY!$B$3:$E$50,MATCH(VLOOKUP($K49,$K$5:$AL$34,MATCH(VLOOKUP(O$37,$BJ$3:$BK$50,2,FALSE),$K$4:$AL$4,0),FALSE),BoundParameters_HiddenSheetCLAY!$B$1:$E$1,0),FALSE))),'Control Panel'!O49)))</f>
        <v>-0.05</v>
      </c>
      <c r="P49" s="27">
        <f>IF($K49="","",IF(P$37="","",IF('Control Panel'!P49="",IF(VLOOKUP($F49,'Table Output'!$A$1:$H$100002,8,FALSE)="Sand",VLOOKUP(P$37,BoundParameters_HiddenSheetSAND!$B$3:$E$50,MATCH(VLOOKUP($K49,$K$5:$AL$34,MATCH(VLOOKUP(P$37,$BJ$3:$BK$50,2,FALSE),$K$4:$AL$4,0),FALSE),BoundParameters_HiddenSheetCLAY!$B$1:$E$1,0),FALSE),IF(VLOOKUP($F49,'Table Output'!$A$1:$H$100002,8,FALSE)="Clay",VLOOKUP(P$37,BoundParameters_HiddenSheetCLAY!$B$3:$E$50,MATCH(VLOOKUP($K49,$K$5:$AL$34,MATCH(VLOOKUP(P$37,$BJ$3:$BK$50,2,FALSE),$K$4:$AL$4,0),FALSE),BoundParameters_HiddenSheetCLAY!$B$1:$E$1,0),FALSE))),'Control Panel'!P49)))</f>
        <v>0.02</v>
      </c>
      <c r="Q49" s="27">
        <f>IF($K49="","",IF(Q$37="","",IF('Control Panel'!Q49="",IF(VLOOKUP($F49,'Table Output'!$A$1:$H$100002,8,FALSE)="Sand",VLOOKUP(Q$37,BoundParameters_HiddenSheetSAND!$B$3:$E$50,MATCH(VLOOKUP($K49,$K$5:$AL$34,MATCH(VLOOKUP(Q$37,$BJ$3:$BK$50,2,FALSE),$K$4:$AL$4,0),FALSE),BoundParameters_HiddenSheetCLAY!$B$1:$E$1,0),FALSE),IF(VLOOKUP($F49,'Table Output'!$A$1:$H$100002,8,FALSE)="Clay",VLOOKUP(Q$37,BoundParameters_HiddenSheetCLAY!$B$3:$E$50,MATCH(VLOOKUP($K49,$K$5:$AL$34,MATCH(VLOOKUP(Q$37,$BJ$3:$BK$50,2,FALSE),$K$4:$AL$4,0),FALSE),BoundParameters_HiddenSheetCLAY!$B$1:$E$1,0),FALSE))),'Control Panel'!Q49)))</f>
        <v>-5555</v>
      </c>
      <c r="R49" s="27">
        <f>IF($K49="","",IF(R$37="","",IF('Control Panel'!R49="",IF(VLOOKUP($F49,'Table Output'!$A$1:$H$100002,8,FALSE)="Sand",VLOOKUP(R$37,BoundParameters_HiddenSheetSAND!$B$3:$E$50,MATCH(VLOOKUP($K49,$K$5:$AL$34,MATCH(VLOOKUP(R$37,$BJ$3:$BK$50,2,FALSE),$K$4:$AL$4,0),FALSE),BoundParameters_HiddenSheetCLAY!$B$1:$E$1,0),FALSE),IF(VLOOKUP($F49,'Table Output'!$A$1:$H$100002,8,FALSE)="Clay",VLOOKUP(R$37,BoundParameters_HiddenSheetCLAY!$B$3:$E$50,MATCH(VLOOKUP($K49,$K$5:$AL$34,MATCH(VLOOKUP(R$37,$BJ$3:$BK$50,2,FALSE),$K$4:$AL$4,0),FALSE),BoundParameters_HiddenSheetCLAY!$B$1:$E$1,0),FALSE))),'Control Panel'!R49)))</f>
        <v>-0.3</v>
      </c>
      <c r="S49" s="27" t="str">
        <f>IF($K49="","",IF(S$37="","",IF('Control Panel'!S49="",IF(VLOOKUP($F49,'Table Output'!$A$1:$H$100002,8,FALSE)="Sand",VLOOKUP(S$37,BoundParameters_HiddenSheetSAND!$B$3:$E$50,MATCH(VLOOKUP($K49,$K$5:$AL$34,MATCH(VLOOKUP(S$37,$BJ$3:$BK$50,2,FALSE),$K$4:$AL$4,0),FALSE),BoundParameters_HiddenSheetCLAY!$B$1:$E$1,0),FALSE),IF(VLOOKUP($F49,'Table Output'!$A$1:$H$100002,8,FALSE)="Clay",VLOOKUP(S$37,BoundParameters_HiddenSheetCLAY!$B$3:$E$50,MATCH(VLOOKUP($K49,$K$5:$AL$34,MATCH(VLOOKUP(S$37,$BJ$3:$BK$50,2,FALSE),$K$4:$AL$4,0),FALSE),BoundParameters_HiddenSheetCLAY!$B$1:$E$1,0),FALSE))),'Control Panel'!S49)))</f>
        <v/>
      </c>
      <c r="T49" s="27" t="str">
        <f>IF($K49="","",IF(T$37="","",IF('Control Panel'!T49="",IF(VLOOKUP($F49,'Table Output'!$A$1:$H$100002,8,FALSE)="Sand",VLOOKUP(T$37,BoundParameters_HiddenSheetSAND!$B$3:$E$50,MATCH(VLOOKUP($K49,$K$5:$AL$34,MATCH(VLOOKUP(T$37,$BJ$3:$BK$50,2,FALSE),$K$4:$AL$4,0),FALSE),BoundParameters_HiddenSheetCLAY!$B$1:$E$1,0),FALSE),IF(VLOOKUP($F49,'Table Output'!$A$1:$H$100002,8,FALSE)="Clay",VLOOKUP(T$37,BoundParameters_HiddenSheetCLAY!$B$3:$E$50,MATCH(VLOOKUP($K49,$K$5:$AL$34,MATCH(VLOOKUP(T$37,$BJ$3:$BK$50,2,FALSE),$K$4:$AL$4,0),FALSE),BoundParameters_HiddenSheetCLAY!$B$1:$E$1,0),FALSE))),'Control Panel'!T49)))</f>
        <v/>
      </c>
      <c r="U49" s="27" t="str">
        <f>IF($K49="","",IF(U$37="","",IF('Control Panel'!U49="",IF(VLOOKUP($F49,'Table Output'!$A$1:$H$100002,8,FALSE)="Sand",VLOOKUP(U$37,BoundParameters_HiddenSheetSAND!$B$3:$E$50,MATCH(VLOOKUP($K49,$K$5:$AL$34,MATCH(VLOOKUP(U$37,$BJ$3:$BK$50,2,FALSE),$K$4:$AL$4,0),FALSE),BoundParameters_HiddenSheetCLAY!$B$1:$E$1,0),FALSE),IF(VLOOKUP($F49,'Table Output'!$A$1:$H$100002,8,FALSE)="Clay",VLOOKUP(U$37,BoundParameters_HiddenSheetCLAY!$B$3:$E$50,MATCH(VLOOKUP($K49,$K$5:$AL$34,MATCH(VLOOKUP(U$37,$BJ$3:$BK$50,2,FALSE),$K$4:$AL$4,0),FALSE),BoundParameters_HiddenSheetCLAY!$B$1:$E$1,0),FALSE))),'Control Panel'!U49)))</f>
        <v/>
      </c>
      <c r="BJ49" s="2" t="s">
        <v>173</v>
      </c>
      <c r="BK49" s="2" t="s">
        <v>106</v>
      </c>
    </row>
    <row r="50" spans="2:63" x14ac:dyDescent="0.2">
      <c r="B50" s="2" t="str">
        <f>'Control Panel'!B50</f>
        <v>Interest_nodes</v>
      </c>
      <c r="C50" s="2" t="str">
        <f>'Control Panel'!C50</f>
        <v xml:space="preserve">1.05, 3.05, 5.5, 8, 11.3 15.3, 18.55, 21.55, 24.5, 27, 30.5, 35.5 </v>
      </c>
      <c r="F50" s="2" t="str">
        <f t="shared" ref="F50" si="15">F17</f>
        <v>NGI_U3_11</v>
      </c>
      <c r="K50" s="4">
        <f t="shared" si="4"/>
        <v>13</v>
      </c>
      <c r="L50" s="27">
        <f>IF($K50="","",IF(L$37="","",IF('Control Panel'!L50="",IF(VLOOKUP($F50,'Table Output'!$A$1:$H$100002,8,FALSE)="Sand",VLOOKUP(L$37,BoundParameters_HiddenSheetSAND!$B$3:$E$50,MATCH(VLOOKUP($K50,$K$5:$AL$34,MATCH(VLOOKUP(L$37,$BJ$3:$BK$50,2,FALSE),$K$4:$AL$4,0),FALSE),BoundParameters_HiddenSheetCLAY!$B$1:$E$1,0),FALSE),IF(VLOOKUP($F50,'Table Output'!$A$1:$H$100002,8,FALSE)="Clay",VLOOKUP(L$37,BoundParameters_HiddenSheetCLAY!$B$3:$E$50,MATCH(VLOOKUP($K50,$K$5:$AL$34,MATCH(VLOOKUP(L$37,$BJ$3:$BK$50,2,FALSE),$K$4:$AL$4,0),FALSE),BoundParameters_HiddenSheetCLAY!$B$1:$E$1,0),FALSE))),'Control Panel'!L50)))</f>
        <v>-7.5</v>
      </c>
      <c r="M50" s="27">
        <f>IF($K50="","",IF(M$37="","",IF('Control Panel'!M50="",IF(VLOOKUP($F50,'Table Output'!$A$1:$H$100002,8,FALSE)="Sand",VLOOKUP(M$37,BoundParameters_HiddenSheetSAND!$B$3:$E$50,MATCH(VLOOKUP($K50,$K$5:$AL$34,MATCH(VLOOKUP(M$37,$BJ$3:$BK$50,2,FALSE),$K$4:$AL$4,0),FALSE),BoundParameters_HiddenSheetCLAY!$B$1:$E$1,0),FALSE),IF(VLOOKUP($F50,'Table Output'!$A$1:$H$100002,8,FALSE)="Clay",VLOOKUP(M$37,BoundParameters_HiddenSheetCLAY!$B$3:$E$50,MATCH(VLOOKUP($K50,$K$5:$AL$34,MATCH(VLOOKUP(M$37,$BJ$3:$BK$50,2,FALSE),$K$4:$AL$4,0),FALSE),BoundParameters_HiddenSheetCLAY!$B$1:$E$1,0),FALSE))),'Control Panel'!M50)))</f>
        <v>0</v>
      </c>
      <c r="N50" s="27">
        <f>IF($K50="","",IF(N$37="","",IF('Control Panel'!N50="",IF(VLOOKUP($F50,'Table Output'!$A$1:$H$100002,8,FALSE)="Sand",VLOOKUP(N$37,BoundParameters_HiddenSheetSAND!$B$3:$E$50,MATCH(VLOOKUP($K50,$K$5:$AL$34,MATCH(VLOOKUP(N$37,$BJ$3:$BK$50,2,FALSE),$K$4:$AL$4,0),FALSE),BoundParameters_HiddenSheetCLAY!$B$1:$E$1,0),FALSE),IF(VLOOKUP($F50,'Table Output'!$A$1:$H$100002,8,FALSE)="Clay",VLOOKUP(N$37,BoundParameters_HiddenSheetCLAY!$B$3:$E$50,MATCH(VLOOKUP($K50,$K$5:$AL$34,MATCH(VLOOKUP(N$37,$BJ$3:$BK$50,2,FALSE),$K$4:$AL$4,0),FALSE),BoundParameters_HiddenSheetCLAY!$B$1:$E$1,0),FALSE))),'Control Panel'!N50)))</f>
        <v>-1.5</v>
      </c>
      <c r="O50" s="27">
        <f>IF($K50="","",IF(O$37="","",IF('Control Panel'!O50="",IF(VLOOKUP($F50,'Table Output'!$A$1:$H$100002,8,FALSE)="Sand",VLOOKUP(O$37,BoundParameters_HiddenSheetSAND!$B$3:$E$50,MATCH(VLOOKUP($K50,$K$5:$AL$34,MATCH(VLOOKUP(O$37,$BJ$3:$BK$50,2,FALSE),$K$4:$AL$4,0),FALSE),BoundParameters_HiddenSheetCLAY!$B$1:$E$1,0),FALSE),IF(VLOOKUP($F50,'Table Output'!$A$1:$H$100002,8,FALSE)="Clay",VLOOKUP(O$37,BoundParameters_HiddenSheetCLAY!$B$3:$E$50,MATCH(VLOOKUP($K50,$K$5:$AL$34,MATCH(VLOOKUP(O$37,$BJ$3:$BK$50,2,FALSE),$K$4:$AL$4,0),FALSE),BoundParameters_HiddenSheetCLAY!$B$1:$E$1,0),FALSE))),'Control Panel'!O50)))</f>
        <v>-0.05</v>
      </c>
      <c r="P50" s="27">
        <f>IF($K50="","",IF(P$37="","",IF('Control Panel'!P50="",IF(VLOOKUP($F50,'Table Output'!$A$1:$H$100002,8,FALSE)="Sand",VLOOKUP(P$37,BoundParameters_HiddenSheetSAND!$B$3:$E$50,MATCH(VLOOKUP($K50,$K$5:$AL$34,MATCH(VLOOKUP(P$37,$BJ$3:$BK$50,2,FALSE),$K$4:$AL$4,0),FALSE),BoundParameters_HiddenSheetCLAY!$B$1:$E$1,0),FALSE),IF(VLOOKUP($F50,'Table Output'!$A$1:$H$100002,8,FALSE)="Clay",VLOOKUP(P$37,BoundParameters_HiddenSheetCLAY!$B$3:$E$50,MATCH(VLOOKUP($K50,$K$5:$AL$34,MATCH(VLOOKUP(P$37,$BJ$3:$BK$50,2,FALSE),$K$4:$AL$4,0),FALSE),BoundParameters_HiddenSheetCLAY!$B$1:$E$1,0),FALSE))),'Control Panel'!P50)))</f>
        <v>0.02</v>
      </c>
      <c r="Q50" s="27">
        <f>IF($K50="","",IF(Q$37="","",IF('Control Panel'!Q50="",IF(VLOOKUP($F50,'Table Output'!$A$1:$H$100002,8,FALSE)="Sand",VLOOKUP(Q$37,BoundParameters_HiddenSheetSAND!$B$3:$E$50,MATCH(VLOOKUP($K50,$K$5:$AL$34,MATCH(VLOOKUP(Q$37,$BJ$3:$BK$50,2,FALSE),$K$4:$AL$4,0),FALSE),BoundParameters_HiddenSheetCLAY!$B$1:$E$1,0),FALSE),IF(VLOOKUP($F50,'Table Output'!$A$1:$H$100002,8,FALSE)="Clay",VLOOKUP(Q$37,BoundParameters_HiddenSheetCLAY!$B$3:$E$50,MATCH(VLOOKUP($K50,$K$5:$AL$34,MATCH(VLOOKUP(Q$37,$BJ$3:$BK$50,2,FALSE),$K$4:$AL$4,0),FALSE),BoundParameters_HiddenSheetCLAY!$B$1:$E$1,0),FALSE))),'Control Panel'!Q50)))</f>
        <v>-5555</v>
      </c>
      <c r="R50" s="27">
        <f>IF($K50="","",IF(R$37="","",IF('Control Panel'!R50="",IF(VLOOKUP($F50,'Table Output'!$A$1:$H$100002,8,FALSE)="Sand",VLOOKUP(R$37,BoundParameters_HiddenSheetSAND!$B$3:$E$50,MATCH(VLOOKUP($K50,$K$5:$AL$34,MATCH(VLOOKUP(R$37,$BJ$3:$BK$50,2,FALSE),$K$4:$AL$4,0),FALSE),BoundParameters_HiddenSheetCLAY!$B$1:$E$1,0),FALSE),IF(VLOOKUP($F50,'Table Output'!$A$1:$H$100002,8,FALSE)="Clay",VLOOKUP(R$37,BoundParameters_HiddenSheetCLAY!$B$3:$E$50,MATCH(VLOOKUP($K50,$K$5:$AL$34,MATCH(VLOOKUP(R$37,$BJ$3:$BK$50,2,FALSE),$K$4:$AL$4,0),FALSE),BoundParameters_HiddenSheetCLAY!$B$1:$E$1,0),FALSE))),'Control Panel'!R50)))</f>
        <v>-0.3</v>
      </c>
      <c r="S50" s="27" t="str">
        <f>IF($K50="","",IF(S$37="","",IF('Control Panel'!S50="",IF(VLOOKUP($F50,'Table Output'!$A$1:$H$100002,8,FALSE)="Sand",VLOOKUP(S$37,BoundParameters_HiddenSheetSAND!$B$3:$E$50,MATCH(VLOOKUP($K50,$K$5:$AL$34,MATCH(VLOOKUP(S$37,$BJ$3:$BK$50,2,FALSE),$K$4:$AL$4,0),FALSE),BoundParameters_HiddenSheetCLAY!$B$1:$E$1,0),FALSE),IF(VLOOKUP($F50,'Table Output'!$A$1:$H$100002,8,FALSE)="Clay",VLOOKUP(S$37,BoundParameters_HiddenSheetCLAY!$B$3:$E$50,MATCH(VLOOKUP($K50,$K$5:$AL$34,MATCH(VLOOKUP(S$37,$BJ$3:$BK$50,2,FALSE),$K$4:$AL$4,0),FALSE),BoundParameters_HiddenSheetCLAY!$B$1:$E$1,0),FALSE))),'Control Panel'!S50)))</f>
        <v/>
      </c>
      <c r="T50" s="27" t="str">
        <f>IF($K50="","",IF(T$37="","",IF('Control Panel'!T50="",IF(VLOOKUP($F50,'Table Output'!$A$1:$H$100002,8,FALSE)="Sand",VLOOKUP(T$37,BoundParameters_HiddenSheetSAND!$B$3:$E$50,MATCH(VLOOKUP($K50,$K$5:$AL$34,MATCH(VLOOKUP(T$37,$BJ$3:$BK$50,2,FALSE),$K$4:$AL$4,0),FALSE),BoundParameters_HiddenSheetCLAY!$B$1:$E$1,0),FALSE),IF(VLOOKUP($F50,'Table Output'!$A$1:$H$100002,8,FALSE)="Clay",VLOOKUP(T$37,BoundParameters_HiddenSheetCLAY!$B$3:$E$50,MATCH(VLOOKUP($K50,$K$5:$AL$34,MATCH(VLOOKUP(T$37,$BJ$3:$BK$50,2,FALSE),$K$4:$AL$4,0),FALSE),BoundParameters_HiddenSheetCLAY!$B$1:$E$1,0),FALSE))),'Control Panel'!T50)))</f>
        <v/>
      </c>
      <c r="U50" s="27" t="str">
        <f>IF($K50="","",IF(U$37="","",IF('Control Panel'!U50="",IF(VLOOKUP($F50,'Table Output'!$A$1:$H$100002,8,FALSE)="Sand",VLOOKUP(U$37,BoundParameters_HiddenSheetSAND!$B$3:$E$50,MATCH(VLOOKUP($K50,$K$5:$AL$34,MATCH(VLOOKUP(U$37,$BJ$3:$BK$50,2,FALSE),$K$4:$AL$4,0),FALSE),BoundParameters_HiddenSheetCLAY!$B$1:$E$1,0),FALSE),IF(VLOOKUP($F50,'Table Output'!$A$1:$H$100002,8,FALSE)="Clay",VLOOKUP(U$37,BoundParameters_HiddenSheetCLAY!$B$3:$E$50,MATCH(VLOOKUP($K50,$K$5:$AL$34,MATCH(VLOOKUP(U$37,$BJ$3:$BK$50,2,FALSE),$K$4:$AL$4,0),FALSE),BoundParameters_HiddenSheetCLAY!$B$1:$E$1,0),FALSE))),'Control Panel'!U50)))</f>
        <v/>
      </c>
      <c r="BJ50" s="2" t="s">
        <v>174</v>
      </c>
      <c r="BK50" s="2" t="s">
        <v>106</v>
      </c>
    </row>
    <row r="51" spans="2:63" x14ac:dyDescent="0.2">
      <c r="B51" s="2" t="str">
        <f>'Control Panel'!B51</f>
        <v>Ns</v>
      </c>
      <c r="C51" s="2">
        <f>'Control Panel'!C51</f>
        <v>9.1999999999999993</v>
      </c>
      <c r="F51" s="2" t="str">
        <f t="shared" ref="F51" si="16">F18</f>
        <v>NGI_U3_11</v>
      </c>
      <c r="K51" s="4">
        <f t="shared" si="4"/>
        <v>14</v>
      </c>
      <c r="L51" s="27">
        <f>IF($K51="","",IF(L$37="","",IF('Control Panel'!L51="",IF(VLOOKUP($F51,'Table Output'!$A$1:$H$100002,8,FALSE)="Sand",VLOOKUP(L$37,BoundParameters_HiddenSheetSAND!$B$3:$E$50,MATCH(VLOOKUP($K51,$K$5:$AL$34,MATCH(VLOOKUP(L$37,$BJ$3:$BK$50,2,FALSE),$K$4:$AL$4,0),FALSE),BoundParameters_HiddenSheetCLAY!$B$1:$E$1,0),FALSE),IF(VLOOKUP($F51,'Table Output'!$A$1:$H$100002,8,FALSE)="Clay",VLOOKUP(L$37,BoundParameters_HiddenSheetCLAY!$B$3:$E$50,MATCH(VLOOKUP($K51,$K$5:$AL$34,MATCH(VLOOKUP(L$37,$BJ$3:$BK$50,2,FALSE),$K$4:$AL$4,0),FALSE),BoundParameters_HiddenSheetCLAY!$B$1:$E$1,0),FALSE))),'Control Panel'!L51)))</f>
        <v>-7.5</v>
      </c>
      <c r="M51" s="27">
        <f>IF($K51="","",IF(M$37="","",IF('Control Panel'!M51="",IF(VLOOKUP($F51,'Table Output'!$A$1:$H$100002,8,FALSE)="Sand",VLOOKUP(M$37,BoundParameters_HiddenSheetSAND!$B$3:$E$50,MATCH(VLOOKUP($K51,$K$5:$AL$34,MATCH(VLOOKUP(M$37,$BJ$3:$BK$50,2,FALSE),$K$4:$AL$4,0),FALSE),BoundParameters_HiddenSheetCLAY!$B$1:$E$1,0),FALSE),IF(VLOOKUP($F51,'Table Output'!$A$1:$H$100002,8,FALSE)="Clay",VLOOKUP(M$37,BoundParameters_HiddenSheetCLAY!$B$3:$E$50,MATCH(VLOOKUP($K51,$K$5:$AL$34,MATCH(VLOOKUP(M$37,$BJ$3:$BK$50,2,FALSE),$K$4:$AL$4,0),FALSE),BoundParameters_HiddenSheetCLAY!$B$1:$E$1,0),FALSE))),'Control Panel'!M51)))</f>
        <v>0</v>
      </c>
      <c r="N51" s="27">
        <f>IF($K51="","",IF(N$37="","",IF('Control Panel'!N51="",IF(VLOOKUP($F51,'Table Output'!$A$1:$H$100002,8,FALSE)="Sand",VLOOKUP(N$37,BoundParameters_HiddenSheetSAND!$B$3:$E$50,MATCH(VLOOKUP($K51,$K$5:$AL$34,MATCH(VLOOKUP(N$37,$BJ$3:$BK$50,2,FALSE),$K$4:$AL$4,0),FALSE),BoundParameters_HiddenSheetCLAY!$B$1:$E$1,0),FALSE),IF(VLOOKUP($F51,'Table Output'!$A$1:$H$100002,8,FALSE)="Clay",VLOOKUP(N$37,BoundParameters_HiddenSheetCLAY!$B$3:$E$50,MATCH(VLOOKUP($K51,$K$5:$AL$34,MATCH(VLOOKUP(N$37,$BJ$3:$BK$50,2,FALSE),$K$4:$AL$4,0),FALSE),BoundParameters_HiddenSheetCLAY!$B$1:$E$1,0),FALSE))),'Control Panel'!N51)))</f>
        <v>-1.5</v>
      </c>
      <c r="O51" s="27">
        <f>IF($K51="","",IF(O$37="","",IF('Control Panel'!O51="",IF(VLOOKUP($F51,'Table Output'!$A$1:$H$100002,8,FALSE)="Sand",VLOOKUP(O$37,BoundParameters_HiddenSheetSAND!$B$3:$E$50,MATCH(VLOOKUP($K51,$K$5:$AL$34,MATCH(VLOOKUP(O$37,$BJ$3:$BK$50,2,FALSE),$K$4:$AL$4,0),FALSE),BoundParameters_HiddenSheetCLAY!$B$1:$E$1,0),FALSE),IF(VLOOKUP($F51,'Table Output'!$A$1:$H$100002,8,FALSE)="Clay",VLOOKUP(O$37,BoundParameters_HiddenSheetCLAY!$B$3:$E$50,MATCH(VLOOKUP($K51,$K$5:$AL$34,MATCH(VLOOKUP(O$37,$BJ$3:$BK$50,2,FALSE),$K$4:$AL$4,0),FALSE),BoundParameters_HiddenSheetCLAY!$B$1:$E$1,0),FALSE))),'Control Panel'!O51)))</f>
        <v>-0.05</v>
      </c>
      <c r="P51" s="27">
        <f>IF($K51="","",IF(P$37="","",IF('Control Panel'!P51="",IF(VLOOKUP($F51,'Table Output'!$A$1:$H$100002,8,FALSE)="Sand",VLOOKUP(P$37,BoundParameters_HiddenSheetSAND!$B$3:$E$50,MATCH(VLOOKUP($K51,$K$5:$AL$34,MATCH(VLOOKUP(P$37,$BJ$3:$BK$50,2,FALSE),$K$4:$AL$4,0),FALSE),BoundParameters_HiddenSheetCLAY!$B$1:$E$1,0),FALSE),IF(VLOOKUP($F51,'Table Output'!$A$1:$H$100002,8,FALSE)="Clay",VLOOKUP(P$37,BoundParameters_HiddenSheetCLAY!$B$3:$E$50,MATCH(VLOOKUP($K51,$K$5:$AL$34,MATCH(VLOOKUP(P$37,$BJ$3:$BK$50,2,FALSE),$K$4:$AL$4,0),FALSE),BoundParameters_HiddenSheetCLAY!$B$1:$E$1,0),FALSE))),'Control Panel'!P51)))</f>
        <v>0.02</v>
      </c>
      <c r="Q51" s="27">
        <f>IF($K51="","",IF(Q$37="","",IF('Control Panel'!Q51="",IF(VLOOKUP($F51,'Table Output'!$A$1:$H$100002,8,FALSE)="Sand",VLOOKUP(Q$37,BoundParameters_HiddenSheetSAND!$B$3:$E$50,MATCH(VLOOKUP($K51,$K$5:$AL$34,MATCH(VLOOKUP(Q$37,$BJ$3:$BK$50,2,FALSE),$K$4:$AL$4,0),FALSE),BoundParameters_HiddenSheetCLAY!$B$1:$E$1,0),FALSE),IF(VLOOKUP($F51,'Table Output'!$A$1:$H$100002,8,FALSE)="Clay",VLOOKUP(Q$37,BoundParameters_HiddenSheetCLAY!$B$3:$E$50,MATCH(VLOOKUP($K51,$K$5:$AL$34,MATCH(VLOOKUP(Q$37,$BJ$3:$BK$50,2,FALSE),$K$4:$AL$4,0),FALSE),BoundParameters_HiddenSheetCLAY!$B$1:$E$1,0),FALSE))),'Control Panel'!Q51)))</f>
        <v>-5555</v>
      </c>
      <c r="R51" s="27">
        <f>IF($K51="","",IF(R$37="","",IF('Control Panel'!R51="",IF(VLOOKUP($F51,'Table Output'!$A$1:$H$100002,8,FALSE)="Sand",VLOOKUP(R$37,BoundParameters_HiddenSheetSAND!$B$3:$E$50,MATCH(VLOOKUP($K51,$K$5:$AL$34,MATCH(VLOOKUP(R$37,$BJ$3:$BK$50,2,FALSE),$K$4:$AL$4,0),FALSE),BoundParameters_HiddenSheetCLAY!$B$1:$E$1,0),FALSE),IF(VLOOKUP($F51,'Table Output'!$A$1:$H$100002,8,FALSE)="Clay",VLOOKUP(R$37,BoundParameters_HiddenSheetCLAY!$B$3:$E$50,MATCH(VLOOKUP($K51,$K$5:$AL$34,MATCH(VLOOKUP(R$37,$BJ$3:$BK$50,2,FALSE),$K$4:$AL$4,0),FALSE),BoundParameters_HiddenSheetCLAY!$B$1:$E$1,0),FALSE))),'Control Panel'!R51)))</f>
        <v>-0.3</v>
      </c>
      <c r="S51" s="27" t="str">
        <f>IF($K51="","",IF(S$37="","",IF('Control Panel'!S51="",IF(VLOOKUP($F51,'Table Output'!$A$1:$H$100002,8,FALSE)="Sand",VLOOKUP(S$37,BoundParameters_HiddenSheetSAND!$B$3:$E$50,MATCH(VLOOKUP($K51,$K$5:$AL$34,MATCH(VLOOKUP(S$37,$BJ$3:$BK$50,2,FALSE),$K$4:$AL$4,0),FALSE),BoundParameters_HiddenSheetCLAY!$B$1:$E$1,0),FALSE),IF(VLOOKUP($F51,'Table Output'!$A$1:$H$100002,8,FALSE)="Clay",VLOOKUP(S$37,BoundParameters_HiddenSheetCLAY!$B$3:$E$50,MATCH(VLOOKUP($K51,$K$5:$AL$34,MATCH(VLOOKUP(S$37,$BJ$3:$BK$50,2,FALSE),$K$4:$AL$4,0),FALSE),BoundParameters_HiddenSheetCLAY!$B$1:$E$1,0),FALSE))),'Control Panel'!S51)))</f>
        <v/>
      </c>
      <c r="T51" s="27" t="str">
        <f>IF($K51="","",IF(T$37="","",IF('Control Panel'!T51="",IF(VLOOKUP($F51,'Table Output'!$A$1:$H$100002,8,FALSE)="Sand",VLOOKUP(T$37,BoundParameters_HiddenSheetSAND!$B$3:$E$50,MATCH(VLOOKUP($K51,$K$5:$AL$34,MATCH(VLOOKUP(T$37,$BJ$3:$BK$50,2,FALSE),$K$4:$AL$4,0),FALSE),BoundParameters_HiddenSheetCLAY!$B$1:$E$1,0),FALSE),IF(VLOOKUP($F51,'Table Output'!$A$1:$H$100002,8,FALSE)="Clay",VLOOKUP(T$37,BoundParameters_HiddenSheetCLAY!$B$3:$E$50,MATCH(VLOOKUP($K51,$K$5:$AL$34,MATCH(VLOOKUP(T$37,$BJ$3:$BK$50,2,FALSE),$K$4:$AL$4,0),FALSE),BoundParameters_HiddenSheetCLAY!$B$1:$E$1,0),FALSE))),'Control Panel'!T51)))</f>
        <v/>
      </c>
      <c r="U51" s="27" t="str">
        <f>IF($K51="","",IF(U$37="","",IF('Control Panel'!U51="",IF(VLOOKUP($F51,'Table Output'!$A$1:$H$100002,8,FALSE)="Sand",VLOOKUP(U$37,BoundParameters_HiddenSheetSAND!$B$3:$E$50,MATCH(VLOOKUP($K51,$K$5:$AL$34,MATCH(VLOOKUP(U$37,$BJ$3:$BK$50,2,FALSE),$K$4:$AL$4,0),FALSE),BoundParameters_HiddenSheetCLAY!$B$1:$E$1,0),FALSE),IF(VLOOKUP($F51,'Table Output'!$A$1:$H$100002,8,FALSE)="Clay",VLOOKUP(U$37,BoundParameters_HiddenSheetCLAY!$B$3:$E$50,MATCH(VLOOKUP($K51,$K$5:$AL$34,MATCH(VLOOKUP(U$37,$BJ$3:$BK$50,2,FALSE),$K$4:$AL$4,0),FALSE),BoundParameters_HiddenSheetCLAY!$B$1:$E$1,0),FALSE))),'Control Panel'!U51)))</f>
        <v/>
      </c>
      <c r="Z51" s="29"/>
    </row>
    <row r="52" spans="2:63" x14ac:dyDescent="0.2">
      <c r="B52" s="2" t="str">
        <f>'Control Panel'!B52</f>
        <v>Markov_size_1_&amp;_2</v>
      </c>
      <c r="C52" s="2" t="str">
        <f>'Control Panel'!C52</f>
        <v>64 64</v>
      </c>
      <c r="F52" s="2" t="str">
        <f t="shared" ref="F52" si="17">F19</f>
        <v>NGI_U3_11</v>
      </c>
      <c r="K52" s="4">
        <f t="shared" si="4"/>
        <v>15</v>
      </c>
      <c r="L52" s="27">
        <f>IF($K52="","",IF(L$37="","",IF('Control Panel'!L52="",IF(VLOOKUP($F52,'Table Output'!$A$1:$H$100002,8,FALSE)="Sand",VLOOKUP(L$37,BoundParameters_HiddenSheetSAND!$B$3:$E$50,MATCH(VLOOKUP($K52,$K$5:$AL$34,MATCH(VLOOKUP(L$37,$BJ$3:$BK$50,2,FALSE),$K$4:$AL$4,0),FALSE),BoundParameters_HiddenSheetCLAY!$B$1:$E$1,0),FALSE),IF(VLOOKUP($F52,'Table Output'!$A$1:$H$100002,8,FALSE)="Clay",VLOOKUP(L$37,BoundParameters_HiddenSheetCLAY!$B$3:$E$50,MATCH(VLOOKUP($K52,$K$5:$AL$34,MATCH(VLOOKUP(L$37,$BJ$3:$BK$50,2,FALSE),$K$4:$AL$4,0),FALSE),BoundParameters_HiddenSheetCLAY!$B$1:$E$1,0),FALSE))),'Control Panel'!L52)))</f>
        <v>-7.5</v>
      </c>
      <c r="M52" s="27">
        <f>IF($K52="","",IF(M$37="","",IF('Control Panel'!M52="",IF(VLOOKUP($F52,'Table Output'!$A$1:$H$100002,8,FALSE)="Sand",VLOOKUP(M$37,BoundParameters_HiddenSheetSAND!$B$3:$E$50,MATCH(VLOOKUP($K52,$K$5:$AL$34,MATCH(VLOOKUP(M$37,$BJ$3:$BK$50,2,FALSE),$K$4:$AL$4,0),FALSE),BoundParameters_HiddenSheetCLAY!$B$1:$E$1,0),FALSE),IF(VLOOKUP($F52,'Table Output'!$A$1:$H$100002,8,FALSE)="Clay",VLOOKUP(M$37,BoundParameters_HiddenSheetCLAY!$B$3:$E$50,MATCH(VLOOKUP($K52,$K$5:$AL$34,MATCH(VLOOKUP(M$37,$BJ$3:$BK$50,2,FALSE),$K$4:$AL$4,0),FALSE),BoundParameters_HiddenSheetCLAY!$B$1:$E$1,0),FALSE))),'Control Panel'!M52)))</f>
        <v>0</v>
      </c>
      <c r="N52" s="27">
        <f>IF($K52="","",IF(N$37="","",IF('Control Panel'!N52="",IF(VLOOKUP($F52,'Table Output'!$A$1:$H$100002,8,FALSE)="Sand",VLOOKUP(N$37,BoundParameters_HiddenSheetSAND!$B$3:$E$50,MATCH(VLOOKUP($K52,$K$5:$AL$34,MATCH(VLOOKUP(N$37,$BJ$3:$BK$50,2,FALSE),$K$4:$AL$4,0),FALSE),BoundParameters_HiddenSheetCLAY!$B$1:$E$1,0),FALSE),IF(VLOOKUP($F52,'Table Output'!$A$1:$H$100002,8,FALSE)="Clay",VLOOKUP(N$37,BoundParameters_HiddenSheetCLAY!$B$3:$E$50,MATCH(VLOOKUP($K52,$K$5:$AL$34,MATCH(VLOOKUP(N$37,$BJ$3:$BK$50,2,FALSE),$K$4:$AL$4,0),FALSE),BoundParameters_HiddenSheetCLAY!$B$1:$E$1,0),FALSE))),'Control Panel'!N52)))</f>
        <v>-1.5</v>
      </c>
      <c r="O52" s="27">
        <f>IF($K52="","",IF(O$37="","",IF('Control Panel'!O52="",IF(VLOOKUP($F52,'Table Output'!$A$1:$H$100002,8,FALSE)="Sand",VLOOKUP(O$37,BoundParameters_HiddenSheetSAND!$B$3:$E$50,MATCH(VLOOKUP($K52,$K$5:$AL$34,MATCH(VLOOKUP(O$37,$BJ$3:$BK$50,2,FALSE),$K$4:$AL$4,0),FALSE),BoundParameters_HiddenSheetCLAY!$B$1:$E$1,0),FALSE),IF(VLOOKUP($F52,'Table Output'!$A$1:$H$100002,8,FALSE)="Clay",VLOOKUP(O$37,BoundParameters_HiddenSheetCLAY!$B$3:$E$50,MATCH(VLOOKUP($K52,$K$5:$AL$34,MATCH(VLOOKUP(O$37,$BJ$3:$BK$50,2,FALSE),$K$4:$AL$4,0),FALSE),BoundParameters_HiddenSheetCLAY!$B$1:$E$1,0),FALSE))),'Control Panel'!O52)))</f>
        <v>-0.05</v>
      </c>
      <c r="P52" s="27">
        <f>IF($K52="","",IF(P$37="","",IF('Control Panel'!P52="",IF(VLOOKUP($F52,'Table Output'!$A$1:$H$100002,8,FALSE)="Sand",VLOOKUP(P$37,BoundParameters_HiddenSheetSAND!$B$3:$E$50,MATCH(VLOOKUP($K52,$K$5:$AL$34,MATCH(VLOOKUP(P$37,$BJ$3:$BK$50,2,FALSE),$K$4:$AL$4,0),FALSE),BoundParameters_HiddenSheetCLAY!$B$1:$E$1,0),FALSE),IF(VLOOKUP($F52,'Table Output'!$A$1:$H$100002,8,FALSE)="Clay",VLOOKUP(P$37,BoundParameters_HiddenSheetCLAY!$B$3:$E$50,MATCH(VLOOKUP($K52,$K$5:$AL$34,MATCH(VLOOKUP(P$37,$BJ$3:$BK$50,2,FALSE),$K$4:$AL$4,0),FALSE),BoundParameters_HiddenSheetCLAY!$B$1:$E$1,0),FALSE))),'Control Panel'!P52)))</f>
        <v>0.02</v>
      </c>
      <c r="Q52" s="27">
        <f>IF($K52="","",IF(Q$37="","",IF('Control Panel'!Q52="",IF(VLOOKUP($F52,'Table Output'!$A$1:$H$100002,8,FALSE)="Sand",VLOOKUP(Q$37,BoundParameters_HiddenSheetSAND!$B$3:$E$50,MATCH(VLOOKUP($K52,$K$5:$AL$34,MATCH(VLOOKUP(Q$37,$BJ$3:$BK$50,2,FALSE),$K$4:$AL$4,0),FALSE),BoundParameters_HiddenSheetCLAY!$B$1:$E$1,0),FALSE),IF(VLOOKUP($F52,'Table Output'!$A$1:$H$100002,8,FALSE)="Clay",VLOOKUP(Q$37,BoundParameters_HiddenSheetCLAY!$B$3:$E$50,MATCH(VLOOKUP($K52,$K$5:$AL$34,MATCH(VLOOKUP(Q$37,$BJ$3:$BK$50,2,FALSE),$K$4:$AL$4,0),FALSE),BoundParameters_HiddenSheetCLAY!$B$1:$E$1,0),FALSE))),'Control Panel'!Q52)))</f>
        <v>-5555</v>
      </c>
      <c r="R52" s="27">
        <f>IF($K52="","",IF(R$37="","",IF('Control Panel'!R52="",IF(VLOOKUP($F52,'Table Output'!$A$1:$H$100002,8,FALSE)="Sand",VLOOKUP(R$37,BoundParameters_HiddenSheetSAND!$B$3:$E$50,MATCH(VLOOKUP($K52,$K$5:$AL$34,MATCH(VLOOKUP(R$37,$BJ$3:$BK$50,2,FALSE),$K$4:$AL$4,0),FALSE),BoundParameters_HiddenSheetCLAY!$B$1:$E$1,0),FALSE),IF(VLOOKUP($F52,'Table Output'!$A$1:$H$100002,8,FALSE)="Clay",VLOOKUP(R$37,BoundParameters_HiddenSheetCLAY!$B$3:$E$50,MATCH(VLOOKUP($K52,$K$5:$AL$34,MATCH(VLOOKUP(R$37,$BJ$3:$BK$50,2,FALSE),$K$4:$AL$4,0),FALSE),BoundParameters_HiddenSheetCLAY!$B$1:$E$1,0),FALSE))),'Control Panel'!R52)))</f>
        <v>-0.3</v>
      </c>
      <c r="S52" s="27" t="str">
        <f>IF($K52="","",IF(S$37="","",IF('Control Panel'!S52="",IF(VLOOKUP($F52,'Table Output'!$A$1:$H$100002,8,FALSE)="Sand",VLOOKUP(S$37,BoundParameters_HiddenSheetSAND!$B$3:$E$50,MATCH(VLOOKUP($K52,$K$5:$AL$34,MATCH(VLOOKUP(S$37,$BJ$3:$BK$50,2,FALSE),$K$4:$AL$4,0),FALSE),BoundParameters_HiddenSheetCLAY!$B$1:$E$1,0),FALSE),IF(VLOOKUP($F52,'Table Output'!$A$1:$H$100002,8,FALSE)="Clay",VLOOKUP(S$37,BoundParameters_HiddenSheetCLAY!$B$3:$E$50,MATCH(VLOOKUP($K52,$K$5:$AL$34,MATCH(VLOOKUP(S$37,$BJ$3:$BK$50,2,FALSE),$K$4:$AL$4,0),FALSE),BoundParameters_HiddenSheetCLAY!$B$1:$E$1,0),FALSE))),'Control Panel'!S52)))</f>
        <v/>
      </c>
      <c r="T52" s="27" t="str">
        <f>IF($K52="","",IF(T$37="","",IF('Control Panel'!T52="",IF(VLOOKUP($F52,'Table Output'!$A$1:$H$100002,8,FALSE)="Sand",VLOOKUP(T$37,BoundParameters_HiddenSheetSAND!$B$3:$E$50,MATCH(VLOOKUP($K52,$K$5:$AL$34,MATCH(VLOOKUP(T$37,$BJ$3:$BK$50,2,FALSE),$K$4:$AL$4,0),FALSE),BoundParameters_HiddenSheetCLAY!$B$1:$E$1,0),FALSE),IF(VLOOKUP($F52,'Table Output'!$A$1:$H$100002,8,FALSE)="Clay",VLOOKUP(T$37,BoundParameters_HiddenSheetCLAY!$B$3:$E$50,MATCH(VLOOKUP($K52,$K$5:$AL$34,MATCH(VLOOKUP(T$37,$BJ$3:$BK$50,2,FALSE),$K$4:$AL$4,0),FALSE),BoundParameters_HiddenSheetCLAY!$B$1:$E$1,0),FALSE))),'Control Panel'!T52)))</f>
        <v/>
      </c>
      <c r="U52" s="27" t="str">
        <f>IF($K52="","",IF(U$37="","",IF('Control Panel'!U52="",IF(VLOOKUP($F52,'Table Output'!$A$1:$H$100002,8,FALSE)="Sand",VLOOKUP(U$37,BoundParameters_HiddenSheetSAND!$B$3:$E$50,MATCH(VLOOKUP($K52,$K$5:$AL$34,MATCH(VLOOKUP(U$37,$BJ$3:$BK$50,2,FALSE),$K$4:$AL$4,0),FALSE),BoundParameters_HiddenSheetCLAY!$B$1:$E$1,0),FALSE),IF(VLOOKUP($F52,'Table Output'!$A$1:$H$100002,8,FALSE)="Clay",VLOOKUP(U$37,BoundParameters_HiddenSheetCLAY!$B$3:$E$50,MATCH(VLOOKUP($K52,$K$5:$AL$34,MATCH(VLOOKUP(U$37,$BJ$3:$BK$50,2,FALSE),$K$4:$AL$4,0),FALSE),BoundParameters_HiddenSheetCLAY!$B$1:$E$1,0),FALSE))),'Control Panel'!U52)))</f>
        <v/>
      </c>
      <c r="Z52" s="29"/>
    </row>
    <row r="53" spans="2:63" x14ac:dyDescent="0.2">
      <c r="B53" s="2" t="str">
        <f>'Control Panel'!B53</f>
        <v>Sand_CSR</v>
      </c>
      <c r="C53" s="2" t="str">
        <f>'Control Panel'!C53</f>
        <v>NGI</v>
      </c>
      <c r="E53" s="2">
        <f t="shared" ref="E53:F53" si="18">E20</f>
        <v>1</v>
      </c>
      <c r="F53" s="2" t="str">
        <f t="shared" si="18"/>
        <v>NGI_U3_11</v>
      </c>
      <c r="K53" s="4">
        <f t="shared" si="4"/>
        <v>16</v>
      </c>
      <c r="L53" s="27">
        <f>IF($K53="","",IF(L$37="","",IF('Control Panel'!L53="",IF(VLOOKUP($F53,'Table Output'!$A$1:$H$100002,8,FALSE)="Sand",VLOOKUP(L$37,BoundParameters_HiddenSheetSAND!$B$3:$E$50,MATCH(VLOOKUP($K53,$K$5:$AL$34,MATCH(VLOOKUP(L$37,$BJ$3:$BK$50,2,FALSE),$K$4:$AL$4,0),FALSE),BoundParameters_HiddenSheetCLAY!$B$1:$E$1,0),FALSE),IF(VLOOKUP($F53,'Table Output'!$A$1:$H$100002,8,FALSE)="Clay",VLOOKUP(L$37,BoundParameters_HiddenSheetCLAY!$B$3:$E$50,MATCH(VLOOKUP($K53,$K$5:$AL$34,MATCH(VLOOKUP(L$37,$BJ$3:$BK$50,2,FALSE),$K$4:$AL$4,0),FALSE),BoundParameters_HiddenSheetCLAY!$B$1:$E$1,0),FALSE))),'Control Panel'!L53)))</f>
        <v>-7.5</v>
      </c>
      <c r="M53" s="27">
        <f>IF($K53="","",IF(M$37="","",IF('Control Panel'!M53="",IF(VLOOKUP($F53,'Table Output'!$A$1:$H$100002,8,FALSE)="Sand",VLOOKUP(M$37,BoundParameters_HiddenSheetSAND!$B$3:$E$50,MATCH(VLOOKUP($K53,$K$5:$AL$34,MATCH(VLOOKUP(M$37,$BJ$3:$BK$50,2,FALSE),$K$4:$AL$4,0),FALSE),BoundParameters_HiddenSheetCLAY!$B$1:$E$1,0),FALSE),IF(VLOOKUP($F53,'Table Output'!$A$1:$H$100002,8,FALSE)="Clay",VLOOKUP(M$37,BoundParameters_HiddenSheetCLAY!$B$3:$E$50,MATCH(VLOOKUP($K53,$K$5:$AL$34,MATCH(VLOOKUP(M$37,$BJ$3:$BK$50,2,FALSE),$K$4:$AL$4,0),FALSE),BoundParameters_HiddenSheetCLAY!$B$1:$E$1,0),FALSE))),'Control Panel'!M53)))</f>
        <v>0</v>
      </c>
      <c r="N53" s="27">
        <f>IF($K53="","",IF(N$37="","",IF('Control Panel'!N53="",IF(VLOOKUP($F53,'Table Output'!$A$1:$H$100002,8,FALSE)="Sand",VLOOKUP(N$37,BoundParameters_HiddenSheetSAND!$B$3:$E$50,MATCH(VLOOKUP($K53,$K$5:$AL$34,MATCH(VLOOKUP(N$37,$BJ$3:$BK$50,2,FALSE),$K$4:$AL$4,0),FALSE),BoundParameters_HiddenSheetCLAY!$B$1:$E$1,0),FALSE),IF(VLOOKUP($F53,'Table Output'!$A$1:$H$100002,8,FALSE)="Clay",VLOOKUP(N$37,BoundParameters_HiddenSheetCLAY!$B$3:$E$50,MATCH(VLOOKUP($K53,$K$5:$AL$34,MATCH(VLOOKUP(N$37,$BJ$3:$BK$50,2,FALSE),$K$4:$AL$4,0),FALSE),BoundParameters_HiddenSheetCLAY!$B$1:$E$1,0),FALSE))),'Control Panel'!N53)))</f>
        <v>-1.5</v>
      </c>
      <c r="O53" s="27">
        <f>IF($K53="","",IF(O$37="","",IF('Control Panel'!O53="",IF(VLOOKUP($F53,'Table Output'!$A$1:$H$100002,8,FALSE)="Sand",VLOOKUP(O$37,BoundParameters_HiddenSheetSAND!$B$3:$E$50,MATCH(VLOOKUP($K53,$K$5:$AL$34,MATCH(VLOOKUP(O$37,$BJ$3:$BK$50,2,FALSE),$K$4:$AL$4,0),FALSE),BoundParameters_HiddenSheetCLAY!$B$1:$E$1,0),FALSE),IF(VLOOKUP($F53,'Table Output'!$A$1:$H$100002,8,FALSE)="Clay",VLOOKUP(O$37,BoundParameters_HiddenSheetCLAY!$B$3:$E$50,MATCH(VLOOKUP($K53,$K$5:$AL$34,MATCH(VLOOKUP(O$37,$BJ$3:$BK$50,2,FALSE),$K$4:$AL$4,0),FALSE),BoundParameters_HiddenSheetCLAY!$B$1:$E$1,0),FALSE))),'Control Panel'!O53)))</f>
        <v>-0.05</v>
      </c>
      <c r="P53" s="27">
        <f>IF($K53="","",IF(P$37="","",IF('Control Panel'!P53="",IF(VLOOKUP($F53,'Table Output'!$A$1:$H$100002,8,FALSE)="Sand",VLOOKUP(P$37,BoundParameters_HiddenSheetSAND!$B$3:$E$50,MATCH(VLOOKUP($K53,$K$5:$AL$34,MATCH(VLOOKUP(P$37,$BJ$3:$BK$50,2,FALSE),$K$4:$AL$4,0),FALSE),BoundParameters_HiddenSheetCLAY!$B$1:$E$1,0),FALSE),IF(VLOOKUP($F53,'Table Output'!$A$1:$H$100002,8,FALSE)="Clay",VLOOKUP(P$37,BoundParameters_HiddenSheetCLAY!$B$3:$E$50,MATCH(VLOOKUP($K53,$K$5:$AL$34,MATCH(VLOOKUP(P$37,$BJ$3:$BK$50,2,FALSE),$K$4:$AL$4,0),FALSE),BoundParameters_HiddenSheetCLAY!$B$1:$E$1,0),FALSE))),'Control Panel'!P53)))</f>
        <v>0.02</v>
      </c>
      <c r="Q53" s="27">
        <f>IF($K53="","",IF(Q$37="","",IF('Control Panel'!Q53="",IF(VLOOKUP($F53,'Table Output'!$A$1:$H$100002,8,FALSE)="Sand",VLOOKUP(Q$37,BoundParameters_HiddenSheetSAND!$B$3:$E$50,MATCH(VLOOKUP($K53,$K$5:$AL$34,MATCH(VLOOKUP(Q$37,$BJ$3:$BK$50,2,FALSE),$K$4:$AL$4,0),FALSE),BoundParameters_HiddenSheetCLAY!$B$1:$E$1,0),FALSE),IF(VLOOKUP($F53,'Table Output'!$A$1:$H$100002,8,FALSE)="Clay",VLOOKUP(Q$37,BoundParameters_HiddenSheetCLAY!$B$3:$E$50,MATCH(VLOOKUP($K53,$K$5:$AL$34,MATCH(VLOOKUP(Q$37,$BJ$3:$BK$50,2,FALSE),$K$4:$AL$4,0),FALSE),BoundParameters_HiddenSheetCLAY!$B$1:$E$1,0),FALSE))),'Control Panel'!Q53)))</f>
        <v>-5555</v>
      </c>
      <c r="R53" s="27">
        <f>IF($K53="","",IF(R$37="","",IF('Control Panel'!R53="",IF(VLOOKUP($F53,'Table Output'!$A$1:$H$100002,8,FALSE)="Sand",VLOOKUP(R$37,BoundParameters_HiddenSheetSAND!$B$3:$E$50,MATCH(VLOOKUP($K53,$K$5:$AL$34,MATCH(VLOOKUP(R$37,$BJ$3:$BK$50,2,FALSE),$K$4:$AL$4,0),FALSE),BoundParameters_HiddenSheetCLAY!$B$1:$E$1,0),FALSE),IF(VLOOKUP($F53,'Table Output'!$A$1:$H$100002,8,FALSE)="Clay",VLOOKUP(R$37,BoundParameters_HiddenSheetCLAY!$B$3:$E$50,MATCH(VLOOKUP($K53,$K$5:$AL$34,MATCH(VLOOKUP(R$37,$BJ$3:$BK$50,2,FALSE),$K$4:$AL$4,0),FALSE),BoundParameters_HiddenSheetCLAY!$B$1:$E$1,0),FALSE))),'Control Panel'!R53)))</f>
        <v>-0.3</v>
      </c>
      <c r="S53" s="27" t="str">
        <f>IF($K53="","",IF(S$37="","",IF('Control Panel'!S53="",IF(VLOOKUP($F53,'Table Output'!$A$1:$H$100002,8,FALSE)="Sand",VLOOKUP(S$37,BoundParameters_HiddenSheetSAND!$B$3:$E$50,MATCH(VLOOKUP($K53,$K$5:$AL$34,MATCH(VLOOKUP(S$37,$BJ$3:$BK$50,2,FALSE),$K$4:$AL$4,0),FALSE),BoundParameters_HiddenSheetCLAY!$B$1:$E$1,0),FALSE),IF(VLOOKUP($F53,'Table Output'!$A$1:$H$100002,8,FALSE)="Clay",VLOOKUP(S$37,BoundParameters_HiddenSheetCLAY!$B$3:$E$50,MATCH(VLOOKUP($K53,$K$5:$AL$34,MATCH(VLOOKUP(S$37,$BJ$3:$BK$50,2,FALSE),$K$4:$AL$4,0),FALSE),BoundParameters_HiddenSheetCLAY!$B$1:$E$1,0),FALSE))),'Control Panel'!S53)))</f>
        <v/>
      </c>
      <c r="T53" s="27" t="str">
        <f>IF($K53="","",IF(T$37="","",IF('Control Panel'!T53="",IF(VLOOKUP($F53,'Table Output'!$A$1:$H$100002,8,FALSE)="Sand",VLOOKUP(T$37,BoundParameters_HiddenSheetSAND!$B$3:$E$50,MATCH(VLOOKUP($K53,$K$5:$AL$34,MATCH(VLOOKUP(T$37,$BJ$3:$BK$50,2,FALSE),$K$4:$AL$4,0),FALSE),BoundParameters_HiddenSheetCLAY!$B$1:$E$1,0),FALSE),IF(VLOOKUP($F53,'Table Output'!$A$1:$H$100002,8,FALSE)="Clay",VLOOKUP(T$37,BoundParameters_HiddenSheetCLAY!$B$3:$E$50,MATCH(VLOOKUP($K53,$K$5:$AL$34,MATCH(VLOOKUP(T$37,$BJ$3:$BK$50,2,FALSE),$K$4:$AL$4,0),FALSE),BoundParameters_HiddenSheetCLAY!$B$1:$E$1,0),FALSE))),'Control Panel'!T53)))</f>
        <v/>
      </c>
      <c r="U53" s="27" t="str">
        <f>IF($K53="","",IF(U$37="","",IF('Control Panel'!U53="",IF(VLOOKUP($F53,'Table Output'!$A$1:$H$100002,8,FALSE)="Sand",VLOOKUP(U$37,BoundParameters_HiddenSheetSAND!$B$3:$E$50,MATCH(VLOOKUP($K53,$K$5:$AL$34,MATCH(VLOOKUP(U$37,$BJ$3:$BK$50,2,FALSE),$K$4:$AL$4,0),FALSE),BoundParameters_HiddenSheetCLAY!$B$1:$E$1,0),FALSE),IF(VLOOKUP($F53,'Table Output'!$A$1:$H$100002,8,FALSE)="Clay",VLOOKUP(U$37,BoundParameters_HiddenSheetCLAY!$B$3:$E$50,MATCH(VLOOKUP($K53,$K$5:$AL$34,MATCH(VLOOKUP(U$37,$BJ$3:$BK$50,2,FALSE),$K$4:$AL$4,0),FALSE),BoundParameters_HiddenSheetCLAY!$B$1:$E$1,0),FALSE))),'Control Panel'!U53)))</f>
        <v/>
      </c>
      <c r="Z53" s="29"/>
    </row>
    <row r="54" spans="2:63" x14ac:dyDescent="0.2">
      <c r="B54" s="2" t="str">
        <f>'Control Panel'!B54</f>
        <v>Cyclic_style</v>
      </c>
      <c r="C54" s="2" t="str">
        <f>'Control Panel'!C54</f>
        <v>Zhang</v>
      </c>
      <c r="E54" s="2">
        <f t="shared" ref="E54:F54" si="19">E21</f>
        <v>1</v>
      </c>
      <c r="F54" s="2" t="str">
        <f t="shared" si="19"/>
        <v>NGI_U3_12</v>
      </c>
      <c r="G54" s="2" t="str">
        <f t="shared" ref="G54:J54" si="20">G21</f>
        <v>Empire_Wind_1</v>
      </c>
      <c r="H54" s="2" t="str">
        <f t="shared" si="20"/>
        <v>NA</v>
      </c>
      <c r="I54" s="2">
        <f t="shared" si="20"/>
        <v>7</v>
      </c>
      <c r="J54" s="2" t="str">
        <f t="shared" si="20"/>
        <v>NGI_U3_12</v>
      </c>
      <c r="K54" s="4">
        <f t="shared" si="4"/>
        <v>17</v>
      </c>
      <c r="L54" s="27">
        <f>IF($K54="","",IF(L$37="","",IF('Control Panel'!L54="",IF(VLOOKUP($F54,'Table Output'!$A$1:$H$100002,8,FALSE)="Sand",VLOOKUP(L$37,BoundParameters_HiddenSheetSAND!$B$3:$E$50,MATCH(VLOOKUP($K54,$K$5:$AL$34,MATCH(VLOOKUP(L$37,$BJ$3:$BK$50,2,FALSE),$K$4:$AL$4,0),FALSE),BoundParameters_HiddenSheetCLAY!$B$1:$E$1,0),FALSE),IF(VLOOKUP($F54,'Table Output'!$A$1:$H$100002,8,FALSE)="Clay",VLOOKUP(L$37,BoundParameters_HiddenSheetCLAY!$B$3:$E$50,MATCH(VLOOKUP($K54,$K$5:$AL$34,MATCH(VLOOKUP(L$37,$BJ$3:$BK$50,2,FALSE),$K$4:$AL$4,0),FALSE),BoundParameters_HiddenSheetCLAY!$B$1:$E$1,0),FALSE))),'Control Panel'!L54)))</f>
        <v>1</v>
      </c>
      <c r="M54" s="27">
        <f>IF($K54="","",IF(M$37="","",IF('Control Panel'!M54="",IF(VLOOKUP($F54,'Table Output'!$A$1:$H$100002,8,FALSE)="Sand",VLOOKUP(M$37,BoundParameters_HiddenSheetSAND!$B$3:$E$50,MATCH(VLOOKUP($K54,$K$5:$AL$34,MATCH(VLOOKUP(M$37,$BJ$3:$BK$50,2,FALSE),$K$4:$AL$4,0),FALSE),BoundParameters_HiddenSheetCLAY!$B$1:$E$1,0),FALSE),IF(VLOOKUP($F54,'Table Output'!$A$1:$H$100002,8,FALSE)="Clay",VLOOKUP(M$37,BoundParameters_HiddenSheetCLAY!$B$3:$E$50,MATCH(VLOOKUP($K54,$K$5:$AL$34,MATCH(VLOOKUP(M$37,$BJ$3:$BK$50,2,FALSE),$K$4:$AL$4,0),FALSE),BoundParameters_HiddenSheetCLAY!$B$1:$E$1,0),FALSE))),'Control Panel'!M54)))</f>
        <v>-5555</v>
      </c>
      <c r="N54" s="27">
        <f>IF($K54="","",IF(N$37="","",IF('Control Panel'!N54="",IF(VLOOKUP($F54,'Table Output'!$A$1:$H$100002,8,FALSE)="Sand",VLOOKUP(N$37,BoundParameters_HiddenSheetSAND!$B$3:$E$50,MATCH(VLOOKUP($K54,$K$5:$AL$34,MATCH(VLOOKUP(N$37,$BJ$3:$BK$50,2,FALSE),$K$4:$AL$4,0),FALSE),BoundParameters_HiddenSheetCLAY!$B$1:$E$1,0),FALSE),IF(VLOOKUP($F54,'Table Output'!$A$1:$H$100002,8,FALSE)="Clay",VLOOKUP(N$37,BoundParameters_HiddenSheetCLAY!$B$3:$E$50,MATCH(VLOOKUP($K54,$K$5:$AL$34,MATCH(VLOOKUP(N$37,$BJ$3:$BK$50,2,FALSE),$K$4:$AL$4,0),FALSE),BoundParameters_HiddenSheetCLAY!$B$1:$E$1,0),FALSE))),'Control Panel'!N54)))</f>
        <v>1E-3</v>
      </c>
      <c r="O54" s="27">
        <f>IF($K54="","",IF(O$37="","",IF('Control Panel'!O54="",IF(VLOOKUP($F54,'Table Output'!$A$1:$H$100002,8,FALSE)="Sand",VLOOKUP(O$37,BoundParameters_HiddenSheetSAND!$B$3:$E$50,MATCH(VLOOKUP($K54,$K$5:$AL$34,MATCH(VLOOKUP(O$37,$BJ$3:$BK$50,2,FALSE),$K$4:$AL$4,0),FALSE),BoundParameters_HiddenSheetCLAY!$B$1:$E$1,0),FALSE),IF(VLOOKUP($F54,'Table Output'!$A$1:$H$100002,8,FALSE)="Clay",VLOOKUP(O$37,BoundParameters_HiddenSheetCLAY!$B$3:$E$50,MATCH(VLOOKUP($K54,$K$5:$AL$34,MATCH(VLOOKUP(O$37,$BJ$3:$BK$50,2,FALSE),$K$4:$AL$4,0),FALSE),BoundParameters_HiddenSheetCLAY!$B$1:$E$1,0),FALSE))),'Control Panel'!O54)))</f>
        <v>-5555</v>
      </c>
      <c r="P54" s="27">
        <f>IF($K54="","",IF(P$37="","",IF('Control Panel'!P54="",IF(VLOOKUP($F54,'Table Output'!$A$1:$H$100002,8,FALSE)="Sand",VLOOKUP(P$37,BoundParameters_HiddenSheetSAND!$B$3:$E$50,MATCH(VLOOKUP($K54,$K$5:$AL$34,MATCH(VLOOKUP(P$37,$BJ$3:$BK$50,2,FALSE),$K$4:$AL$4,0),FALSE),BoundParameters_HiddenSheetCLAY!$B$1:$E$1,0),FALSE),IF(VLOOKUP($F54,'Table Output'!$A$1:$H$100002,8,FALSE)="Clay",VLOOKUP(P$37,BoundParameters_HiddenSheetCLAY!$B$3:$E$50,MATCH(VLOOKUP($K54,$K$5:$AL$34,MATCH(VLOOKUP(P$37,$BJ$3:$BK$50,2,FALSE),$K$4:$AL$4,0),FALSE),BoundParameters_HiddenSheetCLAY!$B$1:$E$1,0),FALSE))),'Control Panel'!P54)))</f>
        <v>0.02</v>
      </c>
      <c r="Q54" s="27">
        <f>IF($K54="","",IF(Q$37="","",IF('Control Panel'!Q54="",IF(VLOOKUP($F54,'Table Output'!$A$1:$H$100002,8,FALSE)="Sand",VLOOKUP(Q$37,BoundParameters_HiddenSheetSAND!$B$3:$E$50,MATCH(VLOOKUP($K54,$K$5:$AL$34,MATCH(VLOOKUP(Q$37,$BJ$3:$BK$50,2,FALSE),$K$4:$AL$4,0),FALSE),BoundParameters_HiddenSheetCLAY!$B$1:$E$1,0),FALSE),IF(VLOOKUP($F54,'Table Output'!$A$1:$H$100002,8,FALSE)="Clay",VLOOKUP(Q$37,BoundParameters_HiddenSheetCLAY!$B$3:$E$50,MATCH(VLOOKUP($K54,$K$5:$AL$34,MATCH(VLOOKUP(Q$37,$BJ$3:$BK$50,2,FALSE),$K$4:$AL$4,0),FALSE),BoundParameters_HiddenSheetCLAY!$B$1:$E$1,0),FALSE))),'Control Panel'!Q54)))</f>
        <v>-5555</v>
      </c>
      <c r="R54" s="27">
        <f>IF($K54="","",IF(R$37="","",IF('Control Panel'!R54="",IF(VLOOKUP($F54,'Table Output'!$A$1:$H$100002,8,FALSE)="Sand",VLOOKUP(R$37,BoundParameters_HiddenSheetSAND!$B$3:$E$50,MATCH(VLOOKUP($K54,$K$5:$AL$34,MATCH(VLOOKUP(R$37,$BJ$3:$BK$50,2,FALSE),$K$4:$AL$4,0),FALSE),BoundParameters_HiddenSheetCLAY!$B$1:$E$1,0),FALSE),IF(VLOOKUP($F54,'Table Output'!$A$1:$H$100002,8,FALSE)="Clay",VLOOKUP(R$37,BoundParameters_HiddenSheetCLAY!$B$3:$E$50,MATCH(VLOOKUP($K54,$K$5:$AL$34,MATCH(VLOOKUP(R$37,$BJ$3:$BK$50,2,FALSE),$K$4:$AL$4,0),FALSE),BoundParameters_HiddenSheetCLAY!$B$1:$E$1,0),FALSE))),'Control Panel'!R54)))</f>
        <v>0</v>
      </c>
      <c r="S54" s="27" t="str">
        <f>IF($K54="","",IF(S$37="","",IF('Control Panel'!S54="",IF(VLOOKUP($F54,'Table Output'!$A$1:$H$100002,8,FALSE)="Sand",VLOOKUP(S$37,BoundParameters_HiddenSheetSAND!$B$3:$E$50,MATCH(VLOOKUP($K54,$K$5:$AL$34,MATCH(VLOOKUP(S$37,$BJ$3:$BK$50,2,FALSE),$K$4:$AL$4,0),FALSE),BoundParameters_HiddenSheetCLAY!$B$1:$E$1,0),FALSE),IF(VLOOKUP($F54,'Table Output'!$A$1:$H$100002,8,FALSE)="Clay",VLOOKUP(S$37,BoundParameters_HiddenSheetCLAY!$B$3:$E$50,MATCH(VLOOKUP($K54,$K$5:$AL$34,MATCH(VLOOKUP(S$37,$BJ$3:$BK$50,2,FALSE),$K$4:$AL$4,0),FALSE),BoundParameters_HiddenSheetCLAY!$B$1:$E$1,0),FALSE))),'Control Panel'!S54)))</f>
        <v/>
      </c>
      <c r="T54" s="27" t="str">
        <f>IF($K54="","",IF(T$37="","",IF('Control Panel'!T54="",IF(VLOOKUP($F54,'Table Output'!$A$1:$H$100002,8,FALSE)="Sand",VLOOKUP(T$37,BoundParameters_HiddenSheetSAND!$B$3:$E$50,MATCH(VLOOKUP($K54,$K$5:$AL$34,MATCH(VLOOKUP(T$37,$BJ$3:$BK$50,2,FALSE),$K$4:$AL$4,0),FALSE),BoundParameters_HiddenSheetCLAY!$B$1:$E$1,0),FALSE),IF(VLOOKUP($F54,'Table Output'!$A$1:$H$100002,8,FALSE)="Clay",VLOOKUP(T$37,BoundParameters_HiddenSheetCLAY!$B$3:$E$50,MATCH(VLOOKUP($K54,$K$5:$AL$34,MATCH(VLOOKUP(T$37,$BJ$3:$BK$50,2,FALSE),$K$4:$AL$4,0),FALSE),BoundParameters_HiddenSheetCLAY!$B$1:$E$1,0),FALSE))),'Control Panel'!T54)))</f>
        <v/>
      </c>
      <c r="U54" s="27" t="str">
        <f>IF($K54="","",IF(U$37="","",IF('Control Panel'!U54="",IF(VLOOKUP($F54,'Table Output'!$A$1:$H$100002,8,FALSE)="Sand",VLOOKUP(U$37,BoundParameters_HiddenSheetSAND!$B$3:$E$50,MATCH(VLOOKUP($K54,$K$5:$AL$34,MATCH(VLOOKUP(U$37,$BJ$3:$BK$50,2,FALSE),$K$4:$AL$4,0),FALSE),BoundParameters_HiddenSheetCLAY!$B$1:$E$1,0),FALSE),IF(VLOOKUP($F54,'Table Output'!$A$1:$H$100002,8,FALSE)="Clay",VLOOKUP(U$37,BoundParameters_HiddenSheetCLAY!$B$3:$E$50,MATCH(VLOOKUP($K54,$K$5:$AL$34,MATCH(VLOOKUP(U$37,$BJ$3:$BK$50,2,FALSE),$K$4:$AL$4,0),FALSE),BoundParameters_HiddenSheetCLAY!$B$1:$E$1,0),FALSE))),'Control Panel'!U54)))</f>
        <v/>
      </c>
      <c r="Z54" s="29"/>
    </row>
    <row r="55" spans="2:63" x14ac:dyDescent="0.2">
      <c r="E55" s="2">
        <f t="shared" ref="E55:F55" si="21">E22</f>
        <v>1</v>
      </c>
      <c r="F55" s="2" t="str">
        <f t="shared" si="21"/>
        <v>NGI_U3_12</v>
      </c>
      <c r="G55" s="2" t="str">
        <f t="shared" ref="G55:J55" si="22">G22</f>
        <v>Empire_Wind_1</v>
      </c>
      <c r="H55" s="2" t="str">
        <f t="shared" si="22"/>
        <v>NA</v>
      </c>
      <c r="I55" s="2">
        <f t="shared" si="22"/>
        <v>7</v>
      </c>
      <c r="J55" s="2" t="str">
        <f t="shared" si="22"/>
        <v>NGI_U3_12</v>
      </c>
      <c r="K55" s="4">
        <f t="shared" si="4"/>
        <v>18</v>
      </c>
      <c r="L55" s="27">
        <f>IF($K55="","",IF(L$37="","",IF('Control Panel'!L55="",IF(VLOOKUP($F55,'Table Output'!$A$1:$H$100002,8,FALSE)="Sand",VLOOKUP(L$37,BoundParameters_HiddenSheetSAND!$B$3:$E$50,MATCH(VLOOKUP($K55,$K$5:$AL$34,MATCH(VLOOKUP(L$37,$BJ$3:$BK$50,2,FALSE),$K$4:$AL$4,0),FALSE),BoundParameters_HiddenSheetCLAY!$B$1:$E$1,0),FALSE),IF(VLOOKUP($F55,'Table Output'!$A$1:$H$100002,8,FALSE)="Clay",VLOOKUP(L$37,BoundParameters_HiddenSheetCLAY!$B$3:$E$50,MATCH(VLOOKUP($K55,$K$5:$AL$34,MATCH(VLOOKUP(L$37,$BJ$3:$BK$50,2,FALSE),$K$4:$AL$4,0),FALSE),BoundParameters_HiddenSheetCLAY!$B$1:$E$1,0),FALSE))),'Control Panel'!L55)))</f>
        <v>1</v>
      </c>
      <c r="M55" s="27">
        <f>IF($K55="","",IF(M$37="","",IF('Control Panel'!M55="",IF(VLOOKUP($F55,'Table Output'!$A$1:$H$100002,8,FALSE)="Sand",VLOOKUP(M$37,BoundParameters_HiddenSheetSAND!$B$3:$E$50,MATCH(VLOOKUP($K55,$K$5:$AL$34,MATCH(VLOOKUP(M$37,$BJ$3:$BK$50,2,FALSE),$K$4:$AL$4,0),FALSE),BoundParameters_HiddenSheetCLAY!$B$1:$E$1,0),FALSE),IF(VLOOKUP($F55,'Table Output'!$A$1:$H$100002,8,FALSE)="Clay",VLOOKUP(M$37,BoundParameters_HiddenSheetCLAY!$B$3:$E$50,MATCH(VLOOKUP($K55,$K$5:$AL$34,MATCH(VLOOKUP(M$37,$BJ$3:$BK$50,2,FALSE),$K$4:$AL$4,0),FALSE),BoundParameters_HiddenSheetCLAY!$B$1:$E$1,0),FALSE))),'Control Panel'!M55)))</f>
        <v>-5555</v>
      </c>
      <c r="N55" s="27">
        <f>IF($K55="","",IF(N$37="","",IF('Control Panel'!N55="",IF(VLOOKUP($F55,'Table Output'!$A$1:$H$100002,8,FALSE)="Sand",VLOOKUP(N$37,BoundParameters_HiddenSheetSAND!$B$3:$E$50,MATCH(VLOOKUP($K55,$K$5:$AL$34,MATCH(VLOOKUP(N$37,$BJ$3:$BK$50,2,FALSE),$K$4:$AL$4,0),FALSE),BoundParameters_HiddenSheetCLAY!$B$1:$E$1,0),FALSE),IF(VLOOKUP($F55,'Table Output'!$A$1:$H$100002,8,FALSE)="Clay",VLOOKUP(N$37,BoundParameters_HiddenSheetCLAY!$B$3:$E$50,MATCH(VLOOKUP($K55,$K$5:$AL$34,MATCH(VLOOKUP(N$37,$BJ$3:$BK$50,2,FALSE),$K$4:$AL$4,0),FALSE),BoundParameters_HiddenSheetCLAY!$B$1:$E$1,0),FALSE))),'Control Panel'!N55)))</f>
        <v>1E-3</v>
      </c>
      <c r="O55" s="27">
        <f>IF($K55="","",IF(O$37="","",IF('Control Panel'!O55="",IF(VLOOKUP($F55,'Table Output'!$A$1:$H$100002,8,FALSE)="Sand",VLOOKUP(O$37,BoundParameters_HiddenSheetSAND!$B$3:$E$50,MATCH(VLOOKUP($K55,$K$5:$AL$34,MATCH(VLOOKUP(O$37,$BJ$3:$BK$50,2,FALSE),$K$4:$AL$4,0),FALSE),BoundParameters_HiddenSheetCLAY!$B$1:$E$1,0),FALSE),IF(VLOOKUP($F55,'Table Output'!$A$1:$H$100002,8,FALSE)="Clay",VLOOKUP(O$37,BoundParameters_HiddenSheetCLAY!$B$3:$E$50,MATCH(VLOOKUP($K55,$K$5:$AL$34,MATCH(VLOOKUP(O$37,$BJ$3:$BK$50,2,FALSE),$K$4:$AL$4,0),FALSE),BoundParameters_HiddenSheetCLAY!$B$1:$E$1,0),FALSE))),'Control Panel'!O55)))</f>
        <v>-5555</v>
      </c>
      <c r="P55" s="27">
        <f>IF($K55="","",IF(P$37="","",IF('Control Panel'!P55="",IF(VLOOKUP($F55,'Table Output'!$A$1:$H$100002,8,FALSE)="Sand",VLOOKUP(P$37,BoundParameters_HiddenSheetSAND!$B$3:$E$50,MATCH(VLOOKUP($K55,$K$5:$AL$34,MATCH(VLOOKUP(P$37,$BJ$3:$BK$50,2,FALSE),$K$4:$AL$4,0),FALSE),BoundParameters_HiddenSheetCLAY!$B$1:$E$1,0),FALSE),IF(VLOOKUP($F55,'Table Output'!$A$1:$H$100002,8,FALSE)="Clay",VLOOKUP(P$37,BoundParameters_HiddenSheetCLAY!$B$3:$E$50,MATCH(VLOOKUP($K55,$K$5:$AL$34,MATCH(VLOOKUP(P$37,$BJ$3:$BK$50,2,FALSE),$K$4:$AL$4,0),FALSE),BoundParameters_HiddenSheetCLAY!$B$1:$E$1,0),FALSE))),'Control Panel'!P55)))</f>
        <v>0.02</v>
      </c>
      <c r="Q55" s="27">
        <f>IF($K55="","",IF(Q$37="","",IF('Control Panel'!Q55="",IF(VLOOKUP($F55,'Table Output'!$A$1:$H$100002,8,FALSE)="Sand",VLOOKUP(Q$37,BoundParameters_HiddenSheetSAND!$B$3:$E$50,MATCH(VLOOKUP($K55,$K$5:$AL$34,MATCH(VLOOKUP(Q$37,$BJ$3:$BK$50,2,FALSE),$K$4:$AL$4,0),FALSE),BoundParameters_HiddenSheetCLAY!$B$1:$E$1,0),FALSE),IF(VLOOKUP($F55,'Table Output'!$A$1:$H$100002,8,FALSE)="Clay",VLOOKUP(Q$37,BoundParameters_HiddenSheetCLAY!$B$3:$E$50,MATCH(VLOOKUP($K55,$K$5:$AL$34,MATCH(VLOOKUP(Q$37,$BJ$3:$BK$50,2,FALSE),$K$4:$AL$4,0),FALSE),BoundParameters_HiddenSheetCLAY!$B$1:$E$1,0),FALSE))),'Control Panel'!Q55)))</f>
        <v>-5555</v>
      </c>
      <c r="R55" s="27">
        <f>IF($K55="","",IF(R$37="","",IF('Control Panel'!R55="",IF(VLOOKUP($F55,'Table Output'!$A$1:$H$100002,8,FALSE)="Sand",VLOOKUP(R$37,BoundParameters_HiddenSheetSAND!$B$3:$E$50,MATCH(VLOOKUP($K55,$K$5:$AL$34,MATCH(VLOOKUP(R$37,$BJ$3:$BK$50,2,FALSE),$K$4:$AL$4,0),FALSE),BoundParameters_HiddenSheetCLAY!$B$1:$E$1,0),FALSE),IF(VLOOKUP($F55,'Table Output'!$A$1:$H$100002,8,FALSE)="Clay",VLOOKUP(R$37,BoundParameters_HiddenSheetCLAY!$B$3:$E$50,MATCH(VLOOKUP($K55,$K$5:$AL$34,MATCH(VLOOKUP(R$37,$BJ$3:$BK$50,2,FALSE),$K$4:$AL$4,0),FALSE),BoundParameters_HiddenSheetCLAY!$B$1:$E$1,0),FALSE))),'Control Panel'!R55)))</f>
        <v>0</v>
      </c>
      <c r="S55" s="27" t="str">
        <f>IF($K55="","",IF(S$37="","",IF('Control Panel'!S55="",IF(VLOOKUP($F55,'Table Output'!$A$1:$H$100002,8,FALSE)="Sand",VLOOKUP(S$37,BoundParameters_HiddenSheetSAND!$B$3:$E$50,MATCH(VLOOKUP($K55,$K$5:$AL$34,MATCH(VLOOKUP(S$37,$BJ$3:$BK$50,2,FALSE),$K$4:$AL$4,0),FALSE),BoundParameters_HiddenSheetCLAY!$B$1:$E$1,0),FALSE),IF(VLOOKUP($F55,'Table Output'!$A$1:$H$100002,8,FALSE)="Clay",VLOOKUP(S$37,BoundParameters_HiddenSheetCLAY!$B$3:$E$50,MATCH(VLOOKUP($K55,$K$5:$AL$34,MATCH(VLOOKUP(S$37,$BJ$3:$BK$50,2,FALSE),$K$4:$AL$4,0),FALSE),BoundParameters_HiddenSheetCLAY!$B$1:$E$1,0),FALSE))),'Control Panel'!S55)))</f>
        <v/>
      </c>
      <c r="T55" s="27" t="str">
        <f>IF($K55="","",IF(T$37="","",IF('Control Panel'!T55="",IF(VLOOKUP($F55,'Table Output'!$A$1:$H$100002,8,FALSE)="Sand",VLOOKUP(T$37,BoundParameters_HiddenSheetSAND!$B$3:$E$50,MATCH(VLOOKUP($K55,$K$5:$AL$34,MATCH(VLOOKUP(T$37,$BJ$3:$BK$50,2,FALSE),$K$4:$AL$4,0),FALSE),BoundParameters_HiddenSheetCLAY!$B$1:$E$1,0),FALSE),IF(VLOOKUP($F55,'Table Output'!$A$1:$H$100002,8,FALSE)="Clay",VLOOKUP(T$37,BoundParameters_HiddenSheetCLAY!$B$3:$E$50,MATCH(VLOOKUP($K55,$K$5:$AL$34,MATCH(VLOOKUP(T$37,$BJ$3:$BK$50,2,FALSE),$K$4:$AL$4,0),FALSE),BoundParameters_HiddenSheetCLAY!$B$1:$E$1,0),FALSE))),'Control Panel'!T55)))</f>
        <v/>
      </c>
      <c r="U55" s="27" t="str">
        <f>IF($K55="","",IF(U$37="","",IF('Control Panel'!U55="",IF(VLOOKUP($F55,'Table Output'!$A$1:$H$100002,8,FALSE)="Sand",VLOOKUP(U$37,BoundParameters_HiddenSheetSAND!$B$3:$E$50,MATCH(VLOOKUP($K55,$K$5:$AL$34,MATCH(VLOOKUP(U$37,$BJ$3:$BK$50,2,FALSE),$K$4:$AL$4,0),FALSE),BoundParameters_HiddenSheetCLAY!$B$1:$E$1,0),FALSE),IF(VLOOKUP($F55,'Table Output'!$A$1:$H$100002,8,FALSE)="Clay",VLOOKUP(U$37,BoundParameters_HiddenSheetCLAY!$B$3:$E$50,MATCH(VLOOKUP($K55,$K$5:$AL$34,MATCH(VLOOKUP(U$37,$BJ$3:$BK$50,2,FALSE),$K$4:$AL$4,0),FALSE),BoundParameters_HiddenSheetCLAY!$B$1:$E$1,0),FALSE))),'Control Panel'!U55)))</f>
        <v/>
      </c>
    </row>
    <row r="56" spans="2:63" x14ac:dyDescent="0.2">
      <c r="E56" s="2">
        <f t="shared" ref="E56:F56" si="23">E23</f>
        <v>1</v>
      </c>
      <c r="F56" s="2" t="str">
        <f t="shared" si="23"/>
        <v>NGI_U3_12</v>
      </c>
      <c r="G56" s="2" t="str">
        <f t="shared" ref="G56:J56" si="24">G23</f>
        <v>Empire_Wind_1</v>
      </c>
      <c r="H56" s="2" t="str">
        <f t="shared" si="24"/>
        <v>NA</v>
      </c>
      <c r="I56" s="2">
        <f t="shared" si="24"/>
        <v>7</v>
      </c>
      <c r="J56" s="2" t="str">
        <f t="shared" si="24"/>
        <v>NGI_U3_12</v>
      </c>
      <c r="K56" s="4">
        <f t="shared" si="4"/>
        <v>19</v>
      </c>
      <c r="L56" s="27">
        <f>IF($K56="","",IF(L$37="","",IF('Control Panel'!L56="",IF(VLOOKUP($F56,'Table Output'!$A$1:$H$100002,8,FALSE)="Sand",VLOOKUP(L$37,BoundParameters_HiddenSheetSAND!$B$3:$E$50,MATCH(VLOOKUP($K56,$K$5:$AL$34,MATCH(VLOOKUP(L$37,$BJ$3:$BK$50,2,FALSE),$K$4:$AL$4,0),FALSE),BoundParameters_HiddenSheetCLAY!$B$1:$E$1,0),FALSE),IF(VLOOKUP($F56,'Table Output'!$A$1:$H$100002,8,FALSE)="Clay",VLOOKUP(L$37,BoundParameters_HiddenSheetCLAY!$B$3:$E$50,MATCH(VLOOKUP($K56,$K$5:$AL$34,MATCH(VLOOKUP(L$37,$BJ$3:$BK$50,2,FALSE),$K$4:$AL$4,0),FALSE),BoundParameters_HiddenSheetCLAY!$B$1:$E$1,0),FALSE))),'Control Panel'!L56)))</f>
        <v>1</v>
      </c>
      <c r="M56" s="27">
        <f>IF($K56="","",IF(M$37="","",IF('Control Panel'!M56="",IF(VLOOKUP($F56,'Table Output'!$A$1:$H$100002,8,FALSE)="Sand",VLOOKUP(M$37,BoundParameters_HiddenSheetSAND!$B$3:$E$50,MATCH(VLOOKUP($K56,$K$5:$AL$34,MATCH(VLOOKUP(M$37,$BJ$3:$BK$50,2,FALSE),$K$4:$AL$4,0),FALSE),BoundParameters_HiddenSheetCLAY!$B$1:$E$1,0),FALSE),IF(VLOOKUP($F56,'Table Output'!$A$1:$H$100002,8,FALSE)="Clay",VLOOKUP(M$37,BoundParameters_HiddenSheetCLAY!$B$3:$E$50,MATCH(VLOOKUP($K56,$K$5:$AL$34,MATCH(VLOOKUP(M$37,$BJ$3:$BK$50,2,FALSE),$K$4:$AL$4,0),FALSE),BoundParameters_HiddenSheetCLAY!$B$1:$E$1,0),FALSE))),'Control Panel'!M56)))</f>
        <v>-5555</v>
      </c>
      <c r="N56" s="27">
        <f>IF($K56="","",IF(N$37="","",IF('Control Panel'!N56="",IF(VLOOKUP($F56,'Table Output'!$A$1:$H$100002,8,FALSE)="Sand",VLOOKUP(N$37,BoundParameters_HiddenSheetSAND!$B$3:$E$50,MATCH(VLOOKUP($K56,$K$5:$AL$34,MATCH(VLOOKUP(N$37,$BJ$3:$BK$50,2,FALSE),$K$4:$AL$4,0),FALSE),BoundParameters_HiddenSheetCLAY!$B$1:$E$1,0),FALSE),IF(VLOOKUP($F56,'Table Output'!$A$1:$H$100002,8,FALSE)="Clay",VLOOKUP(N$37,BoundParameters_HiddenSheetCLAY!$B$3:$E$50,MATCH(VLOOKUP($K56,$K$5:$AL$34,MATCH(VLOOKUP(N$37,$BJ$3:$BK$50,2,FALSE),$K$4:$AL$4,0),FALSE),BoundParameters_HiddenSheetCLAY!$B$1:$E$1,0),FALSE))),'Control Panel'!N56)))</f>
        <v>1E-3</v>
      </c>
      <c r="O56" s="27">
        <f>IF($K56="","",IF(O$37="","",IF('Control Panel'!O56="",IF(VLOOKUP($F56,'Table Output'!$A$1:$H$100002,8,FALSE)="Sand",VLOOKUP(O$37,BoundParameters_HiddenSheetSAND!$B$3:$E$50,MATCH(VLOOKUP($K56,$K$5:$AL$34,MATCH(VLOOKUP(O$37,$BJ$3:$BK$50,2,FALSE),$K$4:$AL$4,0),FALSE),BoundParameters_HiddenSheetCLAY!$B$1:$E$1,0),FALSE),IF(VLOOKUP($F56,'Table Output'!$A$1:$H$100002,8,FALSE)="Clay",VLOOKUP(O$37,BoundParameters_HiddenSheetCLAY!$B$3:$E$50,MATCH(VLOOKUP($K56,$K$5:$AL$34,MATCH(VLOOKUP(O$37,$BJ$3:$BK$50,2,FALSE),$K$4:$AL$4,0),FALSE),BoundParameters_HiddenSheetCLAY!$B$1:$E$1,0),FALSE))),'Control Panel'!O56)))</f>
        <v>-5555</v>
      </c>
      <c r="P56" s="27">
        <f>IF($K56="","",IF(P$37="","",IF('Control Panel'!P56="",IF(VLOOKUP($F56,'Table Output'!$A$1:$H$100002,8,FALSE)="Sand",VLOOKUP(P$37,BoundParameters_HiddenSheetSAND!$B$3:$E$50,MATCH(VLOOKUP($K56,$K$5:$AL$34,MATCH(VLOOKUP(P$37,$BJ$3:$BK$50,2,FALSE),$K$4:$AL$4,0),FALSE),BoundParameters_HiddenSheetCLAY!$B$1:$E$1,0),FALSE),IF(VLOOKUP($F56,'Table Output'!$A$1:$H$100002,8,FALSE)="Clay",VLOOKUP(P$37,BoundParameters_HiddenSheetCLAY!$B$3:$E$50,MATCH(VLOOKUP($K56,$K$5:$AL$34,MATCH(VLOOKUP(P$37,$BJ$3:$BK$50,2,FALSE),$K$4:$AL$4,0),FALSE),BoundParameters_HiddenSheetCLAY!$B$1:$E$1,0),FALSE))),'Control Panel'!P56)))</f>
        <v>0.02</v>
      </c>
      <c r="Q56" s="27">
        <f>IF($K56="","",IF(Q$37="","",IF('Control Panel'!Q56="",IF(VLOOKUP($F56,'Table Output'!$A$1:$H$100002,8,FALSE)="Sand",VLOOKUP(Q$37,BoundParameters_HiddenSheetSAND!$B$3:$E$50,MATCH(VLOOKUP($K56,$K$5:$AL$34,MATCH(VLOOKUP(Q$37,$BJ$3:$BK$50,2,FALSE),$K$4:$AL$4,0),FALSE),BoundParameters_HiddenSheetCLAY!$B$1:$E$1,0),FALSE),IF(VLOOKUP($F56,'Table Output'!$A$1:$H$100002,8,FALSE)="Clay",VLOOKUP(Q$37,BoundParameters_HiddenSheetCLAY!$B$3:$E$50,MATCH(VLOOKUP($K56,$K$5:$AL$34,MATCH(VLOOKUP(Q$37,$BJ$3:$BK$50,2,FALSE),$K$4:$AL$4,0),FALSE),BoundParameters_HiddenSheetCLAY!$B$1:$E$1,0),FALSE))),'Control Panel'!Q56)))</f>
        <v>-5555</v>
      </c>
      <c r="R56" s="27">
        <f>IF($K56="","",IF(R$37="","",IF('Control Panel'!R56="",IF(VLOOKUP($F56,'Table Output'!$A$1:$H$100002,8,FALSE)="Sand",VLOOKUP(R$37,BoundParameters_HiddenSheetSAND!$B$3:$E$50,MATCH(VLOOKUP($K56,$K$5:$AL$34,MATCH(VLOOKUP(R$37,$BJ$3:$BK$50,2,FALSE),$K$4:$AL$4,0),FALSE),BoundParameters_HiddenSheetCLAY!$B$1:$E$1,0),FALSE),IF(VLOOKUP($F56,'Table Output'!$A$1:$H$100002,8,FALSE)="Clay",VLOOKUP(R$37,BoundParameters_HiddenSheetCLAY!$B$3:$E$50,MATCH(VLOOKUP($K56,$K$5:$AL$34,MATCH(VLOOKUP(R$37,$BJ$3:$BK$50,2,FALSE),$K$4:$AL$4,0),FALSE),BoundParameters_HiddenSheetCLAY!$B$1:$E$1,0),FALSE))),'Control Panel'!R56)))</f>
        <v>0</v>
      </c>
      <c r="S56" s="27" t="str">
        <f>IF($K56="","",IF(S$37="","",IF('Control Panel'!S56="",IF(VLOOKUP($F56,'Table Output'!$A$1:$H$100002,8,FALSE)="Sand",VLOOKUP(S$37,BoundParameters_HiddenSheetSAND!$B$3:$E$50,MATCH(VLOOKUP($K56,$K$5:$AL$34,MATCH(VLOOKUP(S$37,$BJ$3:$BK$50,2,FALSE),$K$4:$AL$4,0),FALSE),BoundParameters_HiddenSheetCLAY!$B$1:$E$1,0),FALSE),IF(VLOOKUP($F56,'Table Output'!$A$1:$H$100002,8,FALSE)="Clay",VLOOKUP(S$37,BoundParameters_HiddenSheetCLAY!$B$3:$E$50,MATCH(VLOOKUP($K56,$K$5:$AL$34,MATCH(VLOOKUP(S$37,$BJ$3:$BK$50,2,FALSE),$K$4:$AL$4,0),FALSE),BoundParameters_HiddenSheetCLAY!$B$1:$E$1,0),FALSE))),'Control Panel'!S56)))</f>
        <v/>
      </c>
      <c r="T56" s="27" t="str">
        <f>IF($K56="","",IF(T$37="","",IF('Control Panel'!T56="",IF(VLOOKUP($F56,'Table Output'!$A$1:$H$100002,8,FALSE)="Sand",VLOOKUP(T$37,BoundParameters_HiddenSheetSAND!$B$3:$E$50,MATCH(VLOOKUP($K56,$K$5:$AL$34,MATCH(VLOOKUP(T$37,$BJ$3:$BK$50,2,FALSE),$K$4:$AL$4,0),FALSE),BoundParameters_HiddenSheetCLAY!$B$1:$E$1,0),FALSE),IF(VLOOKUP($F56,'Table Output'!$A$1:$H$100002,8,FALSE)="Clay",VLOOKUP(T$37,BoundParameters_HiddenSheetCLAY!$B$3:$E$50,MATCH(VLOOKUP($K56,$K$5:$AL$34,MATCH(VLOOKUP(T$37,$BJ$3:$BK$50,2,FALSE),$K$4:$AL$4,0),FALSE),BoundParameters_HiddenSheetCLAY!$B$1:$E$1,0),FALSE))),'Control Panel'!T56)))</f>
        <v/>
      </c>
      <c r="U56" s="27" t="str">
        <f>IF($K56="","",IF(U$37="","",IF('Control Panel'!U56="",IF(VLOOKUP($F56,'Table Output'!$A$1:$H$100002,8,FALSE)="Sand",VLOOKUP(U$37,BoundParameters_HiddenSheetSAND!$B$3:$E$50,MATCH(VLOOKUP($K56,$K$5:$AL$34,MATCH(VLOOKUP(U$37,$BJ$3:$BK$50,2,FALSE),$K$4:$AL$4,0),FALSE),BoundParameters_HiddenSheetCLAY!$B$1:$E$1,0),FALSE),IF(VLOOKUP($F56,'Table Output'!$A$1:$H$100002,8,FALSE)="Clay",VLOOKUP(U$37,BoundParameters_HiddenSheetCLAY!$B$3:$E$50,MATCH(VLOOKUP($K56,$K$5:$AL$34,MATCH(VLOOKUP(U$37,$BJ$3:$BK$50,2,FALSE),$K$4:$AL$4,0),FALSE),BoundParameters_HiddenSheetCLAY!$B$1:$E$1,0),FALSE))),'Control Panel'!U56)))</f>
        <v/>
      </c>
    </row>
    <row r="57" spans="2:63" x14ac:dyDescent="0.2">
      <c r="E57" s="2">
        <f t="shared" ref="E57:F57" si="25">E24</f>
        <v>1</v>
      </c>
      <c r="F57" s="2" t="str">
        <f t="shared" si="25"/>
        <v>NGI_U3_12</v>
      </c>
      <c r="G57" s="2" t="str">
        <f t="shared" ref="G57:J57" si="26">G24</f>
        <v>Empire_Wind_1</v>
      </c>
      <c r="H57" s="2" t="str">
        <f t="shared" si="26"/>
        <v>NA</v>
      </c>
      <c r="I57" s="2">
        <f t="shared" si="26"/>
        <v>7</v>
      </c>
      <c r="J57" s="2" t="str">
        <f t="shared" si="26"/>
        <v>NGI_U3_12</v>
      </c>
      <c r="K57" s="4">
        <f t="shared" si="4"/>
        <v>20</v>
      </c>
      <c r="L57" s="27">
        <f>IF($K57="","",IF(L$37="","",IF('Control Panel'!L57="",IF(VLOOKUP($F57,'Table Output'!$A$1:$H$100002,8,FALSE)="Sand",VLOOKUP(L$37,BoundParameters_HiddenSheetSAND!$B$3:$E$50,MATCH(VLOOKUP($K57,$K$5:$AL$34,MATCH(VLOOKUP(L$37,$BJ$3:$BK$50,2,FALSE),$K$4:$AL$4,0),FALSE),BoundParameters_HiddenSheetCLAY!$B$1:$E$1,0),FALSE),IF(VLOOKUP($F57,'Table Output'!$A$1:$H$100002,8,FALSE)="Clay",VLOOKUP(L$37,BoundParameters_HiddenSheetCLAY!$B$3:$E$50,MATCH(VLOOKUP($K57,$K$5:$AL$34,MATCH(VLOOKUP(L$37,$BJ$3:$BK$50,2,FALSE),$K$4:$AL$4,0),FALSE),BoundParameters_HiddenSheetCLAY!$B$1:$E$1,0),FALSE))),'Control Panel'!L57)))</f>
        <v>1</v>
      </c>
      <c r="M57" s="27">
        <f>IF($K57="","",IF(M$37="","",IF('Control Panel'!M57="",IF(VLOOKUP($F57,'Table Output'!$A$1:$H$100002,8,FALSE)="Sand",VLOOKUP(M$37,BoundParameters_HiddenSheetSAND!$B$3:$E$50,MATCH(VLOOKUP($K57,$K$5:$AL$34,MATCH(VLOOKUP(M$37,$BJ$3:$BK$50,2,FALSE),$K$4:$AL$4,0),FALSE),BoundParameters_HiddenSheetCLAY!$B$1:$E$1,0),FALSE),IF(VLOOKUP($F57,'Table Output'!$A$1:$H$100002,8,FALSE)="Clay",VLOOKUP(M$37,BoundParameters_HiddenSheetCLAY!$B$3:$E$50,MATCH(VLOOKUP($K57,$K$5:$AL$34,MATCH(VLOOKUP(M$37,$BJ$3:$BK$50,2,FALSE),$K$4:$AL$4,0),FALSE),BoundParameters_HiddenSheetCLAY!$B$1:$E$1,0),FALSE))),'Control Panel'!M57)))</f>
        <v>-5555</v>
      </c>
      <c r="N57" s="27">
        <f>IF($K57="","",IF(N$37="","",IF('Control Panel'!N57="",IF(VLOOKUP($F57,'Table Output'!$A$1:$H$100002,8,FALSE)="Sand",VLOOKUP(N$37,BoundParameters_HiddenSheetSAND!$B$3:$E$50,MATCH(VLOOKUP($K57,$K$5:$AL$34,MATCH(VLOOKUP(N$37,$BJ$3:$BK$50,2,FALSE),$K$4:$AL$4,0),FALSE),BoundParameters_HiddenSheetCLAY!$B$1:$E$1,0),FALSE),IF(VLOOKUP($F57,'Table Output'!$A$1:$H$100002,8,FALSE)="Clay",VLOOKUP(N$37,BoundParameters_HiddenSheetCLAY!$B$3:$E$50,MATCH(VLOOKUP($K57,$K$5:$AL$34,MATCH(VLOOKUP(N$37,$BJ$3:$BK$50,2,FALSE),$K$4:$AL$4,0),FALSE),BoundParameters_HiddenSheetCLAY!$B$1:$E$1,0),FALSE))),'Control Panel'!N57)))</f>
        <v>1E-3</v>
      </c>
      <c r="O57" s="27">
        <f>IF($K57="","",IF(O$37="","",IF('Control Panel'!O57="",IF(VLOOKUP($F57,'Table Output'!$A$1:$H$100002,8,FALSE)="Sand",VLOOKUP(O$37,BoundParameters_HiddenSheetSAND!$B$3:$E$50,MATCH(VLOOKUP($K57,$K$5:$AL$34,MATCH(VLOOKUP(O$37,$BJ$3:$BK$50,2,FALSE),$K$4:$AL$4,0),FALSE),BoundParameters_HiddenSheetCLAY!$B$1:$E$1,0),FALSE),IF(VLOOKUP($F57,'Table Output'!$A$1:$H$100002,8,FALSE)="Clay",VLOOKUP(O$37,BoundParameters_HiddenSheetCLAY!$B$3:$E$50,MATCH(VLOOKUP($K57,$K$5:$AL$34,MATCH(VLOOKUP(O$37,$BJ$3:$BK$50,2,FALSE),$K$4:$AL$4,0),FALSE),BoundParameters_HiddenSheetCLAY!$B$1:$E$1,0),FALSE))),'Control Panel'!O57)))</f>
        <v>-5555</v>
      </c>
      <c r="P57" s="27">
        <f>IF($K57="","",IF(P$37="","",IF('Control Panel'!P57="",IF(VLOOKUP($F57,'Table Output'!$A$1:$H$100002,8,FALSE)="Sand",VLOOKUP(P$37,BoundParameters_HiddenSheetSAND!$B$3:$E$50,MATCH(VLOOKUP($K57,$K$5:$AL$34,MATCH(VLOOKUP(P$37,$BJ$3:$BK$50,2,FALSE),$K$4:$AL$4,0),FALSE),BoundParameters_HiddenSheetCLAY!$B$1:$E$1,0),FALSE),IF(VLOOKUP($F57,'Table Output'!$A$1:$H$100002,8,FALSE)="Clay",VLOOKUP(P$37,BoundParameters_HiddenSheetCLAY!$B$3:$E$50,MATCH(VLOOKUP($K57,$K$5:$AL$34,MATCH(VLOOKUP(P$37,$BJ$3:$BK$50,2,FALSE),$K$4:$AL$4,0),FALSE),BoundParameters_HiddenSheetCLAY!$B$1:$E$1,0),FALSE))),'Control Panel'!P57)))</f>
        <v>0.02</v>
      </c>
      <c r="Q57" s="27">
        <f>IF($K57="","",IF(Q$37="","",IF('Control Panel'!Q57="",IF(VLOOKUP($F57,'Table Output'!$A$1:$H$100002,8,FALSE)="Sand",VLOOKUP(Q$37,BoundParameters_HiddenSheetSAND!$B$3:$E$50,MATCH(VLOOKUP($K57,$K$5:$AL$34,MATCH(VLOOKUP(Q$37,$BJ$3:$BK$50,2,FALSE),$K$4:$AL$4,0),FALSE),BoundParameters_HiddenSheetCLAY!$B$1:$E$1,0),FALSE),IF(VLOOKUP($F57,'Table Output'!$A$1:$H$100002,8,FALSE)="Clay",VLOOKUP(Q$37,BoundParameters_HiddenSheetCLAY!$B$3:$E$50,MATCH(VLOOKUP($K57,$K$5:$AL$34,MATCH(VLOOKUP(Q$37,$BJ$3:$BK$50,2,FALSE),$K$4:$AL$4,0),FALSE),BoundParameters_HiddenSheetCLAY!$B$1:$E$1,0),FALSE))),'Control Panel'!Q57)))</f>
        <v>-5555</v>
      </c>
      <c r="R57" s="27">
        <f>IF($K57="","",IF(R$37="","",IF('Control Panel'!R57="",IF(VLOOKUP($F57,'Table Output'!$A$1:$H$100002,8,FALSE)="Sand",VLOOKUP(R$37,BoundParameters_HiddenSheetSAND!$B$3:$E$50,MATCH(VLOOKUP($K57,$K$5:$AL$34,MATCH(VLOOKUP(R$37,$BJ$3:$BK$50,2,FALSE),$K$4:$AL$4,0),FALSE),BoundParameters_HiddenSheetCLAY!$B$1:$E$1,0),FALSE),IF(VLOOKUP($F57,'Table Output'!$A$1:$H$100002,8,FALSE)="Clay",VLOOKUP(R$37,BoundParameters_HiddenSheetCLAY!$B$3:$E$50,MATCH(VLOOKUP($K57,$K$5:$AL$34,MATCH(VLOOKUP(R$37,$BJ$3:$BK$50,2,FALSE),$K$4:$AL$4,0),FALSE),BoundParameters_HiddenSheetCLAY!$B$1:$E$1,0),FALSE))),'Control Panel'!R57)))</f>
        <v>0</v>
      </c>
      <c r="S57" s="27" t="str">
        <f>IF($K57="","",IF(S$37="","",IF('Control Panel'!S57="",IF(VLOOKUP($F57,'Table Output'!$A$1:$H$100002,8,FALSE)="Sand",VLOOKUP(S$37,BoundParameters_HiddenSheetSAND!$B$3:$E$50,MATCH(VLOOKUP($K57,$K$5:$AL$34,MATCH(VLOOKUP(S$37,$BJ$3:$BK$50,2,FALSE),$K$4:$AL$4,0),FALSE),BoundParameters_HiddenSheetCLAY!$B$1:$E$1,0),FALSE),IF(VLOOKUP($F57,'Table Output'!$A$1:$H$100002,8,FALSE)="Clay",VLOOKUP(S$37,BoundParameters_HiddenSheetCLAY!$B$3:$E$50,MATCH(VLOOKUP($K57,$K$5:$AL$34,MATCH(VLOOKUP(S$37,$BJ$3:$BK$50,2,FALSE),$K$4:$AL$4,0),FALSE),BoundParameters_HiddenSheetCLAY!$B$1:$E$1,0),FALSE))),'Control Panel'!S57)))</f>
        <v/>
      </c>
      <c r="T57" s="27" t="str">
        <f>IF($K57="","",IF(T$37="","",IF('Control Panel'!T57="",IF(VLOOKUP($F57,'Table Output'!$A$1:$H$100002,8,FALSE)="Sand",VLOOKUP(T$37,BoundParameters_HiddenSheetSAND!$B$3:$E$50,MATCH(VLOOKUP($K57,$K$5:$AL$34,MATCH(VLOOKUP(T$37,$BJ$3:$BK$50,2,FALSE),$K$4:$AL$4,0),FALSE),BoundParameters_HiddenSheetCLAY!$B$1:$E$1,0),FALSE),IF(VLOOKUP($F57,'Table Output'!$A$1:$H$100002,8,FALSE)="Clay",VLOOKUP(T$37,BoundParameters_HiddenSheetCLAY!$B$3:$E$50,MATCH(VLOOKUP($K57,$K$5:$AL$34,MATCH(VLOOKUP(T$37,$BJ$3:$BK$50,2,FALSE),$K$4:$AL$4,0),FALSE),BoundParameters_HiddenSheetCLAY!$B$1:$E$1,0),FALSE))),'Control Panel'!T57)))</f>
        <v/>
      </c>
      <c r="U57" s="27" t="str">
        <f>IF($K57="","",IF(U$37="","",IF('Control Panel'!U57="",IF(VLOOKUP($F57,'Table Output'!$A$1:$H$100002,8,FALSE)="Sand",VLOOKUP(U$37,BoundParameters_HiddenSheetSAND!$B$3:$E$50,MATCH(VLOOKUP($K57,$K$5:$AL$34,MATCH(VLOOKUP(U$37,$BJ$3:$BK$50,2,FALSE),$K$4:$AL$4,0),FALSE),BoundParameters_HiddenSheetCLAY!$B$1:$E$1,0),FALSE),IF(VLOOKUP($F57,'Table Output'!$A$1:$H$100002,8,FALSE)="Clay",VLOOKUP(U$37,BoundParameters_HiddenSheetCLAY!$B$3:$E$50,MATCH(VLOOKUP($K57,$K$5:$AL$34,MATCH(VLOOKUP(U$37,$BJ$3:$BK$50,2,FALSE),$K$4:$AL$4,0),FALSE),BoundParameters_HiddenSheetCLAY!$B$1:$E$1,0),FALSE))),'Control Panel'!U57)))</f>
        <v/>
      </c>
    </row>
    <row r="58" spans="2:63" x14ac:dyDescent="0.2">
      <c r="B58" s="2" t="str">
        <f>'Control Panel'!B58</f>
        <v xml:space="preserve">Apply cyclic degradation </v>
      </c>
      <c r="C58" s="2" t="str">
        <f>'Control Panel'!C58</f>
        <v>cyclic</v>
      </c>
      <c r="E58" s="2">
        <f t="shared" ref="E58:F58" si="27">E25</f>
        <v>1</v>
      </c>
      <c r="F58" s="2" t="str">
        <f t="shared" si="27"/>
        <v>NGI_U3_12</v>
      </c>
      <c r="G58" s="2" t="str">
        <f t="shared" ref="G58:J58" si="28">G25</f>
        <v>Empire_Wind_1</v>
      </c>
      <c r="H58" s="2" t="str">
        <f t="shared" si="28"/>
        <v>NA</v>
      </c>
      <c r="I58" s="2">
        <f t="shared" si="28"/>
        <v>7</v>
      </c>
      <c r="J58" s="2" t="str">
        <f t="shared" si="28"/>
        <v>NGI_U3_12</v>
      </c>
      <c r="K58" s="4">
        <f t="shared" si="4"/>
        <v>21</v>
      </c>
      <c r="L58" s="27">
        <f>IF($K58="","",IF(L$37="","",IF('Control Panel'!L58="",IF(VLOOKUP($F58,'Table Output'!$A$1:$H$100002,8,FALSE)="Sand",VLOOKUP(L$37,BoundParameters_HiddenSheetSAND!$B$3:$E$50,MATCH(VLOOKUP($K58,$K$5:$AL$34,MATCH(VLOOKUP(L$37,$BJ$3:$BK$50,2,FALSE),$K$4:$AL$4,0),FALSE),BoundParameters_HiddenSheetCLAY!$B$1:$E$1,0),FALSE),IF(VLOOKUP($F58,'Table Output'!$A$1:$H$100002,8,FALSE)="Clay",VLOOKUP(L$37,BoundParameters_HiddenSheetCLAY!$B$3:$E$50,MATCH(VLOOKUP($K58,$K$5:$AL$34,MATCH(VLOOKUP(L$37,$BJ$3:$BK$50,2,FALSE),$K$4:$AL$4,0),FALSE),BoundParameters_HiddenSheetCLAY!$B$1:$E$1,0),FALSE))),'Control Panel'!L58)))</f>
        <v>1</v>
      </c>
      <c r="M58" s="27">
        <f>IF($K58="","",IF(M$37="","",IF('Control Panel'!M58="",IF(VLOOKUP($F58,'Table Output'!$A$1:$H$100002,8,FALSE)="Sand",VLOOKUP(M$37,BoundParameters_HiddenSheetSAND!$B$3:$E$50,MATCH(VLOOKUP($K58,$K$5:$AL$34,MATCH(VLOOKUP(M$37,$BJ$3:$BK$50,2,FALSE),$K$4:$AL$4,0),FALSE),BoundParameters_HiddenSheetCLAY!$B$1:$E$1,0),FALSE),IF(VLOOKUP($F58,'Table Output'!$A$1:$H$100002,8,FALSE)="Clay",VLOOKUP(M$37,BoundParameters_HiddenSheetCLAY!$B$3:$E$50,MATCH(VLOOKUP($K58,$K$5:$AL$34,MATCH(VLOOKUP(M$37,$BJ$3:$BK$50,2,FALSE),$K$4:$AL$4,0),FALSE),BoundParameters_HiddenSheetCLAY!$B$1:$E$1,0),FALSE))),'Control Panel'!M58)))</f>
        <v>-5555</v>
      </c>
      <c r="N58" s="27">
        <f>IF($K58="","",IF(N$37="","",IF('Control Panel'!N58="",IF(VLOOKUP($F58,'Table Output'!$A$1:$H$100002,8,FALSE)="Sand",VLOOKUP(N$37,BoundParameters_HiddenSheetSAND!$B$3:$E$50,MATCH(VLOOKUP($K58,$K$5:$AL$34,MATCH(VLOOKUP(N$37,$BJ$3:$BK$50,2,FALSE),$K$4:$AL$4,0),FALSE),BoundParameters_HiddenSheetCLAY!$B$1:$E$1,0),FALSE),IF(VLOOKUP($F58,'Table Output'!$A$1:$H$100002,8,FALSE)="Clay",VLOOKUP(N$37,BoundParameters_HiddenSheetCLAY!$B$3:$E$50,MATCH(VLOOKUP($K58,$K$5:$AL$34,MATCH(VLOOKUP(N$37,$BJ$3:$BK$50,2,FALSE),$K$4:$AL$4,0),FALSE),BoundParameters_HiddenSheetCLAY!$B$1:$E$1,0),FALSE))),'Control Panel'!N58)))</f>
        <v>1E-3</v>
      </c>
      <c r="O58" s="27">
        <f>IF($K58="","",IF(O$37="","",IF('Control Panel'!O58="",IF(VLOOKUP($F58,'Table Output'!$A$1:$H$100002,8,FALSE)="Sand",VLOOKUP(O$37,BoundParameters_HiddenSheetSAND!$B$3:$E$50,MATCH(VLOOKUP($K58,$K$5:$AL$34,MATCH(VLOOKUP(O$37,$BJ$3:$BK$50,2,FALSE),$K$4:$AL$4,0),FALSE),BoundParameters_HiddenSheetCLAY!$B$1:$E$1,0),FALSE),IF(VLOOKUP($F58,'Table Output'!$A$1:$H$100002,8,FALSE)="Clay",VLOOKUP(O$37,BoundParameters_HiddenSheetCLAY!$B$3:$E$50,MATCH(VLOOKUP($K58,$K$5:$AL$34,MATCH(VLOOKUP(O$37,$BJ$3:$BK$50,2,FALSE),$K$4:$AL$4,0),FALSE),BoundParameters_HiddenSheetCLAY!$B$1:$E$1,0),FALSE))),'Control Panel'!O58)))</f>
        <v>-5555</v>
      </c>
      <c r="P58" s="27">
        <f>IF($K58="","",IF(P$37="","",IF('Control Panel'!P58="",IF(VLOOKUP($F58,'Table Output'!$A$1:$H$100002,8,FALSE)="Sand",VLOOKUP(P$37,BoundParameters_HiddenSheetSAND!$B$3:$E$50,MATCH(VLOOKUP($K58,$K$5:$AL$34,MATCH(VLOOKUP(P$37,$BJ$3:$BK$50,2,FALSE),$K$4:$AL$4,0),FALSE),BoundParameters_HiddenSheetCLAY!$B$1:$E$1,0),FALSE),IF(VLOOKUP($F58,'Table Output'!$A$1:$H$100002,8,FALSE)="Clay",VLOOKUP(P$37,BoundParameters_HiddenSheetCLAY!$B$3:$E$50,MATCH(VLOOKUP($K58,$K$5:$AL$34,MATCH(VLOOKUP(P$37,$BJ$3:$BK$50,2,FALSE),$K$4:$AL$4,0),FALSE),BoundParameters_HiddenSheetCLAY!$B$1:$E$1,0),FALSE))),'Control Panel'!P58)))</f>
        <v>0.02</v>
      </c>
      <c r="Q58" s="27">
        <f>IF($K58="","",IF(Q$37="","",IF('Control Panel'!Q58="",IF(VLOOKUP($F58,'Table Output'!$A$1:$H$100002,8,FALSE)="Sand",VLOOKUP(Q$37,BoundParameters_HiddenSheetSAND!$B$3:$E$50,MATCH(VLOOKUP($K58,$K$5:$AL$34,MATCH(VLOOKUP(Q$37,$BJ$3:$BK$50,2,FALSE),$K$4:$AL$4,0),FALSE),BoundParameters_HiddenSheetCLAY!$B$1:$E$1,0),FALSE),IF(VLOOKUP($F58,'Table Output'!$A$1:$H$100002,8,FALSE)="Clay",VLOOKUP(Q$37,BoundParameters_HiddenSheetCLAY!$B$3:$E$50,MATCH(VLOOKUP($K58,$K$5:$AL$34,MATCH(VLOOKUP(Q$37,$BJ$3:$BK$50,2,FALSE),$K$4:$AL$4,0),FALSE),BoundParameters_HiddenSheetCLAY!$B$1:$E$1,0),FALSE))),'Control Panel'!Q58)))</f>
        <v>-5555</v>
      </c>
      <c r="R58" s="27">
        <f>IF($K58="","",IF(R$37="","",IF('Control Panel'!R58="",IF(VLOOKUP($F58,'Table Output'!$A$1:$H$100002,8,FALSE)="Sand",VLOOKUP(R$37,BoundParameters_HiddenSheetSAND!$B$3:$E$50,MATCH(VLOOKUP($K58,$K$5:$AL$34,MATCH(VLOOKUP(R$37,$BJ$3:$BK$50,2,FALSE),$K$4:$AL$4,0),FALSE),BoundParameters_HiddenSheetCLAY!$B$1:$E$1,0),FALSE),IF(VLOOKUP($F58,'Table Output'!$A$1:$H$100002,8,FALSE)="Clay",VLOOKUP(R$37,BoundParameters_HiddenSheetCLAY!$B$3:$E$50,MATCH(VLOOKUP($K58,$K$5:$AL$34,MATCH(VLOOKUP(R$37,$BJ$3:$BK$50,2,FALSE),$K$4:$AL$4,0),FALSE),BoundParameters_HiddenSheetCLAY!$B$1:$E$1,0),FALSE))),'Control Panel'!R58)))</f>
        <v>0</v>
      </c>
      <c r="S58" s="27" t="str">
        <f>IF($K58="","",IF(S$37="","",IF('Control Panel'!S58="",IF(VLOOKUP($F58,'Table Output'!$A$1:$H$100002,8,FALSE)="Sand",VLOOKUP(S$37,BoundParameters_HiddenSheetSAND!$B$3:$E$50,MATCH(VLOOKUP($K58,$K$5:$AL$34,MATCH(VLOOKUP(S$37,$BJ$3:$BK$50,2,FALSE),$K$4:$AL$4,0),FALSE),BoundParameters_HiddenSheetCLAY!$B$1:$E$1,0),FALSE),IF(VLOOKUP($F58,'Table Output'!$A$1:$H$100002,8,FALSE)="Clay",VLOOKUP(S$37,BoundParameters_HiddenSheetCLAY!$B$3:$E$50,MATCH(VLOOKUP($K58,$K$5:$AL$34,MATCH(VLOOKUP(S$37,$BJ$3:$BK$50,2,FALSE),$K$4:$AL$4,0),FALSE),BoundParameters_HiddenSheetCLAY!$B$1:$E$1,0),FALSE))),'Control Panel'!S58)))</f>
        <v/>
      </c>
      <c r="T58" s="27" t="str">
        <f>IF($K58="","",IF(T$37="","",IF('Control Panel'!T58="",IF(VLOOKUP($F58,'Table Output'!$A$1:$H$100002,8,FALSE)="Sand",VLOOKUP(T$37,BoundParameters_HiddenSheetSAND!$B$3:$E$50,MATCH(VLOOKUP($K58,$K$5:$AL$34,MATCH(VLOOKUP(T$37,$BJ$3:$BK$50,2,FALSE),$K$4:$AL$4,0),FALSE),BoundParameters_HiddenSheetCLAY!$B$1:$E$1,0),FALSE),IF(VLOOKUP($F58,'Table Output'!$A$1:$H$100002,8,FALSE)="Clay",VLOOKUP(T$37,BoundParameters_HiddenSheetCLAY!$B$3:$E$50,MATCH(VLOOKUP($K58,$K$5:$AL$34,MATCH(VLOOKUP(T$37,$BJ$3:$BK$50,2,FALSE),$K$4:$AL$4,0),FALSE),BoundParameters_HiddenSheetCLAY!$B$1:$E$1,0),FALSE))),'Control Panel'!T58)))</f>
        <v/>
      </c>
      <c r="U58" s="27" t="str">
        <f>IF($K58="","",IF(U$37="","",IF('Control Panel'!U58="",IF(VLOOKUP($F58,'Table Output'!$A$1:$H$100002,8,FALSE)="Sand",VLOOKUP(U$37,BoundParameters_HiddenSheetSAND!$B$3:$E$50,MATCH(VLOOKUP($K58,$K$5:$AL$34,MATCH(VLOOKUP(U$37,$BJ$3:$BK$50,2,FALSE),$K$4:$AL$4,0),FALSE),BoundParameters_HiddenSheetCLAY!$B$1:$E$1,0),FALSE),IF(VLOOKUP($F58,'Table Output'!$A$1:$H$100002,8,FALSE)="Clay",VLOOKUP(U$37,BoundParameters_HiddenSheetCLAY!$B$3:$E$50,MATCH(VLOOKUP($K58,$K$5:$AL$34,MATCH(VLOOKUP(U$37,$BJ$3:$BK$50,2,FALSE),$K$4:$AL$4,0),FALSE),BoundParameters_HiddenSheetCLAY!$B$1:$E$1,0),FALSE))),'Control Panel'!U58)))</f>
        <v/>
      </c>
    </row>
    <row r="59" spans="2:63" x14ac:dyDescent="0.2">
      <c r="B59" s="2" t="str">
        <f>'Control Panel'!B59</f>
        <v xml:space="preserve">Method of Cyclic degradation </v>
      </c>
      <c r="C59" s="2" t="str">
        <f>'Control Panel'!C59</f>
        <v>P_NGI</v>
      </c>
      <c r="E59" s="2" t="str">
        <f t="shared" ref="E59:F59" si="29">E26</f>
        <v/>
      </c>
      <c r="F59" s="2" t="str">
        <f t="shared" si="29"/>
        <v/>
      </c>
      <c r="G59" s="2" t="str">
        <f t="shared" ref="G59:J59" si="30">G26</f>
        <v/>
      </c>
      <c r="H59" s="2" t="str">
        <f t="shared" si="30"/>
        <v/>
      </c>
      <c r="I59" s="2" t="str">
        <f t="shared" si="30"/>
        <v/>
      </c>
      <c r="J59" s="2" t="str">
        <f t="shared" si="30"/>
        <v/>
      </c>
      <c r="K59" s="4" t="str">
        <f t="shared" si="4"/>
        <v/>
      </c>
      <c r="L59" s="27" t="str">
        <f>IF($K59="","",IF(L$37="","",IF('Control Panel'!L59="",IF(VLOOKUP($F59,'Table Output'!$A$1:$H$100002,8,FALSE)="Sand",VLOOKUP(L$37,BoundParameters_HiddenSheetSAND!$B$3:$E$50,MATCH(VLOOKUP($K59,$K$5:$AL$34,MATCH(VLOOKUP(L$37,$BJ$3:$BK$50,2,FALSE),$K$4:$AL$4,0),FALSE),BoundParameters_HiddenSheetCLAY!$B$1:$E$1,0),FALSE),IF(VLOOKUP($F59,'Table Output'!$A$1:$H$100002,8,FALSE)="Clay",VLOOKUP(L$37,BoundParameters_HiddenSheetCLAY!$B$3:$E$50,MATCH(VLOOKUP($K59,$K$5:$AL$34,MATCH(VLOOKUP(L$37,$BJ$3:$BK$50,2,FALSE),$K$4:$AL$4,0),FALSE),BoundParameters_HiddenSheetCLAY!$B$1:$E$1,0),FALSE))),'Control Panel'!L59)))</f>
        <v/>
      </c>
      <c r="M59" s="27" t="str">
        <f>IF($K59="","",IF(M$37="","",IF('Control Panel'!M59="",IF(VLOOKUP($F59,'Table Output'!$A$1:$H$100002,8,FALSE)="Sand",VLOOKUP(M$37,BoundParameters_HiddenSheetSAND!$B$3:$E$50,MATCH(VLOOKUP($K59,$K$5:$AL$34,MATCH(VLOOKUP(M$37,$BJ$3:$BK$50,2,FALSE),$K$4:$AL$4,0),FALSE),BoundParameters_HiddenSheetCLAY!$B$1:$E$1,0),FALSE),IF(VLOOKUP($F59,'Table Output'!$A$1:$H$100002,8,FALSE)="Clay",VLOOKUP(M$37,BoundParameters_HiddenSheetCLAY!$B$3:$E$50,MATCH(VLOOKUP($K59,$K$5:$AL$34,MATCH(VLOOKUP(M$37,$BJ$3:$BK$50,2,FALSE),$K$4:$AL$4,0),FALSE),BoundParameters_HiddenSheetCLAY!$B$1:$E$1,0),FALSE))),'Control Panel'!M59)))</f>
        <v/>
      </c>
      <c r="N59" s="27" t="str">
        <f>IF($K59="","",IF(N$37="","",IF('Control Panel'!N59="",IF(VLOOKUP($F59,'Table Output'!$A$1:$H$100002,8,FALSE)="Sand",VLOOKUP(N$37,BoundParameters_HiddenSheetSAND!$B$3:$E$50,MATCH(VLOOKUP($K59,$K$5:$AL$34,MATCH(VLOOKUP(N$37,$BJ$3:$BK$50,2,FALSE),$K$4:$AL$4,0),FALSE),BoundParameters_HiddenSheetCLAY!$B$1:$E$1,0),FALSE),IF(VLOOKUP($F59,'Table Output'!$A$1:$H$100002,8,FALSE)="Clay",VLOOKUP(N$37,BoundParameters_HiddenSheetCLAY!$B$3:$E$50,MATCH(VLOOKUP($K59,$K$5:$AL$34,MATCH(VLOOKUP(N$37,$BJ$3:$BK$50,2,FALSE),$K$4:$AL$4,0),FALSE),BoundParameters_HiddenSheetCLAY!$B$1:$E$1,0),FALSE))),'Control Panel'!N59)))</f>
        <v/>
      </c>
      <c r="O59" s="27" t="str">
        <f>IF($K59="","",IF(O$37="","",IF('Control Panel'!O59="",IF(VLOOKUP($F59,'Table Output'!$A$1:$H$100002,8,FALSE)="Sand",VLOOKUP(O$37,BoundParameters_HiddenSheetSAND!$B$3:$E$50,MATCH(VLOOKUP($K59,$K$5:$AL$34,MATCH(VLOOKUP(O$37,$BJ$3:$BK$50,2,FALSE),$K$4:$AL$4,0),FALSE),BoundParameters_HiddenSheetCLAY!$B$1:$E$1,0),FALSE),IF(VLOOKUP($F59,'Table Output'!$A$1:$H$100002,8,FALSE)="Clay",VLOOKUP(O$37,BoundParameters_HiddenSheetCLAY!$B$3:$E$50,MATCH(VLOOKUP($K59,$K$5:$AL$34,MATCH(VLOOKUP(O$37,$BJ$3:$BK$50,2,FALSE),$K$4:$AL$4,0),FALSE),BoundParameters_HiddenSheetCLAY!$B$1:$E$1,0),FALSE))),'Control Panel'!O59)))</f>
        <v/>
      </c>
      <c r="P59" s="27" t="str">
        <f>IF($K59="","",IF(P$37="","",IF('Control Panel'!P59="",IF(VLOOKUP($F59,'Table Output'!$A$1:$H$100002,8,FALSE)="Sand",VLOOKUP(P$37,BoundParameters_HiddenSheetSAND!$B$3:$E$50,MATCH(VLOOKUP($K59,$K$5:$AL$34,MATCH(VLOOKUP(P$37,$BJ$3:$BK$50,2,FALSE),$K$4:$AL$4,0),FALSE),BoundParameters_HiddenSheetCLAY!$B$1:$E$1,0),FALSE),IF(VLOOKUP($F59,'Table Output'!$A$1:$H$100002,8,FALSE)="Clay",VLOOKUP(P$37,BoundParameters_HiddenSheetCLAY!$B$3:$E$50,MATCH(VLOOKUP($K59,$K$5:$AL$34,MATCH(VLOOKUP(P$37,$BJ$3:$BK$50,2,FALSE),$K$4:$AL$4,0),FALSE),BoundParameters_HiddenSheetCLAY!$B$1:$E$1,0),FALSE))),'Control Panel'!P59)))</f>
        <v/>
      </c>
      <c r="Q59" s="27" t="str">
        <f>IF($K59="","",IF(Q$37="","",IF('Control Panel'!Q59="",IF(VLOOKUP($F59,'Table Output'!$A$1:$H$100002,8,FALSE)="Sand",VLOOKUP(Q$37,BoundParameters_HiddenSheetSAND!$B$3:$E$50,MATCH(VLOOKUP($K59,$K$5:$AL$34,MATCH(VLOOKUP(Q$37,$BJ$3:$BK$50,2,FALSE),$K$4:$AL$4,0),FALSE),BoundParameters_HiddenSheetCLAY!$B$1:$E$1,0),FALSE),IF(VLOOKUP($F59,'Table Output'!$A$1:$H$100002,8,FALSE)="Clay",VLOOKUP(Q$37,BoundParameters_HiddenSheetCLAY!$B$3:$E$50,MATCH(VLOOKUP($K59,$K$5:$AL$34,MATCH(VLOOKUP(Q$37,$BJ$3:$BK$50,2,FALSE),$K$4:$AL$4,0),FALSE),BoundParameters_HiddenSheetCLAY!$B$1:$E$1,0),FALSE))),'Control Panel'!Q59)))</f>
        <v/>
      </c>
      <c r="R59" s="27" t="str">
        <f>IF($K59="","",IF(R$37="","",IF('Control Panel'!R59="",IF(VLOOKUP($F59,'Table Output'!$A$1:$H$100002,8,FALSE)="Sand",VLOOKUP(R$37,BoundParameters_HiddenSheetSAND!$B$3:$E$50,MATCH(VLOOKUP($K59,$K$5:$AL$34,MATCH(VLOOKUP(R$37,$BJ$3:$BK$50,2,FALSE),$K$4:$AL$4,0),FALSE),BoundParameters_HiddenSheetCLAY!$B$1:$E$1,0),FALSE),IF(VLOOKUP($F59,'Table Output'!$A$1:$H$100002,8,FALSE)="Clay",VLOOKUP(R$37,BoundParameters_HiddenSheetCLAY!$B$3:$E$50,MATCH(VLOOKUP($K59,$K$5:$AL$34,MATCH(VLOOKUP(R$37,$BJ$3:$BK$50,2,FALSE),$K$4:$AL$4,0),FALSE),BoundParameters_HiddenSheetCLAY!$B$1:$E$1,0),FALSE))),'Control Panel'!R59)))</f>
        <v/>
      </c>
      <c r="S59" s="27" t="str">
        <f>IF($K59="","",IF(S$37="","",IF('Control Panel'!S59="",IF(VLOOKUP($F59,'Table Output'!$A$1:$H$100002,8,FALSE)="Sand",VLOOKUP(S$37,BoundParameters_HiddenSheetSAND!$B$3:$E$50,MATCH(VLOOKUP($K59,$K$5:$AL$34,MATCH(VLOOKUP(S$37,$BJ$3:$BK$50,2,FALSE),$K$4:$AL$4,0),FALSE),BoundParameters_HiddenSheetCLAY!$B$1:$E$1,0),FALSE),IF(VLOOKUP($F59,'Table Output'!$A$1:$H$100002,8,FALSE)="Clay",VLOOKUP(S$37,BoundParameters_HiddenSheetCLAY!$B$3:$E$50,MATCH(VLOOKUP($K59,$K$5:$AL$34,MATCH(VLOOKUP(S$37,$BJ$3:$BK$50,2,FALSE),$K$4:$AL$4,0),FALSE),BoundParameters_HiddenSheetCLAY!$B$1:$E$1,0),FALSE))),'Control Panel'!S59)))</f>
        <v/>
      </c>
      <c r="T59" s="27" t="str">
        <f>IF($K59="","",IF(T$37="","",IF('Control Panel'!T59="",IF(VLOOKUP($F59,'Table Output'!$A$1:$H$100002,8,FALSE)="Sand",VLOOKUP(T$37,BoundParameters_HiddenSheetSAND!$B$3:$E$50,MATCH(VLOOKUP($K59,$K$5:$AL$34,MATCH(VLOOKUP(T$37,$BJ$3:$BK$50,2,FALSE),$K$4:$AL$4,0),FALSE),BoundParameters_HiddenSheetCLAY!$B$1:$E$1,0),FALSE),IF(VLOOKUP($F59,'Table Output'!$A$1:$H$100002,8,FALSE)="Clay",VLOOKUP(T$37,BoundParameters_HiddenSheetCLAY!$B$3:$E$50,MATCH(VLOOKUP($K59,$K$5:$AL$34,MATCH(VLOOKUP(T$37,$BJ$3:$BK$50,2,FALSE),$K$4:$AL$4,0),FALSE),BoundParameters_HiddenSheetCLAY!$B$1:$E$1,0),FALSE))),'Control Panel'!T59)))</f>
        <v/>
      </c>
      <c r="U59" s="27" t="str">
        <f>IF($K59="","",IF(U$37="","",IF('Control Panel'!U59="",IF(VLOOKUP($F59,'Table Output'!$A$1:$H$100002,8,FALSE)="Sand",VLOOKUP(U$37,BoundParameters_HiddenSheetSAND!$B$3:$E$50,MATCH(VLOOKUP($K59,$K$5:$AL$34,MATCH(VLOOKUP(U$37,$BJ$3:$BK$50,2,FALSE),$K$4:$AL$4,0),FALSE),BoundParameters_HiddenSheetCLAY!$B$1:$E$1,0),FALSE),IF(VLOOKUP($F59,'Table Output'!$A$1:$H$100002,8,FALSE)="Clay",VLOOKUP(U$37,BoundParameters_HiddenSheetCLAY!$B$3:$E$50,MATCH(VLOOKUP($K59,$K$5:$AL$34,MATCH(VLOOKUP(U$37,$BJ$3:$BK$50,2,FALSE),$K$4:$AL$4,0),FALSE),BoundParameters_HiddenSheetCLAY!$B$1:$E$1,0),FALSE))),'Control Panel'!U59)))</f>
        <v/>
      </c>
    </row>
    <row r="60" spans="2:63" x14ac:dyDescent="0.2">
      <c r="B60" s="2" t="str">
        <f>'Control Panel'!B60</f>
        <v xml:space="preserve">Toe Springs </v>
      </c>
      <c r="C60" s="2">
        <f>IF('Control Panel'!C60=Switch_options_hidden!$C$3,1,0)</f>
        <v>1</v>
      </c>
      <c r="E60" s="2" t="str">
        <f t="shared" ref="E60:F60" si="31">E27</f>
        <v/>
      </c>
      <c r="F60" s="2" t="str">
        <f t="shared" si="31"/>
        <v/>
      </c>
      <c r="G60" s="2" t="str">
        <f t="shared" ref="G60:J60" si="32">G27</f>
        <v/>
      </c>
      <c r="H60" s="2" t="str">
        <f t="shared" si="32"/>
        <v/>
      </c>
      <c r="I60" s="2" t="str">
        <f t="shared" si="32"/>
        <v/>
      </c>
      <c r="J60" s="2" t="str">
        <f t="shared" si="32"/>
        <v/>
      </c>
      <c r="K60" s="4" t="str">
        <f t="shared" si="4"/>
        <v/>
      </c>
      <c r="L60" s="27" t="str">
        <f>IF($K60="","",IF(L$37="","",IF('Control Panel'!L60="",IF(VLOOKUP($F60,'Table Output'!$A$1:$H$100002,8,FALSE)="Sand",VLOOKUP(L$37,BoundParameters_HiddenSheetSAND!$B$3:$E$50,MATCH(VLOOKUP($K60,$K$5:$AL$34,MATCH(VLOOKUP(L$37,$BJ$3:$BK$50,2,FALSE),$K$4:$AL$4,0),FALSE),BoundParameters_HiddenSheetCLAY!$B$1:$E$1,0),FALSE),IF(VLOOKUP($F60,'Table Output'!$A$1:$H$100002,8,FALSE)="Clay",VLOOKUP(L$37,BoundParameters_HiddenSheetCLAY!$B$3:$E$50,MATCH(VLOOKUP($K60,$K$5:$AL$34,MATCH(VLOOKUP(L$37,$BJ$3:$BK$50,2,FALSE),$K$4:$AL$4,0),FALSE),BoundParameters_HiddenSheetCLAY!$B$1:$E$1,0),FALSE))),'Control Panel'!L60)))</f>
        <v/>
      </c>
      <c r="M60" s="27" t="str">
        <f>IF($K60="","",IF(M$37="","",IF('Control Panel'!M60="",IF(VLOOKUP($F60,'Table Output'!$A$1:$H$100002,8,FALSE)="Sand",VLOOKUP(M$37,BoundParameters_HiddenSheetSAND!$B$3:$E$50,MATCH(VLOOKUP($K60,$K$5:$AL$34,MATCH(VLOOKUP(M$37,$BJ$3:$BK$50,2,FALSE),$K$4:$AL$4,0),FALSE),BoundParameters_HiddenSheetCLAY!$B$1:$E$1,0),FALSE),IF(VLOOKUP($F60,'Table Output'!$A$1:$H$100002,8,FALSE)="Clay",VLOOKUP(M$37,BoundParameters_HiddenSheetCLAY!$B$3:$E$50,MATCH(VLOOKUP($K60,$K$5:$AL$34,MATCH(VLOOKUP(M$37,$BJ$3:$BK$50,2,FALSE),$K$4:$AL$4,0),FALSE),BoundParameters_HiddenSheetCLAY!$B$1:$E$1,0),FALSE))),'Control Panel'!M60)))</f>
        <v/>
      </c>
      <c r="N60" s="27" t="str">
        <f>IF($K60="","",IF(N$37="","",IF('Control Panel'!N60="",IF(VLOOKUP($F60,'Table Output'!$A$1:$H$100002,8,FALSE)="Sand",VLOOKUP(N$37,BoundParameters_HiddenSheetSAND!$B$3:$E$50,MATCH(VLOOKUP($K60,$K$5:$AL$34,MATCH(VLOOKUP(N$37,$BJ$3:$BK$50,2,FALSE),$K$4:$AL$4,0),FALSE),BoundParameters_HiddenSheetCLAY!$B$1:$E$1,0),FALSE),IF(VLOOKUP($F60,'Table Output'!$A$1:$H$100002,8,FALSE)="Clay",VLOOKUP(N$37,BoundParameters_HiddenSheetCLAY!$B$3:$E$50,MATCH(VLOOKUP($K60,$K$5:$AL$34,MATCH(VLOOKUP(N$37,$BJ$3:$BK$50,2,FALSE),$K$4:$AL$4,0),FALSE),BoundParameters_HiddenSheetCLAY!$B$1:$E$1,0),FALSE))),'Control Panel'!N60)))</f>
        <v/>
      </c>
      <c r="O60" s="27" t="str">
        <f>IF($K60="","",IF(O$37="","",IF('Control Panel'!O60="",IF(VLOOKUP($F60,'Table Output'!$A$1:$H$100002,8,FALSE)="Sand",VLOOKUP(O$37,BoundParameters_HiddenSheetSAND!$B$3:$E$50,MATCH(VLOOKUP($K60,$K$5:$AL$34,MATCH(VLOOKUP(O$37,$BJ$3:$BK$50,2,FALSE),$K$4:$AL$4,0),FALSE),BoundParameters_HiddenSheetCLAY!$B$1:$E$1,0),FALSE),IF(VLOOKUP($F60,'Table Output'!$A$1:$H$100002,8,FALSE)="Clay",VLOOKUP(O$37,BoundParameters_HiddenSheetCLAY!$B$3:$E$50,MATCH(VLOOKUP($K60,$K$5:$AL$34,MATCH(VLOOKUP(O$37,$BJ$3:$BK$50,2,FALSE),$K$4:$AL$4,0),FALSE),BoundParameters_HiddenSheetCLAY!$B$1:$E$1,0),FALSE))),'Control Panel'!O60)))</f>
        <v/>
      </c>
      <c r="P60" s="27" t="str">
        <f>IF($K60="","",IF(P$37="","",IF('Control Panel'!P60="",IF(VLOOKUP($F60,'Table Output'!$A$1:$H$100002,8,FALSE)="Sand",VLOOKUP(P$37,BoundParameters_HiddenSheetSAND!$B$3:$E$50,MATCH(VLOOKUP($K60,$K$5:$AL$34,MATCH(VLOOKUP(P$37,$BJ$3:$BK$50,2,FALSE),$K$4:$AL$4,0),FALSE),BoundParameters_HiddenSheetCLAY!$B$1:$E$1,0),FALSE),IF(VLOOKUP($F60,'Table Output'!$A$1:$H$100002,8,FALSE)="Clay",VLOOKUP(P$37,BoundParameters_HiddenSheetCLAY!$B$3:$E$50,MATCH(VLOOKUP($K60,$K$5:$AL$34,MATCH(VLOOKUP(P$37,$BJ$3:$BK$50,2,FALSE),$K$4:$AL$4,0),FALSE),BoundParameters_HiddenSheetCLAY!$B$1:$E$1,0),FALSE))),'Control Panel'!P60)))</f>
        <v/>
      </c>
      <c r="Q60" s="27" t="str">
        <f>IF($K60="","",IF(Q$37="","",IF('Control Panel'!Q60="",IF(VLOOKUP($F60,'Table Output'!$A$1:$H$100002,8,FALSE)="Sand",VLOOKUP(Q$37,BoundParameters_HiddenSheetSAND!$B$3:$E$50,MATCH(VLOOKUP($K60,$K$5:$AL$34,MATCH(VLOOKUP(Q$37,$BJ$3:$BK$50,2,FALSE),$K$4:$AL$4,0),FALSE),BoundParameters_HiddenSheetCLAY!$B$1:$E$1,0),FALSE),IF(VLOOKUP($F60,'Table Output'!$A$1:$H$100002,8,FALSE)="Clay",VLOOKUP(Q$37,BoundParameters_HiddenSheetCLAY!$B$3:$E$50,MATCH(VLOOKUP($K60,$K$5:$AL$34,MATCH(VLOOKUP(Q$37,$BJ$3:$BK$50,2,FALSE),$K$4:$AL$4,0),FALSE),BoundParameters_HiddenSheetCLAY!$B$1:$E$1,0),FALSE))),'Control Panel'!Q60)))</f>
        <v/>
      </c>
      <c r="R60" s="27" t="str">
        <f>IF($K60="","",IF(R$37="","",IF('Control Panel'!R60="",IF(VLOOKUP($F60,'Table Output'!$A$1:$H$100002,8,FALSE)="Sand",VLOOKUP(R$37,BoundParameters_HiddenSheetSAND!$B$3:$E$50,MATCH(VLOOKUP($K60,$K$5:$AL$34,MATCH(VLOOKUP(R$37,$BJ$3:$BK$50,2,FALSE),$K$4:$AL$4,0),FALSE),BoundParameters_HiddenSheetCLAY!$B$1:$E$1,0),FALSE),IF(VLOOKUP($F60,'Table Output'!$A$1:$H$100002,8,FALSE)="Clay",VLOOKUP(R$37,BoundParameters_HiddenSheetCLAY!$B$3:$E$50,MATCH(VLOOKUP($K60,$K$5:$AL$34,MATCH(VLOOKUP(R$37,$BJ$3:$BK$50,2,FALSE),$K$4:$AL$4,0),FALSE),BoundParameters_HiddenSheetCLAY!$B$1:$E$1,0),FALSE))),'Control Panel'!R60)))</f>
        <v/>
      </c>
      <c r="S60" s="27" t="str">
        <f>IF($K60="","",IF(S$37="","",IF('Control Panel'!S60="",IF(VLOOKUP($F60,'Table Output'!$A$1:$H$100002,8,FALSE)="Sand",VLOOKUP(S$37,BoundParameters_HiddenSheetSAND!$B$3:$E$50,MATCH(VLOOKUP($K60,$K$5:$AL$34,MATCH(VLOOKUP(S$37,$BJ$3:$BK$50,2,FALSE),$K$4:$AL$4,0),FALSE),BoundParameters_HiddenSheetCLAY!$B$1:$E$1,0),FALSE),IF(VLOOKUP($F60,'Table Output'!$A$1:$H$100002,8,FALSE)="Clay",VLOOKUP(S$37,BoundParameters_HiddenSheetCLAY!$B$3:$E$50,MATCH(VLOOKUP($K60,$K$5:$AL$34,MATCH(VLOOKUP(S$37,$BJ$3:$BK$50,2,FALSE),$K$4:$AL$4,0),FALSE),BoundParameters_HiddenSheetCLAY!$B$1:$E$1,0),FALSE))),'Control Panel'!S60)))</f>
        <v/>
      </c>
      <c r="T60" s="27" t="str">
        <f>IF($K60="","",IF(T$37="","",IF('Control Panel'!T60="",IF(VLOOKUP($F60,'Table Output'!$A$1:$H$100002,8,FALSE)="Sand",VLOOKUP(T$37,BoundParameters_HiddenSheetSAND!$B$3:$E$50,MATCH(VLOOKUP($K60,$K$5:$AL$34,MATCH(VLOOKUP(T$37,$BJ$3:$BK$50,2,FALSE),$K$4:$AL$4,0),FALSE),BoundParameters_HiddenSheetCLAY!$B$1:$E$1,0),FALSE),IF(VLOOKUP($F60,'Table Output'!$A$1:$H$100002,8,FALSE)="Clay",VLOOKUP(T$37,BoundParameters_HiddenSheetCLAY!$B$3:$E$50,MATCH(VLOOKUP($K60,$K$5:$AL$34,MATCH(VLOOKUP(T$37,$BJ$3:$BK$50,2,FALSE),$K$4:$AL$4,0),FALSE),BoundParameters_HiddenSheetCLAY!$B$1:$E$1,0),FALSE))),'Control Panel'!T60)))</f>
        <v/>
      </c>
      <c r="U60" s="27" t="str">
        <f>IF($K60="","",IF(U$37="","",IF('Control Panel'!U60="",IF(VLOOKUP($F60,'Table Output'!$A$1:$H$100002,8,FALSE)="Sand",VLOOKUP(U$37,BoundParameters_HiddenSheetSAND!$B$3:$E$50,MATCH(VLOOKUP($K60,$K$5:$AL$34,MATCH(VLOOKUP(U$37,$BJ$3:$BK$50,2,FALSE),$K$4:$AL$4,0),FALSE),BoundParameters_HiddenSheetCLAY!$B$1:$E$1,0),FALSE),IF(VLOOKUP($F60,'Table Output'!$A$1:$H$100002,8,FALSE)="Clay",VLOOKUP(U$37,BoundParameters_HiddenSheetCLAY!$B$3:$E$50,MATCH(VLOOKUP($K60,$K$5:$AL$34,MATCH(VLOOKUP(U$37,$BJ$3:$BK$50,2,FALSE),$K$4:$AL$4,0),FALSE),BoundParameters_HiddenSheetCLAY!$B$1:$E$1,0),FALSE))),'Control Panel'!U60)))</f>
        <v/>
      </c>
    </row>
    <row r="61" spans="2:63" x14ac:dyDescent="0.2">
      <c r="B61" s="2" t="str">
        <f>'Control Panel'!B61</f>
        <v xml:space="preserve">distributed soil springs </v>
      </c>
      <c r="C61" s="2">
        <f>IF('Control Panel'!C61=Switch_options_hidden!$C$3,1,0)</f>
        <v>1</v>
      </c>
      <c r="E61" s="2" t="str">
        <f t="shared" ref="E61:F61" si="33">E28</f>
        <v/>
      </c>
      <c r="F61" s="2" t="str">
        <f t="shared" si="33"/>
        <v/>
      </c>
      <c r="G61" s="2" t="str">
        <f t="shared" ref="G61:J61" si="34">G28</f>
        <v/>
      </c>
      <c r="H61" s="2" t="str">
        <f t="shared" si="34"/>
        <v/>
      </c>
      <c r="I61" s="2" t="str">
        <f t="shared" si="34"/>
        <v/>
      </c>
      <c r="J61" s="2" t="str">
        <f t="shared" si="34"/>
        <v/>
      </c>
      <c r="K61" s="4" t="str">
        <f t="shared" si="4"/>
        <v/>
      </c>
      <c r="L61" s="27" t="str">
        <f>IF($K61="","",IF(L$37="","",IF('Control Panel'!L61="",IF(VLOOKUP($F61,'Table Output'!$A$1:$H$100002,8,FALSE)="Sand",VLOOKUP(L$37,BoundParameters_HiddenSheetSAND!$B$3:$E$50,MATCH(VLOOKUP($K61,$K$5:$AL$34,MATCH(VLOOKUP(L$37,$BJ$3:$BK$50,2,FALSE),$K$4:$AL$4,0),FALSE),BoundParameters_HiddenSheetCLAY!$B$1:$E$1,0),FALSE),IF(VLOOKUP($F61,'Table Output'!$A$1:$H$100002,8,FALSE)="Clay",VLOOKUP(L$37,BoundParameters_HiddenSheetCLAY!$B$3:$E$50,MATCH(VLOOKUP($K61,$K$5:$AL$34,MATCH(VLOOKUP(L$37,$BJ$3:$BK$50,2,FALSE),$K$4:$AL$4,0),FALSE),BoundParameters_HiddenSheetCLAY!$B$1:$E$1,0),FALSE))),'Control Panel'!L61)))</f>
        <v/>
      </c>
      <c r="M61" s="27" t="str">
        <f>IF($K61="","",IF(M$37="","",IF('Control Panel'!M61="",IF(VLOOKUP($F61,'Table Output'!$A$1:$H$100002,8,FALSE)="Sand",VLOOKUP(M$37,BoundParameters_HiddenSheetSAND!$B$3:$E$50,MATCH(VLOOKUP($K61,$K$5:$AL$34,MATCH(VLOOKUP(M$37,$BJ$3:$BK$50,2,FALSE),$K$4:$AL$4,0),FALSE),BoundParameters_HiddenSheetCLAY!$B$1:$E$1,0),FALSE),IF(VLOOKUP($F61,'Table Output'!$A$1:$H$100002,8,FALSE)="Clay",VLOOKUP(M$37,BoundParameters_HiddenSheetCLAY!$B$3:$E$50,MATCH(VLOOKUP($K61,$K$5:$AL$34,MATCH(VLOOKUP(M$37,$BJ$3:$BK$50,2,FALSE),$K$4:$AL$4,0),FALSE),BoundParameters_HiddenSheetCLAY!$B$1:$E$1,0),FALSE))),'Control Panel'!M61)))</f>
        <v/>
      </c>
      <c r="N61" s="27" t="str">
        <f>IF($K61="","",IF(N$37="","",IF('Control Panel'!N61="",IF(VLOOKUP($F61,'Table Output'!$A$1:$H$100002,8,FALSE)="Sand",VLOOKUP(N$37,BoundParameters_HiddenSheetSAND!$B$3:$E$50,MATCH(VLOOKUP($K61,$K$5:$AL$34,MATCH(VLOOKUP(N$37,$BJ$3:$BK$50,2,FALSE),$K$4:$AL$4,0),FALSE),BoundParameters_HiddenSheetCLAY!$B$1:$E$1,0),FALSE),IF(VLOOKUP($F61,'Table Output'!$A$1:$H$100002,8,FALSE)="Clay",VLOOKUP(N$37,BoundParameters_HiddenSheetCLAY!$B$3:$E$50,MATCH(VLOOKUP($K61,$K$5:$AL$34,MATCH(VLOOKUP(N$37,$BJ$3:$BK$50,2,FALSE),$K$4:$AL$4,0),FALSE),BoundParameters_HiddenSheetCLAY!$B$1:$E$1,0),FALSE))),'Control Panel'!N61)))</f>
        <v/>
      </c>
      <c r="O61" s="27" t="str">
        <f>IF($K61="","",IF(O$37="","",IF('Control Panel'!O61="",IF(VLOOKUP($F61,'Table Output'!$A$1:$H$100002,8,FALSE)="Sand",VLOOKUP(O$37,BoundParameters_HiddenSheetSAND!$B$3:$E$50,MATCH(VLOOKUP($K61,$K$5:$AL$34,MATCH(VLOOKUP(O$37,$BJ$3:$BK$50,2,FALSE),$K$4:$AL$4,0),FALSE),BoundParameters_HiddenSheetCLAY!$B$1:$E$1,0),FALSE),IF(VLOOKUP($F61,'Table Output'!$A$1:$H$100002,8,FALSE)="Clay",VLOOKUP(O$37,BoundParameters_HiddenSheetCLAY!$B$3:$E$50,MATCH(VLOOKUP($K61,$K$5:$AL$34,MATCH(VLOOKUP(O$37,$BJ$3:$BK$50,2,FALSE),$K$4:$AL$4,0),FALSE),BoundParameters_HiddenSheetCLAY!$B$1:$E$1,0),FALSE))),'Control Panel'!O61)))</f>
        <v/>
      </c>
      <c r="P61" s="27" t="str">
        <f>IF($K61="","",IF(P$37="","",IF('Control Panel'!P61="",IF(VLOOKUP($F61,'Table Output'!$A$1:$H$100002,8,FALSE)="Sand",VLOOKUP(P$37,BoundParameters_HiddenSheetSAND!$B$3:$E$50,MATCH(VLOOKUP($K61,$K$5:$AL$34,MATCH(VLOOKUP(P$37,$BJ$3:$BK$50,2,FALSE),$K$4:$AL$4,0),FALSE),BoundParameters_HiddenSheetCLAY!$B$1:$E$1,0),FALSE),IF(VLOOKUP($F61,'Table Output'!$A$1:$H$100002,8,FALSE)="Clay",VLOOKUP(P$37,BoundParameters_HiddenSheetCLAY!$B$3:$E$50,MATCH(VLOOKUP($K61,$K$5:$AL$34,MATCH(VLOOKUP(P$37,$BJ$3:$BK$50,2,FALSE),$K$4:$AL$4,0),FALSE),BoundParameters_HiddenSheetCLAY!$B$1:$E$1,0),FALSE))),'Control Panel'!P61)))</f>
        <v/>
      </c>
      <c r="Q61" s="27" t="str">
        <f>IF($K61="","",IF(Q$37="","",IF('Control Panel'!Q61="",IF(VLOOKUP($F61,'Table Output'!$A$1:$H$100002,8,FALSE)="Sand",VLOOKUP(Q$37,BoundParameters_HiddenSheetSAND!$B$3:$E$50,MATCH(VLOOKUP($K61,$K$5:$AL$34,MATCH(VLOOKUP(Q$37,$BJ$3:$BK$50,2,FALSE),$K$4:$AL$4,0),FALSE),BoundParameters_HiddenSheetCLAY!$B$1:$E$1,0),FALSE),IF(VLOOKUP($F61,'Table Output'!$A$1:$H$100002,8,FALSE)="Clay",VLOOKUP(Q$37,BoundParameters_HiddenSheetCLAY!$B$3:$E$50,MATCH(VLOOKUP($K61,$K$5:$AL$34,MATCH(VLOOKUP(Q$37,$BJ$3:$BK$50,2,FALSE),$K$4:$AL$4,0),FALSE),BoundParameters_HiddenSheetCLAY!$B$1:$E$1,0),FALSE))),'Control Panel'!Q61)))</f>
        <v/>
      </c>
      <c r="R61" s="27" t="str">
        <f>IF($K61="","",IF(R$37="","",IF('Control Panel'!R61="",IF(VLOOKUP($F61,'Table Output'!$A$1:$H$100002,8,FALSE)="Sand",VLOOKUP(R$37,BoundParameters_HiddenSheetSAND!$B$3:$E$50,MATCH(VLOOKUP($K61,$K$5:$AL$34,MATCH(VLOOKUP(R$37,$BJ$3:$BK$50,2,FALSE),$K$4:$AL$4,0),FALSE),BoundParameters_HiddenSheetCLAY!$B$1:$E$1,0),FALSE),IF(VLOOKUP($F61,'Table Output'!$A$1:$H$100002,8,FALSE)="Clay",VLOOKUP(R$37,BoundParameters_HiddenSheetCLAY!$B$3:$E$50,MATCH(VLOOKUP($K61,$K$5:$AL$34,MATCH(VLOOKUP(R$37,$BJ$3:$BK$50,2,FALSE),$K$4:$AL$4,0),FALSE),BoundParameters_HiddenSheetCLAY!$B$1:$E$1,0),FALSE))),'Control Panel'!R61)))</f>
        <v/>
      </c>
      <c r="S61" s="27" t="str">
        <f>IF($K61="","",IF(S$37="","",IF('Control Panel'!S61="",IF(VLOOKUP($F61,'Table Output'!$A$1:$H$100002,8,FALSE)="Sand",VLOOKUP(S$37,BoundParameters_HiddenSheetSAND!$B$3:$E$50,MATCH(VLOOKUP($K61,$K$5:$AL$34,MATCH(VLOOKUP(S$37,$BJ$3:$BK$50,2,FALSE),$K$4:$AL$4,0),FALSE),BoundParameters_HiddenSheetCLAY!$B$1:$E$1,0),FALSE),IF(VLOOKUP($F61,'Table Output'!$A$1:$H$100002,8,FALSE)="Clay",VLOOKUP(S$37,BoundParameters_HiddenSheetCLAY!$B$3:$E$50,MATCH(VLOOKUP($K61,$K$5:$AL$34,MATCH(VLOOKUP(S$37,$BJ$3:$BK$50,2,FALSE),$K$4:$AL$4,0),FALSE),BoundParameters_HiddenSheetCLAY!$B$1:$E$1,0),FALSE))),'Control Panel'!S61)))</f>
        <v/>
      </c>
      <c r="T61" s="27" t="str">
        <f>IF($K61="","",IF(T$37="","",IF('Control Panel'!T61="",IF(VLOOKUP($F61,'Table Output'!$A$1:$H$100002,8,FALSE)="Sand",VLOOKUP(T$37,BoundParameters_HiddenSheetSAND!$B$3:$E$50,MATCH(VLOOKUP($K61,$K$5:$AL$34,MATCH(VLOOKUP(T$37,$BJ$3:$BK$50,2,FALSE),$K$4:$AL$4,0),FALSE),BoundParameters_HiddenSheetCLAY!$B$1:$E$1,0),FALSE),IF(VLOOKUP($F61,'Table Output'!$A$1:$H$100002,8,FALSE)="Clay",VLOOKUP(T$37,BoundParameters_HiddenSheetCLAY!$B$3:$E$50,MATCH(VLOOKUP($K61,$K$5:$AL$34,MATCH(VLOOKUP(T$37,$BJ$3:$BK$50,2,FALSE),$K$4:$AL$4,0),FALSE),BoundParameters_HiddenSheetCLAY!$B$1:$E$1,0),FALSE))),'Control Panel'!T61)))</f>
        <v/>
      </c>
      <c r="U61" s="27" t="str">
        <f>IF($K61="","",IF(U$37="","",IF('Control Panel'!U61="",IF(VLOOKUP($F61,'Table Output'!$A$1:$H$100002,8,FALSE)="Sand",VLOOKUP(U$37,BoundParameters_HiddenSheetSAND!$B$3:$E$50,MATCH(VLOOKUP($K61,$K$5:$AL$34,MATCH(VLOOKUP(U$37,$BJ$3:$BK$50,2,FALSE),$K$4:$AL$4,0),FALSE),BoundParameters_HiddenSheetCLAY!$B$1:$E$1,0),FALSE),IF(VLOOKUP($F61,'Table Output'!$A$1:$H$100002,8,FALSE)="Clay",VLOOKUP(U$37,BoundParameters_HiddenSheetCLAY!$B$3:$E$50,MATCH(VLOOKUP($K61,$K$5:$AL$34,MATCH(VLOOKUP(U$37,$BJ$3:$BK$50,2,FALSE),$K$4:$AL$4,0),FALSE),BoundParameters_HiddenSheetCLAY!$B$1:$E$1,0),FALSE))),'Control Panel'!U61)))</f>
        <v/>
      </c>
    </row>
    <row r="62" spans="2:63" x14ac:dyDescent="0.2">
      <c r="E62" s="2" t="str">
        <f t="shared" ref="E62:F62" si="35">E29</f>
        <v/>
      </c>
      <c r="F62" s="2" t="str">
        <f t="shared" si="35"/>
        <v/>
      </c>
      <c r="G62" s="2" t="str">
        <f t="shared" ref="G62:J62" si="36">G29</f>
        <v/>
      </c>
      <c r="H62" s="2" t="str">
        <f t="shared" si="36"/>
        <v/>
      </c>
      <c r="I62" s="2" t="str">
        <f t="shared" si="36"/>
        <v/>
      </c>
      <c r="J62" s="2" t="str">
        <f t="shared" si="36"/>
        <v/>
      </c>
      <c r="K62" s="4" t="str">
        <f t="shared" si="4"/>
        <v/>
      </c>
      <c r="L62" s="27" t="str">
        <f>IF($K62="","",IF(L$37="","",IF('Control Panel'!L62="",IF(VLOOKUP($F62,'Table Output'!$A$1:$H$100002,8,FALSE)="Sand",VLOOKUP(L$37,BoundParameters_HiddenSheetSAND!$B$3:$E$50,MATCH(VLOOKUP($K62,$K$5:$AL$34,MATCH(VLOOKUP(L$37,$BJ$3:$BK$50,2,FALSE),$K$4:$AL$4,0),FALSE),BoundParameters_HiddenSheetCLAY!$B$1:$E$1,0),FALSE),IF(VLOOKUP($F62,'Table Output'!$A$1:$H$100002,8,FALSE)="Clay",VLOOKUP(L$37,BoundParameters_HiddenSheetCLAY!$B$3:$E$50,MATCH(VLOOKUP($K62,$K$5:$AL$34,MATCH(VLOOKUP(L$37,$BJ$3:$BK$50,2,FALSE),$K$4:$AL$4,0),FALSE),BoundParameters_HiddenSheetCLAY!$B$1:$E$1,0),FALSE))),'Control Panel'!L62)))</f>
        <v/>
      </c>
      <c r="M62" s="27" t="str">
        <f>IF($K62="","",IF(M$37="","",IF('Control Panel'!M62="",IF(VLOOKUP($F62,'Table Output'!$A$1:$H$100002,8,FALSE)="Sand",VLOOKUP(M$37,BoundParameters_HiddenSheetSAND!$B$3:$E$50,MATCH(VLOOKUP($K62,$K$5:$AL$34,MATCH(VLOOKUP(M$37,$BJ$3:$BK$50,2,FALSE),$K$4:$AL$4,0),FALSE),BoundParameters_HiddenSheetCLAY!$B$1:$E$1,0),FALSE),IF(VLOOKUP($F62,'Table Output'!$A$1:$H$100002,8,FALSE)="Clay",VLOOKUP(M$37,BoundParameters_HiddenSheetCLAY!$B$3:$E$50,MATCH(VLOOKUP($K62,$K$5:$AL$34,MATCH(VLOOKUP(M$37,$BJ$3:$BK$50,2,FALSE),$K$4:$AL$4,0),FALSE),BoundParameters_HiddenSheetCLAY!$B$1:$E$1,0),FALSE))),'Control Panel'!M62)))</f>
        <v/>
      </c>
      <c r="N62" s="27" t="str">
        <f>IF($K62="","",IF(N$37="","",IF('Control Panel'!N62="",IF(VLOOKUP($F62,'Table Output'!$A$1:$H$100002,8,FALSE)="Sand",VLOOKUP(N$37,BoundParameters_HiddenSheetSAND!$B$3:$E$50,MATCH(VLOOKUP($K62,$K$5:$AL$34,MATCH(VLOOKUP(N$37,$BJ$3:$BK$50,2,FALSE),$K$4:$AL$4,0),FALSE),BoundParameters_HiddenSheetCLAY!$B$1:$E$1,0),FALSE),IF(VLOOKUP($F62,'Table Output'!$A$1:$H$100002,8,FALSE)="Clay",VLOOKUP(N$37,BoundParameters_HiddenSheetCLAY!$B$3:$E$50,MATCH(VLOOKUP($K62,$K$5:$AL$34,MATCH(VLOOKUP(N$37,$BJ$3:$BK$50,2,FALSE),$K$4:$AL$4,0),FALSE),BoundParameters_HiddenSheetCLAY!$B$1:$E$1,0),FALSE))),'Control Panel'!N62)))</f>
        <v/>
      </c>
      <c r="O62" s="27" t="str">
        <f>IF($K62="","",IF(O$37="","",IF('Control Panel'!O62="",IF(VLOOKUP($F62,'Table Output'!$A$1:$H$100002,8,FALSE)="Sand",VLOOKUP(O$37,BoundParameters_HiddenSheetSAND!$B$3:$E$50,MATCH(VLOOKUP($K62,$K$5:$AL$34,MATCH(VLOOKUP(O$37,$BJ$3:$BK$50,2,FALSE),$K$4:$AL$4,0),FALSE),BoundParameters_HiddenSheetCLAY!$B$1:$E$1,0),FALSE),IF(VLOOKUP($F62,'Table Output'!$A$1:$H$100002,8,FALSE)="Clay",VLOOKUP(O$37,BoundParameters_HiddenSheetCLAY!$B$3:$E$50,MATCH(VLOOKUP($K62,$K$5:$AL$34,MATCH(VLOOKUP(O$37,$BJ$3:$BK$50,2,FALSE),$K$4:$AL$4,0),FALSE),BoundParameters_HiddenSheetCLAY!$B$1:$E$1,0),FALSE))),'Control Panel'!O62)))</f>
        <v/>
      </c>
      <c r="P62" s="27" t="str">
        <f>IF($K62="","",IF(P$37="","",IF('Control Panel'!P62="",IF(VLOOKUP($F62,'Table Output'!$A$1:$H$100002,8,FALSE)="Sand",VLOOKUP(P$37,BoundParameters_HiddenSheetSAND!$B$3:$E$50,MATCH(VLOOKUP($K62,$K$5:$AL$34,MATCH(VLOOKUP(P$37,$BJ$3:$BK$50,2,FALSE),$K$4:$AL$4,0),FALSE),BoundParameters_HiddenSheetCLAY!$B$1:$E$1,0),FALSE),IF(VLOOKUP($F62,'Table Output'!$A$1:$H$100002,8,FALSE)="Clay",VLOOKUP(P$37,BoundParameters_HiddenSheetCLAY!$B$3:$E$50,MATCH(VLOOKUP($K62,$K$5:$AL$34,MATCH(VLOOKUP(P$37,$BJ$3:$BK$50,2,FALSE),$K$4:$AL$4,0),FALSE),BoundParameters_HiddenSheetCLAY!$B$1:$E$1,0),FALSE))),'Control Panel'!P62)))</f>
        <v/>
      </c>
      <c r="Q62" s="27" t="str">
        <f>IF($K62="","",IF(Q$37="","",IF('Control Panel'!Q62="",IF(VLOOKUP($F62,'Table Output'!$A$1:$H$100002,8,FALSE)="Sand",VLOOKUP(Q$37,BoundParameters_HiddenSheetSAND!$B$3:$E$50,MATCH(VLOOKUP($K62,$K$5:$AL$34,MATCH(VLOOKUP(Q$37,$BJ$3:$BK$50,2,FALSE),$K$4:$AL$4,0),FALSE),BoundParameters_HiddenSheetCLAY!$B$1:$E$1,0),FALSE),IF(VLOOKUP($F62,'Table Output'!$A$1:$H$100002,8,FALSE)="Clay",VLOOKUP(Q$37,BoundParameters_HiddenSheetCLAY!$B$3:$E$50,MATCH(VLOOKUP($K62,$K$5:$AL$34,MATCH(VLOOKUP(Q$37,$BJ$3:$BK$50,2,FALSE),$K$4:$AL$4,0),FALSE),BoundParameters_HiddenSheetCLAY!$B$1:$E$1,0),FALSE))),'Control Panel'!Q62)))</f>
        <v/>
      </c>
      <c r="R62" s="27" t="str">
        <f>IF($K62="","",IF(R$37="","",IF('Control Panel'!R62="",IF(VLOOKUP($F62,'Table Output'!$A$1:$H$100002,8,FALSE)="Sand",VLOOKUP(R$37,BoundParameters_HiddenSheetSAND!$B$3:$E$50,MATCH(VLOOKUP($K62,$K$5:$AL$34,MATCH(VLOOKUP(R$37,$BJ$3:$BK$50,2,FALSE),$K$4:$AL$4,0),FALSE),BoundParameters_HiddenSheetCLAY!$B$1:$E$1,0),FALSE),IF(VLOOKUP($F62,'Table Output'!$A$1:$H$100002,8,FALSE)="Clay",VLOOKUP(R$37,BoundParameters_HiddenSheetCLAY!$B$3:$E$50,MATCH(VLOOKUP($K62,$K$5:$AL$34,MATCH(VLOOKUP(R$37,$BJ$3:$BK$50,2,FALSE),$K$4:$AL$4,0),FALSE),BoundParameters_HiddenSheetCLAY!$B$1:$E$1,0),FALSE))),'Control Panel'!R62)))</f>
        <v/>
      </c>
      <c r="S62" s="27" t="str">
        <f>IF($K62="","",IF(S$37="","",IF('Control Panel'!S62="",IF(VLOOKUP($F62,'Table Output'!$A$1:$H$100002,8,FALSE)="Sand",VLOOKUP(S$37,BoundParameters_HiddenSheetSAND!$B$3:$E$50,MATCH(VLOOKUP($K62,$K$5:$AL$34,MATCH(VLOOKUP(S$37,$BJ$3:$BK$50,2,FALSE),$K$4:$AL$4,0),FALSE),BoundParameters_HiddenSheetCLAY!$B$1:$E$1,0),FALSE),IF(VLOOKUP($F62,'Table Output'!$A$1:$H$100002,8,FALSE)="Clay",VLOOKUP(S$37,BoundParameters_HiddenSheetCLAY!$B$3:$E$50,MATCH(VLOOKUP($K62,$K$5:$AL$34,MATCH(VLOOKUP(S$37,$BJ$3:$BK$50,2,FALSE),$K$4:$AL$4,0),FALSE),BoundParameters_HiddenSheetCLAY!$B$1:$E$1,0),FALSE))),'Control Panel'!S62)))</f>
        <v/>
      </c>
      <c r="T62" s="27" t="str">
        <f>IF($K62="","",IF(T$37="","",IF('Control Panel'!T62="",IF(VLOOKUP($F62,'Table Output'!$A$1:$H$100002,8,FALSE)="Sand",VLOOKUP(T$37,BoundParameters_HiddenSheetSAND!$B$3:$E$50,MATCH(VLOOKUP($K62,$K$5:$AL$34,MATCH(VLOOKUP(T$37,$BJ$3:$BK$50,2,FALSE),$K$4:$AL$4,0),FALSE),BoundParameters_HiddenSheetCLAY!$B$1:$E$1,0),FALSE),IF(VLOOKUP($F62,'Table Output'!$A$1:$H$100002,8,FALSE)="Clay",VLOOKUP(T$37,BoundParameters_HiddenSheetCLAY!$B$3:$E$50,MATCH(VLOOKUP($K62,$K$5:$AL$34,MATCH(VLOOKUP(T$37,$BJ$3:$BK$50,2,FALSE),$K$4:$AL$4,0),FALSE),BoundParameters_HiddenSheetCLAY!$B$1:$E$1,0),FALSE))),'Control Panel'!T62)))</f>
        <v/>
      </c>
      <c r="U62" s="27" t="str">
        <f>IF($K62="","",IF(U$37="","",IF('Control Panel'!U62="",IF(VLOOKUP($F62,'Table Output'!$A$1:$H$100002,8,FALSE)="Sand",VLOOKUP(U$37,BoundParameters_HiddenSheetSAND!$B$3:$E$50,MATCH(VLOOKUP($K62,$K$5:$AL$34,MATCH(VLOOKUP(U$37,$BJ$3:$BK$50,2,FALSE),$K$4:$AL$4,0),FALSE),BoundParameters_HiddenSheetCLAY!$B$1:$E$1,0),FALSE),IF(VLOOKUP($F62,'Table Output'!$A$1:$H$100002,8,FALSE)="Clay",VLOOKUP(U$37,BoundParameters_HiddenSheetCLAY!$B$3:$E$50,MATCH(VLOOKUP($K62,$K$5:$AL$34,MATCH(VLOOKUP(U$37,$BJ$3:$BK$50,2,FALSE),$K$4:$AL$4,0),FALSE),BoundParameters_HiddenSheetCLAY!$B$1:$E$1,0),FALSE))),'Control Panel'!U62)))</f>
        <v/>
      </c>
    </row>
    <row r="63" spans="2:63" x14ac:dyDescent="0.2">
      <c r="E63" s="2" t="str">
        <f t="shared" ref="E63:F63" si="37">E30</f>
        <v/>
      </c>
      <c r="F63" s="2" t="str">
        <f t="shared" si="37"/>
        <v/>
      </c>
      <c r="G63" s="2" t="str">
        <f t="shared" ref="G63:J63" si="38">G30</f>
        <v/>
      </c>
      <c r="H63" s="2" t="str">
        <f t="shared" si="38"/>
        <v/>
      </c>
      <c r="I63" s="2" t="str">
        <f t="shared" si="38"/>
        <v/>
      </c>
      <c r="J63" s="2" t="str">
        <f t="shared" si="38"/>
        <v/>
      </c>
      <c r="K63" s="4" t="str">
        <f>K30</f>
        <v/>
      </c>
      <c r="L63" s="27" t="str">
        <f>IF($K63="","",IF(L$37="","",IF('Control Panel'!L63="",IF(VLOOKUP($F63,'Table Output'!$A$1:$H$100002,8,FALSE)="Sand",VLOOKUP(L$37,BoundParameters_HiddenSheetSAND!$B$3:$E$50,MATCH(VLOOKUP($K63,$K$5:$AL$34,MATCH(VLOOKUP(L$37,$BJ$3:$BK$50,2,FALSE),$K$4:$AL$4,0),FALSE),BoundParameters_HiddenSheetCLAY!$B$1:$E$1,0),FALSE),IF(VLOOKUP($F63,'Table Output'!$A$1:$H$100002,8,FALSE)="Clay",VLOOKUP(L$37,BoundParameters_HiddenSheetCLAY!$B$3:$E$50,MATCH(VLOOKUP($K63,$K$5:$AL$34,MATCH(VLOOKUP(L$37,$BJ$3:$BK$50,2,FALSE),$K$4:$AL$4,0),FALSE),BoundParameters_HiddenSheetCLAY!$B$1:$E$1,0),FALSE))),'Control Panel'!L63)))</f>
        <v/>
      </c>
      <c r="M63" s="27" t="str">
        <f>IF($K63="","",IF(M$37="","",IF('Control Panel'!M63="",IF(VLOOKUP($F63,'Table Output'!$A$1:$H$100002,8,FALSE)="Sand",VLOOKUP(M$37,BoundParameters_HiddenSheetSAND!$B$3:$E$50,MATCH(VLOOKUP($K63,$K$5:$AL$34,MATCH(VLOOKUP(M$37,$BJ$3:$BK$50,2,FALSE),$K$4:$AL$4,0),FALSE),BoundParameters_HiddenSheetCLAY!$B$1:$E$1,0),FALSE),IF(VLOOKUP($F63,'Table Output'!$A$1:$H$100002,8,FALSE)="Clay",VLOOKUP(M$37,BoundParameters_HiddenSheetCLAY!$B$3:$E$50,MATCH(VLOOKUP($K63,$K$5:$AL$34,MATCH(VLOOKUP(M$37,$BJ$3:$BK$50,2,FALSE),$K$4:$AL$4,0),FALSE),BoundParameters_HiddenSheetCLAY!$B$1:$E$1,0),FALSE))),'Control Panel'!M63)))</f>
        <v/>
      </c>
      <c r="N63" s="27" t="str">
        <f>IF($K63="","",IF(N$37="","",IF('Control Panel'!N63="",IF(VLOOKUP($F63,'Table Output'!$A$1:$H$100002,8,FALSE)="Sand",VLOOKUP(N$37,BoundParameters_HiddenSheetSAND!$B$3:$E$50,MATCH(VLOOKUP($K63,$K$5:$AL$34,MATCH(VLOOKUP(N$37,$BJ$3:$BK$50,2,FALSE),$K$4:$AL$4,0),FALSE),BoundParameters_HiddenSheetCLAY!$B$1:$E$1,0),FALSE),IF(VLOOKUP($F63,'Table Output'!$A$1:$H$100002,8,FALSE)="Clay",VLOOKUP(N$37,BoundParameters_HiddenSheetCLAY!$B$3:$E$50,MATCH(VLOOKUP($K63,$K$5:$AL$34,MATCH(VLOOKUP(N$37,$BJ$3:$BK$50,2,FALSE),$K$4:$AL$4,0),FALSE),BoundParameters_HiddenSheetCLAY!$B$1:$E$1,0),FALSE))),'Control Panel'!N63)))</f>
        <v/>
      </c>
      <c r="O63" s="27" t="str">
        <f>IF($K63="","",IF(O$37="","",IF('Control Panel'!O63="",IF(VLOOKUP($F63,'Table Output'!$A$1:$H$100002,8,FALSE)="Sand",VLOOKUP(O$37,BoundParameters_HiddenSheetSAND!$B$3:$E$50,MATCH(VLOOKUP($K63,$K$5:$AL$34,MATCH(VLOOKUP(O$37,$BJ$3:$BK$50,2,FALSE),$K$4:$AL$4,0),FALSE),BoundParameters_HiddenSheetCLAY!$B$1:$E$1,0),FALSE),IF(VLOOKUP($F63,'Table Output'!$A$1:$H$100002,8,FALSE)="Clay",VLOOKUP(O$37,BoundParameters_HiddenSheetCLAY!$B$3:$E$50,MATCH(VLOOKUP($K63,$K$5:$AL$34,MATCH(VLOOKUP(O$37,$BJ$3:$BK$50,2,FALSE),$K$4:$AL$4,0),FALSE),BoundParameters_HiddenSheetCLAY!$B$1:$E$1,0),FALSE))),'Control Panel'!O63)))</f>
        <v/>
      </c>
      <c r="P63" s="27" t="str">
        <f>IF($K63="","",IF(P$37="","",IF('Control Panel'!P63="",IF(VLOOKUP($F63,'Table Output'!$A$1:$H$100002,8,FALSE)="Sand",VLOOKUP(P$37,BoundParameters_HiddenSheetSAND!$B$3:$E$50,MATCH(VLOOKUP($K63,$K$5:$AL$34,MATCH(VLOOKUP(P$37,$BJ$3:$BK$50,2,FALSE),$K$4:$AL$4,0),FALSE),BoundParameters_HiddenSheetCLAY!$B$1:$E$1,0),FALSE),IF(VLOOKUP($F63,'Table Output'!$A$1:$H$100002,8,FALSE)="Clay",VLOOKUP(P$37,BoundParameters_HiddenSheetCLAY!$B$3:$E$50,MATCH(VLOOKUP($K63,$K$5:$AL$34,MATCH(VLOOKUP(P$37,$BJ$3:$BK$50,2,FALSE),$K$4:$AL$4,0),FALSE),BoundParameters_HiddenSheetCLAY!$B$1:$E$1,0),FALSE))),'Control Panel'!P63)))</f>
        <v/>
      </c>
      <c r="Q63" s="27" t="str">
        <f>IF($K63="","",IF(Q$37="","",IF('Control Panel'!Q63="",IF(VLOOKUP($F63,'Table Output'!$A$1:$H$100002,8,FALSE)="Sand",VLOOKUP(Q$37,BoundParameters_HiddenSheetSAND!$B$3:$E$50,MATCH(VLOOKUP($K63,$K$5:$AL$34,MATCH(VLOOKUP(Q$37,$BJ$3:$BK$50,2,FALSE),$K$4:$AL$4,0),FALSE),BoundParameters_HiddenSheetCLAY!$B$1:$E$1,0),FALSE),IF(VLOOKUP($F63,'Table Output'!$A$1:$H$100002,8,FALSE)="Clay",VLOOKUP(Q$37,BoundParameters_HiddenSheetCLAY!$B$3:$E$50,MATCH(VLOOKUP($K63,$K$5:$AL$34,MATCH(VLOOKUP(Q$37,$BJ$3:$BK$50,2,FALSE),$K$4:$AL$4,0),FALSE),BoundParameters_HiddenSheetCLAY!$B$1:$E$1,0),FALSE))),'Control Panel'!Q63)))</f>
        <v/>
      </c>
      <c r="R63" s="27" t="str">
        <f>IF($K63="","",IF(R$37="","",IF('Control Panel'!R63="",IF(VLOOKUP($F63,'Table Output'!$A$1:$H$100002,8,FALSE)="Sand",VLOOKUP(R$37,BoundParameters_HiddenSheetSAND!$B$3:$E$50,MATCH(VLOOKUP($K63,$K$5:$AL$34,MATCH(VLOOKUP(R$37,$BJ$3:$BK$50,2,FALSE),$K$4:$AL$4,0),FALSE),BoundParameters_HiddenSheetCLAY!$B$1:$E$1,0),FALSE),IF(VLOOKUP($F63,'Table Output'!$A$1:$H$100002,8,FALSE)="Clay",VLOOKUP(R$37,BoundParameters_HiddenSheetCLAY!$B$3:$E$50,MATCH(VLOOKUP($K63,$K$5:$AL$34,MATCH(VLOOKUP(R$37,$BJ$3:$BK$50,2,FALSE),$K$4:$AL$4,0),FALSE),BoundParameters_HiddenSheetCLAY!$B$1:$E$1,0),FALSE))),'Control Panel'!R63)))</f>
        <v/>
      </c>
      <c r="S63" s="27" t="str">
        <f>IF($K63="","",IF(S$37="","",IF('Control Panel'!S63="",IF(VLOOKUP($F63,'Table Output'!$A$1:$H$100002,8,FALSE)="Sand",VLOOKUP(S$37,BoundParameters_HiddenSheetSAND!$B$3:$E$50,MATCH(VLOOKUP($K63,$K$5:$AL$34,MATCH(VLOOKUP(S$37,$BJ$3:$BK$50,2,FALSE),$K$4:$AL$4,0),FALSE),BoundParameters_HiddenSheetCLAY!$B$1:$E$1,0),FALSE),IF(VLOOKUP($F63,'Table Output'!$A$1:$H$100002,8,FALSE)="Clay",VLOOKUP(S$37,BoundParameters_HiddenSheetCLAY!$B$3:$E$50,MATCH(VLOOKUP($K63,$K$5:$AL$34,MATCH(VLOOKUP(S$37,$BJ$3:$BK$50,2,FALSE),$K$4:$AL$4,0),FALSE),BoundParameters_HiddenSheetCLAY!$B$1:$E$1,0),FALSE))),'Control Panel'!S63)))</f>
        <v/>
      </c>
      <c r="T63" s="27" t="str">
        <f>IF($K63="","",IF(T$37="","",IF('Control Panel'!T63="",IF(VLOOKUP($F63,'Table Output'!$A$1:$H$100002,8,FALSE)="Sand",VLOOKUP(T$37,BoundParameters_HiddenSheetSAND!$B$3:$E$50,MATCH(VLOOKUP($K63,$K$5:$AL$34,MATCH(VLOOKUP(T$37,$BJ$3:$BK$50,2,FALSE),$K$4:$AL$4,0),FALSE),BoundParameters_HiddenSheetCLAY!$B$1:$E$1,0),FALSE),IF(VLOOKUP($F63,'Table Output'!$A$1:$H$100002,8,FALSE)="Clay",VLOOKUP(T$37,BoundParameters_HiddenSheetCLAY!$B$3:$E$50,MATCH(VLOOKUP($K63,$K$5:$AL$34,MATCH(VLOOKUP(T$37,$BJ$3:$BK$50,2,FALSE),$K$4:$AL$4,0),FALSE),BoundParameters_HiddenSheetCLAY!$B$1:$E$1,0),FALSE))),'Control Panel'!T63)))</f>
        <v/>
      </c>
      <c r="U63" s="27" t="str">
        <f>IF($K63="","",IF(U$37="","",IF('Control Panel'!U63="",IF(VLOOKUP($F63,'Table Output'!$A$1:$H$100002,8,FALSE)="Sand",VLOOKUP(U$37,BoundParameters_HiddenSheetSAND!$B$3:$E$50,MATCH(VLOOKUP($K63,$K$5:$AL$34,MATCH(VLOOKUP(U$37,$BJ$3:$BK$50,2,FALSE),$K$4:$AL$4,0),FALSE),BoundParameters_HiddenSheetCLAY!$B$1:$E$1,0),FALSE),IF(VLOOKUP($F63,'Table Output'!$A$1:$H$100002,8,FALSE)="Clay",VLOOKUP(U$37,BoundParameters_HiddenSheetCLAY!$B$3:$E$50,MATCH(VLOOKUP($K63,$K$5:$AL$34,MATCH(VLOOKUP(U$37,$BJ$3:$BK$50,2,FALSE),$K$4:$AL$4,0),FALSE),BoundParameters_HiddenSheetCLAY!$B$1:$E$1,0),FALSE))),'Control Panel'!U63)))</f>
        <v/>
      </c>
    </row>
    <row r="64" spans="2:63" x14ac:dyDescent="0.2">
      <c r="E64" s="2" t="str">
        <f t="shared" ref="E64:F64" si="39">E31</f>
        <v/>
      </c>
      <c r="F64" s="2" t="str">
        <f t="shared" si="39"/>
        <v/>
      </c>
      <c r="G64" s="2" t="str">
        <f t="shared" ref="G64:J64" si="40">G31</f>
        <v/>
      </c>
      <c r="H64" s="2" t="str">
        <f t="shared" si="40"/>
        <v/>
      </c>
      <c r="I64" s="2" t="str">
        <f t="shared" si="40"/>
        <v/>
      </c>
      <c r="J64" s="2" t="str">
        <f t="shared" si="40"/>
        <v/>
      </c>
      <c r="K64" s="4" t="str">
        <f>K31</f>
        <v/>
      </c>
      <c r="L64" s="27" t="str">
        <f>IF($K64="","",IF(L$37="","",IF('Control Panel'!L64="",IF(VLOOKUP($F64,'Table Output'!$A$1:$H$100002,8,FALSE)="Sand",VLOOKUP(L$37,BoundParameters_HiddenSheetSAND!$B$3:$E$50,MATCH(VLOOKUP($K64,$K$5:$AL$34,MATCH(VLOOKUP(L$37,$BJ$3:$BK$50,2,FALSE),$K$4:$AL$4,0),FALSE),BoundParameters_HiddenSheetCLAY!$B$1:$E$1,0),FALSE),IF(VLOOKUP($F64,'Table Output'!$A$1:$H$100002,8,FALSE)="Clay",VLOOKUP(L$37,BoundParameters_HiddenSheetCLAY!$B$3:$E$50,MATCH(VLOOKUP($K64,$K$5:$AL$34,MATCH(VLOOKUP(L$37,$BJ$3:$BK$50,2,FALSE),$K$4:$AL$4,0),FALSE),BoundParameters_HiddenSheetCLAY!$B$1:$E$1,0),FALSE))),'Control Panel'!L64)))</f>
        <v/>
      </c>
      <c r="M64" s="27" t="str">
        <f>IF($K64="","",IF(M$37="","",IF('Control Panel'!M64="",IF(VLOOKUP($F64,'Table Output'!$A$1:$H$100002,8,FALSE)="Sand",VLOOKUP(M$37,BoundParameters_HiddenSheetSAND!$B$3:$E$50,MATCH(VLOOKUP($K64,$K$5:$AL$34,MATCH(VLOOKUP(M$37,$BJ$3:$BK$50,2,FALSE),$K$4:$AL$4,0),FALSE),BoundParameters_HiddenSheetCLAY!$B$1:$E$1,0),FALSE),IF(VLOOKUP($F64,'Table Output'!$A$1:$H$100002,8,FALSE)="Clay",VLOOKUP(M$37,BoundParameters_HiddenSheetCLAY!$B$3:$E$50,MATCH(VLOOKUP($K64,$K$5:$AL$34,MATCH(VLOOKUP(M$37,$BJ$3:$BK$50,2,FALSE),$K$4:$AL$4,0),FALSE),BoundParameters_HiddenSheetCLAY!$B$1:$E$1,0),FALSE))),'Control Panel'!M64)))</f>
        <v/>
      </c>
      <c r="N64" s="27" t="str">
        <f>IF($K64="","",IF(N$37="","",IF('Control Panel'!N64="",IF(VLOOKUP($F64,'Table Output'!$A$1:$H$100002,8,FALSE)="Sand",VLOOKUP(N$37,BoundParameters_HiddenSheetSAND!$B$3:$E$50,MATCH(VLOOKUP($K64,$K$5:$AL$34,MATCH(VLOOKUP(N$37,$BJ$3:$BK$50,2,FALSE),$K$4:$AL$4,0),FALSE),BoundParameters_HiddenSheetCLAY!$B$1:$E$1,0),FALSE),IF(VLOOKUP($F64,'Table Output'!$A$1:$H$100002,8,FALSE)="Clay",VLOOKUP(N$37,BoundParameters_HiddenSheetCLAY!$B$3:$E$50,MATCH(VLOOKUP($K64,$K$5:$AL$34,MATCH(VLOOKUP(N$37,$BJ$3:$BK$50,2,FALSE),$K$4:$AL$4,0),FALSE),BoundParameters_HiddenSheetCLAY!$B$1:$E$1,0),FALSE))),'Control Panel'!N64)))</f>
        <v/>
      </c>
      <c r="O64" s="27" t="str">
        <f>IF($K64="","",IF(O$37="","",IF('Control Panel'!O64="",IF(VLOOKUP($F64,'Table Output'!$A$1:$H$100002,8,FALSE)="Sand",VLOOKUP(O$37,BoundParameters_HiddenSheetSAND!$B$3:$E$50,MATCH(VLOOKUP($K64,$K$5:$AL$34,MATCH(VLOOKUP(O$37,$BJ$3:$BK$50,2,FALSE),$K$4:$AL$4,0),FALSE),BoundParameters_HiddenSheetCLAY!$B$1:$E$1,0),FALSE),IF(VLOOKUP($F64,'Table Output'!$A$1:$H$100002,8,FALSE)="Clay",VLOOKUP(O$37,BoundParameters_HiddenSheetCLAY!$B$3:$E$50,MATCH(VLOOKUP($K64,$K$5:$AL$34,MATCH(VLOOKUP(O$37,$BJ$3:$BK$50,2,FALSE),$K$4:$AL$4,0),FALSE),BoundParameters_HiddenSheetCLAY!$B$1:$E$1,0),FALSE))),'Control Panel'!O64)))</f>
        <v/>
      </c>
      <c r="P64" s="27" t="str">
        <f>IF($K64="","",IF(P$37="","",IF('Control Panel'!P64="",IF(VLOOKUP($F64,'Table Output'!$A$1:$H$100002,8,FALSE)="Sand",VLOOKUP(P$37,BoundParameters_HiddenSheetSAND!$B$3:$E$50,MATCH(VLOOKUP($K64,$K$5:$AL$34,MATCH(VLOOKUP(P$37,$BJ$3:$BK$50,2,FALSE),$K$4:$AL$4,0),FALSE),BoundParameters_HiddenSheetCLAY!$B$1:$E$1,0),FALSE),IF(VLOOKUP($F64,'Table Output'!$A$1:$H$100002,8,FALSE)="Clay",VLOOKUP(P$37,BoundParameters_HiddenSheetCLAY!$B$3:$E$50,MATCH(VLOOKUP($K64,$K$5:$AL$34,MATCH(VLOOKUP(P$37,$BJ$3:$BK$50,2,FALSE),$K$4:$AL$4,0),FALSE),BoundParameters_HiddenSheetCLAY!$B$1:$E$1,0),FALSE))),'Control Panel'!P64)))</f>
        <v/>
      </c>
      <c r="Q64" s="27" t="str">
        <f>IF($K64="","",IF(Q$37="","",IF('Control Panel'!Q64="",IF(VLOOKUP($F64,'Table Output'!$A$1:$H$100002,8,FALSE)="Sand",VLOOKUP(Q$37,BoundParameters_HiddenSheetSAND!$B$3:$E$50,MATCH(VLOOKUP($K64,$K$5:$AL$34,MATCH(VLOOKUP(Q$37,$BJ$3:$BK$50,2,FALSE),$K$4:$AL$4,0),FALSE),BoundParameters_HiddenSheetCLAY!$B$1:$E$1,0),FALSE),IF(VLOOKUP($F64,'Table Output'!$A$1:$H$100002,8,FALSE)="Clay",VLOOKUP(Q$37,BoundParameters_HiddenSheetCLAY!$B$3:$E$50,MATCH(VLOOKUP($K64,$K$5:$AL$34,MATCH(VLOOKUP(Q$37,$BJ$3:$BK$50,2,FALSE),$K$4:$AL$4,0),FALSE),BoundParameters_HiddenSheetCLAY!$B$1:$E$1,0),FALSE))),'Control Panel'!Q64)))</f>
        <v/>
      </c>
      <c r="R64" s="27" t="str">
        <f>IF($K64="","",IF(R$37="","",IF('Control Panel'!R64="",IF(VLOOKUP($F64,'Table Output'!$A$1:$H$100002,8,FALSE)="Sand",VLOOKUP(R$37,BoundParameters_HiddenSheetSAND!$B$3:$E$50,MATCH(VLOOKUP($K64,$K$5:$AL$34,MATCH(VLOOKUP(R$37,$BJ$3:$BK$50,2,FALSE),$K$4:$AL$4,0),FALSE),BoundParameters_HiddenSheetCLAY!$B$1:$E$1,0),FALSE),IF(VLOOKUP($F64,'Table Output'!$A$1:$H$100002,8,FALSE)="Clay",VLOOKUP(R$37,BoundParameters_HiddenSheetCLAY!$B$3:$E$50,MATCH(VLOOKUP($K64,$K$5:$AL$34,MATCH(VLOOKUP(R$37,$BJ$3:$BK$50,2,FALSE),$K$4:$AL$4,0),FALSE),BoundParameters_HiddenSheetCLAY!$B$1:$E$1,0),FALSE))),'Control Panel'!R64)))</f>
        <v/>
      </c>
      <c r="S64" s="27" t="str">
        <f>IF($K64="","",IF(S$37="","",IF('Control Panel'!S64="",IF(VLOOKUP($F64,'Table Output'!$A$1:$H$100002,8,FALSE)="Sand",VLOOKUP(S$37,BoundParameters_HiddenSheetSAND!$B$3:$E$50,MATCH(VLOOKUP($K64,$K$5:$AL$34,MATCH(VLOOKUP(S$37,$BJ$3:$BK$50,2,FALSE),$K$4:$AL$4,0),FALSE),BoundParameters_HiddenSheetCLAY!$B$1:$E$1,0),FALSE),IF(VLOOKUP($F64,'Table Output'!$A$1:$H$100002,8,FALSE)="Clay",VLOOKUP(S$37,BoundParameters_HiddenSheetCLAY!$B$3:$E$50,MATCH(VLOOKUP($K64,$K$5:$AL$34,MATCH(VLOOKUP(S$37,$BJ$3:$BK$50,2,FALSE),$K$4:$AL$4,0),FALSE),BoundParameters_HiddenSheetCLAY!$B$1:$E$1,0),FALSE))),'Control Panel'!S64)))</f>
        <v/>
      </c>
      <c r="T64" s="27" t="str">
        <f>IF($K64="","",IF(T$37="","",IF('Control Panel'!T64="",IF(VLOOKUP($F64,'Table Output'!$A$1:$H$100002,8,FALSE)="Sand",VLOOKUP(T$37,BoundParameters_HiddenSheetSAND!$B$3:$E$50,MATCH(VLOOKUP($K64,$K$5:$AL$34,MATCH(VLOOKUP(T$37,$BJ$3:$BK$50,2,FALSE),$K$4:$AL$4,0),FALSE),BoundParameters_HiddenSheetCLAY!$B$1:$E$1,0),FALSE),IF(VLOOKUP($F64,'Table Output'!$A$1:$H$100002,8,FALSE)="Clay",VLOOKUP(T$37,BoundParameters_HiddenSheetCLAY!$B$3:$E$50,MATCH(VLOOKUP($K64,$K$5:$AL$34,MATCH(VLOOKUP(T$37,$BJ$3:$BK$50,2,FALSE),$K$4:$AL$4,0),FALSE),BoundParameters_HiddenSheetCLAY!$B$1:$E$1,0),FALSE))),'Control Panel'!T64)))</f>
        <v/>
      </c>
      <c r="U64" s="27" t="str">
        <f>IF($K64="","",IF(U$37="","",IF('Control Panel'!U64="",IF(VLOOKUP($F64,'Table Output'!$A$1:$H$100002,8,FALSE)="Sand",VLOOKUP(U$37,BoundParameters_HiddenSheetSAND!$B$3:$E$50,MATCH(VLOOKUP($K64,$K$5:$AL$34,MATCH(VLOOKUP(U$37,$BJ$3:$BK$50,2,FALSE),$K$4:$AL$4,0),FALSE),BoundParameters_HiddenSheetCLAY!$B$1:$E$1,0),FALSE),IF(VLOOKUP($F64,'Table Output'!$A$1:$H$100002,8,FALSE)="Clay",VLOOKUP(U$37,BoundParameters_HiddenSheetCLAY!$B$3:$E$50,MATCH(VLOOKUP($K64,$K$5:$AL$34,MATCH(VLOOKUP(U$37,$BJ$3:$BK$50,2,FALSE),$K$4:$AL$4,0),FALSE),BoundParameters_HiddenSheetCLAY!$B$1:$E$1,0),FALSE))),'Control Panel'!U64)))</f>
        <v/>
      </c>
    </row>
    <row r="65" spans="5:62" x14ac:dyDescent="0.2">
      <c r="E65" s="2" t="str">
        <f t="shared" ref="E65:F65" si="41">E32</f>
        <v/>
      </c>
      <c r="F65" s="2" t="str">
        <f t="shared" si="41"/>
        <v/>
      </c>
      <c r="G65" s="2" t="str">
        <f t="shared" ref="G65:J65" si="42">G32</f>
        <v/>
      </c>
      <c r="H65" s="2" t="str">
        <f t="shared" si="42"/>
        <v/>
      </c>
      <c r="I65" s="2" t="str">
        <f t="shared" si="42"/>
        <v/>
      </c>
      <c r="J65" s="2" t="str">
        <f t="shared" si="42"/>
        <v/>
      </c>
      <c r="K65" s="4" t="str">
        <f>K32</f>
        <v/>
      </c>
      <c r="L65" s="27" t="str">
        <f>IF($K65="","",IF(L$37="","",IF('Control Panel'!L65="",IF(VLOOKUP($F65,'Table Output'!$A$1:$H$100002,8,FALSE)="Sand",VLOOKUP(L$37,BoundParameters_HiddenSheetSAND!$B$3:$E$50,MATCH(VLOOKUP($K65,$K$5:$AL$34,MATCH(VLOOKUP(L$37,$BJ$3:$BK$50,2,FALSE),$K$4:$AL$4,0),FALSE),BoundParameters_HiddenSheetCLAY!$B$1:$E$1,0),FALSE),IF(VLOOKUP($F65,'Table Output'!$A$1:$H$100002,8,FALSE)="Clay",VLOOKUP(L$37,BoundParameters_HiddenSheetCLAY!$B$3:$E$50,MATCH(VLOOKUP($K65,$K$5:$AL$34,MATCH(VLOOKUP(L$37,$BJ$3:$BK$50,2,FALSE),$K$4:$AL$4,0),FALSE),BoundParameters_HiddenSheetCLAY!$B$1:$E$1,0),FALSE))),'Control Panel'!L65)))</f>
        <v/>
      </c>
      <c r="M65" s="27" t="str">
        <f>IF($K65="","",IF(M$37="","",IF('Control Panel'!M65="",IF(VLOOKUP($F65,'Table Output'!$A$1:$H$100002,8,FALSE)="Sand",VLOOKUP(M$37,BoundParameters_HiddenSheetSAND!$B$3:$E$50,MATCH(VLOOKUP($K65,$K$5:$AL$34,MATCH(VLOOKUP(M$37,$BJ$3:$BK$50,2,FALSE),$K$4:$AL$4,0),FALSE),BoundParameters_HiddenSheetCLAY!$B$1:$E$1,0),FALSE),IF(VLOOKUP($F65,'Table Output'!$A$1:$H$100002,8,FALSE)="Clay",VLOOKUP(M$37,BoundParameters_HiddenSheetCLAY!$B$3:$E$50,MATCH(VLOOKUP($K65,$K$5:$AL$34,MATCH(VLOOKUP(M$37,$BJ$3:$BK$50,2,FALSE),$K$4:$AL$4,0),FALSE),BoundParameters_HiddenSheetCLAY!$B$1:$E$1,0),FALSE))),'Control Panel'!M65)))</f>
        <v/>
      </c>
      <c r="N65" s="27" t="str">
        <f>IF($K65="","",IF(N$37="","",IF('Control Panel'!N65="",IF(VLOOKUP($F65,'Table Output'!$A$1:$H$100002,8,FALSE)="Sand",VLOOKUP(N$37,BoundParameters_HiddenSheetSAND!$B$3:$E$50,MATCH(VLOOKUP($K65,$K$5:$AL$34,MATCH(VLOOKUP(N$37,$BJ$3:$BK$50,2,FALSE),$K$4:$AL$4,0),FALSE),BoundParameters_HiddenSheetCLAY!$B$1:$E$1,0),FALSE),IF(VLOOKUP($F65,'Table Output'!$A$1:$H$100002,8,FALSE)="Clay",VLOOKUP(N$37,BoundParameters_HiddenSheetCLAY!$B$3:$E$50,MATCH(VLOOKUP($K65,$K$5:$AL$34,MATCH(VLOOKUP(N$37,$BJ$3:$BK$50,2,FALSE),$K$4:$AL$4,0),FALSE),BoundParameters_HiddenSheetCLAY!$B$1:$E$1,0),FALSE))),'Control Panel'!N65)))</f>
        <v/>
      </c>
      <c r="O65" s="27" t="str">
        <f>IF($K65="","",IF(O$37="","",IF('Control Panel'!O65="",IF(VLOOKUP($F65,'Table Output'!$A$1:$H$100002,8,FALSE)="Sand",VLOOKUP(O$37,BoundParameters_HiddenSheetSAND!$B$3:$E$50,MATCH(VLOOKUP($K65,$K$5:$AL$34,MATCH(VLOOKUP(O$37,$BJ$3:$BK$50,2,FALSE),$K$4:$AL$4,0),FALSE),BoundParameters_HiddenSheetCLAY!$B$1:$E$1,0),FALSE),IF(VLOOKUP($F65,'Table Output'!$A$1:$H$100002,8,FALSE)="Clay",VLOOKUP(O$37,BoundParameters_HiddenSheetCLAY!$B$3:$E$50,MATCH(VLOOKUP($K65,$K$5:$AL$34,MATCH(VLOOKUP(O$37,$BJ$3:$BK$50,2,FALSE),$K$4:$AL$4,0),FALSE),BoundParameters_HiddenSheetCLAY!$B$1:$E$1,0),FALSE))),'Control Panel'!O65)))</f>
        <v/>
      </c>
      <c r="P65" s="27" t="str">
        <f>IF($K65="","",IF(P$37="","",IF('Control Panel'!P65="",IF(VLOOKUP($F65,'Table Output'!$A$1:$H$100002,8,FALSE)="Sand",VLOOKUP(P$37,BoundParameters_HiddenSheetSAND!$B$3:$E$50,MATCH(VLOOKUP($K65,$K$5:$AL$34,MATCH(VLOOKUP(P$37,$BJ$3:$BK$50,2,FALSE),$K$4:$AL$4,0),FALSE),BoundParameters_HiddenSheetCLAY!$B$1:$E$1,0),FALSE),IF(VLOOKUP($F65,'Table Output'!$A$1:$H$100002,8,FALSE)="Clay",VLOOKUP(P$37,BoundParameters_HiddenSheetCLAY!$B$3:$E$50,MATCH(VLOOKUP($K65,$K$5:$AL$34,MATCH(VLOOKUP(P$37,$BJ$3:$BK$50,2,FALSE),$K$4:$AL$4,0),FALSE),BoundParameters_HiddenSheetCLAY!$B$1:$E$1,0),FALSE))),'Control Panel'!P65)))</f>
        <v/>
      </c>
      <c r="Q65" s="27" t="str">
        <f>IF($K65="","",IF(Q$37="","",IF('Control Panel'!Q65="",IF(VLOOKUP($F65,'Table Output'!$A$1:$H$100002,8,FALSE)="Sand",VLOOKUP(Q$37,BoundParameters_HiddenSheetSAND!$B$3:$E$50,MATCH(VLOOKUP($K65,$K$5:$AL$34,MATCH(VLOOKUP(Q$37,$BJ$3:$BK$50,2,FALSE),$K$4:$AL$4,0),FALSE),BoundParameters_HiddenSheetCLAY!$B$1:$E$1,0),FALSE),IF(VLOOKUP($F65,'Table Output'!$A$1:$H$100002,8,FALSE)="Clay",VLOOKUP(Q$37,BoundParameters_HiddenSheetCLAY!$B$3:$E$50,MATCH(VLOOKUP($K65,$K$5:$AL$34,MATCH(VLOOKUP(Q$37,$BJ$3:$BK$50,2,FALSE),$K$4:$AL$4,0),FALSE),BoundParameters_HiddenSheetCLAY!$B$1:$E$1,0),FALSE))),'Control Panel'!Q65)))</f>
        <v/>
      </c>
      <c r="R65" s="27" t="str">
        <f>IF($K65="","",IF(R$37="","",IF('Control Panel'!R65="",IF(VLOOKUP($F65,'Table Output'!$A$1:$H$100002,8,FALSE)="Sand",VLOOKUP(R$37,BoundParameters_HiddenSheetSAND!$B$3:$E$50,MATCH(VLOOKUP($K65,$K$5:$AL$34,MATCH(VLOOKUP(R$37,$BJ$3:$BK$50,2,FALSE),$K$4:$AL$4,0),FALSE),BoundParameters_HiddenSheetCLAY!$B$1:$E$1,0),FALSE),IF(VLOOKUP($F65,'Table Output'!$A$1:$H$100002,8,FALSE)="Clay",VLOOKUP(R$37,BoundParameters_HiddenSheetCLAY!$B$3:$E$50,MATCH(VLOOKUP($K65,$K$5:$AL$34,MATCH(VLOOKUP(R$37,$BJ$3:$BK$50,2,FALSE),$K$4:$AL$4,0),FALSE),BoundParameters_HiddenSheetCLAY!$B$1:$E$1,0),FALSE))),'Control Panel'!R65)))</f>
        <v/>
      </c>
      <c r="S65" s="27" t="str">
        <f>IF($K65="","",IF(S$37="","",IF('Control Panel'!S65="",IF(VLOOKUP($F65,'Table Output'!$A$1:$H$100002,8,FALSE)="Sand",VLOOKUP(S$37,BoundParameters_HiddenSheetSAND!$B$3:$E$50,MATCH(VLOOKUP($K65,$K$5:$AL$34,MATCH(VLOOKUP(S$37,$BJ$3:$BK$50,2,FALSE),$K$4:$AL$4,0),FALSE),BoundParameters_HiddenSheetCLAY!$B$1:$E$1,0),FALSE),IF(VLOOKUP($F65,'Table Output'!$A$1:$H$100002,8,FALSE)="Clay",VLOOKUP(S$37,BoundParameters_HiddenSheetCLAY!$B$3:$E$50,MATCH(VLOOKUP($K65,$K$5:$AL$34,MATCH(VLOOKUP(S$37,$BJ$3:$BK$50,2,FALSE),$K$4:$AL$4,0),FALSE),BoundParameters_HiddenSheetCLAY!$B$1:$E$1,0),FALSE))),'Control Panel'!S65)))</f>
        <v/>
      </c>
      <c r="T65" s="27" t="str">
        <f>IF($K65="","",IF(T$37="","",IF('Control Panel'!T65="",IF(VLOOKUP($F65,'Table Output'!$A$1:$H$100002,8,FALSE)="Sand",VLOOKUP(T$37,BoundParameters_HiddenSheetSAND!$B$3:$E$50,MATCH(VLOOKUP($K65,$K$5:$AL$34,MATCH(VLOOKUP(T$37,$BJ$3:$BK$50,2,FALSE),$K$4:$AL$4,0),FALSE),BoundParameters_HiddenSheetCLAY!$B$1:$E$1,0),FALSE),IF(VLOOKUP($F65,'Table Output'!$A$1:$H$100002,8,FALSE)="Clay",VLOOKUP(T$37,BoundParameters_HiddenSheetCLAY!$B$3:$E$50,MATCH(VLOOKUP($K65,$K$5:$AL$34,MATCH(VLOOKUP(T$37,$BJ$3:$BK$50,2,FALSE),$K$4:$AL$4,0),FALSE),BoundParameters_HiddenSheetCLAY!$B$1:$E$1,0),FALSE))),'Control Panel'!T65)))</f>
        <v/>
      </c>
      <c r="U65" s="27" t="str">
        <f>IF($K65="","",IF(U$37="","",IF('Control Panel'!U65="",IF(VLOOKUP($F65,'Table Output'!$A$1:$H$100002,8,FALSE)="Sand",VLOOKUP(U$37,BoundParameters_HiddenSheetSAND!$B$3:$E$50,MATCH(VLOOKUP($K65,$K$5:$AL$34,MATCH(VLOOKUP(U$37,$BJ$3:$BK$50,2,FALSE),$K$4:$AL$4,0),FALSE),BoundParameters_HiddenSheetCLAY!$B$1:$E$1,0),FALSE),IF(VLOOKUP($F65,'Table Output'!$A$1:$H$100002,8,FALSE)="Clay",VLOOKUP(U$37,BoundParameters_HiddenSheetCLAY!$B$3:$E$50,MATCH(VLOOKUP($K65,$K$5:$AL$34,MATCH(VLOOKUP(U$37,$BJ$3:$BK$50,2,FALSE),$K$4:$AL$4,0),FALSE),BoundParameters_HiddenSheetCLAY!$B$1:$E$1,0),FALSE))),'Control Panel'!U65)))</f>
        <v/>
      </c>
    </row>
    <row r="66" spans="5:62" x14ac:dyDescent="0.2">
      <c r="E66" s="2" t="str">
        <f t="shared" ref="E66:F66" si="43">E33</f>
        <v/>
      </c>
      <c r="F66" s="2" t="str">
        <f t="shared" si="43"/>
        <v/>
      </c>
      <c r="G66" s="2" t="str">
        <f t="shared" ref="G66:J66" si="44">G33</f>
        <v/>
      </c>
      <c r="H66" s="2" t="str">
        <f t="shared" si="44"/>
        <v/>
      </c>
      <c r="I66" s="2" t="str">
        <f t="shared" si="44"/>
        <v/>
      </c>
      <c r="J66" s="2" t="str">
        <f t="shared" si="44"/>
        <v/>
      </c>
      <c r="K66" s="4" t="str">
        <f>K33</f>
        <v/>
      </c>
      <c r="L66" s="27" t="str">
        <f>IF($K66="","",IF(L$37="","",IF('Control Panel'!L66="",IF(VLOOKUP($F66,'Table Output'!$A$1:$H$100002,8,FALSE)="Sand",VLOOKUP(L$37,BoundParameters_HiddenSheetSAND!$B$3:$E$50,MATCH(VLOOKUP($K66,$K$5:$AL$34,MATCH(VLOOKUP(L$37,$BJ$3:$BK$50,2,FALSE),$K$4:$AL$4,0),FALSE),BoundParameters_HiddenSheetCLAY!$B$1:$E$1,0),FALSE),IF(VLOOKUP($F66,'Table Output'!$A$1:$H$100002,8,FALSE)="Clay",VLOOKUP(L$37,BoundParameters_HiddenSheetCLAY!$B$3:$E$50,MATCH(VLOOKUP($K66,$K$5:$AL$34,MATCH(VLOOKUP(L$37,$BJ$3:$BK$50,2,FALSE),$K$4:$AL$4,0),FALSE),BoundParameters_HiddenSheetCLAY!$B$1:$E$1,0),FALSE))),'Control Panel'!L66)))</f>
        <v/>
      </c>
      <c r="M66" s="27" t="str">
        <f>IF($K66="","",IF(M$37="","",IF('Control Panel'!M66="",IF(VLOOKUP($F66,'Table Output'!$A$1:$H$100002,8,FALSE)="Sand",VLOOKUP(M$37,BoundParameters_HiddenSheetSAND!$B$3:$E$50,MATCH(VLOOKUP($K66,$K$5:$AL$34,MATCH(VLOOKUP(M$37,$BJ$3:$BK$50,2,FALSE),$K$4:$AL$4,0),FALSE),BoundParameters_HiddenSheetCLAY!$B$1:$E$1,0),FALSE),IF(VLOOKUP($F66,'Table Output'!$A$1:$H$100002,8,FALSE)="Clay",VLOOKUP(M$37,BoundParameters_HiddenSheetCLAY!$B$3:$E$50,MATCH(VLOOKUP($K66,$K$5:$AL$34,MATCH(VLOOKUP(M$37,$BJ$3:$BK$50,2,FALSE),$K$4:$AL$4,0),FALSE),BoundParameters_HiddenSheetCLAY!$B$1:$E$1,0),FALSE))),'Control Panel'!M66)))</f>
        <v/>
      </c>
      <c r="N66" s="27" t="str">
        <f>IF($K66="","",IF(N$37="","",IF('Control Panel'!N66="",IF(VLOOKUP($F66,'Table Output'!$A$1:$H$100002,8,FALSE)="Sand",VLOOKUP(N$37,BoundParameters_HiddenSheetSAND!$B$3:$E$50,MATCH(VLOOKUP($K66,$K$5:$AL$34,MATCH(VLOOKUP(N$37,$BJ$3:$BK$50,2,FALSE),$K$4:$AL$4,0),FALSE),BoundParameters_HiddenSheetCLAY!$B$1:$E$1,0),FALSE),IF(VLOOKUP($F66,'Table Output'!$A$1:$H$100002,8,FALSE)="Clay",VLOOKUP(N$37,BoundParameters_HiddenSheetCLAY!$B$3:$E$50,MATCH(VLOOKUP($K66,$K$5:$AL$34,MATCH(VLOOKUP(N$37,$BJ$3:$BK$50,2,FALSE),$K$4:$AL$4,0),FALSE),BoundParameters_HiddenSheetCLAY!$B$1:$E$1,0),FALSE))),'Control Panel'!N66)))</f>
        <v/>
      </c>
      <c r="O66" s="27" t="str">
        <f>IF($K66="","",IF(O$37="","",IF('Control Panel'!O66="",IF(VLOOKUP($F66,'Table Output'!$A$1:$H$100002,8,FALSE)="Sand",VLOOKUP(O$37,BoundParameters_HiddenSheetSAND!$B$3:$E$50,MATCH(VLOOKUP($K66,$K$5:$AL$34,MATCH(VLOOKUP(O$37,$BJ$3:$BK$50,2,FALSE),$K$4:$AL$4,0),FALSE),BoundParameters_HiddenSheetCLAY!$B$1:$E$1,0),FALSE),IF(VLOOKUP($F66,'Table Output'!$A$1:$H$100002,8,FALSE)="Clay",VLOOKUP(O$37,BoundParameters_HiddenSheetCLAY!$B$3:$E$50,MATCH(VLOOKUP($K66,$K$5:$AL$34,MATCH(VLOOKUP(O$37,$BJ$3:$BK$50,2,FALSE),$K$4:$AL$4,0),FALSE),BoundParameters_HiddenSheetCLAY!$B$1:$E$1,0),FALSE))),'Control Panel'!O66)))</f>
        <v/>
      </c>
      <c r="P66" s="27" t="str">
        <f>IF($K66="","",IF(P$37="","",IF('Control Panel'!P66="",IF(VLOOKUP($F66,'Table Output'!$A$1:$H$100002,8,FALSE)="Sand",VLOOKUP(P$37,BoundParameters_HiddenSheetSAND!$B$3:$E$50,MATCH(VLOOKUP($K66,$K$5:$AL$34,MATCH(VLOOKUP(P$37,$BJ$3:$BK$50,2,FALSE),$K$4:$AL$4,0),FALSE),BoundParameters_HiddenSheetCLAY!$B$1:$E$1,0),FALSE),IF(VLOOKUP($F66,'Table Output'!$A$1:$H$100002,8,FALSE)="Clay",VLOOKUP(P$37,BoundParameters_HiddenSheetCLAY!$B$3:$E$50,MATCH(VLOOKUP($K66,$K$5:$AL$34,MATCH(VLOOKUP(P$37,$BJ$3:$BK$50,2,FALSE),$K$4:$AL$4,0),FALSE),BoundParameters_HiddenSheetCLAY!$B$1:$E$1,0),FALSE))),'Control Panel'!P66)))</f>
        <v/>
      </c>
      <c r="Q66" s="27" t="str">
        <f>IF($K66="","",IF(Q$37="","",IF('Control Panel'!Q66="",IF(VLOOKUP($F66,'Table Output'!$A$1:$H$100002,8,FALSE)="Sand",VLOOKUP(Q$37,BoundParameters_HiddenSheetSAND!$B$3:$E$50,MATCH(VLOOKUP($K66,$K$5:$AL$34,MATCH(VLOOKUP(Q$37,$BJ$3:$BK$50,2,FALSE),$K$4:$AL$4,0),FALSE),BoundParameters_HiddenSheetCLAY!$B$1:$E$1,0),FALSE),IF(VLOOKUP($F66,'Table Output'!$A$1:$H$100002,8,FALSE)="Clay",VLOOKUP(Q$37,BoundParameters_HiddenSheetCLAY!$B$3:$E$50,MATCH(VLOOKUP($K66,$K$5:$AL$34,MATCH(VLOOKUP(Q$37,$BJ$3:$BK$50,2,FALSE),$K$4:$AL$4,0),FALSE),BoundParameters_HiddenSheetCLAY!$B$1:$E$1,0),FALSE))),'Control Panel'!Q66)))</f>
        <v/>
      </c>
      <c r="R66" s="27" t="str">
        <f>IF($K66="","",IF(R$37="","",IF('Control Panel'!R66="",IF(VLOOKUP($F66,'Table Output'!$A$1:$H$100002,8,FALSE)="Sand",VLOOKUP(R$37,BoundParameters_HiddenSheetSAND!$B$3:$E$50,MATCH(VLOOKUP($K66,$K$5:$AL$34,MATCH(VLOOKUP(R$37,$BJ$3:$BK$50,2,FALSE),$K$4:$AL$4,0),FALSE),BoundParameters_HiddenSheetCLAY!$B$1:$E$1,0),FALSE),IF(VLOOKUP($F66,'Table Output'!$A$1:$H$100002,8,FALSE)="Clay",VLOOKUP(R$37,BoundParameters_HiddenSheetCLAY!$B$3:$E$50,MATCH(VLOOKUP($K66,$K$5:$AL$34,MATCH(VLOOKUP(R$37,$BJ$3:$BK$50,2,FALSE),$K$4:$AL$4,0),FALSE),BoundParameters_HiddenSheetCLAY!$B$1:$E$1,0),FALSE))),'Control Panel'!R66)))</f>
        <v/>
      </c>
      <c r="S66" s="27" t="str">
        <f>IF($K66="","",IF(S$37="","",IF('Control Panel'!S66="",IF(VLOOKUP($F66,'Table Output'!$A$1:$H$100002,8,FALSE)="Sand",VLOOKUP(S$37,BoundParameters_HiddenSheetSAND!$B$3:$E$50,MATCH(VLOOKUP($K66,$K$5:$AL$34,MATCH(VLOOKUP(S$37,$BJ$3:$BK$50,2,FALSE),$K$4:$AL$4,0),FALSE),BoundParameters_HiddenSheetCLAY!$B$1:$E$1,0),FALSE),IF(VLOOKUP($F66,'Table Output'!$A$1:$H$100002,8,FALSE)="Clay",VLOOKUP(S$37,BoundParameters_HiddenSheetCLAY!$B$3:$E$50,MATCH(VLOOKUP($K66,$K$5:$AL$34,MATCH(VLOOKUP(S$37,$BJ$3:$BK$50,2,FALSE),$K$4:$AL$4,0),FALSE),BoundParameters_HiddenSheetCLAY!$B$1:$E$1,0),FALSE))),'Control Panel'!S66)))</f>
        <v/>
      </c>
      <c r="T66" s="27" t="str">
        <f>IF($K66="","",IF(T$37="","",IF('Control Panel'!T66="",IF(VLOOKUP($F66,'Table Output'!$A$1:$H$100002,8,FALSE)="Sand",VLOOKUP(T$37,BoundParameters_HiddenSheetSAND!$B$3:$E$50,MATCH(VLOOKUP($K66,$K$5:$AL$34,MATCH(VLOOKUP(T$37,$BJ$3:$BK$50,2,FALSE),$K$4:$AL$4,0),FALSE),BoundParameters_HiddenSheetCLAY!$B$1:$E$1,0),FALSE),IF(VLOOKUP($F66,'Table Output'!$A$1:$H$100002,8,FALSE)="Clay",VLOOKUP(T$37,BoundParameters_HiddenSheetCLAY!$B$3:$E$50,MATCH(VLOOKUP($K66,$K$5:$AL$34,MATCH(VLOOKUP(T$37,$BJ$3:$BK$50,2,FALSE),$K$4:$AL$4,0),FALSE),BoundParameters_HiddenSheetCLAY!$B$1:$E$1,0),FALSE))),'Control Panel'!T66)))</f>
        <v/>
      </c>
      <c r="U66" s="27" t="str">
        <f>IF($K66="","",IF(U$37="","",IF('Control Panel'!U66="",IF(VLOOKUP($F66,'Table Output'!$A$1:$H$100002,8,FALSE)="Sand",VLOOKUP(U$37,BoundParameters_HiddenSheetSAND!$B$3:$E$50,MATCH(VLOOKUP($K66,$K$5:$AL$34,MATCH(VLOOKUP(U$37,$BJ$3:$BK$50,2,FALSE),$K$4:$AL$4,0),FALSE),BoundParameters_HiddenSheetCLAY!$B$1:$E$1,0),FALSE),IF(VLOOKUP($F66,'Table Output'!$A$1:$H$100002,8,FALSE)="Clay",VLOOKUP(U$37,BoundParameters_HiddenSheetCLAY!$B$3:$E$50,MATCH(VLOOKUP($K66,$K$5:$AL$34,MATCH(VLOOKUP(U$37,$BJ$3:$BK$50,2,FALSE),$K$4:$AL$4,0),FALSE),BoundParameters_HiddenSheetCLAY!$B$1:$E$1,0),FALSE))),'Control Panel'!U66)))</f>
        <v/>
      </c>
    </row>
    <row r="67" spans="5:62" x14ac:dyDescent="0.2">
      <c r="E67" s="2" t="str">
        <f t="shared" ref="E67:F67" si="45">E34</f>
        <v/>
      </c>
      <c r="F67" s="2" t="str">
        <f t="shared" si="45"/>
        <v/>
      </c>
      <c r="G67" s="2" t="str">
        <f t="shared" ref="G67:J67" si="46">G34</f>
        <v/>
      </c>
      <c r="H67" s="2" t="str">
        <f t="shared" si="46"/>
        <v/>
      </c>
      <c r="I67" s="2" t="str">
        <f t="shared" si="46"/>
        <v/>
      </c>
      <c r="J67" s="2" t="str">
        <f t="shared" si="46"/>
        <v/>
      </c>
      <c r="K67" s="4" t="str">
        <f>K34</f>
        <v/>
      </c>
      <c r="L67" s="27" t="str">
        <f>IF($K67="","",IF(L$37="","",IF('Control Panel'!L67="",IF(VLOOKUP($F67,'Table Output'!$A$1:$H$100002,8,FALSE)="Sand",VLOOKUP(L$37,BoundParameters_HiddenSheetSAND!$B$3:$E$50,MATCH(VLOOKUP($K67,$K$5:$AL$34,MATCH(VLOOKUP(L$37,$BJ$3:$BK$50,2,FALSE),$K$4:$AL$4,0),FALSE),BoundParameters_HiddenSheetCLAY!$B$1:$E$1,0),FALSE),IF(VLOOKUP($F67,'Table Output'!$A$1:$H$100002,8,FALSE)="Clay",VLOOKUP(L$37,BoundParameters_HiddenSheetCLAY!$B$3:$E$50,MATCH(VLOOKUP($K67,$K$5:$AL$34,MATCH(VLOOKUP(L$37,$BJ$3:$BK$50,2,FALSE),$K$4:$AL$4,0),FALSE),BoundParameters_HiddenSheetCLAY!$B$1:$E$1,0),FALSE))),'Control Panel'!L67)))</f>
        <v/>
      </c>
      <c r="M67" s="27" t="str">
        <f>IF($K67="","",IF(M$37="","",IF('Control Panel'!M67="",IF(VLOOKUP($F67,'Table Output'!$A$1:$H$100002,8,FALSE)="Sand",VLOOKUP(M$37,BoundParameters_HiddenSheetSAND!$B$3:$E$50,MATCH(VLOOKUP($K67,$K$5:$AL$34,MATCH(VLOOKUP(M$37,$BJ$3:$BK$50,2,FALSE),$K$4:$AL$4,0),FALSE),BoundParameters_HiddenSheetCLAY!$B$1:$E$1,0),FALSE),IF(VLOOKUP($F67,'Table Output'!$A$1:$H$100002,8,FALSE)="Clay",VLOOKUP(M$37,BoundParameters_HiddenSheetCLAY!$B$3:$E$50,MATCH(VLOOKUP($K67,$K$5:$AL$34,MATCH(VLOOKUP(M$37,$BJ$3:$BK$50,2,FALSE),$K$4:$AL$4,0),FALSE),BoundParameters_HiddenSheetCLAY!$B$1:$E$1,0),FALSE))),'Control Panel'!M67)))</f>
        <v/>
      </c>
      <c r="N67" s="27" t="str">
        <f>IF($K67="","",IF(N$37="","",IF('Control Panel'!N67="",IF(VLOOKUP($F67,'Table Output'!$A$1:$H$100002,8,FALSE)="Sand",VLOOKUP(N$37,BoundParameters_HiddenSheetSAND!$B$3:$E$50,MATCH(VLOOKUP($K67,$K$5:$AL$34,MATCH(VLOOKUP(N$37,$BJ$3:$BK$50,2,FALSE),$K$4:$AL$4,0),FALSE),BoundParameters_HiddenSheetCLAY!$B$1:$E$1,0),FALSE),IF(VLOOKUP($F67,'Table Output'!$A$1:$H$100002,8,FALSE)="Clay",VLOOKUP(N$37,BoundParameters_HiddenSheetCLAY!$B$3:$E$50,MATCH(VLOOKUP($K67,$K$5:$AL$34,MATCH(VLOOKUP(N$37,$BJ$3:$BK$50,2,FALSE),$K$4:$AL$4,0),FALSE),BoundParameters_HiddenSheetCLAY!$B$1:$E$1,0),FALSE))),'Control Panel'!N67)))</f>
        <v/>
      </c>
      <c r="O67" s="27" t="str">
        <f>IF($K67="","",IF(O$37="","",IF('Control Panel'!O67="",IF(VLOOKUP($F67,'Table Output'!$A$1:$H$100002,8,FALSE)="Sand",VLOOKUP(O$37,BoundParameters_HiddenSheetSAND!$B$3:$E$50,MATCH(VLOOKUP($K67,$K$5:$AL$34,MATCH(VLOOKUP(O$37,$BJ$3:$BK$50,2,FALSE),$K$4:$AL$4,0),FALSE),BoundParameters_HiddenSheetCLAY!$B$1:$E$1,0),FALSE),IF(VLOOKUP($F67,'Table Output'!$A$1:$H$100002,8,FALSE)="Clay",VLOOKUP(O$37,BoundParameters_HiddenSheetCLAY!$B$3:$E$50,MATCH(VLOOKUP($K67,$K$5:$AL$34,MATCH(VLOOKUP(O$37,$BJ$3:$BK$50,2,FALSE),$K$4:$AL$4,0),FALSE),BoundParameters_HiddenSheetCLAY!$B$1:$E$1,0),FALSE))),'Control Panel'!O67)))</f>
        <v/>
      </c>
      <c r="P67" s="27" t="str">
        <f>IF($K67="","",IF(P$37="","",IF('Control Panel'!P67="",IF(VLOOKUP($F67,'Table Output'!$A$1:$H$100002,8,FALSE)="Sand",VLOOKUP(P$37,BoundParameters_HiddenSheetSAND!$B$3:$E$50,MATCH(VLOOKUP($K67,$K$5:$AL$34,MATCH(VLOOKUP(P$37,$BJ$3:$BK$50,2,FALSE),$K$4:$AL$4,0),FALSE),BoundParameters_HiddenSheetCLAY!$B$1:$E$1,0),FALSE),IF(VLOOKUP($F67,'Table Output'!$A$1:$H$100002,8,FALSE)="Clay",VLOOKUP(P$37,BoundParameters_HiddenSheetCLAY!$B$3:$E$50,MATCH(VLOOKUP($K67,$K$5:$AL$34,MATCH(VLOOKUP(P$37,$BJ$3:$BK$50,2,FALSE),$K$4:$AL$4,0),FALSE),BoundParameters_HiddenSheetCLAY!$B$1:$E$1,0),FALSE))),'Control Panel'!P67)))</f>
        <v/>
      </c>
      <c r="Q67" s="27" t="str">
        <f>IF($K67="","",IF(Q$37="","",IF('Control Panel'!Q67="",IF(VLOOKUP($F67,'Table Output'!$A$1:$H$100002,8,FALSE)="Sand",VLOOKUP(Q$37,BoundParameters_HiddenSheetSAND!$B$3:$E$50,MATCH(VLOOKUP($K67,$K$5:$AL$34,MATCH(VLOOKUP(Q$37,$BJ$3:$BK$50,2,FALSE),$K$4:$AL$4,0),FALSE),BoundParameters_HiddenSheetCLAY!$B$1:$E$1,0),FALSE),IF(VLOOKUP($F67,'Table Output'!$A$1:$H$100002,8,FALSE)="Clay",VLOOKUP(Q$37,BoundParameters_HiddenSheetCLAY!$B$3:$E$50,MATCH(VLOOKUP($K67,$K$5:$AL$34,MATCH(VLOOKUP(Q$37,$BJ$3:$BK$50,2,FALSE),$K$4:$AL$4,0),FALSE),BoundParameters_HiddenSheetCLAY!$B$1:$E$1,0),FALSE))),'Control Panel'!Q67)))</f>
        <v/>
      </c>
      <c r="R67" s="27" t="str">
        <f>IF($K67="","",IF(R$37="","",IF('Control Panel'!R67="",IF(VLOOKUP($F67,'Table Output'!$A$1:$H$100002,8,FALSE)="Sand",VLOOKUP(R$37,BoundParameters_HiddenSheetSAND!$B$3:$E$50,MATCH(VLOOKUP($K67,$K$5:$AL$34,MATCH(VLOOKUP(R$37,$BJ$3:$BK$50,2,FALSE),$K$4:$AL$4,0),FALSE),BoundParameters_HiddenSheetCLAY!$B$1:$E$1,0),FALSE),IF(VLOOKUP($F67,'Table Output'!$A$1:$H$100002,8,FALSE)="Clay",VLOOKUP(R$37,BoundParameters_HiddenSheetCLAY!$B$3:$E$50,MATCH(VLOOKUP($K67,$K$5:$AL$34,MATCH(VLOOKUP(R$37,$BJ$3:$BK$50,2,FALSE),$K$4:$AL$4,0),FALSE),BoundParameters_HiddenSheetCLAY!$B$1:$E$1,0),FALSE))),'Control Panel'!R67)))</f>
        <v/>
      </c>
      <c r="S67" s="27" t="str">
        <f>IF($K67="","",IF(S$37="","",IF('Control Panel'!S67="",IF(VLOOKUP($F67,'Table Output'!$A$1:$H$100002,8,FALSE)="Sand",VLOOKUP(S$37,BoundParameters_HiddenSheetSAND!$B$3:$E$50,MATCH(VLOOKUP($K67,$K$5:$AL$34,MATCH(VLOOKUP(S$37,$BJ$3:$BK$50,2,FALSE),$K$4:$AL$4,0),FALSE),BoundParameters_HiddenSheetCLAY!$B$1:$E$1,0),FALSE),IF(VLOOKUP($F67,'Table Output'!$A$1:$H$100002,8,FALSE)="Clay",VLOOKUP(S$37,BoundParameters_HiddenSheetCLAY!$B$3:$E$50,MATCH(VLOOKUP($K67,$K$5:$AL$34,MATCH(VLOOKUP(S$37,$BJ$3:$BK$50,2,FALSE),$K$4:$AL$4,0),FALSE),BoundParameters_HiddenSheetCLAY!$B$1:$E$1,0),FALSE))),'Control Panel'!S67)))</f>
        <v/>
      </c>
      <c r="T67" s="27" t="str">
        <f>IF($K67="","",IF(T$37="","",IF('Control Panel'!T67="",IF(VLOOKUP($F67,'Table Output'!$A$1:$H$100002,8,FALSE)="Sand",VLOOKUP(T$37,BoundParameters_HiddenSheetSAND!$B$3:$E$50,MATCH(VLOOKUP($K67,$K$5:$AL$34,MATCH(VLOOKUP(T$37,$BJ$3:$BK$50,2,FALSE),$K$4:$AL$4,0),FALSE),BoundParameters_HiddenSheetCLAY!$B$1:$E$1,0),FALSE),IF(VLOOKUP($F67,'Table Output'!$A$1:$H$100002,8,FALSE)="Clay",VLOOKUP(T$37,BoundParameters_HiddenSheetCLAY!$B$3:$E$50,MATCH(VLOOKUP($K67,$K$5:$AL$34,MATCH(VLOOKUP(T$37,$BJ$3:$BK$50,2,FALSE),$K$4:$AL$4,0),FALSE),BoundParameters_HiddenSheetCLAY!$B$1:$E$1,0),FALSE))),'Control Panel'!T67)))</f>
        <v/>
      </c>
      <c r="U67" s="27" t="str">
        <f>IF($K67="","",IF(U$37="","",IF('Control Panel'!U67="",IF(VLOOKUP($F67,'Table Output'!$A$1:$H$100002,8,FALSE)="Sand",VLOOKUP(U$37,BoundParameters_HiddenSheetSAND!$B$3:$E$50,MATCH(VLOOKUP($K67,$K$5:$AL$34,MATCH(VLOOKUP(U$37,$BJ$3:$BK$50,2,FALSE),$K$4:$AL$4,0),FALSE),BoundParameters_HiddenSheetCLAY!$B$1:$E$1,0),FALSE),IF(VLOOKUP($F67,'Table Output'!$A$1:$H$100002,8,FALSE)="Clay",VLOOKUP(U$37,BoundParameters_HiddenSheetCLAY!$B$3:$E$50,MATCH(VLOOKUP($K67,$K$5:$AL$34,MATCH(VLOOKUP(U$37,$BJ$3:$BK$50,2,FALSE),$K$4:$AL$4,0),FALSE),BoundParameters_HiddenSheetCLAY!$B$1:$E$1,0),FALSE))),'Control Panel'!U67)))</f>
        <v/>
      </c>
    </row>
    <row r="68" spans="5:62" x14ac:dyDescent="0.2">
      <c r="K68" s="4"/>
      <c r="L68" s="27" t="str">
        <f>IF($K68="","",IF(L$37="","",IF('Control Panel'!L68="",IF(VLOOKUP($F68,'Table Output'!$A$1:$H$100002,8,FALSE)="Sand",VLOOKUP(L$37,BoundParameters_HiddenSheetSAND!$B$3:$E$50,MATCH(VLOOKUP($K68,$K$5:$AL$34,MATCH(VLOOKUP(L$37,$BJ$3:$BK$50,2,FALSE),$K$4:$AL$4,0),FALSE),BoundParameters_HiddenSheetCLAY!$B$1:$E$1,0),FALSE),IF(VLOOKUP($F68,'Table Output'!$A$1:$H$100002,8,FALSE)="Clay",VLOOKUP(L$37,BoundParameters_HiddenSheetCLAY!$B$3:$E$50,MATCH(VLOOKUP($K68,$K$5:$AL$34,MATCH(VLOOKUP(L$37,$BJ$3:$BK$50,2,FALSE),$K$4:$AL$4,0),FALSE),BoundParameters_HiddenSheetCLAY!$B$1:$E$1,0),FALSE))),'Control Panel'!L68)))</f>
        <v/>
      </c>
      <c r="M68" s="27" t="str">
        <f>IF($K68="","",IF(M$37="","",IF('Control Panel'!M68="",IF(VLOOKUP($F68,'Table Output'!$A$1:$H$100002,8,FALSE)="Sand",VLOOKUP(M$37,BoundParameters_HiddenSheetSAND!$B$3:$E$50,MATCH(VLOOKUP($K68,$K$5:$AL$34,MATCH(VLOOKUP(M$37,$BJ$3:$BK$50,2,FALSE),$K$4:$AL$4,0),FALSE),BoundParameters_HiddenSheetCLAY!$B$1:$E$1,0),FALSE),IF(VLOOKUP($F68,'Table Output'!$A$1:$H$100002,8,FALSE)="Clay",VLOOKUP(M$37,BoundParameters_HiddenSheetCLAY!$B$3:$E$50,MATCH(VLOOKUP($K68,$K$5:$AL$34,MATCH(VLOOKUP(M$37,$BJ$3:$BK$50,2,FALSE),$K$4:$AL$4,0),FALSE),BoundParameters_HiddenSheetCLAY!$B$1:$E$1,0),FALSE))),'Control Panel'!M68)))</f>
        <v/>
      </c>
      <c r="N68" s="27" t="str">
        <f>IF($K68="","",IF(N$37="","",IF('Control Panel'!N68="",IF(VLOOKUP($F68,'Table Output'!$A$1:$H$100002,8,FALSE)="Sand",VLOOKUP(N$37,BoundParameters_HiddenSheetSAND!$B$3:$E$50,MATCH(VLOOKUP($K68,$K$5:$AL$34,MATCH(VLOOKUP(N$37,$BJ$3:$BK$50,2,FALSE),$K$4:$AL$4,0),FALSE),BoundParameters_HiddenSheetCLAY!$B$1:$E$1,0),FALSE),IF(VLOOKUP($F68,'Table Output'!$A$1:$H$100002,8,FALSE)="Clay",VLOOKUP(N$37,BoundParameters_HiddenSheetCLAY!$B$3:$E$50,MATCH(VLOOKUP($K68,$K$5:$AL$34,MATCH(VLOOKUP(N$37,$BJ$3:$BK$50,2,FALSE),$K$4:$AL$4,0),FALSE),BoundParameters_HiddenSheetCLAY!$B$1:$E$1,0),FALSE))),'Control Panel'!N68)))</f>
        <v/>
      </c>
      <c r="O68" s="27" t="str">
        <f>IF($K68="","",IF(O$37="","",IF('Control Panel'!O68="",IF(VLOOKUP($F68,'Table Output'!$A$1:$H$100002,8,FALSE)="Sand",VLOOKUP(O$37,BoundParameters_HiddenSheetSAND!$B$3:$E$50,MATCH(VLOOKUP($K68,$K$5:$AL$34,MATCH(VLOOKUP(O$37,$BJ$3:$BK$50,2,FALSE),$K$4:$AL$4,0),FALSE),BoundParameters_HiddenSheetCLAY!$B$1:$E$1,0),FALSE),IF(VLOOKUP($F68,'Table Output'!$A$1:$H$100002,8,FALSE)="Clay",VLOOKUP(O$37,BoundParameters_HiddenSheetCLAY!$B$3:$E$50,MATCH(VLOOKUP($K68,$K$5:$AL$34,MATCH(VLOOKUP(O$37,$BJ$3:$BK$50,2,FALSE),$K$4:$AL$4,0),FALSE),BoundParameters_HiddenSheetCLAY!$B$1:$E$1,0),FALSE))),'Control Panel'!O68)))</f>
        <v/>
      </c>
      <c r="P68" s="27" t="str">
        <f>IF($K68="","",IF(P$37="","",IF('Control Panel'!P68="",IF(VLOOKUP($F68,'Table Output'!$A$1:$H$100002,8,FALSE)="Sand",VLOOKUP(P$37,BoundParameters_HiddenSheetSAND!$B$3:$E$50,MATCH(VLOOKUP($K68,$K$5:$AL$34,MATCH(VLOOKUP(P$37,$BJ$3:$BK$50,2,FALSE),$K$4:$AL$4,0),FALSE),BoundParameters_HiddenSheetCLAY!$B$1:$E$1,0),FALSE),IF(VLOOKUP($F68,'Table Output'!$A$1:$H$100002,8,FALSE)="Clay",VLOOKUP(P$37,BoundParameters_HiddenSheetCLAY!$B$3:$E$50,MATCH(VLOOKUP($K68,$K$5:$AL$34,MATCH(VLOOKUP(P$37,$BJ$3:$BK$50,2,FALSE),$K$4:$AL$4,0),FALSE),BoundParameters_HiddenSheetCLAY!$B$1:$E$1,0),FALSE))),'Control Panel'!P68)))</f>
        <v/>
      </c>
      <c r="Q68" s="27" t="str">
        <f>IF($K68="","",IF(Q$37="","",IF('Control Panel'!Q68="",IF(VLOOKUP($F68,'Table Output'!$A$1:$H$100002,8,FALSE)="Sand",VLOOKUP(Q$37,BoundParameters_HiddenSheetSAND!$B$3:$E$50,MATCH(VLOOKUP($K68,$K$5:$AL$34,MATCH(VLOOKUP(Q$37,$BJ$3:$BK$50,2,FALSE),$K$4:$AL$4,0),FALSE),BoundParameters_HiddenSheetCLAY!$B$1:$E$1,0),FALSE),IF(VLOOKUP($F68,'Table Output'!$A$1:$H$100002,8,FALSE)="Clay",VLOOKUP(Q$37,BoundParameters_HiddenSheetCLAY!$B$3:$E$50,MATCH(VLOOKUP($K68,$K$5:$AL$34,MATCH(VLOOKUP(Q$37,$BJ$3:$BK$50,2,FALSE),$K$4:$AL$4,0),FALSE),BoundParameters_HiddenSheetCLAY!$B$1:$E$1,0),FALSE))),'Control Panel'!Q68)))</f>
        <v/>
      </c>
      <c r="R68" s="27" t="str">
        <f>IF($K68="","",IF(R$37="","",IF('Control Panel'!R68="",IF(VLOOKUP($F68,'Table Output'!$A$1:$H$100002,8,FALSE)="Sand",VLOOKUP(R$37,BoundParameters_HiddenSheetSAND!$B$3:$E$50,MATCH(VLOOKUP($K68,$K$5:$AL$34,MATCH(VLOOKUP(R$37,$BJ$3:$BK$50,2,FALSE),$K$4:$AL$4,0),FALSE),BoundParameters_HiddenSheetCLAY!$B$1:$E$1,0),FALSE),IF(VLOOKUP($F68,'Table Output'!$A$1:$H$100002,8,FALSE)="Clay",VLOOKUP(R$37,BoundParameters_HiddenSheetCLAY!$B$3:$E$50,MATCH(VLOOKUP($K68,$K$5:$AL$34,MATCH(VLOOKUP(R$37,$BJ$3:$BK$50,2,FALSE),$K$4:$AL$4,0),FALSE),BoundParameters_HiddenSheetCLAY!$B$1:$E$1,0),FALSE))),'Control Panel'!R68)))</f>
        <v/>
      </c>
      <c r="S68" s="27" t="str">
        <f>IF($K68="","",IF(S$37="","",IF('Control Panel'!S68="",IF(VLOOKUP($F68,'Table Output'!$A$1:$H$100002,8,FALSE)="Sand",VLOOKUP(S$37,BoundParameters_HiddenSheetSAND!$B$3:$E$50,MATCH(VLOOKUP($K68,$K$5:$AL$34,MATCH(VLOOKUP(S$37,$BJ$3:$BK$50,2,FALSE),$K$4:$AL$4,0),FALSE),BoundParameters_HiddenSheetCLAY!$B$1:$E$1,0),FALSE),IF(VLOOKUP($F68,'Table Output'!$A$1:$H$100002,8,FALSE)="Clay",VLOOKUP(S$37,BoundParameters_HiddenSheetCLAY!$B$3:$E$50,MATCH(VLOOKUP($K68,$K$5:$AL$34,MATCH(VLOOKUP(S$37,$BJ$3:$BK$50,2,FALSE),$K$4:$AL$4,0),FALSE),BoundParameters_HiddenSheetCLAY!$B$1:$E$1,0),FALSE))),'Control Panel'!S68)))</f>
        <v/>
      </c>
      <c r="T68" s="27" t="str">
        <f>IF($K68="","",IF(T$37="","",IF('Control Panel'!T68="",IF(VLOOKUP($F68,'Table Output'!$A$1:$H$100002,8,FALSE)="Sand",VLOOKUP(T$37,BoundParameters_HiddenSheetSAND!$B$3:$E$50,MATCH(VLOOKUP($K68,$K$5:$AL$34,MATCH(VLOOKUP(T$37,$BJ$3:$BK$50,2,FALSE),$K$4:$AL$4,0),FALSE),BoundParameters_HiddenSheetCLAY!$B$1:$E$1,0),FALSE),IF(VLOOKUP($F68,'Table Output'!$A$1:$H$100002,8,FALSE)="Clay",VLOOKUP(T$37,BoundParameters_HiddenSheetCLAY!$B$3:$E$50,MATCH(VLOOKUP($K68,$K$5:$AL$34,MATCH(VLOOKUP(T$37,$BJ$3:$BK$50,2,FALSE),$K$4:$AL$4,0),FALSE),BoundParameters_HiddenSheetCLAY!$B$1:$E$1,0),FALSE))),'Control Panel'!T68)))</f>
        <v/>
      </c>
      <c r="U68" s="27" t="str">
        <f>IF($K68="","",IF(U$37="","",IF('Control Panel'!U68="",IF(VLOOKUP($F68,'Table Output'!$A$1:$H$100002,8,FALSE)="Sand",VLOOKUP(U$37,BoundParameters_HiddenSheetSAND!$B$3:$E$50,MATCH(VLOOKUP($K68,$K$5:$AL$34,MATCH(VLOOKUP(U$37,$BJ$3:$BK$50,2,FALSE),$K$4:$AL$4,0),FALSE),BoundParameters_HiddenSheetCLAY!$B$1:$E$1,0),FALSE),IF(VLOOKUP($F68,'Table Output'!$A$1:$H$100002,8,FALSE)="Clay",VLOOKUP(U$37,BoundParameters_HiddenSheetCLAY!$B$3:$E$50,MATCH(VLOOKUP($K68,$K$5:$AL$34,MATCH(VLOOKUP(U$37,$BJ$3:$BK$50,2,FALSE),$K$4:$AL$4,0),FALSE),BoundParameters_HiddenSheetCLAY!$B$1:$E$1,0),FALSE))),'Control Panel'!U68)))</f>
        <v/>
      </c>
    </row>
    <row r="70" spans="5:62" ht="12" thickBot="1" x14ac:dyDescent="0.25"/>
    <row r="71" spans="5:62" ht="12" thickBot="1" x14ac:dyDescent="0.25">
      <c r="K71" s="220" t="s">
        <v>175</v>
      </c>
      <c r="L71" s="221"/>
      <c r="M71" s="221"/>
      <c r="N71" s="221"/>
      <c r="O71" s="221"/>
      <c r="P71" s="221"/>
      <c r="Q71" s="221"/>
      <c r="R71" s="221"/>
      <c r="S71" s="221"/>
      <c r="T71" s="221"/>
      <c r="U71" s="222"/>
      <c r="BJ71" s="2" t="s">
        <v>180</v>
      </c>
    </row>
    <row r="72" spans="5:62" ht="12" thickBot="1" x14ac:dyDescent="0.25">
      <c r="K72" s="16" t="s">
        <v>82</v>
      </c>
      <c r="L72" s="17" t="str">
        <f>L37</f>
        <v>yB_u_1</v>
      </c>
      <c r="M72" s="17" t="str">
        <f t="shared" ref="M72:U72" si="47">M37</f>
        <v>yB_u_2</v>
      </c>
      <c r="N72" s="17" t="str">
        <f t="shared" si="47"/>
        <v>k_H_1</v>
      </c>
      <c r="O72" s="17" t="str">
        <f t="shared" si="47"/>
        <v>k_H_2</v>
      </c>
      <c r="P72" s="17" t="str">
        <f t="shared" si="47"/>
        <v>HB_u_1</v>
      </c>
      <c r="Q72" s="17" t="str">
        <f t="shared" si="47"/>
        <v>HB_u_2</v>
      </c>
      <c r="R72" s="17" t="str">
        <f t="shared" si="47"/>
        <v>n_H_1</v>
      </c>
      <c r="S72" s="17" t="str">
        <f t="shared" si="47"/>
        <v/>
      </c>
      <c r="T72" s="17" t="str">
        <f t="shared" si="47"/>
        <v/>
      </c>
      <c r="U72" s="17" t="str">
        <f t="shared" si="47"/>
        <v/>
      </c>
    </row>
    <row r="73" spans="5:62" x14ac:dyDescent="0.2">
      <c r="F73" s="2" t="str">
        <f>F38</f>
        <v>NGI_U3_1</v>
      </c>
      <c r="K73" s="4">
        <f>K38</f>
        <v>1</v>
      </c>
      <c r="L73" s="27">
        <f>IF($K73="","",IF(L$37="","",IF('Control Panel'!L73="",IF(VLOOKUP($F38,'Table Output'!$A$1:$H$100002,8,FALSE)="Sand",VLOOKUP(L$37,BoundParameters_HiddenSheetSAND!$I$3:$L$50,MATCH(VLOOKUP($K73,$K$5:$AL$34,MATCH(VLOOKUP(L$37,$BJ$3:$BK$50,2,FALSE),$K$4:$AL$4,0),FALSE),BoundParameters_HiddenSheetCLAY!$I$1:$L$1,0),FALSE),IF(VLOOKUP($F38,'Table Output'!$A$1:$H$10002,8,FALSE)="Clay",VLOOKUP(L$37,BoundParameters_HiddenSheetCLAY!$I$3:$L$50,MATCH(VLOOKUP($K73,$K$5:$AL$34,MATCH(VLOOKUP(L$37,$BJ$3:$BK$50,2,FALSE),$K$4:$AL$4,0),FALSE),BoundParameters_HiddenSheetCLAY!$I$1:$L$1,0),FALSE))),'Control Panel'!L73)))</f>
        <v>7</v>
      </c>
      <c r="M73" s="27">
        <f>IF($K73="","",IF(M$37="","",IF('Control Panel'!M73="",IF(VLOOKUP($F38,'Table Output'!$A$1:$H$100002,8,FALSE)="Sand",VLOOKUP(M$37,BoundParameters_HiddenSheetSAND!$I$3:$L$50,MATCH(VLOOKUP($K73,$K$5:$AL$34,MATCH(VLOOKUP(M$37,$BJ$3:$BK$50,2,FALSE),$K$4:$AL$4,0),FALSE),BoundParameters_HiddenSheetCLAY!$I$1:$L$1,0),FALSE),IF(VLOOKUP($F38,'Table Output'!$A$1:$H$10002,8,FALSE)="Clay",VLOOKUP(M$37,BoundParameters_HiddenSheetCLAY!$I$3:$L$50,MATCH(VLOOKUP($K73,$K$5:$AL$34,MATCH(VLOOKUP(M$37,$BJ$3:$BK$50,2,FALSE),$K$4:$AL$4,0),FALSE),BoundParameters_HiddenSheetCLAY!$I$1:$L$1,0),FALSE))),'Control Panel'!M73)))</f>
        <v>150</v>
      </c>
      <c r="N73" s="27">
        <f>IF($K73="","",IF(N$37="","",IF('Control Panel'!N73="",IF(VLOOKUP($F38,'Table Output'!$A$1:$H$100002,8,FALSE)="Sand",VLOOKUP(N$37,BoundParameters_HiddenSheetSAND!$I$3:$L$50,MATCH(VLOOKUP($K73,$K$5:$AL$34,MATCH(VLOOKUP(N$37,$BJ$3:$BK$50,2,FALSE),$K$4:$AL$4,0),FALSE),BoundParameters_HiddenSheetCLAY!$I$1:$L$1,0),FALSE),IF(VLOOKUP($F38,'Table Output'!$A$1:$H$10002,8,FALSE)="Clay",VLOOKUP(N$37,BoundParameters_HiddenSheetCLAY!$I$3:$L$50,MATCH(VLOOKUP($K73,$K$5:$AL$34,MATCH(VLOOKUP(N$37,$BJ$3:$BK$50,2,FALSE),$K$4:$AL$4,0),FALSE),BoundParameters_HiddenSheetCLAY!$I$1:$L$1,0),FALSE))),'Control Panel'!N73)))</f>
        <v>0.01</v>
      </c>
      <c r="O73" s="27">
        <f>IF($K73="","",IF(O$37="","",IF('Control Panel'!O73="",IF(VLOOKUP($F38,'Table Output'!$A$1:$H$100002,8,FALSE)="Sand",VLOOKUP(O$37,BoundParameters_HiddenSheetSAND!$I$3:$L$50,MATCH(VLOOKUP($K73,$K$5:$AL$34,MATCH(VLOOKUP(O$37,$BJ$3:$BK$50,2,FALSE),$K$4:$AL$4,0),FALSE),BoundParameters_HiddenSheetCLAY!$I$1:$L$1,0),FALSE),IF(VLOOKUP($F38,'Table Output'!$A$1:$H$10002,8,FALSE)="Clay",VLOOKUP(O$37,BoundParameters_HiddenSheetCLAY!$I$3:$L$50,MATCH(VLOOKUP($K73,$K$5:$AL$34,MATCH(VLOOKUP(O$37,$BJ$3:$BK$50,2,FALSE),$K$4:$AL$4,0),FALSE),BoundParameters_HiddenSheetCLAY!$I$1:$L$1,0),FALSE))),'Control Panel'!O73)))</f>
        <v>10</v>
      </c>
      <c r="P73" s="27">
        <f>IF($K73="","",IF(P$37="","",IF('Control Panel'!P73="",IF(VLOOKUP($F38,'Table Output'!$A$1:$H$100002,8,FALSE)="Sand",VLOOKUP(P$37,BoundParameters_HiddenSheetSAND!$I$3:$L$50,MATCH(VLOOKUP($K73,$K$5:$AL$34,MATCH(VLOOKUP(P$37,$BJ$3:$BK$50,2,FALSE),$K$4:$AL$4,0),FALSE),BoundParameters_HiddenSheetCLAY!$I$1:$L$1,0),FALSE),IF(VLOOKUP($F38,'Table Output'!$A$1:$H$10002,8,FALSE)="Clay",VLOOKUP(P$37,BoundParameters_HiddenSheetCLAY!$I$3:$L$50,MATCH(VLOOKUP($K73,$K$5:$AL$34,MATCH(VLOOKUP(P$37,$BJ$3:$BK$50,2,FALSE),$K$4:$AL$4,0),FALSE),BoundParameters_HiddenSheetCLAY!$I$1:$L$1,0),FALSE))),'Control Panel'!P73)))</f>
        <v>0.5</v>
      </c>
      <c r="Q73" s="27">
        <f>IF($K73="","",IF(Q$37="","",IF('Control Panel'!Q73="",IF(VLOOKUP($F38,'Table Output'!$A$1:$H$100002,8,FALSE)="Sand",VLOOKUP(Q$37,BoundParameters_HiddenSheetSAND!$I$3:$L$50,MATCH(VLOOKUP($K73,$K$5:$AL$34,MATCH(VLOOKUP(Q$37,$BJ$3:$BK$50,2,FALSE),$K$4:$AL$4,0),FALSE),BoundParameters_HiddenSheetCLAY!$I$1:$L$1,0),FALSE),IF(VLOOKUP($F38,'Table Output'!$A$1:$H$10002,8,FALSE)="Clay",VLOOKUP(Q$37,BoundParameters_HiddenSheetCLAY!$I$3:$L$50,MATCH(VLOOKUP($K73,$K$5:$AL$34,MATCH(VLOOKUP(Q$37,$BJ$3:$BK$50,2,FALSE),$K$4:$AL$4,0),FALSE),BoundParameters_HiddenSheetCLAY!$I$1:$L$1,0),FALSE))),'Control Panel'!Q73)))</f>
        <v>-5555</v>
      </c>
      <c r="R73" s="27">
        <f>IF($K73="","",IF(R$37="","",IF('Control Panel'!R73="",IF(VLOOKUP($F38,'Table Output'!$A$1:$H$100002,8,FALSE)="Sand",VLOOKUP(R$37,BoundParameters_HiddenSheetSAND!$I$3:$L$50,MATCH(VLOOKUP($K73,$K$5:$AL$34,MATCH(VLOOKUP(R$37,$BJ$3:$BK$50,2,FALSE),$K$4:$AL$4,0),FALSE),BoundParameters_HiddenSheetCLAY!$I$1:$L$1,0),FALSE),IF(VLOOKUP($F38,'Table Output'!$A$1:$H$10002,8,FALSE)="Clay",VLOOKUP(R$37,BoundParameters_HiddenSheetCLAY!$I$3:$L$50,MATCH(VLOOKUP($K73,$K$5:$AL$34,MATCH(VLOOKUP(R$37,$BJ$3:$BK$50,2,FALSE),$K$4:$AL$4,0),FALSE),BoundParameters_HiddenSheetCLAY!$I$1:$L$1,0),FALSE))),'Control Panel'!R73)))</f>
        <v>0.2</v>
      </c>
      <c r="S73" s="27" t="str">
        <f>IF($K73="","",IF(S$37="","",IF('Control Panel'!S73="",IF(VLOOKUP($F38,'Table Output'!$A$1:$H$100002,8,FALSE)="Sand",VLOOKUP(S$37,BoundParameters_HiddenSheetSAND!$I$3:$L$50,MATCH(VLOOKUP($K73,$K$5:$AL$34,MATCH(VLOOKUP(S$37,$BJ$3:$BK$50,2,FALSE),$K$4:$AL$4,0),FALSE),BoundParameters_HiddenSheetCLAY!$I$1:$L$1,0),FALSE),IF(VLOOKUP($F38,'Table Output'!$A$1:$H$10002,8,FALSE)="Clay",VLOOKUP(S$37,BoundParameters_HiddenSheetCLAY!$I$3:$L$50,MATCH(VLOOKUP($K73,$K$5:$AL$34,MATCH(VLOOKUP(S$37,$BJ$3:$BK$50,2,FALSE),$K$4:$AL$4,0),FALSE),BoundParameters_HiddenSheetCLAY!$I$1:$L$1,0),FALSE))),'Control Panel'!S73)))</f>
        <v/>
      </c>
      <c r="T73" s="27" t="str">
        <f>IF($K73="","",IF(T$37="","",IF('Control Panel'!T73="",IF(VLOOKUP($F38,'Table Output'!$A$1:$H$100002,8,FALSE)="Sand",VLOOKUP(T$37,BoundParameters_HiddenSheetSAND!$I$3:$L$50,MATCH(VLOOKUP($K73,$K$5:$AL$34,MATCH(VLOOKUP(T$37,$BJ$3:$BK$50,2,FALSE),$K$4:$AL$4,0),FALSE),BoundParameters_HiddenSheetCLAY!$I$1:$L$1,0),FALSE),IF(VLOOKUP($F38,'Table Output'!$A$1:$H$10002,8,FALSE)="Clay",VLOOKUP(T$37,BoundParameters_HiddenSheetCLAY!$I$3:$L$50,MATCH(VLOOKUP($K73,$K$5:$AL$34,MATCH(VLOOKUP(T$37,$BJ$3:$BK$50,2,FALSE),$K$4:$AL$4,0),FALSE),BoundParameters_HiddenSheetCLAY!$I$1:$L$1,0),FALSE))),'Control Panel'!T73)))</f>
        <v/>
      </c>
      <c r="U73" s="27" t="str">
        <f>IF($K73="","",IF(U$37="","",IF('Control Panel'!U73="",IF(VLOOKUP($F38,'Table Output'!$A$1:$H$100002,8,FALSE)="Sand",VLOOKUP(U$37,BoundParameters_HiddenSheetSAND!$I$3:$L$50,MATCH(VLOOKUP($K73,$K$5:$AL$34,MATCH(VLOOKUP(U$37,$BJ$3:$BK$50,2,FALSE),$K$4:$AL$4,0),FALSE),BoundParameters_HiddenSheetCLAY!$I$1:$L$1,0),FALSE),IF(VLOOKUP($F38,'Table Output'!$A$1:$H$10002,8,FALSE)="Clay",VLOOKUP(U$37,BoundParameters_HiddenSheetCLAY!$I$3:$L$50,MATCH(VLOOKUP($K73,$K$5:$AL$34,MATCH(VLOOKUP(U$37,$BJ$3:$BK$50,2,FALSE),$K$4:$AL$4,0),FALSE),BoundParameters_HiddenSheetCLAY!$I$1:$L$1,0),FALSE))),'Control Panel'!U73)))</f>
        <v/>
      </c>
    </row>
    <row r="74" spans="5:62" x14ac:dyDescent="0.2">
      <c r="F74" s="2" t="str">
        <f t="shared" ref="F74" si="48">F39</f>
        <v>NGI_U3_2</v>
      </c>
      <c r="K74" s="4">
        <f t="shared" ref="K74:K89" si="49">K39</f>
        <v>2</v>
      </c>
      <c r="L74" s="27">
        <f>IF($K74="","",IF(L$37="","",IF('Control Panel'!L74="",IF(VLOOKUP($F39,'Table Output'!$A$1:$H$100002,8,FALSE)="Sand",VLOOKUP(L$37,BoundParameters_HiddenSheetSAND!$I$3:$L$50,MATCH(VLOOKUP($K74,$K$5:$AL$34,MATCH(VLOOKUP(L$37,$BJ$3:$BK$50,2,FALSE),$K$4:$AL$4,0),FALSE),BoundParameters_HiddenSheetCLAY!$I$1:$L$1,0),FALSE),IF(VLOOKUP($F39,'Table Output'!$A$1:$H$10002,8,FALSE)="Clay",VLOOKUP(L$37,BoundParameters_HiddenSheetCLAY!$I$3:$L$50,MATCH(VLOOKUP($K74,$K$5:$AL$34,MATCH(VLOOKUP(L$37,$BJ$3:$BK$50,2,FALSE),$K$4:$AL$4,0),FALSE),BoundParameters_HiddenSheetCLAY!$I$1:$L$1,0),FALSE))),'Control Panel'!L74)))</f>
        <v>7</v>
      </c>
      <c r="M74" s="27">
        <f>IF($K74="","",IF(M$37="","",IF('Control Panel'!M74="",IF(VLOOKUP($F39,'Table Output'!$A$1:$H$100002,8,FALSE)="Sand",VLOOKUP(M$37,BoundParameters_HiddenSheetSAND!$I$3:$L$50,MATCH(VLOOKUP($K74,$K$5:$AL$34,MATCH(VLOOKUP(M$37,$BJ$3:$BK$50,2,FALSE),$K$4:$AL$4,0),FALSE),BoundParameters_HiddenSheetCLAY!$I$1:$L$1,0),FALSE),IF(VLOOKUP($F39,'Table Output'!$A$1:$H$10002,8,FALSE)="Clay",VLOOKUP(M$37,BoundParameters_HiddenSheetCLAY!$I$3:$L$50,MATCH(VLOOKUP($K74,$K$5:$AL$34,MATCH(VLOOKUP(M$37,$BJ$3:$BK$50,2,FALSE),$K$4:$AL$4,0),FALSE),BoundParameters_HiddenSheetCLAY!$I$1:$L$1,0),FALSE))),'Control Panel'!M74)))</f>
        <v>150</v>
      </c>
      <c r="N74" s="27">
        <f>IF($K74="","",IF(N$37="","",IF('Control Panel'!N74="",IF(VLOOKUP($F39,'Table Output'!$A$1:$H$100002,8,FALSE)="Sand",VLOOKUP(N$37,BoundParameters_HiddenSheetSAND!$I$3:$L$50,MATCH(VLOOKUP($K74,$K$5:$AL$34,MATCH(VLOOKUP(N$37,$BJ$3:$BK$50,2,FALSE),$K$4:$AL$4,0),FALSE),BoundParameters_HiddenSheetCLAY!$I$1:$L$1,0),FALSE),IF(VLOOKUP($F39,'Table Output'!$A$1:$H$10002,8,FALSE)="Clay",VLOOKUP(N$37,BoundParameters_HiddenSheetCLAY!$I$3:$L$50,MATCH(VLOOKUP($K74,$K$5:$AL$34,MATCH(VLOOKUP(N$37,$BJ$3:$BK$50,2,FALSE),$K$4:$AL$4,0),FALSE),BoundParameters_HiddenSheetCLAY!$I$1:$L$1,0),FALSE))),'Control Panel'!N74)))</f>
        <v>0.01</v>
      </c>
      <c r="O74" s="27">
        <f>IF($K74="","",IF(O$37="","",IF('Control Panel'!O74="",IF(VLOOKUP($F39,'Table Output'!$A$1:$H$100002,8,FALSE)="Sand",VLOOKUP(O$37,BoundParameters_HiddenSheetSAND!$I$3:$L$50,MATCH(VLOOKUP($K74,$K$5:$AL$34,MATCH(VLOOKUP(O$37,$BJ$3:$BK$50,2,FALSE),$K$4:$AL$4,0),FALSE),BoundParameters_HiddenSheetCLAY!$I$1:$L$1,0),FALSE),IF(VLOOKUP($F39,'Table Output'!$A$1:$H$10002,8,FALSE)="Clay",VLOOKUP(O$37,BoundParameters_HiddenSheetCLAY!$I$3:$L$50,MATCH(VLOOKUP($K74,$K$5:$AL$34,MATCH(VLOOKUP(O$37,$BJ$3:$BK$50,2,FALSE),$K$4:$AL$4,0),FALSE),BoundParameters_HiddenSheetCLAY!$I$1:$L$1,0),FALSE))),'Control Panel'!O74)))</f>
        <v>10</v>
      </c>
      <c r="P74" s="27">
        <f>IF($K74="","",IF(P$37="","",IF('Control Panel'!P74="",IF(VLOOKUP($F39,'Table Output'!$A$1:$H$100002,8,FALSE)="Sand",VLOOKUP(P$37,BoundParameters_HiddenSheetSAND!$I$3:$L$50,MATCH(VLOOKUP($K74,$K$5:$AL$34,MATCH(VLOOKUP(P$37,$BJ$3:$BK$50,2,FALSE),$K$4:$AL$4,0),FALSE),BoundParameters_HiddenSheetCLAY!$I$1:$L$1,0),FALSE),IF(VLOOKUP($F39,'Table Output'!$A$1:$H$10002,8,FALSE)="Clay",VLOOKUP(P$37,BoundParameters_HiddenSheetCLAY!$I$3:$L$50,MATCH(VLOOKUP($K74,$K$5:$AL$34,MATCH(VLOOKUP(P$37,$BJ$3:$BK$50,2,FALSE),$K$4:$AL$4,0),FALSE),BoundParameters_HiddenSheetCLAY!$I$1:$L$1,0),FALSE))),'Control Panel'!P74)))</f>
        <v>0.5</v>
      </c>
      <c r="Q74" s="27">
        <f>IF($K74="","",IF(Q$37="","",IF('Control Panel'!Q74="",IF(VLOOKUP($F39,'Table Output'!$A$1:$H$100002,8,FALSE)="Sand",VLOOKUP(Q$37,BoundParameters_HiddenSheetSAND!$I$3:$L$50,MATCH(VLOOKUP($K74,$K$5:$AL$34,MATCH(VLOOKUP(Q$37,$BJ$3:$BK$50,2,FALSE),$K$4:$AL$4,0),FALSE),BoundParameters_HiddenSheetCLAY!$I$1:$L$1,0),FALSE),IF(VLOOKUP($F39,'Table Output'!$A$1:$H$10002,8,FALSE)="Clay",VLOOKUP(Q$37,BoundParameters_HiddenSheetCLAY!$I$3:$L$50,MATCH(VLOOKUP($K74,$K$5:$AL$34,MATCH(VLOOKUP(Q$37,$BJ$3:$BK$50,2,FALSE),$K$4:$AL$4,0),FALSE),BoundParameters_HiddenSheetCLAY!$I$1:$L$1,0),FALSE))),'Control Panel'!Q74)))</f>
        <v>-5555</v>
      </c>
      <c r="R74" s="27">
        <f>IF($K74="","",IF(R$37="","",IF('Control Panel'!R74="",IF(VLOOKUP($F39,'Table Output'!$A$1:$H$100002,8,FALSE)="Sand",VLOOKUP(R$37,BoundParameters_HiddenSheetSAND!$I$3:$L$50,MATCH(VLOOKUP($K74,$K$5:$AL$34,MATCH(VLOOKUP(R$37,$BJ$3:$BK$50,2,FALSE),$K$4:$AL$4,0),FALSE),BoundParameters_HiddenSheetCLAY!$I$1:$L$1,0),FALSE),IF(VLOOKUP($F39,'Table Output'!$A$1:$H$10002,8,FALSE)="Clay",VLOOKUP(R$37,BoundParameters_HiddenSheetCLAY!$I$3:$L$50,MATCH(VLOOKUP($K74,$K$5:$AL$34,MATCH(VLOOKUP(R$37,$BJ$3:$BK$50,2,FALSE),$K$4:$AL$4,0),FALSE),BoundParameters_HiddenSheetCLAY!$I$1:$L$1,0),FALSE))),'Control Panel'!R74)))</f>
        <v>0.2</v>
      </c>
      <c r="S74" s="27" t="str">
        <f>IF($K74="","",IF(S$37="","",IF('Control Panel'!S74="",IF(VLOOKUP($F39,'Table Output'!$A$1:$H$100002,8,FALSE)="Sand",VLOOKUP(S$37,BoundParameters_HiddenSheetSAND!$I$3:$L$50,MATCH(VLOOKUP($K74,$K$5:$AL$34,MATCH(VLOOKUP(S$37,$BJ$3:$BK$50,2,FALSE),$K$4:$AL$4,0),FALSE),BoundParameters_HiddenSheetCLAY!$I$1:$L$1,0),FALSE),IF(VLOOKUP($F39,'Table Output'!$A$1:$H$10002,8,FALSE)="Clay",VLOOKUP(S$37,BoundParameters_HiddenSheetCLAY!$I$3:$L$50,MATCH(VLOOKUP($K74,$K$5:$AL$34,MATCH(VLOOKUP(S$37,$BJ$3:$BK$50,2,FALSE),$K$4:$AL$4,0),FALSE),BoundParameters_HiddenSheetCLAY!$I$1:$L$1,0),FALSE))),'Control Panel'!S74)))</f>
        <v/>
      </c>
      <c r="T74" s="27" t="str">
        <f>IF($K74="","",IF(T$37="","",IF('Control Panel'!T74="",IF(VLOOKUP($F39,'Table Output'!$A$1:$H$100002,8,FALSE)="Sand",VLOOKUP(T$37,BoundParameters_HiddenSheetSAND!$I$3:$L$50,MATCH(VLOOKUP($K74,$K$5:$AL$34,MATCH(VLOOKUP(T$37,$BJ$3:$BK$50,2,FALSE),$K$4:$AL$4,0),FALSE),BoundParameters_HiddenSheetCLAY!$I$1:$L$1,0),FALSE),IF(VLOOKUP($F39,'Table Output'!$A$1:$H$10002,8,FALSE)="Clay",VLOOKUP(T$37,BoundParameters_HiddenSheetCLAY!$I$3:$L$50,MATCH(VLOOKUP($K74,$K$5:$AL$34,MATCH(VLOOKUP(T$37,$BJ$3:$BK$50,2,FALSE),$K$4:$AL$4,0),FALSE),BoundParameters_HiddenSheetCLAY!$I$1:$L$1,0),FALSE))),'Control Panel'!T74)))</f>
        <v/>
      </c>
      <c r="U74" s="27" t="str">
        <f>IF($K74="","",IF(U$37="","",IF('Control Panel'!U74="",IF(VLOOKUP($F39,'Table Output'!$A$1:$H$100002,8,FALSE)="Sand",VLOOKUP(U$37,BoundParameters_HiddenSheetSAND!$I$3:$L$50,MATCH(VLOOKUP($K74,$K$5:$AL$34,MATCH(VLOOKUP(U$37,$BJ$3:$BK$50,2,FALSE),$K$4:$AL$4,0),FALSE),BoundParameters_HiddenSheetCLAY!$I$1:$L$1,0),FALSE),IF(VLOOKUP($F39,'Table Output'!$A$1:$H$10002,8,FALSE)="Clay",VLOOKUP(U$37,BoundParameters_HiddenSheetCLAY!$I$3:$L$50,MATCH(VLOOKUP($K74,$K$5:$AL$34,MATCH(VLOOKUP(U$37,$BJ$3:$BK$50,2,FALSE),$K$4:$AL$4,0),FALSE),BoundParameters_HiddenSheetCLAY!$I$1:$L$1,0),FALSE))),'Control Panel'!U74)))</f>
        <v/>
      </c>
      <c r="W74" s="38"/>
    </row>
    <row r="75" spans="5:62" x14ac:dyDescent="0.2">
      <c r="F75" s="2" t="str">
        <f t="shared" ref="F75" si="50">F40</f>
        <v>NGI_U3_3</v>
      </c>
      <c r="K75" s="4">
        <f t="shared" si="49"/>
        <v>3</v>
      </c>
      <c r="L75" s="27">
        <f>IF($K75="","",IF(L$37="","",IF('Control Panel'!L75="",IF(VLOOKUP($F40,'Table Output'!$A$1:$H$100002,8,FALSE)="Sand",VLOOKUP(L$37,BoundParameters_HiddenSheetSAND!$I$3:$L$50,MATCH(VLOOKUP($K75,$K$5:$AL$34,MATCH(VLOOKUP(L$37,$BJ$3:$BK$50,2,FALSE),$K$4:$AL$4,0),FALSE),BoundParameters_HiddenSheetCLAY!$I$1:$L$1,0),FALSE),IF(VLOOKUP($F40,'Table Output'!$A$1:$H$10002,8,FALSE)="Clay",VLOOKUP(L$37,BoundParameters_HiddenSheetCLAY!$I$3:$L$50,MATCH(VLOOKUP($K75,$K$5:$AL$34,MATCH(VLOOKUP(L$37,$BJ$3:$BK$50,2,FALSE),$K$4:$AL$4,0),FALSE),BoundParameters_HiddenSheetCLAY!$I$1:$L$1,0),FALSE))),'Control Panel'!L75)))</f>
        <v>7</v>
      </c>
      <c r="M75" s="27">
        <f>IF($K75="","",IF(M$37="","",IF('Control Panel'!M75="",IF(VLOOKUP($F40,'Table Output'!$A$1:$H$100002,8,FALSE)="Sand",VLOOKUP(M$37,BoundParameters_HiddenSheetSAND!$I$3:$L$50,MATCH(VLOOKUP($K75,$K$5:$AL$34,MATCH(VLOOKUP(M$37,$BJ$3:$BK$50,2,FALSE),$K$4:$AL$4,0),FALSE),BoundParameters_HiddenSheetCLAY!$I$1:$L$1,0),FALSE),IF(VLOOKUP($F40,'Table Output'!$A$1:$H$10002,8,FALSE)="Clay",VLOOKUP(M$37,BoundParameters_HiddenSheetCLAY!$I$3:$L$50,MATCH(VLOOKUP($K75,$K$5:$AL$34,MATCH(VLOOKUP(M$37,$BJ$3:$BK$50,2,FALSE),$K$4:$AL$4,0),FALSE),BoundParameters_HiddenSheetCLAY!$I$1:$L$1,0),FALSE))),'Control Panel'!M75)))</f>
        <v>150</v>
      </c>
      <c r="N75" s="27">
        <f>IF($K75="","",IF(N$37="","",IF('Control Panel'!N75="",IF(VLOOKUP($F40,'Table Output'!$A$1:$H$100002,8,FALSE)="Sand",VLOOKUP(N$37,BoundParameters_HiddenSheetSAND!$I$3:$L$50,MATCH(VLOOKUP($K75,$K$5:$AL$34,MATCH(VLOOKUP(N$37,$BJ$3:$BK$50,2,FALSE),$K$4:$AL$4,0),FALSE),BoundParameters_HiddenSheetCLAY!$I$1:$L$1,0),FALSE),IF(VLOOKUP($F40,'Table Output'!$A$1:$H$10002,8,FALSE)="Clay",VLOOKUP(N$37,BoundParameters_HiddenSheetCLAY!$I$3:$L$50,MATCH(VLOOKUP($K75,$K$5:$AL$34,MATCH(VLOOKUP(N$37,$BJ$3:$BK$50,2,FALSE),$K$4:$AL$4,0),FALSE),BoundParameters_HiddenSheetCLAY!$I$1:$L$1,0),FALSE))),'Control Panel'!N75)))</f>
        <v>0.01</v>
      </c>
      <c r="O75" s="27">
        <f>IF($K75="","",IF(O$37="","",IF('Control Panel'!O75="",IF(VLOOKUP($F40,'Table Output'!$A$1:$H$100002,8,FALSE)="Sand",VLOOKUP(O$37,BoundParameters_HiddenSheetSAND!$I$3:$L$50,MATCH(VLOOKUP($K75,$K$5:$AL$34,MATCH(VLOOKUP(O$37,$BJ$3:$BK$50,2,FALSE),$K$4:$AL$4,0),FALSE),BoundParameters_HiddenSheetCLAY!$I$1:$L$1,0),FALSE),IF(VLOOKUP($F40,'Table Output'!$A$1:$H$10002,8,FALSE)="Clay",VLOOKUP(O$37,BoundParameters_HiddenSheetCLAY!$I$3:$L$50,MATCH(VLOOKUP($K75,$K$5:$AL$34,MATCH(VLOOKUP(O$37,$BJ$3:$BK$50,2,FALSE),$K$4:$AL$4,0),FALSE),BoundParameters_HiddenSheetCLAY!$I$1:$L$1,0),FALSE))),'Control Panel'!O75)))</f>
        <v>10</v>
      </c>
      <c r="P75" s="27">
        <f>IF($K75="","",IF(P$37="","",IF('Control Panel'!P75="",IF(VLOOKUP($F40,'Table Output'!$A$1:$H$100002,8,FALSE)="Sand",VLOOKUP(P$37,BoundParameters_HiddenSheetSAND!$I$3:$L$50,MATCH(VLOOKUP($K75,$K$5:$AL$34,MATCH(VLOOKUP(P$37,$BJ$3:$BK$50,2,FALSE),$K$4:$AL$4,0),FALSE),BoundParameters_HiddenSheetCLAY!$I$1:$L$1,0),FALSE),IF(VLOOKUP($F40,'Table Output'!$A$1:$H$10002,8,FALSE)="Clay",VLOOKUP(P$37,BoundParameters_HiddenSheetCLAY!$I$3:$L$50,MATCH(VLOOKUP($K75,$K$5:$AL$34,MATCH(VLOOKUP(P$37,$BJ$3:$BK$50,2,FALSE),$K$4:$AL$4,0),FALSE),BoundParameters_HiddenSheetCLAY!$I$1:$L$1,0),FALSE))),'Control Panel'!P75)))</f>
        <v>0.5</v>
      </c>
      <c r="Q75" s="27">
        <f>IF($K75="","",IF(Q$37="","",IF('Control Panel'!Q75="",IF(VLOOKUP($F40,'Table Output'!$A$1:$H$100002,8,FALSE)="Sand",VLOOKUP(Q$37,BoundParameters_HiddenSheetSAND!$I$3:$L$50,MATCH(VLOOKUP($K75,$K$5:$AL$34,MATCH(VLOOKUP(Q$37,$BJ$3:$BK$50,2,FALSE),$K$4:$AL$4,0),FALSE),BoundParameters_HiddenSheetCLAY!$I$1:$L$1,0),FALSE),IF(VLOOKUP($F40,'Table Output'!$A$1:$H$10002,8,FALSE)="Clay",VLOOKUP(Q$37,BoundParameters_HiddenSheetCLAY!$I$3:$L$50,MATCH(VLOOKUP($K75,$K$5:$AL$34,MATCH(VLOOKUP(Q$37,$BJ$3:$BK$50,2,FALSE),$K$4:$AL$4,0),FALSE),BoundParameters_HiddenSheetCLAY!$I$1:$L$1,0),FALSE))),'Control Panel'!Q75)))</f>
        <v>-5555</v>
      </c>
      <c r="R75" s="27">
        <f>IF($K75="","",IF(R$37="","",IF('Control Panel'!R75="",IF(VLOOKUP($F40,'Table Output'!$A$1:$H$100002,8,FALSE)="Sand",VLOOKUP(R$37,BoundParameters_HiddenSheetSAND!$I$3:$L$50,MATCH(VLOOKUP($K75,$K$5:$AL$34,MATCH(VLOOKUP(R$37,$BJ$3:$BK$50,2,FALSE),$K$4:$AL$4,0),FALSE),BoundParameters_HiddenSheetCLAY!$I$1:$L$1,0),FALSE),IF(VLOOKUP($F40,'Table Output'!$A$1:$H$10002,8,FALSE)="Clay",VLOOKUP(R$37,BoundParameters_HiddenSheetCLAY!$I$3:$L$50,MATCH(VLOOKUP($K75,$K$5:$AL$34,MATCH(VLOOKUP(R$37,$BJ$3:$BK$50,2,FALSE),$K$4:$AL$4,0),FALSE),BoundParameters_HiddenSheetCLAY!$I$1:$L$1,0),FALSE))),'Control Panel'!R75)))</f>
        <v>0.2</v>
      </c>
      <c r="S75" s="27" t="str">
        <f>IF($K75="","",IF(S$37="","",IF('Control Panel'!S75="",IF(VLOOKUP($F40,'Table Output'!$A$1:$H$100002,8,FALSE)="Sand",VLOOKUP(S$37,BoundParameters_HiddenSheetSAND!$I$3:$L$50,MATCH(VLOOKUP($K75,$K$5:$AL$34,MATCH(VLOOKUP(S$37,$BJ$3:$BK$50,2,FALSE),$K$4:$AL$4,0),FALSE),BoundParameters_HiddenSheetCLAY!$I$1:$L$1,0),FALSE),IF(VLOOKUP($F40,'Table Output'!$A$1:$H$10002,8,FALSE)="Clay",VLOOKUP(S$37,BoundParameters_HiddenSheetCLAY!$I$3:$L$50,MATCH(VLOOKUP($K75,$K$5:$AL$34,MATCH(VLOOKUP(S$37,$BJ$3:$BK$50,2,FALSE),$K$4:$AL$4,0),FALSE),BoundParameters_HiddenSheetCLAY!$I$1:$L$1,0),FALSE))),'Control Panel'!S75)))</f>
        <v/>
      </c>
      <c r="T75" s="27" t="str">
        <f>IF($K75="","",IF(T$37="","",IF('Control Panel'!T75="",IF(VLOOKUP($F40,'Table Output'!$A$1:$H$100002,8,FALSE)="Sand",VLOOKUP(T$37,BoundParameters_HiddenSheetSAND!$I$3:$L$50,MATCH(VLOOKUP($K75,$K$5:$AL$34,MATCH(VLOOKUP(T$37,$BJ$3:$BK$50,2,FALSE),$K$4:$AL$4,0),FALSE),BoundParameters_HiddenSheetCLAY!$I$1:$L$1,0),FALSE),IF(VLOOKUP($F40,'Table Output'!$A$1:$H$10002,8,FALSE)="Clay",VLOOKUP(T$37,BoundParameters_HiddenSheetCLAY!$I$3:$L$50,MATCH(VLOOKUP($K75,$K$5:$AL$34,MATCH(VLOOKUP(T$37,$BJ$3:$BK$50,2,FALSE),$K$4:$AL$4,0),FALSE),BoundParameters_HiddenSheetCLAY!$I$1:$L$1,0),FALSE))),'Control Panel'!T75)))</f>
        <v/>
      </c>
      <c r="U75" s="27" t="str">
        <f>IF($K75="","",IF(U$37="","",IF('Control Panel'!U75="",IF(VLOOKUP($F40,'Table Output'!$A$1:$H$100002,8,FALSE)="Sand",VLOOKUP(U$37,BoundParameters_HiddenSheetSAND!$I$3:$L$50,MATCH(VLOOKUP($K75,$K$5:$AL$34,MATCH(VLOOKUP(U$37,$BJ$3:$BK$50,2,FALSE),$K$4:$AL$4,0),FALSE),BoundParameters_HiddenSheetCLAY!$I$1:$L$1,0),FALSE),IF(VLOOKUP($F40,'Table Output'!$A$1:$H$10002,8,FALSE)="Clay",VLOOKUP(U$37,BoundParameters_HiddenSheetCLAY!$I$3:$L$50,MATCH(VLOOKUP($K75,$K$5:$AL$34,MATCH(VLOOKUP(U$37,$BJ$3:$BK$50,2,FALSE),$K$4:$AL$4,0),FALSE),BoundParameters_HiddenSheetCLAY!$I$1:$L$1,0),FALSE))),'Control Panel'!U75)))</f>
        <v/>
      </c>
    </row>
    <row r="76" spans="5:62" x14ac:dyDescent="0.2">
      <c r="F76" s="2" t="str">
        <f t="shared" ref="F76" si="51">F41</f>
        <v>NGI_U3_4</v>
      </c>
      <c r="K76" s="4">
        <f t="shared" si="49"/>
        <v>4</v>
      </c>
      <c r="L76" s="27">
        <f>IF($K76="","",IF(L$37="","",IF('Control Panel'!L76="",IF(VLOOKUP($F41,'Table Output'!$A$1:$H$100002,8,FALSE)="Sand",VLOOKUP(L$37,BoundParameters_HiddenSheetSAND!$I$3:$L$50,MATCH(VLOOKUP($K76,$K$5:$AL$34,MATCH(VLOOKUP(L$37,$BJ$3:$BK$50,2,FALSE),$K$4:$AL$4,0),FALSE),BoundParameters_HiddenSheetCLAY!$I$1:$L$1,0),FALSE),IF(VLOOKUP($F41,'Table Output'!$A$1:$H$10002,8,FALSE)="Clay",VLOOKUP(L$37,BoundParameters_HiddenSheetCLAY!$I$3:$L$50,MATCH(VLOOKUP($K76,$K$5:$AL$34,MATCH(VLOOKUP(L$37,$BJ$3:$BK$50,2,FALSE),$K$4:$AL$4,0),FALSE),BoundParameters_HiddenSheetCLAY!$I$1:$L$1,0),FALSE))),'Control Panel'!L76)))</f>
        <v>7</v>
      </c>
      <c r="M76" s="27">
        <f>IF($K76="","",IF(M$37="","",IF('Control Panel'!M76="",IF(VLOOKUP($F41,'Table Output'!$A$1:$H$100002,8,FALSE)="Sand",VLOOKUP(M$37,BoundParameters_HiddenSheetSAND!$I$3:$L$50,MATCH(VLOOKUP($K76,$K$5:$AL$34,MATCH(VLOOKUP(M$37,$BJ$3:$BK$50,2,FALSE),$K$4:$AL$4,0),FALSE),BoundParameters_HiddenSheetCLAY!$I$1:$L$1,0),FALSE),IF(VLOOKUP($F41,'Table Output'!$A$1:$H$10002,8,FALSE)="Clay",VLOOKUP(M$37,BoundParameters_HiddenSheetCLAY!$I$3:$L$50,MATCH(VLOOKUP($K76,$K$5:$AL$34,MATCH(VLOOKUP(M$37,$BJ$3:$BK$50,2,FALSE),$K$4:$AL$4,0),FALSE),BoundParameters_HiddenSheetCLAY!$I$1:$L$1,0),FALSE))),'Control Panel'!M76)))</f>
        <v>150</v>
      </c>
      <c r="N76" s="27">
        <f>IF($K76="","",IF(N$37="","",IF('Control Panel'!N76="",IF(VLOOKUP($F41,'Table Output'!$A$1:$H$100002,8,FALSE)="Sand",VLOOKUP(N$37,BoundParameters_HiddenSheetSAND!$I$3:$L$50,MATCH(VLOOKUP($K76,$K$5:$AL$34,MATCH(VLOOKUP(N$37,$BJ$3:$BK$50,2,FALSE),$K$4:$AL$4,0),FALSE),BoundParameters_HiddenSheetCLAY!$I$1:$L$1,0),FALSE),IF(VLOOKUP($F41,'Table Output'!$A$1:$H$10002,8,FALSE)="Clay",VLOOKUP(N$37,BoundParameters_HiddenSheetCLAY!$I$3:$L$50,MATCH(VLOOKUP($K76,$K$5:$AL$34,MATCH(VLOOKUP(N$37,$BJ$3:$BK$50,2,FALSE),$K$4:$AL$4,0),FALSE),BoundParameters_HiddenSheetCLAY!$I$1:$L$1,0),FALSE))),'Control Panel'!N76)))</f>
        <v>0.01</v>
      </c>
      <c r="O76" s="27">
        <f>IF($K76="","",IF(O$37="","",IF('Control Panel'!O76="",IF(VLOOKUP($F41,'Table Output'!$A$1:$H$100002,8,FALSE)="Sand",VLOOKUP(O$37,BoundParameters_HiddenSheetSAND!$I$3:$L$50,MATCH(VLOOKUP($K76,$K$5:$AL$34,MATCH(VLOOKUP(O$37,$BJ$3:$BK$50,2,FALSE),$K$4:$AL$4,0),FALSE),BoundParameters_HiddenSheetCLAY!$I$1:$L$1,0),FALSE),IF(VLOOKUP($F41,'Table Output'!$A$1:$H$10002,8,FALSE)="Clay",VLOOKUP(O$37,BoundParameters_HiddenSheetCLAY!$I$3:$L$50,MATCH(VLOOKUP($K76,$K$5:$AL$34,MATCH(VLOOKUP(O$37,$BJ$3:$BK$50,2,FALSE),$K$4:$AL$4,0),FALSE),BoundParameters_HiddenSheetCLAY!$I$1:$L$1,0),FALSE))),'Control Panel'!O76)))</f>
        <v>10</v>
      </c>
      <c r="P76" s="27">
        <f>IF($K76="","",IF(P$37="","",IF('Control Panel'!P76="",IF(VLOOKUP($F41,'Table Output'!$A$1:$H$100002,8,FALSE)="Sand",VLOOKUP(P$37,BoundParameters_HiddenSheetSAND!$I$3:$L$50,MATCH(VLOOKUP($K76,$K$5:$AL$34,MATCH(VLOOKUP(P$37,$BJ$3:$BK$50,2,FALSE),$K$4:$AL$4,0),FALSE),BoundParameters_HiddenSheetCLAY!$I$1:$L$1,0),FALSE),IF(VLOOKUP($F41,'Table Output'!$A$1:$H$10002,8,FALSE)="Clay",VLOOKUP(P$37,BoundParameters_HiddenSheetCLAY!$I$3:$L$50,MATCH(VLOOKUP($K76,$K$5:$AL$34,MATCH(VLOOKUP(P$37,$BJ$3:$BK$50,2,FALSE),$K$4:$AL$4,0),FALSE),BoundParameters_HiddenSheetCLAY!$I$1:$L$1,0),FALSE))),'Control Panel'!P76)))</f>
        <v>0.5</v>
      </c>
      <c r="Q76" s="27">
        <f>IF($K76="","",IF(Q$37="","",IF('Control Panel'!Q76="",IF(VLOOKUP($F41,'Table Output'!$A$1:$H$100002,8,FALSE)="Sand",VLOOKUP(Q$37,BoundParameters_HiddenSheetSAND!$I$3:$L$50,MATCH(VLOOKUP($K76,$K$5:$AL$34,MATCH(VLOOKUP(Q$37,$BJ$3:$BK$50,2,FALSE),$K$4:$AL$4,0),FALSE),BoundParameters_HiddenSheetCLAY!$I$1:$L$1,0),FALSE),IF(VLOOKUP($F41,'Table Output'!$A$1:$H$10002,8,FALSE)="Clay",VLOOKUP(Q$37,BoundParameters_HiddenSheetCLAY!$I$3:$L$50,MATCH(VLOOKUP($K76,$K$5:$AL$34,MATCH(VLOOKUP(Q$37,$BJ$3:$BK$50,2,FALSE),$K$4:$AL$4,0),FALSE),BoundParameters_HiddenSheetCLAY!$I$1:$L$1,0),FALSE))),'Control Panel'!Q76)))</f>
        <v>-5555</v>
      </c>
      <c r="R76" s="27">
        <f>IF($K76="","",IF(R$37="","",IF('Control Panel'!R76="",IF(VLOOKUP($F41,'Table Output'!$A$1:$H$100002,8,FALSE)="Sand",VLOOKUP(R$37,BoundParameters_HiddenSheetSAND!$I$3:$L$50,MATCH(VLOOKUP($K76,$K$5:$AL$34,MATCH(VLOOKUP(R$37,$BJ$3:$BK$50,2,FALSE),$K$4:$AL$4,0),FALSE),BoundParameters_HiddenSheetCLAY!$I$1:$L$1,0),FALSE),IF(VLOOKUP($F41,'Table Output'!$A$1:$H$10002,8,FALSE)="Clay",VLOOKUP(R$37,BoundParameters_HiddenSheetCLAY!$I$3:$L$50,MATCH(VLOOKUP($K76,$K$5:$AL$34,MATCH(VLOOKUP(R$37,$BJ$3:$BK$50,2,FALSE),$K$4:$AL$4,0),FALSE),BoundParameters_HiddenSheetCLAY!$I$1:$L$1,0),FALSE))),'Control Panel'!R76)))</f>
        <v>0.2</v>
      </c>
      <c r="S76" s="27" t="str">
        <f>IF($K76="","",IF(S$37="","",IF('Control Panel'!S76="",IF(VLOOKUP($F41,'Table Output'!$A$1:$H$100002,8,FALSE)="Sand",VLOOKUP(S$37,BoundParameters_HiddenSheetSAND!$I$3:$L$50,MATCH(VLOOKUP($K76,$K$5:$AL$34,MATCH(VLOOKUP(S$37,$BJ$3:$BK$50,2,FALSE),$K$4:$AL$4,0),FALSE),BoundParameters_HiddenSheetCLAY!$I$1:$L$1,0),FALSE),IF(VLOOKUP($F41,'Table Output'!$A$1:$H$10002,8,FALSE)="Clay",VLOOKUP(S$37,BoundParameters_HiddenSheetCLAY!$I$3:$L$50,MATCH(VLOOKUP($K76,$K$5:$AL$34,MATCH(VLOOKUP(S$37,$BJ$3:$BK$50,2,FALSE),$K$4:$AL$4,0),FALSE),BoundParameters_HiddenSheetCLAY!$I$1:$L$1,0),FALSE))),'Control Panel'!S76)))</f>
        <v/>
      </c>
      <c r="T76" s="27" t="str">
        <f>IF($K76="","",IF(T$37="","",IF('Control Panel'!T76="",IF(VLOOKUP($F41,'Table Output'!$A$1:$H$100002,8,FALSE)="Sand",VLOOKUP(T$37,BoundParameters_HiddenSheetSAND!$I$3:$L$50,MATCH(VLOOKUP($K76,$K$5:$AL$34,MATCH(VLOOKUP(T$37,$BJ$3:$BK$50,2,FALSE),$K$4:$AL$4,0),FALSE),BoundParameters_HiddenSheetCLAY!$I$1:$L$1,0),FALSE),IF(VLOOKUP($F41,'Table Output'!$A$1:$H$10002,8,FALSE)="Clay",VLOOKUP(T$37,BoundParameters_HiddenSheetCLAY!$I$3:$L$50,MATCH(VLOOKUP($K76,$K$5:$AL$34,MATCH(VLOOKUP(T$37,$BJ$3:$BK$50,2,FALSE),$K$4:$AL$4,0),FALSE),BoundParameters_HiddenSheetCLAY!$I$1:$L$1,0),FALSE))),'Control Panel'!T76)))</f>
        <v/>
      </c>
      <c r="U76" s="27" t="str">
        <f>IF($K76="","",IF(U$37="","",IF('Control Panel'!U76="",IF(VLOOKUP($F41,'Table Output'!$A$1:$H$100002,8,FALSE)="Sand",VLOOKUP(U$37,BoundParameters_HiddenSheetSAND!$I$3:$L$50,MATCH(VLOOKUP($K76,$K$5:$AL$34,MATCH(VLOOKUP(U$37,$BJ$3:$BK$50,2,FALSE),$K$4:$AL$4,0),FALSE),BoundParameters_HiddenSheetCLAY!$I$1:$L$1,0),FALSE),IF(VLOOKUP($F41,'Table Output'!$A$1:$H$10002,8,FALSE)="Clay",VLOOKUP(U$37,BoundParameters_HiddenSheetCLAY!$I$3:$L$50,MATCH(VLOOKUP($K76,$K$5:$AL$34,MATCH(VLOOKUP(U$37,$BJ$3:$BK$50,2,FALSE),$K$4:$AL$4,0),FALSE),BoundParameters_HiddenSheetCLAY!$I$1:$L$1,0),FALSE))),'Control Panel'!U76)))</f>
        <v/>
      </c>
    </row>
    <row r="77" spans="5:62" x14ac:dyDescent="0.2">
      <c r="F77" s="2" t="str">
        <f t="shared" ref="F77" si="52">F42</f>
        <v>NGI_U3_4</v>
      </c>
      <c r="K77" s="4">
        <f t="shared" si="49"/>
        <v>5</v>
      </c>
      <c r="L77" s="27">
        <f>IF($K77="","",IF(L$37="","",IF('Control Panel'!L77="",IF(VLOOKUP($F42,'Table Output'!$A$1:$H$100002,8,FALSE)="Sand",VLOOKUP(L$37,BoundParameters_HiddenSheetSAND!$I$3:$L$50,MATCH(VLOOKUP($K77,$K$5:$AL$34,MATCH(VLOOKUP(L$37,$BJ$3:$BK$50,2,FALSE),$K$4:$AL$4,0),FALSE),BoundParameters_HiddenSheetCLAY!$I$1:$L$1,0),FALSE),IF(VLOOKUP($F42,'Table Output'!$A$1:$H$10002,8,FALSE)="Clay",VLOOKUP(L$37,BoundParameters_HiddenSheetCLAY!$I$3:$L$50,MATCH(VLOOKUP($K77,$K$5:$AL$34,MATCH(VLOOKUP(L$37,$BJ$3:$BK$50,2,FALSE),$K$4:$AL$4,0),FALSE),BoundParameters_HiddenSheetCLAY!$I$1:$L$1,0),FALSE))),'Control Panel'!L77)))</f>
        <v>7</v>
      </c>
      <c r="M77" s="27">
        <f>IF($K77="","",IF(M$37="","",IF('Control Panel'!M77="",IF(VLOOKUP($F42,'Table Output'!$A$1:$H$100002,8,FALSE)="Sand",VLOOKUP(M$37,BoundParameters_HiddenSheetSAND!$I$3:$L$50,MATCH(VLOOKUP($K77,$K$5:$AL$34,MATCH(VLOOKUP(M$37,$BJ$3:$BK$50,2,FALSE),$K$4:$AL$4,0),FALSE),BoundParameters_HiddenSheetCLAY!$I$1:$L$1,0),FALSE),IF(VLOOKUP($F42,'Table Output'!$A$1:$H$10002,8,FALSE)="Clay",VLOOKUP(M$37,BoundParameters_HiddenSheetCLAY!$I$3:$L$50,MATCH(VLOOKUP($K77,$K$5:$AL$34,MATCH(VLOOKUP(M$37,$BJ$3:$BK$50,2,FALSE),$K$4:$AL$4,0),FALSE),BoundParameters_HiddenSheetCLAY!$I$1:$L$1,0),FALSE))),'Control Panel'!M77)))</f>
        <v>150</v>
      </c>
      <c r="N77" s="27">
        <f>IF($K77="","",IF(N$37="","",IF('Control Panel'!N77="",IF(VLOOKUP($F42,'Table Output'!$A$1:$H$100002,8,FALSE)="Sand",VLOOKUP(N$37,BoundParameters_HiddenSheetSAND!$I$3:$L$50,MATCH(VLOOKUP($K77,$K$5:$AL$34,MATCH(VLOOKUP(N$37,$BJ$3:$BK$50,2,FALSE),$K$4:$AL$4,0),FALSE),BoundParameters_HiddenSheetCLAY!$I$1:$L$1,0),FALSE),IF(VLOOKUP($F42,'Table Output'!$A$1:$H$10002,8,FALSE)="Clay",VLOOKUP(N$37,BoundParameters_HiddenSheetCLAY!$I$3:$L$50,MATCH(VLOOKUP($K77,$K$5:$AL$34,MATCH(VLOOKUP(N$37,$BJ$3:$BK$50,2,FALSE),$K$4:$AL$4,0),FALSE),BoundParameters_HiddenSheetCLAY!$I$1:$L$1,0),FALSE))),'Control Panel'!N77)))</f>
        <v>0.01</v>
      </c>
      <c r="O77" s="27">
        <f>IF($K77="","",IF(O$37="","",IF('Control Panel'!O77="",IF(VLOOKUP($F42,'Table Output'!$A$1:$H$100002,8,FALSE)="Sand",VLOOKUP(O$37,BoundParameters_HiddenSheetSAND!$I$3:$L$50,MATCH(VLOOKUP($K77,$K$5:$AL$34,MATCH(VLOOKUP(O$37,$BJ$3:$BK$50,2,FALSE),$K$4:$AL$4,0),FALSE),BoundParameters_HiddenSheetCLAY!$I$1:$L$1,0),FALSE),IF(VLOOKUP($F42,'Table Output'!$A$1:$H$10002,8,FALSE)="Clay",VLOOKUP(O$37,BoundParameters_HiddenSheetCLAY!$I$3:$L$50,MATCH(VLOOKUP($K77,$K$5:$AL$34,MATCH(VLOOKUP(O$37,$BJ$3:$BK$50,2,FALSE),$K$4:$AL$4,0),FALSE),BoundParameters_HiddenSheetCLAY!$I$1:$L$1,0),FALSE))),'Control Panel'!O77)))</f>
        <v>10</v>
      </c>
      <c r="P77" s="27">
        <f>IF($K77="","",IF(P$37="","",IF('Control Panel'!P77="",IF(VLOOKUP($F42,'Table Output'!$A$1:$H$100002,8,FALSE)="Sand",VLOOKUP(P$37,BoundParameters_HiddenSheetSAND!$I$3:$L$50,MATCH(VLOOKUP($K77,$K$5:$AL$34,MATCH(VLOOKUP(P$37,$BJ$3:$BK$50,2,FALSE),$K$4:$AL$4,0),FALSE),BoundParameters_HiddenSheetCLAY!$I$1:$L$1,0),FALSE),IF(VLOOKUP($F42,'Table Output'!$A$1:$H$10002,8,FALSE)="Clay",VLOOKUP(P$37,BoundParameters_HiddenSheetCLAY!$I$3:$L$50,MATCH(VLOOKUP($K77,$K$5:$AL$34,MATCH(VLOOKUP(P$37,$BJ$3:$BK$50,2,FALSE),$K$4:$AL$4,0),FALSE),BoundParameters_HiddenSheetCLAY!$I$1:$L$1,0),FALSE))),'Control Panel'!P77)))</f>
        <v>0.5</v>
      </c>
      <c r="Q77" s="27">
        <f>IF($K77="","",IF(Q$37="","",IF('Control Panel'!Q77="",IF(VLOOKUP($F42,'Table Output'!$A$1:$H$100002,8,FALSE)="Sand",VLOOKUP(Q$37,BoundParameters_HiddenSheetSAND!$I$3:$L$50,MATCH(VLOOKUP($K77,$K$5:$AL$34,MATCH(VLOOKUP(Q$37,$BJ$3:$BK$50,2,FALSE),$K$4:$AL$4,0),FALSE),BoundParameters_HiddenSheetCLAY!$I$1:$L$1,0),FALSE),IF(VLOOKUP($F42,'Table Output'!$A$1:$H$10002,8,FALSE)="Clay",VLOOKUP(Q$37,BoundParameters_HiddenSheetCLAY!$I$3:$L$50,MATCH(VLOOKUP($K77,$K$5:$AL$34,MATCH(VLOOKUP(Q$37,$BJ$3:$BK$50,2,FALSE),$K$4:$AL$4,0),FALSE),BoundParameters_HiddenSheetCLAY!$I$1:$L$1,0),FALSE))),'Control Panel'!Q77)))</f>
        <v>-5555</v>
      </c>
      <c r="R77" s="27">
        <f>IF($K77="","",IF(R$37="","",IF('Control Panel'!R77="",IF(VLOOKUP($F42,'Table Output'!$A$1:$H$100002,8,FALSE)="Sand",VLOOKUP(R$37,BoundParameters_HiddenSheetSAND!$I$3:$L$50,MATCH(VLOOKUP($K77,$K$5:$AL$34,MATCH(VLOOKUP(R$37,$BJ$3:$BK$50,2,FALSE),$K$4:$AL$4,0),FALSE),BoundParameters_HiddenSheetCLAY!$I$1:$L$1,0),FALSE),IF(VLOOKUP($F42,'Table Output'!$A$1:$H$10002,8,FALSE)="Clay",VLOOKUP(R$37,BoundParameters_HiddenSheetCLAY!$I$3:$L$50,MATCH(VLOOKUP($K77,$K$5:$AL$34,MATCH(VLOOKUP(R$37,$BJ$3:$BK$50,2,FALSE),$K$4:$AL$4,0),FALSE),BoundParameters_HiddenSheetCLAY!$I$1:$L$1,0),FALSE))),'Control Panel'!R77)))</f>
        <v>0.2</v>
      </c>
      <c r="S77" s="27" t="str">
        <f>IF($K77="","",IF(S$37="","",IF('Control Panel'!S77="",IF(VLOOKUP($F42,'Table Output'!$A$1:$H$100002,8,FALSE)="Sand",VLOOKUP(S$37,BoundParameters_HiddenSheetSAND!$I$3:$L$50,MATCH(VLOOKUP($K77,$K$5:$AL$34,MATCH(VLOOKUP(S$37,$BJ$3:$BK$50,2,FALSE),$K$4:$AL$4,0),FALSE),BoundParameters_HiddenSheetCLAY!$I$1:$L$1,0),FALSE),IF(VLOOKUP($F42,'Table Output'!$A$1:$H$10002,8,FALSE)="Clay",VLOOKUP(S$37,BoundParameters_HiddenSheetCLAY!$I$3:$L$50,MATCH(VLOOKUP($K77,$K$5:$AL$34,MATCH(VLOOKUP(S$37,$BJ$3:$BK$50,2,FALSE),$K$4:$AL$4,0),FALSE),BoundParameters_HiddenSheetCLAY!$I$1:$L$1,0),FALSE))),'Control Panel'!S77)))</f>
        <v/>
      </c>
      <c r="T77" s="27" t="str">
        <f>IF($K77="","",IF(T$37="","",IF('Control Panel'!T77="",IF(VLOOKUP($F42,'Table Output'!$A$1:$H$100002,8,FALSE)="Sand",VLOOKUP(T$37,BoundParameters_HiddenSheetSAND!$I$3:$L$50,MATCH(VLOOKUP($K77,$K$5:$AL$34,MATCH(VLOOKUP(T$37,$BJ$3:$BK$50,2,FALSE),$K$4:$AL$4,0),FALSE),BoundParameters_HiddenSheetCLAY!$I$1:$L$1,0),FALSE),IF(VLOOKUP($F42,'Table Output'!$A$1:$H$10002,8,FALSE)="Clay",VLOOKUP(T$37,BoundParameters_HiddenSheetCLAY!$I$3:$L$50,MATCH(VLOOKUP($K77,$K$5:$AL$34,MATCH(VLOOKUP(T$37,$BJ$3:$BK$50,2,FALSE),$K$4:$AL$4,0),FALSE),BoundParameters_HiddenSheetCLAY!$I$1:$L$1,0),FALSE))),'Control Panel'!T77)))</f>
        <v/>
      </c>
      <c r="U77" s="27" t="str">
        <f>IF($K77="","",IF(U$37="","",IF('Control Panel'!U77="",IF(VLOOKUP($F42,'Table Output'!$A$1:$H$100002,8,FALSE)="Sand",VLOOKUP(U$37,BoundParameters_HiddenSheetSAND!$I$3:$L$50,MATCH(VLOOKUP($K77,$K$5:$AL$34,MATCH(VLOOKUP(U$37,$BJ$3:$BK$50,2,FALSE),$K$4:$AL$4,0),FALSE),BoundParameters_HiddenSheetCLAY!$I$1:$L$1,0),FALSE),IF(VLOOKUP($F42,'Table Output'!$A$1:$H$10002,8,FALSE)="Clay",VLOOKUP(U$37,BoundParameters_HiddenSheetCLAY!$I$3:$L$50,MATCH(VLOOKUP($K77,$K$5:$AL$34,MATCH(VLOOKUP(U$37,$BJ$3:$BK$50,2,FALSE),$K$4:$AL$4,0),FALSE),BoundParameters_HiddenSheetCLAY!$I$1:$L$1,0),FALSE))),'Control Panel'!U77)))</f>
        <v/>
      </c>
      <c r="W77" s="38"/>
    </row>
    <row r="78" spans="5:62" x14ac:dyDescent="0.2">
      <c r="F78" s="2" t="str">
        <f t="shared" ref="F78" si="53">F43</f>
        <v>NGI_U3_5</v>
      </c>
      <c r="K78" s="4">
        <f t="shared" si="49"/>
        <v>6</v>
      </c>
      <c r="L78" s="27">
        <f>IF($K78="","",IF(L$37="","",IF('Control Panel'!L78="",IF(VLOOKUP($F43,'Table Output'!$A$1:$H$100002,8,FALSE)="Sand",VLOOKUP(L$37,BoundParameters_HiddenSheetSAND!$I$3:$L$50,MATCH(VLOOKUP($K78,$K$5:$AL$34,MATCH(VLOOKUP(L$37,$BJ$3:$BK$50,2,FALSE),$K$4:$AL$4,0),FALSE),BoundParameters_HiddenSheetCLAY!$I$1:$L$1,0),FALSE),IF(VLOOKUP($F43,'Table Output'!$A$1:$H$10002,8,FALSE)="Clay",VLOOKUP(L$37,BoundParameters_HiddenSheetCLAY!$I$3:$L$50,MATCH(VLOOKUP($K78,$K$5:$AL$34,MATCH(VLOOKUP(L$37,$BJ$3:$BK$50,2,FALSE),$K$4:$AL$4,0),FALSE),BoundParameters_HiddenSheetCLAY!$I$1:$L$1,0),FALSE))),'Control Panel'!L78)))</f>
        <v>7</v>
      </c>
      <c r="M78" s="27">
        <f>IF($K78="","",IF(M$37="","",IF('Control Panel'!M78="",IF(VLOOKUP($F43,'Table Output'!$A$1:$H$100002,8,FALSE)="Sand",VLOOKUP(M$37,BoundParameters_HiddenSheetSAND!$I$3:$L$50,MATCH(VLOOKUP($K78,$K$5:$AL$34,MATCH(VLOOKUP(M$37,$BJ$3:$BK$50,2,FALSE),$K$4:$AL$4,0),FALSE),BoundParameters_HiddenSheetCLAY!$I$1:$L$1,0),FALSE),IF(VLOOKUP($F43,'Table Output'!$A$1:$H$10002,8,FALSE)="Clay",VLOOKUP(M$37,BoundParameters_HiddenSheetCLAY!$I$3:$L$50,MATCH(VLOOKUP($K78,$K$5:$AL$34,MATCH(VLOOKUP(M$37,$BJ$3:$BK$50,2,FALSE),$K$4:$AL$4,0),FALSE),BoundParameters_HiddenSheetCLAY!$I$1:$L$1,0),FALSE))),'Control Panel'!M78)))</f>
        <v>150</v>
      </c>
      <c r="N78" s="27">
        <f>IF($K78="","",IF(N$37="","",IF('Control Panel'!N78="",IF(VLOOKUP($F43,'Table Output'!$A$1:$H$100002,8,FALSE)="Sand",VLOOKUP(N$37,BoundParameters_HiddenSheetSAND!$I$3:$L$50,MATCH(VLOOKUP($K78,$K$5:$AL$34,MATCH(VLOOKUP(N$37,$BJ$3:$BK$50,2,FALSE),$K$4:$AL$4,0),FALSE),BoundParameters_HiddenSheetCLAY!$I$1:$L$1,0),FALSE),IF(VLOOKUP($F43,'Table Output'!$A$1:$H$10002,8,FALSE)="Clay",VLOOKUP(N$37,BoundParameters_HiddenSheetCLAY!$I$3:$L$50,MATCH(VLOOKUP($K78,$K$5:$AL$34,MATCH(VLOOKUP(N$37,$BJ$3:$BK$50,2,FALSE),$K$4:$AL$4,0),FALSE),BoundParameters_HiddenSheetCLAY!$I$1:$L$1,0),FALSE))),'Control Panel'!N78)))</f>
        <v>0.01</v>
      </c>
      <c r="O78" s="27">
        <f>IF($K78="","",IF(O$37="","",IF('Control Panel'!O78="",IF(VLOOKUP($F43,'Table Output'!$A$1:$H$100002,8,FALSE)="Sand",VLOOKUP(O$37,BoundParameters_HiddenSheetSAND!$I$3:$L$50,MATCH(VLOOKUP($K78,$K$5:$AL$34,MATCH(VLOOKUP(O$37,$BJ$3:$BK$50,2,FALSE),$K$4:$AL$4,0),FALSE),BoundParameters_HiddenSheetCLAY!$I$1:$L$1,0),FALSE),IF(VLOOKUP($F43,'Table Output'!$A$1:$H$10002,8,FALSE)="Clay",VLOOKUP(O$37,BoundParameters_HiddenSheetCLAY!$I$3:$L$50,MATCH(VLOOKUP($K78,$K$5:$AL$34,MATCH(VLOOKUP(O$37,$BJ$3:$BK$50,2,FALSE),$K$4:$AL$4,0),FALSE),BoundParameters_HiddenSheetCLAY!$I$1:$L$1,0),FALSE))),'Control Panel'!O78)))</f>
        <v>10</v>
      </c>
      <c r="P78" s="27">
        <f>IF($K78="","",IF(P$37="","",IF('Control Panel'!P78="",IF(VLOOKUP($F43,'Table Output'!$A$1:$H$100002,8,FALSE)="Sand",VLOOKUP(P$37,BoundParameters_HiddenSheetSAND!$I$3:$L$50,MATCH(VLOOKUP($K78,$K$5:$AL$34,MATCH(VLOOKUP(P$37,$BJ$3:$BK$50,2,FALSE),$K$4:$AL$4,0),FALSE),BoundParameters_HiddenSheetCLAY!$I$1:$L$1,0),FALSE),IF(VLOOKUP($F43,'Table Output'!$A$1:$H$10002,8,FALSE)="Clay",VLOOKUP(P$37,BoundParameters_HiddenSheetCLAY!$I$3:$L$50,MATCH(VLOOKUP($K78,$K$5:$AL$34,MATCH(VLOOKUP(P$37,$BJ$3:$BK$50,2,FALSE),$K$4:$AL$4,0),FALSE),BoundParameters_HiddenSheetCLAY!$I$1:$L$1,0),FALSE))),'Control Panel'!P78)))</f>
        <v>0.5</v>
      </c>
      <c r="Q78" s="27">
        <f>IF($K78="","",IF(Q$37="","",IF('Control Panel'!Q78="",IF(VLOOKUP($F43,'Table Output'!$A$1:$H$100002,8,FALSE)="Sand",VLOOKUP(Q$37,BoundParameters_HiddenSheetSAND!$I$3:$L$50,MATCH(VLOOKUP($K78,$K$5:$AL$34,MATCH(VLOOKUP(Q$37,$BJ$3:$BK$50,2,FALSE),$K$4:$AL$4,0),FALSE),BoundParameters_HiddenSheetCLAY!$I$1:$L$1,0),FALSE),IF(VLOOKUP($F43,'Table Output'!$A$1:$H$10002,8,FALSE)="Clay",VLOOKUP(Q$37,BoundParameters_HiddenSheetCLAY!$I$3:$L$50,MATCH(VLOOKUP($K78,$K$5:$AL$34,MATCH(VLOOKUP(Q$37,$BJ$3:$BK$50,2,FALSE),$K$4:$AL$4,0),FALSE),BoundParameters_HiddenSheetCLAY!$I$1:$L$1,0),FALSE))),'Control Panel'!Q78)))</f>
        <v>-5555</v>
      </c>
      <c r="R78" s="27">
        <f>IF($K78="","",IF(R$37="","",IF('Control Panel'!R78="",IF(VLOOKUP($F43,'Table Output'!$A$1:$H$100002,8,FALSE)="Sand",VLOOKUP(R$37,BoundParameters_HiddenSheetSAND!$I$3:$L$50,MATCH(VLOOKUP($K78,$K$5:$AL$34,MATCH(VLOOKUP(R$37,$BJ$3:$BK$50,2,FALSE),$K$4:$AL$4,0),FALSE),BoundParameters_HiddenSheetCLAY!$I$1:$L$1,0),FALSE),IF(VLOOKUP($F43,'Table Output'!$A$1:$H$10002,8,FALSE)="Clay",VLOOKUP(R$37,BoundParameters_HiddenSheetCLAY!$I$3:$L$50,MATCH(VLOOKUP($K78,$K$5:$AL$34,MATCH(VLOOKUP(R$37,$BJ$3:$BK$50,2,FALSE),$K$4:$AL$4,0),FALSE),BoundParameters_HiddenSheetCLAY!$I$1:$L$1,0),FALSE))),'Control Panel'!R78)))</f>
        <v>0.2</v>
      </c>
      <c r="S78" s="27" t="str">
        <f>IF($K78="","",IF(S$37="","",IF('Control Panel'!S78="",IF(VLOOKUP($F43,'Table Output'!$A$1:$H$100002,8,FALSE)="Sand",VLOOKUP(S$37,BoundParameters_HiddenSheetSAND!$I$3:$L$50,MATCH(VLOOKUP($K78,$K$5:$AL$34,MATCH(VLOOKUP(S$37,$BJ$3:$BK$50,2,FALSE),$K$4:$AL$4,0),FALSE),BoundParameters_HiddenSheetCLAY!$I$1:$L$1,0),FALSE),IF(VLOOKUP($F43,'Table Output'!$A$1:$H$10002,8,FALSE)="Clay",VLOOKUP(S$37,BoundParameters_HiddenSheetCLAY!$I$3:$L$50,MATCH(VLOOKUP($K78,$K$5:$AL$34,MATCH(VLOOKUP(S$37,$BJ$3:$BK$50,2,FALSE),$K$4:$AL$4,0),FALSE),BoundParameters_HiddenSheetCLAY!$I$1:$L$1,0),FALSE))),'Control Panel'!S78)))</f>
        <v/>
      </c>
      <c r="T78" s="27" t="str">
        <f>IF($K78="","",IF(T$37="","",IF('Control Panel'!T78="",IF(VLOOKUP($F43,'Table Output'!$A$1:$H$100002,8,FALSE)="Sand",VLOOKUP(T$37,BoundParameters_HiddenSheetSAND!$I$3:$L$50,MATCH(VLOOKUP($K78,$K$5:$AL$34,MATCH(VLOOKUP(T$37,$BJ$3:$BK$50,2,FALSE),$K$4:$AL$4,0),FALSE),BoundParameters_HiddenSheetCLAY!$I$1:$L$1,0),FALSE),IF(VLOOKUP($F43,'Table Output'!$A$1:$H$10002,8,FALSE)="Clay",VLOOKUP(T$37,BoundParameters_HiddenSheetCLAY!$I$3:$L$50,MATCH(VLOOKUP($K78,$K$5:$AL$34,MATCH(VLOOKUP(T$37,$BJ$3:$BK$50,2,FALSE),$K$4:$AL$4,0),FALSE),BoundParameters_HiddenSheetCLAY!$I$1:$L$1,0),FALSE))),'Control Panel'!T78)))</f>
        <v/>
      </c>
      <c r="U78" s="27" t="str">
        <f>IF($K78="","",IF(U$37="","",IF('Control Panel'!U78="",IF(VLOOKUP($F43,'Table Output'!$A$1:$H$100002,8,FALSE)="Sand",VLOOKUP(U$37,BoundParameters_HiddenSheetSAND!$I$3:$L$50,MATCH(VLOOKUP($K78,$K$5:$AL$34,MATCH(VLOOKUP(U$37,$BJ$3:$BK$50,2,FALSE),$K$4:$AL$4,0),FALSE),BoundParameters_HiddenSheetCLAY!$I$1:$L$1,0),FALSE),IF(VLOOKUP($F43,'Table Output'!$A$1:$H$10002,8,FALSE)="Clay",VLOOKUP(U$37,BoundParameters_HiddenSheetCLAY!$I$3:$L$50,MATCH(VLOOKUP($K78,$K$5:$AL$34,MATCH(VLOOKUP(U$37,$BJ$3:$BK$50,2,FALSE),$K$4:$AL$4,0),FALSE),BoundParameters_HiddenSheetCLAY!$I$1:$L$1,0),FALSE))),'Control Panel'!U78)))</f>
        <v/>
      </c>
    </row>
    <row r="79" spans="5:62" x14ac:dyDescent="0.2">
      <c r="F79" s="2" t="str">
        <f t="shared" ref="F79" si="54">F44</f>
        <v>NGI_U3_5</v>
      </c>
      <c r="K79" s="4">
        <f t="shared" si="49"/>
        <v>7</v>
      </c>
      <c r="L79" s="27">
        <f>IF($K79="","",IF(L$37="","",IF('Control Panel'!L79="",IF(VLOOKUP($F44,'Table Output'!$A$1:$H$100002,8,FALSE)="Sand",VLOOKUP(L$37,BoundParameters_HiddenSheetSAND!$I$3:$L$50,MATCH(VLOOKUP($K79,$K$5:$AL$34,MATCH(VLOOKUP(L$37,$BJ$3:$BK$50,2,FALSE),$K$4:$AL$4,0),FALSE),BoundParameters_HiddenSheetCLAY!$I$1:$L$1,0),FALSE),IF(VLOOKUP($F44,'Table Output'!$A$1:$H$10002,8,FALSE)="Clay",VLOOKUP(L$37,BoundParameters_HiddenSheetCLAY!$I$3:$L$50,MATCH(VLOOKUP($K79,$K$5:$AL$34,MATCH(VLOOKUP(L$37,$BJ$3:$BK$50,2,FALSE),$K$4:$AL$4,0),FALSE),BoundParameters_HiddenSheetCLAY!$I$1:$L$1,0),FALSE))),'Control Panel'!L79)))</f>
        <v>7</v>
      </c>
      <c r="M79" s="27">
        <f>IF($K79="","",IF(M$37="","",IF('Control Panel'!M79="",IF(VLOOKUP($F44,'Table Output'!$A$1:$H$100002,8,FALSE)="Sand",VLOOKUP(M$37,BoundParameters_HiddenSheetSAND!$I$3:$L$50,MATCH(VLOOKUP($K79,$K$5:$AL$34,MATCH(VLOOKUP(M$37,$BJ$3:$BK$50,2,FALSE),$K$4:$AL$4,0),FALSE),BoundParameters_HiddenSheetCLAY!$I$1:$L$1,0),FALSE),IF(VLOOKUP($F44,'Table Output'!$A$1:$H$10002,8,FALSE)="Clay",VLOOKUP(M$37,BoundParameters_HiddenSheetCLAY!$I$3:$L$50,MATCH(VLOOKUP($K79,$K$5:$AL$34,MATCH(VLOOKUP(M$37,$BJ$3:$BK$50,2,FALSE),$K$4:$AL$4,0),FALSE),BoundParameters_HiddenSheetCLAY!$I$1:$L$1,0),FALSE))),'Control Panel'!M79)))</f>
        <v>150</v>
      </c>
      <c r="N79" s="27">
        <f>IF($K79="","",IF(N$37="","",IF('Control Panel'!N79="",IF(VLOOKUP($F44,'Table Output'!$A$1:$H$100002,8,FALSE)="Sand",VLOOKUP(N$37,BoundParameters_HiddenSheetSAND!$I$3:$L$50,MATCH(VLOOKUP($K79,$K$5:$AL$34,MATCH(VLOOKUP(N$37,$BJ$3:$BK$50,2,FALSE),$K$4:$AL$4,0),FALSE),BoundParameters_HiddenSheetCLAY!$I$1:$L$1,0),FALSE),IF(VLOOKUP($F44,'Table Output'!$A$1:$H$10002,8,FALSE)="Clay",VLOOKUP(N$37,BoundParameters_HiddenSheetCLAY!$I$3:$L$50,MATCH(VLOOKUP($K79,$K$5:$AL$34,MATCH(VLOOKUP(N$37,$BJ$3:$BK$50,2,FALSE),$K$4:$AL$4,0),FALSE),BoundParameters_HiddenSheetCLAY!$I$1:$L$1,0),FALSE))),'Control Panel'!N79)))</f>
        <v>0.01</v>
      </c>
      <c r="O79" s="27">
        <f>IF($K79="","",IF(O$37="","",IF('Control Panel'!O79="",IF(VLOOKUP($F44,'Table Output'!$A$1:$H$100002,8,FALSE)="Sand",VLOOKUP(O$37,BoundParameters_HiddenSheetSAND!$I$3:$L$50,MATCH(VLOOKUP($K79,$K$5:$AL$34,MATCH(VLOOKUP(O$37,$BJ$3:$BK$50,2,FALSE),$K$4:$AL$4,0),FALSE),BoundParameters_HiddenSheetCLAY!$I$1:$L$1,0),FALSE),IF(VLOOKUP($F44,'Table Output'!$A$1:$H$10002,8,FALSE)="Clay",VLOOKUP(O$37,BoundParameters_HiddenSheetCLAY!$I$3:$L$50,MATCH(VLOOKUP($K79,$K$5:$AL$34,MATCH(VLOOKUP(O$37,$BJ$3:$BK$50,2,FALSE),$K$4:$AL$4,0),FALSE),BoundParameters_HiddenSheetCLAY!$I$1:$L$1,0),FALSE))),'Control Panel'!O79)))</f>
        <v>10</v>
      </c>
      <c r="P79" s="27">
        <f>IF($K79="","",IF(P$37="","",IF('Control Panel'!P79="",IF(VLOOKUP($F44,'Table Output'!$A$1:$H$100002,8,FALSE)="Sand",VLOOKUP(P$37,BoundParameters_HiddenSheetSAND!$I$3:$L$50,MATCH(VLOOKUP($K79,$K$5:$AL$34,MATCH(VLOOKUP(P$37,$BJ$3:$BK$50,2,FALSE),$K$4:$AL$4,0),FALSE),BoundParameters_HiddenSheetCLAY!$I$1:$L$1,0),FALSE),IF(VLOOKUP($F44,'Table Output'!$A$1:$H$10002,8,FALSE)="Clay",VLOOKUP(P$37,BoundParameters_HiddenSheetCLAY!$I$3:$L$50,MATCH(VLOOKUP($K79,$K$5:$AL$34,MATCH(VLOOKUP(P$37,$BJ$3:$BK$50,2,FALSE),$K$4:$AL$4,0),FALSE),BoundParameters_HiddenSheetCLAY!$I$1:$L$1,0),FALSE))),'Control Panel'!P79)))</f>
        <v>0.5</v>
      </c>
      <c r="Q79" s="27">
        <f>IF($K79="","",IF(Q$37="","",IF('Control Panel'!Q79="",IF(VLOOKUP($F44,'Table Output'!$A$1:$H$100002,8,FALSE)="Sand",VLOOKUP(Q$37,BoundParameters_HiddenSheetSAND!$I$3:$L$50,MATCH(VLOOKUP($K79,$K$5:$AL$34,MATCH(VLOOKUP(Q$37,$BJ$3:$BK$50,2,FALSE),$K$4:$AL$4,0),FALSE),BoundParameters_HiddenSheetCLAY!$I$1:$L$1,0),FALSE),IF(VLOOKUP($F44,'Table Output'!$A$1:$H$10002,8,FALSE)="Clay",VLOOKUP(Q$37,BoundParameters_HiddenSheetCLAY!$I$3:$L$50,MATCH(VLOOKUP($K79,$K$5:$AL$34,MATCH(VLOOKUP(Q$37,$BJ$3:$BK$50,2,FALSE),$K$4:$AL$4,0),FALSE),BoundParameters_HiddenSheetCLAY!$I$1:$L$1,0),FALSE))),'Control Panel'!Q79)))</f>
        <v>-5555</v>
      </c>
      <c r="R79" s="27">
        <f>IF($K79="","",IF(R$37="","",IF('Control Panel'!R79="",IF(VLOOKUP($F44,'Table Output'!$A$1:$H$100002,8,FALSE)="Sand",VLOOKUP(R$37,BoundParameters_HiddenSheetSAND!$I$3:$L$50,MATCH(VLOOKUP($K79,$K$5:$AL$34,MATCH(VLOOKUP(R$37,$BJ$3:$BK$50,2,FALSE),$K$4:$AL$4,0),FALSE),BoundParameters_HiddenSheetCLAY!$I$1:$L$1,0),FALSE),IF(VLOOKUP($F44,'Table Output'!$A$1:$H$10002,8,FALSE)="Clay",VLOOKUP(R$37,BoundParameters_HiddenSheetCLAY!$I$3:$L$50,MATCH(VLOOKUP($K79,$K$5:$AL$34,MATCH(VLOOKUP(R$37,$BJ$3:$BK$50,2,FALSE),$K$4:$AL$4,0),FALSE),BoundParameters_HiddenSheetCLAY!$I$1:$L$1,0),FALSE))),'Control Panel'!R79)))</f>
        <v>0.2</v>
      </c>
      <c r="S79" s="27" t="str">
        <f>IF($K79="","",IF(S$37="","",IF('Control Panel'!S79="",IF(VLOOKUP($F44,'Table Output'!$A$1:$H$100002,8,FALSE)="Sand",VLOOKUP(S$37,BoundParameters_HiddenSheetSAND!$I$3:$L$50,MATCH(VLOOKUP($K79,$K$5:$AL$34,MATCH(VLOOKUP(S$37,$BJ$3:$BK$50,2,FALSE),$K$4:$AL$4,0),FALSE),BoundParameters_HiddenSheetCLAY!$I$1:$L$1,0),FALSE),IF(VLOOKUP($F44,'Table Output'!$A$1:$H$10002,8,FALSE)="Clay",VLOOKUP(S$37,BoundParameters_HiddenSheetCLAY!$I$3:$L$50,MATCH(VLOOKUP($K79,$K$5:$AL$34,MATCH(VLOOKUP(S$37,$BJ$3:$BK$50,2,FALSE),$K$4:$AL$4,0),FALSE),BoundParameters_HiddenSheetCLAY!$I$1:$L$1,0),FALSE))),'Control Panel'!S79)))</f>
        <v/>
      </c>
      <c r="T79" s="27" t="str">
        <f>IF($K79="","",IF(T$37="","",IF('Control Panel'!T79="",IF(VLOOKUP($F44,'Table Output'!$A$1:$H$100002,8,FALSE)="Sand",VLOOKUP(T$37,BoundParameters_HiddenSheetSAND!$I$3:$L$50,MATCH(VLOOKUP($K79,$K$5:$AL$34,MATCH(VLOOKUP(T$37,$BJ$3:$BK$50,2,FALSE),$K$4:$AL$4,0),FALSE),BoundParameters_HiddenSheetCLAY!$I$1:$L$1,0),FALSE),IF(VLOOKUP($F44,'Table Output'!$A$1:$H$10002,8,FALSE)="Clay",VLOOKUP(T$37,BoundParameters_HiddenSheetCLAY!$I$3:$L$50,MATCH(VLOOKUP($K79,$K$5:$AL$34,MATCH(VLOOKUP(T$37,$BJ$3:$BK$50,2,FALSE),$K$4:$AL$4,0),FALSE),BoundParameters_HiddenSheetCLAY!$I$1:$L$1,0),FALSE))),'Control Panel'!T79)))</f>
        <v/>
      </c>
      <c r="U79" s="27" t="str">
        <f>IF($K79="","",IF(U$37="","",IF('Control Panel'!U79="",IF(VLOOKUP($F44,'Table Output'!$A$1:$H$100002,8,FALSE)="Sand",VLOOKUP(U$37,BoundParameters_HiddenSheetSAND!$I$3:$L$50,MATCH(VLOOKUP($K79,$K$5:$AL$34,MATCH(VLOOKUP(U$37,$BJ$3:$BK$50,2,FALSE),$K$4:$AL$4,0),FALSE),BoundParameters_HiddenSheetCLAY!$I$1:$L$1,0),FALSE),IF(VLOOKUP($F44,'Table Output'!$A$1:$H$10002,8,FALSE)="Clay",VLOOKUP(U$37,BoundParameters_HiddenSheetCLAY!$I$3:$L$50,MATCH(VLOOKUP($K79,$K$5:$AL$34,MATCH(VLOOKUP(U$37,$BJ$3:$BK$50,2,FALSE),$K$4:$AL$4,0),FALSE),BoundParameters_HiddenSheetCLAY!$I$1:$L$1,0),FALSE))),'Control Panel'!U79)))</f>
        <v/>
      </c>
    </row>
    <row r="80" spans="5:62" x14ac:dyDescent="0.2">
      <c r="F80" s="2" t="str">
        <f t="shared" ref="F80" si="55">F45</f>
        <v>NGI_U3_6</v>
      </c>
      <c r="K80" s="4">
        <f t="shared" si="49"/>
        <v>8</v>
      </c>
      <c r="L80" s="27">
        <f>IF($K80="","",IF(L$37="","",IF('Control Panel'!L80="",IF(VLOOKUP($F45,'Table Output'!$A$1:$H$100002,8,FALSE)="Sand",VLOOKUP(L$37,BoundParameters_HiddenSheetSAND!$I$3:$L$50,MATCH(VLOOKUP($K80,$K$5:$AL$34,MATCH(VLOOKUP(L$37,$BJ$3:$BK$50,2,FALSE),$K$4:$AL$4,0),FALSE),BoundParameters_HiddenSheetCLAY!$I$1:$L$1,0),FALSE),IF(VLOOKUP($F45,'Table Output'!$A$1:$H$10002,8,FALSE)="Clay",VLOOKUP(L$37,BoundParameters_HiddenSheetCLAY!$I$3:$L$50,MATCH(VLOOKUP($K80,$K$5:$AL$34,MATCH(VLOOKUP(L$37,$BJ$3:$BK$50,2,FALSE),$K$4:$AL$4,0),FALSE),BoundParameters_HiddenSheetCLAY!$I$1:$L$1,0),FALSE))),'Control Panel'!L80)))</f>
        <v>7</v>
      </c>
      <c r="M80" s="27">
        <f>IF($K80="","",IF(M$37="","",IF('Control Panel'!M80="",IF(VLOOKUP($F45,'Table Output'!$A$1:$H$100002,8,FALSE)="Sand",VLOOKUP(M$37,BoundParameters_HiddenSheetSAND!$I$3:$L$50,MATCH(VLOOKUP($K80,$K$5:$AL$34,MATCH(VLOOKUP(M$37,$BJ$3:$BK$50,2,FALSE),$K$4:$AL$4,0),FALSE),BoundParameters_HiddenSheetCLAY!$I$1:$L$1,0),FALSE),IF(VLOOKUP($F45,'Table Output'!$A$1:$H$10002,8,FALSE)="Clay",VLOOKUP(M$37,BoundParameters_HiddenSheetCLAY!$I$3:$L$50,MATCH(VLOOKUP($K80,$K$5:$AL$34,MATCH(VLOOKUP(M$37,$BJ$3:$BK$50,2,FALSE),$K$4:$AL$4,0),FALSE),BoundParameters_HiddenSheetCLAY!$I$1:$L$1,0),FALSE))),'Control Panel'!M80)))</f>
        <v>150</v>
      </c>
      <c r="N80" s="27">
        <f>IF($K80="","",IF(N$37="","",IF('Control Panel'!N80="",IF(VLOOKUP($F45,'Table Output'!$A$1:$H$100002,8,FALSE)="Sand",VLOOKUP(N$37,BoundParameters_HiddenSheetSAND!$I$3:$L$50,MATCH(VLOOKUP($K80,$K$5:$AL$34,MATCH(VLOOKUP(N$37,$BJ$3:$BK$50,2,FALSE),$K$4:$AL$4,0),FALSE),BoundParameters_HiddenSheetCLAY!$I$1:$L$1,0),FALSE),IF(VLOOKUP($F45,'Table Output'!$A$1:$H$10002,8,FALSE)="Clay",VLOOKUP(N$37,BoundParameters_HiddenSheetCLAY!$I$3:$L$50,MATCH(VLOOKUP($K80,$K$5:$AL$34,MATCH(VLOOKUP(N$37,$BJ$3:$BK$50,2,FALSE),$K$4:$AL$4,0),FALSE),BoundParameters_HiddenSheetCLAY!$I$1:$L$1,0),FALSE))),'Control Panel'!N80)))</f>
        <v>0.01</v>
      </c>
      <c r="O80" s="27">
        <f>IF($K80="","",IF(O$37="","",IF('Control Panel'!O80="",IF(VLOOKUP($F45,'Table Output'!$A$1:$H$100002,8,FALSE)="Sand",VLOOKUP(O$37,BoundParameters_HiddenSheetSAND!$I$3:$L$50,MATCH(VLOOKUP($K80,$K$5:$AL$34,MATCH(VLOOKUP(O$37,$BJ$3:$BK$50,2,FALSE),$K$4:$AL$4,0),FALSE),BoundParameters_HiddenSheetCLAY!$I$1:$L$1,0),FALSE),IF(VLOOKUP($F45,'Table Output'!$A$1:$H$10002,8,FALSE)="Clay",VLOOKUP(O$37,BoundParameters_HiddenSheetCLAY!$I$3:$L$50,MATCH(VLOOKUP($K80,$K$5:$AL$34,MATCH(VLOOKUP(O$37,$BJ$3:$BK$50,2,FALSE),$K$4:$AL$4,0),FALSE),BoundParameters_HiddenSheetCLAY!$I$1:$L$1,0),FALSE))),'Control Panel'!O80)))</f>
        <v>10</v>
      </c>
      <c r="P80" s="27">
        <f>IF($K80="","",IF(P$37="","",IF('Control Panel'!P80="",IF(VLOOKUP($F45,'Table Output'!$A$1:$H$100002,8,FALSE)="Sand",VLOOKUP(P$37,BoundParameters_HiddenSheetSAND!$I$3:$L$50,MATCH(VLOOKUP($K80,$K$5:$AL$34,MATCH(VLOOKUP(P$37,$BJ$3:$BK$50,2,FALSE),$K$4:$AL$4,0),FALSE),BoundParameters_HiddenSheetCLAY!$I$1:$L$1,0),FALSE),IF(VLOOKUP($F45,'Table Output'!$A$1:$H$10002,8,FALSE)="Clay",VLOOKUP(P$37,BoundParameters_HiddenSheetCLAY!$I$3:$L$50,MATCH(VLOOKUP($K80,$K$5:$AL$34,MATCH(VLOOKUP(P$37,$BJ$3:$BK$50,2,FALSE),$K$4:$AL$4,0),FALSE),BoundParameters_HiddenSheetCLAY!$I$1:$L$1,0),FALSE))),'Control Panel'!P80)))</f>
        <v>0.5</v>
      </c>
      <c r="Q80" s="27">
        <f>IF($K80="","",IF(Q$37="","",IF('Control Panel'!Q80="",IF(VLOOKUP($F45,'Table Output'!$A$1:$H$100002,8,FALSE)="Sand",VLOOKUP(Q$37,BoundParameters_HiddenSheetSAND!$I$3:$L$50,MATCH(VLOOKUP($K80,$K$5:$AL$34,MATCH(VLOOKUP(Q$37,$BJ$3:$BK$50,2,FALSE),$K$4:$AL$4,0),FALSE),BoundParameters_HiddenSheetCLAY!$I$1:$L$1,0),FALSE),IF(VLOOKUP($F45,'Table Output'!$A$1:$H$10002,8,FALSE)="Clay",VLOOKUP(Q$37,BoundParameters_HiddenSheetCLAY!$I$3:$L$50,MATCH(VLOOKUP($K80,$K$5:$AL$34,MATCH(VLOOKUP(Q$37,$BJ$3:$BK$50,2,FALSE),$K$4:$AL$4,0),FALSE),BoundParameters_HiddenSheetCLAY!$I$1:$L$1,0),FALSE))),'Control Panel'!Q80)))</f>
        <v>-5555</v>
      </c>
      <c r="R80" s="27">
        <f>IF($K80="","",IF(R$37="","",IF('Control Panel'!R80="",IF(VLOOKUP($F45,'Table Output'!$A$1:$H$100002,8,FALSE)="Sand",VLOOKUP(R$37,BoundParameters_HiddenSheetSAND!$I$3:$L$50,MATCH(VLOOKUP($K80,$K$5:$AL$34,MATCH(VLOOKUP(R$37,$BJ$3:$BK$50,2,FALSE),$K$4:$AL$4,0),FALSE),BoundParameters_HiddenSheetCLAY!$I$1:$L$1,0),FALSE),IF(VLOOKUP($F45,'Table Output'!$A$1:$H$10002,8,FALSE)="Clay",VLOOKUP(R$37,BoundParameters_HiddenSheetCLAY!$I$3:$L$50,MATCH(VLOOKUP($K80,$K$5:$AL$34,MATCH(VLOOKUP(R$37,$BJ$3:$BK$50,2,FALSE),$K$4:$AL$4,0),FALSE),BoundParameters_HiddenSheetCLAY!$I$1:$L$1,0),FALSE))),'Control Panel'!R80)))</f>
        <v>0.2</v>
      </c>
      <c r="S80" s="27" t="str">
        <f>IF($K80="","",IF(S$37="","",IF('Control Panel'!S80="",IF(VLOOKUP($F45,'Table Output'!$A$1:$H$100002,8,FALSE)="Sand",VLOOKUP(S$37,BoundParameters_HiddenSheetSAND!$I$3:$L$50,MATCH(VLOOKUP($K80,$K$5:$AL$34,MATCH(VLOOKUP(S$37,$BJ$3:$BK$50,2,FALSE),$K$4:$AL$4,0),FALSE),BoundParameters_HiddenSheetCLAY!$I$1:$L$1,0),FALSE),IF(VLOOKUP($F45,'Table Output'!$A$1:$H$10002,8,FALSE)="Clay",VLOOKUP(S$37,BoundParameters_HiddenSheetCLAY!$I$3:$L$50,MATCH(VLOOKUP($K80,$K$5:$AL$34,MATCH(VLOOKUP(S$37,$BJ$3:$BK$50,2,FALSE),$K$4:$AL$4,0),FALSE),BoundParameters_HiddenSheetCLAY!$I$1:$L$1,0),FALSE))),'Control Panel'!S80)))</f>
        <v/>
      </c>
      <c r="T80" s="27" t="str">
        <f>IF($K80="","",IF(T$37="","",IF('Control Panel'!T80="",IF(VLOOKUP($F45,'Table Output'!$A$1:$H$100002,8,FALSE)="Sand",VLOOKUP(T$37,BoundParameters_HiddenSheetSAND!$I$3:$L$50,MATCH(VLOOKUP($K80,$K$5:$AL$34,MATCH(VLOOKUP(T$37,$BJ$3:$BK$50,2,FALSE),$K$4:$AL$4,0),FALSE),BoundParameters_HiddenSheetCLAY!$I$1:$L$1,0),FALSE),IF(VLOOKUP($F45,'Table Output'!$A$1:$H$10002,8,FALSE)="Clay",VLOOKUP(T$37,BoundParameters_HiddenSheetCLAY!$I$3:$L$50,MATCH(VLOOKUP($K80,$K$5:$AL$34,MATCH(VLOOKUP(T$37,$BJ$3:$BK$50,2,FALSE),$K$4:$AL$4,0),FALSE),BoundParameters_HiddenSheetCLAY!$I$1:$L$1,0),FALSE))),'Control Panel'!T80)))</f>
        <v/>
      </c>
      <c r="U80" s="27" t="str">
        <f>IF($K80="","",IF(U$37="","",IF('Control Panel'!U80="",IF(VLOOKUP($F45,'Table Output'!$A$1:$H$100002,8,FALSE)="Sand",VLOOKUP(U$37,BoundParameters_HiddenSheetSAND!$I$3:$L$50,MATCH(VLOOKUP($K80,$K$5:$AL$34,MATCH(VLOOKUP(U$37,$BJ$3:$BK$50,2,FALSE),$K$4:$AL$4,0),FALSE),BoundParameters_HiddenSheetCLAY!$I$1:$L$1,0),FALSE),IF(VLOOKUP($F45,'Table Output'!$A$1:$H$10002,8,FALSE)="Clay",VLOOKUP(U$37,BoundParameters_HiddenSheetCLAY!$I$3:$L$50,MATCH(VLOOKUP($K80,$K$5:$AL$34,MATCH(VLOOKUP(U$37,$BJ$3:$BK$50,2,FALSE),$K$4:$AL$4,0),FALSE),BoundParameters_HiddenSheetCLAY!$I$1:$L$1,0),FALSE))),'Control Panel'!U80)))</f>
        <v/>
      </c>
    </row>
    <row r="81" spans="5:21" x14ac:dyDescent="0.2">
      <c r="F81" s="2" t="str">
        <f t="shared" ref="F81" si="56">F46</f>
        <v>NGI_U3_8</v>
      </c>
      <c r="K81" s="4">
        <f t="shared" si="49"/>
        <v>9</v>
      </c>
      <c r="L81" s="27">
        <f>IF($K81="","",IF(L$37="","",IF('Control Panel'!L81="",IF(VLOOKUP($F46,'Table Output'!$A$1:$H$100002,8,FALSE)="Sand",VLOOKUP(L$37,BoundParameters_HiddenSheetSAND!$I$3:$L$50,MATCH(VLOOKUP($K81,$K$5:$AL$34,MATCH(VLOOKUP(L$37,$BJ$3:$BK$50,2,FALSE),$K$4:$AL$4,0),FALSE),BoundParameters_HiddenSheetCLAY!$I$1:$L$1,0),FALSE),IF(VLOOKUP($F46,'Table Output'!$A$1:$H$10002,8,FALSE)="Clay",VLOOKUP(L$37,BoundParameters_HiddenSheetCLAY!$I$3:$L$50,MATCH(VLOOKUP($K81,$K$5:$AL$34,MATCH(VLOOKUP(L$37,$BJ$3:$BK$50,2,FALSE),$K$4:$AL$4,0),FALSE),BoundParameters_HiddenSheetCLAY!$I$1:$L$1,0),FALSE))),'Control Panel'!L81)))</f>
        <v>7</v>
      </c>
      <c r="M81" s="27">
        <f>IF($K81="","",IF(M$37="","",IF('Control Panel'!M81="",IF(VLOOKUP($F46,'Table Output'!$A$1:$H$100002,8,FALSE)="Sand",VLOOKUP(M$37,BoundParameters_HiddenSheetSAND!$I$3:$L$50,MATCH(VLOOKUP($K81,$K$5:$AL$34,MATCH(VLOOKUP(M$37,$BJ$3:$BK$50,2,FALSE),$K$4:$AL$4,0),FALSE),BoundParameters_HiddenSheetCLAY!$I$1:$L$1,0),FALSE),IF(VLOOKUP($F46,'Table Output'!$A$1:$H$10002,8,FALSE)="Clay",VLOOKUP(M$37,BoundParameters_HiddenSheetCLAY!$I$3:$L$50,MATCH(VLOOKUP($K81,$K$5:$AL$34,MATCH(VLOOKUP(M$37,$BJ$3:$BK$50,2,FALSE),$K$4:$AL$4,0),FALSE),BoundParameters_HiddenSheetCLAY!$I$1:$L$1,0),FALSE))),'Control Panel'!M81)))</f>
        <v>150</v>
      </c>
      <c r="N81" s="27">
        <f>IF($K81="","",IF(N$37="","",IF('Control Panel'!N81="",IF(VLOOKUP($F46,'Table Output'!$A$1:$H$100002,8,FALSE)="Sand",VLOOKUP(N$37,BoundParameters_HiddenSheetSAND!$I$3:$L$50,MATCH(VLOOKUP($K81,$K$5:$AL$34,MATCH(VLOOKUP(N$37,$BJ$3:$BK$50,2,FALSE),$K$4:$AL$4,0),FALSE),BoundParameters_HiddenSheetCLAY!$I$1:$L$1,0),FALSE),IF(VLOOKUP($F46,'Table Output'!$A$1:$H$10002,8,FALSE)="Clay",VLOOKUP(N$37,BoundParameters_HiddenSheetCLAY!$I$3:$L$50,MATCH(VLOOKUP($K81,$K$5:$AL$34,MATCH(VLOOKUP(N$37,$BJ$3:$BK$50,2,FALSE),$K$4:$AL$4,0),FALSE),BoundParameters_HiddenSheetCLAY!$I$1:$L$1,0),FALSE))),'Control Panel'!N81)))</f>
        <v>0.01</v>
      </c>
      <c r="O81" s="27">
        <f>IF($K81="","",IF(O$37="","",IF('Control Panel'!O81="",IF(VLOOKUP($F46,'Table Output'!$A$1:$H$100002,8,FALSE)="Sand",VLOOKUP(O$37,BoundParameters_HiddenSheetSAND!$I$3:$L$50,MATCH(VLOOKUP($K81,$K$5:$AL$34,MATCH(VLOOKUP(O$37,$BJ$3:$BK$50,2,FALSE),$K$4:$AL$4,0),FALSE),BoundParameters_HiddenSheetCLAY!$I$1:$L$1,0),FALSE),IF(VLOOKUP($F46,'Table Output'!$A$1:$H$10002,8,FALSE)="Clay",VLOOKUP(O$37,BoundParameters_HiddenSheetCLAY!$I$3:$L$50,MATCH(VLOOKUP($K81,$K$5:$AL$34,MATCH(VLOOKUP(O$37,$BJ$3:$BK$50,2,FALSE),$K$4:$AL$4,0),FALSE),BoundParameters_HiddenSheetCLAY!$I$1:$L$1,0),FALSE))),'Control Panel'!O81)))</f>
        <v>10</v>
      </c>
      <c r="P81" s="27">
        <f>IF($K81="","",IF(P$37="","",IF('Control Panel'!P81="",IF(VLOOKUP($F46,'Table Output'!$A$1:$H$100002,8,FALSE)="Sand",VLOOKUP(P$37,BoundParameters_HiddenSheetSAND!$I$3:$L$50,MATCH(VLOOKUP($K81,$K$5:$AL$34,MATCH(VLOOKUP(P$37,$BJ$3:$BK$50,2,FALSE),$K$4:$AL$4,0),FALSE),BoundParameters_HiddenSheetCLAY!$I$1:$L$1,0),FALSE),IF(VLOOKUP($F46,'Table Output'!$A$1:$H$10002,8,FALSE)="Clay",VLOOKUP(P$37,BoundParameters_HiddenSheetCLAY!$I$3:$L$50,MATCH(VLOOKUP($K81,$K$5:$AL$34,MATCH(VLOOKUP(P$37,$BJ$3:$BK$50,2,FALSE),$K$4:$AL$4,0),FALSE),BoundParameters_HiddenSheetCLAY!$I$1:$L$1,0),FALSE))),'Control Panel'!P81)))</f>
        <v>0.5</v>
      </c>
      <c r="Q81" s="27">
        <f>IF($K81="","",IF(Q$37="","",IF('Control Panel'!Q81="",IF(VLOOKUP($F46,'Table Output'!$A$1:$H$100002,8,FALSE)="Sand",VLOOKUP(Q$37,BoundParameters_HiddenSheetSAND!$I$3:$L$50,MATCH(VLOOKUP($K81,$K$5:$AL$34,MATCH(VLOOKUP(Q$37,$BJ$3:$BK$50,2,FALSE),$K$4:$AL$4,0),FALSE),BoundParameters_HiddenSheetCLAY!$I$1:$L$1,0),FALSE),IF(VLOOKUP($F46,'Table Output'!$A$1:$H$10002,8,FALSE)="Clay",VLOOKUP(Q$37,BoundParameters_HiddenSheetCLAY!$I$3:$L$50,MATCH(VLOOKUP($K81,$K$5:$AL$34,MATCH(VLOOKUP(Q$37,$BJ$3:$BK$50,2,FALSE),$K$4:$AL$4,0),FALSE),BoundParameters_HiddenSheetCLAY!$I$1:$L$1,0),FALSE))),'Control Panel'!Q81)))</f>
        <v>-5555</v>
      </c>
      <c r="R81" s="27">
        <f>IF($K81="","",IF(R$37="","",IF('Control Panel'!R81="",IF(VLOOKUP($F46,'Table Output'!$A$1:$H$100002,8,FALSE)="Sand",VLOOKUP(R$37,BoundParameters_HiddenSheetSAND!$I$3:$L$50,MATCH(VLOOKUP($K81,$K$5:$AL$34,MATCH(VLOOKUP(R$37,$BJ$3:$BK$50,2,FALSE),$K$4:$AL$4,0),FALSE),BoundParameters_HiddenSheetCLAY!$I$1:$L$1,0),FALSE),IF(VLOOKUP($F46,'Table Output'!$A$1:$H$10002,8,FALSE)="Clay",VLOOKUP(R$37,BoundParameters_HiddenSheetCLAY!$I$3:$L$50,MATCH(VLOOKUP($K81,$K$5:$AL$34,MATCH(VLOOKUP(R$37,$BJ$3:$BK$50,2,FALSE),$K$4:$AL$4,0),FALSE),BoundParameters_HiddenSheetCLAY!$I$1:$L$1,0),FALSE))),'Control Panel'!R81)))</f>
        <v>0.2</v>
      </c>
      <c r="S81" s="27" t="str">
        <f>IF($K81="","",IF(S$37="","",IF('Control Panel'!S81="",IF(VLOOKUP($F46,'Table Output'!$A$1:$H$100002,8,FALSE)="Sand",VLOOKUP(S$37,BoundParameters_HiddenSheetSAND!$I$3:$L$50,MATCH(VLOOKUP($K81,$K$5:$AL$34,MATCH(VLOOKUP(S$37,$BJ$3:$BK$50,2,FALSE),$K$4:$AL$4,0),FALSE),BoundParameters_HiddenSheetCLAY!$I$1:$L$1,0),FALSE),IF(VLOOKUP($F46,'Table Output'!$A$1:$H$10002,8,FALSE)="Clay",VLOOKUP(S$37,BoundParameters_HiddenSheetCLAY!$I$3:$L$50,MATCH(VLOOKUP($K81,$K$5:$AL$34,MATCH(VLOOKUP(S$37,$BJ$3:$BK$50,2,FALSE),$K$4:$AL$4,0),FALSE),BoundParameters_HiddenSheetCLAY!$I$1:$L$1,0),FALSE))),'Control Panel'!S81)))</f>
        <v/>
      </c>
      <c r="T81" s="27" t="str">
        <f>IF($K81="","",IF(T$37="","",IF('Control Panel'!T81="",IF(VLOOKUP($F46,'Table Output'!$A$1:$H$100002,8,FALSE)="Sand",VLOOKUP(T$37,BoundParameters_HiddenSheetSAND!$I$3:$L$50,MATCH(VLOOKUP($K81,$K$5:$AL$34,MATCH(VLOOKUP(T$37,$BJ$3:$BK$50,2,FALSE),$K$4:$AL$4,0),FALSE),BoundParameters_HiddenSheetCLAY!$I$1:$L$1,0),FALSE),IF(VLOOKUP($F46,'Table Output'!$A$1:$H$10002,8,FALSE)="Clay",VLOOKUP(T$37,BoundParameters_HiddenSheetCLAY!$I$3:$L$50,MATCH(VLOOKUP($K81,$K$5:$AL$34,MATCH(VLOOKUP(T$37,$BJ$3:$BK$50,2,FALSE),$K$4:$AL$4,0),FALSE),BoundParameters_HiddenSheetCLAY!$I$1:$L$1,0),FALSE))),'Control Panel'!T81)))</f>
        <v/>
      </c>
      <c r="U81" s="27" t="str">
        <f>IF($K81="","",IF(U$37="","",IF('Control Panel'!U81="",IF(VLOOKUP($F46,'Table Output'!$A$1:$H$100002,8,FALSE)="Sand",VLOOKUP(U$37,BoundParameters_HiddenSheetSAND!$I$3:$L$50,MATCH(VLOOKUP($K81,$K$5:$AL$34,MATCH(VLOOKUP(U$37,$BJ$3:$BK$50,2,FALSE),$K$4:$AL$4,0),FALSE),BoundParameters_HiddenSheetCLAY!$I$1:$L$1,0),FALSE),IF(VLOOKUP($F46,'Table Output'!$A$1:$H$10002,8,FALSE)="Clay",VLOOKUP(U$37,BoundParameters_HiddenSheetCLAY!$I$3:$L$50,MATCH(VLOOKUP($K81,$K$5:$AL$34,MATCH(VLOOKUP(U$37,$BJ$3:$BK$50,2,FALSE),$K$4:$AL$4,0),FALSE),BoundParameters_HiddenSheetCLAY!$I$1:$L$1,0),FALSE))),'Control Panel'!U81)))</f>
        <v/>
      </c>
    </row>
    <row r="82" spans="5:21" x14ac:dyDescent="0.2">
      <c r="F82" s="2" t="str">
        <f t="shared" ref="F82" si="57">F47</f>
        <v>NGI_U3_8</v>
      </c>
      <c r="K82" s="4">
        <f t="shared" si="49"/>
        <v>10</v>
      </c>
      <c r="L82" s="27">
        <f>IF($K82="","",IF(L$37="","",IF('Control Panel'!L82="",IF(VLOOKUP($F47,'Table Output'!$A$1:$H$100002,8,FALSE)="Sand",VLOOKUP(L$37,BoundParameters_HiddenSheetSAND!$I$3:$L$50,MATCH(VLOOKUP($K82,$K$5:$AL$34,MATCH(VLOOKUP(L$37,$BJ$3:$BK$50,2,FALSE),$K$4:$AL$4,0),FALSE),BoundParameters_HiddenSheetCLAY!$I$1:$L$1,0),FALSE),IF(VLOOKUP($F47,'Table Output'!$A$1:$H$10002,8,FALSE)="Clay",VLOOKUP(L$37,BoundParameters_HiddenSheetCLAY!$I$3:$L$50,MATCH(VLOOKUP($K82,$K$5:$AL$34,MATCH(VLOOKUP(L$37,$BJ$3:$BK$50,2,FALSE),$K$4:$AL$4,0),FALSE),BoundParameters_HiddenSheetCLAY!$I$1:$L$1,0),FALSE))),'Control Panel'!L82)))</f>
        <v>7</v>
      </c>
      <c r="M82" s="27">
        <f>IF($K82="","",IF(M$37="","",IF('Control Panel'!M82="",IF(VLOOKUP($F47,'Table Output'!$A$1:$H$100002,8,FALSE)="Sand",VLOOKUP(M$37,BoundParameters_HiddenSheetSAND!$I$3:$L$50,MATCH(VLOOKUP($K82,$K$5:$AL$34,MATCH(VLOOKUP(M$37,$BJ$3:$BK$50,2,FALSE),$K$4:$AL$4,0),FALSE),BoundParameters_HiddenSheetCLAY!$I$1:$L$1,0),FALSE),IF(VLOOKUP($F47,'Table Output'!$A$1:$H$10002,8,FALSE)="Clay",VLOOKUP(M$37,BoundParameters_HiddenSheetCLAY!$I$3:$L$50,MATCH(VLOOKUP($K82,$K$5:$AL$34,MATCH(VLOOKUP(M$37,$BJ$3:$BK$50,2,FALSE),$K$4:$AL$4,0),FALSE),BoundParameters_HiddenSheetCLAY!$I$1:$L$1,0),FALSE))),'Control Panel'!M82)))</f>
        <v>150</v>
      </c>
      <c r="N82" s="27">
        <f>IF($K82="","",IF(N$37="","",IF('Control Panel'!N82="",IF(VLOOKUP($F47,'Table Output'!$A$1:$H$100002,8,FALSE)="Sand",VLOOKUP(N$37,BoundParameters_HiddenSheetSAND!$I$3:$L$50,MATCH(VLOOKUP($K82,$K$5:$AL$34,MATCH(VLOOKUP(N$37,$BJ$3:$BK$50,2,FALSE),$K$4:$AL$4,0),FALSE),BoundParameters_HiddenSheetCLAY!$I$1:$L$1,0),FALSE),IF(VLOOKUP($F47,'Table Output'!$A$1:$H$10002,8,FALSE)="Clay",VLOOKUP(N$37,BoundParameters_HiddenSheetCLAY!$I$3:$L$50,MATCH(VLOOKUP($K82,$K$5:$AL$34,MATCH(VLOOKUP(N$37,$BJ$3:$BK$50,2,FALSE),$K$4:$AL$4,0),FALSE),BoundParameters_HiddenSheetCLAY!$I$1:$L$1,0),FALSE))),'Control Panel'!N82)))</f>
        <v>0.01</v>
      </c>
      <c r="O82" s="27">
        <f>IF($K82="","",IF(O$37="","",IF('Control Panel'!O82="",IF(VLOOKUP($F47,'Table Output'!$A$1:$H$100002,8,FALSE)="Sand",VLOOKUP(O$37,BoundParameters_HiddenSheetSAND!$I$3:$L$50,MATCH(VLOOKUP($K82,$K$5:$AL$34,MATCH(VLOOKUP(O$37,$BJ$3:$BK$50,2,FALSE),$K$4:$AL$4,0),FALSE),BoundParameters_HiddenSheetCLAY!$I$1:$L$1,0),FALSE),IF(VLOOKUP($F47,'Table Output'!$A$1:$H$10002,8,FALSE)="Clay",VLOOKUP(O$37,BoundParameters_HiddenSheetCLAY!$I$3:$L$50,MATCH(VLOOKUP($K82,$K$5:$AL$34,MATCH(VLOOKUP(O$37,$BJ$3:$BK$50,2,FALSE),$K$4:$AL$4,0),FALSE),BoundParameters_HiddenSheetCLAY!$I$1:$L$1,0),FALSE))),'Control Panel'!O82)))</f>
        <v>10</v>
      </c>
      <c r="P82" s="27">
        <f>IF($K82="","",IF(P$37="","",IF('Control Panel'!P82="",IF(VLOOKUP($F47,'Table Output'!$A$1:$H$100002,8,FALSE)="Sand",VLOOKUP(P$37,BoundParameters_HiddenSheetSAND!$I$3:$L$50,MATCH(VLOOKUP($K82,$K$5:$AL$34,MATCH(VLOOKUP(P$37,$BJ$3:$BK$50,2,FALSE),$K$4:$AL$4,0),FALSE),BoundParameters_HiddenSheetCLAY!$I$1:$L$1,0),FALSE),IF(VLOOKUP($F47,'Table Output'!$A$1:$H$10002,8,FALSE)="Clay",VLOOKUP(P$37,BoundParameters_HiddenSheetCLAY!$I$3:$L$50,MATCH(VLOOKUP($K82,$K$5:$AL$34,MATCH(VLOOKUP(P$37,$BJ$3:$BK$50,2,FALSE),$K$4:$AL$4,0),FALSE),BoundParameters_HiddenSheetCLAY!$I$1:$L$1,0),FALSE))),'Control Panel'!P82)))</f>
        <v>0.5</v>
      </c>
      <c r="Q82" s="27">
        <f>IF($K82="","",IF(Q$37="","",IF('Control Panel'!Q82="",IF(VLOOKUP($F47,'Table Output'!$A$1:$H$100002,8,FALSE)="Sand",VLOOKUP(Q$37,BoundParameters_HiddenSheetSAND!$I$3:$L$50,MATCH(VLOOKUP($K82,$K$5:$AL$34,MATCH(VLOOKUP(Q$37,$BJ$3:$BK$50,2,FALSE),$K$4:$AL$4,0),FALSE),BoundParameters_HiddenSheetCLAY!$I$1:$L$1,0),FALSE),IF(VLOOKUP($F47,'Table Output'!$A$1:$H$10002,8,FALSE)="Clay",VLOOKUP(Q$37,BoundParameters_HiddenSheetCLAY!$I$3:$L$50,MATCH(VLOOKUP($K82,$K$5:$AL$34,MATCH(VLOOKUP(Q$37,$BJ$3:$BK$50,2,FALSE),$K$4:$AL$4,0),FALSE),BoundParameters_HiddenSheetCLAY!$I$1:$L$1,0),FALSE))),'Control Panel'!Q82)))</f>
        <v>-5555</v>
      </c>
      <c r="R82" s="27">
        <f>IF($K82="","",IF(R$37="","",IF('Control Panel'!R82="",IF(VLOOKUP($F47,'Table Output'!$A$1:$H$100002,8,FALSE)="Sand",VLOOKUP(R$37,BoundParameters_HiddenSheetSAND!$I$3:$L$50,MATCH(VLOOKUP($K82,$K$5:$AL$34,MATCH(VLOOKUP(R$37,$BJ$3:$BK$50,2,FALSE),$K$4:$AL$4,0),FALSE),BoundParameters_HiddenSheetCLAY!$I$1:$L$1,0),FALSE),IF(VLOOKUP($F47,'Table Output'!$A$1:$H$10002,8,FALSE)="Clay",VLOOKUP(R$37,BoundParameters_HiddenSheetCLAY!$I$3:$L$50,MATCH(VLOOKUP($K82,$K$5:$AL$34,MATCH(VLOOKUP(R$37,$BJ$3:$BK$50,2,FALSE),$K$4:$AL$4,0),FALSE),BoundParameters_HiddenSheetCLAY!$I$1:$L$1,0),FALSE))),'Control Panel'!R82)))</f>
        <v>0.2</v>
      </c>
      <c r="S82" s="27" t="str">
        <f>IF($K82="","",IF(S$37="","",IF('Control Panel'!S82="",IF(VLOOKUP($F47,'Table Output'!$A$1:$H$100002,8,FALSE)="Sand",VLOOKUP(S$37,BoundParameters_HiddenSheetSAND!$I$3:$L$50,MATCH(VLOOKUP($K82,$K$5:$AL$34,MATCH(VLOOKUP(S$37,$BJ$3:$BK$50,2,FALSE),$K$4:$AL$4,0),FALSE),BoundParameters_HiddenSheetCLAY!$I$1:$L$1,0),FALSE),IF(VLOOKUP($F47,'Table Output'!$A$1:$H$10002,8,FALSE)="Clay",VLOOKUP(S$37,BoundParameters_HiddenSheetCLAY!$I$3:$L$50,MATCH(VLOOKUP($K82,$K$5:$AL$34,MATCH(VLOOKUP(S$37,$BJ$3:$BK$50,2,FALSE),$K$4:$AL$4,0),FALSE),BoundParameters_HiddenSheetCLAY!$I$1:$L$1,0),FALSE))),'Control Panel'!S82)))</f>
        <v/>
      </c>
      <c r="T82" s="27" t="str">
        <f>IF($K82="","",IF(T$37="","",IF('Control Panel'!T82="",IF(VLOOKUP($F47,'Table Output'!$A$1:$H$100002,8,FALSE)="Sand",VLOOKUP(T$37,BoundParameters_HiddenSheetSAND!$I$3:$L$50,MATCH(VLOOKUP($K82,$K$5:$AL$34,MATCH(VLOOKUP(T$37,$BJ$3:$BK$50,2,FALSE),$K$4:$AL$4,0),FALSE),BoundParameters_HiddenSheetCLAY!$I$1:$L$1,0),FALSE),IF(VLOOKUP($F47,'Table Output'!$A$1:$H$10002,8,FALSE)="Clay",VLOOKUP(T$37,BoundParameters_HiddenSheetCLAY!$I$3:$L$50,MATCH(VLOOKUP($K82,$K$5:$AL$34,MATCH(VLOOKUP(T$37,$BJ$3:$BK$50,2,FALSE),$K$4:$AL$4,0),FALSE),BoundParameters_HiddenSheetCLAY!$I$1:$L$1,0),FALSE))),'Control Panel'!T82)))</f>
        <v/>
      </c>
      <c r="U82" s="27" t="str">
        <f>IF($K82="","",IF(U$37="","",IF('Control Panel'!U82="",IF(VLOOKUP($F47,'Table Output'!$A$1:$H$100002,8,FALSE)="Sand",VLOOKUP(U$37,BoundParameters_HiddenSheetSAND!$I$3:$L$50,MATCH(VLOOKUP($K82,$K$5:$AL$34,MATCH(VLOOKUP(U$37,$BJ$3:$BK$50,2,FALSE),$K$4:$AL$4,0),FALSE),BoundParameters_HiddenSheetCLAY!$I$1:$L$1,0),FALSE),IF(VLOOKUP($F47,'Table Output'!$A$1:$H$10002,8,FALSE)="Clay",VLOOKUP(U$37,BoundParameters_HiddenSheetCLAY!$I$3:$L$50,MATCH(VLOOKUP($K82,$K$5:$AL$34,MATCH(VLOOKUP(U$37,$BJ$3:$BK$50,2,FALSE),$K$4:$AL$4,0),FALSE),BoundParameters_HiddenSheetCLAY!$I$1:$L$1,0),FALSE))),'Control Panel'!U82)))</f>
        <v/>
      </c>
    </row>
    <row r="83" spans="5:21" x14ac:dyDescent="0.2">
      <c r="F83" s="2" t="str">
        <f t="shared" ref="F83" si="58">F48</f>
        <v>NGI_U3_9</v>
      </c>
      <c r="K83" s="4">
        <f t="shared" si="49"/>
        <v>11</v>
      </c>
      <c r="L83" s="27">
        <f>IF($K83="","",IF(L$37="","",IF('Control Panel'!L83="",IF(VLOOKUP($F48,'Table Output'!$A$1:$H$100002,8,FALSE)="Sand",VLOOKUP(L$37,BoundParameters_HiddenSheetSAND!$I$3:$L$50,MATCH(VLOOKUP($K83,$K$5:$AL$34,MATCH(VLOOKUP(L$37,$BJ$3:$BK$50,2,FALSE),$K$4:$AL$4,0),FALSE),BoundParameters_HiddenSheetCLAY!$I$1:$L$1,0),FALSE),IF(VLOOKUP($F48,'Table Output'!$A$1:$H$10002,8,FALSE)="Clay",VLOOKUP(L$37,BoundParameters_HiddenSheetCLAY!$I$3:$L$50,MATCH(VLOOKUP($K83,$K$5:$AL$34,MATCH(VLOOKUP(L$37,$BJ$3:$BK$50,2,FALSE),$K$4:$AL$4,0),FALSE),BoundParameters_HiddenSheetCLAY!$I$1:$L$1,0),FALSE))),'Control Panel'!L83)))</f>
        <v>40</v>
      </c>
      <c r="M83" s="27">
        <f>IF($K83="","",IF(M$37="","",IF('Control Panel'!M83="",IF(VLOOKUP($F48,'Table Output'!$A$1:$H$100002,8,FALSE)="Sand",VLOOKUP(M$37,BoundParameters_HiddenSheetSAND!$I$3:$L$50,MATCH(VLOOKUP($K83,$K$5:$AL$34,MATCH(VLOOKUP(M$37,$BJ$3:$BK$50,2,FALSE),$K$4:$AL$4,0),FALSE),BoundParameters_HiddenSheetCLAY!$I$1:$L$1,0),FALSE),IF(VLOOKUP($F48,'Table Output'!$A$1:$H$10002,8,FALSE)="Clay",VLOOKUP(M$37,BoundParameters_HiddenSheetCLAY!$I$3:$L$50,MATCH(VLOOKUP($K83,$K$5:$AL$34,MATCH(VLOOKUP(M$37,$BJ$3:$BK$50,2,FALSE),$K$4:$AL$4,0),FALSE),BoundParameters_HiddenSheetCLAY!$I$1:$L$1,0),FALSE))),'Control Panel'!M83)))</f>
        <v>-5555</v>
      </c>
      <c r="N83" s="27">
        <f>IF($K83="","",IF(N$37="","",IF('Control Panel'!N83="",IF(VLOOKUP($F48,'Table Output'!$A$1:$H$100002,8,FALSE)="Sand",VLOOKUP(N$37,BoundParameters_HiddenSheetSAND!$I$3:$L$50,MATCH(VLOOKUP($K83,$K$5:$AL$34,MATCH(VLOOKUP(N$37,$BJ$3:$BK$50,2,FALSE),$K$4:$AL$4,0),FALSE),BoundParameters_HiddenSheetCLAY!$I$1:$L$1,0),FALSE),IF(VLOOKUP($F48,'Table Output'!$A$1:$H$10002,8,FALSE)="Clay",VLOOKUP(N$37,BoundParameters_HiddenSheetCLAY!$I$3:$L$50,MATCH(VLOOKUP($K83,$K$5:$AL$34,MATCH(VLOOKUP(N$37,$BJ$3:$BK$50,2,FALSE),$K$4:$AL$4,0),FALSE),BoundParameters_HiddenSheetCLAY!$I$1:$L$1,0),FALSE))),'Control Panel'!N83)))</f>
        <v>0.01</v>
      </c>
      <c r="O83" s="27">
        <f>IF($K83="","",IF(O$37="","",IF('Control Panel'!O83="",IF(VLOOKUP($F48,'Table Output'!$A$1:$H$100002,8,FALSE)="Sand",VLOOKUP(O$37,BoundParameters_HiddenSheetSAND!$I$3:$L$50,MATCH(VLOOKUP($K83,$K$5:$AL$34,MATCH(VLOOKUP(O$37,$BJ$3:$BK$50,2,FALSE),$K$4:$AL$4,0),FALSE),BoundParameters_HiddenSheetCLAY!$I$1:$L$1,0),FALSE),IF(VLOOKUP($F48,'Table Output'!$A$1:$H$10002,8,FALSE)="Clay",VLOOKUP(O$37,BoundParameters_HiddenSheetCLAY!$I$3:$L$50,MATCH(VLOOKUP($K83,$K$5:$AL$34,MATCH(VLOOKUP(O$37,$BJ$3:$BK$50,2,FALSE),$K$4:$AL$4,0),FALSE),BoundParameters_HiddenSheetCLAY!$I$1:$L$1,0),FALSE))),'Control Panel'!O83)))</f>
        <v>0.2</v>
      </c>
      <c r="P83" s="27">
        <f>IF($K83="","",IF(P$37="","",IF('Control Panel'!P83="",IF(VLOOKUP($F48,'Table Output'!$A$1:$H$100002,8,FALSE)="Sand",VLOOKUP(P$37,BoundParameters_HiddenSheetSAND!$I$3:$L$50,MATCH(VLOOKUP($K83,$K$5:$AL$34,MATCH(VLOOKUP(P$37,$BJ$3:$BK$50,2,FALSE),$K$4:$AL$4,0),FALSE),BoundParameters_HiddenSheetCLAY!$I$1:$L$1,0),FALSE),IF(VLOOKUP($F48,'Table Output'!$A$1:$H$10002,8,FALSE)="Clay",VLOOKUP(P$37,BoundParameters_HiddenSheetCLAY!$I$3:$L$50,MATCH(VLOOKUP($K83,$K$5:$AL$34,MATCH(VLOOKUP(P$37,$BJ$3:$BK$50,2,FALSE),$K$4:$AL$4,0),FALSE),BoundParameters_HiddenSheetCLAY!$I$1:$L$1,0),FALSE))),'Control Panel'!P83)))</f>
        <v>0.5</v>
      </c>
      <c r="Q83" s="27">
        <f>IF($K83="","",IF(Q$37="","",IF('Control Panel'!Q83="",IF(VLOOKUP($F48,'Table Output'!$A$1:$H$100002,8,FALSE)="Sand",VLOOKUP(Q$37,BoundParameters_HiddenSheetSAND!$I$3:$L$50,MATCH(VLOOKUP($K83,$K$5:$AL$34,MATCH(VLOOKUP(Q$37,$BJ$3:$BK$50,2,FALSE),$K$4:$AL$4,0),FALSE),BoundParameters_HiddenSheetCLAY!$I$1:$L$1,0),FALSE),IF(VLOOKUP($F48,'Table Output'!$A$1:$H$10002,8,FALSE)="Clay",VLOOKUP(Q$37,BoundParameters_HiddenSheetCLAY!$I$3:$L$50,MATCH(VLOOKUP($K83,$K$5:$AL$34,MATCH(VLOOKUP(Q$37,$BJ$3:$BK$50,2,FALSE),$K$4:$AL$4,0),FALSE),BoundParameters_HiddenSheetCLAY!$I$1:$L$1,0),FALSE))),'Control Panel'!Q83)))</f>
        <v>-5555</v>
      </c>
      <c r="R83" s="27">
        <f>IF($K83="","",IF(R$37="","",IF('Control Panel'!R83="",IF(VLOOKUP($F48,'Table Output'!$A$1:$H$100002,8,FALSE)="Sand",VLOOKUP(R$37,BoundParameters_HiddenSheetSAND!$I$3:$L$50,MATCH(VLOOKUP($K83,$K$5:$AL$34,MATCH(VLOOKUP(R$37,$BJ$3:$BK$50,2,FALSE),$K$4:$AL$4,0),FALSE),BoundParameters_HiddenSheetCLAY!$I$1:$L$1,0),FALSE),IF(VLOOKUP($F48,'Table Output'!$A$1:$H$10002,8,FALSE)="Clay",VLOOKUP(R$37,BoundParameters_HiddenSheetCLAY!$I$3:$L$50,MATCH(VLOOKUP($K83,$K$5:$AL$34,MATCH(VLOOKUP(R$37,$BJ$3:$BK$50,2,FALSE),$K$4:$AL$4,0),FALSE),BoundParameters_HiddenSheetCLAY!$I$1:$L$1,0),FALSE))),'Control Panel'!R83)))</f>
        <v>0.2</v>
      </c>
      <c r="S83" s="27" t="str">
        <f>IF($K83="","",IF(S$37="","",IF('Control Panel'!S83="",IF(VLOOKUP($F48,'Table Output'!$A$1:$H$100002,8,FALSE)="Sand",VLOOKUP(S$37,BoundParameters_HiddenSheetSAND!$I$3:$L$50,MATCH(VLOOKUP($K83,$K$5:$AL$34,MATCH(VLOOKUP(S$37,$BJ$3:$BK$50,2,FALSE),$K$4:$AL$4,0),FALSE),BoundParameters_HiddenSheetCLAY!$I$1:$L$1,0),FALSE),IF(VLOOKUP($F48,'Table Output'!$A$1:$H$10002,8,FALSE)="Clay",VLOOKUP(S$37,BoundParameters_HiddenSheetCLAY!$I$3:$L$50,MATCH(VLOOKUP($K83,$K$5:$AL$34,MATCH(VLOOKUP(S$37,$BJ$3:$BK$50,2,FALSE),$K$4:$AL$4,0),FALSE),BoundParameters_HiddenSheetCLAY!$I$1:$L$1,0),FALSE))),'Control Panel'!S83)))</f>
        <v/>
      </c>
      <c r="T83" s="27" t="str">
        <f>IF($K83="","",IF(T$37="","",IF('Control Panel'!T83="",IF(VLOOKUP($F48,'Table Output'!$A$1:$H$100002,8,FALSE)="Sand",VLOOKUP(T$37,BoundParameters_HiddenSheetSAND!$I$3:$L$50,MATCH(VLOOKUP($K83,$K$5:$AL$34,MATCH(VLOOKUP(T$37,$BJ$3:$BK$50,2,FALSE),$K$4:$AL$4,0),FALSE),BoundParameters_HiddenSheetCLAY!$I$1:$L$1,0),FALSE),IF(VLOOKUP($F48,'Table Output'!$A$1:$H$10002,8,FALSE)="Clay",VLOOKUP(T$37,BoundParameters_HiddenSheetCLAY!$I$3:$L$50,MATCH(VLOOKUP($K83,$K$5:$AL$34,MATCH(VLOOKUP(T$37,$BJ$3:$BK$50,2,FALSE),$K$4:$AL$4,0),FALSE),BoundParameters_HiddenSheetCLAY!$I$1:$L$1,0),FALSE))),'Control Panel'!T83)))</f>
        <v/>
      </c>
      <c r="U83" s="27" t="str">
        <f>IF($K83="","",IF(U$37="","",IF('Control Panel'!U83="",IF(VLOOKUP($F48,'Table Output'!$A$1:$H$100002,8,FALSE)="Sand",VLOOKUP(U$37,BoundParameters_HiddenSheetSAND!$I$3:$L$50,MATCH(VLOOKUP($K83,$K$5:$AL$34,MATCH(VLOOKUP(U$37,$BJ$3:$BK$50,2,FALSE),$K$4:$AL$4,0),FALSE),BoundParameters_HiddenSheetCLAY!$I$1:$L$1,0),FALSE),IF(VLOOKUP($F48,'Table Output'!$A$1:$H$10002,8,FALSE)="Clay",VLOOKUP(U$37,BoundParameters_HiddenSheetCLAY!$I$3:$L$50,MATCH(VLOOKUP($K83,$K$5:$AL$34,MATCH(VLOOKUP(U$37,$BJ$3:$BK$50,2,FALSE),$K$4:$AL$4,0),FALSE),BoundParameters_HiddenSheetCLAY!$I$1:$L$1,0),FALSE))),'Control Panel'!U83)))</f>
        <v/>
      </c>
    </row>
    <row r="84" spans="5:21" x14ac:dyDescent="0.2">
      <c r="F84" s="2" t="str">
        <f t="shared" ref="F84" si="59">F49</f>
        <v>NGI_U3_10</v>
      </c>
      <c r="K84" s="4">
        <f t="shared" si="49"/>
        <v>12</v>
      </c>
      <c r="L84" s="27">
        <f>IF($K84="","",IF(L$37="","",IF('Control Panel'!L84="",IF(VLOOKUP($F49,'Table Output'!$A$1:$H$100002,8,FALSE)="Sand",VLOOKUP(L$37,BoundParameters_HiddenSheetSAND!$I$3:$L$50,MATCH(VLOOKUP($K84,$K$5:$AL$34,MATCH(VLOOKUP(L$37,$BJ$3:$BK$50,2,FALSE),$K$4:$AL$4,0),FALSE),BoundParameters_HiddenSheetCLAY!$I$1:$L$1,0),FALSE),IF(VLOOKUP($F49,'Table Output'!$A$1:$H$10002,8,FALSE)="Clay",VLOOKUP(L$37,BoundParameters_HiddenSheetCLAY!$I$3:$L$50,MATCH(VLOOKUP($K84,$K$5:$AL$34,MATCH(VLOOKUP(L$37,$BJ$3:$BK$50,2,FALSE),$K$4:$AL$4,0),FALSE),BoundParameters_HiddenSheetCLAY!$I$1:$L$1,0),FALSE))),'Control Panel'!L84)))</f>
        <v>40</v>
      </c>
      <c r="M84" s="27">
        <f>IF($K84="","",IF(M$37="","",IF('Control Panel'!M84="",IF(VLOOKUP($F49,'Table Output'!$A$1:$H$100002,8,FALSE)="Sand",VLOOKUP(M$37,BoundParameters_HiddenSheetSAND!$I$3:$L$50,MATCH(VLOOKUP($K84,$K$5:$AL$34,MATCH(VLOOKUP(M$37,$BJ$3:$BK$50,2,FALSE),$K$4:$AL$4,0),FALSE),BoundParameters_HiddenSheetCLAY!$I$1:$L$1,0),FALSE),IF(VLOOKUP($F49,'Table Output'!$A$1:$H$10002,8,FALSE)="Clay",VLOOKUP(M$37,BoundParameters_HiddenSheetCLAY!$I$3:$L$50,MATCH(VLOOKUP($K84,$K$5:$AL$34,MATCH(VLOOKUP(M$37,$BJ$3:$BK$50,2,FALSE),$K$4:$AL$4,0),FALSE),BoundParameters_HiddenSheetCLAY!$I$1:$L$1,0),FALSE))),'Control Panel'!M84)))</f>
        <v>-5555</v>
      </c>
      <c r="N84" s="27">
        <f>IF($K84="","",IF(N$37="","",IF('Control Panel'!N84="",IF(VLOOKUP($F49,'Table Output'!$A$1:$H$100002,8,FALSE)="Sand",VLOOKUP(N$37,BoundParameters_HiddenSheetSAND!$I$3:$L$50,MATCH(VLOOKUP($K84,$K$5:$AL$34,MATCH(VLOOKUP(N$37,$BJ$3:$BK$50,2,FALSE),$K$4:$AL$4,0),FALSE),BoundParameters_HiddenSheetCLAY!$I$1:$L$1,0),FALSE),IF(VLOOKUP($F49,'Table Output'!$A$1:$H$10002,8,FALSE)="Clay",VLOOKUP(N$37,BoundParameters_HiddenSheetCLAY!$I$3:$L$50,MATCH(VLOOKUP($K84,$K$5:$AL$34,MATCH(VLOOKUP(N$37,$BJ$3:$BK$50,2,FALSE),$K$4:$AL$4,0),FALSE),BoundParameters_HiddenSheetCLAY!$I$1:$L$1,0),FALSE))),'Control Panel'!N84)))</f>
        <v>0.01</v>
      </c>
      <c r="O84" s="27">
        <f>IF($K84="","",IF(O$37="","",IF('Control Panel'!O84="",IF(VLOOKUP($F49,'Table Output'!$A$1:$H$100002,8,FALSE)="Sand",VLOOKUP(O$37,BoundParameters_HiddenSheetSAND!$I$3:$L$50,MATCH(VLOOKUP($K84,$K$5:$AL$34,MATCH(VLOOKUP(O$37,$BJ$3:$BK$50,2,FALSE),$K$4:$AL$4,0),FALSE),BoundParameters_HiddenSheetCLAY!$I$1:$L$1,0),FALSE),IF(VLOOKUP($F49,'Table Output'!$A$1:$H$10002,8,FALSE)="Clay",VLOOKUP(O$37,BoundParameters_HiddenSheetCLAY!$I$3:$L$50,MATCH(VLOOKUP($K84,$K$5:$AL$34,MATCH(VLOOKUP(O$37,$BJ$3:$BK$50,2,FALSE),$K$4:$AL$4,0),FALSE),BoundParameters_HiddenSheetCLAY!$I$1:$L$1,0),FALSE))),'Control Panel'!O84)))</f>
        <v>0.2</v>
      </c>
      <c r="P84" s="27">
        <f>IF($K84="","",IF(P$37="","",IF('Control Panel'!P84="",IF(VLOOKUP($F49,'Table Output'!$A$1:$H$100002,8,FALSE)="Sand",VLOOKUP(P$37,BoundParameters_HiddenSheetSAND!$I$3:$L$50,MATCH(VLOOKUP($K84,$K$5:$AL$34,MATCH(VLOOKUP(P$37,$BJ$3:$BK$50,2,FALSE),$K$4:$AL$4,0),FALSE),BoundParameters_HiddenSheetCLAY!$I$1:$L$1,0),FALSE),IF(VLOOKUP($F49,'Table Output'!$A$1:$H$10002,8,FALSE)="Clay",VLOOKUP(P$37,BoundParameters_HiddenSheetCLAY!$I$3:$L$50,MATCH(VLOOKUP($K84,$K$5:$AL$34,MATCH(VLOOKUP(P$37,$BJ$3:$BK$50,2,FALSE),$K$4:$AL$4,0),FALSE),BoundParameters_HiddenSheetCLAY!$I$1:$L$1,0),FALSE))),'Control Panel'!P84)))</f>
        <v>0.5</v>
      </c>
      <c r="Q84" s="27">
        <f>IF($K84="","",IF(Q$37="","",IF('Control Panel'!Q84="",IF(VLOOKUP($F49,'Table Output'!$A$1:$H$100002,8,FALSE)="Sand",VLOOKUP(Q$37,BoundParameters_HiddenSheetSAND!$I$3:$L$50,MATCH(VLOOKUP($K84,$K$5:$AL$34,MATCH(VLOOKUP(Q$37,$BJ$3:$BK$50,2,FALSE),$K$4:$AL$4,0),FALSE),BoundParameters_HiddenSheetCLAY!$I$1:$L$1,0),FALSE),IF(VLOOKUP($F49,'Table Output'!$A$1:$H$10002,8,FALSE)="Clay",VLOOKUP(Q$37,BoundParameters_HiddenSheetCLAY!$I$3:$L$50,MATCH(VLOOKUP($K84,$K$5:$AL$34,MATCH(VLOOKUP(Q$37,$BJ$3:$BK$50,2,FALSE),$K$4:$AL$4,0),FALSE),BoundParameters_HiddenSheetCLAY!$I$1:$L$1,0),FALSE))),'Control Panel'!Q84)))</f>
        <v>-5555</v>
      </c>
      <c r="R84" s="27">
        <f>IF($K84="","",IF(R$37="","",IF('Control Panel'!R84="",IF(VLOOKUP($F49,'Table Output'!$A$1:$H$100002,8,FALSE)="Sand",VLOOKUP(R$37,BoundParameters_HiddenSheetSAND!$I$3:$L$50,MATCH(VLOOKUP($K84,$K$5:$AL$34,MATCH(VLOOKUP(R$37,$BJ$3:$BK$50,2,FALSE),$K$4:$AL$4,0),FALSE),BoundParameters_HiddenSheetCLAY!$I$1:$L$1,0),FALSE),IF(VLOOKUP($F49,'Table Output'!$A$1:$H$10002,8,FALSE)="Clay",VLOOKUP(R$37,BoundParameters_HiddenSheetCLAY!$I$3:$L$50,MATCH(VLOOKUP($K84,$K$5:$AL$34,MATCH(VLOOKUP(R$37,$BJ$3:$BK$50,2,FALSE),$K$4:$AL$4,0),FALSE),BoundParameters_HiddenSheetCLAY!$I$1:$L$1,0),FALSE))),'Control Panel'!R84)))</f>
        <v>0.2</v>
      </c>
      <c r="S84" s="27" t="str">
        <f>IF($K84="","",IF(S$37="","",IF('Control Panel'!S84="",IF(VLOOKUP($F49,'Table Output'!$A$1:$H$100002,8,FALSE)="Sand",VLOOKUP(S$37,BoundParameters_HiddenSheetSAND!$I$3:$L$50,MATCH(VLOOKUP($K84,$K$5:$AL$34,MATCH(VLOOKUP(S$37,$BJ$3:$BK$50,2,FALSE),$K$4:$AL$4,0),FALSE),BoundParameters_HiddenSheetCLAY!$I$1:$L$1,0),FALSE),IF(VLOOKUP($F49,'Table Output'!$A$1:$H$10002,8,FALSE)="Clay",VLOOKUP(S$37,BoundParameters_HiddenSheetCLAY!$I$3:$L$50,MATCH(VLOOKUP($K84,$K$5:$AL$34,MATCH(VLOOKUP(S$37,$BJ$3:$BK$50,2,FALSE),$K$4:$AL$4,0),FALSE),BoundParameters_HiddenSheetCLAY!$I$1:$L$1,0),FALSE))),'Control Panel'!S84)))</f>
        <v/>
      </c>
      <c r="T84" s="27" t="str">
        <f>IF($K84="","",IF(T$37="","",IF('Control Panel'!T84="",IF(VLOOKUP($F49,'Table Output'!$A$1:$H$100002,8,FALSE)="Sand",VLOOKUP(T$37,BoundParameters_HiddenSheetSAND!$I$3:$L$50,MATCH(VLOOKUP($K84,$K$5:$AL$34,MATCH(VLOOKUP(T$37,$BJ$3:$BK$50,2,FALSE),$K$4:$AL$4,0),FALSE),BoundParameters_HiddenSheetCLAY!$I$1:$L$1,0),FALSE),IF(VLOOKUP($F49,'Table Output'!$A$1:$H$10002,8,FALSE)="Clay",VLOOKUP(T$37,BoundParameters_HiddenSheetCLAY!$I$3:$L$50,MATCH(VLOOKUP($K84,$K$5:$AL$34,MATCH(VLOOKUP(T$37,$BJ$3:$BK$50,2,FALSE),$K$4:$AL$4,0),FALSE),BoundParameters_HiddenSheetCLAY!$I$1:$L$1,0),FALSE))),'Control Panel'!T84)))</f>
        <v/>
      </c>
      <c r="U84" s="27" t="str">
        <f>IF($K84="","",IF(U$37="","",IF('Control Panel'!U84="",IF(VLOOKUP($F49,'Table Output'!$A$1:$H$100002,8,FALSE)="Sand",VLOOKUP(U$37,BoundParameters_HiddenSheetSAND!$I$3:$L$50,MATCH(VLOOKUP($K84,$K$5:$AL$34,MATCH(VLOOKUP(U$37,$BJ$3:$BK$50,2,FALSE),$K$4:$AL$4,0),FALSE),BoundParameters_HiddenSheetCLAY!$I$1:$L$1,0),FALSE),IF(VLOOKUP($F49,'Table Output'!$A$1:$H$10002,8,FALSE)="Clay",VLOOKUP(U$37,BoundParameters_HiddenSheetCLAY!$I$3:$L$50,MATCH(VLOOKUP($K84,$K$5:$AL$34,MATCH(VLOOKUP(U$37,$BJ$3:$BK$50,2,FALSE),$K$4:$AL$4,0),FALSE),BoundParameters_HiddenSheetCLAY!$I$1:$L$1,0),FALSE))),'Control Panel'!U84)))</f>
        <v/>
      </c>
    </row>
    <row r="85" spans="5:21" x14ac:dyDescent="0.2">
      <c r="F85" s="2" t="str">
        <f t="shared" ref="F85" si="60">F50</f>
        <v>NGI_U3_11</v>
      </c>
      <c r="K85" s="4">
        <f t="shared" si="49"/>
        <v>13</v>
      </c>
      <c r="L85" s="27">
        <f>IF($K85="","",IF(L$37="","",IF('Control Panel'!L85="",IF(VLOOKUP($F50,'Table Output'!$A$1:$H$100002,8,FALSE)="Sand",VLOOKUP(L$37,BoundParameters_HiddenSheetSAND!$I$3:$L$50,MATCH(VLOOKUP($K85,$K$5:$AL$34,MATCH(VLOOKUP(L$37,$BJ$3:$BK$50,2,FALSE),$K$4:$AL$4,0),FALSE),BoundParameters_HiddenSheetCLAY!$I$1:$L$1,0),FALSE),IF(VLOOKUP($F50,'Table Output'!$A$1:$H$10002,8,FALSE)="Clay",VLOOKUP(L$37,BoundParameters_HiddenSheetCLAY!$I$3:$L$50,MATCH(VLOOKUP($K85,$K$5:$AL$34,MATCH(VLOOKUP(L$37,$BJ$3:$BK$50,2,FALSE),$K$4:$AL$4,0),FALSE),BoundParameters_HiddenSheetCLAY!$I$1:$L$1,0),FALSE))),'Control Panel'!L85)))</f>
        <v>7</v>
      </c>
      <c r="M85" s="27">
        <f>IF($K85="","",IF(M$37="","",IF('Control Panel'!M85="",IF(VLOOKUP($F50,'Table Output'!$A$1:$H$100002,8,FALSE)="Sand",VLOOKUP(M$37,BoundParameters_HiddenSheetSAND!$I$3:$L$50,MATCH(VLOOKUP($K85,$K$5:$AL$34,MATCH(VLOOKUP(M$37,$BJ$3:$BK$50,2,FALSE),$K$4:$AL$4,0),FALSE),BoundParameters_HiddenSheetCLAY!$I$1:$L$1,0),FALSE),IF(VLOOKUP($F50,'Table Output'!$A$1:$H$10002,8,FALSE)="Clay",VLOOKUP(M$37,BoundParameters_HiddenSheetCLAY!$I$3:$L$50,MATCH(VLOOKUP($K85,$K$5:$AL$34,MATCH(VLOOKUP(M$37,$BJ$3:$BK$50,2,FALSE),$K$4:$AL$4,0),FALSE),BoundParameters_HiddenSheetCLAY!$I$1:$L$1,0),FALSE))),'Control Panel'!M85)))</f>
        <v>150</v>
      </c>
      <c r="N85" s="27">
        <f>IF($K85="","",IF(N$37="","",IF('Control Panel'!N85="",IF(VLOOKUP($F50,'Table Output'!$A$1:$H$100002,8,FALSE)="Sand",VLOOKUP(N$37,BoundParameters_HiddenSheetSAND!$I$3:$L$50,MATCH(VLOOKUP($K85,$K$5:$AL$34,MATCH(VLOOKUP(N$37,$BJ$3:$BK$50,2,FALSE),$K$4:$AL$4,0),FALSE),BoundParameters_HiddenSheetCLAY!$I$1:$L$1,0),FALSE),IF(VLOOKUP($F50,'Table Output'!$A$1:$H$10002,8,FALSE)="Clay",VLOOKUP(N$37,BoundParameters_HiddenSheetCLAY!$I$3:$L$50,MATCH(VLOOKUP($K85,$K$5:$AL$34,MATCH(VLOOKUP(N$37,$BJ$3:$BK$50,2,FALSE),$K$4:$AL$4,0),FALSE),BoundParameters_HiddenSheetCLAY!$I$1:$L$1,0),FALSE))),'Control Panel'!N85)))</f>
        <v>0.01</v>
      </c>
      <c r="O85" s="27">
        <f>IF($K85="","",IF(O$37="","",IF('Control Panel'!O85="",IF(VLOOKUP($F50,'Table Output'!$A$1:$H$100002,8,FALSE)="Sand",VLOOKUP(O$37,BoundParameters_HiddenSheetSAND!$I$3:$L$50,MATCH(VLOOKUP($K85,$K$5:$AL$34,MATCH(VLOOKUP(O$37,$BJ$3:$BK$50,2,FALSE),$K$4:$AL$4,0),FALSE),BoundParameters_HiddenSheetCLAY!$I$1:$L$1,0),FALSE),IF(VLOOKUP($F50,'Table Output'!$A$1:$H$10002,8,FALSE)="Clay",VLOOKUP(O$37,BoundParameters_HiddenSheetCLAY!$I$3:$L$50,MATCH(VLOOKUP($K85,$K$5:$AL$34,MATCH(VLOOKUP(O$37,$BJ$3:$BK$50,2,FALSE),$K$4:$AL$4,0),FALSE),BoundParameters_HiddenSheetCLAY!$I$1:$L$1,0),FALSE))),'Control Panel'!O85)))</f>
        <v>10</v>
      </c>
      <c r="P85" s="27">
        <f>IF($K85="","",IF(P$37="","",IF('Control Panel'!P85="",IF(VLOOKUP($F50,'Table Output'!$A$1:$H$100002,8,FALSE)="Sand",VLOOKUP(P$37,BoundParameters_HiddenSheetSAND!$I$3:$L$50,MATCH(VLOOKUP($K85,$K$5:$AL$34,MATCH(VLOOKUP(P$37,$BJ$3:$BK$50,2,FALSE),$K$4:$AL$4,0),FALSE),BoundParameters_HiddenSheetCLAY!$I$1:$L$1,0),FALSE),IF(VLOOKUP($F50,'Table Output'!$A$1:$H$10002,8,FALSE)="Clay",VLOOKUP(P$37,BoundParameters_HiddenSheetCLAY!$I$3:$L$50,MATCH(VLOOKUP($K85,$K$5:$AL$34,MATCH(VLOOKUP(P$37,$BJ$3:$BK$50,2,FALSE),$K$4:$AL$4,0),FALSE),BoundParameters_HiddenSheetCLAY!$I$1:$L$1,0),FALSE))),'Control Panel'!P85)))</f>
        <v>0.5</v>
      </c>
      <c r="Q85" s="27">
        <f>IF($K85="","",IF(Q$37="","",IF('Control Panel'!Q85="",IF(VLOOKUP($F50,'Table Output'!$A$1:$H$100002,8,FALSE)="Sand",VLOOKUP(Q$37,BoundParameters_HiddenSheetSAND!$I$3:$L$50,MATCH(VLOOKUP($K85,$K$5:$AL$34,MATCH(VLOOKUP(Q$37,$BJ$3:$BK$50,2,FALSE),$K$4:$AL$4,0),FALSE),BoundParameters_HiddenSheetCLAY!$I$1:$L$1,0),FALSE),IF(VLOOKUP($F50,'Table Output'!$A$1:$H$10002,8,FALSE)="Clay",VLOOKUP(Q$37,BoundParameters_HiddenSheetCLAY!$I$3:$L$50,MATCH(VLOOKUP($K85,$K$5:$AL$34,MATCH(VLOOKUP(Q$37,$BJ$3:$BK$50,2,FALSE),$K$4:$AL$4,0),FALSE),BoundParameters_HiddenSheetCLAY!$I$1:$L$1,0),FALSE))),'Control Panel'!Q85)))</f>
        <v>-5555</v>
      </c>
      <c r="R85" s="27">
        <f>IF($K85="","",IF(R$37="","",IF('Control Panel'!R85="",IF(VLOOKUP($F50,'Table Output'!$A$1:$H$100002,8,FALSE)="Sand",VLOOKUP(R$37,BoundParameters_HiddenSheetSAND!$I$3:$L$50,MATCH(VLOOKUP($K85,$K$5:$AL$34,MATCH(VLOOKUP(R$37,$BJ$3:$BK$50,2,FALSE),$K$4:$AL$4,0),FALSE),BoundParameters_HiddenSheetCLAY!$I$1:$L$1,0),FALSE),IF(VLOOKUP($F50,'Table Output'!$A$1:$H$10002,8,FALSE)="Clay",VLOOKUP(R$37,BoundParameters_HiddenSheetCLAY!$I$3:$L$50,MATCH(VLOOKUP($K85,$K$5:$AL$34,MATCH(VLOOKUP(R$37,$BJ$3:$BK$50,2,FALSE),$K$4:$AL$4,0),FALSE),BoundParameters_HiddenSheetCLAY!$I$1:$L$1,0),FALSE))),'Control Panel'!R85)))</f>
        <v>0.2</v>
      </c>
      <c r="S85" s="27" t="str">
        <f>IF($K85="","",IF(S$37="","",IF('Control Panel'!S85="",IF(VLOOKUP($F50,'Table Output'!$A$1:$H$100002,8,FALSE)="Sand",VLOOKUP(S$37,BoundParameters_HiddenSheetSAND!$I$3:$L$50,MATCH(VLOOKUP($K85,$K$5:$AL$34,MATCH(VLOOKUP(S$37,$BJ$3:$BK$50,2,FALSE),$K$4:$AL$4,0),FALSE),BoundParameters_HiddenSheetCLAY!$I$1:$L$1,0),FALSE),IF(VLOOKUP($F50,'Table Output'!$A$1:$H$10002,8,FALSE)="Clay",VLOOKUP(S$37,BoundParameters_HiddenSheetCLAY!$I$3:$L$50,MATCH(VLOOKUP($K85,$K$5:$AL$34,MATCH(VLOOKUP(S$37,$BJ$3:$BK$50,2,FALSE),$K$4:$AL$4,0),FALSE),BoundParameters_HiddenSheetCLAY!$I$1:$L$1,0),FALSE))),'Control Panel'!S85)))</f>
        <v/>
      </c>
      <c r="T85" s="27" t="str">
        <f>IF($K85="","",IF(T$37="","",IF('Control Panel'!T85="",IF(VLOOKUP($F50,'Table Output'!$A$1:$H$100002,8,FALSE)="Sand",VLOOKUP(T$37,BoundParameters_HiddenSheetSAND!$I$3:$L$50,MATCH(VLOOKUP($K85,$K$5:$AL$34,MATCH(VLOOKUP(T$37,$BJ$3:$BK$50,2,FALSE),$K$4:$AL$4,0),FALSE),BoundParameters_HiddenSheetCLAY!$I$1:$L$1,0),FALSE),IF(VLOOKUP($F50,'Table Output'!$A$1:$H$10002,8,FALSE)="Clay",VLOOKUP(T$37,BoundParameters_HiddenSheetCLAY!$I$3:$L$50,MATCH(VLOOKUP($K85,$K$5:$AL$34,MATCH(VLOOKUP(T$37,$BJ$3:$BK$50,2,FALSE),$K$4:$AL$4,0),FALSE),BoundParameters_HiddenSheetCLAY!$I$1:$L$1,0),FALSE))),'Control Panel'!T85)))</f>
        <v/>
      </c>
      <c r="U85" s="27" t="str">
        <f>IF($K85="","",IF(U$37="","",IF('Control Panel'!U85="",IF(VLOOKUP($F50,'Table Output'!$A$1:$H$100002,8,FALSE)="Sand",VLOOKUP(U$37,BoundParameters_HiddenSheetSAND!$I$3:$L$50,MATCH(VLOOKUP($K85,$K$5:$AL$34,MATCH(VLOOKUP(U$37,$BJ$3:$BK$50,2,FALSE),$K$4:$AL$4,0),FALSE),BoundParameters_HiddenSheetCLAY!$I$1:$L$1,0),FALSE),IF(VLOOKUP($F50,'Table Output'!$A$1:$H$10002,8,FALSE)="Clay",VLOOKUP(U$37,BoundParameters_HiddenSheetCLAY!$I$3:$L$50,MATCH(VLOOKUP($K85,$K$5:$AL$34,MATCH(VLOOKUP(U$37,$BJ$3:$BK$50,2,FALSE),$K$4:$AL$4,0),FALSE),BoundParameters_HiddenSheetCLAY!$I$1:$L$1,0),FALSE))),'Control Panel'!U85)))</f>
        <v/>
      </c>
    </row>
    <row r="86" spans="5:21" x14ac:dyDescent="0.2">
      <c r="F86" s="2" t="str">
        <f t="shared" ref="F86" si="61">F51</f>
        <v>NGI_U3_11</v>
      </c>
      <c r="K86" s="4">
        <f t="shared" si="49"/>
        <v>14</v>
      </c>
      <c r="L86" s="27">
        <f>IF($K86="","",IF(L$37="","",IF('Control Panel'!L86="",IF(VLOOKUP($F51,'Table Output'!$A$1:$H$100002,8,FALSE)="Sand",VLOOKUP(L$37,BoundParameters_HiddenSheetSAND!$I$3:$L$50,MATCH(VLOOKUP($K86,$K$5:$AL$34,MATCH(VLOOKUP(L$37,$BJ$3:$BK$50,2,FALSE),$K$4:$AL$4,0),FALSE),BoundParameters_HiddenSheetCLAY!$I$1:$L$1,0),FALSE),IF(VLOOKUP($F51,'Table Output'!$A$1:$H$10002,8,FALSE)="Clay",VLOOKUP(L$37,BoundParameters_HiddenSheetCLAY!$I$3:$L$50,MATCH(VLOOKUP($K86,$K$5:$AL$34,MATCH(VLOOKUP(L$37,$BJ$3:$BK$50,2,FALSE),$K$4:$AL$4,0),FALSE),BoundParameters_HiddenSheetCLAY!$I$1:$L$1,0),FALSE))),'Control Panel'!L86)))</f>
        <v>7</v>
      </c>
      <c r="M86" s="27">
        <f>IF($K86="","",IF(M$37="","",IF('Control Panel'!M86="",IF(VLOOKUP($F51,'Table Output'!$A$1:$H$100002,8,FALSE)="Sand",VLOOKUP(M$37,BoundParameters_HiddenSheetSAND!$I$3:$L$50,MATCH(VLOOKUP($K86,$K$5:$AL$34,MATCH(VLOOKUP(M$37,$BJ$3:$BK$50,2,FALSE),$K$4:$AL$4,0),FALSE),BoundParameters_HiddenSheetCLAY!$I$1:$L$1,0),FALSE),IF(VLOOKUP($F51,'Table Output'!$A$1:$H$10002,8,FALSE)="Clay",VLOOKUP(M$37,BoundParameters_HiddenSheetCLAY!$I$3:$L$50,MATCH(VLOOKUP($K86,$K$5:$AL$34,MATCH(VLOOKUP(M$37,$BJ$3:$BK$50,2,FALSE),$K$4:$AL$4,0),FALSE),BoundParameters_HiddenSheetCLAY!$I$1:$L$1,0),FALSE))),'Control Panel'!M86)))</f>
        <v>150</v>
      </c>
      <c r="N86" s="27">
        <f>IF($K86="","",IF(N$37="","",IF('Control Panel'!N86="",IF(VLOOKUP($F51,'Table Output'!$A$1:$H$100002,8,FALSE)="Sand",VLOOKUP(N$37,BoundParameters_HiddenSheetSAND!$I$3:$L$50,MATCH(VLOOKUP($K86,$K$5:$AL$34,MATCH(VLOOKUP(N$37,$BJ$3:$BK$50,2,FALSE),$K$4:$AL$4,0),FALSE),BoundParameters_HiddenSheetCLAY!$I$1:$L$1,0),FALSE),IF(VLOOKUP($F51,'Table Output'!$A$1:$H$10002,8,FALSE)="Clay",VLOOKUP(N$37,BoundParameters_HiddenSheetCLAY!$I$3:$L$50,MATCH(VLOOKUP($K86,$K$5:$AL$34,MATCH(VLOOKUP(N$37,$BJ$3:$BK$50,2,FALSE),$K$4:$AL$4,0),FALSE),BoundParameters_HiddenSheetCLAY!$I$1:$L$1,0),FALSE))),'Control Panel'!N86)))</f>
        <v>0.01</v>
      </c>
      <c r="O86" s="27">
        <f>IF($K86="","",IF(O$37="","",IF('Control Panel'!O86="",IF(VLOOKUP($F51,'Table Output'!$A$1:$H$100002,8,FALSE)="Sand",VLOOKUP(O$37,BoundParameters_HiddenSheetSAND!$I$3:$L$50,MATCH(VLOOKUP($K86,$K$5:$AL$34,MATCH(VLOOKUP(O$37,$BJ$3:$BK$50,2,FALSE),$K$4:$AL$4,0),FALSE),BoundParameters_HiddenSheetCLAY!$I$1:$L$1,0),FALSE),IF(VLOOKUP($F51,'Table Output'!$A$1:$H$10002,8,FALSE)="Clay",VLOOKUP(O$37,BoundParameters_HiddenSheetCLAY!$I$3:$L$50,MATCH(VLOOKUP($K86,$K$5:$AL$34,MATCH(VLOOKUP(O$37,$BJ$3:$BK$50,2,FALSE),$K$4:$AL$4,0),FALSE),BoundParameters_HiddenSheetCLAY!$I$1:$L$1,0),FALSE))),'Control Panel'!O86)))</f>
        <v>10</v>
      </c>
      <c r="P86" s="27">
        <f>IF($K86="","",IF(P$37="","",IF('Control Panel'!P86="",IF(VLOOKUP($F51,'Table Output'!$A$1:$H$100002,8,FALSE)="Sand",VLOOKUP(P$37,BoundParameters_HiddenSheetSAND!$I$3:$L$50,MATCH(VLOOKUP($K86,$K$5:$AL$34,MATCH(VLOOKUP(P$37,$BJ$3:$BK$50,2,FALSE),$K$4:$AL$4,0),FALSE),BoundParameters_HiddenSheetCLAY!$I$1:$L$1,0),FALSE),IF(VLOOKUP($F51,'Table Output'!$A$1:$H$10002,8,FALSE)="Clay",VLOOKUP(P$37,BoundParameters_HiddenSheetCLAY!$I$3:$L$50,MATCH(VLOOKUP($K86,$K$5:$AL$34,MATCH(VLOOKUP(P$37,$BJ$3:$BK$50,2,FALSE),$K$4:$AL$4,0),FALSE),BoundParameters_HiddenSheetCLAY!$I$1:$L$1,0),FALSE))),'Control Panel'!P86)))</f>
        <v>0.5</v>
      </c>
      <c r="Q86" s="27">
        <f>IF($K86="","",IF(Q$37="","",IF('Control Panel'!Q86="",IF(VLOOKUP($F51,'Table Output'!$A$1:$H$100002,8,FALSE)="Sand",VLOOKUP(Q$37,BoundParameters_HiddenSheetSAND!$I$3:$L$50,MATCH(VLOOKUP($K86,$K$5:$AL$34,MATCH(VLOOKUP(Q$37,$BJ$3:$BK$50,2,FALSE),$K$4:$AL$4,0),FALSE),BoundParameters_HiddenSheetCLAY!$I$1:$L$1,0),FALSE),IF(VLOOKUP($F51,'Table Output'!$A$1:$H$10002,8,FALSE)="Clay",VLOOKUP(Q$37,BoundParameters_HiddenSheetCLAY!$I$3:$L$50,MATCH(VLOOKUP($K86,$K$5:$AL$34,MATCH(VLOOKUP(Q$37,$BJ$3:$BK$50,2,FALSE),$K$4:$AL$4,0),FALSE),BoundParameters_HiddenSheetCLAY!$I$1:$L$1,0),FALSE))),'Control Panel'!Q86)))</f>
        <v>-5555</v>
      </c>
      <c r="R86" s="27">
        <f>IF($K86="","",IF(R$37="","",IF('Control Panel'!R86="",IF(VLOOKUP($F51,'Table Output'!$A$1:$H$100002,8,FALSE)="Sand",VLOOKUP(R$37,BoundParameters_HiddenSheetSAND!$I$3:$L$50,MATCH(VLOOKUP($K86,$K$5:$AL$34,MATCH(VLOOKUP(R$37,$BJ$3:$BK$50,2,FALSE),$K$4:$AL$4,0),FALSE),BoundParameters_HiddenSheetCLAY!$I$1:$L$1,0),FALSE),IF(VLOOKUP($F51,'Table Output'!$A$1:$H$10002,8,FALSE)="Clay",VLOOKUP(R$37,BoundParameters_HiddenSheetCLAY!$I$3:$L$50,MATCH(VLOOKUP($K86,$K$5:$AL$34,MATCH(VLOOKUP(R$37,$BJ$3:$BK$50,2,FALSE),$K$4:$AL$4,0),FALSE),BoundParameters_HiddenSheetCLAY!$I$1:$L$1,0),FALSE))),'Control Panel'!R86)))</f>
        <v>0.2</v>
      </c>
      <c r="S86" s="27" t="str">
        <f>IF($K86="","",IF(S$37="","",IF('Control Panel'!S86="",IF(VLOOKUP($F51,'Table Output'!$A$1:$H$100002,8,FALSE)="Sand",VLOOKUP(S$37,BoundParameters_HiddenSheetSAND!$I$3:$L$50,MATCH(VLOOKUP($K86,$K$5:$AL$34,MATCH(VLOOKUP(S$37,$BJ$3:$BK$50,2,FALSE),$K$4:$AL$4,0),FALSE),BoundParameters_HiddenSheetCLAY!$I$1:$L$1,0),FALSE),IF(VLOOKUP($F51,'Table Output'!$A$1:$H$10002,8,FALSE)="Clay",VLOOKUP(S$37,BoundParameters_HiddenSheetCLAY!$I$3:$L$50,MATCH(VLOOKUP($K86,$K$5:$AL$34,MATCH(VLOOKUP(S$37,$BJ$3:$BK$50,2,FALSE),$K$4:$AL$4,0),FALSE),BoundParameters_HiddenSheetCLAY!$I$1:$L$1,0),FALSE))),'Control Panel'!S86)))</f>
        <v/>
      </c>
      <c r="T86" s="27" t="str">
        <f>IF($K86="","",IF(T$37="","",IF('Control Panel'!T86="",IF(VLOOKUP($F51,'Table Output'!$A$1:$H$100002,8,FALSE)="Sand",VLOOKUP(T$37,BoundParameters_HiddenSheetSAND!$I$3:$L$50,MATCH(VLOOKUP($K86,$K$5:$AL$34,MATCH(VLOOKUP(T$37,$BJ$3:$BK$50,2,FALSE),$K$4:$AL$4,0),FALSE),BoundParameters_HiddenSheetCLAY!$I$1:$L$1,0),FALSE),IF(VLOOKUP($F51,'Table Output'!$A$1:$H$10002,8,FALSE)="Clay",VLOOKUP(T$37,BoundParameters_HiddenSheetCLAY!$I$3:$L$50,MATCH(VLOOKUP($K86,$K$5:$AL$34,MATCH(VLOOKUP(T$37,$BJ$3:$BK$50,2,FALSE),$K$4:$AL$4,0),FALSE),BoundParameters_HiddenSheetCLAY!$I$1:$L$1,0),FALSE))),'Control Panel'!T86)))</f>
        <v/>
      </c>
      <c r="U86" s="27" t="str">
        <f>IF($K86="","",IF(U$37="","",IF('Control Panel'!U86="",IF(VLOOKUP($F51,'Table Output'!$A$1:$H$100002,8,FALSE)="Sand",VLOOKUP(U$37,BoundParameters_HiddenSheetSAND!$I$3:$L$50,MATCH(VLOOKUP($K86,$K$5:$AL$34,MATCH(VLOOKUP(U$37,$BJ$3:$BK$50,2,FALSE),$K$4:$AL$4,0),FALSE),BoundParameters_HiddenSheetCLAY!$I$1:$L$1,0),FALSE),IF(VLOOKUP($F51,'Table Output'!$A$1:$H$10002,8,FALSE)="Clay",VLOOKUP(U$37,BoundParameters_HiddenSheetCLAY!$I$3:$L$50,MATCH(VLOOKUP($K86,$K$5:$AL$34,MATCH(VLOOKUP(U$37,$BJ$3:$BK$50,2,FALSE),$K$4:$AL$4,0),FALSE),BoundParameters_HiddenSheetCLAY!$I$1:$L$1,0),FALSE))),'Control Panel'!U86)))</f>
        <v/>
      </c>
    </row>
    <row r="87" spans="5:21" x14ac:dyDescent="0.2">
      <c r="F87" s="2" t="str">
        <f t="shared" ref="F87" si="62">F52</f>
        <v>NGI_U3_11</v>
      </c>
      <c r="K87" s="4">
        <f t="shared" si="49"/>
        <v>15</v>
      </c>
      <c r="L87" s="27">
        <f>IF($K87="","",IF(L$37="","",IF('Control Panel'!L87="",IF(VLOOKUP($F52,'Table Output'!$A$1:$H$100002,8,FALSE)="Sand",VLOOKUP(L$37,BoundParameters_HiddenSheetSAND!$I$3:$L$50,MATCH(VLOOKUP($K87,$K$5:$AL$34,MATCH(VLOOKUP(L$37,$BJ$3:$BK$50,2,FALSE),$K$4:$AL$4,0),FALSE),BoundParameters_HiddenSheetCLAY!$I$1:$L$1,0),FALSE),IF(VLOOKUP($F52,'Table Output'!$A$1:$H$10002,8,FALSE)="Clay",VLOOKUP(L$37,BoundParameters_HiddenSheetCLAY!$I$3:$L$50,MATCH(VLOOKUP($K87,$K$5:$AL$34,MATCH(VLOOKUP(L$37,$BJ$3:$BK$50,2,FALSE),$K$4:$AL$4,0),FALSE),BoundParameters_HiddenSheetCLAY!$I$1:$L$1,0),FALSE))),'Control Panel'!L87)))</f>
        <v>7</v>
      </c>
      <c r="M87" s="27">
        <f>IF($K87="","",IF(M$37="","",IF('Control Panel'!M87="",IF(VLOOKUP($F52,'Table Output'!$A$1:$H$100002,8,FALSE)="Sand",VLOOKUP(M$37,BoundParameters_HiddenSheetSAND!$I$3:$L$50,MATCH(VLOOKUP($K87,$K$5:$AL$34,MATCH(VLOOKUP(M$37,$BJ$3:$BK$50,2,FALSE),$K$4:$AL$4,0),FALSE),BoundParameters_HiddenSheetCLAY!$I$1:$L$1,0),FALSE),IF(VLOOKUP($F52,'Table Output'!$A$1:$H$10002,8,FALSE)="Clay",VLOOKUP(M$37,BoundParameters_HiddenSheetCLAY!$I$3:$L$50,MATCH(VLOOKUP($K87,$K$5:$AL$34,MATCH(VLOOKUP(M$37,$BJ$3:$BK$50,2,FALSE),$K$4:$AL$4,0),FALSE),BoundParameters_HiddenSheetCLAY!$I$1:$L$1,0),FALSE))),'Control Panel'!M87)))</f>
        <v>150</v>
      </c>
      <c r="N87" s="27">
        <f>IF($K87="","",IF(N$37="","",IF('Control Panel'!N87="",IF(VLOOKUP($F52,'Table Output'!$A$1:$H$100002,8,FALSE)="Sand",VLOOKUP(N$37,BoundParameters_HiddenSheetSAND!$I$3:$L$50,MATCH(VLOOKUP($K87,$K$5:$AL$34,MATCH(VLOOKUP(N$37,$BJ$3:$BK$50,2,FALSE),$K$4:$AL$4,0),FALSE),BoundParameters_HiddenSheetCLAY!$I$1:$L$1,0),FALSE),IF(VLOOKUP($F52,'Table Output'!$A$1:$H$10002,8,FALSE)="Clay",VLOOKUP(N$37,BoundParameters_HiddenSheetCLAY!$I$3:$L$50,MATCH(VLOOKUP($K87,$K$5:$AL$34,MATCH(VLOOKUP(N$37,$BJ$3:$BK$50,2,FALSE),$K$4:$AL$4,0),FALSE),BoundParameters_HiddenSheetCLAY!$I$1:$L$1,0),FALSE))),'Control Panel'!N87)))</f>
        <v>0.01</v>
      </c>
      <c r="O87" s="27">
        <f>IF($K87="","",IF(O$37="","",IF('Control Panel'!O87="",IF(VLOOKUP($F52,'Table Output'!$A$1:$H$100002,8,FALSE)="Sand",VLOOKUP(O$37,BoundParameters_HiddenSheetSAND!$I$3:$L$50,MATCH(VLOOKUP($K87,$K$5:$AL$34,MATCH(VLOOKUP(O$37,$BJ$3:$BK$50,2,FALSE),$K$4:$AL$4,0),FALSE),BoundParameters_HiddenSheetCLAY!$I$1:$L$1,0),FALSE),IF(VLOOKUP($F52,'Table Output'!$A$1:$H$10002,8,FALSE)="Clay",VLOOKUP(O$37,BoundParameters_HiddenSheetCLAY!$I$3:$L$50,MATCH(VLOOKUP($K87,$K$5:$AL$34,MATCH(VLOOKUP(O$37,$BJ$3:$BK$50,2,FALSE),$K$4:$AL$4,0),FALSE),BoundParameters_HiddenSheetCLAY!$I$1:$L$1,0),FALSE))),'Control Panel'!O87)))</f>
        <v>10</v>
      </c>
      <c r="P87" s="27">
        <f>IF($K87="","",IF(P$37="","",IF('Control Panel'!P87="",IF(VLOOKUP($F52,'Table Output'!$A$1:$H$100002,8,FALSE)="Sand",VLOOKUP(P$37,BoundParameters_HiddenSheetSAND!$I$3:$L$50,MATCH(VLOOKUP($K87,$K$5:$AL$34,MATCH(VLOOKUP(P$37,$BJ$3:$BK$50,2,FALSE),$K$4:$AL$4,0),FALSE),BoundParameters_HiddenSheetCLAY!$I$1:$L$1,0),FALSE),IF(VLOOKUP($F52,'Table Output'!$A$1:$H$10002,8,FALSE)="Clay",VLOOKUP(P$37,BoundParameters_HiddenSheetCLAY!$I$3:$L$50,MATCH(VLOOKUP($K87,$K$5:$AL$34,MATCH(VLOOKUP(P$37,$BJ$3:$BK$50,2,FALSE),$K$4:$AL$4,0),FALSE),BoundParameters_HiddenSheetCLAY!$I$1:$L$1,0),FALSE))),'Control Panel'!P87)))</f>
        <v>0.5</v>
      </c>
      <c r="Q87" s="27">
        <f>IF($K87="","",IF(Q$37="","",IF('Control Panel'!Q87="",IF(VLOOKUP($F52,'Table Output'!$A$1:$H$100002,8,FALSE)="Sand",VLOOKUP(Q$37,BoundParameters_HiddenSheetSAND!$I$3:$L$50,MATCH(VLOOKUP($K87,$K$5:$AL$34,MATCH(VLOOKUP(Q$37,$BJ$3:$BK$50,2,FALSE),$K$4:$AL$4,0),FALSE),BoundParameters_HiddenSheetCLAY!$I$1:$L$1,0),FALSE),IF(VLOOKUP($F52,'Table Output'!$A$1:$H$10002,8,FALSE)="Clay",VLOOKUP(Q$37,BoundParameters_HiddenSheetCLAY!$I$3:$L$50,MATCH(VLOOKUP($K87,$K$5:$AL$34,MATCH(VLOOKUP(Q$37,$BJ$3:$BK$50,2,FALSE),$K$4:$AL$4,0),FALSE),BoundParameters_HiddenSheetCLAY!$I$1:$L$1,0),FALSE))),'Control Panel'!Q87)))</f>
        <v>-5555</v>
      </c>
      <c r="R87" s="27">
        <f>IF($K87="","",IF(R$37="","",IF('Control Panel'!R87="",IF(VLOOKUP($F52,'Table Output'!$A$1:$H$100002,8,FALSE)="Sand",VLOOKUP(R$37,BoundParameters_HiddenSheetSAND!$I$3:$L$50,MATCH(VLOOKUP($K87,$K$5:$AL$34,MATCH(VLOOKUP(R$37,$BJ$3:$BK$50,2,FALSE),$K$4:$AL$4,0),FALSE),BoundParameters_HiddenSheetCLAY!$I$1:$L$1,0),FALSE),IF(VLOOKUP($F52,'Table Output'!$A$1:$H$10002,8,FALSE)="Clay",VLOOKUP(R$37,BoundParameters_HiddenSheetCLAY!$I$3:$L$50,MATCH(VLOOKUP($K87,$K$5:$AL$34,MATCH(VLOOKUP(R$37,$BJ$3:$BK$50,2,FALSE),$K$4:$AL$4,0),FALSE),BoundParameters_HiddenSheetCLAY!$I$1:$L$1,0),FALSE))),'Control Panel'!R87)))</f>
        <v>0.2</v>
      </c>
      <c r="S87" s="27" t="str">
        <f>IF($K87="","",IF(S$37="","",IF('Control Panel'!S87="",IF(VLOOKUP($F52,'Table Output'!$A$1:$H$100002,8,FALSE)="Sand",VLOOKUP(S$37,BoundParameters_HiddenSheetSAND!$I$3:$L$50,MATCH(VLOOKUP($K87,$K$5:$AL$34,MATCH(VLOOKUP(S$37,$BJ$3:$BK$50,2,FALSE),$K$4:$AL$4,0),FALSE),BoundParameters_HiddenSheetCLAY!$I$1:$L$1,0),FALSE),IF(VLOOKUP($F52,'Table Output'!$A$1:$H$10002,8,FALSE)="Clay",VLOOKUP(S$37,BoundParameters_HiddenSheetCLAY!$I$3:$L$50,MATCH(VLOOKUP($K87,$K$5:$AL$34,MATCH(VLOOKUP(S$37,$BJ$3:$BK$50,2,FALSE),$K$4:$AL$4,0),FALSE),BoundParameters_HiddenSheetCLAY!$I$1:$L$1,0),FALSE))),'Control Panel'!S87)))</f>
        <v/>
      </c>
      <c r="T87" s="27" t="str">
        <f>IF($K87="","",IF(T$37="","",IF('Control Panel'!T87="",IF(VLOOKUP($F52,'Table Output'!$A$1:$H$100002,8,FALSE)="Sand",VLOOKUP(T$37,BoundParameters_HiddenSheetSAND!$I$3:$L$50,MATCH(VLOOKUP($K87,$K$5:$AL$34,MATCH(VLOOKUP(T$37,$BJ$3:$BK$50,2,FALSE),$K$4:$AL$4,0),FALSE),BoundParameters_HiddenSheetCLAY!$I$1:$L$1,0),FALSE),IF(VLOOKUP($F52,'Table Output'!$A$1:$H$10002,8,FALSE)="Clay",VLOOKUP(T$37,BoundParameters_HiddenSheetCLAY!$I$3:$L$50,MATCH(VLOOKUP($K87,$K$5:$AL$34,MATCH(VLOOKUP(T$37,$BJ$3:$BK$50,2,FALSE),$K$4:$AL$4,0),FALSE),BoundParameters_HiddenSheetCLAY!$I$1:$L$1,0),FALSE))),'Control Panel'!T87)))</f>
        <v/>
      </c>
      <c r="U87" s="27" t="str">
        <f>IF($K87="","",IF(U$37="","",IF('Control Panel'!U87="",IF(VLOOKUP($F52,'Table Output'!$A$1:$H$100002,8,FALSE)="Sand",VLOOKUP(U$37,BoundParameters_HiddenSheetSAND!$I$3:$L$50,MATCH(VLOOKUP($K87,$K$5:$AL$34,MATCH(VLOOKUP(U$37,$BJ$3:$BK$50,2,FALSE),$K$4:$AL$4,0),FALSE),BoundParameters_HiddenSheetCLAY!$I$1:$L$1,0),FALSE),IF(VLOOKUP($F52,'Table Output'!$A$1:$H$10002,8,FALSE)="Clay",VLOOKUP(U$37,BoundParameters_HiddenSheetCLAY!$I$3:$L$50,MATCH(VLOOKUP($K87,$K$5:$AL$34,MATCH(VLOOKUP(U$37,$BJ$3:$BK$50,2,FALSE),$K$4:$AL$4,0),FALSE),BoundParameters_HiddenSheetCLAY!$I$1:$L$1,0),FALSE))),'Control Panel'!U87)))</f>
        <v/>
      </c>
    </row>
    <row r="88" spans="5:21" x14ac:dyDescent="0.2">
      <c r="E88" s="2">
        <f t="shared" ref="E88:F88" si="63">E53</f>
        <v>1</v>
      </c>
      <c r="F88" s="2" t="str">
        <f t="shared" si="63"/>
        <v>NGI_U3_11</v>
      </c>
      <c r="K88" s="4">
        <f t="shared" si="49"/>
        <v>16</v>
      </c>
      <c r="L88" s="27">
        <f>IF($K88="","",IF(L$37="","",IF('Control Panel'!L88="",IF(VLOOKUP($F53,'Table Output'!$A$1:$H$100002,8,FALSE)="Sand",VLOOKUP(L$37,BoundParameters_HiddenSheetSAND!$I$3:$L$50,MATCH(VLOOKUP($K88,$K$5:$AL$34,MATCH(VLOOKUP(L$37,$BJ$3:$BK$50,2,FALSE),$K$4:$AL$4,0),FALSE),BoundParameters_HiddenSheetCLAY!$I$1:$L$1,0),FALSE),IF(VLOOKUP($F53,'Table Output'!$A$1:$H$10002,8,FALSE)="Clay",VLOOKUP(L$37,BoundParameters_HiddenSheetCLAY!$I$3:$L$50,MATCH(VLOOKUP($K88,$K$5:$AL$34,MATCH(VLOOKUP(L$37,$BJ$3:$BK$50,2,FALSE),$K$4:$AL$4,0),FALSE),BoundParameters_HiddenSheetCLAY!$I$1:$L$1,0),FALSE))),'Control Panel'!L88)))</f>
        <v>7</v>
      </c>
      <c r="M88" s="27">
        <f>IF($K88="","",IF(M$37="","",IF('Control Panel'!M88="",IF(VLOOKUP($F53,'Table Output'!$A$1:$H$100002,8,FALSE)="Sand",VLOOKUP(M$37,BoundParameters_HiddenSheetSAND!$I$3:$L$50,MATCH(VLOOKUP($K88,$K$5:$AL$34,MATCH(VLOOKUP(M$37,$BJ$3:$BK$50,2,FALSE),$K$4:$AL$4,0),FALSE),BoundParameters_HiddenSheetCLAY!$I$1:$L$1,0),FALSE),IF(VLOOKUP($F53,'Table Output'!$A$1:$H$10002,8,FALSE)="Clay",VLOOKUP(M$37,BoundParameters_HiddenSheetCLAY!$I$3:$L$50,MATCH(VLOOKUP($K88,$K$5:$AL$34,MATCH(VLOOKUP(M$37,$BJ$3:$BK$50,2,FALSE),$K$4:$AL$4,0),FALSE),BoundParameters_HiddenSheetCLAY!$I$1:$L$1,0),FALSE))),'Control Panel'!M88)))</f>
        <v>150</v>
      </c>
      <c r="N88" s="27">
        <f>IF($K88="","",IF(N$37="","",IF('Control Panel'!N88="",IF(VLOOKUP($F53,'Table Output'!$A$1:$H$100002,8,FALSE)="Sand",VLOOKUP(N$37,BoundParameters_HiddenSheetSAND!$I$3:$L$50,MATCH(VLOOKUP($K88,$K$5:$AL$34,MATCH(VLOOKUP(N$37,$BJ$3:$BK$50,2,FALSE),$K$4:$AL$4,0),FALSE),BoundParameters_HiddenSheetCLAY!$I$1:$L$1,0),FALSE),IF(VLOOKUP($F53,'Table Output'!$A$1:$H$10002,8,FALSE)="Clay",VLOOKUP(N$37,BoundParameters_HiddenSheetCLAY!$I$3:$L$50,MATCH(VLOOKUP($K88,$K$5:$AL$34,MATCH(VLOOKUP(N$37,$BJ$3:$BK$50,2,FALSE),$K$4:$AL$4,0),FALSE),BoundParameters_HiddenSheetCLAY!$I$1:$L$1,0),FALSE))),'Control Panel'!N88)))</f>
        <v>0.01</v>
      </c>
      <c r="O88" s="27">
        <f>IF($K88="","",IF(O$37="","",IF('Control Panel'!O88="",IF(VLOOKUP($F53,'Table Output'!$A$1:$H$100002,8,FALSE)="Sand",VLOOKUP(O$37,BoundParameters_HiddenSheetSAND!$I$3:$L$50,MATCH(VLOOKUP($K88,$K$5:$AL$34,MATCH(VLOOKUP(O$37,$BJ$3:$BK$50,2,FALSE),$K$4:$AL$4,0),FALSE),BoundParameters_HiddenSheetCLAY!$I$1:$L$1,0),FALSE),IF(VLOOKUP($F53,'Table Output'!$A$1:$H$10002,8,FALSE)="Clay",VLOOKUP(O$37,BoundParameters_HiddenSheetCLAY!$I$3:$L$50,MATCH(VLOOKUP($K88,$K$5:$AL$34,MATCH(VLOOKUP(O$37,$BJ$3:$BK$50,2,FALSE),$K$4:$AL$4,0),FALSE),BoundParameters_HiddenSheetCLAY!$I$1:$L$1,0),FALSE))),'Control Panel'!O88)))</f>
        <v>10</v>
      </c>
      <c r="P88" s="27">
        <f>IF($K88="","",IF(P$37="","",IF('Control Panel'!P88="",IF(VLOOKUP($F53,'Table Output'!$A$1:$H$100002,8,FALSE)="Sand",VLOOKUP(P$37,BoundParameters_HiddenSheetSAND!$I$3:$L$50,MATCH(VLOOKUP($K88,$K$5:$AL$34,MATCH(VLOOKUP(P$37,$BJ$3:$BK$50,2,FALSE),$K$4:$AL$4,0),FALSE),BoundParameters_HiddenSheetCLAY!$I$1:$L$1,0),FALSE),IF(VLOOKUP($F53,'Table Output'!$A$1:$H$10002,8,FALSE)="Clay",VLOOKUP(P$37,BoundParameters_HiddenSheetCLAY!$I$3:$L$50,MATCH(VLOOKUP($K88,$K$5:$AL$34,MATCH(VLOOKUP(P$37,$BJ$3:$BK$50,2,FALSE),$K$4:$AL$4,0),FALSE),BoundParameters_HiddenSheetCLAY!$I$1:$L$1,0),FALSE))),'Control Panel'!P88)))</f>
        <v>0.5</v>
      </c>
      <c r="Q88" s="27">
        <f>IF($K88="","",IF(Q$37="","",IF('Control Panel'!Q88="",IF(VLOOKUP($F53,'Table Output'!$A$1:$H$100002,8,FALSE)="Sand",VLOOKUP(Q$37,BoundParameters_HiddenSheetSAND!$I$3:$L$50,MATCH(VLOOKUP($K88,$K$5:$AL$34,MATCH(VLOOKUP(Q$37,$BJ$3:$BK$50,2,FALSE),$K$4:$AL$4,0),FALSE),BoundParameters_HiddenSheetCLAY!$I$1:$L$1,0),FALSE),IF(VLOOKUP($F53,'Table Output'!$A$1:$H$10002,8,FALSE)="Clay",VLOOKUP(Q$37,BoundParameters_HiddenSheetCLAY!$I$3:$L$50,MATCH(VLOOKUP($K88,$K$5:$AL$34,MATCH(VLOOKUP(Q$37,$BJ$3:$BK$50,2,FALSE),$K$4:$AL$4,0),FALSE),BoundParameters_HiddenSheetCLAY!$I$1:$L$1,0),FALSE))),'Control Panel'!Q88)))</f>
        <v>-5555</v>
      </c>
      <c r="R88" s="27">
        <f>IF($K88="","",IF(R$37="","",IF('Control Panel'!R88="",IF(VLOOKUP($F53,'Table Output'!$A$1:$H$100002,8,FALSE)="Sand",VLOOKUP(R$37,BoundParameters_HiddenSheetSAND!$I$3:$L$50,MATCH(VLOOKUP($K88,$K$5:$AL$34,MATCH(VLOOKUP(R$37,$BJ$3:$BK$50,2,FALSE),$K$4:$AL$4,0),FALSE),BoundParameters_HiddenSheetCLAY!$I$1:$L$1,0),FALSE),IF(VLOOKUP($F53,'Table Output'!$A$1:$H$10002,8,FALSE)="Clay",VLOOKUP(R$37,BoundParameters_HiddenSheetCLAY!$I$3:$L$50,MATCH(VLOOKUP($K88,$K$5:$AL$34,MATCH(VLOOKUP(R$37,$BJ$3:$BK$50,2,FALSE),$K$4:$AL$4,0),FALSE),BoundParameters_HiddenSheetCLAY!$I$1:$L$1,0),FALSE))),'Control Panel'!R88)))</f>
        <v>0.2</v>
      </c>
      <c r="S88" s="27" t="str">
        <f>IF($K88="","",IF(S$37="","",IF('Control Panel'!S88="",IF(VLOOKUP($F53,'Table Output'!$A$1:$H$100002,8,FALSE)="Sand",VLOOKUP(S$37,BoundParameters_HiddenSheetSAND!$I$3:$L$50,MATCH(VLOOKUP($K88,$K$5:$AL$34,MATCH(VLOOKUP(S$37,$BJ$3:$BK$50,2,FALSE),$K$4:$AL$4,0),FALSE),BoundParameters_HiddenSheetCLAY!$I$1:$L$1,0),FALSE),IF(VLOOKUP($F53,'Table Output'!$A$1:$H$10002,8,FALSE)="Clay",VLOOKUP(S$37,BoundParameters_HiddenSheetCLAY!$I$3:$L$50,MATCH(VLOOKUP($K88,$K$5:$AL$34,MATCH(VLOOKUP(S$37,$BJ$3:$BK$50,2,FALSE),$K$4:$AL$4,0),FALSE),BoundParameters_HiddenSheetCLAY!$I$1:$L$1,0),FALSE))),'Control Panel'!S88)))</f>
        <v/>
      </c>
      <c r="T88" s="27" t="str">
        <f>IF($K88="","",IF(T$37="","",IF('Control Panel'!T88="",IF(VLOOKUP($F53,'Table Output'!$A$1:$H$100002,8,FALSE)="Sand",VLOOKUP(T$37,BoundParameters_HiddenSheetSAND!$I$3:$L$50,MATCH(VLOOKUP($K88,$K$5:$AL$34,MATCH(VLOOKUP(T$37,$BJ$3:$BK$50,2,FALSE),$K$4:$AL$4,0),FALSE),BoundParameters_HiddenSheetCLAY!$I$1:$L$1,0),FALSE),IF(VLOOKUP($F53,'Table Output'!$A$1:$H$10002,8,FALSE)="Clay",VLOOKUP(T$37,BoundParameters_HiddenSheetCLAY!$I$3:$L$50,MATCH(VLOOKUP($K88,$K$5:$AL$34,MATCH(VLOOKUP(T$37,$BJ$3:$BK$50,2,FALSE),$K$4:$AL$4,0),FALSE),BoundParameters_HiddenSheetCLAY!$I$1:$L$1,0),FALSE))),'Control Panel'!T88)))</f>
        <v/>
      </c>
      <c r="U88" s="27" t="str">
        <f>IF($K88="","",IF(U$37="","",IF('Control Panel'!U88="",IF(VLOOKUP($F53,'Table Output'!$A$1:$H$100002,8,FALSE)="Sand",VLOOKUP(U$37,BoundParameters_HiddenSheetSAND!$I$3:$L$50,MATCH(VLOOKUP($K88,$K$5:$AL$34,MATCH(VLOOKUP(U$37,$BJ$3:$BK$50,2,FALSE),$K$4:$AL$4,0),FALSE),BoundParameters_HiddenSheetCLAY!$I$1:$L$1,0),FALSE),IF(VLOOKUP($F53,'Table Output'!$A$1:$H$10002,8,FALSE)="Clay",VLOOKUP(U$37,BoundParameters_HiddenSheetCLAY!$I$3:$L$50,MATCH(VLOOKUP($K88,$K$5:$AL$34,MATCH(VLOOKUP(U$37,$BJ$3:$BK$50,2,FALSE),$K$4:$AL$4,0),FALSE),BoundParameters_HiddenSheetCLAY!$I$1:$L$1,0),FALSE))),'Control Panel'!U88)))</f>
        <v/>
      </c>
    </row>
    <row r="89" spans="5:21" x14ac:dyDescent="0.2">
      <c r="E89" s="2">
        <f t="shared" ref="E89:F89" si="64">E54</f>
        <v>1</v>
      </c>
      <c r="F89" s="2" t="str">
        <f t="shared" si="64"/>
        <v>NGI_U3_12</v>
      </c>
      <c r="K89" s="4">
        <f t="shared" si="49"/>
        <v>17</v>
      </c>
      <c r="L89" s="27">
        <f>IF($K89="","",IF(L$37="","",IF('Control Panel'!L89="",IF(VLOOKUP($F54,'Table Output'!$A$1:$H$100002,8,FALSE)="Sand",VLOOKUP(L$37,BoundParameters_HiddenSheetSAND!$I$3:$L$50,MATCH(VLOOKUP($K89,$K$5:$AL$34,MATCH(VLOOKUP(L$37,$BJ$3:$BK$50,2,FALSE),$K$4:$AL$4,0),FALSE),BoundParameters_HiddenSheetCLAY!$I$1:$L$1,0),FALSE),IF(VLOOKUP($F54,'Table Output'!$A$1:$H$10002,8,FALSE)="Clay",VLOOKUP(L$37,BoundParameters_HiddenSheetCLAY!$I$3:$L$50,MATCH(VLOOKUP($K89,$K$5:$AL$34,MATCH(VLOOKUP(L$37,$BJ$3:$BK$50,2,FALSE),$K$4:$AL$4,0),FALSE),BoundParameters_HiddenSheetCLAY!$I$1:$L$1,0),FALSE))),'Control Panel'!L89)))</f>
        <v>40</v>
      </c>
      <c r="M89" s="27">
        <f>IF($K89="","",IF(M$37="","",IF('Control Panel'!M89="",IF(VLOOKUP($F54,'Table Output'!$A$1:$H$100002,8,FALSE)="Sand",VLOOKUP(M$37,BoundParameters_HiddenSheetSAND!$I$3:$L$50,MATCH(VLOOKUP($K89,$K$5:$AL$34,MATCH(VLOOKUP(M$37,$BJ$3:$BK$50,2,FALSE),$K$4:$AL$4,0),FALSE),BoundParameters_HiddenSheetCLAY!$I$1:$L$1,0),FALSE),IF(VLOOKUP($F54,'Table Output'!$A$1:$H$10002,8,FALSE)="Clay",VLOOKUP(M$37,BoundParameters_HiddenSheetCLAY!$I$3:$L$50,MATCH(VLOOKUP($K89,$K$5:$AL$34,MATCH(VLOOKUP(M$37,$BJ$3:$BK$50,2,FALSE),$K$4:$AL$4,0),FALSE),BoundParameters_HiddenSheetCLAY!$I$1:$L$1,0),FALSE))),'Control Panel'!M89)))</f>
        <v>-5555</v>
      </c>
      <c r="N89" s="27">
        <f>IF($K89="","",IF(N$37="","",IF('Control Panel'!N89="",IF(VLOOKUP($F54,'Table Output'!$A$1:$H$100002,8,FALSE)="Sand",VLOOKUP(N$37,BoundParameters_HiddenSheetSAND!$I$3:$L$50,MATCH(VLOOKUP($K89,$K$5:$AL$34,MATCH(VLOOKUP(N$37,$BJ$3:$BK$50,2,FALSE),$K$4:$AL$4,0),FALSE),BoundParameters_HiddenSheetCLAY!$I$1:$L$1,0),FALSE),IF(VLOOKUP($F54,'Table Output'!$A$1:$H$10002,8,FALSE)="Clay",VLOOKUP(N$37,BoundParameters_HiddenSheetCLAY!$I$3:$L$50,MATCH(VLOOKUP($K89,$K$5:$AL$34,MATCH(VLOOKUP(N$37,$BJ$3:$BK$50,2,FALSE),$K$4:$AL$4,0),FALSE),BoundParameters_HiddenSheetCLAY!$I$1:$L$1,0),FALSE))),'Control Panel'!N89)))</f>
        <v>0.1</v>
      </c>
      <c r="O89" s="27">
        <f>IF($K89="","",IF(O$37="","",IF('Control Panel'!O89="",IF(VLOOKUP($F54,'Table Output'!$A$1:$H$100002,8,FALSE)="Sand",VLOOKUP(O$37,BoundParameters_HiddenSheetSAND!$I$3:$L$50,MATCH(VLOOKUP($K89,$K$5:$AL$34,MATCH(VLOOKUP(O$37,$BJ$3:$BK$50,2,FALSE),$K$4:$AL$4,0),FALSE),BoundParameters_HiddenSheetCLAY!$I$1:$L$1,0),FALSE),IF(VLOOKUP($F54,'Table Output'!$A$1:$H$10002,8,FALSE)="Clay",VLOOKUP(O$37,BoundParameters_HiddenSheetCLAY!$I$3:$L$50,MATCH(VLOOKUP($K89,$K$5:$AL$34,MATCH(VLOOKUP(O$37,$BJ$3:$BK$50,2,FALSE),$K$4:$AL$4,0),FALSE),BoundParameters_HiddenSheetCLAY!$I$1:$L$1,0),FALSE))),'Control Panel'!O89)))</f>
        <v>-5555</v>
      </c>
      <c r="P89" s="27">
        <f>IF($K89="","",IF(P$37="","",IF('Control Panel'!P89="",IF(VLOOKUP($F54,'Table Output'!$A$1:$H$100002,8,FALSE)="Sand",VLOOKUP(P$37,BoundParameters_HiddenSheetSAND!$I$3:$L$50,MATCH(VLOOKUP($K89,$K$5:$AL$34,MATCH(VLOOKUP(P$37,$BJ$3:$BK$50,2,FALSE),$K$4:$AL$4,0),FALSE),BoundParameters_HiddenSheetCLAY!$I$1:$L$1,0),FALSE),IF(VLOOKUP($F54,'Table Output'!$A$1:$H$10002,8,FALSE)="Clay",VLOOKUP(P$37,BoundParameters_HiddenSheetCLAY!$I$3:$L$50,MATCH(VLOOKUP($K89,$K$5:$AL$34,MATCH(VLOOKUP(P$37,$BJ$3:$BK$50,2,FALSE),$K$4:$AL$4,0),FALSE),BoundParameters_HiddenSheetCLAY!$I$1:$L$1,0),FALSE))),'Control Panel'!P89)))</f>
        <v>0.5</v>
      </c>
      <c r="Q89" s="27">
        <f>IF($K89="","",IF(Q$37="","",IF('Control Panel'!Q89="",IF(VLOOKUP($F54,'Table Output'!$A$1:$H$100002,8,FALSE)="Sand",VLOOKUP(Q$37,BoundParameters_HiddenSheetSAND!$I$3:$L$50,MATCH(VLOOKUP($K89,$K$5:$AL$34,MATCH(VLOOKUP(Q$37,$BJ$3:$BK$50,2,FALSE),$K$4:$AL$4,0),FALSE),BoundParameters_HiddenSheetCLAY!$I$1:$L$1,0),FALSE),IF(VLOOKUP($F54,'Table Output'!$A$1:$H$10002,8,FALSE)="Clay",VLOOKUP(Q$37,BoundParameters_HiddenSheetCLAY!$I$3:$L$50,MATCH(VLOOKUP($K89,$K$5:$AL$34,MATCH(VLOOKUP(Q$37,$BJ$3:$BK$50,2,FALSE),$K$4:$AL$4,0),FALSE),BoundParameters_HiddenSheetCLAY!$I$1:$L$1,0),FALSE))),'Control Panel'!Q89)))</f>
        <v>-5555</v>
      </c>
      <c r="R89" s="27">
        <f>IF($K89="","",IF(R$37="","",IF('Control Panel'!R89="",IF(VLOOKUP($F54,'Table Output'!$A$1:$H$100002,8,FALSE)="Sand",VLOOKUP(R$37,BoundParameters_HiddenSheetSAND!$I$3:$L$50,MATCH(VLOOKUP($K89,$K$5:$AL$34,MATCH(VLOOKUP(R$37,$BJ$3:$BK$50,2,FALSE),$K$4:$AL$4,0),FALSE),BoundParameters_HiddenSheetCLAY!$I$1:$L$1,0),FALSE),IF(VLOOKUP($F54,'Table Output'!$A$1:$H$10002,8,FALSE)="Clay",VLOOKUP(R$37,BoundParameters_HiddenSheetCLAY!$I$3:$L$50,MATCH(VLOOKUP($K89,$K$5:$AL$34,MATCH(VLOOKUP(R$37,$BJ$3:$BK$50,2,FALSE),$K$4:$AL$4,0),FALSE),BoundParameters_HiddenSheetCLAY!$I$1:$L$1,0),FALSE))),'Control Panel'!R89)))</f>
        <v>1</v>
      </c>
      <c r="S89" s="27" t="str">
        <f>IF($K89="","",IF(S$37="","",IF('Control Panel'!S89="",IF(VLOOKUP($F54,'Table Output'!$A$1:$H$100002,8,FALSE)="Sand",VLOOKUP(S$37,BoundParameters_HiddenSheetSAND!$I$3:$L$50,MATCH(VLOOKUP($K89,$K$5:$AL$34,MATCH(VLOOKUP(S$37,$BJ$3:$BK$50,2,FALSE),$K$4:$AL$4,0),FALSE),BoundParameters_HiddenSheetCLAY!$I$1:$L$1,0),FALSE),IF(VLOOKUP($F54,'Table Output'!$A$1:$H$10002,8,FALSE)="Clay",VLOOKUP(S$37,BoundParameters_HiddenSheetCLAY!$I$3:$L$50,MATCH(VLOOKUP($K89,$K$5:$AL$34,MATCH(VLOOKUP(S$37,$BJ$3:$BK$50,2,FALSE),$K$4:$AL$4,0),FALSE),BoundParameters_HiddenSheetCLAY!$I$1:$L$1,0),FALSE))),'Control Panel'!S89)))</f>
        <v/>
      </c>
      <c r="T89" s="27" t="str">
        <f>IF($K89="","",IF(T$37="","",IF('Control Panel'!T89="",IF(VLOOKUP($F54,'Table Output'!$A$1:$H$100002,8,FALSE)="Sand",VLOOKUP(T$37,BoundParameters_HiddenSheetSAND!$I$3:$L$50,MATCH(VLOOKUP($K89,$K$5:$AL$34,MATCH(VLOOKUP(T$37,$BJ$3:$BK$50,2,FALSE),$K$4:$AL$4,0),FALSE),BoundParameters_HiddenSheetCLAY!$I$1:$L$1,0),FALSE),IF(VLOOKUP($F54,'Table Output'!$A$1:$H$10002,8,FALSE)="Clay",VLOOKUP(T$37,BoundParameters_HiddenSheetCLAY!$I$3:$L$50,MATCH(VLOOKUP($K89,$K$5:$AL$34,MATCH(VLOOKUP(T$37,$BJ$3:$BK$50,2,FALSE),$K$4:$AL$4,0),FALSE),BoundParameters_HiddenSheetCLAY!$I$1:$L$1,0),FALSE))),'Control Panel'!T89)))</f>
        <v/>
      </c>
      <c r="U89" s="27" t="str">
        <f>IF($K89="","",IF(U$37="","",IF('Control Panel'!U89="",IF(VLOOKUP($F54,'Table Output'!$A$1:$H$100002,8,FALSE)="Sand",VLOOKUP(U$37,BoundParameters_HiddenSheetSAND!$I$3:$L$50,MATCH(VLOOKUP($K89,$K$5:$AL$34,MATCH(VLOOKUP(U$37,$BJ$3:$BK$50,2,FALSE),$K$4:$AL$4,0),FALSE),BoundParameters_HiddenSheetCLAY!$I$1:$L$1,0),FALSE),IF(VLOOKUP($F54,'Table Output'!$A$1:$H$10002,8,FALSE)="Clay",VLOOKUP(U$37,BoundParameters_HiddenSheetCLAY!$I$3:$L$50,MATCH(VLOOKUP($K89,$K$5:$AL$34,MATCH(VLOOKUP(U$37,$BJ$3:$BK$50,2,FALSE),$K$4:$AL$4,0),FALSE),BoundParameters_HiddenSheetCLAY!$I$1:$L$1,0),FALSE))),'Control Panel'!U89)))</f>
        <v/>
      </c>
    </row>
    <row r="90" spans="5:21" x14ac:dyDescent="0.2">
      <c r="E90" s="2">
        <f t="shared" ref="E90:F90" si="65">E55</f>
        <v>1</v>
      </c>
      <c r="F90" s="2" t="str">
        <f t="shared" si="65"/>
        <v>NGI_U3_12</v>
      </c>
      <c r="K90" s="4">
        <f t="shared" ref="K90" si="66">K55</f>
        <v>18</v>
      </c>
      <c r="L90" s="27">
        <f>IF($K90="","",IF(L$37="","",IF('Control Panel'!L90="",IF(VLOOKUP($F55,'Table Output'!$A$1:$H$100002,8,FALSE)="Sand",VLOOKUP(L$37,BoundParameters_HiddenSheetSAND!$I$3:$L$50,MATCH(VLOOKUP($K90,$K$5:$AL$34,MATCH(VLOOKUP(L$37,$BJ$3:$BK$50,2,FALSE),$K$4:$AL$4,0),FALSE),BoundParameters_HiddenSheetCLAY!$I$1:$L$1,0),FALSE),IF(VLOOKUP($F55,'Table Output'!$A$1:$H$10002,8,FALSE)="Clay",VLOOKUP(L$37,BoundParameters_HiddenSheetCLAY!$I$3:$L$50,MATCH(VLOOKUP($K90,$K$5:$AL$34,MATCH(VLOOKUP(L$37,$BJ$3:$BK$50,2,FALSE),$K$4:$AL$4,0),FALSE),BoundParameters_HiddenSheetCLAY!$I$1:$L$1,0),FALSE))),'Control Panel'!L90)))</f>
        <v>40</v>
      </c>
      <c r="M90" s="27">
        <f>IF($K90="","",IF(M$37="","",IF('Control Panel'!M90="",IF(VLOOKUP($F55,'Table Output'!$A$1:$H$100002,8,FALSE)="Sand",VLOOKUP(M$37,BoundParameters_HiddenSheetSAND!$I$3:$L$50,MATCH(VLOOKUP($K90,$K$5:$AL$34,MATCH(VLOOKUP(M$37,$BJ$3:$BK$50,2,FALSE),$K$4:$AL$4,0),FALSE),BoundParameters_HiddenSheetCLAY!$I$1:$L$1,0),FALSE),IF(VLOOKUP($F55,'Table Output'!$A$1:$H$10002,8,FALSE)="Clay",VLOOKUP(M$37,BoundParameters_HiddenSheetCLAY!$I$3:$L$50,MATCH(VLOOKUP($K90,$K$5:$AL$34,MATCH(VLOOKUP(M$37,$BJ$3:$BK$50,2,FALSE),$K$4:$AL$4,0),FALSE),BoundParameters_HiddenSheetCLAY!$I$1:$L$1,0),FALSE))),'Control Panel'!M90)))</f>
        <v>-5555</v>
      </c>
      <c r="N90" s="27">
        <f>IF($K90="","",IF(N$37="","",IF('Control Panel'!N90="",IF(VLOOKUP($F55,'Table Output'!$A$1:$H$100002,8,FALSE)="Sand",VLOOKUP(N$37,BoundParameters_HiddenSheetSAND!$I$3:$L$50,MATCH(VLOOKUP($K90,$K$5:$AL$34,MATCH(VLOOKUP(N$37,$BJ$3:$BK$50,2,FALSE),$K$4:$AL$4,0),FALSE),BoundParameters_HiddenSheetCLAY!$I$1:$L$1,0),FALSE),IF(VLOOKUP($F55,'Table Output'!$A$1:$H$10002,8,FALSE)="Clay",VLOOKUP(N$37,BoundParameters_HiddenSheetCLAY!$I$3:$L$50,MATCH(VLOOKUP($K90,$K$5:$AL$34,MATCH(VLOOKUP(N$37,$BJ$3:$BK$50,2,FALSE),$K$4:$AL$4,0),FALSE),BoundParameters_HiddenSheetCLAY!$I$1:$L$1,0),FALSE))),'Control Panel'!N90)))</f>
        <v>0.1</v>
      </c>
      <c r="O90" s="27">
        <f>IF($K90="","",IF(O$37="","",IF('Control Panel'!O90="",IF(VLOOKUP($F55,'Table Output'!$A$1:$H$100002,8,FALSE)="Sand",VLOOKUP(O$37,BoundParameters_HiddenSheetSAND!$I$3:$L$50,MATCH(VLOOKUP($K90,$K$5:$AL$34,MATCH(VLOOKUP(O$37,$BJ$3:$BK$50,2,FALSE),$K$4:$AL$4,0),FALSE),BoundParameters_HiddenSheetCLAY!$I$1:$L$1,0),FALSE),IF(VLOOKUP($F55,'Table Output'!$A$1:$H$10002,8,FALSE)="Clay",VLOOKUP(O$37,BoundParameters_HiddenSheetCLAY!$I$3:$L$50,MATCH(VLOOKUP($K90,$K$5:$AL$34,MATCH(VLOOKUP(O$37,$BJ$3:$BK$50,2,FALSE),$K$4:$AL$4,0),FALSE),BoundParameters_HiddenSheetCLAY!$I$1:$L$1,0),FALSE))),'Control Panel'!O90)))</f>
        <v>-5555</v>
      </c>
      <c r="P90" s="27">
        <f>IF($K90="","",IF(P$37="","",IF('Control Panel'!P90="",IF(VLOOKUP($F55,'Table Output'!$A$1:$H$100002,8,FALSE)="Sand",VLOOKUP(P$37,BoundParameters_HiddenSheetSAND!$I$3:$L$50,MATCH(VLOOKUP($K90,$K$5:$AL$34,MATCH(VLOOKUP(P$37,$BJ$3:$BK$50,2,FALSE),$K$4:$AL$4,0),FALSE),BoundParameters_HiddenSheetCLAY!$I$1:$L$1,0),FALSE),IF(VLOOKUP($F55,'Table Output'!$A$1:$H$10002,8,FALSE)="Clay",VLOOKUP(P$37,BoundParameters_HiddenSheetCLAY!$I$3:$L$50,MATCH(VLOOKUP($K90,$K$5:$AL$34,MATCH(VLOOKUP(P$37,$BJ$3:$BK$50,2,FALSE),$K$4:$AL$4,0),FALSE),BoundParameters_HiddenSheetCLAY!$I$1:$L$1,0),FALSE))),'Control Panel'!P90)))</f>
        <v>0.5</v>
      </c>
      <c r="Q90" s="27">
        <f>IF($K90="","",IF(Q$37="","",IF('Control Panel'!Q90="",IF(VLOOKUP($F55,'Table Output'!$A$1:$H$100002,8,FALSE)="Sand",VLOOKUP(Q$37,BoundParameters_HiddenSheetSAND!$I$3:$L$50,MATCH(VLOOKUP($K90,$K$5:$AL$34,MATCH(VLOOKUP(Q$37,$BJ$3:$BK$50,2,FALSE),$K$4:$AL$4,0),FALSE),BoundParameters_HiddenSheetCLAY!$I$1:$L$1,0),FALSE),IF(VLOOKUP($F55,'Table Output'!$A$1:$H$10002,8,FALSE)="Clay",VLOOKUP(Q$37,BoundParameters_HiddenSheetCLAY!$I$3:$L$50,MATCH(VLOOKUP($K90,$K$5:$AL$34,MATCH(VLOOKUP(Q$37,$BJ$3:$BK$50,2,FALSE),$K$4:$AL$4,0),FALSE),BoundParameters_HiddenSheetCLAY!$I$1:$L$1,0),FALSE))),'Control Panel'!Q90)))</f>
        <v>-5555</v>
      </c>
      <c r="R90" s="27">
        <f>IF($K90="","",IF(R$37="","",IF('Control Panel'!R90="",IF(VLOOKUP($F55,'Table Output'!$A$1:$H$100002,8,FALSE)="Sand",VLOOKUP(R$37,BoundParameters_HiddenSheetSAND!$I$3:$L$50,MATCH(VLOOKUP($K90,$K$5:$AL$34,MATCH(VLOOKUP(R$37,$BJ$3:$BK$50,2,FALSE),$K$4:$AL$4,0),FALSE),BoundParameters_HiddenSheetCLAY!$I$1:$L$1,0),FALSE),IF(VLOOKUP($F55,'Table Output'!$A$1:$H$10002,8,FALSE)="Clay",VLOOKUP(R$37,BoundParameters_HiddenSheetCLAY!$I$3:$L$50,MATCH(VLOOKUP($K90,$K$5:$AL$34,MATCH(VLOOKUP(R$37,$BJ$3:$BK$50,2,FALSE),$K$4:$AL$4,0),FALSE),BoundParameters_HiddenSheetCLAY!$I$1:$L$1,0),FALSE))),'Control Panel'!R90)))</f>
        <v>1</v>
      </c>
      <c r="S90" s="27" t="str">
        <f>IF($K90="","",IF(S$37="","",IF('Control Panel'!S90="",IF(VLOOKUP($F55,'Table Output'!$A$1:$H$100002,8,FALSE)="Sand",VLOOKUP(S$37,BoundParameters_HiddenSheetSAND!$I$3:$L$50,MATCH(VLOOKUP($K90,$K$5:$AL$34,MATCH(VLOOKUP(S$37,$BJ$3:$BK$50,2,FALSE),$K$4:$AL$4,0),FALSE),BoundParameters_HiddenSheetCLAY!$I$1:$L$1,0),FALSE),IF(VLOOKUP($F55,'Table Output'!$A$1:$H$10002,8,FALSE)="Clay",VLOOKUP(S$37,BoundParameters_HiddenSheetCLAY!$I$3:$L$50,MATCH(VLOOKUP($K90,$K$5:$AL$34,MATCH(VLOOKUP(S$37,$BJ$3:$BK$50,2,FALSE),$K$4:$AL$4,0),FALSE),BoundParameters_HiddenSheetCLAY!$I$1:$L$1,0),FALSE))),'Control Panel'!S90)))</f>
        <v/>
      </c>
      <c r="T90" s="27" t="str">
        <f>IF($K90="","",IF(T$37="","",IF('Control Panel'!T90="",IF(VLOOKUP($F55,'Table Output'!$A$1:$H$100002,8,FALSE)="Sand",VLOOKUP(T$37,BoundParameters_HiddenSheetSAND!$I$3:$L$50,MATCH(VLOOKUP($K90,$K$5:$AL$34,MATCH(VLOOKUP(T$37,$BJ$3:$BK$50,2,FALSE),$K$4:$AL$4,0),FALSE),BoundParameters_HiddenSheetCLAY!$I$1:$L$1,0),FALSE),IF(VLOOKUP($F55,'Table Output'!$A$1:$H$10002,8,FALSE)="Clay",VLOOKUP(T$37,BoundParameters_HiddenSheetCLAY!$I$3:$L$50,MATCH(VLOOKUP($K90,$K$5:$AL$34,MATCH(VLOOKUP(T$37,$BJ$3:$BK$50,2,FALSE),$K$4:$AL$4,0),FALSE),BoundParameters_HiddenSheetCLAY!$I$1:$L$1,0),FALSE))),'Control Panel'!T90)))</f>
        <v/>
      </c>
      <c r="U90" s="27" t="str">
        <f>IF($K90="","",IF(U$37="","",IF('Control Panel'!U90="",IF(VLOOKUP($F55,'Table Output'!$A$1:$H$100002,8,FALSE)="Sand",VLOOKUP(U$37,BoundParameters_HiddenSheetSAND!$I$3:$L$50,MATCH(VLOOKUP($K90,$K$5:$AL$34,MATCH(VLOOKUP(U$37,$BJ$3:$BK$50,2,FALSE),$K$4:$AL$4,0),FALSE),BoundParameters_HiddenSheetCLAY!$I$1:$L$1,0),FALSE),IF(VLOOKUP($F55,'Table Output'!$A$1:$H$10002,8,FALSE)="Clay",VLOOKUP(U$37,BoundParameters_HiddenSheetCLAY!$I$3:$L$50,MATCH(VLOOKUP($K90,$K$5:$AL$34,MATCH(VLOOKUP(U$37,$BJ$3:$BK$50,2,FALSE),$K$4:$AL$4,0),FALSE),BoundParameters_HiddenSheetCLAY!$I$1:$L$1,0),FALSE))),'Control Panel'!U90)))</f>
        <v/>
      </c>
    </row>
    <row r="91" spans="5:21" x14ac:dyDescent="0.2">
      <c r="E91" s="2">
        <f t="shared" ref="E91:F91" si="67">E56</f>
        <v>1</v>
      </c>
      <c r="F91" s="2" t="str">
        <f t="shared" si="67"/>
        <v>NGI_U3_12</v>
      </c>
      <c r="K91" s="4">
        <f t="shared" ref="K91:K97" si="68">K56</f>
        <v>19</v>
      </c>
      <c r="L91" s="27">
        <f>IF($K91="","",IF(L$37="","",IF('Control Panel'!L91="",IF(VLOOKUP($F56,'Table Output'!$A$1:$H$100002,8,FALSE)="Sand",VLOOKUP(L$37,BoundParameters_HiddenSheetSAND!$I$3:$L$50,MATCH(VLOOKUP($K91,$K$5:$AL$34,MATCH(VLOOKUP(L$37,$BJ$3:$BK$50,2,FALSE),$K$4:$AL$4,0),FALSE),BoundParameters_HiddenSheetCLAY!$I$1:$L$1,0),FALSE),IF(VLOOKUP($F56,'Table Output'!$A$1:$H$10002,8,FALSE)="Clay",VLOOKUP(L$37,BoundParameters_HiddenSheetCLAY!$I$3:$L$50,MATCH(VLOOKUP($K91,$K$5:$AL$34,MATCH(VLOOKUP(L$37,$BJ$3:$BK$50,2,FALSE),$K$4:$AL$4,0),FALSE),BoundParameters_HiddenSheetCLAY!$I$1:$L$1,0),FALSE))),'Control Panel'!L91)))</f>
        <v>40</v>
      </c>
      <c r="M91" s="27">
        <f>IF($K91="","",IF(M$37="","",IF('Control Panel'!M91="",IF(VLOOKUP($F56,'Table Output'!$A$1:$H$100002,8,FALSE)="Sand",VLOOKUP(M$37,BoundParameters_HiddenSheetSAND!$I$3:$L$50,MATCH(VLOOKUP($K91,$K$5:$AL$34,MATCH(VLOOKUP(M$37,$BJ$3:$BK$50,2,FALSE),$K$4:$AL$4,0),FALSE),BoundParameters_HiddenSheetCLAY!$I$1:$L$1,0),FALSE),IF(VLOOKUP($F56,'Table Output'!$A$1:$H$10002,8,FALSE)="Clay",VLOOKUP(M$37,BoundParameters_HiddenSheetCLAY!$I$3:$L$50,MATCH(VLOOKUP($K91,$K$5:$AL$34,MATCH(VLOOKUP(M$37,$BJ$3:$BK$50,2,FALSE),$K$4:$AL$4,0),FALSE),BoundParameters_HiddenSheetCLAY!$I$1:$L$1,0),FALSE))),'Control Panel'!M91)))</f>
        <v>-5555</v>
      </c>
      <c r="N91" s="27">
        <f>IF($K91="","",IF(N$37="","",IF('Control Panel'!N91="",IF(VLOOKUP($F56,'Table Output'!$A$1:$H$100002,8,FALSE)="Sand",VLOOKUP(N$37,BoundParameters_HiddenSheetSAND!$I$3:$L$50,MATCH(VLOOKUP($K91,$K$5:$AL$34,MATCH(VLOOKUP(N$37,$BJ$3:$BK$50,2,FALSE),$K$4:$AL$4,0),FALSE),BoundParameters_HiddenSheetCLAY!$I$1:$L$1,0),FALSE),IF(VLOOKUP($F56,'Table Output'!$A$1:$H$10002,8,FALSE)="Clay",VLOOKUP(N$37,BoundParameters_HiddenSheetCLAY!$I$3:$L$50,MATCH(VLOOKUP($K91,$K$5:$AL$34,MATCH(VLOOKUP(N$37,$BJ$3:$BK$50,2,FALSE),$K$4:$AL$4,0),FALSE),BoundParameters_HiddenSheetCLAY!$I$1:$L$1,0),FALSE))),'Control Panel'!N91)))</f>
        <v>0.1</v>
      </c>
      <c r="O91" s="27">
        <f>IF($K91="","",IF(O$37="","",IF('Control Panel'!O91="",IF(VLOOKUP($F56,'Table Output'!$A$1:$H$100002,8,FALSE)="Sand",VLOOKUP(O$37,BoundParameters_HiddenSheetSAND!$I$3:$L$50,MATCH(VLOOKUP($K91,$K$5:$AL$34,MATCH(VLOOKUP(O$37,$BJ$3:$BK$50,2,FALSE),$K$4:$AL$4,0),FALSE),BoundParameters_HiddenSheetCLAY!$I$1:$L$1,0),FALSE),IF(VLOOKUP($F56,'Table Output'!$A$1:$H$10002,8,FALSE)="Clay",VLOOKUP(O$37,BoundParameters_HiddenSheetCLAY!$I$3:$L$50,MATCH(VLOOKUP($K91,$K$5:$AL$34,MATCH(VLOOKUP(O$37,$BJ$3:$BK$50,2,FALSE),$K$4:$AL$4,0),FALSE),BoundParameters_HiddenSheetCLAY!$I$1:$L$1,0),FALSE))),'Control Panel'!O91)))</f>
        <v>-5555</v>
      </c>
      <c r="P91" s="27">
        <f>IF($K91="","",IF(P$37="","",IF('Control Panel'!P91="",IF(VLOOKUP($F56,'Table Output'!$A$1:$H$100002,8,FALSE)="Sand",VLOOKUP(P$37,BoundParameters_HiddenSheetSAND!$I$3:$L$50,MATCH(VLOOKUP($K91,$K$5:$AL$34,MATCH(VLOOKUP(P$37,$BJ$3:$BK$50,2,FALSE),$K$4:$AL$4,0),FALSE),BoundParameters_HiddenSheetCLAY!$I$1:$L$1,0),FALSE),IF(VLOOKUP($F56,'Table Output'!$A$1:$H$10002,8,FALSE)="Clay",VLOOKUP(P$37,BoundParameters_HiddenSheetCLAY!$I$3:$L$50,MATCH(VLOOKUP($K91,$K$5:$AL$34,MATCH(VLOOKUP(P$37,$BJ$3:$BK$50,2,FALSE),$K$4:$AL$4,0),FALSE),BoundParameters_HiddenSheetCLAY!$I$1:$L$1,0),FALSE))),'Control Panel'!P91)))</f>
        <v>0.5</v>
      </c>
      <c r="Q91" s="27">
        <f>IF($K91="","",IF(Q$37="","",IF('Control Panel'!Q91="",IF(VLOOKUP($F56,'Table Output'!$A$1:$H$100002,8,FALSE)="Sand",VLOOKUP(Q$37,BoundParameters_HiddenSheetSAND!$I$3:$L$50,MATCH(VLOOKUP($K91,$K$5:$AL$34,MATCH(VLOOKUP(Q$37,$BJ$3:$BK$50,2,FALSE),$K$4:$AL$4,0),FALSE),BoundParameters_HiddenSheetCLAY!$I$1:$L$1,0),FALSE),IF(VLOOKUP($F56,'Table Output'!$A$1:$H$10002,8,FALSE)="Clay",VLOOKUP(Q$37,BoundParameters_HiddenSheetCLAY!$I$3:$L$50,MATCH(VLOOKUP($K91,$K$5:$AL$34,MATCH(VLOOKUP(Q$37,$BJ$3:$BK$50,2,FALSE),$K$4:$AL$4,0),FALSE),BoundParameters_HiddenSheetCLAY!$I$1:$L$1,0),FALSE))),'Control Panel'!Q91)))</f>
        <v>-5555</v>
      </c>
      <c r="R91" s="27">
        <f>IF($K91="","",IF(R$37="","",IF('Control Panel'!R91="",IF(VLOOKUP($F56,'Table Output'!$A$1:$H$100002,8,FALSE)="Sand",VLOOKUP(R$37,BoundParameters_HiddenSheetSAND!$I$3:$L$50,MATCH(VLOOKUP($K91,$K$5:$AL$34,MATCH(VLOOKUP(R$37,$BJ$3:$BK$50,2,FALSE),$K$4:$AL$4,0),FALSE),BoundParameters_HiddenSheetCLAY!$I$1:$L$1,0),FALSE),IF(VLOOKUP($F56,'Table Output'!$A$1:$H$10002,8,FALSE)="Clay",VLOOKUP(R$37,BoundParameters_HiddenSheetCLAY!$I$3:$L$50,MATCH(VLOOKUP($K91,$K$5:$AL$34,MATCH(VLOOKUP(R$37,$BJ$3:$BK$50,2,FALSE),$K$4:$AL$4,0),FALSE),BoundParameters_HiddenSheetCLAY!$I$1:$L$1,0),FALSE))),'Control Panel'!R91)))</f>
        <v>1</v>
      </c>
      <c r="S91" s="27" t="str">
        <f>IF($K91="","",IF(S$37="","",IF('Control Panel'!S91="",IF(VLOOKUP($F56,'Table Output'!$A$1:$H$100002,8,FALSE)="Sand",VLOOKUP(S$37,BoundParameters_HiddenSheetSAND!$I$3:$L$50,MATCH(VLOOKUP($K91,$K$5:$AL$34,MATCH(VLOOKUP(S$37,$BJ$3:$BK$50,2,FALSE),$K$4:$AL$4,0),FALSE),BoundParameters_HiddenSheetCLAY!$I$1:$L$1,0),FALSE),IF(VLOOKUP($F56,'Table Output'!$A$1:$H$10002,8,FALSE)="Clay",VLOOKUP(S$37,BoundParameters_HiddenSheetCLAY!$I$3:$L$50,MATCH(VLOOKUP($K91,$K$5:$AL$34,MATCH(VLOOKUP(S$37,$BJ$3:$BK$50,2,FALSE),$K$4:$AL$4,0),FALSE),BoundParameters_HiddenSheetCLAY!$I$1:$L$1,0),FALSE))),'Control Panel'!S91)))</f>
        <v/>
      </c>
      <c r="T91" s="27" t="str">
        <f>IF($K91="","",IF(T$37="","",IF('Control Panel'!T91="",IF(VLOOKUP($F56,'Table Output'!$A$1:$H$100002,8,FALSE)="Sand",VLOOKUP(T$37,BoundParameters_HiddenSheetSAND!$I$3:$L$50,MATCH(VLOOKUP($K91,$K$5:$AL$34,MATCH(VLOOKUP(T$37,$BJ$3:$BK$50,2,FALSE),$K$4:$AL$4,0),FALSE),BoundParameters_HiddenSheetCLAY!$I$1:$L$1,0),FALSE),IF(VLOOKUP($F56,'Table Output'!$A$1:$H$10002,8,FALSE)="Clay",VLOOKUP(T$37,BoundParameters_HiddenSheetCLAY!$I$3:$L$50,MATCH(VLOOKUP($K91,$K$5:$AL$34,MATCH(VLOOKUP(T$37,$BJ$3:$BK$50,2,FALSE),$K$4:$AL$4,0),FALSE),BoundParameters_HiddenSheetCLAY!$I$1:$L$1,0),FALSE))),'Control Panel'!T91)))</f>
        <v/>
      </c>
      <c r="U91" s="27" t="str">
        <f>IF($K91="","",IF(U$37="","",IF('Control Panel'!U91="",IF(VLOOKUP($F56,'Table Output'!$A$1:$H$100002,8,FALSE)="Sand",VLOOKUP(U$37,BoundParameters_HiddenSheetSAND!$I$3:$L$50,MATCH(VLOOKUP($K91,$K$5:$AL$34,MATCH(VLOOKUP(U$37,$BJ$3:$BK$50,2,FALSE),$K$4:$AL$4,0),FALSE),BoundParameters_HiddenSheetCLAY!$I$1:$L$1,0),FALSE),IF(VLOOKUP($F56,'Table Output'!$A$1:$H$10002,8,FALSE)="Clay",VLOOKUP(U$37,BoundParameters_HiddenSheetCLAY!$I$3:$L$50,MATCH(VLOOKUP($K91,$K$5:$AL$34,MATCH(VLOOKUP(U$37,$BJ$3:$BK$50,2,FALSE),$K$4:$AL$4,0),FALSE),BoundParameters_HiddenSheetCLAY!$I$1:$L$1,0),FALSE))),'Control Panel'!U91)))</f>
        <v/>
      </c>
    </row>
    <row r="92" spans="5:21" x14ac:dyDescent="0.2">
      <c r="E92" s="2">
        <f t="shared" ref="E92:F92" si="69">E57</f>
        <v>1</v>
      </c>
      <c r="F92" s="2" t="str">
        <f t="shared" si="69"/>
        <v>NGI_U3_12</v>
      </c>
      <c r="K92" s="4">
        <f t="shared" si="68"/>
        <v>20</v>
      </c>
      <c r="L92" s="27">
        <f>IF($K92="","",IF(L$37="","",IF('Control Panel'!L92="",IF(VLOOKUP($F57,'Table Output'!$A$1:$H$100002,8,FALSE)="Sand",VLOOKUP(L$37,BoundParameters_HiddenSheetSAND!$I$3:$L$50,MATCH(VLOOKUP($K92,$K$5:$AL$34,MATCH(VLOOKUP(L$37,$BJ$3:$BK$50,2,FALSE),$K$4:$AL$4,0),FALSE),BoundParameters_HiddenSheetCLAY!$I$1:$L$1,0),FALSE),IF(VLOOKUP($F57,'Table Output'!$A$1:$H$10002,8,FALSE)="Clay",VLOOKUP(L$37,BoundParameters_HiddenSheetCLAY!$I$3:$L$50,MATCH(VLOOKUP($K92,$K$5:$AL$34,MATCH(VLOOKUP(L$37,$BJ$3:$BK$50,2,FALSE),$K$4:$AL$4,0),FALSE),BoundParameters_HiddenSheetCLAY!$I$1:$L$1,0),FALSE))),'Control Panel'!L92)))</f>
        <v>40</v>
      </c>
      <c r="M92" s="27">
        <f>IF($K92="","",IF(M$37="","",IF('Control Panel'!M92="",IF(VLOOKUP($F57,'Table Output'!$A$1:$H$100002,8,FALSE)="Sand",VLOOKUP(M$37,BoundParameters_HiddenSheetSAND!$I$3:$L$50,MATCH(VLOOKUP($K92,$K$5:$AL$34,MATCH(VLOOKUP(M$37,$BJ$3:$BK$50,2,FALSE),$K$4:$AL$4,0),FALSE),BoundParameters_HiddenSheetCLAY!$I$1:$L$1,0),FALSE),IF(VLOOKUP($F57,'Table Output'!$A$1:$H$10002,8,FALSE)="Clay",VLOOKUP(M$37,BoundParameters_HiddenSheetCLAY!$I$3:$L$50,MATCH(VLOOKUP($K92,$K$5:$AL$34,MATCH(VLOOKUP(M$37,$BJ$3:$BK$50,2,FALSE),$K$4:$AL$4,0),FALSE),BoundParameters_HiddenSheetCLAY!$I$1:$L$1,0),FALSE))),'Control Panel'!M92)))</f>
        <v>-5555</v>
      </c>
      <c r="N92" s="27">
        <f>IF($K92="","",IF(N$37="","",IF('Control Panel'!N92="",IF(VLOOKUP($F57,'Table Output'!$A$1:$H$100002,8,FALSE)="Sand",VLOOKUP(N$37,BoundParameters_HiddenSheetSAND!$I$3:$L$50,MATCH(VLOOKUP($K92,$K$5:$AL$34,MATCH(VLOOKUP(N$37,$BJ$3:$BK$50,2,FALSE),$K$4:$AL$4,0),FALSE),BoundParameters_HiddenSheetCLAY!$I$1:$L$1,0),FALSE),IF(VLOOKUP($F57,'Table Output'!$A$1:$H$10002,8,FALSE)="Clay",VLOOKUP(N$37,BoundParameters_HiddenSheetCLAY!$I$3:$L$50,MATCH(VLOOKUP($K92,$K$5:$AL$34,MATCH(VLOOKUP(N$37,$BJ$3:$BK$50,2,FALSE),$K$4:$AL$4,0),FALSE),BoundParameters_HiddenSheetCLAY!$I$1:$L$1,0),FALSE))),'Control Panel'!N92)))</f>
        <v>0.1</v>
      </c>
      <c r="O92" s="27">
        <f>IF($K92="","",IF(O$37="","",IF('Control Panel'!O92="",IF(VLOOKUP($F57,'Table Output'!$A$1:$H$100002,8,FALSE)="Sand",VLOOKUP(O$37,BoundParameters_HiddenSheetSAND!$I$3:$L$50,MATCH(VLOOKUP($K92,$K$5:$AL$34,MATCH(VLOOKUP(O$37,$BJ$3:$BK$50,2,FALSE),$K$4:$AL$4,0),FALSE),BoundParameters_HiddenSheetCLAY!$I$1:$L$1,0),FALSE),IF(VLOOKUP($F57,'Table Output'!$A$1:$H$10002,8,FALSE)="Clay",VLOOKUP(O$37,BoundParameters_HiddenSheetCLAY!$I$3:$L$50,MATCH(VLOOKUP($K92,$K$5:$AL$34,MATCH(VLOOKUP(O$37,$BJ$3:$BK$50,2,FALSE),$K$4:$AL$4,0),FALSE),BoundParameters_HiddenSheetCLAY!$I$1:$L$1,0),FALSE))),'Control Panel'!O92)))</f>
        <v>-5555</v>
      </c>
      <c r="P92" s="27">
        <f>IF($K92="","",IF(P$37="","",IF('Control Panel'!P92="",IF(VLOOKUP($F57,'Table Output'!$A$1:$H$100002,8,FALSE)="Sand",VLOOKUP(P$37,BoundParameters_HiddenSheetSAND!$I$3:$L$50,MATCH(VLOOKUP($K92,$K$5:$AL$34,MATCH(VLOOKUP(P$37,$BJ$3:$BK$50,2,FALSE),$K$4:$AL$4,0),FALSE),BoundParameters_HiddenSheetCLAY!$I$1:$L$1,0),FALSE),IF(VLOOKUP($F57,'Table Output'!$A$1:$H$10002,8,FALSE)="Clay",VLOOKUP(P$37,BoundParameters_HiddenSheetCLAY!$I$3:$L$50,MATCH(VLOOKUP($K92,$K$5:$AL$34,MATCH(VLOOKUP(P$37,$BJ$3:$BK$50,2,FALSE),$K$4:$AL$4,0),FALSE),BoundParameters_HiddenSheetCLAY!$I$1:$L$1,0),FALSE))),'Control Panel'!P92)))</f>
        <v>0.5</v>
      </c>
      <c r="Q92" s="27">
        <f>IF($K92="","",IF(Q$37="","",IF('Control Panel'!Q92="",IF(VLOOKUP($F57,'Table Output'!$A$1:$H$100002,8,FALSE)="Sand",VLOOKUP(Q$37,BoundParameters_HiddenSheetSAND!$I$3:$L$50,MATCH(VLOOKUP($K92,$K$5:$AL$34,MATCH(VLOOKUP(Q$37,$BJ$3:$BK$50,2,FALSE),$K$4:$AL$4,0),FALSE),BoundParameters_HiddenSheetCLAY!$I$1:$L$1,0),FALSE),IF(VLOOKUP($F57,'Table Output'!$A$1:$H$10002,8,FALSE)="Clay",VLOOKUP(Q$37,BoundParameters_HiddenSheetCLAY!$I$3:$L$50,MATCH(VLOOKUP($K92,$K$5:$AL$34,MATCH(VLOOKUP(Q$37,$BJ$3:$BK$50,2,FALSE),$K$4:$AL$4,0),FALSE),BoundParameters_HiddenSheetCLAY!$I$1:$L$1,0),FALSE))),'Control Panel'!Q92)))</f>
        <v>-5555</v>
      </c>
      <c r="R92" s="27">
        <f>IF($K92="","",IF(R$37="","",IF('Control Panel'!R92="",IF(VLOOKUP($F57,'Table Output'!$A$1:$H$100002,8,FALSE)="Sand",VLOOKUP(R$37,BoundParameters_HiddenSheetSAND!$I$3:$L$50,MATCH(VLOOKUP($K92,$K$5:$AL$34,MATCH(VLOOKUP(R$37,$BJ$3:$BK$50,2,FALSE),$K$4:$AL$4,0),FALSE),BoundParameters_HiddenSheetCLAY!$I$1:$L$1,0),FALSE),IF(VLOOKUP($F57,'Table Output'!$A$1:$H$10002,8,FALSE)="Clay",VLOOKUP(R$37,BoundParameters_HiddenSheetCLAY!$I$3:$L$50,MATCH(VLOOKUP($K92,$K$5:$AL$34,MATCH(VLOOKUP(R$37,$BJ$3:$BK$50,2,FALSE),$K$4:$AL$4,0),FALSE),BoundParameters_HiddenSheetCLAY!$I$1:$L$1,0),FALSE))),'Control Panel'!R92)))</f>
        <v>1</v>
      </c>
      <c r="S92" s="27" t="str">
        <f>IF($K92="","",IF(S$37="","",IF('Control Panel'!S92="",IF(VLOOKUP($F57,'Table Output'!$A$1:$H$100002,8,FALSE)="Sand",VLOOKUP(S$37,BoundParameters_HiddenSheetSAND!$I$3:$L$50,MATCH(VLOOKUP($K92,$K$5:$AL$34,MATCH(VLOOKUP(S$37,$BJ$3:$BK$50,2,FALSE),$K$4:$AL$4,0),FALSE),BoundParameters_HiddenSheetCLAY!$I$1:$L$1,0),FALSE),IF(VLOOKUP($F57,'Table Output'!$A$1:$H$10002,8,FALSE)="Clay",VLOOKUP(S$37,BoundParameters_HiddenSheetCLAY!$I$3:$L$50,MATCH(VLOOKUP($K92,$K$5:$AL$34,MATCH(VLOOKUP(S$37,$BJ$3:$BK$50,2,FALSE),$K$4:$AL$4,0),FALSE),BoundParameters_HiddenSheetCLAY!$I$1:$L$1,0),FALSE))),'Control Panel'!S92)))</f>
        <v/>
      </c>
      <c r="T92" s="27" t="str">
        <f>IF($K92="","",IF(T$37="","",IF('Control Panel'!T92="",IF(VLOOKUP($F57,'Table Output'!$A$1:$H$100002,8,FALSE)="Sand",VLOOKUP(T$37,BoundParameters_HiddenSheetSAND!$I$3:$L$50,MATCH(VLOOKUP($K92,$K$5:$AL$34,MATCH(VLOOKUP(T$37,$BJ$3:$BK$50,2,FALSE),$K$4:$AL$4,0),FALSE),BoundParameters_HiddenSheetCLAY!$I$1:$L$1,0),FALSE),IF(VLOOKUP($F57,'Table Output'!$A$1:$H$10002,8,FALSE)="Clay",VLOOKUP(T$37,BoundParameters_HiddenSheetCLAY!$I$3:$L$50,MATCH(VLOOKUP($K92,$K$5:$AL$34,MATCH(VLOOKUP(T$37,$BJ$3:$BK$50,2,FALSE),$K$4:$AL$4,0),FALSE),BoundParameters_HiddenSheetCLAY!$I$1:$L$1,0),FALSE))),'Control Panel'!T92)))</f>
        <v/>
      </c>
      <c r="U92" s="27" t="str">
        <f>IF($K92="","",IF(U$37="","",IF('Control Panel'!U92="",IF(VLOOKUP($F57,'Table Output'!$A$1:$H$100002,8,FALSE)="Sand",VLOOKUP(U$37,BoundParameters_HiddenSheetSAND!$I$3:$L$50,MATCH(VLOOKUP($K92,$K$5:$AL$34,MATCH(VLOOKUP(U$37,$BJ$3:$BK$50,2,FALSE),$K$4:$AL$4,0),FALSE),BoundParameters_HiddenSheetCLAY!$I$1:$L$1,0),FALSE),IF(VLOOKUP($F57,'Table Output'!$A$1:$H$10002,8,FALSE)="Clay",VLOOKUP(U$37,BoundParameters_HiddenSheetCLAY!$I$3:$L$50,MATCH(VLOOKUP($K92,$K$5:$AL$34,MATCH(VLOOKUP(U$37,$BJ$3:$BK$50,2,FALSE),$K$4:$AL$4,0),FALSE),BoundParameters_HiddenSheetCLAY!$I$1:$L$1,0),FALSE))),'Control Panel'!U92)))</f>
        <v/>
      </c>
    </row>
    <row r="93" spans="5:21" x14ac:dyDescent="0.2">
      <c r="E93" s="2">
        <f t="shared" ref="E93:F93" si="70">E58</f>
        <v>1</v>
      </c>
      <c r="F93" s="2" t="str">
        <f t="shared" si="70"/>
        <v>NGI_U3_12</v>
      </c>
      <c r="K93" s="4">
        <f t="shared" si="68"/>
        <v>21</v>
      </c>
      <c r="L93" s="27">
        <f>IF($K93="","",IF(L$37="","",IF('Control Panel'!L93="",IF(VLOOKUP($F58,'Table Output'!$A$1:$H$100002,8,FALSE)="Sand",VLOOKUP(L$37,BoundParameters_HiddenSheetSAND!$I$3:$L$50,MATCH(VLOOKUP($K93,$K$5:$AL$34,MATCH(VLOOKUP(L$37,$BJ$3:$BK$50,2,FALSE),$K$4:$AL$4,0),FALSE),BoundParameters_HiddenSheetCLAY!$I$1:$L$1,0),FALSE),IF(VLOOKUP($F58,'Table Output'!$A$1:$H$10002,8,FALSE)="Clay",VLOOKUP(L$37,BoundParameters_HiddenSheetCLAY!$I$3:$L$50,MATCH(VLOOKUP($K93,$K$5:$AL$34,MATCH(VLOOKUP(L$37,$BJ$3:$BK$50,2,FALSE),$K$4:$AL$4,0),FALSE),BoundParameters_HiddenSheetCLAY!$I$1:$L$1,0),FALSE))),'Control Panel'!L93)))</f>
        <v>40</v>
      </c>
      <c r="M93" s="27">
        <f>IF($K93="","",IF(M$37="","",IF('Control Panel'!M93="",IF(VLOOKUP($F58,'Table Output'!$A$1:$H$100002,8,FALSE)="Sand",VLOOKUP(M$37,BoundParameters_HiddenSheetSAND!$I$3:$L$50,MATCH(VLOOKUP($K93,$K$5:$AL$34,MATCH(VLOOKUP(M$37,$BJ$3:$BK$50,2,FALSE),$K$4:$AL$4,0),FALSE),BoundParameters_HiddenSheetCLAY!$I$1:$L$1,0),FALSE),IF(VLOOKUP($F58,'Table Output'!$A$1:$H$10002,8,FALSE)="Clay",VLOOKUP(M$37,BoundParameters_HiddenSheetCLAY!$I$3:$L$50,MATCH(VLOOKUP($K93,$K$5:$AL$34,MATCH(VLOOKUP(M$37,$BJ$3:$BK$50,2,FALSE),$K$4:$AL$4,0),FALSE),BoundParameters_HiddenSheetCLAY!$I$1:$L$1,0),FALSE))),'Control Panel'!M93)))</f>
        <v>-5555</v>
      </c>
      <c r="N93" s="27">
        <f>IF($K93="","",IF(N$37="","",IF('Control Panel'!N93="",IF(VLOOKUP($F58,'Table Output'!$A$1:$H$100002,8,FALSE)="Sand",VLOOKUP(N$37,BoundParameters_HiddenSheetSAND!$I$3:$L$50,MATCH(VLOOKUP($K93,$K$5:$AL$34,MATCH(VLOOKUP(N$37,$BJ$3:$BK$50,2,FALSE),$K$4:$AL$4,0),FALSE),BoundParameters_HiddenSheetCLAY!$I$1:$L$1,0),FALSE),IF(VLOOKUP($F58,'Table Output'!$A$1:$H$10002,8,FALSE)="Clay",VLOOKUP(N$37,BoundParameters_HiddenSheetCLAY!$I$3:$L$50,MATCH(VLOOKUP($K93,$K$5:$AL$34,MATCH(VLOOKUP(N$37,$BJ$3:$BK$50,2,FALSE),$K$4:$AL$4,0),FALSE),BoundParameters_HiddenSheetCLAY!$I$1:$L$1,0),FALSE))),'Control Panel'!N93)))</f>
        <v>0.1</v>
      </c>
      <c r="O93" s="27">
        <f>IF($K93="","",IF(O$37="","",IF('Control Panel'!O93="",IF(VLOOKUP($F58,'Table Output'!$A$1:$H$100002,8,FALSE)="Sand",VLOOKUP(O$37,BoundParameters_HiddenSheetSAND!$I$3:$L$50,MATCH(VLOOKUP($K93,$K$5:$AL$34,MATCH(VLOOKUP(O$37,$BJ$3:$BK$50,2,FALSE),$K$4:$AL$4,0),FALSE),BoundParameters_HiddenSheetCLAY!$I$1:$L$1,0),FALSE),IF(VLOOKUP($F58,'Table Output'!$A$1:$H$10002,8,FALSE)="Clay",VLOOKUP(O$37,BoundParameters_HiddenSheetCLAY!$I$3:$L$50,MATCH(VLOOKUP($K93,$K$5:$AL$34,MATCH(VLOOKUP(O$37,$BJ$3:$BK$50,2,FALSE),$K$4:$AL$4,0),FALSE),BoundParameters_HiddenSheetCLAY!$I$1:$L$1,0),FALSE))),'Control Panel'!O93)))</f>
        <v>-5555</v>
      </c>
      <c r="P93" s="27">
        <f>IF($K93="","",IF(P$37="","",IF('Control Panel'!P93="",IF(VLOOKUP($F58,'Table Output'!$A$1:$H$100002,8,FALSE)="Sand",VLOOKUP(P$37,BoundParameters_HiddenSheetSAND!$I$3:$L$50,MATCH(VLOOKUP($K93,$K$5:$AL$34,MATCH(VLOOKUP(P$37,$BJ$3:$BK$50,2,FALSE),$K$4:$AL$4,0),FALSE),BoundParameters_HiddenSheetCLAY!$I$1:$L$1,0),FALSE),IF(VLOOKUP($F58,'Table Output'!$A$1:$H$10002,8,FALSE)="Clay",VLOOKUP(P$37,BoundParameters_HiddenSheetCLAY!$I$3:$L$50,MATCH(VLOOKUP($K93,$K$5:$AL$34,MATCH(VLOOKUP(P$37,$BJ$3:$BK$50,2,FALSE),$K$4:$AL$4,0),FALSE),BoundParameters_HiddenSheetCLAY!$I$1:$L$1,0),FALSE))),'Control Panel'!P93)))</f>
        <v>0.5</v>
      </c>
      <c r="Q93" s="27">
        <f>IF($K93="","",IF(Q$37="","",IF('Control Panel'!Q93="",IF(VLOOKUP($F58,'Table Output'!$A$1:$H$100002,8,FALSE)="Sand",VLOOKUP(Q$37,BoundParameters_HiddenSheetSAND!$I$3:$L$50,MATCH(VLOOKUP($K93,$K$5:$AL$34,MATCH(VLOOKUP(Q$37,$BJ$3:$BK$50,2,FALSE),$K$4:$AL$4,0),FALSE),BoundParameters_HiddenSheetCLAY!$I$1:$L$1,0),FALSE),IF(VLOOKUP($F58,'Table Output'!$A$1:$H$10002,8,FALSE)="Clay",VLOOKUP(Q$37,BoundParameters_HiddenSheetCLAY!$I$3:$L$50,MATCH(VLOOKUP($K93,$K$5:$AL$34,MATCH(VLOOKUP(Q$37,$BJ$3:$BK$50,2,FALSE),$K$4:$AL$4,0),FALSE),BoundParameters_HiddenSheetCLAY!$I$1:$L$1,0),FALSE))),'Control Panel'!Q93)))</f>
        <v>-5555</v>
      </c>
      <c r="R93" s="27">
        <f>IF($K93="","",IF(R$37="","",IF('Control Panel'!R93="",IF(VLOOKUP($F58,'Table Output'!$A$1:$H$100002,8,FALSE)="Sand",VLOOKUP(R$37,BoundParameters_HiddenSheetSAND!$I$3:$L$50,MATCH(VLOOKUP($K93,$K$5:$AL$34,MATCH(VLOOKUP(R$37,$BJ$3:$BK$50,2,FALSE),$K$4:$AL$4,0),FALSE),BoundParameters_HiddenSheetCLAY!$I$1:$L$1,0),FALSE),IF(VLOOKUP($F58,'Table Output'!$A$1:$H$10002,8,FALSE)="Clay",VLOOKUP(R$37,BoundParameters_HiddenSheetCLAY!$I$3:$L$50,MATCH(VLOOKUP($K93,$K$5:$AL$34,MATCH(VLOOKUP(R$37,$BJ$3:$BK$50,2,FALSE),$K$4:$AL$4,0),FALSE),BoundParameters_HiddenSheetCLAY!$I$1:$L$1,0),FALSE))),'Control Panel'!R93)))</f>
        <v>1</v>
      </c>
      <c r="S93" s="27" t="str">
        <f>IF($K93="","",IF(S$37="","",IF('Control Panel'!S93="",IF(VLOOKUP($F58,'Table Output'!$A$1:$H$100002,8,FALSE)="Sand",VLOOKUP(S$37,BoundParameters_HiddenSheetSAND!$I$3:$L$50,MATCH(VLOOKUP($K93,$K$5:$AL$34,MATCH(VLOOKUP(S$37,$BJ$3:$BK$50,2,FALSE),$K$4:$AL$4,0),FALSE),BoundParameters_HiddenSheetCLAY!$I$1:$L$1,0),FALSE),IF(VLOOKUP($F58,'Table Output'!$A$1:$H$10002,8,FALSE)="Clay",VLOOKUP(S$37,BoundParameters_HiddenSheetCLAY!$I$3:$L$50,MATCH(VLOOKUP($K93,$K$5:$AL$34,MATCH(VLOOKUP(S$37,$BJ$3:$BK$50,2,FALSE),$K$4:$AL$4,0),FALSE),BoundParameters_HiddenSheetCLAY!$I$1:$L$1,0),FALSE))),'Control Panel'!S93)))</f>
        <v/>
      </c>
      <c r="T93" s="27" t="str">
        <f>IF($K93="","",IF(T$37="","",IF('Control Panel'!T93="",IF(VLOOKUP($F58,'Table Output'!$A$1:$H$100002,8,FALSE)="Sand",VLOOKUP(T$37,BoundParameters_HiddenSheetSAND!$I$3:$L$50,MATCH(VLOOKUP($K93,$K$5:$AL$34,MATCH(VLOOKUP(T$37,$BJ$3:$BK$50,2,FALSE),$K$4:$AL$4,0),FALSE),BoundParameters_HiddenSheetCLAY!$I$1:$L$1,0),FALSE),IF(VLOOKUP($F58,'Table Output'!$A$1:$H$10002,8,FALSE)="Clay",VLOOKUP(T$37,BoundParameters_HiddenSheetCLAY!$I$3:$L$50,MATCH(VLOOKUP($K93,$K$5:$AL$34,MATCH(VLOOKUP(T$37,$BJ$3:$BK$50,2,FALSE),$K$4:$AL$4,0),FALSE),BoundParameters_HiddenSheetCLAY!$I$1:$L$1,0),FALSE))),'Control Panel'!T93)))</f>
        <v/>
      </c>
      <c r="U93" s="27" t="str">
        <f>IF($K93="","",IF(U$37="","",IF('Control Panel'!U93="",IF(VLOOKUP($F58,'Table Output'!$A$1:$H$100002,8,FALSE)="Sand",VLOOKUP(U$37,BoundParameters_HiddenSheetSAND!$I$3:$L$50,MATCH(VLOOKUP($K93,$K$5:$AL$34,MATCH(VLOOKUP(U$37,$BJ$3:$BK$50,2,FALSE),$K$4:$AL$4,0),FALSE),BoundParameters_HiddenSheetCLAY!$I$1:$L$1,0),FALSE),IF(VLOOKUP($F58,'Table Output'!$A$1:$H$10002,8,FALSE)="Clay",VLOOKUP(U$37,BoundParameters_HiddenSheetCLAY!$I$3:$L$50,MATCH(VLOOKUP($K93,$K$5:$AL$34,MATCH(VLOOKUP(U$37,$BJ$3:$BK$50,2,FALSE),$K$4:$AL$4,0),FALSE),BoundParameters_HiddenSheetCLAY!$I$1:$L$1,0),FALSE))),'Control Panel'!U93)))</f>
        <v/>
      </c>
    </row>
    <row r="94" spans="5:21" x14ac:dyDescent="0.2">
      <c r="E94" s="2" t="str">
        <f t="shared" ref="E94:F94" si="71">E59</f>
        <v/>
      </c>
      <c r="F94" s="2" t="str">
        <f t="shared" si="71"/>
        <v/>
      </c>
      <c r="K94" s="4" t="str">
        <f t="shared" si="68"/>
        <v/>
      </c>
      <c r="L94" s="27" t="str">
        <f>IF($K94="","",IF(L$37="","",IF('Control Panel'!L94="",IF(VLOOKUP($F59,'Table Output'!$A$1:$H$100002,8,FALSE)="Sand",VLOOKUP(L$37,BoundParameters_HiddenSheetSAND!$I$3:$L$50,MATCH(VLOOKUP($K94,$K$5:$AL$34,MATCH(VLOOKUP(L$37,$BJ$3:$BK$50,2,FALSE),$K$4:$AL$4,0),FALSE),BoundParameters_HiddenSheetCLAY!$I$1:$L$1,0),FALSE),IF(VLOOKUP($F59,'Table Output'!$A$1:$H$10002,8,FALSE)="Clay",VLOOKUP(L$37,BoundParameters_HiddenSheetCLAY!$I$3:$L$50,MATCH(VLOOKUP($K94,$K$5:$AL$34,MATCH(VLOOKUP(L$37,$BJ$3:$BK$50,2,FALSE),$K$4:$AL$4,0),FALSE),BoundParameters_HiddenSheetCLAY!$I$1:$L$1,0),FALSE))),'Control Panel'!L94)))</f>
        <v/>
      </c>
      <c r="M94" s="27" t="str">
        <f>IF($K94="","",IF(M$37="","",IF('Control Panel'!M94="",IF(VLOOKUP($F59,'Table Output'!$A$1:$H$100002,8,FALSE)="Sand",VLOOKUP(M$37,BoundParameters_HiddenSheetSAND!$I$3:$L$50,MATCH(VLOOKUP($K94,$K$5:$AL$34,MATCH(VLOOKUP(M$37,$BJ$3:$BK$50,2,FALSE),$K$4:$AL$4,0),FALSE),BoundParameters_HiddenSheetCLAY!$I$1:$L$1,0),FALSE),IF(VLOOKUP($F59,'Table Output'!$A$1:$H$10002,8,FALSE)="Clay",VLOOKUP(M$37,BoundParameters_HiddenSheetCLAY!$I$3:$L$50,MATCH(VLOOKUP($K94,$K$5:$AL$34,MATCH(VLOOKUP(M$37,$BJ$3:$BK$50,2,FALSE),$K$4:$AL$4,0),FALSE),BoundParameters_HiddenSheetCLAY!$I$1:$L$1,0),FALSE))),'Control Panel'!M94)))</f>
        <v/>
      </c>
      <c r="N94" s="27" t="str">
        <f>IF($K94="","",IF(N$37="","",IF('Control Panel'!N94="",IF(VLOOKUP($F59,'Table Output'!$A$1:$H$100002,8,FALSE)="Sand",VLOOKUP(N$37,BoundParameters_HiddenSheetSAND!$I$3:$L$50,MATCH(VLOOKUP($K94,$K$5:$AL$34,MATCH(VLOOKUP(N$37,$BJ$3:$BK$50,2,FALSE),$K$4:$AL$4,0),FALSE),BoundParameters_HiddenSheetCLAY!$I$1:$L$1,0),FALSE),IF(VLOOKUP($F59,'Table Output'!$A$1:$H$10002,8,FALSE)="Clay",VLOOKUP(N$37,BoundParameters_HiddenSheetCLAY!$I$3:$L$50,MATCH(VLOOKUP($K94,$K$5:$AL$34,MATCH(VLOOKUP(N$37,$BJ$3:$BK$50,2,FALSE),$K$4:$AL$4,0),FALSE),BoundParameters_HiddenSheetCLAY!$I$1:$L$1,0),FALSE))),'Control Panel'!N94)))</f>
        <v/>
      </c>
      <c r="O94" s="27" t="str">
        <f>IF($K94="","",IF(O$37="","",IF('Control Panel'!O94="",IF(VLOOKUP($F59,'Table Output'!$A$1:$H$100002,8,FALSE)="Sand",VLOOKUP(O$37,BoundParameters_HiddenSheetSAND!$I$3:$L$50,MATCH(VLOOKUP($K94,$K$5:$AL$34,MATCH(VLOOKUP(O$37,$BJ$3:$BK$50,2,FALSE),$K$4:$AL$4,0),FALSE),BoundParameters_HiddenSheetCLAY!$I$1:$L$1,0),FALSE),IF(VLOOKUP($F59,'Table Output'!$A$1:$H$10002,8,FALSE)="Clay",VLOOKUP(O$37,BoundParameters_HiddenSheetCLAY!$I$3:$L$50,MATCH(VLOOKUP($K94,$K$5:$AL$34,MATCH(VLOOKUP(O$37,$BJ$3:$BK$50,2,FALSE),$K$4:$AL$4,0),FALSE),BoundParameters_HiddenSheetCLAY!$I$1:$L$1,0),FALSE))),'Control Panel'!O94)))</f>
        <v/>
      </c>
      <c r="P94" s="27" t="str">
        <f>IF($K94="","",IF(P$37="","",IF('Control Panel'!P94="",IF(VLOOKUP($F59,'Table Output'!$A$1:$H$100002,8,FALSE)="Sand",VLOOKUP(P$37,BoundParameters_HiddenSheetSAND!$I$3:$L$50,MATCH(VLOOKUP($K94,$K$5:$AL$34,MATCH(VLOOKUP(P$37,$BJ$3:$BK$50,2,FALSE),$K$4:$AL$4,0),FALSE),BoundParameters_HiddenSheetCLAY!$I$1:$L$1,0),FALSE),IF(VLOOKUP($F59,'Table Output'!$A$1:$H$10002,8,FALSE)="Clay",VLOOKUP(P$37,BoundParameters_HiddenSheetCLAY!$I$3:$L$50,MATCH(VLOOKUP($K94,$K$5:$AL$34,MATCH(VLOOKUP(P$37,$BJ$3:$BK$50,2,FALSE),$K$4:$AL$4,0),FALSE),BoundParameters_HiddenSheetCLAY!$I$1:$L$1,0),FALSE))),'Control Panel'!P94)))</f>
        <v/>
      </c>
      <c r="Q94" s="27" t="str">
        <f>IF($K94="","",IF(Q$37="","",IF('Control Panel'!Q94="",IF(VLOOKUP($F59,'Table Output'!$A$1:$H$100002,8,FALSE)="Sand",VLOOKUP(Q$37,BoundParameters_HiddenSheetSAND!$I$3:$L$50,MATCH(VLOOKUP($K94,$K$5:$AL$34,MATCH(VLOOKUP(Q$37,$BJ$3:$BK$50,2,FALSE),$K$4:$AL$4,0),FALSE),BoundParameters_HiddenSheetCLAY!$I$1:$L$1,0),FALSE),IF(VLOOKUP($F59,'Table Output'!$A$1:$H$10002,8,FALSE)="Clay",VLOOKUP(Q$37,BoundParameters_HiddenSheetCLAY!$I$3:$L$50,MATCH(VLOOKUP($K94,$K$5:$AL$34,MATCH(VLOOKUP(Q$37,$BJ$3:$BK$50,2,FALSE),$K$4:$AL$4,0),FALSE),BoundParameters_HiddenSheetCLAY!$I$1:$L$1,0),FALSE))),'Control Panel'!Q94)))</f>
        <v/>
      </c>
      <c r="R94" s="27" t="str">
        <f>IF($K94="","",IF(R$37="","",IF('Control Panel'!R94="",IF(VLOOKUP($F59,'Table Output'!$A$1:$H$100002,8,FALSE)="Sand",VLOOKUP(R$37,BoundParameters_HiddenSheetSAND!$I$3:$L$50,MATCH(VLOOKUP($K94,$K$5:$AL$34,MATCH(VLOOKUP(R$37,$BJ$3:$BK$50,2,FALSE),$K$4:$AL$4,0),FALSE),BoundParameters_HiddenSheetCLAY!$I$1:$L$1,0),FALSE),IF(VLOOKUP($F59,'Table Output'!$A$1:$H$10002,8,FALSE)="Clay",VLOOKUP(R$37,BoundParameters_HiddenSheetCLAY!$I$3:$L$50,MATCH(VLOOKUP($K94,$K$5:$AL$34,MATCH(VLOOKUP(R$37,$BJ$3:$BK$50,2,FALSE),$K$4:$AL$4,0),FALSE),BoundParameters_HiddenSheetCLAY!$I$1:$L$1,0),FALSE))),'Control Panel'!R94)))</f>
        <v/>
      </c>
      <c r="S94" s="27" t="str">
        <f>IF($K94="","",IF(S$37="","",IF('Control Panel'!S94="",IF(VLOOKUP($F59,'Table Output'!$A$1:$H$100002,8,FALSE)="Sand",VLOOKUP(S$37,BoundParameters_HiddenSheetSAND!$I$3:$L$50,MATCH(VLOOKUP($K94,$K$5:$AL$34,MATCH(VLOOKUP(S$37,$BJ$3:$BK$50,2,FALSE),$K$4:$AL$4,0),FALSE),BoundParameters_HiddenSheetCLAY!$I$1:$L$1,0),FALSE),IF(VLOOKUP($F59,'Table Output'!$A$1:$H$10002,8,FALSE)="Clay",VLOOKUP(S$37,BoundParameters_HiddenSheetCLAY!$I$3:$L$50,MATCH(VLOOKUP($K94,$K$5:$AL$34,MATCH(VLOOKUP(S$37,$BJ$3:$BK$50,2,FALSE),$K$4:$AL$4,0),FALSE),BoundParameters_HiddenSheetCLAY!$I$1:$L$1,0),FALSE))),'Control Panel'!S94)))</f>
        <v/>
      </c>
      <c r="T94" s="27" t="str">
        <f>IF($K94="","",IF(T$37="","",IF('Control Panel'!T94="",IF(VLOOKUP($F59,'Table Output'!$A$1:$H$100002,8,FALSE)="Sand",VLOOKUP(T$37,BoundParameters_HiddenSheetSAND!$I$3:$L$50,MATCH(VLOOKUP($K94,$K$5:$AL$34,MATCH(VLOOKUP(T$37,$BJ$3:$BK$50,2,FALSE),$K$4:$AL$4,0),FALSE),BoundParameters_HiddenSheetCLAY!$I$1:$L$1,0),FALSE),IF(VLOOKUP($F59,'Table Output'!$A$1:$H$10002,8,FALSE)="Clay",VLOOKUP(T$37,BoundParameters_HiddenSheetCLAY!$I$3:$L$50,MATCH(VLOOKUP($K94,$K$5:$AL$34,MATCH(VLOOKUP(T$37,$BJ$3:$BK$50,2,FALSE),$K$4:$AL$4,0),FALSE),BoundParameters_HiddenSheetCLAY!$I$1:$L$1,0),FALSE))),'Control Panel'!T94)))</f>
        <v/>
      </c>
      <c r="U94" s="27" t="str">
        <f>IF($K94="","",IF(U$37="","",IF('Control Panel'!U94="",IF(VLOOKUP($F59,'Table Output'!$A$1:$H$100002,8,FALSE)="Sand",VLOOKUP(U$37,BoundParameters_HiddenSheetSAND!$I$3:$L$50,MATCH(VLOOKUP($K94,$K$5:$AL$34,MATCH(VLOOKUP(U$37,$BJ$3:$BK$50,2,FALSE),$K$4:$AL$4,0),FALSE),BoundParameters_HiddenSheetCLAY!$I$1:$L$1,0),FALSE),IF(VLOOKUP($F59,'Table Output'!$A$1:$H$10002,8,FALSE)="Clay",VLOOKUP(U$37,BoundParameters_HiddenSheetCLAY!$I$3:$L$50,MATCH(VLOOKUP($K94,$K$5:$AL$34,MATCH(VLOOKUP(U$37,$BJ$3:$BK$50,2,FALSE),$K$4:$AL$4,0),FALSE),BoundParameters_HiddenSheetCLAY!$I$1:$L$1,0),FALSE))),'Control Panel'!U94)))</f>
        <v/>
      </c>
    </row>
    <row r="95" spans="5:21" x14ac:dyDescent="0.2">
      <c r="E95" s="2" t="str">
        <f t="shared" ref="E95:J95" si="72">E60</f>
        <v/>
      </c>
      <c r="F95" s="2" t="str">
        <f t="shared" si="72"/>
        <v/>
      </c>
      <c r="G95" s="2" t="str">
        <f t="shared" si="72"/>
        <v/>
      </c>
      <c r="H95" s="2" t="str">
        <f t="shared" si="72"/>
        <v/>
      </c>
      <c r="I95" s="2" t="str">
        <f t="shared" si="72"/>
        <v/>
      </c>
      <c r="J95" s="2" t="str">
        <f t="shared" si="72"/>
        <v/>
      </c>
      <c r="K95" s="4" t="str">
        <f t="shared" si="68"/>
        <v/>
      </c>
      <c r="L95" s="27" t="str">
        <f>IF($K95="","",IF(L$37="","",IF('Control Panel'!L95="",IF(VLOOKUP($F60,'Table Output'!$A$1:$H$100002,8,FALSE)="Sand",VLOOKUP(L$37,BoundParameters_HiddenSheetSAND!$I$3:$L$50,MATCH(VLOOKUP($K95,$K$5:$AL$34,MATCH(VLOOKUP(L$37,$BJ$3:$BK$50,2,FALSE),$K$4:$AL$4,0),FALSE),BoundParameters_HiddenSheetCLAY!$I$1:$L$1,0),FALSE),IF(VLOOKUP($F60,'Table Output'!$A$1:$H$10002,8,FALSE)="Clay",VLOOKUP(L$37,BoundParameters_HiddenSheetCLAY!$I$3:$L$50,MATCH(VLOOKUP($K95,$K$5:$AL$34,MATCH(VLOOKUP(L$37,$BJ$3:$BK$50,2,FALSE),$K$4:$AL$4,0),FALSE),BoundParameters_HiddenSheetCLAY!$I$1:$L$1,0),FALSE))),'Control Panel'!L95)))</f>
        <v/>
      </c>
      <c r="M95" s="27" t="str">
        <f>IF($K95="","",IF(M$37="","",IF('Control Panel'!M95="",IF(VLOOKUP($F60,'Table Output'!$A$1:$H$100002,8,FALSE)="Sand",VLOOKUP(M$37,BoundParameters_HiddenSheetSAND!$I$3:$L$50,MATCH(VLOOKUP($K95,$K$5:$AL$34,MATCH(VLOOKUP(M$37,$BJ$3:$BK$50,2,FALSE),$K$4:$AL$4,0),FALSE),BoundParameters_HiddenSheetCLAY!$I$1:$L$1,0),FALSE),IF(VLOOKUP($F60,'Table Output'!$A$1:$H$10002,8,FALSE)="Clay",VLOOKUP(M$37,BoundParameters_HiddenSheetCLAY!$I$3:$L$50,MATCH(VLOOKUP($K95,$K$5:$AL$34,MATCH(VLOOKUP(M$37,$BJ$3:$BK$50,2,FALSE),$K$4:$AL$4,0),FALSE),BoundParameters_HiddenSheetCLAY!$I$1:$L$1,0),FALSE))),'Control Panel'!M95)))</f>
        <v/>
      </c>
      <c r="N95" s="27" t="str">
        <f>IF($K95="","",IF(N$37="","",IF('Control Panel'!N95="",IF(VLOOKUP($F60,'Table Output'!$A$1:$H$100002,8,FALSE)="Sand",VLOOKUP(N$37,BoundParameters_HiddenSheetSAND!$I$3:$L$50,MATCH(VLOOKUP($K95,$K$5:$AL$34,MATCH(VLOOKUP(N$37,$BJ$3:$BK$50,2,FALSE),$K$4:$AL$4,0),FALSE),BoundParameters_HiddenSheetCLAY!$I$1:$L$1,0),FALSE),IF(VLOOKUP($F60,'Table Output'!$A$1:$H$10002,8,FALSE)="Clay",VLOOKUP(N$37,BoundParameters_HiddenSheetCLAY!$I$3:$L$50,MATCH(VLOOKUP($K95,$K$5:$AL$34,MATCH(VLOOKUP(N$37,$BJ$3:$BK$50,2,FALSE),$K$4:$AL$4,0),FALSE),BoundParameters_HiddenSheetCLAY!$I$1:$L$1,0),FALSE))),'Control Panel'!N95)))</f>
        <v/>
      </c>
      <c r="O95" s="27" t="str">
        <f>IF($K95="","",IF(O$37="","",IF('Control Panel'!O95="",IF(VLOOKUP($F60,'Table Output'!$A$1:$H$100002,8,FALSE)="Sand",VLOOKUP(O$37,BoundParameters_HiddenSheetSAND!$I$3:$L$50,MATCH(VLOOKUP($K95,$K$5:$AL$34,MATCH(VLOOKUP(O$37,$BJ$3:$BK$50,2,FALSE),$K$4:$AL$4,0),FALSE),BoundParameters_HiddenSheetCLAY!$I$1:$L$1,0),FALSE),IF(VLOOKUP($F60,'Table Output'!$A$1:$H$10002,8,FALSE)="Clay",VLOOKUP(O$37,BoundParameters_HiddenSheetCLAY!$I$3:$L$50,MATCH(VLOOKUP($K95,$K$5:$AL$34,MATCH(VLOOKUP(O$37,$BJ$3:$BK$50,2,FALSE),$K$4:$AL$4,0),FALSE),BoundParameters_HiddenSheetCLAY!$I$1:$L$1,0),FALSE))),'Control Panel'!O95)))</f>
        <v/>
      </c>
      <c r="P95" s="27" t="str">
        <f>IF($K95="","",IF(P$37="","",IF('Control Panel'!P95="",IF(VLOOKUP($F60,'Table Output'!$A$1:$H$100002,8,FALSE)="Sand",VLOOKUP(P$37,BoundParameters_HiddenSheetSAND!$I$3:$L$50,MATCH(VLOOKUP($K95,$K$5:$AL$34,MATCH(VLOOKUP(P$37,$BJ$3:$BK$50,2,FALSE),$K$4:$AL$4,0),FALSE),BoundParameters_HiddenSheetCLAY!$I$1:$L$1,0),FALSE),IF(VLOOKUP($F60,'Table Output'!$A$1:$H$10002,8,FALSE)="Clay",VLOOKUP(P$37,BoundParameters_HiddenSheetCLAY!$I$3:$L$50,MATCH(VLOOKUP($K95,$K$5:$AL$34,MATCH(VLOOKUP(P$37,$BJ$3:$BK$50,2,FALSE),$K$4:$AL$4,0),FALSE),BoundParameters_HiddenSheetCLAY!$I$1:$L$1,0),FALSE))),'Control Panel'!P95)))</f>
        <v/>
      </c>
      <c r="Q95" s="27" t="str">
        <f>IF($K95="","",IF(Q$37="","",IF('Control Panel'!Q95="",IF(VLOOKUP($F60,'Table Output'!$A$1:$H$100002,8,FALSE)="Sand",VLOOKUP(Q$37,BoundParameters_HiddenSheetSAND!$I$3:$L$50,MATCH(VLOOKUP($K95,$K$5:$AL$34,MATCH(VLOOKUP(Q$37,$BJ$3:$BK$50,2,FALSE),$K$4:$AL$4,0),FALSE),BoundParameters_HiddenSheetCLAY!$I$1:$L$1,0),FALSE),IF(VLOOKUP($F60,'Table Output'!$A$1:$H$10002,8,FALSE)="Clay",VLOOKUP(Q$37,BoundParameters_HiddenSheetCLAY!$I$3:$L$50,MATCH(VLOOKUP($K95,$K$5:$AL$34,MATCH(VLOOKUP(Q$37,$BJ$3:$BK$50,2,FALSE),$K$4:$AL$4,0),FALSE),BoundParameters_HiddenSheetCLAY!$I$1:$L$1,0),FALSE))),'Control Panel'!Q95)))</f>
        <v/>
      </c>
      <c r="R95" s="27" t="str">
        <f>IF($K95="","",IF(R$37="","",IF('Control Panel'!R95="",IF(VLOOKUP($F60,'Table Output'!$A$1:$H$100002,8,FALSE)="Sand",VLOOKUP(R$37,BoundParameters_HiddenSheetSAND!$I$3:$L$50,MATCH(VLOOKUP($K95,$K$5:$AL$34,MATCH(VLOOKUP(R$37,$BJ$3:$BK$50,2,FALSE),$K$4:$AL$4,0),FALSE),BoundParameters_HiddenSheetCLAY!$I$1:$L$1,0),FALSE),IF(VLOOKUP($F60,'Table Output'!$A$1:$H$10002,8,FALSE)="Clay",VLOOKUP(R$37,BoundParameters_HiddenSheetCLAY!$I$3:$L$50,MATCH(VLOOKUP($K95,$K$5:$AL$34,MATCH(VLOOKUP(R$37,$BJ$3:$BK$50,2,FALSE),$K$4:$AL$4,0),FALSE),BoundParameters_HiddenSheetCLAY!$I$1:$L$1,0),FALSE))),'Control Panel'!R95)))</f>
        <v/>
      </c>
      <c r="S95" s="27" t="str">
        <f>IF($K95="","",IF(S$37="","",IF('Control Panel'!S95="",IF(VLOOKUP($F60,'Table Output'!$A$1:$H$100002,8,FALSE)="Sand",VLOOKUP(S$37,BoundParameters_HiddenSheetSAND!$I$3:$L$50,MATCH(VLOOKUP($K95,$K$5:$AL$34,MATCH(VLOOKUP(S$37,$BJ$3:$BK$50,2,FALSE),$K$4:$AL$4,0),FALSE),BoundParameters_HiddenSheetCLAY!$I$1:$L$1,0),FALSE),IF(VLOOKUP($F60,'Table Output'!$A$1:$H$10002,8,FALSE)="Clay",VLOOKUP(S$37,BoundParameters_HiddenSheetCLAY!$I$3:$L$50,MATCH(VLOOKUP($K95,$K$5:$AL$34,MATCH(VLOOKUP(S$37,$BJ$3:$BK$50,2,FALSE),$K$4:$AL$4,0),FALSE),BoundParameters_HiddenSheetCLAY!$I$1:$L$1,0),FALSE))),'Control Panel'!S95)))</f>
        <v/>
      </c>
      <c r="T95" s="27" t="str">
        <f>IF($K95="","",IF(T$37="","",IF('Control Panel'!T95="",IF(VLOOKUP($F60,'Table Output'!$A$1:$H$100002,8,FALSE)="Sand",VLOOKUP(T$37,BoundParameters_HiddenSheetSAND!$I$3:$L$50,MATCH(VLOOKUP($K95,$K$5:$AL$34,MATCH(VLOOKUP(T$37,$BJ$3:$BK$50,2,FALSE),$K$4:$AL$4,0),FALSE),BoundParameters_HiddenSheetCLAY!$I$1:$L$1,0),FALSE),IF(VLOOKUP($F60,'Table Output'!$A$1:$H$10002,8,FALSE)="Clay",VLOOKUP(T$37,BoundParameters_HiddenSheetCLAY!$I$3:$L$50,MATCH(VLOOKUP($K95,$K$5:$AL$34,MATCH(VLOOKUP(T$37,$BJ$3:$BK$50,2,FALSE),$K$4:$AL$4,0),FALSE),BoundParameters_HiddenSheetCLAY!$I$1:$L$1,0),FALSE))),'Control Panel'!T95)))</f>
        <v/>
      </c>
      <c r="U95" s="27" t="str">
        <f>IF($K95="","",IF(U$37="","",IF('Control Panel'!U95="",IF(VLOOKUP($F60,'Table Output'!$A$1:$H$100002,8,FALSE)="Sand",VLOOKUP(U$37,BoundParameters_HiddenSheetSAND!$I$3:$L$50,MATCH(VLOOKUP($K95,$K$5:$AL$34,MATCH(VLOOKUP(U$37,$BJ$3:$BK$50,2,FALSE),$K$4:$AL$4,0),FALSE),BoundParameters_HiddenSheetCLAY!$I$1:$L$1,0),FALSE),IF(VLOOKUP($F60,'Table Output'!$A$1:$H$10002,8,FALSE)="Clay",VLOOKUP(U$37,BoundParameters_HiddenSheetCLAY!$I$3:$L$50,MATCH(VLOOKUP($K95,$K$5:$AL$34,MATCH(VLOOKUP(U$37,$BJ$3:$BK$50,2,FALSE),$K$4:$AL$4,0),FALSE),BoundParameters_HiddenSheetCLAY!$I$1:$L$1,0),FALSE))),'Control Panel'!U95)))</f>
        <v/>
      </c>
    </row>
    <row r="96" spans="5:21" x14ac:dyDescent="0.2">
      <c r="E96" s="2" t="str">
        <f t="shared" ref="E96:J96" si="73">E61</f>
        <v/>
      </c>
      <c r="F96" s="2" t="str">
        <f t="shared" si="73"/>
        <v/>
      </c>
      <c r="G96" s="2" t="str">
        <f t="shared" si="73"/>
        <v/>
      </c>
      <c r="H96" s="2" t="str">
        <f t="shared" si="73"/>
        <v/>
      </c>
      <c r="I96" s="2" t="str">
        <f t="shared" si="73"/>
        <v/>
      </c>
      <c r="J96" s="2" t="str">
        <f t="shared" si="73"/>
        <v/>
      </c>
      <c r="K96" s="4" t="str">
        <f t="shared" si="68"/>
        <v/>
      </c>
      <c r="L96" s="27" t="str">
        <f>IF($K96="","",IF(L$37="","",IF('Control Panel'!L96="",IF(VLOOKUP($F61,'Table Output'!$A$1:$H$100002,8,FALSE)="Sand",VLOOKUP(L$37,BoundParameters_HiddenSheetSAND!$I$3:$L$50,MATCH(VLOOKUP($K96,$K$5:$AL$34,MATCH(VLOOKUP(L$37,$BJ$3:$BK$50,2,FALSE),$K$4:$AL$4,0),FALSE),BoundParameters_HiddenSheetCLAY!$I$1:$L$1,0),FALSE),IF(VLOOKUP($F61,'Table Output'!$A$1:$H$10002,8,FALSE)="Clay",VLOOKUP(L$37,BoundParameters_HiddenSheetCLAY!$I$3:$L$50,MATCH(VLOOKUP($K96,$K$5:$AL$34,MATCH(VLOOKUP(L$37,$BJ$3:$BK$50,2,FALSE),$K$4:$AL$4,0),FALSE),BoundParameters_HiddenSheetCLAY!$I$1:$L$1,0),FALSE))),'Control Panel'!L96)))</f>
        <v/>
      </c>
      <c r="M96" s="27" t="str">
        <f>IF($K96="","",IF(M$37="","",IF('Control Panel'!M96="",IF(VLOOKUP($F61,'Table Output'!$A$1:$H$100002,8,FALSE)="Sand",VLOOKUP(M$37,BoundParameters_HiddenSheetSAND!$I$3:$L$50,MATCH(VLOOKUP($K96,$K$5:$AL$34,MATCH(VLOOKUP(M$37,$BJ$3:$BK$50,2,FALSE),$K$4:$AL$4,0),FALSE),BoundParameters_HiddenSheetCLAY!$I$1:$L$1,0),FALSE),IF(VLOOKUP($F61,'Table Output'!$A$1:$H$10002,8,FALSE)="Clay",VLOOKUP(M$37,BoundParameters_HiddenSheetCLAY!$I$3:$L$50,MATCH(VLOOKUP($K96,$K$5:$AL$34,MATCH(VLOOKUP(M$37,$BJ$3:$BK$50,2,FALSE),$K$4:$AL$4,0),FALSE),BoundParameters_HiddenSheetCLAY!$I$1:$L$1,0),FALSE))),'Control Panel'!M96)))</f>
        <v/>
      </c>
      <c r="N96" s="27" t="str">
        <f>IF($K96="","",IF(N$37="","",IF('Control Panel'!N96="",IF(VLOOKUP($F61,'Table Output'!$A$1:$H$100002,8,FALSE)="Sand",VLOOKUP(N$37,BoundParameters_HiddenSheetSAND!$I$3:$L$50,MATCH(VLOOKUP($K96,$K$5:$AL$34,MATCH(VLOOKUP(N$37,$BJ$3:$BK$50,2,FALSE),$K$4:$AL$4,0),FALSE),BoundParameters_HiddenSheetCLAY!$I$1:$L$1,0),FALSE),IF(VLOOKUP($F61,'Table Output'!$A$1:$H$10002,8,FALSE)="Clay",VLOOKUP(N$37,BoundParameters_HiddenSheetCLAY!$I$3:$L$50,MATCH(VLOOKUP($K96,$K$5:$AL$34,MATCH(VLOOKUP(N$37,$BJ$3:$BK$50,2,FALSE),$K$4:$AL$4,0),FALSE),BoundParameters_HiddenSheetCLAY!$I$1:$L$1,0),FALSE))),'Control Panel'!N96)))</f>
        <v/>
      </c>
      <c r="O96" s="27" t="str">
        <f>IF($K96="","",IF(O$37="","",IF('Control Panel'!O96="",IF(VLOOKUP($F61,'Table Output'!$A$1:$H$100002,8,FALSE)="Sand",VLOOKUP(O$37,BoundParameters_HiddenSheetSAND!$I$3:$L$50,MATCH(VLOOKUP($K96,$K$5:$AL$34,MATCH(VLOOKUP(O$37,$BJ$3:$BK$50,2,FALSE),$K$4:$AL$4,0),FALSE),BoundParameters_HiddenSheetCLAY!$I$1:$L$1,0),FALSE),IF(VLOOKUP($F61,'Table Output'!$A$1:$H$10002,8,FALSE)="Clay",VLOOKUP(O$37,BoundParameters_HiddenSheetCLAY!$I$3:$L$50,MATCH(VLOOKUP($K96,$K$5:$AL$34,MATCH(VLOOKUP(O$37,$BJ$3:$BK$50,2,FALSE),$K$4:$AL$4,0),FALSE),BoundParameters_HiddenSheetCLAY!$I$1:$L$1,0),FALSE))),'Control Panel'!O96)))</f>
        <v/>
      </c>
      <c r="P96" s="27" t="str">
        <f>IF($K96="","",IF(P$37="","",IF('Control Panel'!P96="",IF(VLOOKUP($F61,'Table Output'!$A$1:$H$100002,8,FALSE)="Sand",VLOOKUP(P$37,BoundParameters_HiddenSheetSAND!$I$3:$L$50,MATCH(VLOOKUP($K96,$K$5:$AL$34,MATCH(VLOOKUP(P$37,$BJ$3:$BK$50,2,FALSE),$K$4:$AL$4,0),FALSE),BoundParameters_HiddenSheetCLAY!$I$1:$L$1,0),FALSE),IF(VLOOKUP($F61,'Table Output'!$A$1:$H$10002,8,FALSE)="Clay",VLOOKUP(P$37,BoundParameters_HiddenSheetCLAY!$I$3:$L$50,MATCH(VLOOKUP($K96,$K$5:$AL$34,MATCH(VLOOKUP(P$37,$BJ$3:$BK$50,2,FALSE),$K$4:$AL$4,0),FALSE),BoundParameters_HiddenSheetCLAY!$I$1:$L$1,0),FALSE))),'Control Panel'!P96)))</f>
        <v/>
      </c>
      <c r="Q96" s="27" t="str">
        <f>IF($K96="","",IF(Q$37="","",IF('Control Panel'!Q96="",IF(VLOOKUP($F61,'Table Output'!$A$1:$H$100002,8,FALSE)="Sand",VLOOKUP(Q$37,BoundParameters_HiddenSheetSAND!$I$3:$L$50,MATCH(VLOOKUP($K96,$K$5:$AL$34,MATCH(VLOOKUP(Q$37,$BJ$3:$BK$50,2,FALSE),$K$4:$AL$4,0),FALSE),BoundParameters_HiddenSheetCLAY!$I$1:$L$1,0),FALSE),IF(VLOOKUP($F61,'Table Output'!$A$1:$H$10002,8,FALSE)="Clay",VLOOKUP(Q$37,BoundParameters_HiddenSheetCLAY!$I$3:$L$50,MATCH(VLOOKUP($K96,$K$5:$AL$34,MATCH(VLOOKUP(Q$37,$BJ$3:$BK$50,2,FALSE),$K$4:$AL$4,0),FALSE),BoundParameters_HiddenSheetCLAY!$I$1:$L$1,0),FALSE))),'Control Panel'!Q96)))</f>
        <v/>
      </c>
      <c r="R96" s="27" t="str">
        <f>IF($K96="","",IF(R$37="","",IF('Control Panel'!R96="",IF(VLOOKUP($F61,'Table Output'!$A$1:$H$100002,8,FALSE)="Sand",VLOOKUP(R$37,BoundParameters_HiddenSheetSAND!$I$3:$L$50,MATCH(VLOOKUP($K96,$K$5:$AL$34,MATCH(VLOOKUP(R$37,$BJ$3:$BK$50,2,FALSE),$K$4:$AL$4,0),FALSE),BoundParameters_HiddenSheetCLAY!$I$1:$L$1,0),FALSE),IF(VLOOKUP($F61,'Table Output'!$A$1:$H$10002,8,FALSE)="Clay",VLOOKUP(R$37,BoundParameters_HiddenSheetCLAY!$I$3:$L$50,MATCH(VLOOKUP($K96,$K$5:$AL$34,MATCH(VLOOKUP(R$37,$BJ$3:$BK$50,2,FALSE),$K$4:$AL$4,0),FALSE),BoundParameters_HiddenSheetCLAY!$I$1:$L$1,0),FALSE))),'Control Panel'!R96)))</f>
        <v/>
      </c>
      <c r="S96" s="27" t="str">
        <f>IF($K96="","",IF(S$37="","",IF('Control Panel'!S96="",IF(VLOOKUP($F61,'Table Output'!$A$1:$H$100002,8,FALSE)="Sand",VLOOKUP(S$37,BoundParameters_HiddenSheetSAND!$I$3:$L$50,MATCH(VLOOKUP($K96,$K$5:$AL$34,MATCH(VLOOKUP(S$37,$BJ$3:$BK$50,2,FALSE),$K$4:$AL$4,0),FALSE),BoundParameters_HiddenSheetCLAY!$I$1:$L$1,0),FALSE),IF(VLOOKUP($F61,'Table Output'!$A$1:$H$10002,8,FALSE)="Clay",VLOOKUP(S$37,BoundParameters_HiddenSheetCLAY!$I$3:$L$50,MATCH(VLOOKUP($K96,$K$5:$AL$34,MATCH(VLOOKUP(S$37,$BJ$3:$BK$50,2,FALSE),$K$4:$AL$4,0),FALSE),BoundParameters_HiddenSheetCLAY!$I$1:$L$1,0),FALSE))),'Control Panel'!S96)))</f>
        <v/>
      </c>
      <c r="T96" s="27" t="str">
        <f>IF($K96="","",IF(T$37="","",IF('Control Panel'!T96="",IF(VLOOKUP($F61,'Table Output'!$A$1:$H$100002,8,FALSE)="Sand",VLOOKUP(T$37,BoundParameters_HiddenSheetSAND!$I$3:$L$50,MATCH(VLOOKUP($K96,$K$5:$AL$34,MATCH(VLOOKUP(T$37,$BJ$3:$BK$50,2,FALSE),$K$4:$AL$4,0),FALSE),BoundParameters_HiddenSheetCLAY!$I$1:$L$1,0),FALSE),IF(VLOOKUP($F61,'Table Output'!$A$1:$H$10002,8,FALSE)="Clay",VLOOKUP(T$37,BoundParameters_HiddenSheetCLAY!$I$3:$L$50,MATCH(VLOOKUP($K96,$K$5:$AL$34,MATCH(VLOOKUP(T$37,$BJ$3:$BK$50,2,FALSE),$K$4:$AL$4,0),FALSE),BoundParameters_HiddenSheetCLAY!$I$1:$L$1,0),FALSE))),'Control Panel'!T96)))</f>
        <v/>
      </c>
      <c r="U96" s="27" t="str">
        <f>IF($K96="","",IF(U$37="","",IF('Control Panel'!U96="",IF(VLOOKUP($F61,'Table Output'!$A$1:$H$100002,8,FALSE)="Sand",VLOOKUP(U$37,BoundParameters_HiddenSheetSAND!$I$3:$L$50,MATCH(VLOOKUP($K96,$K$5:$AL$34,MATCH(VLOOKUP(U$37,$BJ$3:$BK$50,2,FALSE),$K$4:$AL$4,0),FALSE),BoundParameters_HiddenSheetCLAY!$I$1:$L$1,0),FALSE),IF(VLOOKUP($F61,'Table Output'!$A$1:$H$10002,8,FALSE)="Clay",VLOOKUP(U$37,BoundParameters_HiddenSheetCLAY!$I$3:$L$50,MATCH(VLOOKUP($K96,$K$5:$AL$34,MATCH(VLOOKUP(U$37,$BJ$3:$BK$50,2,FALSE),$K$4:$AL$4,0),FALSE),BoundParameters_HiddenSheetCLAY!$I$1:$L$1,0),FALSE))),'Control Panel'!U96)))</f>
        <v/>
      </c>
    </row>
    <row r="97" spans="5:21" x14ac:dyDescent="0.2">
      <c r="E97" s="2" t="str">
        <f t="shared" ref="E97:J97" si="74">E62</f>
        <v/>
      </c>
      <c r="F97" s="2" t="str">
        <f t="shared" si="74"/>
        <v/>
      </c>
      <c r="G97" s="2" t="str">
        <f t="shared" si="74"/>
        <v/>
      </c>
      <c r="H97" s="2" t="str">
        <f t="shared" si="74"/>
        <v/>
      </c>
      <c r="I97" s="2" t="str">
        <f t="shared" si="74"/>
        <v/>
      </c>
      <c r="J97" s="2" t="str">
        <f t="shared" si="74"/>
        <v/>
      </c>
      <c r="K97" s="4" t="str">
        <f t="shared" si="68"/>
        <v/>
      </c>
      <c r="L97" s="27" t="str">
        <f>IF($K97="","",IF(L$37="","",IF('Control Panel'!L97="",IF(VLOOKUP($F62,'Table Output'!$A$1:$H$100002,8,FALSE)="Sand",VLOOKUP(L$37,BoundParameters_HiddenSheetSAND!$I$3:$L$50,MATCH(VLOOKUP($K97,$K$5:$AL$34,MATCH(VLOOKUP(L$37,$BJ$3:$BK$50,2,FALSE),$K$4:$AL$4,0),FALSE),BoundParameters_HiddenSheetCLAY!$I$1:$L$1,0),FALSE),IF(VLOOKUP($F62,'Table Output'!$A$1:$H$10002,8,FALSE)="Clay",VLOOKUP(L$37,BoundParameters_HiddenSheetCLAY!$I$3:$L$50,MATCH(VLOOKUP($K97,$K$5:$AL$34,MATCH(VLOOKUP(L$37,$BJ$3:$BK$50,2,FALSE),$K$4:$AL$4,0),FALSE),BoundParameters_HiddenSheetCLAY!$I$1:$L$1,0),FALSE))),'Control Panel'!L97)))</f>
        <v/>
      </c>
      <c r="M97" s="27" t="str">
        <f>IF($K97="","",IF(M$37="","",IF('Control Panel'!M97="",IF(VLOOKUP($F62,'Table Output'!$A$1:$H$100002,8,FALSE)="Sand",VLOOKUP(M$37,BoundParameters_HiddenSheetSAND!$I$3:$L$50,MATCH(VLOOKUP($K97,$K$5:$AL$34,MATCH(VLOOKUP(M$37,$BJ$3:$BK$50,2,FALSE),$K$4:$AL$4,0),FALSE),BoundParameters_HiddenSheetCLAY!$I$1:$L$1,0),FALSE),IF(VLOOKUP($F62,'Table Output'!$A$1:$H$10002,8,FALSE)="Clay",VLOOKUP(M$37,BoundParameters_HiddenSheetCLAY!$I$3:$L$50,MATCH(VLOOKUP($K97,$K$5:$AL$34,MATCH(VLOOKUP(M$37,$BJ$3:$BK$50,2,FALSE),$K$4:$AL$4,0),FALSE),BoundParameters_HiddenSheetCLAY!$I$1:$L$1,0),FALSE))),'Control Panel'!M97)))</f>
        <v/>
      </c>
      <c r="N97" s="27" t="str">
        <f>IF($K97="","",IF(N$37="","",IF('Control Panel'!N97="",IF(VLOOKUP($F62,'Table Output'!$A$1:$H$100002,8,FALSE)="Sand",VLOOKUP(N$37,BoundParameters_HiddenSheetSAND!$I$3:$L$50,MATCH(VLOOKUP($K97,$K$5:$AL$34,MATCH(VLOOKUP(N$37,$BJ$3:$BK$50,2,FALSE),$K$4:$AL$4,0),FALSE),BoundParameters_HiddenSheetCLAY!$I$1:$L$1,0),FALSE),IF(VLOOKUP($F62,'Table Output'!$A$1:$H$10002,8,FALSE)="Clay",VLOOKUP(N$37,BoundParameters_HiddenSheetCLAY!$I$3:$L$50,MATCH(VLOOKUP($K97,$K$5:$AL$34,MATCH(VLOOKUP(N$37,$BJ$3:$BK$50,2,FALSE),$K$4:$AL$4,0),FALSE),BoundParameters_HiddenSheetCLAY!$I$1:$L$1,0),FALSE))),'Control Panel'!N97)))</f>
        <v/>
      </c>
      <c r="O97" s="27" t="str">
        <f>IF($K97="","",IF(O$37="","",IF('Control Panel'!O97="",IF(VLOOKUP($F62,'Table Output'!$A$1:$H$100002,8,FALSE)="Sand",VLOOKUP(O$37,BoundParameters_HiddenSheetSAND!$I$3:$L$50,MATCH(VLOOKUP($K97,$K$5:$AL$34,MATCH(VLOOKUP(O$37,$BJ$3:$BK$50,2,FALSE),$K$4:$AL$4,0),FALSE),BoundParameters_HiddenSheetCLAY!$I$1:$L$1,0),FALSE),IF(VLOOKUP($F62,'Table Output'!$A$1:$H$10002,8,FALSE)="Clay",VLOOKUP(O$37,BoundParameters_HiddenSheetCLAY!$I$3:$L$50,MATCH(VLOOKUP($K97,$K$5:$AL$34,MATCH(VLOOKUP(O$37,$BJ$3:$BK$50,2,FALSE),$K$4:$AL$4,0),FALSE),BoundParameters_HiddenSheetCLAY!$I$1:$L$1,0),FALSE))),'Control Panel'!O97)))</f>
        <v/>
      </c>
      <c r="P97" s="27" t="str">
        <f>IF($K97="","",IF(P$37="","",IF('Control Panel'!P97="",IF(VLOOKUP($F62,'Table Output'!$A$1:$H$100002,8,FALSE)="Sand",VLOOKUP(P$37,BoundParameters_HiddenSheetSAND!$I$3:$L$50,MATCH(VLOOKUP($K97,$K$5:$AL$34,MATCH(VLOOKUP(P$37,$BJ$3:$BK$50,2,FALSE),$K$4:$AL$4,0),FALSE),BoundParameters_HiddenSheetCLAY!$I$1:$L$1,0),FALSE),IF(VLOOKUP($F62,'Table Output'!$A$1:$H$10002,8,FALSE)="Clay",VLOOKUP(P$37,BoundParameters_HiddenSheetCLAY!$I$3:$L$50,MATCH(VLOOKUP($K97,$K$5:$AL$34,MATCH(VLOOKUP(P$37,$BJ$3:$BK$50,2,FALSE),$K$4:$AL$4,0),FALSE),BoundParameters_HiddenSheetCLAY!$I$1:$L$1,0),FALSE))),'Control Panel'!P97)))</f>
        <v/>
      </c>
      <c r="Q97" s="27" t="str">
        <f>IF($K97="","",IF(Q$37="","",IF('Control Panel'!Q97="",IF(VLOOKUP($F62,'Table Output'!$A$1:$H$100002,8,FALSE)="Sand",VLOOKUP(Q$37,BoundParameters_HiddenSheetSAND!$I$3:$L$50,MATCH(VLOOKUP($K97,$K$5:$AL$34,MATCH(VLOOKUP(Q$37,$BJ$3:$BK$50,2,FALSE),$K$4:$AL$4,0),FALSE),BoundParameters_HiddenSheetCLAY!$I$1:$L$1,0),FALSE),IF(VLOOKUP($F62,'Table Output'!$A$1:$H$10002,8,FALSE)="Clay",VLOOKUP(Q$37,BoundParameters_HiddenSheetCLAY!$I$3:$L$50,MATCH(VLOOKUP($K97,$K$5:$AL$34,MATCH(VLOOKUP(Q$37,$BJ$3:$BK$50,2,FALSE),$K$4:$AL$4,0),FALSE),BoundParameters_HiddenSheetCLAY!$I$1:$L$1,0),FALSE))),'Control Panel'!Q97)))</f>
        <v/>
      </c>
      <c r="R97" s="27" t="str">
        <f>IF($K97="","",IF(R$37="","",IF('Control Panel'!R97="",IF(VLOOKUP($F62,'Table Output'!$A$1:$H$100002,8,FALSE)="Sand",VLOOKUP(R$37,BoundParameters_HiddenSheetSAND!$I$3:$L$50,MATCH(VLOOKUP($K97,$K$5:$AL$34,MATCH(VLOOKUP(R$37,$BJ$3:$BK$50,2,FALSE),$K$4:$AL$4,0),FALSE),BoundParameters_HiddenSheetCLAY!$I$1:$L$1,0),FALSE),IF(VLOOKUP($F62,'Table Output'!$A$1:$H$10002,8,FALSE)="Clay",VLOOKUP(R$37,BoundParameters_HiddenSheetCLAY!$I$3:$L$50,MATCH(VLOOKUP($K97,$K$5:$AL$34,MATCH(VLOOKUP(R$37,$BJ$3:$BK$50,2,FALSE),$K$4:$AL$4,0),FALSE),BoundParameters_HiddenSheetCLAY!$I$1:$L$1,0),FALSE))),'Control Panel'!R97)))</f>
        <v/>
      </c>
      <c r="S97" s="27" t="str">
        <f>IF($K97="","",IF(S$37="","",IF('Control Panel'!S97="",IF(VLOOKUP($F62,'Table Output'!$A$1:$H$100002,8,FALSE)="Sand",VLOOKUP(S$37,BoundParameters_HiddenSheetSAND!$I$3:$L$50,MATCH(VLOOKUP($K97,$K$5:$AL$34,MATCH(VLOOKUP(S$37,$BJ$3:$BK$50,2,FALSE),$K$4:$AL$4,0),FALSE),BoundParameters_HiddenSheetCLAY!$I$1:$L$1,0),FALSE),IF(VLOOKUP($F62,'Table Output'!$A$1:$H$10002,8,FALSE)="Clay",VLOOKUP(S$37,BoundParameters_HiddenSheetCLAY!$I$3:$L$50,MATCH(VLOOKUP($K97,$K$5:$AL$34,MATCH(VLOOKUP(S$37,$BJ$3:$BK$50,2,FALSE),$K$4:$AL$4,0),FALSE),BoundParameters_HiddenSheetCLAY!$I$1:$L$1,0),FALSE))),'Control Panel'!S97)))</f>
        <v/>
      </c>
      <c r="T97" s="27" t="str">
        <f>IF($K97="","",IF(T$37="","",IF('Control Panel'!T97="",IF(VLOOKUP($F62,'Table Output'!$A$1:$H$100002,8,FALSE)="Sand",VLOOKUP(T$37,BoundParameters_HiddenSheetSAND!$I$3:$L$50,MATCH(VLOOKUP($K97,$K$5:$AL$34,MATCH(VLOOKUP(T$37,$BJ$3:$BK$50,2,FALSE),$K$4:$AL$4,0),FALSE),BoundParameters_HiddenSheetCLAY!$I$1:$L$1,0),FALSE),IF(VLOOKUP($F62,'Table Output'!$A$1:$H$10002,8,FALSE)="Clay",VLOOKUP(T$37,BoundParameters_HiddenSheetCLAY!$I$3:$L$50,MATCH(VLOOKUP($K97,$K$5:$AL$34,MATCH(VLOOKUP(T$37,$BJ$3:$BK$50,2,FALSE),$K$4:$AL$4,0),FALSE),BoundParameters_HiddenSheetCLAY!$I$1:$L$1,0),FALSE))),'Control Panel'!T97)))</f>
        <v/>
      </c>
      <c r="U97" s="27" t="str">
        <f>IF($K97="","",IF(U$37="","",IF('Control Panel'!U97="",IF(VLOOKUP($F62,'Table Output'!$A$1:$H$100002,8,FALSE)="Sand",VLOOKUP(U$37,BoundParameters_HiddenSheetSAND!$I$3:$L$50,MATCH(VLOOKUP($K97,$K$5:$AL$34,MATCH(VLOOKUP(U$37,$BJ$3:$BK$50,2,FALSE),$K$4:$AL$4,0),FALSE),BoundParameters_HiddenSheetCLAY!$I$1:$L$1,0),FALSE),IF(VLOOKUP($F62,'Table Output'!$A$1:$H$10002,8,FALSE)="Clay",VLOOKUP(U$37,BoundParameters_HiddenSheetCLAY!$I$3:$L$50,MATCH(VLOOKUP($K97,$K$5:$AL$34,MATCH(VLOOKUP(U$37,$BJ$3:$BK$50,2,FALSE),$K$4:$AL$4,0),FALSE),BoundParameters_HiddenSheetCLAY!$I$1:$L$1,0),FALSE))),'Control Panel'!U97)))</f>
        <v/>
      </c>
    </row>
    <row r="98" spans="5:21" x14ac:dyDescent="0.2">
      <c r="E98" s="2" t="str">
        <f t="shared" ref="E98:J98" si="75">E63</f>
        <v/>
      </c>
      <c r="F98" s="2" t="str">
        <f t="shared" si="75"/>
        <v/>
      </c>
      <c r="G98" s="2" t="str">
        <f t="shared" si="75"/>
        <v/>
      </c>
      <c r="H98" s="2" t="str">
        <f t="shared" si="75"/>
        <v/>
      </c>
      <c r="I98" s="2" t="str">
        <f t="shared" si="75"/>
        <v/>
      </c>
      <c r="J98" s="2" t="str">
        <f t="shared" si="75"/>
        <v/>
      </c>
      <c r="K98" s="4" t="str">
        <f>K63</f>
        <v/>
      </c>
      <c r="L98" s="27" t="str">
        <f>IF($K98="","",IF(L$37="","",IF('Control Panel'!L98="",IF(VLOOKUP($F63,'Table Output'!$A$1:$H$100002,8,FALSE)="Sand",VLOOKUP(L$37,BoundParameters_HiddenSheetSAND!$I$3:$L$50,MATCH(VLOOKUP($K98,$K$5:$AL$34,MATCH(VLOOKUP(L$37,$BJ$3:$BK$50,2,FALSE),$K$4:$AL$4,0),FALSE),BoundParameters_HiddenSheetCLAY!$I$1:$L$1,0),FALSE),IF(VLOOKUP($F63,'Table Output'!$A$1:$H$10002,8,FALSE)="Clay",VLOOKUP(L$37,BoundParameters_HiddenSheetCLAY!$I$3:$L$50,MATCH(VLOOKUP($K98,$K$5:$AL$34,MATCH(VLOOKUP(L$37,$BJ$3:$BK$50,2,FALSE),$K$4:$AL$4,0),FALSE),BoundParameters_HiddenSheetCLAY!$I$1:$L$1,0),FALSE))),'Control Panel'!L98)))</f>
        <v/>
      </c>
      <c r="M98" s="27" t="str">
        <f>IF($K98="","",IF(M$37="","",IF('Control Panel'!M98="",IF(VLOOKUP($F63,'Table Output'!$A$1:$H$100002,8,FALSE)="Sand",VLOOKUP(M$37,BoundParameters_HiddenSheetSAND!$I$3:$L$50,MATCH(VLOOKUP($K98,$K$5:$AL$34,MATCH(VLOOKUP(M$37,$BJ$3:$BK$50,2,FALSE),$K$4:$AL$4,0),FALSE),BoundParameters_HiddenSheetCLAY!$I$1:$L$1,0),FALSE),IF(VLOOKUP($F63,'Table Output'!$A$1:$H$10002,8,FALSE)="Clay",VLOOKUP(M$37,BoundParameters_HiddenSheetCLAY!$I$3:$L$50,MATCH(VLOOKUP($K98,$K$5:$AL$34,MATCH(VLOOKUP(M$37,$BJ$3:$BK$50,2,FALSE),$K$4:$AL$4,0),FALSE),BoundParameters_HiddenSheetCLAY!$I$1:$L$1,0),FALSE))),'Control Panel'!M98)))</f>
        <v/>
      </c>
      <c r="N98" s="27" t="str">
        <f>IF($K98="","",IF(N$37="","",IF('Control Panel'!N98="",IF(VLOOKUP($F63,'Table Output'!$A$1:$H$100002,8,FALSE)="Sand",VLOOKUP(N$37,BoundParameters_HiddenSheetSAND!$I$3:$L$50,MATCH(VLOOKUP($K98,$K$5:$AL$34,MATCH(VLOOKUP(N$37,$BJ$3:$BK$50,2,FALSE),$K$4:$AL$4,0),FALSE),BoundParameters_HiddenSheetCLAY!$I$1:$L$1,0),FALSE),IF(VLOOKUP($F63,'Table Output'!$A$1:$H$10002,8,FALSE)="Clay",VLOOKUP(N$37,BoundParameters_HiddenSheetCLAY!$I$3:$L$50,MATCH(VLOOKUP($K98,$K$5:$AL$34,MATCH(VLOOKUP(N$37,$BJ$3:$BK$50,2,FALSE),$K$4:$AL$4,0),FALSE),BoundParameters_HiddenSheetCLAY!$I$1:$L$1,0),FALSE))),'Control Panel'!N98)))</f>
        <v/>
      </c>
      <c r="O98" s="27" t="str">
        <f>IF($K98="","",IF(O$37="","",IF('Control Panel'!O98="",IF(VLOOKUP($F63,'Table Output'!$A$1:$H$100002,8,FALSE)="Sand",VLOOKUP(O$37,BoundParameters_HiddenSheetSAND!$I$3:$L$50,MATCH(VLOOKUP($K98,$K$5:$AL$34,MATCH(VLOOKUP(O$37,$BJ$3:$BK$50,2,FALSE),$K$4:$AL$4,0),FALSE),BoundParameters_HiddenSheetCLAY!$I$1:$L$1,0),FALSE),IF(VLOOKUP($F63,'Table Output'!$A$1:$H$10002,8,FALSE)="Clay",VLOOKUP(O$37,BoundParameters_HiddenSheetCLAY!$I$3:$L$50,MATCH(VLOOKUP($K98,$K$5:$AL$34,MATCH(VLOOKUP(O$37,$BJ$3:$BK$50,2,FALSE),$K$4:$AL$4,0),FALSE),BoundParameters_HiddenSheetCLAY!$I$1:$L$1,0),FALSE))),'Control Panel'!O98)))</f>
        <v/>
      </c>
      <c r="P98" s="27" t="str">
        <f>IF($K98="","",IF(P$37="","",IF('Control Panel'!P98="",IF(VLOOKUP($F63,'Table Output'!$A$1:$H$100002,8,FALSE)="Sand",VLOOKUP(P$37,BoundParameters_HiddenSheetSAND!$I$3:$L$50,MATCH(VLOOKUP($K98,$K$5:$AL$34,MATCH(VLOOKUP(P$37,$BJ$3:$BK$50,2,FALSE),$K$4:$AL$4,0),FALSE),BoundParameters_HiddenSheetCLAY!$I$1:$L$1,0),FALSE),IF(VLOOKUP($F63,'Table Output'!$A$1:$H$10002,8,FALSE)="Clay",VLOOKUP(P$37,BoundParameters_HiddenSheetCLAY!$I$3:$L$50,MATCH(VLOOKUP($K98,$K$5:$AL$34,MATCH(VLOOKUP(P$37,$BJ$3:$BK$50,2,FALSE),$K$4:$AL$4,0),FALSE),BoundParameters_HiddenSheetCLAY!$I$1:$L$1,0),FALSE))),'Control Panel'!P98)))</f>
        <v/>
      </c>
      <c r="Q98" s="27" t="str">
        <f>IF($K98="","",IF(Q$37="","",IF('Control Panel'!Q98="",IF(VLOOKUP($F63,'Table Output'!$A$1:$H$100002,8,FALSE)="Sand",VLOOKUP(Q$37,BoundParameters_HiddenSheetSAND!$I$3:$L$50,MATCH(VLOOKUP($K98,$K$5:$AL$34,MATCH(VLOOKUP(Q$37,$BJ$3:$BK$50,2,FALSE),$K$4:$AL$4,0),FALSE),BoundParameters_HiddenSheetCLAY!$I$1:$L$1,0),FALSE),IF(VLOOKUP($F63,'Table Output'!$A$1:$H$10002,8,FALSE)="Clay",VLOOKUP(Q$37,BoundParameters_HiddenSheetCLAY!$I$3:$L$50,MATCH(VLOOKUP($K98,$K$5:$AL$34,MATCH(VLOOKUP(Q$37,$BJ$3:$BK$50,2,FALSE),$K$4:$AL$4,0),FALSE),BoundParameters_HiddenSheetCLAY!$I$1:$L$1,0),FALSE))),'Control Panel'!Q98)))</f>
        <v/>
      </c>
      <c r="R98" s="27" t="str">
        <f>IF($K98="","",IF(R$37="","",IF('Control Panel'!R98="",IF(VLOOKUP($F63,'Table Output'!$A$1:$H$100002,8,FALSE)="Sand",VLOOKUP(R$37,BoundParameters_HiddenSheetSAND!$I$3:$L$50,MATCH(VLOOKUP($K98,$K$5:$AL$34,MATCH(VLOOKUP(R$37,$BJ$3:$BK$50,2,FALSE),$K$4:$AL$4,0),FALSE),BoundParameters_HiddenSheetCLAY!$I$1:$L$1,0),FALSE),IF(VLOOKUP($F63,'Table Output'!$A$1:$H$10002,8,FALSE)="Clay",VLOOKUP(R$37,BoundParameters_HiddenSheetCLAY!$I$3:$L$50,MATCH(VLOOKUP($K98,$K$5:$AL$34,MATCH(VLOOKUP(R$37,$BJ$3:$BK$50,2,FALSE),$K$4:$AL$4,0),FALSE),BoundParameters_HiddenSheetCLAY!$I$1:$L$1,0),FALSE))),'Control Panel'!R98)))</f>
        <v/>
      </c>
      <c r="S98" s="27" t="str">
        <f>IF($K98="","",IF(S$37="","",IF('Control Panel'!S98="",IF(VLOOKUP($F63,'Table Output'!$A$1:$H$100002,8,FALSE)="Sand",VLOOKUP(S$37,BoundParameters_HiddenSheetSAND!$I$3:$L$50,MATCH(VLOOKUP($K98,$K$5:$AL$34,MATCH(VLOOKUP(S$37,$BJ$3:$BK$50,2,FALSE),$K$4:$AL$4,0),FALSE),BoundParameters_HiddenSheetCLAY!$I$1:$L$1,0),FALSE),IF(VLOOKUP($F63,'Table Output'!$A$1:$H$10002,8,FALSE)="Clay",VLOOKUP(S$37,BoundParameters_HiddenSheetCLAY!$I$3:$L$50,MATCH(VLOOKUP($K98,$K$5:$AL$34,MATCH(VLOOKUP(S$37,$BJ$3:$BK$50,2,FALSE),$K$4:$AL$4,0),FALSE),BoundParameters_HiddenSheetCLAY!$I$1:$L$1,0),FALSE))),'Control Panel'!S98)))</f>
        <v/>
      </c>
      <c r="T98" s="27" t="str">
        <f>IF($K98="","",IF(T$37="","",IF('Control Panel'!T98="",IF(VLOOKUP($F63,'Table Output'!$A$1:$H$100002,8,FALSE)="Sand",VLOOKUP(T$37,BoundParameters_HiddenSheetSAND!$I$3:$L$50,MATCH(VLOOKUP($K98,$K$5:$AL$34,MATCH(VLOOKUP(T$37,$BJ$3:$BK$50,2,FALSE),$K$4:$AL$4,0),FALSE),BoundParameters_HiddenSheetCLAY!$I$1:$L$1,0),FALSE),IF(VLOOKUP($F63,'Table Output'!$A$1:$H$10002,8,FALSE)="Clay",VLOOKUP(T$37,BoundParameters_HiddenSheetCLAY!$I$3:$L$50,MATCH(VLOOKUP($K98,$K$5:$AL$34,MATCH(VLOOKUP(T$37,$BJ$3:$BK$50,2,FALSE),$K$4:$AL$4,0),FALSE),BoundParameters_HiddenSheetCLAY!$I$1:$L$1,0),FALSE))),'Control Panel'!T98)))</f>
        <v/>
      </c>
      <c r="U98" s="27" t="str">
        <f>IF($K98="","",IF(U$37="","",IF('Control Panel'!U98="",IF(VLOOKUP($F63,'Table Output'!$A$1:$H$100002,8,FALSE)="Sand",VLOOKUP(U$37,BoundParameters_HiddenSheetSAND!$I$3:$L$50,MATCH(VLOOKUP($K98,$K$5:$AL$34,MATCH(VLOOKUP(U$37,$BJ$3:$BK$50,2,FALSE),$K$4:$AL$4,0),FALSE),BoundParameters_HiddenSheetCLAY!$I$1:$L$1,0),FALSE),IF(VLOOKUP($F63,'Table Output'!$A$1:$H$10002,8,FALSE)="Clay",VLOOKUP(U$37,BoundParameters_HiddenSheetCLAY!$I$3:$L$50,MATCH(VLOOKUP($K98,$K$5:$AL$34,MATCH(VLOOKUP(U$37,$BJ$3:$BK$50,2,FALSE),$K$4:$AL$4,0),FALSE),BoundParameters_HiddenSheetCLAY!$I$1:$L$1,0),FALSE))),'Control Panel'!U98)))</f>
        <v/>
      </c>
    </row>
    <row r="99" spans="5:21" x14ac:dyDescent="0.2">
      <c r="E99" s="2" t="str">
        <f t="shared" ref="E99:J99" si="76">E64</f>
        <v/>
      </c>
      <c r="F99" s="2" t="str">
        <f t="shared" si="76"/>
        <v/>
      </c>
      <c r="G99" s="2" t="str">
        <f t="shared" si="76"/>
        <v/>
      </c>
      <c r="H99" s="2" t="str">
        <f t="shared" si="76"/>
        <v/>
      </c>
      <c r="I99" s="2" t="str">
        <f t="shared" si="76"/>
        <v/>
      </c>
      <c r="J99" s="2" t="str">
        <f t="shared" si="76"/>
        <v/>
      </c>
      <c r="K99" s="4" t="str">
        <f>K64</f>
        <v/>
      </c>
      <c r="L99" s="27" t="str">
        <f>IF($K99="","",IF(L$37="","",IF('Control Panel'!L99="",IF(VLOOKUP($F64,'Table Output'!$A$1:$H$100002,8,FALSE)="Sand",VLOOKUP(L$37,BoundParameters_HiddenSheetSAND!$I$3:$L$50,MATCH(VLOOKUP($K99,$K$5:$AL$34,MATCH(VLOOKUP(L$37,$BJ$3:$BK$50,2,FALSE),$K$4:$AL$4,0),FALSE),BoundParameters_HiddenSheetCLAY!$I$1:$L$1,0),FALSE),IF(VLOOKUP($F64,'Table Output'!$A$1:$H$10002,8,FALSE)="Clay",VLOOKUP(L$37,BoundParameters_HiddenSheetCLAY!$I$3:$L$50,MATCH(VLOOKUP($K99,$K$5:$AL$34,MATCH(VLOOKUP(L$37,$BJ$3:$BK$50,2,FALSE),$K$4:$AL$4,0),FALSE),BoundParameters_HiddenSheetCLAY!$I$1:$L$1,0),FALSE))),'Control Panel'!L99)))</f>
        <v/>
      </c>
      <c r="M99" s="27" t="str">
        <f>IF($K99="","",IF(M$37="","",IF('Control Panel'!M99="",IF(VLOOKUP($F64,'Table Output'!$A$1:$H$100002,8,FALSE)="Sand",VLOOKUP(M$37,BoundParameters_HiddenSheetSAND!$I$3:$L$50,MATCH(VLOOKUP($K99,$K$5:$AL$34,MATCH(VLOOKUP(M$37,$BJ$3:$BK$50,2,FALSE),$K$4:$AL$4,0),FALSE),BoundParameters_HiddenSheetCLAY!$I$1:$L$1,0),FALSE),IF(VLOOKUP($F64,'Table Output'!$A$1:$H$10002,8,FALSE)="Clay",VLOOKUP(M$37,BoundParameters_HiddenSheetCLAY!$I$3:$L$50,MATCH(VLOOKUP($K99,$K$5:$AL$34,MATCH(VLOOKUP(M$37,$BJ$3:$BK$50,2,FALSE),$K$4:$AL$4,0),FALSE),BoundParameters_HiddenSheetCLAY!$I$1:$L$1,0),FALSE))),'Control Panel'!M99)))</f>
        <v/>
      </c>
      <c r="N99" s="27" t="str">
        <f>IF($K99="","",IF(N$37="","",IF('Control Panel'!N99="",IF(VLOOKUP($F64,'Table Output'!$A$1:$H$100002,8,FALSE)="Sand",VLOOKUP(N$37,BoundParameters_HiddenSheetSAND!$I$3:$L$50,MATCH(VLOOKUP($K99,$K$5:$AL$34,MATCH(VLOOKUP(N$37,$BJ$3:$BK$50,2,FALSE),$K$4:$AL$4,0),FALSE),BoundParameters_HiddenSheetCLAY!$I$1:$L$1,0),FALSE),IF(VLOOKUP($F64,'Table Output'!$A$1:$H$10002,8,FALSE)="Clay",VLOOKUP(N$37,BoundParameters_HiddenSheetCLAY!$I$3:$L$50,MATCH(VLOOKUP($K99,$K$5:$AL$34,MATCH(VLOOKUP(N$37,$BJ$3:$BK$50,2,FALSE),$K$4:$AL$4,0),FALSE),BoundParameters_HiddenSheetCLAY!$I$1:$L$1,0),FALSE))),'Control Panel'!N99)))</f>
        <v/>
      </c>
      <c r="O99" s="27" t="str">
        <f>IF($K99="","",IF(O$37="","",IF('Control Panel'!O99="",IF(VLOOKUP($F64,'Table Output'!$A$1:$H$100002,8,FALSE)="Sand",VLOOKUP(O$37,BoundParameters_HiddenSheetSAND!$I$3:$L$50,MATCH(VLOOKUP($K99,$K$5:$AL$34,MATCH(VLOOKUP(O$37,$BJ$3:$BK$50,2,FALSE),$K$4:$AL$4,0),FALSE),BoundParameters_HiddenSheetCLAY!$I$1:$L$1,0),FALSE),IF(VLOOKUP($F64,'Table Output'!$A$1:$H$10002,8,FALSE)="Clay",VLOOKUP(O$37,BoundParameters_HiddenSheetCLAY!$I$3:$L$50,MATCH(VLOOKUP($K99,$K$5:$AL$34,MATCH(VLOOKUP(O$37,$BJ$3:$BK$50,2,FALSE),$K$4:$AL$4,0),FALSE),BoundParameters_HiddenSheetCLAY!$I$1:$L$1,0),FALSE))),'Control Panel'!O99)))</f>
        <v/>
      </c>
      <c r="P99" s="27" t="str">
        <f>IF($K99="","",IF(P$37="","",IF('Control Panel'!P99="",IF(VLOOKUP($F64,'Table Output'!$A$1:$H$100002,8,FALSE)="Sand",VLOOKUP(P$37,BoundParameters_HiddenSheetSAND!$I$3:$L$50,MATCH(VLOOKUP($K99,$K$5:$AL$34,MATCH(VLOOKUP(P$37,$BJ$3:$BK$50,2,FALSE),$K$4:$AL$4,0),FALSE),BoundParameters_HiddenSheetCLAY!$I$1:$L$1,0),FALSE),IF(VLOOKUP($F64,'Table Output'!$A$1:$H$10002,8,FALSE)="Clay",VLOOKUP(P$37,BoundParameters_HiddenSheetCLAY!$I$3:$L$50,MATCH(VLOOKUP($K99,$K$5:$AL$34,MATCH(VLOOKUP(P$37,$BJ$3:$BK$50,2,FALSE),$K$4:$AL$4,0),FALSE),BoundParameters_HiddenSheetCLAY!$I$1:$L$1,0),FALSE))),'Control Panel'!P99)))</f>
        <v/>
      </c>
      <c r="Q99" s="27" t="str">
        <f>IF($K99="","",IF(Q$37="","",IF('Control Panel'!Q99="",IF(VLOOKUP($F64,'Table Output'!$A$1:$H$100002,8,FALSE)="Sand",VLOOKUP(Q$37,BoundParameters_HiddenSheetSAND!$I$3:$L$50,MATCH(VLOOKUP($K99,$K$5:$AL$34,MATCH(VLOOKUP(Q$37,$BJ$3:$BK$50,2,FALSE),$K$4:$AL$4,0),FALSE),BoundParameters_HiddenSheetCLAY!$I$1:$L$1,0),FALSE),IF(VLOOKUP($F64,'Table Output'!$A$1:$H$10002,8,FALSE)="Clay",VLOOKUP(Q$37,BoundParameters_HiddenSheetCLAY!$I$3:$L$50,MATCH(VLOOKUP($K99,$K$5:$AL$34,MATCH(VLOOKUP(Q$37,$BJ$3:$BK$50,2,FALSE),$K$4:$AL$4,0),FALSE),BoundParameters_HiddenSheetCLAY!$I$1:$L$1,0),FALSE))),'Control Panel'!Q99)))</f>
        <v/>
      </c>
      <c r="R99" s="27" t="str">
        <f>IF($K99="","",IF(R$37="","",IF('Control Panel'!R99="",IF(VLOOKUP($F64,'Table Output'!$A$1:$H$100002,8,FALSE)="Sand",VLOOKUP(R$37,BoundParameters_HiddenSheetSAND!$I$3:$L$50,MATCH(VLOOKUP($K99,$K$5:$AL$34,MATCH(VLOOKUP(R$37,$BJ$3:$BK$50,2,FALSE),$K$4:$AL$4,0),FALSE),BoundParameters_HiddenSheetCLAY!$I$1:$L$1,0),FALSE),IF(VLOOKUP($F64,'Table Output'!$A$1:$H$10002,8,FALSE)="Clay",VLOOKUP(R$37,BoundParameters_HiddenSheetCLAY!$I$3:$L$50,MATCH(VLOOKUP($K99,$K$5:$AL$34,MATCH(VLOOKUP(R$37,$BJ$3:$BK$50,2,FALSE),$K$4:$AL$4,0),FALSE),BoundParameters_HiddenSheetCLAY!$I$1:$L$1,0),FALSE))),'Control Panel'!R99)))</f>
        <v/>
      </c>
      <c r="S99" s="27" t="str">
        <f>IF($K99="","",IF(S$37="","",IF('Control Panel'!S99="",IF(VLOOKUP($F64,'Table Output'!$A$1:$H$100002,8,FALSE)="Sand",VLOOKUP(S$37,BoundParameters_HiddenSheetSAND!$I$3:$L$50,MATCH(VLOOKUP($K99,$K$5:$AL$34,MATCH(VLOOKUP(S$37,$BJ$3:$BK$50,2,FALSE),$K$4:$AL$4,0),FALSE),BoundParameters_HiddenSheetCLAY!$I$1:$L$1,0),FALSE),IF(VLOOKUP($F64,'Table Output'!$A$1:$H$10002,8,FALSE)="Clay",VLOOKUP(S$37,BoundParameters_HiddenSheetCLAY!$I$3:$L$50,MATCH(VLOOKUP($K99,$K$5:$AL$34,MATCH(VLOOKUP(S$37,$BJ$3:$BK$50,2,FALSE),$K$4:$AL$4,0),FALSE),BoundParameters_HiddenSheetCLAY!$I$1:$L$1,0),FALSE))),'Control Panel'!S99)))</f>
        <v/>
      </c>
      <c r="T99" s="27" t="str">
        <f>IF($K99="","",IF(T$37="","",IF('Control Panel'!T99="",IF(VLOOKUP($F64,'Table Output'!$A$1:$H$100002,8,FALSE)="Sand",VLOOKUP(T$37,BoundParameters_HiddenSheetSAND!$I$3:$L$50,MATCH(VLOOKUP($K99,$K$5:$AL$34,MATCH(VLOOKUP(T$37,$BJ$3:$BK$50,2,FALSE),$K$4:$AL$4,0),FALSE),BoundParameters_HiddenSheetCLAY!$I$1:$L$1,0),FALSE),IF(VLOOKUP($F64,'Table Output'!$A$1:$H$10002,8,FALSE)="Clay",VLOOKUP(T$37,BoundParameters_HiddenSheetCLAY!$I$3:$L$50,MATCH(VLOOKUP($K99,$K$5:$AL$34,MATCH(VLOOKUP(T$37,$BJ$3:$BK$50,2,FALSE),$K$4:$AL$4,0),FALSE),BoundParameters_HiddenSheetCLAY!$I$1:$L$1,0),FALSE))),'Control Panel'!T99)))</f>
        <v/>
      </c>
      <c r="U99" s="27" t="str">
        <f>IF($K99="","",IF(U$37="","",IF('Control Panel'!U99="",IF(VLOOKUP($F64,'Table Output'!$A$1:$H$100002,8,FALSE)="Sand",VLOOKUP(U$37,BoundParameters_HiddenSheetSAND!$I$3:$L$50,MATCH(VLOOKUP($K99,$K$5:$AL$34,MATCH(VLOOKUP(U$37,$BJ$3:$BK$50,2,FALSE),$K$4:$AL$4,0),FALSE),BoundParameters_HiddenSheetCLAY!$I$1:$L$1,0),FALSE),IF(VLOOKUP($F64,'Table Output'!$A$1:$H$10002,8,FALSE)="Clay",VLOOKUP(U$37,BoundParameters_HiddenSheetCLAY!$I$3:$L$50,MATCH(VLOOKUP($K99,$K$5:$AL$34,MATCH(VLOOKUP(U$37,$BJ$3:$BK$50,2,FALSE),$K$4:$AL$4,0),FALSE),BoundParameters_HiddenSheetCLAY!$I$1:$L$1,0),FALSE))),'Control Panel'!U99)))</f>
        <v/>
      </c>
    </row>
    <row r="100" spans="5:21" x14ac:dyDescent="0.2">
      <c r="E100" s="2" t="str">
        <f t="shared" ref="E100:J100" si="77">E65</f>
        <v/>
      </c>
      <c r="F100" s="2" t="str">
        <f t="shared" si="77"/>
        <v/>
      </c>
      <c r="G100" s="2" t="str">
        <f t="shared" si="77"/>
        <v/>
      </c>
      <c r="H100" s="2" t="str">
        <f t="shared" si="77"/>
        <v/>
      </c>
      <c r="I100" s="2" t="str">
        <f t="shared" si="77"/>
        <v/>
      </c>
      <c r="J100" s="2" t="str">
        <f t="shared" si="77"/>
        <v/>
      </c>
      <c r="K100" s="4" t="str">
        <f>K65</f>
        <v/>
      </c>
      <c r="L100" s="27" t="str">
        <f>IF($K100="","",IF(L$37="","",IF('Control Panel'!L100="",IF(VLOOKUP($F65,'Table Output'!$A$1:$H$100002,8,FALSE)="Sand",VLOOKUP(L$37,BoundParameters_HiddenSheetSAND!$I$3:$L$50,MATCH(VLOOKUP($K100,$K$5:$AL$34,MATCH(VLOOKUP(L$37,$BJ$3:$BK$50,2,FALSE),$K$4:$AL$4,0),FALSE),BoundParameters_HiddenSheetCLAY!$I$1:$L$1,0),FALSE),IF(VLOOKUP($F65,'Table Output'!$A$1:$H$10002,8,FALSE)="Clay",VLOOKUP(L$37,BoundParameters_HiddenSheetCLAY!$I$3:$L$50,MATCH(VLOOKUP($K100,$K$5:$AL$34,MATCH(VLOOKUP(L$37,$BJ$3:$BK$50,2,FALSE),$K$4:$AL$4,0),FALSE),BoundParameters_HiddenSheetCLAY!$I$1:$L$1,0),FALSE))),'Control Panel'!L100)))</f>
        <v/>
      </c>
      <c r="M100" s="27" t="str">
        <f>IF($K100="","",IF(M$37="","",IF('Control Panel'!M100="",IF(VLOOKUP($F65,'Table Output'!$A$1:$H$100002,8,FALSE)="Sand",VLOOKUP(M$37,BoundParameters_HiddenSheetSAND!$I$3:$L$50,MATCH(VLOOKUP($K100,$K$5:$AL$34,MATCH(VLOOKUP(M$37,$BJ$3:$BK$50,2,FALSE),$K$4:$AL$4,0),FALSE),BoundParameters_HiddenSheetCLAY!$I$1:$L$1,0),FALSE),IF(VLOOKUP($F65,'Table Output'!$A$1:$H$10002,8,FALSE)="Clay",VLOOKUP(M$37,BoundParameters_HiddenSheetCLAY!$I$3:$L$50,MATCH(VLOOKUP($K100,$K$5:$AL$34,MATCH(VLOOKUP(M$37,$BJ$3:$BK$50,2,FALSE),$K$4:$AL$4,0),FALSE),BoundParameters_HiddenSheetCLAY!$I$1:$L$1,0),FALSE))),'Control Panel'!M100)))</f>
        <v/>
      </c>
      <c r="N100" s="27" t="str">
        <f>IF($K100="","",IF(N$37="","",IF('Control Panel'!N100="",IF(VLOOKUP($F65,'Table Output'!$A$1:$H$100002,8,FALSE)="Sand",VLOOKUP(N$37,BoundParameters_HiddenSheetSAND!$I$3:$L$50,MATCH(VLOOKUP($K100,$K$5:$AL$34,MATCH(VLOOKUP(N$37,$BJ$3:$BK$50,2,FALSE),$K$4:$AL$4,0),FALSE),BoundParameters_HiddenSheetCLAY!$I$1:$L$1,0),FALSE),IF(VLOOKUP($F65,'Table Output'!$A$1:$H$10002,8,FALSE)="Clay",VLOOKUP(N$37,BoundParameters_HiddenSheetCLAY!$I$3:$L$50,MATCH(VLOOKUP($K100,$K$5:$AL$34,MATCH(VLOOKUP(N$37,$BJ$3:$BK$50,2,FALSE),$K$4:$AL$4,0),FALSE),BoundParameters_HiddenSheetCLAY!$I$1:$L$1,0),FALSE))),'Control Panel'!N100)))</f>
        <v/>
      </c>
      <c r="O100" s="27" t="str">
        <f>IF($K100="","",IF(O$37="","",IF('Control Panel'!O100="",IF(VLOOKUP($F65,'Table Output'!$A$1:$H$100002,8,FALSE)="Sand",VLOOKUP(O$37,BoundParameters_HiddenSheetSAND!$I$3:$L$50,MATCH(VLOOKUP($K100,$K$5:$AL$34,MATCH(VLOOKUP(O$37,$BJ$3:$BK$50,2,FALSE),$K$4:$AL$4,0),FALSE),BoundParameters_HiddenSheetCLAY!$I$1:$L$1,0),FALSE),IF(VLOOKUP($F65,'Table Output'!$A$1:$H$10002,8,FALSE)="Clay",VLOOKUP(O$37,BoundParameters_HiddenSheetCLAY!$I$3:$L$50,MATCH(VLOOKUP($K100,$K$5:$AL$34,MATCH(VLOOKUP(O$37,$BJ$3:$BK$50,2,FALSE),$K$4:$AL$4,0),FALSE),BoundParameters_HiddenSheetCLAY!$I$1:$L$1,0),FALSE))),'Control Panel'!O100)))</f>
        <v/>
      </c>
      <c r="P100" s="27" t="str">
        <f>IF($K100="","",IF(P$37="","",IF('Control Panel'!P100="",IF(VLOOKUP($F65,'Table Output'!$A$1:$H$100002,8,FALSE)="Sand",VLOOKUP(P$37,BoundParameters_HiddenSheetSAND!$I$3:$L$50,MATCH(VLOOKUP($K100,$K$5:$AL$34,MATCH(VLOOKUP(P$37,$BJ$3:$BK$50,2,FALSE),$K$4:$AL$4,0),FALSE),BoundParameters_HiddenSheetCLAY!$I$1:$L$1,0),FALSE),IF(VLOOKUP($F65,'Table Output'!$A$1:$H$10002,8,FALSE)="Clay",VLOOKUP(P$37,BoundParameters_HiddenSheetCLAY!$I$3:$L$50,MATCH(VLOOKUP($K100,$K$5:$AL$34,MATCH(VLOOKUP(P$37,$BJ$3:$BK$50,2,FALSE),$K$4:$AL$4,0),FALSE),BoundParameters_HiddenSheetCLAY!$I$1:$L$1,0),FALSE))),'Control Panel'!P100)))</f>
        <v/>
      </c>
      <c r="Q100" s="27" t="str">
        <f>IF($K100="","",IF(Q$37="","",IF('Control Panel'!Q100="",IF(VLOOKUP($F65,'Table Output'!$A$1:$H$100002,8,FALSE)="Sand",VLOOKUP(Q$37,BoundParameters_HiddenSheetSAND!$I$3:$L$50,MATCH(VLOOKUP($K100,$K$5:$AL$34,MATCH(VLOOKUP(Q$37,$BJ$3:$BK$50,2,FALSE),$K$4:$AL$4,0),FALSE),BoundParameters_HiddenSheetCLAY!$I$1:$L$1,0),FALSE),IF(VLOOKUP($F65,'Table Output'!$A$1:$H$10002,8,FALSE)="Clay",VLOOKUP(Q$37,BoundParameters_HiddenSheetCLAY!$I$3:$L$50,MATCH(VLOOKUP($K100,$K$5:$AL$34,MATCH(VLOOKUP(Q$37,$BJ$3:$BK$50,2,FALSE),$K$4:$AL$4,0),FALSE),BoundParameters_HiddenSheetCLAY!$I$1:$L$1,0),FALSE))),'Control Panel'!Q100)))</f>
        <v/>
      </c>
      <c r="R100" s="27" t="str">
        <f>IF($K100="","",IF(R$37="","",IF('Control Panel'!R100="",IF(VLOOKUP($F65,'Table Output'!$A$1:$H$100002,8,FALSE)="Sand",VLOOKUP(R$37,BoundParameters_HiddenSheetSAND!$I$3:$L$50,MATCH(VLOOKUP($K100,$K$5:$AL$34,MATCH(VLOOKUP(R$37,$BJ$3:$BK$50,2,FALSE),$K$4:$AL$4,0),FALSE),BoundParameters_HiddenSheetCLAY!$I$1:$L$1,0),FALSE),IF(VLOOKUP($F65,'Table Output'!$A$1:$H$10002,8,FALSE)="Clay",VLOOKUP(R$37,BoundParameters_HiddenSheetCLAY!$I$3:$L$50,MATCH(VLOOKUP($K100,$K$5:$AL$34,MATCH(VLOOKUP(R$37,$BJ$3:$BK$50,2,FALSE),$K$4:$AL$4,0),FALSE),BoundParameters_HiddenSheetCLAY!$I$1:$L$1,0),FALSE))),'Control Panel'!R100)))</f>
        <v/>
      </c>
      <c r="S100" s="27" t="str">
        <f>IF($K100="","",IF(S$37="","",IF('Control Panel'!S100="",IF(VLOOKUP($F65,'Table Output'!$A$1:$H$100002,8,FALSE)="Sand",VLOOKUP(S$37,BoundParameters_HiddenSheetSAND!$I$3:$L$50,MATCH(VLOOKUP($K100,$K$5:$AL$34,MATCH(VLOOKUP(S$37,$BJ$3:$BK$50,2,FALSE),$K$4:$AL$4,0),FALSE),BoundParameters_HiddenSheetCLAY!$I$1:$L$1,0),FALSE),IF(VLOOKUP($F65,'Table Output'!$A$1:$H$10002,8,FALSE)="Clay",VLOOKUP(S$37,BoundParameters_HiddenSheetCLAY!$I$3:$L$50,MATCH(VLOOKUP($K100,$K$5:$AL$34,MATCH(VLOOKUP(S$37,$BJ$3:$BK$50,2,FALSE),$K$4:$AL$4,0),FALSE),BoundParameters_HiddenSheetCLAY!$I$1:$L$1,0),FALSE))),'Control Panel'!S100)))</f>
        <v/>
      </c>
      <c r="T100" s="27" t="str">
        <f>IF($K100="","",IF(T$37="","",IF('Control Panel'!T100="",IF(VLOOKUP($F65,'Table Output'!$A$1:$H$100002,8,FALSE)="Sand",VLOOKUP(T$37,BoundParameters_HiddenSheetSAND!$I$3:$L$50,MATCH(VLOOKUP($K100,$K$5:$AL$34,MATCH(VLOOKUP(T$37,$BJ$3:$BK$50,2,FALSE),$K$4:$AL$4,0),FALSE),BoundParameters_HiddenSheetCLAY!$I$1:$L$1,0),FALSE),IF(VLOOKUP($F65,'Table Output'!$A$1:$H$10002,8,FALSE)="Clay",VLOOKUP(T$37,BoundParameters_HiddenSheetCLAY!$I$3:$L$50,MATCH(VLOOKUP($K100,$K$5:$AL$34,MATCH(VLOOKUP(T$37,$BJ$3:$BK$50,2,FALSE),$K$4:$AL$4,0),FALSE),BoundParameters_HiddenSheetCLAY!$I$1:$L$1,0),FALSE))),'Control Panel'!T100)))</f>
        <v/>
      </c>
      <c r="U100" s="27" t="str">
        <f>IF($K100="","",IF(U$37="","",IF('Control Panel'!U100="",IF(VLOOKUP($F65,'Table Output'!$A$1:$H$100002,8,FALSE)="Sand",VLOOKUP(U$37,BoundParameters_HiddenSheetSAND!$I$3:$L$50,MATCH(VLOOKUP($K100,$K$5:$AL$34,MATCH(VLOOKUP(U$37,$BJ$3:$BK$50,2,FALSE),$K$4:$AL$4,0),FALSE),BoundParameters_HiddenSheetCLAY!$I$1:$L$1,0),FALSE),IF(VLOOKUP($F65,'Table Output'!$A$1:$H$10002,8,FALSE)="Clay",VLOOKUP(U$37,BoundParameters_HiddenSheetCLAY!$I$3:$L$50,MATCH(VLOOKUP($K100,$K$5:$AL$34,MATCH(VLOOKUP(U$37,$BJ$3:$BK$50,2,FALSE),$K$4:$AL$4,0),FALSE),BoundParameters_HiddenSheetCLAY!$I$1:$L$1,0),FALSE))),'Control Panel'!U100)))</f>
        <v/>
      </c>
    </row>
    <row r="101" spans="5:21" x14ac:dyDescent="0.2">
      <c r="E101" s="2" t="str">
        <f t="shared" ref="E101:J101" si="78">E66</f>
        <v/>
      </c>
      <c r="F101" s="2" t="str">
        <f t="shared" si="78"/>
        <v/>
      </c>
      <c r="G101" s="2" t="str">
        <f t="shared" si="78"/>
        <v/>
      </c>
      <c r="H101" s="2" t="str">
        <f t="shared" si="78"/>
        <v/>
      </c>
      <c r="I101" s="2" t="str">
        <f t="shared" si="78"/>
        <v/>
      </c>
      <c r="J101" s="2" t="str">
        <f t="shared" si="78"/>
        <v/>
      </c>
      <c r="K101" s="4" t="str">
        <f>K66</f>
        <v/>
      </c>
      <c r="L101" s="27" t="str">
        <f>IF($K101="","",IF(L$37="","",IF('Control Panel'!L101="",IF(VLOOKUP($F66,'Table Output'!$A$1:$H$100002,8,FALSE)="Sand",VLOOKUP(L$37,BoundParameters_HiddenSheetSAND!$I$3:$L$50,MATCH(VLOOKUP($K101,$K$5:$AL$34,MATCH(VLOOKUP(L$37,$BJ$3:$BK$50,2,FALSE),$K$4:$AL$4,0),FALSE),BoundParameters_HiddenSheetCLAY!$I$1:$L$1,0),FALSE),IF(VLOOKUP($F66,'Table Output'!$A$1:$H$10002,8,FALSE)="Clay",VLOOKUP(L$37,BoundParameters_HiddenSheetCLAY!$I$3:$L$50,MATCH(VLOOKUP($K101,$K$5:$AL$34,MATCH(VLOOKUP(L$37,$BJ$3:$BK$50,2,FALSE),$K$4:$AL$4,0),FALSE),BoundParameters_HiddenSheetCLAY!$I$1:$L$1,0),FALSE))),'Control Panel'!L101)))</f>
        <v/>
      </c>
      <c r="M101" s="27" t="str">
        <f>IF($K101="","",IF(M$37="","",IF('Control Panel'!M101="",IF(VLOOKUP($F66,'Table Output'!$A$1:$H$100002,8,FALSE)="Sand",VLOOKUP(M$37,BoundParameters_HiddenSheetSAND!$I$3:$L$50,MATCH(VLOOKUP($K101,$K$5:$AL$34,MATCH(VLOOKUP(M$37,$BJ$3:$BK$50,2,FALSE),$K$4:$AL$4,0),FALSE),BoundParameters_HiddenSheetCLAY!$I$1:$L$1,0),FALSE),IF(VLOOKUP($F66,'Table Output'!$A$1:$H$10002,8,FALSE)="Clay",VLOOKUP(M$37,BoundParameters_HiddenSheetCLAY!$I$3:$L$50,MATCH(VLOOKUP($K101,$K$5:$AL$34,MATCH(VLOOKUP(M$37,$BJ$3:$BK$50,2,FALSE),$K$4:$AL$4,0),FALSE),BoundParameters_HiddenSheetCLAY!$I$1:$L$1,0),FALSE))),'Control Panel'!M101)))</f>
        <v/>
      </c>
      <c r="N101" s="27" t="str">
        <f>IF($K101="","",IF(N$37="","",IF('Control Panel'!N101="",IF(VLOOKUP($F66,'Table Output'!$A$1:$H$100002,8,FALSE)="Sand",VLOOKUP(N$37,BoundParameters_HiddenSheetSAND!$I$3:$L$50,MATCH(VLOOKUP($K101,$K$5:$AL$34,MATCH(VLOOKUP(N$37,$BJ$3:$BK$50,2,FALSE),$K$4:$AL$4,0),FALSE),BoundParameters_HiddenSheetCLAY!$I$1:$L$1,0),FALSE),IF(VLOOKUP($F66,'Table Output'!$A$1:$H$10002,8,FALSE)="Clay",VLOOKUP(N$37,BoundParameters_HiddenSheetCLAY!$I$3:$L$50,MATCH(VLOOKUP($K101,$K$5:$AL$34,MATCH(VLOOKUP(N$37,$BJ$3:$BK$50,2,FALSE),$K$4:$AL$4,0),FALSE),BoundParameters_HiddenSheetCLAY!$I$1:$L$1,0),FALSE))),'Control Panel'!N101)))</f>
        <v/>
      </c>
      <c r="O101" s="27" t="str">
        <f>IF($K101="","",IF(O$37="","",IF('Control Panel'!O101="",IF(VLOOKUP($F66,'Table Output'!$A$1:$H$100002,8,FALSE)="Sand",VLOOKUP(O$37,BoundParameters_HiddenSheetSAND!$I$3:$L$50,MATCH(VLOOKUP($K101,$K$5:$AL$34,MATCH(VLOOKUP(O$37,$BJ$3:$BK$50,2,FALSE),$K$4:$AL$4,0),FALSE),BoundParameters_HiddenSheetCLAY!$I$1:$L$1,0),FALSE),IF(VLOOKUP($F66,'Table Output'!$A$1:$H$10002,8,FALSE)="Clay",VLOOKUP(O$37,BoundParameters_HiddenSheetCLAY!$I$3:$L$50,MATCH(VLOOKUP($K101,$K$5:$AL$34,MATCH(VLOOKUP(O$37,$BJ$3:$BK$50,2,FALSE),$K$4:$AL$4,0),FALSE),BoundParameters_HiddenSheetCLAY!$I$1:$L$1,0),FALSE))),'Control Panel'!O101)))</f>
        <v/>
      </c>
      <c r="P101" s="27" t="str">
        <f>IF($K101="","",IF(P$37="","",IF('Control Panel'!P101="",IF(VLOOKUP($F66,'Table Output'!$A$1:$H$100002,8,FALSE)="Sand",VLOOKUP(P$37,BoundParameters_HiddenSheetSAND!$I$3:$L$50,MATCH(VLOOKUP($K101,$K$5:$AL$34,MATCH(VLOOKUP(P$37,$BJ$3:$BK$50,2,FALSE),$K$4:$AL$4,0),FALSE),BoundParameters_HiddenSheetCLAY!$I$1:$L$1,0),FALSE),IF(VLOOKUP($F66,'Table Output'!$A$1:$H$10002,8,FALSE)="Clay",VLOOKUP(P$37,BoundParameters_HiddenSheetCLAY!$I$3:$L$50,MATCH(VLOOKUP($K101,$K$5:$AL$34,MATCH(VLOOKUP(P$37,$BJ$3:$BK$50,2,FALSE),$K$4:$AL$4,0),FALSE),BoundParameters_HiddenSheetCLAY!$I$1:$L$1,0),FALSE))),'Control Panel'!P101)))</f>
        <v/>
      </c>
      <c r="Q101" s="27" t="str">
        <f>IF($K101="","",IF(Q$37="","",IF('Control Panel'!Q101="",IF(VLOOKUP($F66,'Table Output'!$A$1:$H$100002,8,FALSE)="Sand",VLOOKUP(Q$37,BoundParameters_HiddenSheetSAND!$I$3:$L$50,MATCH(VLOOKUP($K101,$K$5:$AL$34,MATCH(VLOOKUP(Q$37,$BJ$3:$BK$50,2,FALSE),$K$4:$AL$4,0),FALSE),BoundParameters_HiddenSheetCLAY!$I$1:$L$1,0),FALSE),IF(VLOOKUP($F66,'Table Output'!$A$1:$H$10002,8,FALSE)="Clay",VLOOKUP(Q$37,BoundParameters_HiddenSheetCLAY!$I$3:$L$50,MATCH(VLOOKUP($K101,$K$5:$AL$34,MATCH(VLOOKUP(Q$37,$BJ$3:$BK$50,2,FALSE),$K$4:$AL$4,0),FALSE),BoundParameters_HiddenSheetCLAY!$I$1:$L$1,0),FALSE))),'Control Panel'!Q101)))</f>
        <v/>
      </c>
      <c r="R101" s="27" t="str">
        <f>IF($K101="","",IF(R$37="","",IF('Control Panel'!R101="",IF(VLOOKUP($F66,'Table Output'!$A$1:$H$100002,8,FALSE)="Sand",VLOOKUP(R$37,BoundParameters_HiddenSheetSAND!$I$3:$L$50,MATCH(VLOOKUP($K101,$K$5:$AL$34,MATCH(VLOOKUP(R$37,$BJ$3:$BK$50,2,FALSE),$K$4:$AL$4,0),FALSE),BoundParameters_HiddenSheetCLAY!$I$1:$L$1,0),FALSE),IF(VLOOKUP($F66,'Table Output'!$A$1:$H$10002,8,FALSE)="Clay",VLOOKUP(R$37,BoundParameters_HiddenSheetCLAY!$I$3:$L$50,MATCH(VLOOKUP($K101,$K$5:$AL$34,MATCH(VLOOKUP(R$37,$BJ$3:$BK$50,2,FALSE),$K$4:$AL$4,0),FALSE),BoundParameters_HiddenSheetCLAY!$I$1:$L$1,0),FALSE))),'Control Panel'!R101)))</f>
        <v/>
      </c>
      <c r="S101" s="27" t="str">
        <f>IF($K101="","",IF(S$37="","",IF('Control Panel'!S101="",IF(VLOOKUP($F66,'Table Output'!$A$1:$H$100002,8,FALSE)="Sand",VLOOKUP(S$37,BoundParameters_HiddenSheetSAND!$I$3:$L$50,MATCH(VLOOKUP($K101,$K$5:$AL$34,MATCH(VLOOKUP(S$37,$BJ$3:$BK$50,2,FALSE),$K$4:$AL$4,0),FALSE),BoundParameters_HiddenSheetCLAY!$I$1:$L$1,0),FALSE),IF(VLOOKUP($F66,'Table Output'!$A$1:$H$10002,8,FALSE)="Clay",VLOOKUP(S$37,BoundParameters_HiddenSheetCLAY!$I$3:$L$50,MATCH(VLOOKUP($K101,$K$5:$AL$34,MATCH(VLOOKUP(S$37,$BJ$3:$BK$50,2,FALSE),$K$4:$AL$4,0),FALSE),BoundParameters_HiddenSheetCLAY!$I$1:$L$1,0),FALSE))),'Control Panel'!S101)))</f>
        <v/>
      </c>
      <c r="T101" s="27" t="str">
        <f>IF($K101="","",IF(T$37="","",IF('Control Panel'!T101="",IF(VLOOKUP($F66,'Table Output'!$A$1:$H$100002,8,FALSE)="Sand",VLOOKUP(T$37,BoundParameters_HiddenSheetSAND!$I$3:$L$50,MATCH(VLOOKUP($K101,$K$5:$AL$34,MATCH(VLOOKUP(T$37,$BJ$3:$BK$50,2,FALSE),$K$4:$AL$4,0),FALSE),BoundParameters_HiddenSheetCLAY!$I$1:$L$1,0),FALSE),IF(VLOOKUP($F66,'Table Output'!$A$1:$H$10002,8,FALSE)="Clay",VLOOKUP(T$37,BoundParameters_HiddenSheetCLAY!$I$3:$L$50,MATCH(VLOOKUP($K101,$K$5:$AL$34,MATCH(VLOOKUP(T$37,$BJ$3:$BK$50,2,FALSE),$K$4:$AL$4,0),FALSE),BoundParameters_HiddenSheetCLAY!$I$1:$L$1,0),FALSE))),'Control Panel'!T101)))</f>
        <v/>
      </c>
      <c r="U101" s="27" t="str">
        <f>IF($K101="","",IF(U$37="","",IF('Control Panel'!U101="",IF(VLOOKUP($F66,'Table Output'!$A$1:$H$100002,8,FALSE)="Sand",VLOOKUP(U$37,BoundParameters_HiddenSheetSAND!$I$3:$L$50,MATCH(VLOOKUP($K101,$K$5:$AL$34,MATCH(VLOOKUP(U$37,$BJ$3:$BK$50,2,FALSE),$K$4:$AL$4,0),FALSE),BoundParameters_HiddenSheetCLAY!$I$1:$L$1,0),FALSE),IF(VLOOKUP($F66,'Table Output'!$A$1:$H$10002,8,FALSE)="Clay",VLOOKUP(U$37,BoundParameters_HiddenSheetCLAY!$I$3:$L$50,MATCH(VLOOKUP($K101,$K$5:$AL$34,MATCH(VLOOKUP(U$37,$BJ$3:$BK$50,2,FALSE),$K$4:$AL$4,0),FALSE),BoundParameters_HiddenSheetCLAY!$I$1:$L$1,0),FALSE))),'Control Panel'!U101)))</f>
        <v/>
      </c>
    </row>
    <row r="102" spans="5:21" x14ac:dyDescent="0.2">
      <c r="E102" s="2" t="str">
        <f t="shared" ref="E102:J102" si="79">E67</f>
        <v/>
      </c>
      <c r="F102" s="2" t="str">
        <f t="shared" si="79"/>
        <v/>
      </c>
      <c r="G102" s="2" t="str">
        <f t="shared" si="79"/>
        <v/>
      </c>
      <c r="H102" s="2" t="str">
        <f t="shared" si="79"/>
        <v/>
      </c>
      <c r="I102" s="2" t="str">
        <f t="shared" si="79"/>
        <v/>
      </c>
      <c r="J102" s="2" t="str">
        <f t="shared" si="79"/>
        <v/>
      </c>
      <c r="K102" s="4" t="str">
        <f>K67</f>
        <v/>
      </c>
      <c r="L102" s="27" t="str">
        <f>IF($K102="","",IF(L$37="","",IF('Control Panel'!L102="",IF(VLOOKUP($F67,'Table Output'!$A$1:$H$100002,8,FALSE)="Sand",VLOOKUP(L$37,BoundParameters_HiddenSheetSAND!$I$3:$L$50,MATCH(VLOOKUP($K102,$K$5:$AL$34,MATCH(VLOOKUP(L$37,$BJ$3:$BK$50,2,FALSE),$K$4:$AL$4,0),FALSE),BoundParameters_HiddenSheetCLAY!$I$1:$L$1,0),FALSE),IF(VLOOKUP($F67,'Table Output'!$A$1:$H$10002,8,FALSE)="Clay",VLOOKUP(L$37,BoundParameters_HiddenSheetCLAY!$I$3:$L$50,MATCH(VLOOKUP($K102,$K$5:$AL$34,MATCH(VLOOKUP(L$37,$BJ$3:$BK$50,2,FALSE),$K$4:$AL$4,0),FALSE),BoundParameters_HiddenSheetCLAY!$I$1:$L$1,0),FALSE))),'Control Panel'!L102)))</f>
        <v/>
      </c>
      <c r="M102" s="27" t="str">
        <f>IF($K102="","",IF(M$37="","",IF('Control Panel'!M102="",IF(VLOOKUP($F67,'Table Output'!$A$1:$H$100002,8,FALSE)="Sand",VLOOKUP(M$37,BoundParameters_HiddenSheetSAND!$I$3:$L$50,MATCH(VLOOKUP($K102,$K$5:$AL$34,MATCH(VLOOKUP(M$37,$BJ$3:$BK$50,2,FALSE),$K$4:$AL$4,0),FALSE),BoundParameters_HiddenSheetCLAY!$I$1:$L$1,0),FALSE),IF(VLOOKUP($F67,'Table Output'!$A$1:$H$10002,8,FALSE)="Clay",VLOOKUP(M$37,BoundParameters_HiddenSheetCLAY!$I$3:$L$50,MATCH(VLOOKUP($K102,$K$5:$AL$34,MATCH(VLOOKUP(M$37,$BJ$3:$BK$50,2,FALSE),$K$4:$AL$4,0),FALSE),BoundParameters_HiddenSheetCLAY!$I$1:$L$1,0),FALSE))),'Control Panel'!M102)))</f>
        <v/>
      </c>
      <c r="N102" s="27" t="str">
        <f>IF($K102="","",IF(N$37="","",IF('Control Panel'!N102="",IF(VLOOKUP($F67,'Table Output'!$A$1:$H$100002,8,FALSE)="Sand",VLOOKUP(N$37,BoundParameters_HiddenSheetSAND!$I$3:$L$50,MATCH(VLOOKUP($K102,$K$5:$AL$34,MATCH(VLOOKUP(N$37,$BJ$3:$BK$50,2,FALSE),$K$4:$AL$4,0),FALSE),BoundParameters_HiddenSheetCLAY!$I$1:$L$1,0),FALSE),IF(VLOOKUP($F67,'Table Output'!$A$1:$H$10002,8,FALSE)="Clay",VLOOKUP(N$37,BoundParameters_HiddenSheetCLAY!$I$3:$L$50,MATCH(VLOOKUP($K102,$K$5:$AL$34,MATCH(VLOOKUP(N$37,$BJ$3:$BK$50,2,FALSE),$K$4:$AL$4,0),FALSE),BoundParameters_HiddenSheetCLAY!$I$1:$L$1,0),FALSE))),'Control Panel'!N102)))</f>
        <v/>
      </c>
      <c r="O102" s="27" t="str">
        <f>IF($K102="","",IF(O$37="","",IF('Control Panel'!O102="",IF(VLOOKUP($F67,'Table Output'!$A$1:$H$100002,8,FALSE)="Sand",VLOOKUP(O$37,BoundParameters_HiddenSheetSAND!$I$3:$L$50,MATCH(VLOOKUP($K102,$K$5:$AL$34,MATCH(VLOOKUP(O$37,$BJ$3:$BK$50,2,FALSE),$K$4:$AL$4,0),FALSE),BoundParameters_HiddenSheetCLAY!$I$1:$L$1,0),FALSE),IF(VLOOKUP($F67,'Table Output'!$A$1:$H$10002,8,FALSE)="Clay",VLOOKUP(O$37,BoundParameters_HiddenSheetCLAY!$I$3:$L$50,MATCH(VLOOKUP($K102,$K$5:$AL$34,MATCH(VLOOKUP(O$37,$BJ$3:$BK$50,2,FALSE),$K$4:$AL$4,0),FALSE),BoundParameters_HiddenSheetCLAY!$I$1:$L$1,0),FALSE))),'Control Panel'!O102)))</f>
        <v/>
      </c>
      <c r="P102" s="27" t="str">
        <f>IF($K102="","",IF(P$37="","",IF('Control Panel'!P102="",IF(VLOOKUP($F67,'Table Output'!$A$1:$H$100002,8,FALSE)="Sand",VLOOKUP(P$37,BoundParameters_HiddenSheetSAND!$I$3:$L$50,MATCH(VLOOKUP($K102,$K$5:$AL$34,MATCH(VLOOKUP(P$37,$BJ$3:$BK$50,2,FALSE),$K$4:$AL$4,0),FALSE),BoundParameters_HiddenSheetCLAY!$I$1:$L$1,0),FALSE),IF(VLOOKUP($F67,'Table Output'!$A$1:$H$10002,8,FALSE)="Clay",VLOOKUP(P$37,BoundParameters_HiddenSheetCLAY!$I$3:$L$50,MATCH(VLOOKUP($K102,$K$5:$AL$34,MATCH(VLOOKUP(P$37,$BJ$3:$BK$50,2,FALSE),$K$4:$AL$4,0),FALSE),BoundParameters_HiddenSheetCLAY!$I$1:$L$1,0),FALSE))),'Control Panel'!P102)))</f>
        <v/>
      </c>
      <c r="Q102" s="27" t="str">
        <f>IF($K102="","",IF(Q$37="","",IF('Control Panel'!Q102="",IF(VLOOKUP($F67,'Table Output'!$A$1:$H$100002,8,FALSE)="Sand",VLOOKUP(Q$37,BoundParameters_HiddenSheetSAND!$I$3:$L$50,MATCH(VLOOKUP($K102,$K$5:$AL$34,MATCH(VLOOKUP(Q$37,$BJ$3:$BK$50,2,FALSE),$K$4:$AL$4,0),FALSE),BoundParameters_HiddenSheetCLAY!$I$1:$L$1,0),FALSE),IF(VLOOKUP($F67,'Table Output'!$A$1:$H$10002,8,FALSE)="Clay",VLOOKUP(Q$37,BoundParameters_HiddenSheetCLAY!$I$3:$L$50,MATCH(VLOOKUP($K102,$K$5:$AL$34,MATCH(VLOOKUP(Q$37,$BJ$3:$BK$50,2,FALSE),$K$4:$AL$4,0),FALSE),BoundParameters_HiddenSheetCLAY!$I$1:$L$1,0),FALSE))),'Control Panel'!Q102)))</f>
        <v/>
      </c>
      <c r="R102" s="27" t="str">
        <f>IF($K102="","",IF(R$37="","",IF('Control Panel'!R102="",IF(VLOOKUP($F67,'Table Output'!$A$1:$H$100002,8,FALSE)="Sand",VLOOKUP(R$37,BoundParameters_HiddenSheetSAND!$I$3:$L$50,MATCH(VLOOKUP($K102,$K$5:$AL$34,MATCH(VLOOKUP(R$37,$BJ$3:$BK$50,2,FALSE),$K$4:$AL$4,0),FALSE),BoundParameters_HiddenSheetCLAY!$I$1:$L$1,0),FALSE),IF(VLOOKUP($F67,'Table Output'!$A$1:$H$10002,8,FALSE)="Clay",VLOOKUP(R$37,BoundParameters_HiddenSheetCLAY!$I$3:$L$50,MATCH(VLOOKUP($K102,$K$5:$AL$34,MATCH(VLOOKUP(R$37,$BJ$3:$BK$50,2,FALSE),$K$4:$AL$4,0),FALSE),BoundParameters_HiddenSheetCLAY!$I$1:$L$1,0),FALSE))),'Control Panel'!R102)))</f>
        <v/>
      </c>
      <c r="S102" s="27" t="str">
        <f>IF($K102="","",IF(S$37="","",IF('Control Panel'!S102="",IF(VLOOKUP($F67,'Table Output'!$A$1:$H$100002,8,FALSE)="Sand",VLOOKUP(S$37,BoundParameters_HiddenSheetSAND!$I$3:$L$50,MATCH(VLOOKUP($K102,$K$5:$AL$34,MATCH(VLOOKUP(S$37,$BJ$3:$BK$50,2,FALSE),$K$4:$AL$4,0),FALSE),BoundParameters_HiddenSheetCLAY!$I$1:$L$1,0),FALSE),IF(VLOOKUP($F67,'Table Output'!$A$1:$H$10002,8,FALSE)="Clay",VLOOKUP(S$37,BoundParameters_HiddenSheetCLAY!$I$3:$L$50,MATCH(VLOOKUP($K102,$K$5:$AL$34,MATCH(VLOOKUP(S$37,$BJ$3:$BK$50,2,FALSE),$K$4:$AL$4,0),FALSE),BoundParameters_HiddenSheetCLAY!$I$1:$L$1,0),FALSE))),'Control Panel'!S102)))</f>
        <v/>
      </c>
      <c r="T102" s="27" t="str">
        <f>IF($K102="","",IF(T$37="","",IF('Control Panel'!T102="",IF(VLOOKUP($F67,'Table Output'!$A$1:$H$100002,8,FALSE)="Sand",VLOOKUP(T$37,BoundParameters_HiddenSheetSAND!$I$3:$L$50,MATCH(VLOOKUP($K102,$K$5:$AL$34,MATCH(VLOOKUP(T$37,$BJ$3:$BK$50,2,FALSE),$K$4:$AL$4,0),FALSE),BoundParameters_HiddenSheetCLAY!$I$1:$L$1,0),FALSE),IF(VLOOKUP($F67,'Table Output'!$A$1:$H$10002,8,FALSE)="Clay",VLOOKUP(T$37,BoundParameters_HiddenSheetCLAY!$I$3:$L$50,MATCH(VLOOKUP($K102,$K$5:$AL$34,MATCH(VLOOKUP(T$37,$BJ$3:$BK$50,2,FALSE),$K$4:$AL$4,0),FALSE),BoundParameters_HiddenSheetCLAY!$I$1:$L$1,0),FALSE))),'Control Panel'!T102)))</f>
        <v/>
      </c>
      <c r="U102" s="27" t="str">
        <f>IF($K102="","",IF(U$37="","",IF('Control Panel'!U102="",IF(VLOOKUP($F67,'Table Output'!$A$1:$H$100002,8,FALSE)="Sand",VLOOKUP(U$37,BoundParameters_HiddenSheetSAND!$I$3:$L$50,MATCH(VLOOKUP($K102,$K$5:$AL$34,MATCH(VLOOKUP(U$37,$BJ$3:$BK$50,2,FALSE),$K$4:$AL$4,0),FALSE),BoundParameters_HiddenSheetCLAY!$I$1:$L$1,0),FALSE),IF(VLOOKUP($F67,'Table Output'!$A$1:$H$10002,8,FALSE)="Clay",VLOOKUP(U$37,BoundParameters_HiddenSheetCLAY!$I$3:$L$50,MATCH(VLOOKUP($K102,$K$5:$AL$34,MATCH(VLOOKUP(U$37,$BJ$3:$BK$50,2,FALSE),$K$4:$AL$4,0),FALSE),BoundParameters_HiddenSheetCLAY!$I$1:$L$1,0),FALSE))),'Control Panel'!U102)))</f>
        <v/>
      </c>
    </row>
  </sheetData>
  <mergeCells count="3">
    <mergeCell ref="K3:U3"/>
    <mergeCell ref="K36:U36"/>
    <mergeCell ref="K71:U71"/>
  </mergeCell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7C1E1-B706-4AB3-9221-270BE6FF0ADF}">
  <sheetPr codeName="Sheet1"/>
  <dimension ref="A1:BV12"/>
  <sheetViews>
    <sheetView zoomScale="130" zoomScaleNormal="130" workbookViewId="0">
      <selection activeCell="B16" sqref="B16"/>
    </sheetView>
  </sheetViews>
  <sheetFormatPr defaultRowHeight="14.4" x14ac:dyDescent="0.3"/>
  <cols>
    <col min="1" max="1" width="10.88671875" bestFit="1" customWidth="1"/>
    <col min="2" max="2" width="15.109375" bestFit="1" customWidth="1"/>
    <col min="3" max="3" width="10.109375" bestFit="1" customWidth="1"/>
    <col min="4" max="4" width="5.88671875" bestFit="1" customWidth="1"/>
    <col min="5" max="5" width="11.109375" bestFit="1" customWidth="1"/>
    <col min="6" max="6" width="8.6640625" bestFit="1" customWidth="1"/>
    <col min="7" max="7" width="13.6640625" bestFit="1" customWidth="1"/>
    <col min="8" max="8" width="11.109375" bestFit="1" customWidth="1"/>
    <col min="9" max="9" width="8.109375" bestFit="1" customWidth="1"/>
    <col min="10" max="10" width="13.109375" bestFit="1" customWidth="1"/>
    <col min="11" max="12" width="8.109375" bestFit="1" customWidth="1"/>
    <col min="13" max="13" width="8.33203125" bestFit="1" customWidth="1"/>
    <col min="14" max="15" width="8.6640625" bestFit="1" customWidth="1"/>
    <col min="16" max="16" width="9.44140625" bestFit="1" customWidth="1"/>
    <col min="17" max="17" width="8.109375" bestFit="1" customWidth="1"/>
    <col min="18" max="18" width="9.88671875" bestFit="1" customWidth="1"/>
    <col min="19" max="19" width="8.6640625" bestFit="1" customWidth="1"/>
    <col min="20" max="20" width="8.109375" bestFit="1" customWidth="1"/>
    <col min="21" max="21" width="8.33203125" bestFit="1" customWidth="1"/>
    <col min="22" max="22" width="9.88671875" bestFit="1" customWidth="1"/>
    <col min="23" max="24" width="8.33203125" bestFit="1" customWidth="1"/>
    <col min="25" max="28" width="12.44140625" bestFit="1" customWidth="1"/>
    <col min="29" max="29" width="8.88671875" bestFit="1" customWidth="1"/>
    <col min="30" max="30" width="10.44140625" bestFit="1" customWidth="1"/>
    <col min="31" max="32" width="8.88671875" bestFit="1" customWidth="1"/>
    <col min="33" max="33" width="8.6640625" bestFit="1" customWidth="1"/>
    <col min="34" max="34" width="9.44140625" bestFit="1" customWidth="1"/>
    <col min="35" max="36" width="8.6640625" bestFit="1" customWidth="1"/>
    <col min="37" max="37" width="8.88671875" bestFit="1" customWidth="1"/>
    <col min="38" max="38" width="13.109375" bestFit="1" customWidth="1"/>
    <col min="39" max="40" width="8.88671875" bestFit="1" customWidth="1"/>
    <col min="41" max="41" width="9.33203125" bestFit="1" customWidth="1"/>
    <col min="42" max="42" width="9.44140625" bestFit="1" customWidth="1"/>
    <col min="43" max="44" width="9.33203125" bestFit="1" customWidth="1"/>
    <col min="45" max="48" width="9.5546875" bestFit="1" customWidth="1"/>
    <col min="49" max="49" width="8.33203125" bestFit="1" customWidth="1"/>
    <col min="50" max="50" width="9.88671875" bestFit="1" customWidth="1"/>
    <col min="51" max="52" width="8.33203125" bestFit="1" customWidth="1"/>
    <col min="53" max="53" width="8.44140625" bestFit="1" customWidth="1"/>
    <col min="54" max="54" width="10.44140625" bestFit="1" customWidth="1"/>
    <col min="55" max="55" width="8.6640625" bestFit="1" customWidth="1"/>
    <col min="56" max="56" width="8.44140625" bestFit="1" customWidth="1"/>
    <col min="57" max="60" width="13.6640625" bestFit="1" customWidth="1"/>
    <col min="61" max="64" width="10.109375" bestFit="1" customWidth="1"/>
    <col min="65" max="68" width="10" bestFit="1" customWidth="1"/>
    <col min="69" max="72" width="10.109375" bestFit="1" customWidth="1"/>
    <col min="73" max="73" width="10.6640625" bestFit="1" customWidth="1"/>
    <col min="74" max="74" width="16.88671875" bestFit="1" customWidth="1"/>
    <col min="75" max="75" width="10.6640625" bestFit="1" customWidth="1"/>
    <col min="76" max="76" width="10.33203125" bestFit="1" customWidth="1"/>
  </cols>
  <sheetData>
    <row r="1" spans="1:74" x14ac:dyDescent="0.3">
      <c r="A1" t="s">
        <v>383</v>
      </c>
      <c r="B1" t="s">
        <v>384</v>
      </c>
      <c r="C1" t="s">
        <v>438</v>
      </c>
      <c r="D1" t="s">
        <v>239</v>
      </c>
      <c r="E1" t="s">
        <v>451</v>
      </c>
      <c r="F1" t="s">
        <v>452</v>
      </c>
      <c r="G1" t="s">
        <v>421</v>
      </c>
      <c r="H1" t="s">
        <v>422</v>
      </c>
      <c r="I1" s="80" t="s">
        <v>91</v>
      </c>
      <c r="J1" s="81" t="s">
        <v>83</v>
      </c>
      <c r="K1" s="81" t="s">
        <v>134</v>
      </c>
      <c r="L1" s="81" t="s">
        <v>135</v>
      </c>
      <c r="M1" s="81" t="s">
        <v>240</v>
      </c>
      <c r="N1" s="81" t="s">
        <v>241</v>
      </c>
      <c r="O1" s="81" t="s">
        <v>242</v>
      </c>
      <c r="P1" s="81" t="s">
        <v>243</v>
      </c>
      <c r="Q1" s="81" t="s">
        <v>93</v>
      </c>
      <c r="R1" s="81" t="s">
        <v>85</v>
      </c>
      <c r="S1" s="81" t="s">
        <v>137</v>
      </c>
      <c r="T1" s="81" t="s">
        <v>138</v>
      </c>
      <c r="U1" s="81" t="s">
        <v>94</v>
      </c>
      <c r="V1" s="81" t="s">
        <v>139</v>
      </c>
      <c r="W1" s="81" t="s">
        <v>140</v>
      </c>
      <c r="X1" s="82" t="s">
        <v>141</v>
      </c>
      <c r="Y1" s="80" t="s">
        <v>95</v>
      </c>
      <c r="Z1" s="81" t="s">
        <v>87</v>
      </c>
      <c r="AA1" s="81" t="s">
        <v>142</v>
      </c>
      <c r="AB1" s="81" t="s">
        <v>89</v>
      </c>
      <c r="AC1" s="81" t="s">
        <v>96</v>
      </c>
      <c r="AD1" s="81" t="s">
        <v>143</v>
      </c>
      <c r="AE1" s="81" t="s">
        <v>144</v>
      </c>
      <c r="AF1" s="81" t="s">
        <v>145</v>
      </c>
      <c r="AG1" s="81" t="s">
        <v>97</v>
      </c>
      <c r="AH1" s="81" t="s">
        <v>146</v>
      </c>
      <c r="AI1" s="81" t="s">
        <v>147</v>
      </c>
      <c r="AJ1" s="81" t="s">
        <v>148</v>
      </c>
      <c r="AK1" s="81" t="s">
        <v>98</v>
      </c>
      <c r="AL1" s="81" t="s">
        <v>149</v>
      </c>
      <c r="AM1" s="81" t="s">
        <v>150</v>
      </c>
      <c r="AN1" s="82" t="s">
        <v>152</v>
      </c>
      <c r="AO1" s="80" t="s">
        <v>99</v>
      </c>
      <c r="AP1" s="81" t="s">
        <v>90</v>
      </c>
      <c r="AQ1" s="81" t="s">
        <v>153</v>
      </c>
      <c r="AR1" s="81" t="s">
        <v>154</v>
      </c>
      <c r="AS1" s="81" t="s">
        <v>100</v>
      </c>
      <c r="AT1" s="81" t="s">
        <v>155</v>
      </c>
      <c r="AU1" s="81" t="s">
        <v>156</v>
      </c>
      <c r="AV1" s="81" t="s">
        <v>157</v>
      </c>
      <c r="AW1" s="81" t="s">
        <v>101</v>
      </c>
      <c r="AX1" s="81" t="s">
        <v>158</v>
      </c>
      <c r="AY1" s="81" t="s">
        <v>159</v>
      </c>
      <c r="AZ1" s="81" t="s">
        <v>160</v>
      </c>
      <c r="BA1" s="81" t="s">
        <v>102</v>
      </c>
      <c r="BB1" s="81" t="s">
        <v>161</v>
      </c>
      <c r="BC1" s="81" t="s">
        <v>162</v>
      </c>
      <c r="BD1" s="82" t="s">
        <v>163</v>
      </c>
      <c r="BE1" s="80" t="s">
        <v>103</v>
      </c>
      <c r="BF1" s="81" t="s">
        <v>164</v>
      </c>
      <c r="BG1" s="81" t="s">
        <v>165</v>
      </c>
      <c r="BH1" s="81" t="s">
        <v>166</v>
      </c>
      <c r="BI1" s="81" t="s">
        <v>104</v>
      </c>
      <c r="BJ1" s="81" t="s">
        <v>167</v>
      </c>
      <c r="BK1" s="81" t="s">
        <v>168</v>
      </c>
      <c r="BL1" s="81" t="s">
        <v>169</v>
      </c>
      <c r="BM1" s="81" t="s">
        <v>105</v>
      </c>
      <c r="BN1" s="81" t="s">
        <v>88</v>
      </c>
      <c r="BO1" s="81" t="s">
        <v>170</v>
      </c>
      <c r="BP1" s="81" t="s">
        <v>171</v>
      </c>
      <c r="BQ1" s="81" t="s">
        <v>106</v>
      </c>
      <c r="BR1" s="81" t="s">
        <v>172</v>
      </c>
      <c r="BS1" s="81" t="s">
        <v>173</v>
      </c>
      <c r="BT1" s="82" t="s">
        <v>174</v>
      </c>
      <c r="BU1" t="s">
        <v>453</v>
      </c>
      <c r="BV1" t="s">
        <v>454</v>
      </c>
    </row>
    <row r="2" spans="1:74" x14ac:dyDescent="0.3">
      <c r="A2" s="49" t="s">
        <v>1872</v>
      </c>
      <c r="B2" s="49" t="s">
        <v>409</v>
      </c>
      <c r="C2" s="49" t="s">
        <v>449</v>
      </c>
      <c r="D2">
        <v>7</v>
      </c>
      <c r="E2">
        <v>0</v>
      </c>
      <c r="F2" s="49" t="s">
        <v>471</v>
      </c>
      <c r="G2" s="49" t="s">
        <v>1764</v>
      </c>
      <c r="H2" s="49" t="s">
        <v>378</v>
      </c>
      <c r="I2" s="83">
        <v>0</v>
      </c>
      <c r="J2" s="84">
        <v>32.619799999999998</v>
      </c>
      <c r="K2" s="84">
        <v>0</v>
      </c>
      <c r="L2" s="84">
        <v>0</v>
      </c>
      <c r="M2" s="84">
        <v>1</v>
      </c>
      <c r="N2" s="84">
        <v>0.55832000000000004</v>
      </c>
      <c r="O2" s="84">
        <v>29.592700000000001</v>
      </c>
      <c r="P2" s="84">
        <v>0</v>
      </c>
      <c r="Q2" s="84">
        <v>1</v>
      </c>
      <c r="R2" s="84">
        <v>-17.214200000000002</v>
      </c>
      <c r="S2" s="84">
        <v>3.0465</v>
      </c>
      <c r="T2" s="84">
        <v>0</v>
      </c>
      <c r="U2" s="84">
        <v>0</v>
      </c>
      <c r="V2" s="84">
        <v>0.12615999999999999</v>
      </c>
      <c r="W2" s="84">
        <v>0</v>
      </c>
      <c r="X2" s="85">
        <v>0</v>
      </c>
      <c r="Y2" s="83">
        <v>0</v>
      </c>
      <c r="Z2" s="84">
        <v>20</v>
      </c>
      <c r="AA2" s="84">
        <v>0</v>
      </c>
      <c r="AB2" s="84">
        <v>0</v>
      </c>
      <c r="AC2" s="84">
        <v>1</v>
      </c>
      <c r="AD2" s="84">
        <v>-0.02</v>
      </c>
      <c r="AE2" s="84">
        <v>0.18</v>
      </c>
      <c r="AF2" s="84">
        <v>0</v>
      </c>
      <c r="AG2" s="84">
        <v>0</v>
      </c>
      <c r="AH2" s="84">
        <v>17</v>
      </c>
      <c r="AI2" s="84">
        <v>0</v>
      </c>
      <c r="AJ2" s="84">
        <v>0</v>
      </c>
      <c r="AK2" s="84">
        <v>0</v>
      </c>
      <c r="AL2" s="84">
        <v>0</v>
      </c>
      <c r="AM2" s="84">
        <v>0</v>
      </c>
      <c r="AN2" s="85">
        <v>0</v>
      </c>
      <c r="AO2" s="83">
        <v>1</v>
      </c>
      <c r="AP2" s="84">
        <v>-0.53</v>
      </c>
      <c r="AQ2" s="84">
        <v>3.4</v>
      </c>
      <c r="AR2" s="84">
        <v>0</v>
      </c>
      <c r="AS2" s="84">
        <v>0</v>
      </c>
      <c r="AT2" s="84">
        <v>0.03</v>
      </c>
      <c r="AU2" s="84">
        <v>0.9</v>
      </c>
      <c r="AV2" s="84">
        <v>0</v>
      </c>
      <c r="AW2" s="84">
        <v>1</v>
      </c>
      <c r="AX2" s="84">
        <v>-0.44</v>
      </c>
      <c r="AY2" s="84">
        <v>3.52</v>
      </c>
      <c r="AZ2" s="84">
        <v>0</v>
      </c>
      <c r="BA2" s="84">
        <v>1</v>
      </c>
      <c r="BB2" s="84">
        <v>-7.0000000000000007E-2</v>
      </c>
      <c r="BC2" s="84">
        <v>0.9</v>
      </c>
      <c r="BD2" s="85">
        <v>0</v>
      </c>
      <c r="BE2" s="83">
        <v>0</v>
      </c>
      <c r="BF2" s="84">
        <v>44.89</v>
      </c>
      <c r="BG2" s="84">
        <v>0</v>
      </c>
      <c r="BH2" s="84">
        <v>0</v>
      </c>
      <c r="BI2" s="84">
        <v>0</v>
      </c>
      <c r="BJ2" s="84">
        <v>0.02</v>
      </c>
      <c r="BK2" s="84">
        <v>0.47</v>
      </c>
      <c r="BL2" s="84">
        <v>0</v>
      </c>
      <c r="BM2" s="84">
        <v>0</v>
      </c>
      <c r="BN2" s="84">
        <v>0.35</v>
      </c>
      <c r="BO2" s="84">
        <v>0</v>
      </c>
      <c r="BP2" s="84">
        <v>0</v>
      </c>
      <c r="BQ2" s="84">
        <v>0</v>
      </c>
      <c r="BR2" s="84">
        <v>0.8</v>
      </c>
      <c r="BS2" s="84">
        <v>0</v>
      </c>
      <c r="BT2" s="85">
        <v>0</v>
      </c>
      <c r="BU2" s="49" t="s">
        <v>1765</v>
      </c>
      <c r="BV2" s="198">
        <v>44673.342187499999</v>
      </c>
    </row>
    <row r="3" spans="1:74" x14ac:dyDescent="0.3">
      <c r="A3" s="49" t="s">
        <v>1881</v>
      </c>
      <c r="B3" s="49" t="s">
        <v>409</v>
      </c>
      <c r="C3" s="49" t="s">
        <v>449</v>
      </c>
      <c r="D3">
        <v>7</v>
      </c>
      <c r="E3">
        <v>0</v>
      </c>
      <c r="F3" s="49" t="s">
        <v>471</v>
      </c>
      <c r="G3" s="49" t="s">
        <v>1764</v>
      </c>
      <c r="H3" s="49" t="s">
        <v>379</v>
      </c>
      <c r="I3" s="83">
        <v>0</v>
      </c>
      <c r="J3" s="84">
        <v>330530.95980000001</v>
      </c>
      <c r="K3" s="84">
        <v>0</v>
      </c>
      <c r="L3" s="84">
        <v>0</v>
      </c>
      <c r="M3" s="84">
        <v>2</v>
      </c>
      <c r="N3" s="84">
        <v>10.5878</v>
      </c>
      <c r="O3" s="84">
        <v>-8.4960000000000004</v>
      </c>
      <c r="P3" s="84">
        <v>-0.23266000000000001</v>
      </c>
      <c r="Q3" s="84">
        <v>1</v>
      </c>
      <c r="R3" s="84">
        <v>-1.1889000000000001</v>
      </c>
      <c r="S3" s="84">
        <v>7.9203999999999999</v>
      </c>
      <c r="T3" s="84">
        <v>0</v>
      </c>
      <c r="U3" s="84">
        <v>1</v>
      </c>
      <c r="V3" s="84">
        <v>-0.23024</v>
      </c>
      <c r="W3" s="84">
        <v>0.86619999999999997</v>
      </c>
      <c r="X3" s="85">
        <v>0</v>
      </c>
      <c r="Y3" s="83">
        <v>0</v>
      </c>
      <c r="Z3" s="84">
        <v>8862.9892</v>
      </c>
      <c r="AA3" s="84">
        <v>0</v>
      </c>
      <c r="AB3" s="84">
        <v>0</v>
      </c>
      <c r="AC3" s="84">
        <v>1</v>
      </c>
      <c r="AD3" s="84">
        <v>-9.9388000000000004E-2</v>
      </c>
      <c r="AE3" s="84">
        <v>0.59087999999999996</v>
      </c>
      <c r="AF3" s="84">
        <v>0</v>
      </c>
      <c r="AG3" s="84">
        <v>1</v>
      </c>
      <c r="AH3" s="84">
        <v>-0.2</v>
      </c>
      <c r="AI3" s="84">
        <v>0.42870999999999998</v>
      </c>
      <c r="AJ3" s="84">
        <v>0</v>
      </c>
      <c r="AK3" s="84">
        <v>0</v>
      </c>
      <c r="AL3" s="84">
        <v>2.5335000000000001E-5</v>
      </c>
      <c r="AM3" s="84">
        <v>0</v>
      </c>
      <c r="AN3" s="85">
        <v>0</v>
      </c>
      <c r="AO3" s="83">
        <v>0</v>
      </c>
      <c r="AP3" s="84">
        <v>300</v>
      </c>
      <c r="AQ3" s="84">
        <v>0</v>
      </c>
      <c r="AR3" s="84">
        <v>0</v>
      </c>
      <c r="AS3" s="84">
        <v>0</v>
      </c>
      <c r="AT3" s="84">
        <v>0.05</v>
      </c>
      <c r="AU3" s="84">
        <v>0.6</v>
      </c>
      <c r="AV3" s="84">
        <v>0</v>
      </c>
      <c r="AW3" s="84">
        <v>1</v>
      </c>
      <c r="AX3" s="84">
        <v>-0.32</v>
      </c>
      <c r="AY3" s="84">
        <v>2.56</v>
      </c>
      <c r="AZ3" s="84">
        <v>0</v>
      </c>
      <c r="BA3" s="84">
        <v>1</v>
      </c>
      <c r="BB3" s="84">
        <v>-0.03</v>
      </c>
      <c r="BC3" s="84">
        <v>0.74</v>
      </c>
      <c r="BD3" s="85">
        <v>0</v>
      </c>
      <c r="BE3" s="83">
        <v>0</v>
      </c>
      <c r="BF3" s="84">
        <v>200</v>
      </c>
      <c r="BG3" s="84">
        <v>0</v>
      </c>
      <c r="BH3" s="84">
        <v>0</v>
      </c>
      <c r="BI3" s="84">
        <v>0</v>
      </c>
      <c r="BJ3" s="84">
        <v>2.5000000000000001E-2</v>
      </c>
      <c r="BK3" s="84">
        <v>0.65</v>
      </c>
      <c r="BL3" s="84">
        <v>0</v>
      </c>
      <c r="BM3" s="84">
        <v>1</v>
      </c>
      <c r="BN3" s="84">
        <v>0</v>
      </c>
      <c r="BO3" s="84">
        <v>0.2</v>
      </c>
      <c r="BP3" s="84">
        <v>0</v>
      </c>
      <c r="BQ3" s="84">
        <v>1</v>
      </c>
      <c r="BR3" s="84">
        <v>-0.16</v>
      </c>
      <c r="BS3" s="84">
        <v>1.01</v>
      </c>
      <c r="BT3" s="85">
        <v>0</v>
      </c>
      <c r="BU3" s="49" t="s">
        <v>1765</v>
      </c>
      <c r="BV3" s="198">
        <v>44673.342187499999</v>
      </c>
    </row>
    <row r="4" spans="1:74" x14ac:dyDescent="0.3">
      <c r="A4" s="49" t="s">
        <v>1873</v>
      </c>
      <c r="B4" s="49" t="s">
        <v>409</v>
      </c>
      <c r="C4" s="49" t="s">
        <v>449</v>
      </c>
      <c r="D4">
        <v>7</v>
      </c>
      <c r="E4">
        <v>0</v>
      </c>
      <c r="F4" s="49" t="s">
        <v>471</v>
      </c>
      <c r="G4" s="49" t="s">
        <v>1764</v>
      </c>
      <c r="H4" s="49" t="s">
        <v>378</v>
      </c>
      <c r="I4" s="83">
        <v>0</v>
      </c>
      <c r="J4" s="84">
        <v>32.619799999999998</v>
      </c>
      <c r="K4" s="84">
        <v>0</v>
      </c>
      <c r="L4" s="84">
        <v>0</v>
      </c>
      <c r="M4" s="84">
        <v>1</v>
      </c>
      <c r="N4" s="84">
        <v>1.3957999999999999</v>
      </c>
      <c r="O4" s="84">
        <v>29.592700000000001</v>
      </c>
      <c r="P4" s="84">
        <v>0</v>
      </c>
      <c r="Q4" s="84">
        <v>1</v>
      </c>
      <c r="R4" s="84">
        <v>-17.214200000000002</v>
      </c>
      <c r="S4" s="84">
        <v>3.0465</v>
      </c>
      <c r="T4" s="84">
        <v>0</v>
      </c>
      <c r="U4" s="84">
        <v>0</v>
      </c>
      <c r="V4" s="84">
        <v>0.12615999999999999</v>
      </c>
      <c r="W4" s="84">
        <v>0</v>
      </c>
      <c r="X4" s="85">
        <v>0</v>
      </c>
      <c r="Y4" s="83">
        <v>0</v>
      </c>
      <c r="Z4" s="84">
        <v>20</v>
      </c>
      <c r="AA4" s="84">
        <v>0</v>
      </c>
      <c r="AB4" s="84">
        <v>0</v>
      </c>
      <c r="AC4" s="84">
        <v>1</v>
      </c>
      <c r="AD4" s="84">
        <v>-0.1</v>
      </c>
      <c r="AE4" s="84">
        <v>0.19875000000000001</v>
      </c>
      <c r="AF4" s="84">
        <v>0</v>
      </c>
      <c r="AG4" s="84">
        <v>0</v>
      </c>
      <c r="AH4" s="84">
        <v>7.4176000000000002</v>
      </c>
      <c r="AI4" s="84">
        <v>0</v>
      </c>
      <c r="AJ4" s="84">
        <v>0</v>
      </c>
      <c r="AK4" s="84">
        <v>0</v>
      </c>
      <c r="AL4" s="84">
        <v>0.99990999999999997</v>
      </c>
      <c r="AM4" s="84">
        <v>0</v>
      </c>
      <c r="AN4" s="85">
        <v>0</v>
      </c>
      <c r="AO4" s="83">
        <v>1</v>
      </c>
      <c r="AP4" s="84">
        <v>-0.53</v>
      </c>
      <c r="AQ4" s="84">
        <v>3.4</v>
      </c>
      <c r="AR4" s="84">
        <v>0</v>
      </c>
      <c r="AS4" s="84">
        <v>0</v>
      </c>
      <c r="AT4" s="84">
        <v>0.03</v>
      </c>
      <c r="AU4" s="84">
        <v>0.9</v>
      </c>
      <c r="AV4" s="84">
        <v>0</v>
      </c>
      <c r="AW4" s="84">
        <v>1</v>
      </c>
      <c r="AX4" s="84">
        <v>-0.44</v>
      </c>
      <c r="AY4" s="84">
        <v>3.52</v>
      </c>
      <c r="AZ4" s="84">
        <v>0</v>
      </c>
      <c r="BA4" s="84">
        <v>1</v>
      </c>
      <c r="BB4" s="84">
        <v>-7.0000000000000007E-2</v>
      </c>
      <c r="BC4" s="84">
        <v>0.9</v>
      </c>
      <c r="BD4" s="85">
        <v>0</v>
      </c>
      <c r="BE4" s="83">
        <v>0</v>
      </c>
      <c r="BF4" s="84">
        <v>44.89</v>
      </c>
      <c r="BG4" s="84">
        <v>0</v>
      </c>
      <c r="BH4" s="84">
        <v>0</v>
      </c>
      <c r="BI4" s="84">
        <v>0</v>
      </c>
      <c r="BJ4" s="84">
        <v>0.02</v>
      </c>
      <c r="BK4" s="84">
        <v>0.47</v>
      </c>
      <c r="BL4" s="84">
        <v>0</v>
      </c>
      <c r="BM4" s="84">
        <v>0</v>
      </c>
      <c r="BN4" s="84">
        <v>0.35</v>
      </c>
      <c r="BO4" s="84">
        <v>0</v>
      </c>
      <c r="BP4" s="84">
        <v>0</v>
      </c>
      <c r="BQ4" s="84">
        <v>0</v>
      </c>
      <c r="BR4" s="84">
        <v>0.8</v>
      </c>
      <c r="BS4" s="84">
        <v>0</v>
      </c>
      <c r="BT4" s="85">
        <v>0</v>
      </c>
      <c r="BU4" s="49" t="s">
        <v>1765</v>
      </c>
      <c r="BV4" s="198">
        <v>44673.342187499999</v>
      </c>
    </row>
    <row r="5" spans="1:74" x14ac:dyDescent="0.3">
      <c r="A5" s="49" t="s">
        <v>1874</v>
      </c>
      <c r="B5" s="49" t="s">
        <v>409</v>
      </c>
      <c r="C5" s="49" t="s">
        <v>449</v>
      </c>
      <c r="D5">
        <v>7</v>
      </c>
      <c r="E5">
        <v>0</v>
      </c>
      <c r="F5" s="49" t="s">
        <v>471</v>
      </c>
      <c r="G5" s="49" t="s">
        <v>1764</v>
      </c>
      <c r="H5" s="49" t="s">
        <v>378</v>
      </c>
      <c r="I5" s="83">
        <v>0</v>
      </c>
      <c r="J5" s="84">
        <v>317809.93060000002</v>
      </c>
      <c r="K5" s="84">
        <v>0</v>
      </c>
      <c r="L5" s="84">
        <v>0</v>
      </c>
      <c r="M5" s="84">
        <v>1</v>
      </c>
      <c r="N5" s="84">
        <v>-48.957000000000001</v>
      </c>
      <c r="O5" s="84">
        <v>16.4467</v>
      </c>
      <c r="P5" s="84">
        <v>0</v>
      </c>
      <c r="Q5" s="84">
        <v>1</v>
      </c>
      <c r="R5" s="84">
        <v>-9.5731000000000002</v>
      </c>
      <c r="S5" s="84">
        <v>2.2355</v>
      </c>
      <c r="T5" s="84">
        <v>0</v>
      </c>
      <c r="U5" s="84">
        <v>0</v>
      </c>
      <c r="V5" s="84">
        <v>0.12246</v>
      </c>
      <c r="W5" s="84">
        <v>0</v>
      </c>
      <c r="X5" s="85">
        <v>0</v>
      </c>
      <c r="Y5" s="83">
        <v>0</v>
      </c>
      <c r="Z5" s="84">
        <v>20</v>
      </c>
      <c r="AA5" s="84">
        <v>0</v>
      </c>
      <c r="AB5" s="84">
        <v>0</v>
      </c>
      <c r="AC5" s="84">
        <v>1</v>
      </c>
      <c r="AD5" s="84">
        <v>-0.1</v>
      </c>
      <c r="AE5" s="84">
        <v>0.16633000000000001</v>
      </c>
      <c r="AF5" s="84">
        <v>0</v>
      </c>
      <c r="AG5" s="84">
        <v>0</v>
      </c>
      <c r="AH5" s="84">
        <v>15.580299999999999</v>
      </c>
      <c r="AI5" s="84">
        <v>0</v>
      </c>
      <c r="AJ5" s="84">
        <v>0</v>
      </c>
      <c r="AK5" s="84">
        <v>0</v>
      </c>
      <c r="AL5" s="84">
        <v>1</v>
      </c>
      <c r="AM5" s="84">
        <v>0</v>
      </c>
      <c r="AN5" s="85">
        <v>0</v>
      </c>
      <c r="AO5" s="83">
        <v>1</v>
      </c>
      <c r="AP5" s="84">
        <v>-0.53</v>
      </c>
      <c r="AQ5" s="84">
        <v>3.4</v>
      </c>
      <c r="AR5" s="84">
        <v>0</v>
      </c>
      <c r="AS5" s="84">
        <v>0</v>
      </c>
      <c r="AT5" s="84">
        <v>0.03</v>
      </c>
      <c r="AU5" s="84">
        <v>0.9</v>
      </c>
      <c r="AV5" s="84">
        <v>0</v>
      </c>
      <c r="AW5" s="84">
        <v>1</v>
      </c>
      <c r="AX5" s="84">
        <v>-0.44</v>
      </c>
      <c r="AY5" s="84">
        <v>3.52</v>
      </c>
      <c r="AZ5" s="84">
        <v>0</v>
      </c>
      <c r="BA5" s="84">
        <v>1</v>
      </c>
      <c r="BB5" s="84">
        <v>-7.0000000000000007E-2</v>
      </c>
      <c r="BC5" s="84">
        <v>0.9</v>
      </c>
      <c r="BD5" s="85">
        <v>0</v>
      </c>
      <c r="BE5" s="83">
        <v>0</v>
      </c>
      <c r="BF5" s="84">
        <v>44.89</v>
      </c>
      <c r="BG5" s="84">
        <v>0</v>
      </c>
      <c r="BH5" s="84">
        <v>0</v>
      </c>
      <c r="BI5" s="84">
        <v>0</v>
      </c>
      <c r="BJ5" s="84">
        <v>0.02</v>
      </c>
      <c r="BK5" s="84">
        <v>0.47</v>
      </c>
      <c r="BL5" s="84">
        <v>0</v>
      </c>
      <c r="BM5" s="84">
        <v>0</v>
      </c>
      <c r="BN5" s="84">
        <v>0.35</v>
      </c>
      <c r="BO5" s="84">
        <v>0</v>
      </c>
      <c r="BP5" s="84">
        <v>0</v>
      </c>
      <c r="BQ5" s="84">
        <v>0</v>
      </c>
      <c r="BR5" s="84">
        <v>0.8</v>
      </c>
      <c r="BS5" s="84">
        <v>0</v>
      </c>
      <c r="BT5" s="85">
        <v>0</v>
      </c>
      <c r="BU5" s="49" t="s">
        <v>1765</v>
      </c>
      <c r="BV5" s="198">
        <v>44673.342187499999</v>
      </c>
    </row>
    <row r="6" spans="1:74" x14ac:dyDescent="0.3">
      <c r="A6" s="49" t="s">
        <v>1875</v>
      </c>
      <c r="B6" s="49" t="s">
        <v>409</v>
      </c>
      <c r="C6" s="49" t="s">
        <v>449</v>
      </c>
      <c r="D6">
        <v>7</v>
      </c>
      <c r="E6">
        <v>0</v>
      </c>
      <c r="F6" s="49" t="s">
        <v>471</v>
      </c>
      <c r="G6" s="49" t="s">
        <v>1764</v>
      </c>
      <c r="H6" s="49" t="s">
        <v>378</v>
      </c>
      <c r="I6" s="83">
        <v>0</v>
      </c>
      <c r="J6" s="84">
        <v>825661.46100000001</v>
      </c>
      <c r="K6" s="84">
        <v>0</v>
      </c>
      <c r="L6" s="84">
        <v>0</v>
      </c>
      <c r="M6" s="84">
        <v>1</v>
      </c>
      <c r="N6" s="84">
        <v>-2.0074999999999998</v>
      </c>
      <c r="O6" s="84">
        <v>3.2357999999999998</v>
      </c>
      <c r="P6" s="84">
        <v>0</v>
      </c>
      <c r="Q6" s="84">
        <v>1</v>
      </c>
      <c r="R6" s="84">
        <v>9.1191999999999995E-2</v>
      </c>
      <c r="S6" s="84">
        <v>2.1345999999999998</v>
      </c>
      <c r="T6" s="84">
        <v>0</v>
      </c>
      <c r="U6" s="84">
        <v>0</v>
      </c>
      <c r="V6" s="84">
        <v>4.2457000000000002E-2</v>
      </c>
      <c r="W6" s="84">
        <v>0</v>
      </c>
      <c r="X6" s="85">
        <v>0</v>
      </c>
      <c r="Y6" s="83">
        <v>0</v>
      </c>
      <c r="Z6" s="84">
        <v>20</v>
      </c>
      <c r="AA6" s="84">
        <v>0</v>
      </c>
      <c r="AB6" s="84">
        <v>0</v>
      </c>
      <c r="AC6" s="84">
        <v>1</v>
      </c>
      <c r="AD6" s="84">
        <v>8.2526000000000002E-2</v>
      </c>
      <c r="AE6" s="84">
        <v>0.12261</v>
      </c>
      <c r="AF6" s="84">
        <v>0</v>
      </c>
      <c r="AG6" s="84">
        <v>0</v>
      </c>
      <c r="AH6" s="84">
        <v>34.697499999999998</v>
      </c>
      <c r="AI6" s="84">
        <v>0</v>
      </c>
      <c r="AJ6" s="84">
        <v>0</v>
      </c>
      <c r="AK6" s="84">
        <v>0</v>
      </c>
      <c r="AL6" s="84">
        <v>2.3372999999999999E-14</v>
      </c>
      <c r="AM6" s="84">
        <v>0</v>
      </c>
      <c r="AN6" s="85">
        <v>0</v>
      </c>
      <c r="AO6" s="83">
        <v>1</v>
      </c>
      <c r="AP6" s="84">
        <v>-0.34281</v>
      </c>
      <c r="AQ6" s="84">
        <v>2.6196000000000002</v>
      </c>
      <c r="AR6" s="84">
        <v>0</v>
      </c>
      <c r="AS6" s="84">
        <v>0</v>
      </c>
      <c r="AT6" s="84">
        <v>0.03</v>
      </c>
      <c r="AU6" s="84">
        <v>0.68323</v>
      </c>
      <c r="AV6" s="84">
        <v>0</v>
      </c>
      <c r="AW6" s="84">
        <v>1</v>
      </c>
      <c r="AX6" s="84">
        <v>-0.32128000000000001</v>
      </c>
      <c r="AY6" s="84">
        <v>4.3258999999999999</v>
      </c>
      <c r="AZ6" s="84">
        <v>0</v>
      </c>
      <c r="BA6" s="84">
        <v>1</v>
      </c>
      <c r="BB6" s="84">
        <v>-4.6143000000000003E-2</v>
      </c>
      <c r="BC6" s="84">
        <v>0.68188000000000004</v>
      </c>
      <c r="BD6" s="85">
        <v>0</v>
      </c>
      <c r="BE6" s="83">
        <v>0</v>
      </c>
      <c r="BF6" s="84">
        <v>44.89</v>
      </c>
      <c r="BG6" s="84">
        <v>0</v>
      </c>
      <c r="BH6" s="84">
        <v>0</v>
      </c>
      <c r="BI6" s="84">
        <v>0</v>
      </c>
      <c r="BJ6" s="84">
        <v>0.02</v>
      </c>
      <c r="BK6" s="84">
        <v>0.37064000000000002</v>
      </c>
      <c r="BL6" s="84">
        <v>0</v>
      </c>
      <c r="BM6" s="84">
        <v>0</v>
      </c>
      <c r="BN6" s="84">
        <v>0.35149999999999998</v>
      </c>
      <c r="BO6" s="84">
        <v>0</v>
      </c>
      <c r="BP6" s="84">
        <v>0</v>
      </c>
      <c r="BQ6" s="84">
        <v>0</v>
      </c>
      <c r="BR6" s="84">
        <v>0.66398000000000001</v>
      </c>
      <c r="BS6" s="84">
        <v>0</v>
      </c>
      <c r="BT6" s="85">
        <v>0</v>
      </c>
      <c r="BU6" s="49" t="s">
        <v>1765</v>
      </c>
      <c r="BV6" s="198">
        <v>44673.342187499999</v>
      </c>
    </row>
    <row r="7" spans="1:74" x14ac:dyDescent="0.3">
      <c r="A7" s="49" t="s">
        <v>1876</v>
      </c>
      <c r="B7" s="49" t="s">
        <v>409</v>
      </c>
      <c r="C7" s="49" t="s">
        <v>449</v>
      </c>
      <c r="D7">
        <v>7</v>
      </c>
      <c r="E7">
        <v>0</v>
      </c>
      <c r="F7" s="49" t="s">
        <v>471</v>
      </c>
      <c r="G7" s="49" t="s">
        <v>1764</v>
      </c>
      <c r="H7" s="49" t="s">
        <v>378</v>
      </c>
      <c r="I7" s="83">
        <v>0</v>
      </c>
      <c r="J7" s="84">
        <v>108321.8046</v>
      </c>
      <c r="K7" s="84">
        <v>0</v>
      </c>
      <c r="L7" s="84">
        <v>0</v>
      </c>
      <c r="M7" s="84">
        <v>1</v>
      </c>
      <c r="N7" s="84">
        <v>-7.5125000000000002</v>
      </c>
      <c r="O7" s="84">
        <v>5.5544000000000002</v>
      </c>
      <c r="P7" s="84">
        <v>0</v>
      </c>
      <c r="Q7" s="84">
        <v>1</v>
      </c>
      <c r="R7" s="84">
        <v>-1.8954</v>
      </c>
      <c r="S7" s="84">
        <v>5.0636999999999999</v>
      </c>
      <c r="T7" s="84">
        <v>0</v>
      </c>
      <c r="U7" s="84">
        <v>0</v>
      </c>
      <c r="V7" s="84">
        <v>0.33157999999999999</v>
      </c>
      <c r="W7" s="84">
        <v>0</v>
      </c>
      <c r="X7" s="85">
        <v>0</v>
      </c>
      <c r="Y7" s="83">
        <v>0</v>
      </c>
      <c r="Z7" s="84">
        <v>20</v>
      </c>
      <c r="AA7" s="84">
        <v>0</v>
      </c>
      <c r="AB7" s="84">
        <v>0</v>
      </c>
      <c r="AC7" s="84">
        <v>1</v>
      </c>
      <c r="AD7" s="84">
        <v>3.3524999999999999E-2</v>
      </c>
      <c r="AE7" s="84">
        <v>0.1</v>
      </c>
      <c r="AF7" s="84">
        <v>0</v>
      </c>
      <c r="AG7" s="84">
        <v>0</v>
      </c>
      <c r="AH7" s="84">
        <v>36.9985</v>
      </c>
      <c r="AI7" s="84">
        <v>0</v>
      </c>
      <c r="AJ7" s="84">
        <v>0</v>
      </c>
      <c r="AK7" s="84">
        <v>0</v>
      </c>
      <c r="AL7" s="84">
        <v>2.2855000000000001E-14</v>
      </c>
      <c r="AM7" s="84">
        <v>0</v>
      </c>
      <c r="AN7" s="85">
        <v>0</v>
      </c>
      <c r="AO7" s="83">
        <v>1</v>
      </c>
      <c r="AP7" s="84">
        <v>-0.46211999999999998</v>
      </c>
      <c r="AQ7" s="84">
        <v>3.1097000000000001</v>
      </c>
      <c r="AR7" s="84">
        <v>0</v>
      </c>
      <c r="AS7" s="84">
        <v>0</v>
      </c>
      <c r="AT7" s="84">
        <v>0.03</v>
      </c>
      <c r="AU7" s="84">
        <v>0.81916</v>
      </c>
      <c r="AV7" s="84">
        <v>0</v>
      </c>
      <c r="AW7" s="84">
        <v>1</v>
      </c>
      <c r="AX7" s="84">
        <v>-0.39424999999999999</v>
      </c>
      <c r="AY7" s="84">
        <v>3.8184999999999998</v>
      </c>
      <c r="AZ7" s="84">
        <v>0</v>
      </c>
      <c r="BA7" s="84">
        <v>1</v>
      </c>
      <c r="BB7" s="84">
        <v>-5.8050999999999998E-2</v>
      </c>
      <c r="BC7" s="84">
        <v>0.81744000000000006</v>
      </c>
      <c r="BD7" s="85">
        <v>0</v>
      </c>
      <c r="BE7" s="83">
        <v>0</v>
      </c>
      <c r="BF7" s="84">
        <v>44.89</v>
      </c>
      <c r="BG7" s="84">
        <v>0</v>
      </c>
      <c r="BH7" s="84">
        <v>0</v>
      </c>
      <c r="BI7" s="84">
        <v>0</v>
      </c>
      <c r="BJ7" s="84">
        <v>0.02</v>
      </c>
      <c r="BK7" s="84">
        <v>0.43370999999999998</v>
      </c>
      <c r="BL7" s="84">
        <v>0</v>
      </c>
      <c r="BM7" s="84">
        <v>0</v>
      </c>
      <c r="BN7" s="84">
        <v>0.35149999999999998</v>
      </c>
      <c r="BO7" s="84">
        <v>0</v>
      </c>
      <c r="BP7" s="84">
        <v>0</v>
      </c>
      <c r="BQ7" s="84">
        <v>0</v>
      </c>
      <c r="BR7" s="84">
        <v>0.74873999999999996</v>
      </c>
      <c r="BS7" s="84">
        <v>0</v>
      </c>
      <c r="BT7" s="85">
        <v>0</v>
      </c>
      <c r="BU7" s="49" t="s">
        <v>1765</v>
      </c>
      <c r="BV7" s="198">
        <v>44673.342187499999</v>
      </c>
    </row>
    <row r="8" spans="1:74" x14ac:dyDescent="0.3">
      <c r="A8" s="49" t="s">
        <v>1877</v>
      </c>
      <c r="B8" s="49" t="s">
        <v>409</v>
      </c>
      <c r="C8" s="49" t="s">
        <v>449</v>
      </c>
      <c r="D8">
        <v>7</v>
      </c>
      <c r="E8">
        <v>0</v>
      </c>
      <c r="F8" s="49" t="s">
        <v>471</v>
      </c>
      <c r="G8" s="49" t="s">
        <v>1764</v>
      </c>
      <c r="H8" s="49" t="s">
        <v>378</v>
      </c>
      <c r="I8" s="83">
        <v>0</v>
      </c>
      <c r="J8" s="84">
        <v>309211.74489999999</v>
      </c>
      <c r="K8" s="84">
        <v>0</v>
      </c>
      <c r="L8" s="84">
        <v>0</v>
      </c>
      <c r="M8" s="84">
        <v>1</v>
      </c>
      <c r="N8" s="84">
        <v>-3.3380000000000001</v>
      </c>
      <c r="O8" s="84">
        <v>5.1623999999999999</v>
      </c>
      <c r="P8" s="84">
        <v>0</v>
      </c>
      <c r="Q8" s="84">
        <v>1</v>
      </c>
      <c r="R8" s="84">
        <v>-2.1179000000000001</v>
      </c>
      <c r="S8" s="84">
        <v>6.2324999999999999</v>
      </c>
      <c r="T8" s="84">
        <v>0</v>
      </c>
      <c r="U8" s="84">
        <v>0</v>
      </c>
      <c r="V8" s="84">
        <v>0.57250000000000001</v>
      </c>
      <c r="W8" s="84">
        <v>0</v>
      </c>
      <c r="X8" s="85">
        <v>0</v>
      </c>
      <c r="Y8" s="83">
        <v>0</v>
      </c>
      <c r="Z8" s="84">
        <v>20</v>
      </c>
      <c r="AA8" s="84">
        <v>0</v>
      </c>
      <c r="AB8" s="84">
        <v>0</v>
      </c>
      <c r="AC8" s="84">
        <v>1</v>
      </c>
      <c r="AD8" s="84">
        <v>-7.5702000000000005E-2</v>
      </c>
      <c r="AE8" s="84">
        <v>0.14102999999999999</v>
      </c>
      <c r="AF8" s="84">
        <v>0</v>
      </c>
      <c r="AG8" s="84">
        <v>0</v>
      </c>
      <c r="AH8" s="84">
        <v>26.2652</v>
      </c>
      <c r="AI8" s="84">
        <v>0</v>
      </c>
      <c r="AJ8" s="84">
        <v>0</v>
      </c>
      <c r="AK8" s="84">
        <v>0</v>
      </c>
      <c r="AL8" s="84">
        <v>2.2203999999999999E-14</v>
      </c>
      <c r="AM8" s="84">
        <v>0</v>
      </c>
      <c r="AN8" s="85">
        <v>0</v>
      </c>
      <c r="AO8" s="83">
        <v>1</v>
      </c>
      <c r="AP8" s="84">
        <v>-0.43404999999999999</v>
      </c>
      <c r="AQ8" s="84">
        <v>2.9944000000000002</v>
      </c>
      <c r="AR8" s="84">
        <v>0</v>
      </c>
      <c r="AS8" s="84">
        <v>0</v>
      </c>
      <c r="AT8" s="84">
        <v>0.03</v>
      </c>
      <c r="AU8" s="84">
        <v>0.78717999999999999</v>
      </c>
      <c r="AV8" s="84">
        <v>0</v>
      </c>
      <c r="AW8" s="84">
        <v>1</v>
      </c>
      <c r="AX8" s="84">
        <v>-0.37708000000000003</v>
      </c>
      <c r="AY8" s="84">
        <v>3.9379</v>
      </c>
      <c r="AZ8" s="84">
        <v>0</v>
      </c>
      <c r="BA8" s="84">
        <v>1</v>
      </c>
      <c r="BB8" s="84">
        <v>-5.5248999999999999E-2</v>
      </c>
      <c r="BC8" s="84">
        <v>0.78554000000000002</v>
      </c>
      <c r="BD8" s="85">
        <v>0</v>
      </c>
      <c r="BE8" s="83">
        <v>0</v>
      </c>
      <c r="BF8" s="84">
        <v>44.89</v>
      </c>
      <c r="BG8" s="84">
        <v>0</v>
      </c>
      <c r="BH8" s="84">
        <v>0</v>
      </c>
      <c r="BI8" s="84">
        <v>0</v>
      </c>
      <c r="BJ8" s="84">
        <v>0.02</v>
      </c>
      <c r="BK8" s="84">
        <v>0.41887000000000002</v>
      </c>
      <c r="BL8" s="84">
        <v>0</v>
      </c>
      <c r="BM8" s="84">
        <v>0</v>
      </c>
      <c r="BN8" s="84">
        <v>0.35149999999999998</v>
      </c>
      <c r="BO8" s="84">
        <v>0</v>
      </c>
      <c r="BP8" s="84">
        <v>0</v>
      </c>
      <c r="BQ8" s="84">
        <v>0</v>
      </c>
      <c r="BR8" s="84">
        <v>0.7288</v>
      </c>
      <c r="BS8" s="84">
        <v>0</v>
      </c>
      <c r="BT8" s="85">
        <v>0</v>
      </c>
      <c r="BU8" s="49" t="s">
        <v>1765</v>
      </c>
      <c r="BV8" s="198">
        <v>44673.342187499999</v>
      </c>
    </row>
    <row r="9" spans="1:74" x14ac:dyDescent="0.3">
      <c r="A9" s="49" t="s">
        <v>1879</v>
      </c>
      <c r="B9" s="49" t="s">
        <v>409</v>
      </c>
      <c r="C9" s="49" t="s">
        <v>449</v>
      </c>
      <c r="D9">
        <v>7</v>
      </c>
      <c r="E9">
        <v>0</v>
      </c>
      <c r="F9" s="49" t="s">
        <v>471</v>
      </c>
      <c r="G9" s="49" t="s">
        <v>1764</v>
      </c>
      <c r="H9" s="49" t="s">
        <v>378</v>
      </c>
      <c r="I9" s="83">
        <v>0</v>
      </c>
      <c r="J9" s="84">
        <v>68.590999999999994</v>
      </c>
      <c r="K9" s="84">
        <v>0</v>
      </c>
      <c r="L9" s="84">
        <v>0</v>
      </c>
      <c r="M9" s="84">
        <v>1</v>
      </c>
      <c r="N9" s="84">
        <v>0.74602000000000002</v>
      </c>
      <c r="O9" s="84">
        <v>5.1182999999999996</v>
      </c>
      <c r="P9" s="84">
        <v>0</v>
      </c>
      <c r="Q9" s="84">
        <v>1</v>
      </c>
      <c r="R9" s="84">
        <v>-7.3097000000000003</v>
      </c>
      <c r="S9" s="84">
        <v>13.5189</v>
      </c>
      <c r="T9" s="84">
        <v>0</v>
      </c>
      <c r="U9" s="84">
        <v>0</v>
      </c>
      <c r="V9" s="84">
        <v>0.58809</v>
      </c>
      <c r="W9" s="84">
        <v>0</v>
      </c>
      <c r="X9" s="85">
        <v>0</v>
      </c>
      <c r="Y9" s="83">
        <v>0</v>
      </c>
      <c r="Z9" s="84">
        <v>20</v>
      </c>
      <c r="AA9" s="84">
        <v>0</v>
      </c>
      <c r="AB9" s="84">
        <v>0</v>
      </c>
      <c r="AC9" s="84">
        <v>1</v>
      </c>
      <c r="AD9" s="84">
        <v>3.9843999999999997E-2</v>
      </c>
      <c r="AE9" s="84">
        <v>0.1</v>
      </c>
      <c r="AF9" s="84">
        <v>0</v>
      </c>
      <c r="AG9" s="84">
        <v>0</v>
      </c>
      <c r="AH9" s="84">
        <v>36.328699999999998</v>
      </c>
      <c r="AI9" s="84">
        <v>0</v>
      </c>
      <c r="AJ9" s="84">
        <v>0</v>
      </c>
      <c r="AK9" s="84">
        <v>0</v>
      </c>
      <c r="AL9" s="84">
        <v>2.8618000000000002E-14</v>
      </c>
      <c r="AM9" s="84">
        <v>0</v>
      </c>
      <c r="AN9" s="85">
        <v>0</v>
      </c>
      <c r="AO9" s="83">
        <v>1</v>
      </c>
      <c r="AP9" s="84">
        <v>-0.51124999999999998</v>
      </c>
      <c r="AQ9" s="84">
        <v>3.3115000000000001</v>
      </c>
      <c r="AR9" s="84">
        <v>0</v>
      </c>
      <c r="AS9" s="84">
        <v>0</v>
      </c>
      <c r="AT9" s="84">
        <v>0.03</v>
      </c>
      <c r="AU9" s="84">
        <v>0.87512999999999996</v>
      </c>
      <c r="AV9" s="84">
        <v>0</v>
      </c>
      <c r="AW9" s="84">
        <v>1</v>
      </c>
      <c r="AX9" s="84">
        <v>-0.42429</v>
      </c>
      <c r="AY9" s="84">
        <v>3.6095999999999999</v>
      </c>
      <c r="AZ9" s="84">
        <v>0</v>
      </c>
      <c r="BA9" s="84">
        <v>1</v>
      </c>
      <c r="BB9" s="84">
        <v>-6.2953999999999996E-2</v>
      </c>
      <c r="BC9" s="84">
        <v>0.87326000000000004</v>
      </c>
      <c r="BD9" s="85">
        <v>0</v>
      </c>
      <c r="BE9" s="83">
        <v>0</v>
      </c>
      <c r="BF9" s="84">
        <v>44.89</v>
      </c>
      <c r="BG9" s="84">
        <v>0</v>
      </c>
      <c r="BH9" s="84">
        <v>0</v>
      </c>
      <c r="BI9" s="84">
        <v>0</v>
      </c>
      <c r="BJ9" s="84">
        <v>0.02</v>
      </c>
      <c r="BK9" s="84">
        <v>0.45967999999999998</v>
      </c>
      <c r="BL9" s="84">
        <v>0</v>
      </c>
      <c r="BM9" s="84">
        <v>0</v>
      </c>
      <c r="BN9" s="84">
        <v>0.35149999999999998</v>
      </c>
      <c r="BO9" s="84">
        <v>0</v>
      </c>
      <c r="BP9" s="84">
        <v>0</v>
      </c>
      <c r="BQ9" s="84">
        <v>0</v>
      </c>
      <c r="BR9" s="84">
        <v>0.78364</v>
      </c>
      <c r="BS9" s="84">
        <v>0</v>
      </c>
      <c r="BT9" s="85">
        <v>0</v>
      </c>
      <c r="BU9" s="49" t="s">
        <v>1765</v>
      </c>
      <c r="BV9" s="198">
        <v>44673.342187499999</v>
      </c>
    </row>
    <row r="10" spans="1:74" x14ac:dyDescent="0.3">
      <c r="A10" s="49" t="s">
        <v>1880</v>
      </c>
      <c r="B10" s="49" t="s">
        <v>409</v>
      </c>
      <c r="C10" s="49" t="s">
        <v>449</v>
      </c>
      <c r="D10">
        <v>7</v>
      </c>
      <c r="E10">
        <v>0</v>
      </c>
      <c r="F10" s="49" t="s">
        <v>471</v>
      </c>
      <c r="G10" s="49" t="s">
        <v>1764</v>
      </c>
      <c r="H10" s="49" t="s">
        <v>379</v>
      </c>
      <c r="I10" s="83">
        <v>0</v>
      </c>
      <c r="J10" s="84">
        <v>330530.95980000001</v>
      </c>
      <c r="K10" s="84">
        <v>0</v>
      </c>
      <c r="L10" s="84">
        <v>0</v>
      </c>
      <c r="M10" s="84">
        <v>2</v>
      </c>
      <c r="N10" s="84">
        <v>10.5878</v>
      </c>
      <c r="O10" s="84">
        <v>-8.4960000000000004</v>
      </c>
      <c r="P10" s="84">
        <v>-0.23266000000000001</v>
      </c>
      <c r="Q10" s="84">
        <v>1</v>
      </c>
      <c r="R10" s="84">
        <v>-1.1889000000000001</v>
      </c>
      <c r="S10" s="84">
        <v>7.9203999999999999</v>
      </c>
      <c r="T10" s="84">
        <v>0</v>
      </c>
      <c r="U10" s="84">
        <v>1</v>
      </c>
      <c r="V10" s="84">
        <v>-0.23024</v>
      </c>
      <c r="W10" s="84">
        <v>0.86619999999999997</v>
      </c>
      <c r="X10" s="85">
        <v>0</v>
      </c>
      <c r="Y10" s="83">
        <v>0</v>
      </c>
      <c r="Z10" s="84">
        <v>11495.478800000001</v>
      </c>
      <c r="AA10" s="84">
        <v>0</v>
      </c>
      <c r="AB10" s="84">
        <v>0</v>
      </c>
      <c r="AC10" s="84">
        <v>1</v>
      </c>
      <c r="AD10" s="84">
        <v>-6.3311000000000006E-2</v>
      </c>
      <c r="AE10" s="84">
        <v>0.29648999999999998</v>
      </c>
      <c r="AF10" s="84">
        <v>0</v>
      </c>
      <c r="AG10" s="84">
        <v>1</v>
      </c>
      <c r="AH10" s="84">
        <v>-0.16925999999999999</v>
      </c>
      <c r="AI10" s="84">
        <v>0.36308000000000001</v>
      </c>
      <c r="AJ10" s="84">
        <v>0</v>
      </c>
      <c r="AK10" s="84">
        <v>0</v>
      </c>
      <c r="AL10" s="84">
        <v>3.4373000000000001E-2</v>
      </c>
      <c r="AM10" s="84">
        <v>0</v>
      </c>
      <c r="AN10" s="85">
        <v>0</v>
      </c>
      <c r="AO10" s="83">
        <v>0</v>
      </c>
      <c r="AP10" s="84">
        <v>300</v>
      </c>
      <c r="AQ10" s="84">
        <v>0</v>
      </c>
      <c r="AR10" s="84">
        <v>0</v>
      </c>
      <c r="AS10" s="84">
        <v>0</v>
      </c>
      <c r="AT10" s="84">
        <v>0.05</v>
      </c>
      <c r="AU10" s="84">
        <v>0.6</v>
      </c>
      <c r="AV10" s="84">
        <v>0</v>
      </c>
      <c r="AW10" s="84">
        <v>1</v>
      </c>
      <c r="AX10" s="84">
        <v>-0.32</v>
      </c>
      <c r="AY10" s="84">
        <v>2.56</v>
      </c>
      <c r="AZ10" s="84">
        <v>0</v>
      </c>
      <c r="BA10" s="84">
        <v>1</v>
      </c>
      <c r="BB10" s="84">
        <v>-0.03</v>
      </c>
      <c r="BC10" s="84">
        <v>0.74</v>
      </c>
      <c r="BD10" s="85">
        <v>0</v>
      </c>
      <c r="BE10" s="83">
        <v>0</v>
      </c>
      <c r="BF10" s="84">
        <v>200</v>
      </c>
      <c r="BG10" s="84">
        <v>0</v>
      </c>
      <c r="BH10" s="84">
        <v>0</v>
      </c>
      <c r="BI10" s="84">
        <v>0</v>
      </c>
      <c r="BJ10" s="84">
        <v>2.5000000000000001E-2</v>
      </c>
      <c r="BK10" s="84">
        <v>0.65</v>
      </c>
      <c r="BL10" s="84">
        <v>0</v>
      </c>
      <c r="BM10" s="84">
        <v>1</v>
      </c>
      <c r="BN10" s="84">
        <v>0</v>
      </c>
      <c r="BO10" s="84">
        <v>0.2</v>
      </c>
      <c r="BP10" s="84">
        <v>0</v>
      </c>
      <c r="BQ10" s="84">
        <v>1</v>
      </c>
      <c r="BR10" s="84">
        <v>-0.16</v>
      </c>
      <c r="BS10" s="84">
        <v>1.01</v>
      </c>
      <c r="BT10" s="85">
        <v>0</v>
      </c>
      <c r="BU10" s="49" t="s">
        <v>1765</v>
      </c>
      <c r="BV10" s="198">
        <v>44673.342187499999</v>
      </c>
    </row>
    <row r="11" spans="1:74" x14ac:dyDescent="0.3">
      <c r="A11" s="49" t="s">
        <v>1882</v>
      </c>
      <c r="B11" s="49" t="s">
        <v>409</v>
      </c>
      <c r="C11" s="49" t="s">
        <v>449</v>
      </c>
      <c r="D11">
        <v>7</v>
      </c>
      <c r="E11">
        <v>0</v>
      </c>
      <c r="F11" s="49" t="s">
        <v>471</v>
      </c>
      <c r="G11" s="49" t="s">
        <v>1764</v>
      </c>
      <c r="H11" s="49" t="s">
        <v>378</v>
      </c>
      <c r="I11" s="83">
        <v>0</v>
      </c>
      <c r="J11" s="84">
        <v>1000000</v>
      </c>
      <c r="K11" s="84">
        <v>0</v>
      </c>
      <c r="L11" s="84">
        <v>0</v>
      </c>
      <c r="M11" s="84">
        <v>1</v>
      </c>
      <c r="N11" s="84">
        <v>3.0145</v>
      </c>
      <c r="O11" s="84">
        <v>1.6039000000000001</v>
      </c>
      <c r="P11" s="84">
        <v>0</v>
      </c>
      <c r="Q11" s="84">
        <v>1</v>
      </c>
      <c r="R11" s="84">
        <v>1.6394</v>
      </c>
      <c r="S11" s="84">
        <v>0.2</v>
      </c>
      <c r="T11" s="84">
        <v>0</v>
      </c>
      <c r="U11" s="84">
        <v>0</v>
      </c>
      <c r="V11" s="84">
        <v>0.88544999999999996</v>
      </c>
      <c r="W11" s="84">
        <v>0</v>
      </c>
      <c r="X11" s="85">
        <v>0</v>
      </c>
      <c r="Y11" s="83">
        <v>0</v>
      </c>
      <c r="Z11" s="84">
        <v>20</v>
      </c>
      <c r="AA11" s="84">
        <v>0</v>
      </c>
      <c r="AB11" s="84">
        <v>0</v>
      </c>
      <c r="AC11" s="84">
        <v>1</v>
      </c>
      <c r="AD11" s="84">
        <v>-5.4331999999999998E-2</v>
      </c>
      <c r="AE11" s="84">
        <v>0.1</v>
      </c>
      <c r="AF11" s="84">
        <v>0</v>
      </c>
      <c r="AG11" s="84">
        <v>0</v>
      </c>
      <c r="AH11" s="84">
        <v>0.19869000000000001</v>
      </c>
      <c r="AI11" s="84">
        <v>0</v>
      </c>
      <c r="AJ11" s="84">
        <v>0</v>
      </c>
      <c r="AK11" s="84">
        <v>0</v>
      </c>
      <c r="AL11" s="84">
        <v>2.0022E-3</v>
      </c>
      <c r="AM11" s="84">
        <v>0</v>
      </c>
      <c r="AN11" s="85">
        <v>0</v>
      </c>
      <c r="AO11" s="83">
        <v>1</v>
      </c>
      <c r="AP11" s="84">
        <v>-0.29369000000000001</v>
      </c>
      <c r="AQ11" s="84">
        <v>2.4178000000000002</v>
      </c>
      <c r="AR11" s="84">
        <v>0</v>
      </c>
      <c r="AS11" s="84">
        <v>0</v>
      </c>
      <c r="AT11" s="84">
        <v>0.03</v>
      </c>
      <c r="AU11" s="84">
        <v>0.62726000000000004</v>
      </c>
      <c r="AV11" s="84">
        <v>0</v>
      </c>
      <c r="AW11" s="84">
        <v>1</v>
      </c>
      <c r="AX11" s="84">
        <v>-0.29124</v>
      </c>
      <c r="AY11" s="84">
        <v>4.5349000000000004</v>
      </c>
      <c r="AZ11" s="84">
        <v>0</v>
      </c>
      <c r="BA11" s="84">
        <v>1</v>
      </c>
      <c r="BB11" s="84">
        <v>-4.1238999999999998E-2</v>
      </c>
      <c r="BC11" s="84">
        <v>0.62605999999999995</v>
      </c>
      <c r="BD11" s="85">
        <v>0</v>
      </c>
      <c r="BE11" s="83">
        <v>0</v>
      </c>
      <c r="BF11" s="84">
        <v>44.89</v>
      </c>
      <c r="BG11" s="84">
        <v>0</v>
      </c>
      <c r="BH11" s="84">
        <v>0</v>
      </c>
      <c r="BI11" s="84">
        <v>0</v>
      </c>
      <c r="BJ11" s="84">
        <v>0.02</v>
      </c>
      <c r="BK11" s="84">
        <v>0.34466999999999998</v>
      </c>
      <c r="BL11" s="84">
        <v>0</v>
      </c>
      <c r="BM11" s="84">
        <v>0</v>
      </c>
      <c r="BN11" s="84">
        <v>0.35149999999999998</v>
      </c>
      <c r="BO11" s="84">
        <v>0</v>
      </c>
      <c r="BP11" s="84">
        <v>0</v>
      </c>
      <c r="BQ11" s="84">
        <v>0</v>
      </c>
      <c r="BR11" s="84">
        <v>0.62907999999999997</v>
      </c>
      <c r="BS11" s="84">
        <v>0</v>
      </c>
      <c r="BT11" s="85">
        <v>0</v>
      </c>
      <c r="BU11" s="49" t="s">
        <v>1765</v>
      </c>
      <c r="BV11" s="198">
        <v>44673.342199074075</v>
      </c>
    </row>
    <row r="12" spans="1:74" x14ac:dyDescent="0.3">
      <c r="A12" s="49" t="s">
        <v>1883</v>
      </c>
      <c r="B12" s="49" t="s">
        <v>409</v>
      </c>
      <c r="C12" s="49" t="s">
        <v>449</v>
      </c>
      <c r="D12">
        <v>7</v>
      </c>
      <c r="E12">
        <v>0</v>
      </c>
      <c r="F12" s="49" t="s">
        <v>471</v>
      </c>
      <c r="G12" s="49" t="s">
        <v>1764</v>
      </c>
      <c r="H12" s="49" t="s">
        <v>378</v>
      </c>
      <c r="I12" s="83">
        <v>0</v>
      </c>
      <c r="J12" s="84">
        <v>1000000</v>
      </c>
      <c r="K12" s="84">
        <v>0</v>
      </c>
      <c r="L12" s="84">
        <v>0</v>
      </c>
      <c r="M12" s="84">
        <v>1</v>
      </c>
      <c r="N12" s="84">
        <v>1.6748000000000001</v>
      </c>
      <c r="O12" s="84">
        <v>0.89107999999999998</v>
      </c>
      <c r="P12" s="84">
        <v>0</v>
      </c>
      <c r="Q12" s="84">
        <v>1</v>
      </c>
      <c r="R12" s="84">
        <v>1.6394</v>
      </c>
      <c r="S12" s="84">
        <v>0.2</v>
      </c>
      <c r="T12" s="84">
        <v>0</v>
      </c>
      <c r="U12" s="84">
        <v>0</v>
      </c>
      <c r="V12" s="84">
        <v>0.88544999999999996</v>
      </c>
      <c r="W12" s="84">
        <v>0</v>
      </c>
      <c r="X12" s="85">
        <v>0</v>
      </c>
      <c r="Y12" s="83">
        <v>0</v>
      </c>
      <c r="Z12" s="84">
        <v>20</v>
      </c>
      <c r="AA12" s="84">
        <v>0</v>
      </c>
      <c r="AB12" s="84">
        <v>0</v>
      </c>
      <c r="AC12" s="84">
        <v>1</v>
      </c>
      <c r="AD12" s="84">
        <v>-7.3137999999999995E-2</v>
      </c>
      <c r="AE12" s="84">
        <v>0.1</v>
      </c>
      <c r="AF12" s="84">
        <v>0</v>
      </c>
      <c r="AG12" s="84">
        <v>0</v>
      </c>
      <c r="AH12" s="84">
        <v>8.0572999999999997</v>
      </c>
      <c r="AI12" s="84">
        <v>0</v>
      </c>
      <c r="AJ12" s="84">
        <v>0</v>
      </c>
      <c r="AK12" s="84">
        <v>0</v>
      </c>
      <c r="AL12" s="84">
        <v>0.99917</v>
      </c>
      <c r="AM12" s="84">
        <v>0</v>
      </c>
      <c r="AN12" s="85">
        <v>0</v>
      </c>
      <c r="AO12" s="83">
        <v>0</v>
      </c>
      <c r="AP12" s="84">
        <v>1.5017</v>
      </c>
      <c r="AQ12" s="84">
        <v>2.2160000000000002</v>
      </c>
      <c r="AR12" s="84">
        <v>0</v>
      </c>
      <c r="AS12" s="84">
        <v>0</v>
      </c>
      <c r="AT12" s="84">
        <v>0.01</v>
      </c>
      <c r="AU12" s="84">
        <v>0.57128000000000001</v>
      </c>
      <c r="AV12" s="84">
        <v>0</v>
      </c>
      <c r="AW12" s="84">
        <v>0</v>
      </c>
      <c r="AX12" s="84">
        <v>1.2484E-2</v>
      </c>
      <c r="AY12" s="84">
        <v>4.7439</v>
      </c>
      <c r="AZ12" s="84">
        <v>0</v>
      </c>
      <c r="BA12" s="84">
        <v>0</v>
      </c>
      <c r="BB12" s="84">
        <v>0.50685999999999998</v>
      </c>
      <c r="BC12" s="84">
        <v>0.57025000000000003</v>
      </c>
      <c r="BD12" s="85">
        <v>0</v>
      </c>
      <c r="BE12" s="83">
        <v>0</v>
      </c>
      <c r="BF12" s="84">
        <v>35028.533100000001</v>
      </c>
      <c r="BG12" s="84">
        <v>0</v>
      </c>
      <c r="BH12" s="84">
        <v>0</v>
      </c>
      <c r="BI12" s="84">
        <v>0</v>
      </c>
      <c r="BJ12" s="84">
        <v>1.0711E-2</v>
      </c>
      <c r="BK12" s="84">
        <v>0.31869999999999998</v>
      </c>
      <c r="BL12" s="84">
        <v>0</v>
      </c>
      <c r="BM12" s="84">
        <v>0</v>
      </c>
      <c r="BN12" s="84">
        <v>8.2419999999999993E-3</v>
      </c>
      <c r="BO12" s="84">
        <v>0</v>
      </c>
      <c r="BP12" s="84">
        <v>0</v>
      </c>
      <c r="BQ12" s="84">
        <v>0</v>
      </c>
      <c r="BR12" s="84">
        <v>0.38982</v>
      </c>
      <c r="BS12" s="84">
        <v>0</v>
      </c>
      <c r="BT12" s="85">
        <v>0</v>
      </c>
      <c r="BU12" s="49" t="s">
        <v>1765</v>
      </c>
      <c r="BV12" s="198">
        <v>44673.342199074075</v>
      </c>
    </row>
  </sheetData>
  <phoneticPr fontId="26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9FFBA-4060-4E58-ADAB-419621369FF7}">
  <sheetPr>
    <tabColor rgb="FF00B0F0"/>
  </sheetPr>
  <dimension ref="A1:CN255"/>
  <sheetViews>
    <sheetView topLeftCell="AK1" zoomScale="115" zoomScaleNormal="115" workbookViewId="0">
      <selection activeCell="AT23" sqref="AT23"/>
    </sheetView>
  </sheetViews>
  <sheetFormatPr defaultColWidth="9.33203125" defaultRowHeight="14.4" x14ac:dyDescent="0.3"/>
  <cols>
    <col min="1" max="1" width="18" style="152" bestFit="1" customWidth="1"/>
    <col min="2" max="2" width="13.6640625" style="152" customWidth="1"/>
    <col min="3" max="3" width="13.5546875" style="152" customWidth="1"/>
    <col min="4" max="5" width="14" style="152" customWidth="1"/>
    <col min="6" max="6" width="13" style="152" bestFit="1" customWidth="1"/>
    <col min="7" max="7" width="13.5546875" style="152" customWidth="1"/>
    <col min="8" max="8" width="11" style="152" bestFit="1" customWidth="1"/>
    <col min="9" max="9" width="15.6640625" style="152" bestFit="1" customWidth="1"/>
    <col min="10" max="10" width="10.33203125" style="152" customWidth="1"/>
    <col min="11" max="11" width="11.5546875" style="152" bestFit="1" customWidth="1"/>
    <col min="12" max="12" width="22.5546875" style="152" customWidth="1"/>
    <col min="13" max="13" width="11.6640625" style="152" bestFit="1" customWidth="1"/>
    <col min="14" max="14" width="11" style="152" bestFit="1" customWidth="1"/>
    <col min="15" max="15" width="9.33203125" style="152" customWidth="1"/>
    <col min="16" max="16" width="10.5546875" style="152" customWidth="1"/>
    <col min="17" max="18" width="9.5546875" style="152" bestFit="1" customWidth="1"/>
    <col min="19" max="20" width="6.5546875" style="152" customWidth="1"/>
    <col min="21" max="21" width="13.33203125" style="152" customWidth="1"/>
    <col min="22" max="22" width="19.44140625" style="152" customWidth="1"/>
    <col min="23" max="23" width="6.5546875" style="152" customWidth="1"/>
    <col min="24" max="24" width="11.6640625" style="152" customWidth="1"/>
    <col min="25" max="25" width="8.44140625" style="152" bestFit="1" customWidth="1"/>
    <col min="26" max="26" width="11.6640625" style="152" customWidth="1"/>
    <col min="27" max="27" width="11" style="152" bestFit="1" customWidth="1"/>
    <col min="28" max="28" width="10.5546875" style="152" customWidth="1"/>
    <col min="29" max="29" width="14.6640625" style="152" customWidth="1"/>
    <col min="30" max="30" width="11.6640625" style="152" customWidth="1"/>
    <col min="31" max="31" width="10.33203125" style="152" customWidth="1"/>
    <col min="32" max="32" width="8.33203125" style="152" customWidth="1"/>
    <col min="33" max="33" width="13.6640625" style="152" customWidth="1"/>
    <col min="34" max="34" width="8.44140625" style="152" customWidth="1"/>
    <col min="35" max="35" width="7.6640625" style="152" customWidth="1"/>
    <col min="36" max="36" width="8.5546875" style="152" customWidth="1"/>
    <col min="37" max="37" width="11.33203125" style="152" bestFit="1" customWidth="1"/>
    <col min="38" max="38" width="11.44140625" style="152" bestFit="1" customWidth="1"/>
    <col min="39" max="39" width="11.6640625" style="152" bestFit="1" customWidth="1"/>
    <col min="40" max="40" width="11.5546875" style="152" bestFit="1" customWidth="1"/>
    <col min="41" max="42" width="11.5546875" style="152" customWidth="1"/>
    <col min="43" max="45" width="9.33203125" style="152"/>
    <col min="46" max="46" width="36.88671875" style="152" customWidth="1"/>
    <col min="47" max="16384" width="9.33203125" style="152"/>
  </cols>
  <sheetData>
    <row r="1" spans="1:92" x14ac:dyDescent="0.3">
      <c r="A1" s="151" t="str">
        <f ca="1">TRIM(MID(CELL("filename",A1),FIND("]",CELL("filename",A1),1)+1,255))</f>
        <v>S03_NGI_L40</v>
      </c>
      <c r="D1" s="151"/>
    </row>
    <row r="3" spans="1:92" s="153" customFormat="1" ht="45" customHeight="1" x14ac:dyDescent="0.3">
      <c r="F3" s="154" t="s">
        <v>37</v>
      </c>
      <c r="J3" s="155" t="s">
        <v>22</v>
      </c>
      <c r="Q3" s="210"/>
      <c r="R3" s="237"/>
      <c r="S3" s="237"/>
      <c r="T3" s="210"/>
      <c r="U3" s="237"/>
      <c r="V3" s="237"/>
      <c r="W3" s="210"/>
      <c r="X3" s="157"/>
      <c r="Y3" s="210"/>
      <c r="Z3" s="210"/>
      <c r="AA3" s="210"/>
      <c r="AB3" s="210"/>
      <c r="AC3" s="157"/>
      <c r="AD3" s="158"/>
      <c r="AE3" s="158"/>
      <c r="AF3" s="158"/>
      <c r="AG3" s="158"/>
      <c r="AH3" s="158"/>
      <c r="AI3" s="158"/>
      <c r="AJ3" s="210"/>
      <c r="AK3" s="210"/>
      <c r="AL3" s="210"/>
      <c r="AM3" s="210"/>
      <c r="AN3" s="210"/>
      <c r="AO3" s="210"/>
      <c r="AP3" s="210"/>
      <c r="AW3" s="153" t="s">
        <v>491</v>
      </c>
    </row>
    <row r="4" spans="1:92" x14ac:dyDescent="0.3">
      <c r="A4" s="159" t="s">
        <v>54</v>
      </c>
      <c r="B4" s="152">
        <f>COUNTIF(J:J,"&gt;0")</f>
        <v>12</v>
      </c>
      <c r="C4" s="160" t="s">
        <v>402</v>
      </c>
      <c r="D4" s="161"/>
      <c r="F4" s="152" t="s">
        <v>38</v>
      </c>
      <c r="G4" s="162">
        <v>0</v>
      </c>
      <c r="H4" s="160" t="s">
        <v>28</v>
      </c>
      <c r="I4" s="152" t="s">
        <v>492</v>
      </c>
      <c r="J4" s="161" t="s">
        <v>0</v>
      </c>
      <c r="K4" s="161" t="s">
        <v>3</v>
      </c>
      <c r="L4" s="161" t="s">
        <v>1</v>
      </c>
      <c r="M4" s="161" t="s">
        <v>2</v>
      </c>
      <c r="N4" s="161" t="s">
        <v>6</v>
      </c>
      <c r="O4" s="161" t="s">
        <v>4</v>
      </c>
      <c r="P4" s="161" t="s">
        <v>5</v>
      </c>
      <c r="Q4" s="161" t="s">
        <v>7</v>
      </c>
      <c r="R4" s="161" t="s">
        <v>13</v>
      </c>
      <c r="S4" s="161" t="s">
        <v>65</v>
      </c>
      <c r="T4" s="161" t="s">
        <v>14</v>
      </c>
      <c r="U4" s="161" t="s">
        <v>8</v>
      </c>
      <c r="V4" s="161" t="s">
        <v>9</v>
      </c>
      <c r="W4" s="161" t="s">
        <v>10</v>
      </c>
      <c r="X4" s="161" t="s">
        <v>67</v>
      </c>
      <c r="Y4" s="161" t="s">
        <v>71</v>
      </c>
      <c r="Z4" s="161" t="s">
        <v>15</v>
      </c>
      <c r="AA4" s="161" t="s">
        <v>16</v>
      </c>
      <c r="AB4" s="161" t="s">
        <v>17</v>
      </c>
      <c r="AC4" s="161" t="s">
        <v>11</v>
      </c>
      <c r="AD4" s="161" t="s">
        <v>12</v>
      </c>
      <c r="AE4" s="161" t="s">
        <v>18</v>
      </c>
      <c r="AF4" s="161" t="s">
        <v>19</v>
      </c>
      <c r="AG4" s="161" t="s">
        <v>408</v>
      </c>
      <c r="AH4" s="161" t="s">
        <v>20</v>
      </c>
      <c r="AI4" s="161" t="s">
        <v>21</v>
      </c>
      <c r="AJ4" s="161" t="s">
        <v>59</v>
      </c>
      <c r="AK4" s="161" t="s">
        <v>64</v>
      </c>
      <c r="AL4" s="161" t="s">
        <v>68</v>
      </c>
      <c r="AM4" s="161" t="s">
        <v>69</v>
      </c>
      <c r="AN4" s="161" t="s">
        <v>70</v>
      </c>
      <c r="AO4" s="161" t="s">
        <v>407</v>
      </c>
      <c r="AP4" s="161" t="s">
        <v>406</v>
      </c>
      <c r="AQ4" s="163" t="s">
        <v>405</v>
      </c>
      <c r="AR4" s="161" t="s">
        <v>404</v>
      </c>
      <c r="AS4" s="152" t="s">
        <v>403</v>
      </c>
      <c r="AT4" s="152" t="s">
        <v>487</v>
      </c>
      <c r="AU4" s="152" t="s">
        <v>480</v>
      </c>
      <c r="AV4" s="152" t="s">
        <v>488</v>
      </c>
      <c r="AW4" s="152" t="s">
        <v>1850</v>
      </c>
      <c r="AX4" s="152" t="s">
        <v>1851</v>
      </c>
    </row>
    <row r="5" spans="1:92" ht="93" thickBot="1" x14ac:dyDescent="0.35">
      <c r="A5" s="152" t="s">
        <v>55</v>
      </c>
      <c r="B5" s="152">
        <f ca="1">COUNTIF(A:A,"&gt;0")</f>
        <v>1</v>
      </c>
      <c r="C5" s="160" t="s">
        <v>402</v>
      </c>
      <c r="F5" s="152" t="s">
        <v>39</v>
      </c>
      <c r="G5" s="162">
        <v>0</v>
      </c>
      <c r="H5" s="160" t="s">
        <v>28</v>
      </c>
      <c r="J5" s="164" t="s">
        <v>36</v>
      </c>
      <c r="K5" s="164" t="s">
        <v>29</v>
      </c>
      <c r="L5" s="164" t="s">
        <v>30</v>
      </c>
      <c r="M5" s="164" t="s">
        <v>30</v>
      </c>
      <c r="N5" s="164" t="s">
        <v>31</v>
      </c>
      <c r="O5" s="164" t="s">
        <v>32</v>
      </c>
      <c r="P5" s="164" t="s">
        <v>34</v>
      </c>
      <c r="Q5" s="164" t="s">
        <v>35</v>
      </c>
      <c r="R5" s="164" t="s">
        <v>35</v>
      </c>
      <c r="S5" s="164" t="s">
        <v>33</v>
      </c>
      <c r="T5" s="164" t="s">
        <v>32</v>
      </c>
      <c r="U5" s="164" t="s">
        <v>33</v>
      </c>
      <c r="V5" s="164" t="s">
        <v>401</v>
      </c>
      <c r="W5" s="164" t="s">
        <v>33</v>
      </c>
      <c r="X5" s="164" t="s">
        <v>32</v>
      </c>
      <c r="Y5" s="164" t="s">
        <v>34</v>
      </c>
      <c r="Z5" s="164" t="s">
        <v>32</v>
      </c>
      <c r="AA5" s="164" t="s">
        <v>33</v>
      </c>
      <c r="AB5" s="164" t="s">
        <v>32</v>
      </c>
      <c r="AC5" s="164" t="s">
        <v>32</v>
      </c>
      <c r="AD5" s="164" t="s">
        <v>34</v>
      </c>
      <c r="AE5" s="164" t="s">
        <v>33</v>
      </c>
      <c r="AF5" s="164" t="s">
        <v>32</v>
      </c>
      <c r="AG5" s="164" t="s">
        <v>34</v>
      </c>
      <c r="AH5" s="164" t="s">
        <v>33</v>
      </c>
      <c r="AI5" s="164" t="s">
        <v>33</v>
      </c>
      <c r="AJ5" s="164" t="s">
        <v>33</v>
      </c>
      <c r="AK5" s="164" t="s">
        <v>33</v>
      </c>
      <c r="AL5" s="164" t="s">
        <v>33</v>
      </c>
      <c r="AM5" s="164" t="s">
        <v>33</v>
      </c>
      <c r="AN5" s="164" t="s">
        <v>33</v>
      </c>
      <c r="AO5" s="164" t="s">
        <v>33</v>
      </c>
      <c r="AP5" s="164" t="s">
        <v>33</v>
      </c>
      <c r="AQ5" s="164" t="s">
        <v>400</v>
      </c>
      <c r="AR5" s="164" t="s">
        <v>399</v>
      </c>
      <c r="BC5" s="165" t="s">
        <v>493</v>
      </c>
      <c r="BD5" s="165" t="s">
        <v>494</v>
      </c>
      <c r="BE5" s="165" t="s">
        <v>495</v>
      </c>
      <c r="BF5" s="165" t="s">
        <v>496</v>
      </c>
      <c r="BG5" s="165" t="s">
        <v>497</v>
      </c>
      <c r="BH5" s="165" t="s">
        <v>498</v>
      </c>
      <c r="BI5" s="165" t="s">
        <v>499</v>
      </c>
      <c r="BJ5" s="165" t="s">
        <v>500</v>
      </c>
      <c r="BK5" s="165" t="s">
        <v>501</v>
      </c>
      <c r="BL5" s="165" t="s">
        <v>502</v>
      </c>
      <c r="BM5" s="165" t="s">
        <v>503</v>
      </c>
      <c r="BN5" s="165" t="s">
        <v>504</v>
      </c>
      <c r="BO5" s="165" t="s">
        <v>505</v>
      </c>
      <c r="BP5" s="165" t="s">
        <v>506</v>
      </c>
      <c r="BQ5" s="165" t="s">
        <v>507</v>
      </c>
      <c r="BR5" s="165" t="s">
        <v>508</v>
      </c>
      <c r="BS5" s="165" t="s">
        <v>509</v>
      </c>
      <c r="BT5" s="165" t="s">
        <v>510</v>
      </c>
      <c r="BU5" s="165" t="s">
        <v>511</v>
      </c>
      <c r="BV5" s="165" t="s">
        <v>512</v>
      </c>
      <c r="BW5" s="165" t="s">
        <v>513</v>
      </c>
      <c r="BX5" s="165" t="s">
        <v>514</v>
      </c>
      <c r="BY5" s="165" t="s">
        <v>515</v>
      </c>
      <c r="BZ5" s="165" t="s">
        <v>516</v>
      </c>
      <c r="CA5" s="165" t="s">
        <v>517</v>
      </c>
      <c r="CB5" s="165" t="s">
        <v>518</v>
      </c>
      <c r="CC5" s="165" t="s">
        <v>519</v>
      </c>
      <c r="CD5" s="165" t="s">
        <v>520</v>
      </c>
      <c r="CE5" s="165" t="s">
        <v>521</v>
      </c>
      <c r="CF5" s="165" t="s">
        <v>522</v>
      </c>
      <c r="CG5" s="165" t="s">
        <v>523</v>
      </c>
      <c r="CH5" s="165" t="s">
        <v>524</v>
      </c>
      <c r="CI5" s="165" t="s">
        <v>525</v>
      </c>
      <c r="CJ5" s="165" t="s">
        <v>526</v>
      </c>
      <c r="CK5" s="165" t="s">
        <v>527</v>
      </c>
      <c r="CL5" s="165" t="s">
        <v>528</v>
      </c>
      <c r="CM5" s="165" t="s">
        <v>529</v>
      </c>
      <c r="CN5" s="165" t="s">
        <v>530</v>
      </c>
    </row>
    <row r="6" spans="1:92" x14ac:dyDescent="0.3">
      <c r="C6" s="160"/>
      <c r="F6" s="152" t="s">
        <v>60</v>
      </c>
      <c r="G6" s="166"/>
      <c r="H6" s="160" t="s">
        <v>28</v>
      </c>
      <c r="I6" s="152" t="s">
        <v>533</v>
      </c>
      <c r="J6" s="167">
        <v>1</v>
      </c>
      <c r="K6" s="168">
        <v>0</v>
      </c>
      <c r="L6" s="211" t="s">
        <v>1857</v>
      </c>
      <c r="M6" s="67" t="s">
        <v>57</v>
      </c>
      <c r="N6" s="167">
        <v>9.6000000000000014</v>
      </c>
      <c r="O6" s="170">
        <v>0</v>
      </c>
      <c r="P6" s="170">
        <v>0</v>
      </c>
      <c r="Q6" s="167">
        <v>34</v>
      </c>
      <c r="R6" s="167">
        <v>29</v>
      </c>
      <c r="S6" s="167">
        <v>0.4</v>
      </c>
      <c r="T6" s="167">
        <v>0</v>
      </c>
      <c r="U6" s="171">
        <v>0</v>
      </c>
      <c r="V6" s="171">
        <v>0</v>
      </c>
      <c r="W6" s="167">
        <v>0.5</v>
      </c>
      <c r="X6" s="167">
        <v>4800</v>
      </c>
      <c r="Y6" s="167">
        <v>0</v>
      </c>
      <c r="Z6" s="167">
        <v>92.999999999999972</v>
      </c>
      <c r="AA6" s="167">
        <v>1</v>
      </c>
      <c r="AB6" s="167">
        <v>8640</v>
      </c>
      <c r="AC6" s="170">
        <v>4000</v>
      </c>
      <c r="AD6" s="172">
        <v>41666.666666666672</v>
      </c>
      <c r="AE6" s="170">
        <v>0.3</v>
      </c>
      <c r="AF6" s="170">
        <v>0</v>
      </c>
      <c r="AG6" s="170">
        <v>0</v>
      </c>
      <c r="AH6" s="170">
        <v>0</v>
      </c>
      <c r="AI6" s="170">
        <v>0</v>
      </c>
      <c r="AJ6" s="167">
        <v>36.000000000000007</v>
      </c>
      <c r="AK6" s="167">
        <v>1</v>
      </c>
      <c r="AL6" s="167">
        <v>1</v>
      </c>
      <c r="AM6" s="167">
        <v>1</v>
      </c>
      <c r="AN6" s="167">
        <v>1</v>
      </c>
      <c r="AO6" s="167">
        <v>1</v>
      </c>
      <c r="AP6" s="167">
        <v>1</v>
      </c>
      <c r="AQ6" s="167">
        <v>0</v>
      </c>
      <c r="AR6" s="167">
        <v>83</v>
      </c>
      <c r="AS6" s="173">
        <v>1</v>
      </c>
      <c r="AT6" s="162" t="s">
        <v>1852</v>
      </c>
      <c r="AU6" s="152">
        <v>3</v>
      </c>
      <c r="AV6" s="162">
        <v>0.12</v>
      </c>
      <c r="AW6" s="162">
        <v>1</v>
      </c>
      <c r="AX6" s="162">
        <v>1</v>
      </c>
      <c r="BC6" s="174">
        <v>0</v>
      </c>
      <c r="BD6" s="174" t="s">
        <v>533</v>
      </c>
      <c r="BE6" s="174">
        <v>24</v>
      </c>
      <c r="BF6" s="174">
        <v>19.600000000000001</v>
      </c>
      <c r="BG6" s="174"/>
      <c r="BH6" s="174">
        <v>3</v>
      </c>
      <c r="BI6" s="174"/>
      <c r="BJ6" s="174"/>
      <c r="BK6" s="174">
        <v>0</v>
      </c>
      <c r="BL6" s="174">
        <v>0.1</v>
      </c>
      <c r="BM6" s="174">
        <v>0.2</v>
      </c>
      <c r="BN6" s="174">
        <v>0.4</v>
      </c>
      <c r="BO6" s="174">
        <v>1.5</v>
      </c>
      <c r="BP6" s="174">
        <v>0.01</v>
      </c>
      <c r="BQ6" s="174">
        <v>0.01</v>
      </c>
      <c r="BR6" s="174">
        <v>0.01</v>
      </c>
      <c r="BS6" s="174">
        <v>0.01</v>
      </c>
      <c r="BT6" s="174">
        <v>0.01</v>
      </c>
      <c r="BU6" s="174"/>
      <c r="BV6" s="174"/>
      <c r="BW6" s="174"/>
      <c r="BX6" s="174"/>
      <c r="BY6" s="174"/>
      <c r="BZ6" s="174">
        <v>83</v>
      </c>
      <c r="CA6" s="174">
        <v>29</v>
      </c>
      <c r="CB6" s="174">
        <v>34</v>
      </c>
      <c r="CC6" s="174">
        <v>38</v>
      </c>
      <c r="CD6" s="174">
        <v>42</v>
      </c>
      <c r="CE6" s="174">
        <v>47</v>
      </c>
      <c r="CF6" s="174">
        <v>0</v>
      </c>
      <c r="CG6" s="174">
        <v>0</v>
      </c>
      <c r="CH6" s="174">
        <v>4</v>
      </c>
      <c r="CI6" s="174">
        <v>8</v>
      </c>
      <c r="CJ6" s="174">
        <v>15</v>
      </c>
      <c r="CK6" s="174">
        <v>4.8</v>
      </c>
      <c r="CL6" s="174">
        <v>1</v>
      </c>
      <c r="CM6" s="174">
        <v>0.4</v>
      </c>
      <c r="CN6" s="175">
        <v>2.242226731468381E-4</v>
      </c>
    </row>
    <row r="7" spans="1:92" x14ac:dyDescent="0.3">
      <c r="A7" s="176" t="s">
        <v>23</v>
      </c>
      <c r="C7" s="160"/>
      <c r="F7" s="177" t="s">
        <v>44</v>
      </c>
      <c r="G7" s="178"/>
      <c r="H7" s="158"/>
      <c r="I7" s="152" t="s">
        <v>1858</v>
      </c>
      <c r="J7" s="167">
        <v>2</v>
      </c>
      <c r="K7" s="168">
        <v>-0.6</v>
      </c>
      <c r="L7" s="212" t="s">
        <v>1859</v>
      </c>
      <c r="M7" s="67" t="s">
        <v>57</v>
      </c>
      <c r="N7" s="167">
        <v>9.1999999999999993</v>
      </c>
      <c r="O7" s="170">
        <v>0</v>
      </c>
      <c r="P7" s="170">
        <v>0</v>
      </c>
      <c r="Q7" s="167">
        <v>43</v>
      </c>
      <c r="R7" s="167">
        <v>38</v>
      </c>
      <c r="S7" s="167">
        <v>2.5</v>
      </c>
      <c r="T7" s="167">
        <v>0</v>
      </c>
      <c r="U7" s="171">
        <v>0</v>
      </c>
      <c r="V7" s="171">
        <v>0</v>
      </c>
      <c r="W7" s="167">
        <v>0.5</v>
      </c>
      <c r="X7" s="167">
        <v>45800</v>
      </c>
      <c r="Y7" s="167">
        <v>0</v>
      </c>
      <c r="Z7" s="167">
        <v>114.99999999999996</v>
      </c>
      <c r="AA7" s="167">
        <v>1</v>
      </c>
      <c r="AB7" s="167">
        <v>12000</v>
      </c>
      <c r="AC7" s="170">
        <v>41000</v>
      </c>
      <c r="AD7" s="172">
        <v>65000</v>
      </c>
      <c r="AE7" s="170">
        <v>0.3</v>
      </c>
      <c r="AF7" s="170">
        <v>0</v>
      </c>
      <c r="AG7" s="170">
        <v>0</v>
      </c>
      <c r="AH7" s="170">
        <v>0</v>
      </c>
      <c r="AI7" s="170">
        <v>0</v>
      </c>
      <c r="AJ7" s="167">
        <v>50.000000000000007</v>
      </c>
      <c r="AK7" s="167">
        <v>1</v>
      </c>
      <c r="AL7" s="167">
        <v>1</v>
      </c>
      <c r="AM7" s="167">
        <v>1</v>
      </c>
      <c r="AN7" s="167">
        <v>1</v>
      </c>
      <c r="AO7" s="167">
        <v>1</v>
      </c>
      <c r="AP7" s="167">
        <v>1</v>
      </c>
      <c r="AQ7" s="167">
        <v>0</v>
      </c>
      <c r="AR7" s="167">
        <v>100</v>
      </c>
      <c r="AS7" s="173">
        <v>1</v>
      </c>
      <c r="AT7" s="162" t="s">
        <v>1852</v>
      </c>
      <c r="AU7" s="152">
        <v>9</v>
      </c>
      <c r="AV7" s="162">
        <v>0.12</v>
      </c>
      <c r="AW7" s="162">
        <v>1</v>
      </c>
      <c r="AX7" s="162">
        <v>1</v>
      </c>
      <c r="BC7" s="174">
        <v>0.6</v>
      </c>
      <c r="BD7" s="174" t="s">
        <v>533</v>
      </c>
      <c r="BE7" s="174">
        <v>24</v>
      </c>
      <c r="BF7" s="174">
        <v>19.600000000000001</v>
      </c>
      <c r="BG7" s="174"/>
      <c r="BH7" s="174">
        <v>3</v>
      </c>
      <c r="BI7" s="174"/>
      <c r="BJ7" s="174"/>
      <c r="BK7" s="174">
        <v>1.8</v>
      </c>
      <c r="BL7" s="174">
        <v>2.1</v>
      </c>
      <c r="BM7" s="174">
        <v>2.2999999999999998</v>
      </c>
      <c r="BN7" s="174">
        <v>2.5</v>
      </c>
      <c r="BO7" s="174">
        <v>3.5</v>
      </c>
      <c r="BP7" s="174">
        <v>1.9300000000000001E-2</v>
      </c>
      <c r="BQ7" s="174">
        <v>2.23E-2</v>
      </c>
      <c r="BR7" s="174">
        <v>2.4400000000000002E-2</v>
      </c>
      <c r="BS7" s="174">
        <v>2.6499999999999999E-2</v>
      </c>
      <c r="BT7" s="174">
        <v>3.0300000000000001E-2</v>
      </c>
      <c r="BU7" s="174"/>
      <c r="BV7" s="174"/>
      <c r="BW7" s="174"/>
      <c r="BX7" s="174"/>
      <c r="BY7" s="174"/>
      <c r="BZ7" s="174">
        <v>83</v>
      </c>
      <c r="CA7" s="174">
        <v>29</v>
      </c>
      <c r="CB7" s="174">
        <v>34</v>
      </c>
      <c r="CC7" s="174">
        <v>38</v>
      </c>
      <c r="CD7" s="174">
        <v>42</v>
      </c>
      <c r="CE7" s="174">
        <v>47</v>
      </c>
      <c r="CF7" s="174">
        <v>22</v>
      </c>
      <c r="CG7" s="174">
        <v>26</v>
      </c>
      <c r="CH7" s="174">
        <v>29</v>
      </c>
      <c r="CI7" s="174">
        <v>33</v>
      </c>
      <c r="CJ7" s="174">
        <v>40</v>
      </c>
      <c r="CK7" s="174">
        <v>4.8</v>
      </c>
      <c r="CL7" s="174">
        <v>1</v>
      </c>
      <c r="CM7" s="174">
        <v>0.4</v>
      </c>
      <c r="CN7" s="175">
        <v>2.242226731468381E-4</v>
      </c>
    </row>
    <row r="8" spans="1:92" x14ac:dyDescent="0.3">
      <c r="A8" s="152" t="s">
        <v>24</v>
      </c>
      <c r="B8" s="162">
        <v>0</v>
      </c>
      <c r="C8" s="160" t="s">
        <v>398</v>
      </c>
      <c r="F8" s="152" t="s">
        <v>45</v>
      </c>
      <c r="G8" s="179">
        <v>32565.223846153847</v>
      </c>
      <c r="H8" s="160" t="s">
        <v>48</v>
      </c>
      <c r="I8" s="152" t="s">
        <v>1858</v>
      </c>
      <c r="J8" s="167">
        <v>3</v>
      </c>
      <c r="K8" s="168">
        <v>-1</v>
      </c>
      <c r="L8" s="212" t="s">
        <v>1860</v>
      </c>
      <c r="M8" s="67" t="s">
        <v>57</v>
      </c>
      <c r="N8" s="167">
        <v>9.1999999999999993</v>
      </c>
      <c r="O8" s="170">
        <v>0</v>
      </c>
      <c r="P8" s="170">
        <v>0</v>
      </c>
      <c r="Q8" s="167">
        <v>41</v>
      </c>
      <c r="R8" s="167">
        <v>36</v>
      </c>
      <c r="S8" s="167">
        <v>2.5</v>
      </c>
      <c r="T8" s="167">
        <v>0</v>
      </c>
      <c r="U8" s="171">
        <v>0</v>
      </c>
      <c r="V8" s="171">
        <v>0</v>
      </c>
      <c r="W8" s="167">
        <v>0.5</v>
      </c>
      <c r="X8" s="167">
        <v>33000</v>
      </c>
      <c r="Y8" s="167">
        <v>0</v>
      </c>
      <c r="Z8" s="167">
        <v>114.99999999999996</v>
      </c>
      <c r="AA8" s="167">
        <v>1</v>
      </c>
      <c r="AB8" s="167">
        <v>12000</v>
      </c>
      <c r="AC8" s="170">
        <v>61000</v>
      </c>
      <c r="AD8" s="172">
        <v>7500.0000000000018</v>
      </c>
      <c r="AE8" s="170">
        <v>0.3</v>
      </c>
      <c r="AF8" s="170">
        <v>0</v>
      </c>
      <c r="AG8" s="170">
        <v>0</v>
      </c>
      <c r="AH8" s="170">
        <v>0</v>
      </c>
      <c r="AI8" s="170">
        <v>0</v>
      </c>
      <c r="AJ8" s="167">
        <v>50.000000000000007</v>
      </c>
      <c r="AK8" s="167">
        <v>1</v>
      </c>
      <c r="AL8" s="167">
        <v>1</v>
      </c>
      <c r="AM8" s="167">
        <v>1</v>
      </c>
      <c r="AN8" s="167">
        <v>1</v>
      </c>
      <c r="AO8" s="167">
        <v>1</v>
      </c>
      <c r="AP8" s="167">
        <v>1</v>
      </c>
      <c r="AQ8" s="167">
        <v>0</v>
      </c>
      <c r="AR8" s="167">
        <v>92</v>
      </c>
      <c r="AS8" s="173">
        <v>1</v>
      </c>
      <c r="AT8" s="162" t="s">
        <v>1852</v>
      </c>
      <c r="AU8" s="152">
        <v>9</v>
      </c>
      <c r="AV8" s="162">
        <v>0.12</v>
      </c>
      <c r="AW8" s="162">
        <v>1.8788427802998344</v>
      </c>
      <c r="AX8" s="162">
        <v>1</v>
      </c>
      <c r="BC8" s="174">
        <v>0.6</v>
      </c>
      <c r="BD8" s="174" t="s">
        <v>1858</v>
      </c>
      <c r="BE8" s="174">
        <v>28</v>
      </c>
      <c r="BF8" s="174">
        <v>19.2</v>
      </c>
      <c r="BG8" s="174"/>
      <c r="BH8" s="174">
        <v>6</v>
      </c>
      <c r="BI8" s="174"/>
      <c r="BJ8" s="174"/>
      <c r="BK8" s="174">
        <v>2.8</v>
      </c>
      <c r="BL8" s="174">
        <v>6.6</v>
      </c>
      <c r="BM8" s="174">
        <v>9.1999999999999993</v>
      </c>
      <c r="BN8" s="174">
        <v>11.7</v>
      </c>
      <c r="BO8" s="174">
        <v>18.8</v>
      </c>
      <c r="BP8" s="174">
        <v>1.5599999999999999E-2</v>
      </c>
      <c r="BQ8" s="174">
        <v>1.8800000000000001E-2</v>
      </c>
      <c r="BR8" s="174">
        <v>2.0899999999999998E-2</v>
      </c>
      <c r="BS8" s="174">
        <v>2.3099999999999999E-2</v>
      </c>
      <c r="BT8" s="174">
        <v>2.63E-2</v>
      </c>
      <c r="BU8" s="174"/>
      <c r="BV8" s="174"/>
      <c r="BW8" s="174"/>
      <c r="BX8" s="174"/>
      <c r="BY8" s="174"/>
      <c r="BZ8" s="174">
        <v>100</v>
      </c>
      <c r="CA8" s="174">
        <v>33</v>
      </c>
      <c r="CB8" s="174">
        <v>43</v>
      </c>
      <c r="CC8" s="174">
        <v>47</v>
      </c>
      <c r="CD8" s="174">
        <v>47</v>
      </c>
      <c r="CE8" s="174">
        <v>47</v>
      </c>
      <c r="CF8" s="174">
        <v>19</v>
      </c>
      <c r="CG8" s="174">
        <v>31</v>
      </c>
      <c r="CH8" s="174">
        <v>41</v>
      </c>
      <c r="CI8" s="174">
        <v>52</v>
      </c>
      <c r="CJ8" s="174">
        <v>75</v>
      </c>
      <c r="CK8" s="174">
        <v>45.8</v>
      </c>
      <c r="CL8" s="174">
        <v>30</v>
      </c>
      <c r="CM8" s="174">
        <v>2.5</v>
      </c>
      <c r="CN8" s="175">
        <v>9.3202639177605767E-2</v>
      </c>
    </row>
    <row r="9" spans="1:92" x14ac:dyDescent="0.3">
      <c r="A9" s="152" t="s">
        <v>61</v>
      </c>
      <c r="B9" s="166">
        <v>40</v>
      </c>
      <c r="C9" s="160" t="s">
        <v>28</v>
      </c>
      <c r="D9" s="162">
        <v>32565.223846153847</v>
      </c>
      <c r="F9" s="152" t="s">
        <v>72</v>
      </c>
      <c r="G9" s="180">
        <v>-1242604.1692307692</v>
      </c>
      <c r="H9" s="160" t="s">
        <v>49</v>
      </c>
      <c r="I9" s="152" t="s">
        <v>1858</v>
      </c>
      <c r="J9" s="167">
        <v>4</v>
      </c>
      <c r="K9" s="168">
        <v>-1.4</v>
      </c>
      <c r="L9" s="212" t="s">
        <v>1861</v>
      </c>
      <c r="M9" s="67" t="s">
        <v>57</v>
      </c>
      <c r="N9" s="167">
        <v>9.1999999999999993</v>
      </c>
      <c r="O9" s="170">
        <v>0</v>
      </c>
      <c r="P9" s="170">
        <v>0</v>
      </c>
      <c r="Q9" s="167">
        <v>36</v>
      </c>
      <c r="R9" s="167">
        <v>31</v>
      </c>
      <c r="S9" s="167">
        <v>1.4</v>
      </c>
      <c r="T9" s="167">
        <v>0</v>
      </c>
      <c r="U9" s="171">
        <v>0</v>
      </c>
      <c r="V9" s="171">
        <v>0</v>
      </c>
      <c r="W9" s="167">
        <v>0.5</v>
      </c>
      <c r="X9" s="167">
        <v>12600</v>
      </c>
      <c r="Y9" s="167">
        <v>0</v>
      </c>
      <c r="Z9" s="167">
        <v>99.799999999999969</v>
      </c>
      <c r="AA9" s="167">
        <v>1</v>
      </c>
      <c r="AB9" s="167">
        <v>10080</v>
      </c>
      <c r="AC9" s="170">
        <v>52000</v>
      </c>
      <c r="AD9" s="172">
        <v>26363.63636363636</v>
      </c>
      <c r="AE9" s="170">
        <v>0.3</v>
      </c>
      <c r="AF9" s="170">
        <v>0</v>
      </c>
      <c r="AG9" s="170">
        <v>0</v>
      </c>
      <c r="AH9" s="170">
        <v>0</v>
      </c>
      <c r="AI9" s="170">
        <v>0</v>
      </c>
      <c r="AJ9" s="167">
        <v>42.000000000000007</v>
      </c>
      <c r="AK9" s="167">
        <v>1</v>
      </c>
      <c r="AL9" s="167">
        <v>1</v>
      </c>
      <c r="AM9" s="167">
        <v>1</v>
      </c>
      <c r="AN9" s="167">
        <v>1</v>
      </c>
      <c r="AO9" s="167">
        <v>1</v>
      </c>
      <c r="AP9" s="167">
        <v>1</v>
      </c>
      <c r="AQ9" s="167">
        <v>0</v>
      </c>
      <c r="AR9" s="167">
        <v>55</v>
      </c>
      <c r="AS9" s="173">
        <v>1</v>
      </c>
      <c r="AT9" s="162" t="s">
        <v>1870</v>
      </c>
      <c r="AU9" s="152">
        <v>10</v>
      </c>
      <c r="AV9" s="162">
        <v>0.12</v>
      </c>
      <c r="AW9" s="162">
        <v>0.84955138928365415</v>
      </c>
      <c r="AX9" s="162">
        <v>1</v>
      </c>
      <c r="BC9" s="174">
        <v>1</v>
      </c>
      <c r="BD9" s="174" t="s">
        <v>1858</v>
      </c>
      <c r="BE9" s="174">
        <v>28</v>
      </c>
      <c r="BF9" s="174">
        <v>19.2</v>
      </c>
      <c r="BG9" s="174"/>
      <c r="BH9" s="174">
        <v>6</v>
      </c>
      <c r="BI9" s="174"/>
      <c r="BJ9" s="174"/>
      <c r="BK9" s="174">
        <v>17.899999999999999</v>
      </c>
      <c r="BL9" s="174">
        <v>21.7</v>
      </c>
      <c r="BM9" s="174">
        <v>24.3</v>
      </c>
      <c r="BN9" s="174">
        <v>26.9</v>
      </c>
      <c r="BO9" s="174">
        <v>34</v>
      </c>
      <c r="BP9" s="174">
        <v>2.6599999999999999E-2</v>
      </c>
      <c r="BQ9" s="174">
        <v>2.98E-2</v>
      </c>
      <c r="BR9" s="174">
        <v>3.2000000000000001E-2</v>
      </c>
      <c r="BS9" s="174">
        <v>3.4200000000000001E-2</v>
      </c>
      <c r="BT9" s="174">
        <v>3.7400000000000003E-2</v>
      </c>
      <c r="BU9" s="174"/>
      <c r="BV9" s="174"/>
      <c r="BW9" s="174"/>
      <c r="BX9" s="174"/>
      <c r="BY9" s="174"/>
      <c r="BZ9" s="174">
        <v>100</v>
      </c>
      <c r="CA9" s="174">
        <v>33</v>
      </c>
      <c r="CB9" s="174">
        <v>43</v>
      </c>
      <c r="CC9" s="174">
        <v>47</v>
      </c>
      <c r="CD9" s="174">
        <v>47</v>
      </c>
      <c r="CE9" s="174">
        <v>47</v>
      </c>
      <c r="CF9" s="174">
        <v>45</v>
      </c>
      <c r="CG9" s="174">
        <v>56</v>
      </c>
      <c r="CH9" s="174">
        <v>67</v>
      </c>
      <c r="CI9" s="174">
        <v>77</v>
      </c>
      <c r="CJ9" s="174">
        <v>100</v>
      </c>
      <c r="CK9" s="174">
        <v>45.8</v>
      </c>
      <c r="CL9" s="174">
        <v>30</v>
      </c>
      <c r="CM9" s="174">
        <v>2.5</v>
      </c>
      <c r="CN9" s="175">
        <v>9.3202639177605767E-2</v>
      </c>
    </row>
    <row r="10" spans="1:92" s="178" customFormat="1" x14ac:dyDescent="0.3">
      <c r="A10" s="152" t="s">
        <v>62</v>
      </c>
      <c r="B10" s="181">
        <v>40</v>
      </c>
      <c r="C10" s="160" t="s">
        <v>28</v>
      </c>
      <c r="D10" s="182">
        <v>-1242604.1692307692</v>
      </c>
      <c r="F10" s="152" t="s">
        <v>46</v>
      </c>
      <c r="G10" s="179">
        <v>26498.568615384615</v>
      </c>
      <c r="H10" s="160" t="s">
        <v>48</v>
      </c>
      <c r="I10" s="152" t="s">
        <v>1811</v>
      </c>
      <c r="J10" s="167">
        <v>5</v>
      </c>
      <c r="K10" s="168">
        <v>-2.5</v>
      </c>
      <c r="L10" s="212" t="s">
        <v>1862</v>
      </c>
      <c r="M10" s="67" t="s">
        <v>57</v>
      </c>
      <c r="N10" s="167">
        <v>8.6999999999999993</v>
      </c>
      <c r="O10" s="170">
        <v>0</v>
      </c>
      <c r="P10" s="170">
        <v>0</v>
      </c>
      <c r="Q10" s="167">
        <v>38</v>
      </c>
      <c r="R10" s="167">
        <v>33</v>
      </c>
      <c r="S10" s="167">
        <v>1.1000000000000001</v>
      </c>
      <c r="T10" s="167">
        <v>0</v>
      </c>
      <c r="U10" s="171">
        <v>0</v>
      </c>
      <c r="V10" s="171">
        <v>0</v>
      </c>
      <c r="W10" s="167">
        <v>0.5</v>
      </c>
      <c r="X10" s="167">
        <v>31300</v>
      </c>
      <c r="Y10" s="167">
        <v>0</v>
      </c>
      <c r="Z10" s="167">
        <v>107.39999999999996</v>
      </c>
      <c r="AA10" s="167">
        <v>1</v>
      </c>
      <c r="AB10" s="167">
        <v>11040</v>
      </c>
      <c r="AC10" s="170">
        <v>103000</v>
      </c>
      <c r="AD10" s="172">
        <v>12400</v>
      </c>
      <c r="AE10" s="170">
        <v>0.3</v>
      </c>
      <c r="AF10" s="170">
        <v>0</v>
      </c>
      <c r="AG10" s="170">
        <v>0</v>
      </c>
      <c r="AH10" s="170">
        <v>0</v>
      </c>
      <c r="AI10" s="170">
        <v>0</v>
      </c>
      <c r="AJ10" s="167">
        <v>46.000000000000007</v>
      </c>
      <c r="AK10" s="167">
        <v>1</v>
      </c>
      <c r="AL10" s="167">
        <v>1</v>
      </c>
      <c r="AM10" s="167">
        <v>1</v>
      </c>
      <c r="AN10" s="167">
        <v>1</v>
      </c>
      <c r="AO10" s="167">
        <v>1</v>
      </c>
      <c r="AP10" s="167">
        <v>1</v>
      </c>
      <c r="AQ10" s="167">
        <v>0</v>
      </c>
      <c r="AR10" s="167">
        <v>75</v>
      </c>
      <c r="AS10" s="173">
        <v>1</v>
      </c>
      <c r="AT10" s="182" t="s">
        <v>1853</v>
      </c>
      <c r="AU10" s="178">
        <v>11</v>
      </c>
      <c r="AV10" s="182">
        <v>0.11</v>
      </c>
      <c r="AW10" s="182">
        <v>0.87377892013878</v>
      </c>
      <c r="AX10" s="182">
        <v>0.99644605436222822</v>
      </c>
      <c r="BC10" s="174">
        <v>1</v>
      </c>
      <c r="BD10" s="174" t="s">
        <v>1858</v>
      </c>
      <c r="BE10" s="174">
        <v>28</v>
      </c>
      <c r="BF10" s="174">
        <v>19.2</v>
      </c>
      <c r="BG10" s="174"/>
      <c r="BH10" s="174">
        <v>6</v>
      </c>
      <c r="BI10" s="174"/>
      <c r="BJ10" s="174"/>
      <c r="BK10" s="174">
        <v>13.5</v>
      </c>
      <c r="BL10" s="174">
        <v>15</v>
      </c>
      <c r="BM10" s="174">
        <v>16.100000000000001</v>
      </c>
      <c r="BN10" s="174">
        <v>17.2</v>
      </c>
      <c r="BO10" s="174">
        <v>18.8</v>
      </c>
      <c r="BP10" s="174">
        <v>2.5899999999999999E-2</v>
      </c>
      <c r="BQ10" s="174">
        <v>2.9600000000000001E-2</v>
      </c>
      <c r="BR10" s="174">
        <v>3.2000000000000001E-2</v>
      </c>
      <c r="BS10" s="174">
        <v>3.4500000000000003E-2</v>
      </c>
      <c r="BT10" s="174">
        <v>3.8100000000000002E-2</v>
      </c>
      <c r="BU10" s="174"/>
      <c r="BV10" s="174"/>
      <c r="BW10" s="174"/>
      <c r="BX10" s="174"/>
      <c r="BY10" s="174"/>
      <c r="BZ10" s="174">
        <v>92</v>
      </c>
      <c r="CA10" s="174">
        <v>32</v>
      </c>
      <c r="CB10" s="174">
        <v>41</v>
      </c>
      <c r="CC10" s="174">
        <v>46</v>
      </c>
      <c r="CD10" s="174">
        <v>47</v>
      </c>
      <c r="CE10" s="174">
        <v>47</v>
      </c>
      <c r="CF10" s="174">
        <v>35</v>
      </c>
      <c r="CG10" s="174">
        <v>49</v>
      </c>
      <c r="CH10" s="174">
        <v>61</v>
      </c>
      <c r="CI10" s="174">
        <v>73</v>
      </c>
      <c r="CJ10" s="174">
        <v>98</v>
      </c>
      <c r="CK10" s="174">
        <v>33</v>
      </c>
      <c r="CL10" s="174">
        <v>27</v>
      </c>
      <c r="CM10" s="174">
        <v>2.5</v>
      </c>
      <c r="CN10" s="175">
        <v>2.507103705820846E-2</v>
      </c>
    </row>
    <row r="11" spans="1:92" x14ac:dyDescent="0.3">
      <c r="A11" s="152" t="s">
        <v>63</v>
      </c>
      <c r="B11" s="162">
        <v>1</v>
      </c>
      <c r="C11" s="160" t="s">
        <v>28</v>
      </c>
      <c r="D11" s="152">
        <v>26498.568615384615</v>
      </c>
      <c r="F11" s="152" t="s">
        <v>47</v>
      </c>
      <c r="G11" s="179">
        <v>0</v>
      </c>
      <c r="H11" s="160" t="s">
        <v>48</v>
      </c>
      <c r="I11" s="152" t="s">
        <v>902</v>
      </c>
      <c r="J11" s="167">
        <v>6</v>
      </c>
      <c r="K11" s="168">
        <v>-7.5</v>
      </c>
      <c r="L11" s="212" t="s">
        <v>1863</v>
      </c>
      <c r="M11" s="67" t="s">
        <v>57</v>
      </c>
      <c r="N11" s="167">
        <v>9.5</v>
      </c>
      <c r="O11" s="170">
        <v>0</v>
      </c>
      <c r="P11" s="170">
        <v>0</v>
      </c>
      <c r="Q11" s="167">
        <v>31</v>
      </c>
      <c r="R11" s="167">
        <v>26</v>
      </c>
      <c r="S11" s="167">
        <v>0.9</v>
      </c>
      <c r="T11" s="167">
        <v>0</v>
      </c>
      <c r="U11" s="171">
        <v>0</v>
      </c>
      <c r="V11" s="171">
        <v>0</v>
      </c>
      <c r="W11" s="167">
        <v>0.5</v>
      </c>
      <c r="X11" s="167">
        <v>52200</v>
      </c>
      <c r="Y11" s="167">
        <v>0</v>
      </c>
      <c r="Z11" s="167">
        <v>83.999999999999972</v>
      </c>
      <c r="AA11" s="167">
        <v>1</v>
      </c>
      <c r="AB11" s="167">
        <v>5760</v>
      </c>
      <c r="AC11" s="170">
        <v>174000</v>
      </c>
      <c r="AD11" s="172">
        <v>15789.473684210527</v>
      </c>
      <c r="AE11" s="170">
        <v>0.3</v>
      </c>
      <c r="AF11" s="170">
        <v>0</v>
      </c>
      <c r="AG11" s="170">
        <v>0</v>
      </c>
      <c r="AH11" s="170">
        <v>0</v>
      </c>
      <c r="AI11" s="170">
        <v>0</v>
      </c>
      <c r="AJ11" s="167">
        <v>24.000000000000007</v>
      </c>
      <c r="AK11" s="167">
        <v>1</v>
      </c>
      <c r="AL11" s="167">
        <v>1</v>
      </c>
      <c r="AM11" s="167">
        <v>1</v>
      </c>
      <c r="AN11" s="167">
        <v>1</v>
      </c>
      <c r="AO11" s="167">
        <v>1</v>
      </c>
      <c r="AP11" s="167">
        <v>1</v>
      </c>
      <c r="AQ11" s="167">
        <v>0</v>
      </c>
      <c r="AR11" s="167">
        <v>81</v>
      </c>
      <c r="AS11" s="173">
        <v>1</v>
      </c>
      <c r="AT11" s="162" t="s">
        <v>1853</v>
      </c>
      <c r="AU11" s="152">
        <v>4</v>
      </c>
      <c r="AV11" s="162">
        <v>0.11</v>
      </c>
      <c r="AW11" s="162">
        <v>1.0390820041712474</v>
      </c>
      <c r="AX11" s="162">
        <v>0.90341624890668426</v>
      </c>
      <c r="BC11" s="174">
        <v>1.4</v>
      </c>
      <c r="BD11" s="174" t="s">
        <v>1858</v>
      </c>
      <c r="BE11" s="174">
        <v>28</v>
      </c>
      <c r="BF11" s="174">
        <v>19.2</v>
      </c>
      <c r="BG11" s="174"/>
      <c r="BH11" s="174">
        <v>6</v>
      </c>
      <c r="BI11" s="174"/>
      <c r="BJ11" s="174"/>
      <c r="BK11" s="174">
        <v>7.1</v>
      </c>
      <c r="BL11" s="174">
        <v>8.6</v>
      </c>
      <c r="BM11" s="174">
        <v>9.6999999999999993</v>
      </c>
      <c r="BN11" s="174">
        <v>10.8</v>
      </c>
      <c r="BO11" s="174">
        <v>12.3</v>
      </c>
      <c r="BP11" s="174">
        <v>2.23E-2</v>
      </c>
      <c r="BQ11" s="174">
        <v>2.5899999999999999E-2</v>
      </c>
      <c r="BR11" s="174">
        <v>2.8400000000000002E-2</v>
      </c>
      <c r="BS11" s="174">
        <v>3.09E-2</v>
      </c>
      <c r="BT11" s="174">
        <v>3.4500000000000003E-2</v>
      </c>
      <c r="BU11" s="174"/>
      <c r="BV11" s="174"/>
      <c r="BW11" s="174"/>
      <c r="BX11" s="174"/>
      <c r="BY11" s="174"/>
      <c r="BZ11" s="174">
        <v>92</v>
      </c>
      <c r="CA11" s="174">
        <v>32</v>
      </c>
      <c r="CB11" s="174">
        <v>41</v>
      </c>
      <c r="CC11" s="174">
        <v>46</v>
      </c>
      <c r="CD11" s="174">
        <v>47</v>
      </c>
      <c r="CE11" s="174">
        <v>47</v>
      </c>
      <c r="CF11" s="174">
        <v>39</v>
      </c>
      <c r="CG11" s="174">
        <v>52</v>
      </c>
      <c r="CH11" s="174">
        <v>64</v>
      </c>
      <c r="CI11" s="174">
        <v>76</v>
      </c>
      <c r="CJ11" s="174">
        <v>102</v>
      </c>
      <c r="CK11" s="174">
        <v>33</v>
      </c>
      <c r="CL11" s="174">
        <v>27</v>
      </c>
      <c r="CM11" s="174">
        <v>2.5</v>
      </c>
      <c r="CN11" s="175">
        <v>2.507103705820846E-2</v>
      </c>
    </row>
    <row r="12" spans="1:92" x14ac:dyDescent="0.3">
      <c r="A12" s="152" t="s">
        <v>66</v>
      </c>
      <c r="B12" s="166">
        <v>9.6999999999999993</v>
      </c>
      <c r="C12" s="160" t="s">
        <v>28</v>
      </c>
      <c r="D12" s="152">
        <v>0</v>
      </c>
      <c r="E12" s="183"/>
      <c r="F12" s="178" t="s">
        <v>73</v>
      </c>
      <c r="G12" s="179">
        <v>2180.5670000000005</v>
      </c>
      <c r="H12" s="160" t="s">
        <v>48</v>
      </c>
      <c r="I12" s="152" t="s">
        <v>1864</v>
      </c>
      <c r="J12" s="167">
        <v>7</v>
      </c>
      <c r="K12" s="168">
        <v>-15.1</v>
      </c>
      <c r="L12" s="212" t="s">
        <v>1865</v>
      </c>
      <c r="M12" s="67" t="s">
        <v>57</v>
      </c>
      <c r="N12" s="167">
        <v>8.5</v>
      </c>
      <c r="O12" s="170">
        <v>0</v>
      </c>
      <c r="P12" s="170">
        <v>0</v>
      </c>
      <c r="Q12" s="167">
        <v>40</v>
      </c>
      <c r="R12" s="167">
        <v>35</v>
      </c>
      <c r="S12" s="167">
        <v>1.5</v>
      </c>
      <c r="T12" s="167">
        <v>0</v>
      </c>
      <c r="U12" s="171">
        <v>0</v>
      </c>
      <c r="V12" s="171">
        <v>0</v>
      </c>
      <c r="W12" s="167">
        <v>0.5</v>
      </c>
      <c r="X12" s="167">
        <v>51000</v>
      </c>
      <c r="Y12" s="167">
        <v>0</v>
      </c>
      <c r="Z12" s="167">
        <v>114.99999999999996</v>
      </c>
      <c r="AA12" s="167">
        <v>1</v>
      </c>
      <c r="AB12" s="167">
        <v>12000</v>
      </c>
      <c r="AC12" s="170">
        <v>264000</v>
      </c>
      <c r="AD12" s="172">
        <v>0</v>
      </c>
      <c r="AE12" s="170">
        <v>0.3</v>
      </c>
      <c r="AF12" s="170">
        <v>0</v>
      </c>
      <c r="AG12" s="170">
        <v>0</v>
      </c>
      <c r="AH12" s="170">
        <v>0</v>
      </c>
      <c r="AI12" s="170">
        <v>0</v>
      </c>
      <c r="AJ12" s="167">
        <v>50.000000000000007</v>
      </c>
      <c r="AK12" s="167">
        <v>1</v>
      </c>
      <c r="AL12" s="167">
        <v>1</v>
      </c>
      <c r="AM12" s="167">
        <v>1</v>
      </c>
      <c r="AN12" s="167">
        <v>1</v>
      </c>
      <c r="AO12" s="167">
        <v>1</v>
      </c>
      <c r="AP12" s="167">
        <v>1</v>
      </c>
      <c r="AQ12" s="167">
        <v>0</v>
      </c>
      <c r="AR12" s="167">
        <v>92</v>
      </c>
      <c r="AS12" s="173">
        <v>1</v>
      </c>
      <c r="AT12" s="162" t="s">
        <v>1852</v>
      </c>
      <c r="AU12" s="152">
        <v>9</v>
      </c>
      <c r="AV12" s="162">
        <v>0.12</v>
      </c>
      <c r="AW12" s="162">
        <v>1.8788427802998344</v>
      </c>
      <c r="AX12" s="162">
        <v>1</v>
      </c>
      <c r="BC12" s="174">
        <v>1.4</v>
      </c>
      <c r="BD12" s="174" t="s">
        <v>1858</v>
      </c>
      <c r="BE12" s="174">
        <v>28</v>
      </c>
      <c r="BF12" s="174">
        <v>19.2</v>
      </c>
      <c r="BG12" s="174"/>
      <c r="BH12" s="174">
        <v>6</v>
      </c>
      <c r="BI12" s="174"/>
      <c r="BJ12" s="174"/>
      <c r="BK12" s="174">
        <v>2.1</v>
      </c>
      <c r="BL12" s="174">
        <v>3.4</v>
      </c>
      <c r="BM12" s="174">
        <v>4.3</v>
      </c>
      <c r="BN12" s="174">
        <v>5.2</v>
      </c>
      <c r="BO12" s="174">
        <v>7.7</v>
      </c>
      <c r="BP12" s="174">
        <v>0.01</v>
      </c>
      <c r="BQ12" s="174">
        <v>1.2200000000000001E-2</v>
      </c>
      <c r="BR12" s="174">
        <v>1.7100000000000001E-2</v>
      </c>
      <c r="BS12" s="174">
        <v>2.1899999999999999E-2</v>
      </c>
      <c r="BT12" s="174">
        <v>2.92E-2</v>
      </c>
      <c r="BU12" s="174"/>
      <c r="BV12" s="174"/>
      <c r="BW12" s="174"/>
      <c r="BX12" s="174"/>
      <c r="BY12" s="174"/>
      <c r="BZ12" s="174">
        <v>55</v>
      </c>
      <c r="CA12" s="174">
        <v>29</v>
      </c>
      <c r="CB12" s="174">
        <v>36</v>
      </c>
      <c r="CC12" s="174">
        <v>41</v>
      </c>
      <c r="CD12" s="174">
        <v>45</v>
      </c>
      <c r="CE12" s="174">
        <v>47</v>
      </c>
      <c r="CF12" s="174">
        <v>25</v>
      </c>
      <c r="CG12" s="174">
        <v>40</v>
      </c>
      <c r="CH12" s="174">
        <v>52</v>
      </c>
      <c r="CI12" s="174">
        <v>65</v>
      </c>
      <c r="CJ12" s="174">
        <v>93</v>
      </c>
      <c r="CK12" s="174">
        <v>12.6</v>
      </c>
      <c r="CL12" s="174">
        <v>8.9</v>
      </c>
      <c r="CM12" s="174">
        <v>1.4</v>
      </c>
      <c r="CN12" s="175">
        <v>3.024210953273223E-4</v>
      </c>
    </row>
    <row r="13" spans="1:92" x14ac:dyDescent="0.3">
      <c r="A13" s="152" t="s">
        <v>40</v>
      </c>
      <c r="B13" s="162">
        <v>78</v>
      </c>
      <c r="C13" s="160" t="s">
        <v>397</v>
      </c>
      <c r="D13" s="152">
        <v>2180.5670000000005</v>
      </c>
      <c r="E13" s="183"/>
      <c r="F13" s="176" t="s">
        <v>50</v>
      </c>
      <c r="I13" s="152" t="s">
        <v>1864</v>
      </c>
      <c r="J13" s="167">
        <v>8</v>
      </c>
      <c r="K13" s="168">
        <v>-18</v>
      </c>
      <c r="L13" s="212" t="s">
        <v>1866</v>
      </c>
      <c r="M13" s="67" t="s">
        <v>57</v>
      </c>
      <c r="N13" s="167">
        <v>8.5</v>
      </c>
      <c r="O13" s="170">
        <v>0</v>
      </c>
      <c r="P13" s="170">
        <v>0</v>
      </c>
      <c r="Q13" s="167">
        <v>35</v>
      </c>
      <c r="R13" s="167">
        <v>30</v>
      </c>
      <c r="S13" s="167">
        <v>0.8</v>
      </c>
      <c r="T13" s="167">
        <v>0</v>
      </c>
      <c r="U13" s="171">
        <v>0</v>
      </c>
      <c r="V13" s="171">
        <v>0</v>
      </c>
      <c r="W13" s="167">
        <v>0.5</v>
      </c>
      <c r="X13" s="167">
        <v>16400</v>
      </c>
      <c r="Y13" s="167">
        <v>0</v>
      </c>
      <c r="Z13" s="167">
        <v>95.999999999999972</v>
      </c>
      <c r="AA13" s="167">
        <v>1</v>
      </c>
      <c r="AB13" s="167">
        <v>9600</v>
      </c>
      <c r="AC13" s="170">
        <v>243000</v>
      </c>
      <c r="AD13" s="172">
        <v>0</v>
      </c>
      <c r="AE13" s="170">
        <v>0.3</v>
      </c>
      <c r="AF13" s="170">
        <v>0</v>
      </c>
      <c r="AG13" s="170">
        <v>0</v>
      </c>
      <c r="AH13" s="170">
        <v>0</v>
      </c>
      <c r="AI13" s="170">
        <v>0</v>
      </c>
      <c r="AJ13" s="167">
        <v>40.000000000000007</v>
      </c>
      <c r="AK13" s="167">
        <v>1</v>
      </c>
      <c r="AL13" s="167">
        <v>1</v>
      </c>
      <c r="AM13" s="167">
        <v>1</v>
      </c>
      <c r="AN13" s="167">
        <v>1</v>
      </c>
      <c r="AO13" s="167">
        <v>1</v>
      </c>
      <c r="AP13" s="167">
        <v>1</v>
      </c>
      <c r="AQ13" s="167">
        <v>0</v>
      </c>
      <c r="AR13" s="167">
        <v>56</v>
      </c>
      <c r="AS13" s="173">
        <v>1</v>
      </c>
      <c r="AT13" s="162" t="s">
        <v>1852</v>
      </c>
      <c r="AU13" s="152">
        <v>9</v>
      </c>
      <c r="AV13" s="162">
        <v>0.12</v>
      </c>
      <c r="AW13" s="162">
        <v>0.51855768127361268</v>
      </c>
      <c r="AX13" s="162">
        <v>1</v>
      </c>
      <c r="BC13" s="174">
        <v>2.5</v>
      </c>
      <c r="BD13" s="174" t="s">
        <v>1858</v>
      </c>
      <c r="BE13" s="174">
        <v>28</v>
      </c>
      <c r="BF13" s="174">
        <v>19.2</v>
      </c>
      <c r="BG13" s="174"/>
      <c r="BH13" s="174">
        <v>6</v>
      </c>
      <c r="BI13" s="174"/>
      <c r="BJ13" s="174"/>
      <c r="BK13" s="174">
        <v>5.2</v>
      </c>
      <c r="BL13" s="174">
        <v>6.5</v>
      </c>
      <c r="BM13" s="174">
        <v>7.4</v>
      </c>
      <c r="BN13" s="174">
        <v>8.3000000000000007</v>
      </c>
      <c r="BO13" s="174">
        <v>10.8</v>
      </c>
      <c r="BP13" s="174">
        <v>3.0700000000000002E-2</v>
      </c>
      <c r="BQ13" s="174">
        <v>3.7900000000000003E-2</v>
      </c>
      <c r="BR13" s="174">
        <v>4.2700000000000002E-2</v>
      </c>
      <c r="BS13" s="174">
        <v>4.7500000000000001E-2</v>
      </c>
      <c r="BT13" s="174">
        <v>5.4800000000000001E-2</v>
      </c>
      <c r="BU13" s="174"/>
      <c r="BV13" s="174"/>
      <c r="BW13" s="174"/>
      <c r="BX13" s="174"/>
      <c r="BY13" s="174"/>
      <c r="BZ13" s="174">
        <v>55</v>
      </c>
      <c r="CA13" s="174">
        <v>29</v>
      </c>
      <c r="CB13" s="174">
        <v>36</v>
      </c>
      <c r="CC13" s="174">
        <v>41</v>
      </c>
      <c r="CD13" s="174">
        <v>45</v>
      </c>
      <c r="CE13" s="174">
        <v>47</v>
      </c>
      <c r="CF13" s="174">
        <v>54</v>
      </c>
      <c r="CG13" s="174">
        <v>68</v>
      </c>
      <c r="CH13" s="174">
        <v>81</v>
      </c>
      <c r="CI13" s="174">
        <v>93</v>
      </c>
      <c r="CJ13" s="174">
        <v>121</v>
      </c>
      <c r="CK13" s="174">
        <v>12.6</v>
      </c>
      <c r="CL13" s="174">
        <v>8.9</v>
      </c>
      <c r="CM13" s="174">
        <v>1.4</v>
      </c>
      <c r="CN13" s="175">
        <v>3.024210953273223E-4</v>
      </c>
    </row>
    <row r="14" spans="1:92" x14ac:dyDescent="0.3">
      <c r="A14" s="152" t="s">
        <v>41</v>
      </c>
      <c r="B14" s="183">
        <v>355000</v>
      </c>
      <c r="C14" s="160" t="s">
        <v>396</v>
      </c>
      <c r="F14" s="152" t="s">
        <v>51</v>
      </c>
      <c r="G14" s="184" t="s">
        <v>52</v>
      </c>
      <c r="H14" s="160" t="s">
        <v>56</v>
      </c>
      <c r="I14" s="152" t="s">
        <v>1812</v>
      </c>
      <c r="J14" s="167">
        <v>9</v>
      </c>
      <c r="K14" s="168">
        <v>-22.8</v>
      </c>
      <c r="L14" s="212" t="s">
        <v>1867</v>
      </c>
      <c r="M14" s="67" t="s">
        <v>57</v>
      </c>
      <c r="N14" s="167">
        <v>8</v>
      </c>
      <c r="O14" s="170">
        <v>0</v>
      </c>
      <c r="P14" s="170">
        <v>0</v>
      </c>
      <c r="Q14" s="167">
        <v>29</v>
      </c>
      <c r="R14" s="167">
        <v>24</v>
      </c>
      <c r="S14" s="167">
        <v>0.8</v>
      </c>
      <c r="T14" s="167">
        <v>0</v>
      </c>
      <c r="U14" s="171">
        <v>0</v>
      </c>
      <c r="V14" s="171">
        <v>0</v>
      </c>
      <c r="W14" s="167">
        <v>0.5</v>
      </c>
      <c r="X14" s="167">
        <v>19200</v>
      </c>
      <c r="Y14" s="167">
        <v>0</v>
      </c>
      <c r="Z14" s="167">
        <v>78.199999999999974</v>
      </c>
      <c r="AA14" s="167">
        <v>1</v>
      </c>
      <c r="AB14" s="167">
        <v>4420</v>
      </c>
      <c r="AC14" s="170">
        <v>278000</v>
      </c>
      <c r="AD14" s="172">
        <v>0</v>
      </c>
      <c r="AE14" s="170">
        <v>0.3</v>
      </c>
      <c r="AF14" s="170">
        <v>0</v>
      </c>
      <c r="AG14" s="170">
        <v>0</v>
      </c>
      <c r="AH14" s="170">
        <v>0</v>
      </c>
      <c r="AI14" s="170">
        <v>0</v>
      </c>
      <c r="AJ14" s="167">
        <v>18.400000000000006</v>
      </c>
      <c r="AK14" s="167">
        <v>1</v>
      </c>
      <c r="AL14" s="167">
        <v>1</v>
      </c>
      <c r="AM14" s="167">
        <v>1</v>
      </c>
      <c r="AN14" s="167">
        <v>1</v>
      </c>
      <c r="AO14" s="167">
        <v>1</v>
      </c>
      <c r="AP14" s="167">
        <v>1</v>
      </c>
      <c r="AQ14" s="167">
        <v>0</v>
      </c>
      <c r="AR14" s="167">
        <v>71</v>
      </c>
      <c r="AS14" s="173">
        <v>1</v>
      </c>
      <c r="AT14" s="162" t="s">
        <v>1871</v>
      </c>
      <c r="AU14" s="152">
        <v>10</v>
      </c>
      <c r="AV14" s="162">
        <v>7.0000000000000007E-2</v>
      </c>
      <c r="AW14" s="162">
        <v>1.253865387034913</v>
      </c>
      <c r="AX14" s="162">
        <v>0.8534307099936419</v>
      </c>
      <c r="BC14" s="174">
        <v>2.5</v>
      </c>
      <c r="BD14" s="174" t="s">
        <v>902</v>
      </c>
      <c r="BE14" s="174">
        <v>29</v>
      </c>
      <c r="BF14" s="174">
        <v>18.7</v>
      </c>
      <c r="BG14" s="174"/>
      <c r="BH14" s="174">
        <v>11</v>
      </c>
      <c r="BI14" s="174"/>
      <c r="BJ14" s="174"/>
      <c r="BK14" s="174">
        <v>11.5</v>
      </c>
      <c r="BL14" s="174">
        <v>13</v>
      </c>
      <c r="BM14" s="174">
        <v>14.1</v>
      </c>
      <c r="BN14" s="174">
        <v>15.1</v>
      </c>
      <c r="BO14" s="174">
        <v>16.600000000000001</v>
      </c>
      <c r="BP14" s="174">
        <v>4.3799999999999999E-2</v>
      </c>
      <c r="BQ14" s="174">
        <v>5.0900000000000001E-2</v>
      </c>
      <c r="BR14" s="174">
        <v>5.57E-2</v>
      </c>
      <c r="BS14" s="174">
        <v>6.0499999999999998E-2</v>
      </c>
      <c r="BT14" s="174">
        <v>6.7599999999999993E-2</v>
      </c>
      <c r="BU14" s="174"/>
      <c r="BV14" s="174"/>
      <c r="BW14" s="174"/>
      <c r="BX14" s="174"/>
      <c r="BY14" s="174"/>
      <c r="BZ14" s="174">
        <v>75</v>
      </c>
      <c r="CA14" s="174">
        <v>29</v>
      </c>
      <c r="CB14" s="174">
        <v>38</v>
      </c>
      <c r="CC14" s="174">
        <v>42</v>
      </c>
      <c r="CD14" s="174">
        <v>47</v>
      </c>
      <c r="CE14" s="174">
        <v>47</v>
      </c>
      <c r="CF14" s="174">
        <v>49</v>
      </c>
      <c r="CG14" s="174">
        <v>78</v>
      </c>
      <c r="CH14" s="174">
        <v>103</v>
      </c>
      <c r="CI14" s="174">
        <v>127</v>
      </c>
      <c r="CJ14" s="174">
        <v>182</v>
      </c>
      <c r="CK14" s="174">
        <v>31.3</v>
      </c>
      <c r="CL14" s="174">
        <v>5.9</v>
      </c>
      <c r="CM14" s="174">
        <v>1.1000000000000001</v>
      </c>
      <c r="CN14" s="175">
        <v>1.6601541868016071E-4</v>
      </c>
    </row>
    <row r="15" spans="1:92" x14ac:dyDescent="0.3">
      <c r="A15" s="152" t="s">
        <v>42</v>
      </c>
      <c r="B15" s="185">
        <v>207000000</v>
      </c>
      <c r="C15" s="160" t="s">
        <v>396</v>
      </c>
      <c r="D15" s="213">
        <v>15062.971997168146</v>
      </c>
      <c r="I15" s="152" t="s">
        <v>1812</v>
      </c>
      <c r="J15" s="167">
        <v>10</v>
      </c>
      <c r="K15" s="168">
        <v>-27</v>
      </c>
      <c r="L15" s="212" t="s">
        <v>1868</v>
      </c>
      <c r="M15" s="67" t="s">
        <v>57</v>
      </c>
      <c r="N15" s="167">
        <v>8</v>
      </c>
      <c r="O15" s="170">
        <v>0</v>
      </c>
      <c r="P15" s="170">
        <v>0</v>
      </c>
      <c r="Q15" s="167">
        <v>29</v>
      </c>
      <c r="R15" s="167">
        <v>24</v>
      </c>
      <c r="S15" s="167">
        <v>0.7</v>
      </c>
      <c r="T15" s="167">
        <v>0</v>
      </c>
      <c r="U15" s="171">
        <v>0</v>
      </c>
      <c r="V15" s="171">
        <v>0</v>
      </c>
      <c r="W15" s="167">
        <v>0.5</v>
      </c>
      <c r="X15" s="167">
        <v>18500</v>
      </c>
      <c r="Y15" s="167">
        <v>0</v>
      </c>
      <c r="Z15" s="167">
        <v>78.199999999999974</v>
      </c>
      <c r="AA15" s="167">
        <v>1</v>
      </c>
      <c r="AB15" s="167">
        <v>4420</v>
      </c>
      <c r="AC15" s="170">
        <v>265000</v>
      </c>
      <c r="AD15" s="172">
        <v>0</v>
      </c>
      <c r="AE15" s="170">
        <v>0.3</v>
      </c>
      <c r="AF15" s="170">
        <v>0</v>
      </c>
      <c r="AG15" s="170">
        <v>0</v>
      </c>
      <c r="AH15" s="170">
        <v>0</v>
      </c>
      <c r="AI15" s="170">
        <v>0</v>
      </c>
      <c r="AJ15" s="167">
        <v>18.400000000000006</v>
      </c>
      <c r="AK15" s="167">
        <v>1</v>
      </c>
      <c r="AL15" s="167">
        <v>1</v>
      </c>
      <c r="AM15" s="167">
        <v>1</v>
      </c>
      <c r="AN15" s="167">
        <v>1</v>
      </c>
      <c r="AO15" s="167">
        <v>1</v>
      </c>
      <c r="AP15" s="167">
        <v>1</v>
      </c>
      <c r="AQ15" s="167">
        <v>0</v>
      </c>
      <c r="AR15" s="167">
        <v>62</v>
      </c>
      <c r="AS15" s="173">
        <v>1</v>
      </c>
      <c r="AT15" s="162" t="s">
        <v>1871</v>
      </c>
      <c r="AU15" s="152">
        <v>10</v>
      </c>
      <c r="AV15" s="162">
        <v>7.0000000000000007E-2</v>
      </c>
      <c r="AW15" s="162">
        <v>1.1062381251979703</v>
      </c>
      <c r="AX15" s="162">
        <v>0.73332776582585912</v>
      </c>
      <c r="BC15" s="174">
        <v>7.5</v>
      </c>
      <c r="BD15" s="174" t="s">
        <v>902</v>
      </c>
      <c r="BE15" s="174">
        <v>29</v>
      </c>
      <c r="BF15" s="174">
        <v>18.7</v>
      </c>
      <c r="BG15" s="174"/>
      <c r="BH15" s="174">
        <v>11</v>
      </c>
      <c r="BI15" s="174"/>
      <c r="BJ15" s="174"/>
      <c r="BK15" s="174">
        <v>8.5</v>
      </c>
      <c r="BL15" s="174">
        <v>10</v>
      </c>
      <c r="BM15" s="174">
        <v>11.1</v>
      </c>
      <c r="BN15" s="174">
        <v>12.2</v>
      </c>
      <c r="BO15" s="174">
        <v>13.7</v>
      </c>
      <c r="BP15" s="174">
        <v>5.0799999999999998E-2</v>
      </c>
      <c r="BQ15" s="174">
        <v>5.79E-2</v>
      </c>
      <c r="BR15" s="174">
        <v>6.2600000000000003E-2</v>
      </c>
      <c r="BS15" s="174">
        <v>6.7400000000000002E-2</v>
      </c>
      <c r="BT15" s="174">
        <v>7.4499999999999997E-2</v>
      </c>
      <c r="BU15" s="174"/>
      <c r="BV15" s="174"/>
      <c r="BW15" s="174"/>
      <c r="BX15" s="174"/>
      <c r="BY15" s="174"/>
      <c r="BZ15" s="174">
        <v>75</v>
      </c>
      <c r="CA15" s="174">
        <v>29</v>
      </c>
      <c r="CB15" s="174">
        <v>38</v>
      </c>
      <c r="CC15" s="174">
        <v>42</v>
      </c>
      <c r="CD15" s="174">
        <v>47</v>
      </c>
      <c r="CE15" s="174">
        <v>47</v>
      </c>
      <c r="CF15" s="174">
        <v>111</v>
      </c>
      <c r="CG15" s="174">
        <v>140</v>
      </c>
      <c r="CH15" s="174">
        <v>165</v>
      </c>
      <c r="CI15" s="174">
        <v>189</v>
      </c>
      <c r="CJ15" s="174">
        <v>244</v>
      </c>
      <c r="CK15" s="174">
        <v>31.3</v>
      </c>
      <c r="CL15" s="174">
        <v>5.9</v>
      </c>
      <c r="CM15" s="174">
        <v>1.1000000000000001</v>
      </c>
      <c r="CN15" s="175">
        <v>1.6601541868016071E-4</v>
      </c>
    </row>
    <row r="16" spans="1:92" x14ac:dyDescent="0.3">
      <c r="A16" s="152" t="s">
        <v>43</v>
      </c>
      <c r="B16" s="185">
        <v>79000000</v>
      </c>
      <c r="C16" s="160" t="s">
        <v>396</v>
      </c>
      <c r="D16" s="186">
        <v>-655974.19340287254</v>
      </c>
      <c r="E16" s="187"/>
      <c r="I16" s="152" t="s">
        <v>540</v>
      </c>
      <c r="J16" s="167">
        <v>11</v>
      </c>
      <c r="K16" s="168">
        <v>-31.9</v>
      </c>
      <c r="L16" s="212" t="s">
        <v>1869</v>
      </c>
      <c r="M16" s="67" t="s">
        <v>57</v>
      </c>
      <c r="N16" s="167">
        <v>10.100000000000001</v>
      </c>
      <c r="O16" s="170">
        <v>0</v>
      </c>
      <c r="P16" s="170">
        <v>0</v>
      </c>
      <c r="Q16" s="167">
        <v>30</v>
      </c>
      <c r="R16" s="167">
        <v>25</v>
      </c>
      <c r="S16" s="167">
        <v>0.8</v>
      </c>
      <c r="T16" s="167">
        <v>0</v>
      </c>
      <c r="U16" s="171">
        <v>0</v>
      </c>
      <c r="V16" s="171">
        <v>0</v>
      </c>
      <c r="W16" s="167">
        <v>0.5</v>
      </c>
      <c r="X16" s="167">
        <v>33400</v>
      </c>
      <c r="Y16" s="167">
        <v>0</v>
      </c>
      <c r="Z16" s="167">
        <v>80.999999999999972</v>
      </c>
      <c r="AA16" s="167">
        <v>1</v>
      </c>
      <c r="AB16" s="167">
        <v>4800</v>
      </c>
      <c r="AC16" s="170">
        <v>390000</v>
      </c>
      <c r="AD16" s="172">
        <v>0</v>
      </c>
      <c r="AE16" s="170">
        <v>0.3</v>
      </c>
      <c r="AF16" s="170">
        <v>0</v>
      </c>
      <c r="AG16" s="170">
        <v>0</v>
      </c>
      <c r="AH16" s="170">
        <v>0</v>
      </c>
      <c r="AI16" s="170">
        <v>0</v>
      </c>
      <c r="AJ16" s="167">
        <v>20.000000000000007</v>
      </c>
      <c r="AK16" s="167">
        <v>1</v>
      </c>
      <c r="AL16" s="167">
        <v>1</v>
      </c>
      <c r="AM16" s="167">
        <v>1</v>
      </c>
      <c r="AN16" s="167">
        <v>1</v>
      </c>
      <c r="AO16" s="167">
        <v>1</v>
      </c>
      <c r="AP16" s="167">
        <v>1</v>
      </c>
      <c r="AQ16" s="167">
        <v>0</v>
      </c>
      <c r="AR16" s="167">
        <v>75</v>
      </c>
      <c r="AS16" s="173">
        <v>1</v>
      </c>
      <c r="AT16" s="162" t="s">
        <v>1855</v>
      </c>
      <c r="AU16" s="152">
        <v>10</v>
      </c>
      <c r="AV16" s="162">
        <v>0.11</v>
      </c>
      <c r="AW16" s="162">
        <v>1.5430656322772556</v>
      </c>
      <c r="AX16" s="162">
        <v>1</v>
      </c>
      <c r="BC16" s="174">
        <v>7.5</v>
      </c>
      <c r="BD16" s="174" t="s">
        <v>902</v>
      </c>
      <c r="BE16" s="174">
        <v>25</v>
      </c>
      <c r="BF16" s="174">
        <v>19.5</v>
      </c>
      <c r="BG16" s="174"/>
      <c r="BH16" s="174">
        <v>12</v>
      </c>
      <c r="BI16" s="174"/>
      <c r="BJ16" s="174"/>
      <c r="BK16" s="174">
        <v>7</v>
      </c>
      <c r="BL16" s="174">
        <v>11.5</v>
      </c>
      <c r="BM16" s="174">
        <v>14.6</v>
      </c>
      <c r="BN16" s="174">
        <v>22.7</v>
      </c>
      <c r="BO16" s="174">
        <v>41</v>
      </c>
      <c r="BP16" s="174">
        <v>3.6400000000000002E-2</v>
      </c>
      <c r="BQ16" s="174">
        <v>4.9700000000000001E-2</v>
      </c>
      <c r="BR16" s="174">
        <v>5.8700000000000002E-2</v>
      </c>
      <c r="BS16" s="174">
        <v>6.7599999999999993E-2</v>
      </c>
      <c r="BT16" s="174">
        <v>8.2000000000000003E-2</v>
      </c>
      <c r="BU16" s="174"/>
      <c r="BV16" s="174"/>
      <c r="BW16" s="174"/>
      <c r="BX16" s="174"/>
      <c r="BY16" s="174"/>
      <c r="BZ16" s="174">
        <v>81</v>
      </c>
      <c r="CA16" s="174">
        <v>29</v>
      </c>
      <c r="CB16" s="174">
        <v>31</v>
      </c>
      <c r="CC16" s="174">
        <v>35</v>
      </c>
      <c r="CD16" s="174">
        <v>39</v>
      </c>
      <c r="CE16" s="174">
        <v>46</v>
      </c>
      <c r="CF16" s="174">
        <v>80</v>
      </c>
      <c r="CG16" s="174">
        <v>131</v>
      </c>
      <c r="CH16" s="174">
        <v>174</v>
      </c>
      <c r="CI16" s="174">
        <v>217</v>
      </c>
      <c r="CJ16" s="174">
        <v>314</v>
      </c>
      <c r="CK16" s="174">
        <v>52.2</v>
      </c>
      <c r="CL16" s="174">
        <v>3.8</v>
      </c>
      <c r="CM16" s="174">
        <v>0.9</v>
      </c>
      <c r="CN16" s="175">
        <v>7.7838927978880339E-5</v>
      </c>
    </row>
    <row r="17" spans="1:92" s="178" customFormat="1" x14ac:dyDescent="0.3">
      <c r="A17" s="152" t="s">
        <v>74</v>
      </c>
      <c r="B17" s="162">
        <v>0.53</v>
      </c>
      <c r="C17" s="160"/>
      <c r="D17" s="190">
        <v>30341.635637098727</v>
      </c>
      <c r="E17" s="164"/>
      <c r="I17" s="152" t="s">
        <v>557</v>
      </c>
      <c r="J17" s="167">
        <v>12</v>
      </c>
      <c r="K17" s="168">
        <v>-45</v>
      </c>
      <c r="L17" s="169" t="s">
        <v>780</v>
      </c>
      <c r="M17" s="67" t="s">
        <v>58</v>
      </c>
      <c r="N17" s="167">
        <v>8.8000000000000007</v>
      </c>
      <c r="O17" s="170">
        <v>339</v>
      </c>
      <c r="P17" s="170">
        <v>4.2</v>
      </c>
      <c r="Q17" s="167">
        <v>0</v>
      </c>
      <c r="R17" s="167" t="e">
        <v>#N/A</v>
      </c>
      <c r="S17" s="167">
        <v>1</v>
      </c>
      <c r="T17" s="167">
        <v>0</v>
      </c>
      <c r="U17" s="171">
        <v>1.9E-2</v>
      </c>
      <c r="V17" s="171">
        <v>0</v>
      </c>
      <c r="W17" s="167">
        <v>0.25</v>
      </c>
      <c r="X17" s="167">
        <v>31600</v>
      </c>
      <c r="Y17" s="167">
        <v>0</v>
      </c>
      <c r="Z17" s="167" t="e">
        <v>#N/A</v>
      </c>
      <c r="AA17" s="167">
        <v>1</v>
      </c>
      <c r="AB17" s="167" t="e">
        <v>#N/A</v>
      </c>
      <c r="AC17" s="170">
        <v>179000</v>
      </c>
      <c r="AD17" s="172">
        <v>2400</v>
      </c>
      <c r="AE17" s="170">
        <v>0.3</v>
      </c>
      <c r="AF17" s="170">
        <v>0</v>
      </c>
      <c r="AG17" s="170">
        <v>0</v>
      </c>
      <c r="AH17" s="170">
        <v>0</v>
      </c>
      <c r="AI17" s="170">
        <v>0</v>
      </c>
      <c r="AJ17" s="167" t="e">
        <v>#N/A</v>
      </c>
      <c r="AK17" s="167">
        <v>1</v>
      </c>
      <c r="AL17" s="167">
        <v>1</v>
      </c>
      <c r="AM17" s="167">
        <v>1</v>
      </c>
      <c r="AN17" s="167">
        <v>1</v>
      </c>
      <c r="AO17" s="167">
        <v>1</v>
      </c>
      <c r="AP17" s="167">
        <v>1</v>
      </c>
      <c r="AQ17" s="167">
        <v>0</v>
      </c>
      <c r="AR17" s="167">
        <v>0</v>
      </c>
      <c r="AS17" s="173">
        <v>1</v>
      </c>
      <c r="AT17" s="182" t="s">
        <v>1856</v>
      </c>
      <c r="AU17" s="178">
        <v>10</v>
      </c>
      <c r="AV17" s="182">
        <v>0.41</v>
      </c>
      <c r="AW17" s="182">
        <v>1</v>
      </c>
      <c r="AX17" s="182">
        <v>0.98160102773909697</v>
      </c>
      <c r="BC17" s="174">
        <v>15.1</v>
      </c>
      <c r="BD17" s="174" t="s">
        <v>902</v>
      </c>
      <c r="BE17" s="174">
        <v>25</v>
      </c>
      <c r="BF17" s="174">
        <v>19.5</v>
      </c>
      <c r="BG17" s="174"/>
      <c r="BH17" s="174">
        <v>12</v>
      </c>
      <c r="BI17" s="174"/>
      <c r="BJ17" s="174"/>
      <c r="BK17" s="174">
        <v>19.2</v>
      </c>
      <c r="BL17" s="174">
        <v>23.8</v>
      </c>
      <c r="BM17" s="174">
        <v>26.8</v>
      </c>
      <c r="BN17" s="174">
        <v>34.9</v>
      </c>
      <c r="BO17" s="174">
        <v>53.2</v>
      </c>
      <c r="BP17" s="174">
        <v>0.1409</v>
      </c>
      <c r="BQ17" s="174">
        <v>0.1542</v>
      </c>
      <c r="BR17" s="174">
        <v>0.16309999999999999</v>
      </c>
      <c r="BS17" s="174">
        <v>0.17199999999999999</v>
      </c>
      <c r="BT17" s="174">
        <v>0.1865</v>
      </c>
      <c r="BU17" s="174"/>
      <c r="BV17" s="174"/>
      <c r="BW17" s="174"/>
      <c r="BX17" s="174"/>
      <c r="BY17" s="174"/>
      <c r="BZ17" s="174">
        <v>81</v>
      </c>
      <c r="CA17" s="174">
        <v>29</v>
      </c>
      <c r="CB17" s="174">
        <v>31</v>
      </c>
      <c r="CC17" s="174">
        <v>35</v>
      </c>
      <c r="CD17" s="174">
        <v>39</v>
      </c>
      <c r="CE17" s="174">
        <v>46</v>
      </c>
      <c r="CF17" s="174">
        <v>200</v>
      </c>
      <c r="CG17" s="174">
        <v>251</v>
      </c>
      <c r="CH17" s="174">
        <v>294</v>
      </c>
      <c r="CI17" s="174">
        <v>337</v>
      </c>
      <c r="CJ17" s="174">
        <v>434</v>
      </c>
      <c r="CK17" s="174">
        <v>52.2</v>
      </c>
      <c r="CL17" s="174">
        <v>3.8</v>
      </c>
      <c r="CM17" s="174">
        <v>0.9</v>
      </c>
      <c r="CN17" s="175">
        <v>7.7838927978880339E-5</v>
      </c>
    </row>
    <row r="18" spans="1:92" x14ac:dyDescent="0.3">
      <c r="A18" s="153" t="s">
        <v>25</v>
      </c>
      <c r="B18" s="153" t="s">
        <v>26</v>
      </c>
      <c r="C18" s="153" t="s">
        <v>27</v>
      </c>
      <c r="D18" s="192">
        <v>0</v>
      </c>
      <c r="E18" s="192"/>
      <c r="F18" s="152" t="s">
        <v>1729</v>
      </c>
      <c r="J18" s="167"/>
      <c r="K18" s="168"/>
      <c r="L18" s="169"/>
      <c r="M18" s="67"/>
      <c r="N18" s="167"/>
      <c r="O18" s="170"/>
      <c r="P18" s="170"/>
      <c r="Q18" s="167"/>
      <c r="R18" s="167"/>
      <c r="S18" s="167"/>
      <c r="T18" s="167"/>
      <c r="U18" s="171"/>
      <c r="V18" s="171"/>
      <c r="W18" s="167"/>
      <c r="X18" s="167"/>
      <c r="Y18" s="167"/>
      <c r="Z18" s="167"/>
      <c r="AA18" s="167"/>
      <c r="AB18" s="167"/>
      <c r="AC18" s="170"/>
      <c r="AD18" s="170"/>
      <c r="AE18" s="170"/>
      <c r="AF18" s="170"/>
      <c r="AG18" s="170"/>
      <c r="AH18" s="170"/>
      <c r="AI18" s="170"/>
      <c r="AJ18" s="167"/>
      <c r="AK18" s="167"/>
      <c r="AL18" s="167"/>
      <c r="AM18" s="167"/>
      <c r="AN18" s="167"/>
      <c r="AO18" s="167"/>
      <c r="AP18" s="167"/>
      <c r="AQ18" s="167"/>
      <c r="AR18" s="167"/>
      <c r="BC18" s="174">
        <v>15.1</v>
      </c>
      <c r="BD18" s="174" t="s">
        <v>1864</v>
      </c>
      <c r="BE18" s="174">
        <v>32</v>
      </c>
      <c r="BF18" s="174">
        <v>18.5</v>
      </c>
      <c r="BG18" s="174"/>
      <c r="BH18" s="174">
        <v>6</v>
      </c>
      <c r="BI18" s="174"/>
      <c r="BJ18" s="174"/>
      <c r="BK18" s="174">
        <v>17.600000000000001</v>
      </c>
      <c r="BL18" s="174">
        <v>24.6</v>
      </c>
      <c r="BM18" s="174">
        <v>29.4</v>
      </c>
      <c r="BN18" s="174">
        <v>34.1</v>
      </c>
      <c r="BO18" s="174">
        <v>89.2</v>
      </c>
      <c r="BP18" s="174">
        <v>9.1999999999999998E-2</v>
      </c>
      <c r="BQ18" s="174">
        <v>0.1288</v>
      </c>
      <c r="BR18" s="174">
        <v>0.15340000000000001</v>
      </c>
      <c r="BS18" s="174">
        <v>0.17799999999999999</v>
      </c>
      <c r="BT18" s="174">
        <v>0.3569</v>
      </c>
      <c r="BU18" s="174"/>
      <c r="BV18" s="174"/>
      <c r="BW18" s="174"/>
      <c r="BX18" s="174"/>
      <c r="BY18" s="174"/>
      <c r="BZ18" s="174">
        <v>92</v>
      </c>
      <c r="CA18" s="174">
        <v>31</v>
      </c>
      <c r="CB18" s="174">
        <v>40</v>
      </c>
      <c r="CC18" s="174">
        <v>45</v>
      </c>
      <c r="CD18" s="174">
        <v>47</v>
      </c>
      <c r="CE18" s="174">
        <v>47</v>
      </c>
      <c r="CF18" s="174">
        <v>158</v>
      </c>
      <c r="CG18" s="174">
        <v>175</v>
      </c>
      <c r="CH18" s="174">
        <v>264</v>
      </c>
      <c r="CI18" s="174">
        <v>354</v>
      </c>
      <c r="CJ18" s="174">
        <v>574</v>
      </c>
      <c r="CK18" s="174">
        <v>51</v>
      </c>
      <c r="CL18" s="174">
        <v>9.6999999999999993</v>
      </c>
      <c r="CM18" s="174">
        <v>1.5</v>
      </c>
      <c r="CN18" s="175">
        <v>4.4169389053862243E-5</v>
      </c>
    </row>
    <row r="19" spans="1:92" x14ac:dyDescent="0.3">
      <c r="A19" s="164" t="s">
        <v>36</v>
      </c>
      <c r="B19" s="164" t="s">
        <v>29</v>
      </c>
      <c r="C19" s="164" t="s">
        <v>53</v>
      </c>
      <c r="D19" s="194">
        <v>2837.2447390759553</v>
      </c>
      <c r="E19" s="153"/>
      <c r="F19" s="152" t="s">
        <v>803</v>
      </c>
      <c r="J19" s="167"/>
      <c r="K19" s="168"/>
      <c r="L19" s="169"/>
      <c r="M19" s="67"/>
      <c r="N19" s="167"/>
      <c r="O19" s="170"/>
      <c r="P19" s="170"/>
      <c r="Q19" s="167"/>
      <c r="R19" s="167"/>
      <c r="S19" s="167"/>
      <c r="T19" s="167"/>
      <c r="U19" s="171"/>
      <c r="V19" s="171"/>
      <c r="W19" s="167"/>
      <c r="X19" s="167"/>
      <c r="Y19" s="167"/>
      <c r="Z19" s="167"/>
      <c r="AA19" s="167"/>
      <c r="AB19" s="167"/>
      <c r="AC19" s="170"/>
      <c r="AD19" s="170"/>
      <c r="AE19" s="170"/>
      <c r="AF19" s="170"/>
      <c r="AG19" s="170"/>
      <c r="AH19" s="170"/>
      <c r="AI19" s="170"/>
      <c r="AJ19" s="167"/>
      <c r="AK19" s="167"/>
      <c r="AL19" s="167"/>
      <c r="AM19" s="167"/>
      <c r="AN19" s="167"/>
      <c r="AO19" s="167"/>
      <c r="AP19" s="167"/>
      <c r="AQ19" s="167"/>
      <c r="AR19" s="167"/>
      <c r="BC19" s="174">
        <v>18</v>
      </c>
      <c r="BD19" s="174" t="s">
        <v>1864</v>
      </c>
      <c r="BE19" s="174">
        <v>32</v>
      </c>
      <c r="BF19" s="174">
        <v>18.5</v>
      </c>
      <c r="BG19" s="174"/>
      <c r="BH19" s="174">
        <v>6</v>
      </c>
      <c r="BI19" s="174"/>
      <c r="BJ19" s="174"/>
      <c r="BK19" s="174">
        <v>17.600000000000001</v>
      </c>
      <c r="BL19" s="174">
        <v>24.6</v>
      </c>
      <c r="BM19" s="174">
        <v>29.4</v>
      </c>
      <c r="BN19" s="174">
        <v>34.1</v>
      </c>
      <c r="BO19" s="174">
        <v>89.2</v>
      </c>
      <c r="BP19" s="174">
        <v>9.1999999999999998E-2</v>
      </c>
      <c r="BQ19" s="174">
        <v>0.1288</v>
      </c>
      <c r="BR19" s="174">
        <v>0.15340000000000001</v>
      </c>
      <c r="BS19" s="174">
        <v>0.17799999999999999</v>
      </c>
      <c r="BT19" s="174">
        <v>0.3569</v>
      </c>
      <c r="BU19" s="174"/>
      <c r="BV19" s="174"/>
      <c r="BW19" s="174"/>
      <c r="BX19" s="174"/>
      <c r="BY19" s="174"/>
      <c r="BZ19" s="174">
        <v>92</v>
      </c>
      <c r="CA19" s="174">
        <v>31</v>
      </c>
      <c r="CB19" s="174">
        <v>40</v>
      </c>
      <c r="CC19" s="174">
        <v>45</v>
      </c>
      <c r="CD19" s="174">
        <v>47</v>
      </c>
      <c r="CE19" s="174">
        <v>47</v>
      </c>
      <c r="CF19" s="174">
        <v>158</v>
      </c>
      <c r="CG19" s="174">
        <v>175</v>
      </c>
      <c r="CH19" s="174">
        <v>264</v>
      </c>
      <c r="CI19" s="174">
        <v>354</v>
      </c>
      <c r="CJ19" s="174">
        <v>574</v>
      </c>
      <c r="CK19" s="174">
        <v>51</v>
      </c>
      <c r="CL19" s="174">
        <v>9.6999999999999993</v>
      </c>
      <c r="CM19" s="174">
        <v>1.5</v>
      </c>
      <c r="CN19" s="175">
        <v>4.4169389053862243E-5</v>
      </c>
    </row>
    <row r="20" spans="1:92" x14ac:dyDescent="0.3">
      <c r="A20" s="192">
        <v>1</v>
      </c>
      <c r="B20" s="192">
        <v>0</v>
      </c>
      <c r="C20" s="193">
        <v>0.09</v>
      </c>
      <c r="D20" s="161"/>
      <c r="F20" s="152" t="s">
        <v>893</v>
      </c>
      <c r="J20" s="167"/>
      <c r="K20" s="168"/>
      <c r="L20" s="169"/>
      <c r="M20" s="67"/>
      <c r="N20" s="167"/>
      <c r="O20" s="170"/>
      <c r="P20" s="170"/>
      <c r="Q20" s="167"/>
      <c r="R20" s="167"/>
      <c r="S20" s="167"/>
      <c r="T20" s="167"/>
      <c r="U20" s="171"/>
      <c r="V20" s="171"/>
      <c r="W20" s="167"/>
      <c r="X20" s="167"/>
      <c r="Y20" s="167"/>
      <c r="Z20" s="167"/>
      <c r="AA20" s="167"/>
      <c r="AB20" s="167"/>
      <c r="AC20" s="170"/>
      <c r="AD20" s="170"/>
      <c r="AE20" s="170"/>
      <c r="AF20" s="170"/>
      <c r="AG20" s="170"/>
      <c r="AH20" s="170"/>
      <c r="AI20" s="170"/>
      <c r="AJ20" s="167"/>
      <c r="AK20" s="167"/>
      <c r="AL20" s="167"/>
      <c r="AM20" s="167"/>
      <c r="AN20" s="167"/>
      <c r="AO20" s="167"/>
      <c r="AP20" s="167"/>
      <c r="AQ20" s="167"/>
      <c r="AR20" s="167"/>
      <c r="BC20" s="174">
        <v>18</v>
      </c>
      <c r="BD20" s="174" t="s">
        <v>1864</v>
      </c>
      <c r="BE20" s="174">
        <v>32</v>
      </c>
      <c r="BF20" s="174">
        <v>18.5</v>
      </c>
      <c r="BG20" s="174"/>
      <c r="BH20" s="174">
        <v>6</v>
      </c>
      <c r="BI20" s="174"/>
      <c r="BJ20" s="174"/>
      <c r="BK20" s="174">
        <v>7.6</v>
      </c>
      <c r="BL20" s="174">
        <v>10.6</v>
      </c>
      <c r="BM20" s="174">
        <v>12.7</v>
      </c>
      <c r="BN20" s="174">
        <v>14.8</v>
      </c>
      <c r="BO20" s="174">
        <v>38</v>
      </c>
      <c r="BP20" s="174">
        <v>0.14849999999999999</v>
      </c>
      <c r="BQ20" s="174">
        <v>0.2079</v>
      </c>
      <c r="BR20" s="174">
        <v>0.24759999999999999</v>
      </c>
      <c r="BS20" s="174">
        <v>0.28720000000000001</v>
      </c>
      <c r="BT20" s="174">
        <v>0.3836</v>
      </c>
      <c r="BU20" s="174"/>
      <c r="BV20" s="174"/>
      <c r="BW20" s="174"/>
      <c r="BX20" s="174"/>
      <c r="BY20" s="174"/>
      <c r="BZ20" s="174">
        <v>56</v>
      </c>
      <c r="CA20" s="174">
        <v>29</v>
      </c>
      <c r="CB20" s="174">
        <v>35</v>
      </c>
      <c r="CC20" s="174">
        <v>40</v>
      </c>
      <c r="CD20" s="174">
        <v>44</v>
      </c>
      <c r="CE20" s="174">
        <v>47</v>
      </c>
      <c r="CF20" s="174">
        <v>146</v>
      </c>
      <c r="CG20" s="174">
        <v>155</v>
      </c>
      <c r="CH20" s="174">
        <v>243</v>
      </c>
      <c r="CI20" s="174">
        <v>332</v>
      </c>
      <c r="CJ20" s="174">
        <v>545</v>
      </c>
      <c r="CK20" s="174">
        <v>16.399999999999999</v>
      </c>
      <c r="CL20" s="174">
        <v>3.2</v>
      </c>
      <c r="CM20" s="174">
        <v>0.8</v>
      </c>
      <c r="CN20" s="175">
        <v>2.7352905749654851E-7</v>
      </c>
    </row>
    <row r="21" spans="1:92" x14ac:dyDescent="0.3">
      <c r="A21" s="192"/>
      <c r="B21" s="192"/>
      <c r="D21" s="194">
        <v>20335.012196176998</v>
      </c>
      <c r="F21" s="152" t="s">
        <v>852</v>
      </c>
      <c r="J21" s="167"/>
      <c r="K21" s="168"/>
      <c r="L21" s="169"/>
      <c r="M21" s="67"/>
      <c r="N21" s="167"/>
      <c r="O21" s="170"/>
      <c r="P21" s="170"/>
      <c r="Q21" s="167"/>
      <c r="R21" s="167"/>
      <c r="S21" s="167"/>
      <c r="T21" s="167"/>
      <c r="U21" s="171"/>
      <c r="V21" s="171"/>
      <c r="W21" s="167"/>
      <c r="X21" s="167"/>
      <c r="Y21" s="167"/>
      <c r="Z21" s="167"/>
      <c r="AA21" s="167"/>
      <c r="AB21" s="167"/>
      <c r="AC21" s="170"/>
      <c r="AD21" s="170"/>
      <c r="AE21" s="170"/>
      <c r="AF21" s="170"/>
      <c r="AG21" s="170"/>
      <c r="AH21" s="170"/>
      <c r="AI21" s="170"/>
      <c r="AJ21" s="167"/>
      <c r="AK21" s="167"/>
      <c r="AL21" s="167"/>
      <c r="AM21" s="167"/>
      <c r="AN21" s="167"/>
      <c r="AO21" s="167"/>
      <c r="AP21" s="167"/>
      <c r="AQ21" s="167"/>
      <c r="AR21" s="167"/>
      <c r="BC21" s="174">
        <v>22.8</v>
      </c>
      <c r="BD21" s="174" t="s">
        <v>1864</v>
      </c>
      <c r="BE21" s="174">
        <v>32</v>
      </c>
      <c r="BF21" s="174">
        <v>18.5</v>
      </c>
      <c r="BG21" s="174"/>
      <c r="BH21" s="174">
        <v>6</v>
      </c>
      <c r="BI21" s="174"/>
      <c r="BJ21" s="174"/>
      <c r="BK21" s="174">
        <v>7.6</v>
      </c>
      <c r="BL21" s="174">
        <v>10.6</v>
      </c>
      <c r="BM21" s="174">
        <v>12.7</v>
      </c>
      <c r="BN21" s="174">
        <v>14.8</v>
      </c>
      <c r="BO21" s="174">
        <v>38</v>
      </c>
      <c r="BP21" s="174">
        <v>0.14849999999999999</v>
      </c>
      <c r="BQ21" s="174">
        <v>0.2079</v>
      </c>
      <c r="BR21" s="174">
        <v>0.24759999999999999</v>
      </c>
      <c r="BS21" s="174">
        <v>0.28720000000000001</v>
      </c>
      <c r="BT21" s="174">
        <v>0.3836</v>
      </c>
      <c r="BU21" s="174"/>
      <c r="BV21" s="174"/>
      <c r="BW21" s="174"/>
      <c r="BX21" s="174"/>
      <c r="BY21" s="174"/>
      <c r="BZ21" s="174">
        <v>56</v>
      </c>
      <c r="CA21" s="174">
        <v>29</v>
      </c>
      <c r="CB21" s="174">
        <v>35</v>
      </c>
      <c r="CC21" s="174">
        <v>40</v>
      </c>
      <c r="CD21" s="174">
        <v>44</v>
      </c>
      <c r="CE21" s="174">
        <v>47</v>
      </c>
      <c r="CF21" s="174">
        <v>146</v>
      </c>
      <c r="CG21" s="174">
        <v>155</v>
      </c>
      <c r="CH21" s="174">
        <v>243</v>
      </c>
      <c r="CI21" s="174">
        <v>332</v>
      </c>
      <c r="CJ21" s="174">
        <v>545</v>
      </c>
      <c r="CK21" s="174">
        <v>16.399999999999999</v>
      </c>
      <c r="CL21" s="174">
        <v>3.2</v>
      </c>
      <c r="CM21" s="174">
        <v>0.8</v>
      </c>
      <c r="CN21" s="175">
        <v>2.7352905749654851E-7</v>
      </c>
    </row>
    <row r="22" spans="1:92" x14ac:dyDescent="0.3">
      <c r="A22" s="192"/>
      <c r="B22" s="192"/>
      <c r="D22" s="195">
        <v>-885565.16109387798</v>
      </c>
      <c r="F22" s="152" t="s">
        <v>1128</v>
      </c>
      <c r="J22" s="167"/>
      <c r="K22" s="168"/>
      <c r="L22" s="169"/>
      <c r="M22" s="67"/>
      <c r="N22" s="167"/>
      <c r="O22" s="170"/>
      <c r="P22" s="170"/>
      <c r="Q22" s="167"/>
      <c r="R22" s="167"/>
      <c r="S22" s="167"/>
      <c r="T22" s="167"/>
      <c r="U22" s="171"/>
      <c r="V22" s="171"/>
      <c r="W22" s="167"/>
      <c r="X22" s="167"/>
      <c r="Y22" s="167"/>
      <c r="Z22" s="167"/>
      <c r="AA22" s="167"/>
      <c r="AB22" s="167"/>
      <c r="AC22" s="170"/>
      <c r="AD22" s="170"/>
      <c r="AE22" s="170"/>
      <c r="AF22" s="170"/>
      <c r="AG22" s="170"/>
      <c r="AH22" s="170"/>
      <c r="AI22" s="170"/>
      <c r="AJ22" s="167"/>
      <c r="AK22" s="167"/>
      <c r="AL22" s="167"/>
      <c r="AM22" s="167"/>
      <c r="AN22" s="167"/>
      <c r="AO22" s="167"/>
      <c r="AP22" s="167"/>
      <c r="AQ22" s="167"/>
      <c r="AR22" s="167"/>
      <c r="BC22" s="174">
        <v>22.8</v>
      </c>
      <c r="BD22" s="174" t="s">
        <v>1812</v>
      </c>
      <c r="BE22" s="174">
        <v>37</v>
      </c>
      <c r="BF22" s="174">
        <v>18</v>
      </c>
      <c r="BG22" s="174"/>
      <c r="BH22" s="174">
        <v>43</v>
      </c>
      <c r="BI22" s="174"/>
      <c r="BJ22" s="174"/>
      <c r="BK22" s="174">
        <v>8.9</v>
      </c>
      <c r="BL22" s="174">
        <v>12.5</v>
      </c>
      <c r="BM22" s="174">
        <v>14.9</v>
      </c>
      <c r="BN22" s="174">
        <v>17.3</v>
      </c>
      <c r="BO22" s="174">
        <v>41.1</v>
      </c>
      <c r="BP22" s="174">
        <v>0.19189999999999999</v>
      </c>
      <c r="BQ22" s="174">
        <v>0.26869999999999999</v>
      </c>
      <c r="BR22" s="174">
        <v>0.32</v>
      </c>
      <c r="BS22" s="174">
        <v>0.37119999999999997</v>
      </c>
      <c r="BT22" s="174">
        <v>1.5059</v>
      </c>
      <c r="BU22" s="174"/>
      <c r="BV22" s="174"/>
      <c r="BW22" s="174"/>
      <c r="BX22" s="174"/>
      <c r="BY22" s="174"/>
      <c r="BZ22" s="174">
        <v>71</v>
      </c>
      <c r="CA22" s="174">
        <v>29</v>
      </c>
      <c r="CB22" s="174">
        <v>29</v>
      </c>
      <c r="CC22" s="174">
        <v>33</v>
      </c>
      <c r="CD22" s="174">
        <v>37</v>
      </c>
      <c r="CE22" s="174">
        <v>43</v>
      </c>
      <c r="CF22" s="174">
        <v>166</v>
      </c>
      <c r="CG22" s="174">
        <v>186</v>
      </c>
      <c r="CH22" s="174">
        <v>278</v>
      </c>
      <c r="CI22" s="174">
        <v>369</v>
      </c>
      <c r="CJ22" s="174">
        <v>596</v>
      </c>
      <c r="CK22" s="174">
        <v>19.2</v>
      </c>
      <c r="CL22" s="174">
        <v>3</v>
      </c>
      <c r="CM22" s="174">
        <v>0.8</v>
      </c>
      <c r="CN22" s="175">
        <v>5.2258279597986881E-8</v>
      </c>
    </row>
    <row r="23" spans="1:92" x14ac:dyDescent="0.3">
      <c r="A23" s="192"/>
      <c r="B23" s="192"/>
      <c r="D23" s="195">
        <v>33375.7992008086</v>
      </c>
      <c r="F23" s="152" t="s">
        <v>1035</v>
      </c>
      <c r="J23" s="167"/>
      <c r="K23" s="168"/>
      <c r="L23" s="169"/>
      <c r="M23" s="67"/>
      <c r="N23" s="167"/>
      <c r="O23" s="170"/>
      <c r="P23" s="170"/>
      <c r="Q23" s="167"/>
      <c r="R23" s="167"/>
      <c r="S23" s="167"/>
      <c r="T23" s="167"/>
      <c r="U23" s="171"/>
      <c r="V23" s="171"/>
      <c r="W23" s="167"/>
      <c r="X23" s="167"/>
      <c r="Y23" s="167"/>
      <c r="Z23" s="167"/>
      <c r="AA23" s="167"/>
      <c r="AB23" s="167"/>
      <c r="AC23" s="170"/>
      <c r="AD23" s="170"/>
      <c r="AE23" s="170"/>
      <c r="AF23" s="170"/>
      <c r="AG23" s="170"/>
      <c r="AH23" s="170"/>
      <c r="AI23" s="170"/>
      <c r="AJ23" s="167"/>
      <c r="AK23" s="167"/>
      <c r="AL23" s="167"/>
      <c r="AM23" s="167"/>
      <c r="AN23" s="167"/>
      <c r="AO23" s="167"/>
      <c r="AP23" s="167"/>
      <c r="AQ23" s="167"/>
      <c r="AR23" s="167"/>
      <c r="BC23" s="174">
        <v>27</v>
      </c>
      <c r="BD23" s="174" t="s">
        <v>1812</v>
      </c>
      <c r="BE23" s="174">
        <v>37</v>
      </c>
      <c r="BF23" s="174">
        <v>18</v>
      </c>
      <c r="BG23" s="174"/>
      <c r="BH23" s="174">
        <v>43</v>
      </c>
      <c r="BI23" s="174"/>
      <c r="BJ23" s="174"/>
      <c r="BK23" s="174">
        <v>8.9</v>
      </c>
      <c r="BL23" s="174">
        <v>12.5</v>
      </c>
      <c r="BM23" s="174">
        <v>14.9</v>
      </c>
      <c r="BN23" s="174">
        <v>17.3</v>
      </c>
      <c r="BO23" s="174">
        <v>41.1</v>
      </c>
      <c r="BP23" s="174">
        <v>0.19189999999999999</v>
      </c>
      <c r="BQ23" s="174">
        <v>0.26869999999999999</v>
      </c>
      <c r="BR23" s="174">
        <v>0.32</v>
      </c>
      <c r="BS23" s="174">
        <v>0.37119999999999997</v>
      </c>
      <c r="BT23" s="174">
        <v>1.5059</v>
      </c>
      <c r="BU23" s="174"/>
      <c r="BV23" s="174"/>
      <c r="BW23" s="174"/>
      <c r="BX23" s="174"/>
      <c r="BY23" s="174"/>
      <c r="BZ23" s="174">
        <v>71</v>
      </c>
      <c r="CA23" s="174">
        <v>29</v>
      </c>
      <c r="CB23" s="174">
        <v>29</v>
      </c>
      <c r="CC23" s="174">
        <v>33</v>
      </c>
      <c r="CD23" s="174">
        <v>37</v>
      </c>
      <c r="CE23" s="174">
        <v>43</v>
      </c>
      <c r="CF23" s="174">
        <v>166</v>
      </c>
      <c r="CG23" s="174">
        <v>186</v>
      </c>
      <c r="CH23" s="174">
        <v>278</v>
      </c>
      <c r="CI23" s="174">
        <v>369</v>
      </c>
      <c r="CJ23" s="174">
        <v>596</v>
      </c>
      <c r="CK23" s="174">
        <v>19.2</v>
      </c>
      <c r="CL23" s="174">
        <v>3</v>
      </c>
      <c r="CM23" s="174">
        <v>0.8</v>
      </c>
      <c r="CN23" s="175">
        <v>5.2258279597986881E-8</v>
      </c>
    </row>
    <row r="24" spans="1:92" x14ac:dyDescent="0.3">
      <c r="A24" s="192"/>
      <c r="B24" s="192"/>
      <c r="D24" s="153">
        <v>0</v>
      </c>
      <c r="F24" s="152" t="s">
        <v>1347</v>
      </c>
      <c r="J24" s="167"/>
      <c r="K24" s="168"/>
      <c r="L24" s="169"/>
      <c r="M24" s="67"/>
      <c r="N24" s="167"/>
      <c r="O24" s="170"/>
      <c r="P24" s="170"/>
      <c r="Q24" s="167"/>
      <c r="R24" s="167"/>
      <c r="S24" s="167"/>
      <c r="T24" s="167"/>
      <c r="U24" s="171"/>
      <c r="V24" s="171"/>
      <c r="W24" s="167"/>
      <c r="X24" s="167"/>
      <c r="Y24" s="167"/>
      <c r="Z24" s="167"/>
      <c r="AA24" s="167"/>
      <c r="AB24" s="167"/>
      <c r="AC24" s="170"/>
      <c r="AD24" s="170"/>
      <c r="AE24" s="170"/>
      <c r="AF24" s="170"/>
      <c r="AG24" s="170"/>
      <c r="AH24" s="170"/>
      <c r="AI24" s="170"/>
      <c r="AJ24" s="167"/>
      <c r="AK24" s="167"/>
      <c r="AL24" s="167"/>
      <c r="AM24" s="167"/>
      <c r="AN24" s="167"/>
      <c r="AO24" s="167"/>
      <c r="AP24" s="167"/>
      <c r="AQ24" s="167"/>
      <c r="AR24" s="167"/>
      <c r="BC24" s="174">
        <v>27</v>
      </c>
      <c r="BD24" s="174" t="s">
        <v>1812</v>
      </c>
      <c r="BE24" s="174">
        <v>37</v>
      </c>
      <c r="BF24" s="174">
        <v>18</v>
      </c>
      <c r="BG24" s="174"/>
      <c r="BH24" s="174">
        <v>43</v>
      </c>
      <c r="BI24" s="174"/>
      <c r="BJ24" s="174"/>
      <c r="BK24" s="174">
        <v>4.0999999999999996</v>
      </c>
      <c r="BL24" s="174">
        <v>5.7</v>
      </c>
      <c r="BM24" s="174">
        <v>6.8</v>
      </c>
      <c r="BN24" s="174">
        <v>8</v>
      </c>
      <c r="BO24" s="174">
        <v>35.299999999999997</v>
      </c>
      <c r="BP24" s="174">
        <v>0.1772</v>
      </c>
      <c r="BQ24" s="174">
        <v>0.24809999999999999</v>
      </c>
      <c r="BR24" s="174">
        <v>0.2954</v>
      </c>
      <c r="BS24" s="174">
        <v>0.3427</v>
      </c>
      <c r="BT24" s="174">
        <v>2.5695000000000001</v>
      </c>
      <c r="BU24" s="174"/>
      <c r="BV24" s="174"/>
      <c r="BW24" s="174"/>
      <c r="BX24" s="174"/>
      <c r="BY24" s="174"/>
      <c r="BZ24" s="174">
        <v>62</v>
      </c>
      <c r="CA24" s="174">
        <v>29</v>
      </c>
      <c r="CB24" s="174">
        <v>29</v>
      </c>
      <c r="CC24" s="174">
        <v>32</v>
      </c>
      <c r="CD24" s="174">
        <v>35</v>
      </c>
      <c r="CE24" s="174">
        <v>42</v>
      </c>
      <c r="CF24" s="174">
        <v>159</v>
      </c>
      <c r="CG24" s="174">
        <v>176</v>
      </c>
      <c r="CH24" s="174">
        <v>265</v>
      </c>
      <c r="CI24" s="174">
        <v>355</v>
      </c>
      <c r="CJ24" s="174">
        <v>584</v>
      </c>
      <c r="CK24" s="174">
        <v>18.5</v>
      </c>
      <c r="CL24" s="174">
        <v>1.7</v>
      </c>
      <c r="CM24" s="174">
        <v>0.7</v>
      </c>
      <c r="CN24" s="175">
        <v>6.6472797237507771E-9</v>
      </c>
    </row>
    <row r="25" spans="1:92" x14ac:dyDescent="0.3">
      <c r="A25" s="192"/>
      <c r="B25" s="192"/>
      <c r="D25" s="195">
        <v>3830.28039775254</v>
      </c>
      <c r="F25" s="152" t="s">
        <v>1307</v>
      </c>
      <c r="J25" s="167"/>
      <c r="K25" s="168"/>
      <c r="L25" s="169"/>
      <c r="M25" s="67"/>
      <c r="N25" s="167"/>
      <c r="O25" s="170"/>
      <c r="P25" s="170"/>
      <c r="Q25" s="167"/>
      <c r="R25" s="167"/>
      <c r="S25" s="167"/>
      <c r="T25" s="167"/>
      <c r="U25" s="171"/>
      <c r="V25" s="171"/>
      <c r="W25" s="167"/>
      <c r="X25" s="167"/>
      <c r="Y25" s="167"/>
      <c r="Z25" s="167"/>
      <c r="AA25" s="167"/>
      <c r="AB25" s="167"/>
      <c r="AC25" s="170"/>
      <c r="AD25" s="170"/>
      <c r="AE25" s="170"/>
      <c r="AF25" s="170"/>
      <c r="AG25" s="170"/>
      <c r="AH25" s="170"/>
      <c r="AI25" s="170"/>
      <c r="AJ25" s="167"/>
      <c r="AK25" s="167"/>
      <c r="AL25" s="167"/>
      <c r="AM25" s="167"/>
      <c r="AN25" s="167"/>
      <c r="AO25" s="167"/>
      <c r="AP25" s="167"/>
      <c r="AQ25" s="167"/>
      <c r="AR25" s="167"/>
      <c r="BC25" s="174">
        <v>31.9</v>
      </c>
      <c r="BD25" s="174" t="s">
        <v>1812</v>
      </c>
      <c r="BE25" s="174">
        <v>37</v>
      </c>
      <c r="BF25" s="174">
        <v>18</v>
      </c>
      <c r="BG25" s="174"/>
      <c r="BH25" s="174">
        <v>43</v>
      </c>
      <c r="BI25" s="174"/>
      <c r="BJ25" s="174"/>
      <c r="BK25" s="174">
        <v>4.0999999999999996</v>
      </c>
      <c r="BL25" s="174">
        <v>5.7</v>
      </c>
      <c r="BM25" s="174">
        <v>6.8</v>
      </c>
      <c r="BN25" s="174">
        <v>8</v>
      </c>
      <c r="BO25" s="174">
        <v>35.299999999999997</v>
      </c>
      <c r="BP25" s="174">
        <v>0.1772</v>
      </c>
      <c r="BQ25" s="174">
        <v>0.24809999999999999</v>
      </c>
      <c r="BR25" s="174">
        <v>0.2954</v>
      </c>
      <c r="BS25" s="174">
        <v>0.3427</v>
      </c>
      <c r="BT25" s="174">
        <v>2.5695000000000001</v>
      </c>
      <c r="BU25" s="174"/>
      <c r="BV25" s="174"/>
      <c r="BW25" s="174"/>
      <c r="BX25" s="174"/>
      <c r="BY25" s="174"/>
      <c r="BZ25" s="174">
        <v>62</v>
      </c>
      <c r="CA25" s="174">
        <v>29</v>
      </c>
      <c r="CB25" s="174">
        <v>29</v>
      </c>
      <c r="CC25" s="174">
        <v>32</v>
      </c>
      <c r="CD25" s="174">
        <v>35</v>
      </c>
      <c r="CE25" s="174">
        <v>42</v>
      </c>
      <c r="CF25" s="174">
        <v>159</v>
      </c>
      <c r="CG25" s="174">
        <v>176</v>
      </c>
      <c r="CH25" s="174">
        <v>265</v>
      </c>
      <c r="CI25" s="174">
        <v>355</v>
      </c>
      <c r="CJ25" s="174">
        <v>584</v>
      </c>
      <c r="CK25" s="174">
        <v>18.5</v>
      </c>
      <c r="CL25" s="174">
        <v>1.7</v>
      </c>
      <c r="CM25" s="174">
        <v>0.7</v>
      </c>
      <c r="CN25" s="175">
        <v>6.6472797237507771E-9</v>
      </c>
    </row>
    <row r="26" spans="1:92" x14ac:dyDescent="0.3">
      <c r="A26" s="192"/>
      <c r="B26" s="192"/>
      <c r="D26" s="153"/>
      <c r="F26" s="152" t="s">
        <v>1424</v>
      </c>
      <c r="J26" s="167"/>
      <c r="K26" s="168"/>
      <c r="L26" s="169"/>
      <c r="M26" s="67"/>
      <c r="N26" s="167"/>
      <c r="O26" s="170"/>
      <c r="P26" s="170"/>
      <c r="Q26" s="167"/>
      <c r="R26" s="167"/>
      <c r="S26" s="167"/>
      <c r="T26" s="167"/>
      <c r="U26" s="171"/>
      <c r="V26" s="171"/>
      <c r="W26" s="167"/>
      <c r="X26" s="167"/>
      <c r="Y26" s="167"/>
      <c r="Z26" s="167"/>
      <c r="AA26" s="167"/>
      <c r="AB26" s="167"/>
      <c r="AC26" s="170"/>
      <c r="AD26" s="170"/>
      <c r="AE26" s="170"/>
      <c r="AF26" s="170"/>
      <c r="AG26" s="170"/>
      <c r="AH26" s="170"/>
      <c r="AI26" s="170"/>
      <c r="AJ26" s="167"/>
      <c r="AK26" s="167"/>
      <c r="AL26" s="167"/>
      <c r="AM26" s="167"/>
      <c r="AN26" s="167"/>
      <c r="AO26" s="167"/>
      <c r="AP26" s="167"/>
      <c r="AQ26" s="167"/>
      <c r="AR26" s="167"/>
      <c r="BC26" s="174">
        <v>31.9</v>
      </c>
      <c r="BD26" s="174" t="s">
        <v>540</v>
      </c>
      <c r="BE26" s="174">
        <v>24</v>
      </c>
      <c r="BF26" s="174">
        <v>20.100000000000001</v>
      </c>
      <c r="BG26" s="174"/>
      <c r="BH26" s="174">
        <v>17</v>
      </c>
      <c r="BI26" s="174"/>
      <c r="BJ26" s="174"/>
      <c r="BK26" s="174">
        <v>15.3</v>
      </c>
      <c r="BL26" s="174">
        <v>21.5</v>
      </c>
      <c r="BM26" s="174">
        <v>25.6</v>
      </c>
      <c r="BN26" s="174">
        <v>29.8</v>
      </c>
      <c r="BO26" s="174">
        <v>50.8</v>
      </c>
      <c r="BP26" s="174">
        <v>1.4238</v>
      </c>
      <c r="BQ26" s="174">
        <v>1.9934000000000001</v>
      </c>
      <c r="BR26" s="174">
        <v>2.3732000000000002</v>
      </c>
      <c r="BS26" s="174">
        <v>2.7528999999999999</v>
      </c>
      <c r="BT26" s="174">
        <v>3.8302</v>
      </c>
      <c r="BU26" s="174"/>
      <c r="BV26" s="174"/>
      <c r="BW26" s="174"/>
      <c r="BX26" s="174"/>
      <c r="BY26" s="174"/>
      <c r="BZ26" s="174">
        <v>75</v>
      </c>
      <c r="CA26" s="174">
        <v>29</v>
      </c>
      <c r="CB26" s="174">
        <v>30</v>
      </c>
      <c r="CC26" s="174">
        <v>34</v>
      </c>
      <c r="CD26" s="174">
        <v>38</v>
      </c>
      <c r="CE26" s="174">
        <v>45</v>
      </c>
      <c r="CF26" s="174">
        <v>233</v>
      </c>
      <c r="CG26" s="174">
        <v>300</v>
      </c>
      <c r="CH26" s="174">
        <v>390</v>
      </c>
      <c r="CI26" s="174">
        <v>480</v>
      </c>
      <c r="CJ26" s="174">
        <v>698</v>
      </c>
      <c r="CK26" s="174">
        <v>33.4</v>
      </c>
      <c r="CL26" s="174">
        <v>3.1</v>
      </c>
      <c r="CM26" s="174">
        <v>0.8</v>
      </c>
      <c r="CN26" s="175">
        <v>1.8187125031748478E-8</v>
      </c>
    </row>
    <row r="27" spans="1:92" x14ac:dyDescent="0.3">
      <c r="A27" s="192"/>
      <c r="B27" s="192"/>
      <c r="D27" s="153"/>
      <c r="F27" s="152" t="s">
        <v>1414</v>
      </c>
      <c r="J27" s="167"/>
      <c r="K27" s="168"/>
      <c r="L27" s="169"/>
      <c r="M27" s="67"/>
      <c r="N27" s="167"/>
      <c r="O27" s="170"/>
      <c r="P27" s="170"/>
      <c r="Q27" s="167"/>
      <c r="R27" s="167"/>
      <c r="S27" s="167"/>
      <c r="T27" s="167"/>
      <c r="U27" s="171"/>
      <c r="V27" s="171"/>
      <c r="W27" s="167"/>
      <c r="X27" s="167"/>
      <c r="Y27" s="167"/>
      <c r="Z27" s="167"/>
      <c r="AA27" s="167"/>
      <c r="AB27" s="167"/>
      <c r="AC27" s="170"/>
      <c r="AD27" s="170"/>
      <c r="AE27" s="170"/>
      <c r="AF27" s="170"/>
      <c r="AG27" s="170"/>
      <c r="AH27" s="170"/>
      <c r="AI27" s="170"/>
      <c r="AJ27" s="167"/>
      <c r="AK27" s="167"/>
      <c r="AL27" s="167"/>
      <c r="AM27" s="167"/>
      <c r="AN27" s="167"/>
      <c r="AO27" s="167"/>
      <c r="AP27" s="167"/>
      <c r="AQ27" s="167"/>
      <c r="AR27" s="167"/>
      <c r="BC27" s="174">
        <v>45</v>
      </c>
      <c r="BD27" s="174" t="s">
        <v>540</v>
      </c>
      <c r="BE27" s="174">
        <v>24</v>
      </c>
      <c r="BF27" s="174">
        <v>20.100000000000001</v>
      </c>
      <c r="BG27" s="174"/>
      <c r="BH27" s="174">
        <v>17</v>
      </c>
      <c r="BI27" s="174"/>
      <c r="BJ27" s="174"/>
      <c r="BK27" s="174">
        <v>15.3</v>
      </c>
      <c r="BL27" s="174">
        <v>21.5</v>
      </c>
      <c r="BM27" s="174">
        <v>25.6</v>
      </c>
      <c r="BN27" s="174">
        <v>29.8</v>
      </c>
      <c r="BO27" s="174">
        <v>50.8</v>
      </c>
      <c r="BP27" s="174">
        <v>1.4238</v>
      </c>
      <c r="BQ27" s="174">
        <v>1.9934000000000001</v>
      </c>
      <c r="BR27" s="174">
        <v>2.3732000000000002</v>
      </c>
      <c r="BS27" s="174">
        <v>2.7528999999999999</v>
      </c>
      <c r="BT27" s="174">
        <v>3.8302</v>
      </c>
      <c r="BU27" s="174"/>
      <c r="BV27" s="174"/>
      <c r="BW27" s="174"/>
      <c r="BX27" s="174"/>
      <c r="BY27" s="174"/>
      <c r="BZ27" s="174">
        <v>75</v>
      </c>
      <c r="CA27" s="174">
        <v>29</v>
      </c>
      <c r="CB27" s="174">
        <v>30</v>
      </c>
      <c r="CC27" s="174">
        <v>34</v>
      </c>
      <c r="CD27" s="174">
        <v>38</v>
      </c>
      <c r="CE27" s="174">
        <v>45</v>
      </c>
      <c r="CF27" s="174">
        <v>233</v>
      </c>
      <c r="CG27" s="174">
        <v>300</v>
      </c>
      <c r="CH27" s="174">
        <v>390</v>
      </c>
      <c r="CI27" s="174">
        <v>480</v>
      </c>
      <c r="CJ27" s="174">
        <v>698</v>
      </c>
      <c r="CK27" s="174">
        <v>33.4</v>
      </c>
      <c r="CL27" s="174">
        <v>3.1</v>
      </c>
      <c r="CM27" s="174">
        <v>0.8</v>
      </c>
      <c r="CN27" s="175">
        <v>1.8187125031748478E-8</v>
      </c>
    </row>
    <row r="28" spans="1:92" x14ac:dyDescent="0.3">
      <c r="A28" s="192"/>
      <c r="B28" s="192"/>
      <c r="D28" s="153"/>
      <c r="F28" s="152" t="s">
        <v>562</v>
      </c>
      <c r="J28" s="167"/>
      <c r="K28" s="168"/>
      <c r="L28" s="169"/>
      <c r="M28" s="67"/>
      <c r="N28" s="167"/>
      <c r="O28" s="170"/>
      <c r="P28" s="170"/>
      <c r="Q28" s="167"/>
      <c r="R28" s="167"/>
      <c r="S28" s="167"/>
      <c r="T28" s="167"/>
      <c r="U28" s="171"/>
      <c r="V28" s="171"/>
      <c r="W28" s="167"/>
      <c r="X28" s="167"/>
      <c r="Y28" s="167"/>
      <c r="Z28" s="167"/>
      <c r="AA28" s="167"/>
      <c r="AB28" s="167"/>
      <c r="AC28" s="170"/>
      <c r="AD28" s="170"/>
      <c r="AE28" s="170"/>
      <c r="AF28" s="170"/>
      <c r="AG28" s="170"/>
      <c r="AH28" s="170"/>
      <c r="AI28" s="170"/>
      <c r="AJ28" s="167"/>
      <c r="AK28" s="167"/>
      <c r="AL28" s="167"/>
      <c r="AM28" s="167"/>
      <c r="AN28" s="167"/>
      <c r="AO28" s="167"/>
      <c r="AP28" s="167"/>
      <c r="AQ28" s="167"/>
      <c r="AR28" s="167"/>
      <c r="BC28" s="174">
        <v>45</v>
      </c>
      <c r="BD28" s="174" t="s">
        <v>557</v>
      </c>
      <c r="BE28" s="174">
        <v>31</v>
      </c>
      <c r="BF28" s="174">
        <v>18.8</v>
      </c>
      <c r="BG28" s="174">
        <v>46</v>
      </c>
      <c r="BH28" s="174">
        <v>85</v>
      </c>
      <c r="BI28" s="174">
        <v>3</v>
      </c>
      <c r="BJ28" s="174">
        <v>1.9</v>
      </c>
      <c r="BK28" s="174">
        <v>5.7</v>
      </c>
      <c r="BL28" s="174">
        <v>6.8</v>
      </c>
      <c r="BM28" s="174">
        <v>7.6</v>
      </c>
      <c r="BN28" s="174">
        <v>8.4</v>
      </c>
      <c r="BO28" s="174">
        <v>9.6</v>
      </c>
      <c r="BP28" s="174">
        <v>0.1142</v>
      </c>
      <c r="BQ28" s="174">
        <v>0.15079999999999999</v>
      </c>
      <c r="BR28" s="174">
        <v>0.17530000000000001</v>
      </c>
      <c r="BS28" s="174">
        <v>0.19980000000000001</v>
      </c>
      <c r="BT28" s="174">
        <v>0.26240000000000002</v>
      </c>
      <c r="BU28" s="174">
        <v>220</v>
      </c>
      <c r="BV28" s="174">
        <v>339</v>
      </c>
      <c r="BW28" s="174">
        <v>374</v>
      </c>
      <c r="BX28" s="174">
        <v>410</v>
      </c>
      <c r="BY28" s="174">
        <v>550</v>
      </c>
      <c r="BZ28" s="174"/>
      <c r="CA28" s="174"/>
      <c r="CB28" s="174"/>
      <c r="CC28" s="174"/>
      <c r="CD28" s="174"/>
      <c r="CE28" s="174"/>
      <c r="CF28" s="174">
        <v>104</v>
      </c>
      <c r="CG28" s="174">
        <v>133</v>
      </c>
      <c r="CH28" s="174">
        <v>179</v>
      </c>
      <c r="CI28" s="174">
        <v>225</v>
      </c>
      <c r="CJ28" s="174">
        <v>343</v>
      </c>
      <c r="CK28" s="174">
        <v>31.6</v>
      </c>
      <c r="CL28" s="174">
        <v>5.5</v>
      </c>
      <c r="CM28" s="174">
        <v>1</v>
      </c>
      <c r="CN28" s="175">
        <v>2.1389273441670261E-10</v>
      </c>
    </row>
    <row r="29" spans="1:92" x14ac:dyDescent="0.3">
      <c r="A29" s="192"/>
      <c r="B29" s="192"/>
      <c r="D29" s="153"/>
      <c r="F29" s="152" t="s">
        <v>780</v>
      </c>
      <c r="J29" s="167"/>
      <c r="K29" s="168"/>
      <c r="L29" s="169"/>
      <c r="M29" s="67"/>
      <c r="N29" s="167"/>
      <c r="O29" s="170"/>
      <c r="P29" s="170"/>
      <c r="Q29" s="167"/>
      <c r="R29" s="167"/>
      <c r="S29" s="167"/>
      <c r="T29" s="167"/>
      <c r="U29" s="171"/>
      <c r="V29" s="171"/>
      <c r="W29" s="167"/>
      <c r="X29" s="167"/>
      <c r="Y29" s="167"/>
      <c r="Z29" s="167"/>
      <c r="AA29" s="167"/>
      <c r="AB29" s="167"/>
      <c r="AC29" s="170"/>
      <c r="AD29" s="170"/>
      <c r="AE29" s="170"/>
      <c r="AF29" s="170"/>
      <c r="AG29" s="170"/>
      <c r="AH29" s="170"/>
      <c r="AI29" s="170"/>
      <c r="AJ29" s="167"/>
      <c r="AK29" s="167"/>
      <c r="AL29" s="167"/>
      <c r="AM29" s="167"/>
      <c r="AN29" s="167"/>
      <c r="AO29" s="167"/>
      <c r="AP29" s="167"/>
      <c r="AQ29" s="167"/>
      <c r="AR29" s="167"/>
      <c r="BC29" s="174">
        <v>50</v>
      </c>
      <c r="BD29" s="174" t="s">
        <v>557</v>
      </c>
      <c r="BE29" s="174">
        <v>31</v>
      </c>
      <c r="BF29" s="174">
        <v>18.8</v>
      </c>
      <c r="BG29" s="174">
        <v>46</v>
      </c>
      <c r="BH29" s="174">
        <v>85</v>
      </c>
      <c r="BI29" s="174">
        <v>3</v>
      </c>
      <c r="BJ29" s="174">
        <v>1.9</v>
      </c>
      <c r="BK29" s="174">
        <v>6.2</v>
      </c>
      <c r="BL29" s="174">
        <v>7.3</v>
      </c>
      <c r="BM29" s="174">
        <v>8.1</v>
      </c>
      <c r="BN29" s="174">
        <v>8.9</v>
      </c>
      <c r="BO29" s="174">
        <v>10</v>
      </c>
      <c r="BP29" s="174">
        <v>6.9199999999999998E-2</v>
      </c>
      <c r="BQ29" s="174">
        <v>0.10580000000000001</v>
      </c>
      <c r="BR29" s="174">
        <v>0.1303</v>
      </c>
      <c r="BS29" s="174">
        <v>0.15479999999999999</v>
      </c>
      <c r="BT29" s="174">
        <v>0.21740000000000001</v>
      </c>
      <c r="BU29" s="174">
        <v>241</v>
      </c>
      <c r="BV29" s="174">
        <v>360</v>
      </c>
      <c r="BW29" s="174">
        <v>395</v>
      </c>
      <c r="BX29" s="174">
        <v>431</v>
      </c>
      <c r="BY29" s="174">
        <v>570</v>
      </c>
      <c r="BZ29" s="174"/>
      <c r="CA29" s="174"/>
      <c r="CB29" s="174"/>
      <c r="CC29" s="174"/>
      <c r="CD29" s="174"/>
      <c r="CE29" s="174"/>
      <c r="CF29" s="174">
        <v>116</v>
      </c>
      <c r="CG29" s="174">
        <v>145</v>
      </c>
      <c r="CH29" s="174">
        <v>191</v>
      </c>
      <c r="CI29" s="174">
        <v>237</v>
      </c>
      <c r="CJ29" s="174">
        <v>355</v>
      </c>
      <c r="CK29" s="174">
        <v>31.6</v>
      </c>
      <c r="CL29" s="174">
        <v>5.5</v>
      </c>
      <c r="CM29" s="174">
        <v>1</v>
      </c>
      <c r="CN29" s="175">
        <v>2.1389273441670261E-10</v>
      </c>
    </row>
    <row r="30" spans="1:92" x14ac:dyDescent="0.3">
      <c r="A30" s="192"/>
      <c r="B30" s="192"/>
      <c r="D30" s="153"/>
      <c r="J30" s="167"/>
      <c r="K30" s="168"/>
      <c r="L30" s="169"/>
      <c r="M30" s="67"/>
      <c r="N30" s="167"/>
      <c r="O30" s="170"/>
      <c r="P30" s="170"/>
      <c r="Q30" s="167"/>
      <c r="R30" s="167"/>
      <c r="S30" s="167"/>
      <c r="T30" s="167"/>
      <c r="U30" s="171"/>
      <c r="V30" s="171"/>
      <c r="W30" s="167"/>
      <c r="X30" s="167"/>
      <c r="Y30" s="167"/>
      <c r="Z30" s="167"/>
      <c r="AA30" s="167"/>
      <c r="AB30" s="167"/>
      <c r="AC30" s="170"/>
      <c r="AD30" s="170"/>
      <c r="AE30" s="170"/>
      <c r="AF30" s="170"/>
      <c r="AG30" s="170"/>
      <c r="AH30" s="170"/>
      <c r="AI30" s="170"/>
      <c r="AJ30" s="167"/>
      <c r="AK30" s="167"/>
      <c r="AL30" s="167"/>
      <c r="AM30" s="167"/>
      <c r="AN30" s="167"/>
      <c r="AO30" s="167"/>
      <c r="AP30" s="167"/>
      <c r="AQ30" s="167"/>
      <c r="AR30" s="167"/>
      <c r="AW30" s="174"/>
      <c r="AX30" s="174"/>
      <c r="AY30" s="174"/>
      <c r="AZ30" s="174"/>
      <c r="BA30" s="174"/>
      <c r="BB30" s="174"/>
      <c r="BC30" s="174"/>
      <c r="BD30" s="174"/>
      <c r="BE30" s="174"/>
      <c r="BF30" s="174"/>
      <c r="BG30" s="174"/>
      <c r="BH30" s="174"/>
      <c r="BI30" s="174"/>
      <c r="BJ30" s="174"/>
      <c r="BK30" s="174"/>
      <c r="BL30" s="174"/>
      <c r="BM30" s="174"/>
      <c r="BN30" s="174"/>
      <c r="BO30" s="174"/>
      <c r="BP30" s="174"/>
      <c r="BQ30" s="174"/>
      <c r="BR30" s="174"/>
      <c r="BS30" s="174"/>
      <c r="BT30" s="174"/>
      <c r="BU30" s="174"/>
      <c r="BV30" s="174"/>
      <c r="BW30" s="174"/>
      <c r="BX30" s="174"/>
      <c r="BY30" s="174"/>
      <c r="BZ30" s="174"/>
      <c r="CA30" s="174"/>
      <c r="CB30" s="174"/>
      <c r="CC30" s="174"/>
      <c r="CD30" s="174"/>
      <c r="CE30" s="174"/>
      <c r="CF30" s="174"/>
      <c r="CG30" s="174"/>
      <c r="CH30" s="175"/>
    </row>
    <row r="31" spans="1:92" x14ac:dyDescent="0.3">
      <c r="A31" s="192"/>
      <c r="B31" s="192"/>
      <c r="D31" s="153"/>
      <c r="J31" s="167"/>
      <c r="K31" s="168"/>
      <c r="L31" s="169"/>
      <c r="M31" s="67"/>
      <c r="N31" s="167"/>
      <c r="O31" s="170"/>
      <c r="P31" s="170"/>
      <c r="Q31" s="167"/>
      <c r="R31" s="167"/>
      <c r="S31" s="167"/>
      <c r="T31" s="167"/>
      <c r="U31" s="171"/>
      <c r="V31" s="171"/>
      <c r="W31" s="167"/>
      <c r="X31" s="167"/>
      <c r="Y31" s="167"/>
      <c r="Z31" s="167"/>
      <c r="AA31" s="167"/>
      <c r="AB31" s="167"/>
      <c r="AC31" s="170"/>
      <c r="AD31" s="170"/>
      <c r="AE31" s="170"/>
      <c r="AF31" s="170"/>
      <c r="AG31" s="170"/>
      <c r="AH31" s="170"/>
      <c r="AI31" s="170"/>
      <c r="AJ31" s="167"/>
      <c r="AK31" s="167"/>
      <c r="AL31" s="167"/>
      <c r="AM31" s="167"/>
      <c r="AN31" s="167"/>
      <c r="AO31" s="167"/>
      <c r="AP31" s="167"/>
      <c r="AQ31" s="167"/>
      <c r="AR31" s="167"/>
      <c r="AW31" s="174"/>
      <c r="AX31" s="174"/>
      <c r="AY31" s="174"/>
      <c r="AZ31" s="174"/>
      <c r="BA31" s="174"/>
      <c r="BB31" s="174"/>
      <c r="BC31" s="174"/>
      <c r="BD31" s="174"/>
      <c r="BE31" s="174"/>
      <c r="BF31" s="174"/>
      <c r="BG31" s="174"/>
      <c r="BH31" s="174"/>
      <c r="BI31" s="174"/>
      <c r="BJ31" s="174"/>
      <c r="BK31" s="174"/>
      <c r="BL31" s="174"/>
      <c r="BM31" s="174"/>
      <c r="BN31" s="174"/>
      <c r="BO31" s="174"/>
      <c r="BP31" s="174"/>
      <c r="BQ31" s="174"/>
      <c r="BR31" s="174"/>
      <c r="BS31" s="174"/>
      <c r="BT31" s="174"/>
      <c r="BU31" s="174"/>
      <c r="BV31" s="174"/>
      <c r="BW31" s="174"/>
      <c r="BX31" s="174"/>
      <c r="BY31" s="174"/>
      <c r="BZ31" s="174"/>
      <c r="CA31" s="174"/>
      <c r="CB31" s="174"/>
      <c r="CC31" s="174"/>
      <c r="CD31" s="174"/>
      <c r="CE31" s="174"/>
      <c r="CF31" s="174"/>
      <c r="CG31" s="174"/>
      <c r="CH31" s="175"/>
    </row>
    <row r="32" spans="1:92" x14ac:dyDescent="0.3">
      <c r="A32" s="192"/>
      <c r="B32" s="192"/>
      <c r="D32" s="153"/>
      <c r="L32" s="196"/>
      <c r="M32" s="196" t="s">
        <v>395</v>
      </c>
      <c r="N32" s="167"/>
      <c r="O32" s="170"/>
      <c r="P32" s="167"/>
      <c r="Q32" s="167"/>
      <c r="R32" s="19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I32" s="167"/>
      <c r="AJ32" s="167"/>
      <c r="AK32" s="167"/>
      <c r="AL32" s="167"/>
      <c r="AM32" s="167"/>
      <c r="AN32" s="167"/>
      <c r="AO32" s="167"/>
      <c r="AP32" s="167"/>
      <c r="AW32" s="174"/>
      <c r="AX32" s="174"/>
      <c r="AY32" s="174"/>
      <c r="AZ32" s="174"/>
      <c r="BA32" s="174"/>
      <c r="BB32" s="174"/>
      <c r="BC32" s="174"/>
      <c r="BD32" s="174"/>
      <c r="BE32" s="174"/>
      <c r="BF32" s="174"/>
      <c r="BG32" s="174"/>
      <c r="BH32" s="174"/>
      <c r="BI32" s="174"/>
      <c r="BJ32" s="174"/>
      <c r="BK32" s="174"/>
      <c r="BL32" s="174"/>
      <c r="BM32" s="174"/>
      <c r="BN32" s="174"/>
      <c r="BO32" s="174"/>
      <c r="BP32" s="174"/>
      <c r="BQ32" s="174"/>
      <c r="BR32" s="174"/>
      <c r="BS32" s="174"/>
      <c r="BT32" s="174"/>
      <c r="BU32" s="174"/>
      <c r="BV32" s="174"/>
      <c r="BW32" s="174"/>
      <c r="BX32" s="174"/>
      <c r="BY32" s="174"/>
      <c r="BZ32" s="174"/>
      <c r="CA32" s="174"/>
      <c r="CB32" s="174"/>
      <c r="CC32" s="174"/>
      <c r="CD32" s="174"/>
      <c r="CE32" s="174"/>
      <c r="CF32" s="174"/>
      <c r="CG32" s="174"/>
      <c r="CH32" s="175"/>
    </row>
    <row r="33" spans="1:86" x14ac:dyDescent="0.3">
      <c r="A33" s="192"/>
      <c r="B33" s="192"/>
      <c r="D33" s="153"/>
      <c r="L33" s="196"/>
      <c r="M33" s="196" t="s">
        <v>395</v>
      </c>
      <c r="N33" s="167"/>
      <c r="O33" s="170"/>
      <c r="P33" s="167"/>
      <c r="Q33" s="167"/>
      <c r="R33" s="197"/>
      <c r="S33" s="167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I33" s="167"/>
      <c r="AJ33" s="167"/>
      <c r="AK33" s="167"/>
      <c r="AL33" s="167"/>
      <c r="AM33" s="167"/>
      <c r="AN33" s="167"/>
      <c r="AO33" s="167"/>
      <c r="AP33" s="167"/>
      <c r="AW33" s="174"/>
      <c r="AX33" s="174"/>
      <c r="AY33" s="174"/>
      <c r="AZ33" s="174"/>
      <c r="BA33" s="174"/>
      <c r="BB33" s="174"/>
      <c r="BC33" s="174"/>
      <c r="BD33" s="174"/>
      <c r="BE33" s="174"/>
      <c r="BF33" s="174"/>
      <c r="BG33" s="174"/>
      <c r="BH33" s="174"/>
      <c r="BI33" s="174"/>
      <c r="BJ33" s="174"/>
      <c r="BK33" s="174"/>
      <c r="BL33" s="174"/>
      <c r="BM33" s="174"/>
      <c r="BN33" s="174"/>
      <c r="BO33" s="174"/>
      <c r="BP33" s="174"/>
      <c r="BQ33" s="174"/>
      <c r="BR33" s="174"/>
      <c r="BS33" s="174"/>
      <c r="BT33" s="174"/>
      <c r="BU33" s="174"/>
      <c r="BV33" s="174"/>
      <c r="BW33" s="174"/>
      <c r="BX33" s="174"/>
      <c r="BY33" s="174"/>
      <c r="BZ33" s="174"/>
      <c r="CA33" s="174"/>
      <c r="CB33" s="174"/>
      <c r="CC33" s="174"/>
      <c r="CD33" s="174"/>
      <c r="CE33" s="174"/>
      <c r="CF33" s="174"/>
      <c r="CG33" s="174"/>
      <c r="CH33" s="175"/>
    </row>
    <row r="34" spans="1:86" x14ac:dyDescent="0.3">
      <c r="L34" s="196"/>
      <c r="M34" s="196" t="s">
        <v>395</v>
      </c>
      <c r="N34" s="167"/>
      <c r="O34" s="170"/>
      <c r="P34" s="167"/>
      <c r="Q34" s="167"/>
      <c r="R34" s="197"/>
      <c r="S34" s="167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I34" s="167"/>
      <c r="AJ34" s="167"/>
      <c r="AK34" s="167"/>
      <c r="AL34" s="167"/>
      <c r="AM34" s="167"/>
      <c r="AN34" s="167"/>
      <c r="AO34" s="167"/>
      <c r="AP34" s="167"/>
      <c r="AW34" s="174"/>
      <c r="AX34" s="174"/>
      <c r="AY34" s="174"/>
      <c r="AZ34" s="174"/>
      <c r="BA34" s="174"/>
      <c r="BB34" s="174"/>
      <c r="BC34" s="174"/>
      <c r="BD34" s="174"/>
      <c r="BE34" s="174"/>
      <c r="BF34" s="174"/>
      <c r="BG34" s="174"/>
      <c r="BH34" s="174"/>
      <c r="BI34" s="174"/>
      <c r="BJ34" s="174"/>
      <c r="BK34" s="174"/>
      <c r="BL34" s="174"/>
      <c r="BM34" s="174"/>
      <c r="BN34" s="174"/>
      <c r="BO34" s="174"/>
      <c r="BP34" s="174"/>
      <c r="BQ34" s="174"/>
      <c r="BR34" s="174"/>
      <c r="BS34" s="174"/>
      <c r="BT34" s="174"/>
      <c r="BU34" s="174"/>
      <c r="BV34" s="174"/>
      <c r="BW34" s="174"/>
      <c r="BX34" s="174"/>
      <c r="BY34" s="174"/>
      <c r="BZ34" s="174"/>
      <c r="CA34" s="174"/>
      <c r="CB34" s="174"/>
      <c r="CC34" s="174"/>
      <c r="CD34" s="174"/>
      <c r="CE34" s="174"/>
      <c r="CF34" s="174"/>
      <c r="CG34" s="174"/>
      <c r="CH34" s="175"/>
    </row>
    <row r="35" spans="1:86" x14ac:dyDescent="0.3">
      <c r="L35" s="196"/>
      <c r="M35" s="196" t="s">
        <v>395</v>
      </c>
      <c r="N35" s="167"/>
      <c r="O35" s="170"/>
      <c r="P35" s="167"/>
      <c r="Q35" s="167"/>
      <c r="R35" s="197"/>
      <c r="S35" s="167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I35" s="167"/>
      <c r="AJ35" s="167"/>
      <c r="AK35" s="167"/>
      <c r="AL35" s="167"/>
      <c r="AM35" s="167"/>
      <c r="AN35" s="167"/>
      <c r="AO35" s="167"/>
      <c r="AP35" s="167"/>
      <c r="AW35" s="174"/>
      <c r="AX35" s="174"/>
      <c r="AY35" s="174"/>
      <c r="AZ35" s="174"/>
      <c r="BA35" s="174"/>
      <c r="BB35" s="174"/>
      <c r="BC35" s="174"/>
      <c r="BD35" s="174"/>
      <c r="BE35" s="174"/>
      <c r="BF35" s="174"/>
      <c r="BG35" s="174"/>
      <c r="BH35" s="174"/>
      <c r="BI35" s="174"/>
      <c r="BJ35" s="174"/>
      <c r="BK35" s="174"/>
      <c r="BL35" s="174"/>
      <c r="BM35" s="174"/>
      <c r="BN35" s="174"/>
      <c r="BO35" s="174"/>
      <c r="BP35" s="174"/>
      <c r="BQ35" s="174"/>
      <c r="BR35" s="174"/>
      <c r="BS35" s="174"/>
      <c r="BT35" s="174"/>
      <c r="BU35" s="174"/>
      <c r="BV35" s="174"/>
      <c r="BW35" s="174"/>
      <c r="BX35" s="174"/>
      <c r="BY35" s="174"/>
      <c r="BZ35" s="174"/>
      <c r="CA35" s="174"/>
      <c r="CB35" s="174"/>
      <c r="CC35" s="174"/>
      <c r="CD35" s="174"/>
      <c r="CE35" s="174"/>
      <c r="CF35" s="174"/>
      <c r="CG35" s="174"/>
      <c r="CH35" s="175"/>
    </row>
    <row r="36" spans="1:86" x14ac:dyDescent="0.3">
      <c r="L36" s="196"/>
      <c r="M36" s="196" t="s">
        <v>395</v>
      </c>
      <c r="N36" s="167"/>
      <c r="O36" s="170"/>
      <c r="P36" s="167"/>
      <c r="Q36" s="167"/>
      <c r="R36" s="19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I36" s="167"/>
      <c r="AJ36" s="167"/>
      <c r="AK36" s="167"/>
      <c r="AL36" s="167"/>
      <c r="AM36" s="167"/>
      <c r="AN36" s="167"/>
      <c r="AO36" s="167"/>
      <c r="AP36" s="167"/>
      <c r="AW36" s="174"/>
      <c r="AX36" s="174"/>
      <c r="AY36" s="174"/>
      <c r="AZ36" s="174"/>
      <c r="BA36" s="174"/>
      <c r="BB36" s="174"/>
      <c r="BC36" s="174"/>
      <c r="BD36" s="174"/>
      <c r="BE36" s="174"/>
      <c r="BF36" s="174"/>
      <c r="BG36" s="174"/>
      <c r="BH36" s="174"/>
      <c r="BI36" s="174"/>
      <c r="BJ36" s="174"/>
      <c r="BK36" s="174"/>
      <c r="BL36" s="174"/>
      <c r="BM36" s="174"/>
      <c r="BN36" s="174"/>
      <c r="BO36" s="174"/>
      <c r="BP36" s="174"/>
      <c r="BQ36" s="174"/>
      <c r="BR36" s="174"/>
      <c r="BS36" s="174"/>
      <c r="BT36" s="174"/>
      <c r="BU36" s="174"/>
      <c r="BV36" s="174"/>
      <c r="BW36" s="174"/>
      <c r="BX36" s="174"/>
      <c r="BY36" s="174"/>
      <c r="BZ36" s="174"/>
      <c r="CA36" s="174"/>
      <c r="CB36" s="174"/>
      <c r="CC36" s="174"/>
      <c r="CD36" s="174"/>
      <c r="CE36" s="174"/>
      <c r="CF36" s="174"/>
      <c r="CG36" s="174"/>
      <c r="CH36" s="175"/>
    </row>
    <row r="37" spans="1:86" x14ac:dyDescent="0.3">
      <c r="L37" s="196"/>
      <c r="AE37" s="167"/>
      <c r="AF37" s="167" t="s">
        <v>394</v>
      </c>
      <c r="AG37" s="167" t="s">
        <v>393</v>
      </c>
      <c r="AH37" s="167" t="s">
        <v>59</v>
      </c>
      <c r="AW37" s="174"/>
      <c r="AX37" s="174"/>
      <c r="AY37" s="174"/>
      <c r="AZ37" s="174"/>
      <c r="BA37" s="174"/>
      <c r="BB37" s="174"/>
      <c r="BC37" s="174"/>
      <c r="BD37" s="174"/>
      <c r="BE37" s="174"/>
      <c r="BF37" s="174"/>
      <c r="BG37" s="174"/>
      <c r="BH37" s="174"/>
      <c r="BI37" s="174"/>
      <c r="BJ37" s="174"/>
      <c r="BK37" s="174"/>
      <c r="BL37" s="174"/>
      <c r="BM37" s="174"/>
      <c r="BN37" s="174"/>
      <c r="BO37" s="174"/>
      <c r="BP37" s="174"/>
      <c r="BQ37" s="174"/>
      <c r="BR37" s="174"/>
      <c r="BS37" s="174"/>
      <c r="BT37" s="174"/>
      <c r="BU37" s="174"/>
      <c r="BV37" s="174"/>
      <c r="BW37" s="174"/>
      <c r="BX37" s="174"/>
      <c r="BY37" s="174"/>
      <c r="BZ37" s="174"/>
      <c r="CA37" s="174"/>
      <c r="CB37" s="174"/>
      <c r="CC37" s="174"/>
      <c r="CD37" s="174"/>
      <c r="CE37" s="174"/>
      <c r="CF37" s="174"/>
      <c r="CG37" s="174"/>
      <c r="CH37" s="175"/>
    </row>
    <row r="38" spans="1:86" x14ac:dyDescent="0.3">
      <c r="L38" s="196"/>
      <c r="AE38" s="152" t="s">
        <v>392</v>
      </c>
      <c r="AF38" s="152" t="s">
        <v>391</v>
      </c>
      <c r="AG38" s="152" t="s">
        <v>390</v>
      </c>
      <c r="AW38" s="174"/>
      <c r="AX38" s="174"/>
      <c r="AY38" s="174"/>
      <c r="AZ38" s="174"/>
      <c r="BA38" s="174"/>
      <c r="BB38" s="174"/>
      <c r="BC38" s="174"/>
      <c r="BD38" s="174"/>
      <c r="BE38" s="174"/>
      <c r="BF38" s="174"/>
      <c r="BG38" s="174"/>
      <c r="BH38" s="174"/>
      <c r="BI38" s="174"/>
      <c r="BJ38" s="174"/>
      <c r="BK38" s="174"/>
      <c r="BL38" s="174"/>
      <c r="BM38" s="174"/>
      <c r="BN38" s="174"/>
      <c r="BO38" s="174"/>
      <c r="BP38" s="174"/>
      <c r="BQ38" s="174"/>
      <c r="BR38" s="174"/>
      <c r="BS38" s="174"/>
      <c r="BT38" s="174"/>
      <c r="BU38" s="174"/>
      <c r="BV38" s="174"/>
      <c r="BW38" s="174"/>
      <c r="BX38" s="174"/>
      <c r="BY38" s="174"/>
      <c r="BZ38" s="174"/>
      <c r="CA38" s="174"/>
      <c r="CB38" s="174"/>
      <c r="CC38" s="174"/>
      <c r="CD38" s="174"/>
      <c r="CE38" s="174"/>
      <c r="CF38" s="174"/>
      <c r="CG38" s="174"/>
      <c r="CH38" s="175"/>
    </row>
    <row r="39" spans="1:86" x14ac:dyDescent="0.3">
      <c r="L39" s="196"/>
      <c r="AE39" s="152">
        <v>15</v>
      </c>
      <c r="AF39" s="152">
        <v>48</v>
      </c>
      <c r="AG39" s="152">
        <v>1900</v>
      </c>
      <c r="AH39" s="152">
        <v>8</v>
      </c>
      <c r="AW39" s="174"/>
      <c r="AX39" s="174"/>
      <c r="AY39" s="174"/>
      <c r="AZ39" s="174"/>
      <c r="BA39" s="174"/>
      <c r="BB39" s="174"/>
      <c r="BC39" s="174"/>
      <c r="BD39" s="174"/>
      <c r="BE39" s="174"/>
      <c r="BF39" s="174"/>
      <c r="BG39" s="174"/>
      <c r="BH39" s="174"/>
      <c r="BI39" s="174"/>
      <c r="BJ39" s="174"/>
      <c r="BK39" s="174"/>
      <c r="BL39" s="174"/>
      <c r="BM39" s="174"/>
      <c r="BN39" s="174"/>
      <c r="BO39" s="174"/>
      <c r="BP39" s="174"/>
      <c r="BQ39" s="174"/>
      <c r="BR39" s="174"/>
      <c r="BS39" s="174"/>
      <c r="BT39" s="174"/>
      <c r="BU39" s="174"/>
      <c r="BV39" s="174"/>
      <c r="BW39" s="174"/>
      <c r="BX39" s="174"/>
      <c r="BY39" s="174"/>
      <c r="BZ39" s="174"/>
      <c r="CA39" s="174"/>
      <c r="CB39" s="174"/>
      <c r="CC39" s="174"/>
      <c r="CD39" s="174"/>
      <c r="CE39" s="174"/>
      <c r="CF39" s="174"/>
      <c r="CG39" s="174"/>
      <c r="CH39" s="175"/>
    </row>
    <row r="40" spans="1:86" x14ac:dyDescent="0.3">
      <c r="L40" s="196"/>
      <c r="AE40" s="152">
        <v>16</v>
      </c>
      <c r="AF40" s="152">
        <f>AF39+3.8</f>
        <v>51.8</v>
      </c>
      <c r="AG40" s="152">
        <f>AG39+200</f>
        <v>2100</v>
      </c>
      <c r="AH40" s="152">
        <f>AH39+0.8</f>
        <v>8.8000000000000007</v>
      </c>
      <c r="AW40" s="174"/>
      <c r="AX40" s="174"/>
      <c r="AY40" s="174"/>
      <c r="AZ40" s="174"/>
      <c r="BA40" s="174"/>
      <c r="BB40" s="174"/>
      <c r="BC40" s="174"/>
      <c r="BD40" s="174"/>
      <c r="BE40" s="174"/>
      <c r="BF40" s="174"/>
      <c r="BG40" s="174"/>
      <c r="BH40" s="174"/>
      <c r="BI40" s="174"/>
      <c r="BJ40" s="174"/>
      <c r="BK40" s="174"/>
      <c r="BL40" s="174"/>
      <c r="BM40" s="174"/>
      <c r="BN40" s="174"/>
      <c r="BO40" s="174"/>
      <c r="BP40" s="174"/>
      <c r="BQ40" s="174"/>
      <c r="BR40" s="174"/>
      <c r="BS40" s="174"/>
      <c r="BT40" s="174"/>
      <c r="BU40" s="174"/>
      <c r="BV40" s="174"/>
      <c r="BW40" s="174"/>
      <c r="BX40" s="174"/>
      <c r="BY40" s="174"/>
      <c r="BZ40" s="174"/>
      <c r="CA40" s="174"/>
      <c r="CB40" s="174"/>
      <c r="CC40" s="174"/>
      <c r="CD40" s="174"/>
      <c r="CE40" s="174"/>
      <c r="CF40" s="174"/>
      <c r="CG40" s="174"/>
      <c r="CH40" s="175"/>
    </row>
    <row r="41" spans="1:86" x14ac:dyDescent="0.3">
      <c r="L41" s="196"/>
      <c r="AE41" s="152">
        <v>17</v>
      </c>
      <c r="AF41" s="152">
        <f>AF40+3.8</f>
        <v>55.599999999999994</v>
      </c>
      <c r="AG41" s="152">
        <f>AG40+200</f>
        <v>2300</v>
      </c>
      <c r="AH41" s="152">
        <f>AH40+0.8</f>
        <v>9.6000000000000014</v>
      </c>
      <c r="AW41" s="174"/>
      <c r="AX41" s="174"/>
      <c r="AY41" s="174"/>
      <c r="AZ41" s="174"/>
      <c r="BA41" s="174"/>
      <c r="BB41" s="174"/>
      <c r="BC41" s="174"/>
      <c r="BD41" s="174"/>
      <c r="BE41" s="174"/>
      <c r="BF41" s="174"/>
      <c r="BG41" s="174"/>
      <c r="BH41" s="174"/>
      <c r="BI41" s="174"/>
      <c r="BJ41" s="174"/>
      <c r="BK41" s="174"/>
      <c r="BL41" s="174"/>
      <c r="BM41" s="174"/>
      <c r="BN41" s="174"/>
      <c r="BO41" s="174"/>
      <c r="BP41" s="174"/>
      <c r="BQ41" s="174"/>
      <c r="BR41" s="174"/>
      <c r="BS41" s="174"/>
      <c r="BT41" s="174"/>
      <c r="BU41" s="174"/>
      <c r="BV41" s="174"/>
      <c r="BW41" s="174"/>
      <c r="BX41" s="174"/>
      <c r="BY41" s="174"/>
      <c r="BZ41" s="174"/>
      <c r="CA41" s="174"/>
      <c r="CB41" s="174"/>
      <c r="CC41" s="174"/>
      <c r="CD41" s="174"/>
      <c r="CE41" s="174"/>
      <c r="CF41" s="174"/>
      <c r="CG41" s="174"/>
      <c r="CH41" s="175"/>
    </row>
    <row r="42" spans="1:86" x14ac:dyDescent="0.3">
      <c r="L42" s="196"/>
      <c r="AE42" s="152">
        <v>18</v>
      </c>
      <c r="AF42" s="152">
        <f>AF41+3.8</f>
        <v>59.399999999999991</v>
      </c>
      <c r="AG42" s="152">
        <f>AG41+200</f>
        <v>2500</v>
      </c>
      <c r="AH42" s="152">
        <f>AH41+0.8</f>
        <v>10.400000000000002</v>
      </c>
      <c r="AW42" s="174"/>
      <c r="AX42" s="174"/>
      <c r="AY42" s="174"/>
      <c r="AZ42" s="174"/>
      <c r="BA42" s="174"/>
      <c r="BB42" s="174"/>
      <c r="BC42" s="174"/>
      <c r="BD42" s="174"/>
      <c r="BE42" s="174"/>
      <c r="BF42" s="174"/>
      <c r="BG42" s="174"/>
      <c r="BH42" s="174"/>
      <c r="BI42" s="174"/>
      <c r="BJ42" s="174"/>
      <c r="BK42" s="174"/>
      <c r="BL42" s="174"/>
      <c r="BM42" s="174"/>
      <c r="BN42" s="174"/>
      <c r="BO42" s="174"/>
      <c r="BP42" s="174"/>
      <c r="BQ42" s="174"/>
      <c r="BR42" s="174"/>
      <c r="BS42" s="174"/>
      <c r="BT42" s="174"/>
      <c r="BU42" s="174"/>
      <c r="BV42" s="174"/>
      <c r="BW42" s="174"/>
      <c r="BX42" s="174"/>
      <c r="BY42" s="174"/>
      <c r="BZ42" s="174"/>
      <c r="CA42" s="174"/>
      <c r="CB42" s="174"/>
      <c r="CC42" s="174"/>
      <c r="CD42" s="174"/>
      <c r="CE42" s="174"/>
      <c r="CF42" s="174"/>
      <c r="CG42" s="174"/>
      <c r="CH42" s="175"/>
    </row>
    <row r="43" spans="1:86" x14ac:dyDescent="0.3">
      <c r="L43" s="196"/>
      <c r="AE43" s="152">
        <v>19</v>
      </c>
      <c r="AF43" s="152">
        <f>AF42+3.8</f>
        <v>63.199999999999989</v>
      </c>
      <c r="AG43" s="152">
        <f>AG42+200</f>
        <v>2700</v>
      </c>
      <c r="AH43" s="152">
        <f>AH42+0.8</f>
        <v>11.200000000000003</v>
      </c>
      <c r="AW43" s="174"/>
      <c r="AX43" s="174"/>
      <c r="AY43" s="174"/>
      <c r="AZ43" s="174"/>
      <c r="BA43" s="174"/>
      <c r="BB43" s="174"/>
      <c r="BC43" s="174"/>
      <c r="BD43" s="174"/>
      <c r="BE43" s="174"/>
      <c r="BF43" s="174"/>
      <c r="BG43" s="174"/>
      <c r="BH43" s="174"/>
      <c r="BI43" s="174"/>
      <c r="BJ43" s="174"/>
      <c r="BK43" s="174"/>
      <c r="BL43" s="174"/>
      <c r="BM43" s="174"/>
      <c r="BN43" s="174"/>
      <c r="BO43" s="174"/>
      <c r="BP43" s="174"/>
      <c r="BQ43" s="174"/>
      <c r="BR43" s="174"/>
      <c r="BS43" s="174"/>
      <c r="BT43" s="174"/>
      <c r="BU43" s="174"/>
      <c r="BV43" s="174"/>
      <c r="BW43" s="174"/>
      <c r="BX43" s="174"/>
      <c r="BY43" s="174"/>
      <c r="BZ43" s="174"/>
      <c r="CA43" s="174"/>
      <c r="CB43" s="174"/>
      <c r="CC43" s="174"/>
      <c r="CD43" s="174"/>
      <c r="CE43" s="174"/>
      <c r="CF43" s="174"/>
      <c r="CG43" s="174"/>
      <c r="CH43" s="175"/>
    </row>
    <row r="44" spans="1:86" x14ac:dyDescent="0.3">
      <c r="L44" s="196"/>
      <c r="AE44" s="152">
        <v>20</v>
      </c>
      <c r="AF44" s="152">
        <f>AF43+3.8</f>
        <v>66.999999999999986</v>
      </c>
      <c r="AG44" s="152">
        <f>AG43+200</f>
        <v>2900</v>
      </c>
      <c r="AH44" s="152">
        <f>AH43+0.8</f>
        <v>12.000000000000004</v>
      </c>
      <c r="AW44" s="174"/>
      <c r="AX44" s="174"/>
      <c r="AY44" s="174"/>
      <c r="AZ44" s="174"/>
      <c r="BA44" s="174"/>
      <c r="BB44" s="174"/>
      <c r="BC44" s="174"/>
      <c r="BD44" s="174"/>
      <c r="BE44" s="174"/>
      <c r="BF44" s="174"/>
      <c r="BG44" s="174"/>
      <c r="BH44" s="174"/>
      <c r="BI44" s="174"/>
      <c r="BJ44" s="174"/>
      <c r="BK44" s="174"/>
      <c r="BL44" s="174"/>
      <c r="BM44" s="174"/>
      <c r="BN44" s="174"/>
      <c r="BO44" s="174"/>
      <c r="BP44" s="174"/>
      <c r="BQ44" s="174"/>
      <c r="BR44" s="174"/>
      <c r="BS44" s="174"/>
      <c r="BT44" s="174"/>
      <c r="BU44" s="174"/>
      <c r="BV44" s="174"/>
      <c r="BW44" s="174"/>
      <c r="BX44" s="174"/>
      <c r="BY44" s="174"/>
      <c r="BZ44" s="174"/>
      <c r="CA44" s="174"/>
      <c r="CB44" s="174"/>
      <c r="CC44" s="174"/>
      <c r="CD44" s="174"/>
      <c r="CE44" s="174"/>
      <c r="CF44" s="174"/>
      <c r="CG44" s="174"/>
      <c r="CH44" s="175"/>
    </row>
    <row r="45" spans="1:86" x14ac:dyDescent="0.3">
      <c r="L45" s="196"/>
      <c r="AE45" s="152">
        <v>21</v>
      </c>
      <c r="AF45" s="152">
        <f>AF44+2.8</f>
        <v>69.799999999999983</v>
      </c>
      <c r="AG45" s="152">
        <f>AG44+380</f>
        <v>3280</v>
      </c>
      <c r="AH45" s="152">
        <f>AH44+1.6</f>
        <v>13.600000000000003</v>
      </c>
      <c r="AW45" s="174"/>
      <c r="AX45" s="174"/>
      <c r="AY45" s="174"/>
      <c r="AZ45" s="174"/>
      <c r="BA45" s="174"/>
      <c r="BB45" s="174"/>
      <c r="BC45" s="174"/>
      <c r="BD45" s="174"/>
      <c r="BE45" s="174"/>
      <c r="BF45" s="174"/>
      <c r="BG45" s="174"/>
      <c r="BH45" s="174"/>
      <c r="BI45" s="174"/>
      <c r="BJ45" s="174"/>
      <c r="BK45" s="174"/>
      <c r="BL45" s="174"/>
      <c r="BM45" s="174"/>
      <c r="BN45" s="174"/>
      <c r="BO45" s="174"/>
      <c r="BP45" s="174"/>
      <c r="BQ45" s="174"/>
      <c r="BR45" s="174"/>
      <c r="BS45" s="174"/>
      <c r="BT45" s="174"/>
      <c r="BU45" s="174"/>
      <c r="BV45" s="174"/>
      <c r="BW45" s="174"/>
      <c r="BX45" s="174"/>
      <c r="BY45" s="174"/>
      <c r="BZ45" s="174"/>
      <c r="CA45" s="174"/>
      <c r="CB45" s="174"/>
      <c r="CC45" s="174"/>
      <c r="CD45" s="174"/>
      <c r="CE45" s="174"/>
      <c r="CF45" s="174"/>
      <c r="CG45" s="174"/>
      <c r="CH45" s="175"/>
    </row>
    <row r="46" spans="1:86" x14ac:dyDescent="0.3">
      <c r="L46" s="196"/>
      <c r="AE46" s="152">
        <v>22</v>
      </c>
      <c r="AF46" s="152">
        <f>AF45+2.8</f>
        <v>72.59999999999998</v>
      </c>
      <c r="AG46" s="152">
        <f>AG45+380</f>
        <v>3660</v>
      </c>
      <c r="AH46" s="152">
        <f>AH45+1.6</f>
        <v>15.200000000000003</v>
      </c>
      <c r="AW46" s="174"/>
      <c r="AX46" s="174"/>
      <c r="AY46" s="174"/>
      <c r="AZ46" s="174"/>
      <c r="BA46" s="174"/>
      <c r="BB46" s="174"/>
      <c r="BC46" s="174"/>
      <c r="BD46" s="174"/>
      <c r="BE46" s="174"/>
      <c r="BF46" s="174"/>
      <c r="BG46" s="174"/>
      <c r="BH46" s="174"/>
      <c r="BI46" s="174"/>
      <c r="BJ46" s="174"/>
      <c r="BK46" s="174"/>
      <c r="BL46" s="174"/>
      <c r="BM46" s="174"/>
      <c r="BN46" s="174"/>
      <c r="BO46" s="174"/>
      <c r="BP46" s="174"/>
      <c r="BQ46" s="174"/>
      <c r="BR46" s="174"/>
      <c r="BS46" s="174"/>
      <c r="BT46" s="174"/>
      <c r="BU46" s="174"/>
      <c r="BV46" s="174"/>
      <c r="BW46" s="174"/>
      <c r="BX46" s="174"/>
      <c r="BY46" s="174"/>
      <c r="BZ46" s="174"/>
      <c r="CA46" s="174"/>
      <c r="CB46" s="174"/>
      <c r="CC46" s="174"/>
      <c r="CD46" s="174"/>
      <c r="CE46" s="174"/>
      <c r="CF46" s="174"/>
      <c r="CG46" s="174"/>
      <c r="CH46" s="175"/>
    </row>
    <row r="47" spans="1:86" x14ac:dyDescent="0.3">
      <c r="L47" s="196"/>
      <c r="AE47" s="152">
        <v>23</v>
      </c>
      <c r="AF47" s="152">
        <f>AF46+2.8</f>
        <v>75.399999999999977</v>
      </c>
      <c r="AG47" s="152">
        <f>AG46+380</f>
        <v>4040</v>
      </c>
      <c r="AH47" s="152">
        <f>AH46+1.6</f>
        <v>16.800000000000004</v>
      </c>
      <c r="AW47" s="174"/>
      <c r="AX47" s="174"/>
      <c r="AY47" s="174"/>
      <c r="AZ47" s="174"/>
      <c r="BA47" s="174"/>
      <c r="BB47" s="174"/>
      <c r="BC47" s="174"/>
      <c r="BD47" s="174"/>
      <c r="BE47" s="174"/>
      <c r="BF47" s="174"/>
      <c r="BG47" s="174"/>
      <c r="BH47" s="174"/>
      <c r="BI47" s="174"/>
      <c r="BJ47" s="174"/>
      <c r="BK47" s="174"/>
      <c r="BL47" s="174"/>
      <c r="BM47" s="174"/>
      <c r="BN47" s="174"/>
      <c r="BO47" s="174"/>
      <c r="BP47" s="174"/>
      <c r="BQ47" s="174"/>
      <c r="BR47" s="174"/>
      <c r="BS47" s="174"/>
      <c r="BT47" s="174"/>
      <c r="BU47" s="174"/>
      <c r="BV47" s="174"/>
      <c r="BW47" s="174"/>
      <c r="BX47" s="174"/>
      <c r="BY47" s="174"/>
      <c r="BZ47" s="174"/>
      <c r="CA47" s="174"/>
      <c r="CB47" s="174"/>
      <c r="CC47" s="174"/>
      <c r="CD47" s="174"/>
      <c r="CE47" s="174"/>
      <c r="CF47" s="174"/>
      <c r="CG47" s="174"/>
      <c r="CH47" s="175"/>
    </row>
    <row r="48" spans="1:86" x14ac:dyDescent="0.3">
      <c r="L48" s="196"/>
      <c r="AE48" s="152">
        <v>24</v>
      </c>
      <c r="AF48" s="152">
        <f>AF47+2.8</f>
        <v>78.199999999999974</v>
      </c>
      <c r="AG48" s="152">
        <f>AG47+380</f>
        <v>4420</v>
      </c>
      <c r="AH48" s="152">
        <f>AH47+1.6</f>
        <v>18.400000000000006</v>
      </c>
      <c r="AW48" s="174"/>
      <c r="AX48" s="174"/>
      <c r="AY48" s="174"/>
      <c r="AZ48" s="174"/>
      <c r="BA48" s="174"/>
      <c r="BB48" s="174"/>
      <c r="BC48" s="174"/>
      <c r="BD48" s="174"/>
      <c r="BE48" s="174"/>
      <c r="BF48" s="174"/>
      <c r="BG48" s="174"/>
      <c r="BH48" s="174"/>
      <c r="BI48" s="174"/>
      <c r="BJ48" s="174"/>
      <c r="BK48" s="174"/>
      <c r="BL48" s="174"/>
      <c r="BM48" s="174"/>
      <c r="BN48" s="174"/>
      <c r="BO48" s="174"/>
      <c r="BP48" s="174"/>
      <c r="BQ48" s="174"/>
      <c r="BR48" s="174"/>
      <c r="BS48" s="174"/>
      <c r="BT48" s="174"/>
      <c r="BU48" s="174"/>
      <c r="BV48" s="174"/>
      <c r="BW48" s="174"/>
      <c r="BX48" s="174"/>
      <c r="BY48" s="174"/>
      <c r="BZ48" s="174"/>
      <c r="CA48" s="174"/>
      <c r="CB48" s="174"/>
      <c r="CC48" s="174"/>
      <c r="CD48" s="174"/>
      <c r="CE48" s="174"/>
      <c r="CF48" s="174"/>
      <c r="CG48" s="174"/>
      <c r="CH48" s="175"/>
    </row>
    <row r="49" spans="12:86" x14ac:dyDescent="0.3">
      <c r="L49" s="196"/>
      <c r="AE49" s="152">
        <v>25</v>
      </c>
      <c r="AF49" s="152">
        <f>AF48+2.8</f>
        <v>80.999999999999972</v>
      </c>
      <c r="AG49" s="152">
        <v>4800</v>
      </c>
      <c r="AH49" s="152">
        <f>AH48+1.6</f>
        <v>20.000000000000007</v>
      </c>
      <c r="AW49" s="174"/>
      <c r="AX49" s="174"/>
      <c r="AY49" s="174"/>
      <c r="AZ49" s="174"/>
      <c r="BA49" s="174"/>
      <c r="BB49" s="174"/>
      <c r="BC49" s="174"/>
      <c r="BD49" s="174"/>
      <c r="BE49" s="174"/>
      <c r="BF49" s="174"/>
      <c r="BG49" s="174"/>
      <c r="BH49" s="174"/>
      <c r="BI49" s="174"/>
      <c r="BJ49" s="174"/>
      <c r="BK49" s="174"/>
      <c r="BL49" s="174"/>
      <c r="BM49" s="174"/>
      <c r="BN49" s="174"/>
      <c r="BO49" s="174"/>
      <c r="BP49" s="174"/>
      <c r="BQ49" s="174"/>
      <c r="BR49" s="174"/>
      <c r="BS49" s="174"/>
      <c r="BT49" s="174"/>
      <c r="BU49" s="174"/>
      <c r="BV49" s="174"/>
      <c r="BW49" s="174"/>
      <c r="BX49" s="174"/>
      <c r="BY49" s="174"/>
      <c r="BZ49" s="174"/>
      <c r="CA49" s="174"/>
      <c r="CB49" s="174"/>
      <c r="CC49" s="174"/>
      <c r="CD49" s="174"/>
      <c r="CE49" s="174"/>
      <c r="CF49" s="174"/>
      <c r="CG49" s="174"/>
      <c r="CH49" s="175"/>
    </row>
    <row r="50" spans="12:86" x14ac:dyDescent="0.3">
      <c r="L50" s="196"/>
      <c r="AE50" s="152">
        <v>26</v>
      </c>
      <c r="AF50" s="152">
        <f>AF49+3</f>
        <v>83.999999999999972</v>
      </c>
      <c r="AG50" s="152">
        <f>AG49+960</f>
        <v>5760</v>
      </c>
      <c r="AH50" s="152">
        <f>AH49+4</f>
        <v>24.000000000000007</v>
      </c>
      <c r="AW50" s="174"/>
      <c r="AX50" s="174"/>
      <c r="AY50" s="174"/>
      <c r="AZ50" s="174"/>
      <c r="BA50" s="174"/>
      <c r="BB50" s="174"/>
      <c r="BC50" s="174"/>
      <c r="BD50" s="174"/>
      <c r="BE50" s="174"/>
      <c r="BF50" s="174"/>
      <c r="BG50" s="174"/>
      <c r="BH50" s="174"/>
      <c r="BI50" s="174"/>
      <c r="BJ50" s="174"/>
      <c r="BK50" s="174"/>
      <c r="BL50" s="174"/>
      <c r="BM50" s="174"/>
      <c r="BN50" s="174"/>
      <c r="BO50" s="174"/>
      <c r="BP50" s="174"/>
      <c r="BQ50" s="174"/>
      <c r="BR50" s="174"/>
      <c r="BS50" s="174"/>
      <c r="BT50" s="174"/>
      <c r="BU50" s="174"/>
      <c r="BV50" s="174"/>
      <c r="BW50" s="174"/>
      <c r="BX50" s="174"/>
      <c r="BY50" s="174"/>
      <c r="BZ50" s="174"/>
      <c r="CA50" s="174"/>
      <c r="CB50" s="174"/>
      <c r="CC50" s="174"/>
      <c r="CD50" s="174"/>
      <c r="CE50" s="174"/>
      <c r="CF50" s="174"/>
      <c r="CG50" s="174"/>
      <c r="CH50" s="175"/>
    </row>
    <row r="51" spans="12:86" x14ac:dyDescent="0.3">
      <c r="L51" s="196"/>
      <c r="AE51" s="152">
        <v>27</v>
      </c>
      <c r="AF51" s="152">
        <f>AF50+3</f>
        <v>86.999999999999972</v>
      </c>
      <c r="AG51" s="152">
        <f>AG50+960</f>
        <v>6720</v>
      </c>
      <c r="AH51" s="152">
        <f>AH50+4</f>
        <v>28.000000000000007</v>
      </c>
      <c r="AW51" s="174"/>
      <c r="AX51" s="174"/>
      <c r="AY51" s="174"/>
      <c r="AZ51" s="174"/>
      <c r="BA51" s="174"/>
      <c r="BB51" s="174"/>
      <c r="BC51" s="174"/>
      <c r="BD51" s="174"/>
      <c r="BE51" s="174"/>
      <c r="BF51" s="174"/>
      <c r="BG51" s="174"/>
      <c r="BH51" s="174"/>
      <c r="BI51" s="174"/>
      <c r="BJ51" s="174"/>
      <c r="BK51" s="174"/>
      <c r="BL51" s="174"/>
      <c r="BM51" s="174"/>
      <c r="BN51" s="174"/>
      <c r="BO51" s="174"/>
      <c r="BP51" s="174"/>
      <c r="BQ51" s="174"/>
      <c r="BR51" s="174"/>
      <c r="BS51" s="174"/>
      <c r="BT51" s="174"/>
      <c r="BU51" s="174"/>
      <c r="BV51" s="174"/>
      <c r="BW51" s="174"/>
      <c r="BX51" s="174"/>
      <c r="BY51" s="174"/>
      <c r="BZ51" s="174"/>
      <c r="CA51" s="174"/>
      <c r="CB51" s="174"/>
      <c r="CC51" s="174"/>
      <c r="CD51" s="174"/>
      <c r="CE51" s="174"/>
      <c r="CF51" s="174"/>
      <c r="CG51" s="174"/>
      <c r="CH51" s="175"/>
    </row>
    <row r="52" spans="12:86" x14ac:dyDescent="0.3">
      <c r="L52" s="196"/>
      <c r="AE52" s="152">
        <v>28</v>
      </c>
      <c r="AF52" s="152">
        <f>AF51+3</f>
        <v>89.999999999999972</v>
      </c>
      <c r="AG52" s="152">
        <f>AG51+960</f>
        <v>7680</v>
      </c>
      <c r="AH52" s="152">
        <f>AH51+4</f>
        <v>32.000000000000007</v>
      </c>
      <c r="AW52" s="174"/>
      <c r="AX52" s="174"/>
      <c r="AY52" s="174"/>
      <c r="AZ52" s="174"/>
      <c r="BA52" s="174"/>
      <c r="BB52" s="174"/>
      <c r="BC52" s="174"/>
      <c r="BD52" s="174"/>
      <c r="BE52" s="174"/>
      <c r="BF52" s="174"/>
      <c r="BG52" s="174"/>
      <c r="BH52" s="174"/>
      <c r="BI52" s="174"/>
      <c r="BJ52" s="174"/>
      <c r="BK52" s="174"/>
      <c r="BL52" s="174"/>
      <c r="BM52" s="174"/>
      <c r="BN52" s="174"/>
      <c r="BO52" s="174"/>
      <c r="BP52" s="174"/>
      <c r="BQ52" s="174"/>
      <c r="BR52" s="174"/>
      <c r="BS52" s="174"/>
      <c r="BT52" s="174"/>
      <c r="BU52" s="174"/>
      <c r="BV52" s="174"/>
      <c r="BW52" s="174"/>
      <c r="BX52" s="174"/>
      <c r="BY52" s="174"/>
      <c r="BZ52" s="174"/>
      <c r="CA52" s="174"/>
      <c r="CB52" s="174"/>
      <c r="CC52" s="174"/>
      <c r="CD52" s="174"/>
      <c r="CE52" s="174"/>
      <c r="CF52" s="174"/>
      <c r="CG52" s="174"/>
      <c r="CH52" s="175"/>
    </row>
    <row r="53" spans="12:86" x14ac:dyDescent="0.3">
      <c r="L53" s="196"/>
      <c r="AE53" s="152">
        <v>29</v>
      </c>
      <c r="AF53" s="152">
        <f>AF52+3</f>
        <v>92.999999999999972</v>
      </c>
      <c r="AG53" s="152">
        <f>AG52+960</f>
        <v>8640</v>
      </c>
      <c r="AH53" s="152">
        <f>AH52+4</f>
        <v>36.000000000000007</v>
      </c>
      <c r="AW53" s="174"/>
      <c r="AX53" s="174"/>
      <c r="AY53" s="174"/>
      <c r="AZ53" s="174"/>
      <c r="BA53" s="174"/>
      <c r="BB53" s="174"/>
      <c r="BC53" s="174"/>
      <c r="BD53" s="174"/>
      <c r="BE53" s="174"/>
      <c r="BF53" s="174"/>
      <c r="BG53" s="174"/>
      <c r="BH53" s="174"/>
      <c r="BI53" s="174"/>
      <c r="BJ53" s="174"/>
      <c r="BK53" s="174"/>
      <c r="BL53" s="174"/>
      <c r="BM53" s="174"/>
      <c r="BN53" s="174"/>
      <c r="BO53" s="174"/>
      <c r="BP53" s="174"/>
      <c r="BQ53" s="174"/>
      <c r="BR53" s="174"/>
      <c r="BS53" s="174"/>
      <c r="BT53" s="174"/>
      <c r="BU53" s="174"/>
      <c r="BV53" s="174"/>
      <c r="BW53" s="174"/>
      <c r="BX53" s="174"/>
      <c r="BY53" s="174"/>
      <c r="BZ53" s="174"/>
      <c r="CA53" s="174"/>
      <c r="CB53" s="174"/>
      <c r="CC53" s="174"/>
      <c r="CD53" s="174"/>
      <c r="CE53" s="174"/>
      <c r="CF53" s="174"/>
      <c r="CG53" s="174"/>
      <c r="CH53" s="175"/>
    </row>
    <row r="54" spans="12:86" x14ac:dyDescent="0.3">
      <c r="L54" s="196"/>
      <c r="AE54" s="152">
        <v>30</v>
      </c>
      <c r="AF54" s="152">
        <f>AF53+3</f>
        <v>95.999999999999972</v>
      </c>
      <c r="AG54" s="152">
        <f>AG53+960</f>
        <v>9600</v>
      </c>
      <c r="AH54" s="152">
        <f>AH53+4</f>
        <v>40.000000000000007</v>
      </c>
      <c r="AW54" s="174"/>
      <c r="AX54" s="174"/>
      <c r="AY54" s="174"/>
      <c r="AZ54" s="174"/>
      <c r="BA54" s="174"/>
      <c r="BB54" s="174"/>
      <c r="BC54" s="174"/>
      <c r="BD54" s="174"/>
      <c r="BE54" s="174"/>
      <c r="BF54" s="174"/>
      <c r="BG54" s="174"/>
      <c r="BH54" s="174"/>
      <c r="BI54" s="174"/>
      <c r="BJ54" s="174"/>
      <c r="BK54" s="174"/>
      <c r="BL54" s="174"/>
      <c r="BM54" s="174"/>
      <c r="BN54" s="174"/>
      <c r="BO54" s="174"/>
      <c r="BP54" s="174"/>
      <c r="BQ54" s="174"/>
      <c r="BR54" s="174"/>
      <c r="BS54" s="174"/>
      <c r="BT54" s="174"/>
      <c r="BU54" s="174"/>
      <c r="BV54" s="174"/>
      <c r="BW54" s="174"/>
      <c r="BX54" s="174"/>
      <c r="BY54" s="174"/>
      <c r="BZ54" s="174"/>
      <c r="CA54" s="174"/>
      <c r="CB54" s="174"/>
      <c r="CC54" s="174"/>
      <c r="CD54" s="174"/>
      <c r="CE54" s="174"/>
      <c r="CF54" s="174"/>
      <c r="CG54" s="174"/>
      <c r="CH54" s="175"/>
    </row>
    <row r="55" spans="12:86" x14ac:dyDescent="0.3">
      <c r="L55" s="196"/>
      <c r="AE55" s="152">
        <v>31</v>
      </c>
      <c r="AF55" s="152">
        <f>AF54+3.8</f>
        <v>99.799999999999969</v>
      </c>
      <c r="AG55" s="152">
        <f>AG54+480</f>
        <v>10080</v>
      </c>
      <c r="AH55" s="152">
        <f>AH54+2</f>
        <v>42.000000000000007</v>
      </c>
      <c r="AW55" s="174"/>
      <c r="AX55" s="174"/>
      <c r="AY55" s="174"/>
      <c r="AZ55" s="174"/>
      <c r="BA55" s="174"/>
      <c r="BB55" s="174"/>
      <c r="BC55" s="174"/>
      <c r="BD55" s="174"/>
      <c r="BE55" s="174"/>
      <c r="BF55" s="174"/>
      <c r="BG55" s="174"/>
      <c r="BH55" s="174"/>
      <c r="BI55" s="174"/>
      <c r="BJ55" s="174"/>
      <c r="BK55" s="174"/>
      <c r="BL55" s="174"/>
      <c r="BM55" s="174"/>
      <c r="BN55" s="174"/>
      <c r="BO55" s="174"/>
      <c r="BP55" s="174"/>
      <c r="BQ55" s="174"/>
      <c r="BR55" s="174"/>
      <c r="BS55" s="174"/>
      <c r="BT55" s="174"/>
      <c r="BU55" s="174"/>
      <c r="BV55" s="174"/>
      <c r="BW55" s="174"/>
      <c r="BX55" s="174"/>
      <c r="BY55" s="174"/>
      <c r="BZ55" s="174"/>
      <c r="CA55" s="174"/>
      <c r="CB55" s="174"/>
      <c r="CC55" s="174"/>
      <c r="CD55" s="174"/>
      <c r="CE55" s="174"/>
      <c r="CF55" s="174"/>
      <c r="CG55" s="174"/>
      <c r="CH55" s="175"/>
    </row>
    <row r="56" spans="12:86" x14ac:dyDescent="0.3">
      <c r="L56" s="196"/>
      <c r="AE56" s="152">
        <v>32</v>
      </c>
      <c r="AF56" s="152">
        <f>AF55+3.8</f>
        <v>103.59999999999997</v>
      </c>
      <c r="AG56" s="152">
        <f>AG55+480</f>
        <v>10560</v>
      </c>
      <c r="AH56" s="152">
        <f>AH55+2</f>
        <v>44.000000000000007</v>
      </c>
      <c r="AW56" s="174"/>
      <c r="AX56" s="174"/>
      <c r="AY56" s="174"/>
      <c r="AZ56" s="174"/>
      <c r="BA56" s="174"/>
      <c r="BB56" s="174"/>
      <c r="BC56" s="174"/>
      <c r="BD56" s="174"/>
      <c r="BE56" s="174"/>
      <c r="BF56" s="174"/>
      <c r="BG56" s="174"/>
      <c r="BH56" s="174"/>
      <c r="BI56" s="174"/>
      <c r="BJ56" s="174"/>
      <c r="BK56" s="174"/>
      <c r="BL56" s="174"/>
      <c r="BM56" s="174"/>
      <c r="BN56" s="174"/>
      <c r="BO56" s="174"/>
      <c r="BP56" s="174"/>
      <c r="BQ56" s="174"/>
      <c r="BR56" s="174"/>
      <c r="BS56" s="174"/>
      <c r="BT56" s="174"/>
      <c r="BU56" s="174"/>
      <c r="BV56" s="174"/>
      <c r="BW56" s="174"/>
      <c r="BX56" s="174"/>
      <c r="BY56" s="174"/>
      <c r="BZ56" s="174"/>
      <c r="CA56" s="174"/>
      <c r="CB56" s="174"/>
      <c r="CC56" s="174"/>
      <c r="CD56" s="174"/>
      <c r="CE56" s="174"/>
      <c r="CF56" s="174"/>
      <c r="CG56" s="174"/>
      <c r="CH56" s="175"/>
    </row>
    <row r="57" spans="12:86" x14ac:dyDescent="0.3">
      <c r="L57" s="196"/>
      <c r="AE57" s="152">
        <v>33</v>
      </c>
      <c r="AF57" s="152">
        <f>AF56+3.8</f>
        <v>107.39999999999996</v>
      </c>
      <c r="AG57" s="152">
        <f>AG56+480</f>
        <v>11040</v>
      </c>
      <c r="AH57" s="152">
        <f>AH56+2</f>
        <v>46.000000000000007</v>
      </c>
      <c r="AW57" s="174"/>
      <c r="AX57" s="174"/>
      <c r="AY57" s="174"/>
      <c r="AZ57" s="174"/>
      <c r="BA57" s="174"/>
      <c r="BB57" s="174"/>
      <c r="BC57" s="174"/>
      <c r="BD57" s="174"/>
      <c r="BE57" s="174"/>
      <c r="BF57" s="174"/>
      <c r="BG57" s="174"/>
      <c r="BH57" s="174"/>
      <c r="BI57" s="174"/>
      <c r="BJ57" s="174"/>
      <c r="BK57" s="174"/>
      <c r="BL57" s="174"/>
      <c r="BM57" s="174"/>
      <c r="BN57" s="174"/>
      <c r="BO57" s="174"/>
      <c r="BP57" s="174"/>
      <c r="BQ57" s="174"/>
      <c r="BR57" s="174"/>
      <c r="BS57" s="174"/>
      <c r="BT57" s="174"/>
      <c r="BU57" s="174"/>
      <c r="BV57" s="174"/>
      <c r="BW57" s="174"/>
      <c r="BX57" s="174"/>
      <c r="BY57" s="174"/>
      <c r="BZ57" s="174"/>
      <c r="CA57" s="174"/>
      <c r="CB57" s="174"/>
      <c r="CC57" s="174"/>
      <c r="CD57" s="174"/>
      <c r="CE57" s="174"/>
      <c r="CF57" s="174"/>
      <c r="CG57" s="174"/>
      <c r="CH57" s="175"/>
    </row>
    <row r="58" spans="12:86" x14ac:dyDescent="0.3">
      <c r="L58" s="196"/>
      <c r="AE58" s="152">
        <v>34</v>
      </c>
      <c r="AF58" s="152">
        <f>AF57+3.8</f>
        <v>111.19999999999996</v>
      </c>
      <c r="AG58" s="152">
        <f>AG57+480</f>
        <v>11520</v>
      </c>
      <c r="AH58" s="152">
        <f>AH57+2</f>
        <v>48.000000000000007</v>
      </c>
      <c r="AW58" s="174"/>
      <c r="AX58" s="174"/>
      <c r="AY58" s="174"/>
      <c r="AZ58" s="174"/>
      <c r="BA58" s="174"/>
      <c r="BB58" s="174"/>
      <c r="BC58" s="174"/>
      <c r="BD58" s="174"/>
      <c r="BE58" s="174"/>
      <c r="BF58" s="174"/>
      <c r="BG58" s="174"/>
      <c r="BH58" s="174"/>
      <c r="BI58" s="174"/>
      <c r="BJ58" s="174"/>
      <c r="BK58" s="174"/>
      <c r="BL58" s="174"/>
      <c r="BM58" s="174"/>
      <c r="BN58" s="174"/>
      <c r="BO58" s="174"/>
      <c r="BP58" s="174"/>
      <c r="BQ58" s="174"/>
      <c r="BR58" s="174"/>
      <c r="BS58" s="174"/>
      <c r="BT58" s="174"/>
      <c r="BU58" s="174"/>
      <c r="BV58" s="174"/>
      <c r="BW58" s="174"/>
      <c r="BX58" s="174"/>
      <c r="BY58" s="174"/>
      <c r="BZ58" s="174"/>
      <c r="CA58" s="174"/>
      <c r="CB58" s="174"/>
      <c r="CC58" s="174"/>
      <c r="CD58" s="174"/>
      <c r="CE58" s="174"/>
      <c r="CF58" s="174"/>
      <c r="CG58" s="174"/>
      <c r="CH58" s="175"/>
    </row>
    <row r="59" spans="12:86" x14ac:dyDescent="0.3">
      <c r="L59" s="196"/>
      <c r="AE59" s="152">
        <v>35</v>
      </c>
      <c r="AF59" s="152">
        <f>AF58+3.8</f>
        <v>114.99999999999996</v>
      </c>
      <c r="AG59" s="152">
        <f>AG58+480</f>
        <v>12000</v>
      </c>
      <c r="AH59" s="152">
        <f>AH58+2</f>
        <v>50.000000000000007</v>
      </c>
      <c r="AW59" s="174"/>
      <c r="AX59" s="174"/>
      <c r="AY59" s="174"/>
      <c r="AZ59" s="174"/>
      <c r="BA59" s="174"/>
      <c r="BB59" s="174"/>
      <c r="BC59" s="174"/>
      <c r="BD59" s="174"/>
      <c r="BE59" s="174"/>
      <c r="BF59" s="174"/>
      <c r="BG59" s="174"/>
      <c r="BH59" s="174"/>
      <c r="BI59" s="174"/>
      <c r="BJ59" s="174"/>
      <c r="BK59" s="174"/>
      <c r="BL59" s="174"/>
      <c r="BM59" s="174"/>
      <c r="BN59" s="174"/>
      <c r="BO59" s="174"/>
      <c r="BP59" s="174"/>
      <c r="BQ59" s="174"/>
      <c r="BR59" s="174"/>
      <c r="BS59" s="174"/>
      <c r="BT59" s="174"/>
      <c r="BU59" s="174"/>
      <c r="BV59" s="174"/>
      <c r="BW59" s="174"/>
      <c r="BX59" s="174"/>
      <c r="BY59" s="174"/>
      <c r="BZ59" s="174"/>
      <c r="CA59" s="174"/>
      <c r="CB59" s="174"/>
      <c r="CC59" s="174"/>
      <c r="CD59" s="174"/>
      <c r="CE59" s="174"/>
      <c r="CF59" s="174"/>
      <c r="CG59" s="174"/>
      <c r="CH59" s="175"/>
    </row>
    <row r="60" spans="12:86" x14ac:dyDescent="0.3">
      <c r="L60" s="196"/>
      <c r="AW60" s="174"/>
      <c r="AX60" s="174"/>
      <c r="AY60" s="174"/>
      <c r="AZ60" s="174"/>
      <c r="BA60" s="174"/>
      <c r="BB60" s="174"/>
      <c r="BC60" s="174"/>
      <c r="BD60" s="174"/>
      <c r="BE60" s="174"/>
      <c r="BF60" s="174"/>
      <c r="BG60" s="174"/>
      <c r="BH60" s="174"/>
      <c r="BI60" s="174"/>
      <c r="BJ60" s="174"/>
      <c r="BK60" s="174"/>
      <c r="BL60" s="174"/>
      <c r="BM60" s="174"/>
      <c r="BN60" s="174"/>
      <c r="BO60" s="174"/>
      <c r="BP60" s="174"/>
      <c r="BQ60" s="174"/>
      <c r="BR60" s="174"/>
      <c r="BS60" s="174"/>
      <c r="BT60" s="174"/>
      <c r="BU60" s="174"/>
      <c r="BV60" s="174"/>
      <c r="BW60" s="174"/>
      <c r="BX60" s="174"/>
      <c r="BY60" s="174"/>
      <c r="BZ60" s="174"/>
      <c r="CA60" s="174"/>
      <c r="CB60" s="174"/>
      <c r="CC60" s="174"/>
      <c r="CD60" s="174"/>
      <c r="CE60" s="174"/>
      <c r="CF60" s="174"/>
      <c r="CG60" s="174"/>
      <c r="CH60" s="175"/>
    </row>
    <row r="61" spans="12:86" x14ac:dyDescent="0.3">
      <c r="L61" s="196"/>
      <c r="AW61" s="174"/>
      <c r="AX61" s="174"/>
      <c r="AY61" s="174"/>
      <c r="AZ61" s="174"/>
      <c r="BA61" s="174"/>
      <c r="BB61" s="174"/>
      <c r="BC61" s="174"/>
      <c r="BD61" s="174"/>
      <c r="BE61" s="174"/>
      <c r="BF61" s="174"/>
      <c r="BG61" s="174"/>
      <c r="BH61" s="174"/>
      <c r="BI61" s="174"/>
      <c r="BJ61" s="174"/>
      <c r="BK61" s="174"/>
      <c r="BL61" s="174"/>
      <c r="BM61" s="174"/>
      <c r="BN61" s="174"/>
      <c r="BO61" s="174"/>
      <c r="BP61" s="174"/>
      <c r="BQ61" s="174"/>
      <c r="BR61" s="174"/>
      <c r="BS61" s="174"/>
      <c r="BT61" s="174"/>
      <c r="BU61" s="174"/>
      <c r="BV61" s="174"/>
      <c r="BW61" s="174"/>
      <c r="BX61" s="174"/>
      <c r="BY61" s="174"/>
      <c r="BZ61" s="174"/>
      <c r="CA61" s="174"/>
      <c r="CB61" s="174"/>
      <c r="CC61" s="174"/>
      <c r="CD61" s="174"/>
      <c r="CE61" s="174"/>
      <c r="CF61" s="174"/>
      <c r="CG61" s="174"/>
      <c r="CH61" s="175"/>
    </row>
    <row r="62" spans="12:86" x14ac:dyDescent="0.3">
      <c r="L62" s="196"/>
      <c r="AW62" s="174"/>
      <c r="AX62" s="174"/>
      <c r="AY62" s="174"/>
      <c r="AZ62" s="174"/>
      <c r="BA62" s="174"/>
      <c r="BB62" s="174"/>
      <c r="BC62" s="174"/>
      <c r="BD62" s="174"/>
      <c r="BE62" s="174"/>
      <c r="BF62" s="174"/>
      <c r="BG62" s="174"/>
      <c r="BH62" s="174"/>
      <c r="BI62" s="174"/>
      <c r="BJ62" s="174"/>
      <c r="BK62" s="174"/>
      <c r="BL62" s="174"/>
      <c r="BM62" s="174"/>
      <c r="BN62" s="174"/>
      <c r="BO62" s="174"/>
      <c r="BP62" s="174"/>
      <c r="BQ62" s="174"/>
      <c r="BR62" s="174"/>
      <c r="BS62" s="174"/>
      <c r="BT62" s="174"/>
      <c r="BU62" s="174"/>
      <c r="BV62" s="174"/>
      <c r="BW62" s="174"/>
      <c r="BX62" s="174"/>
      <c r="BY62" s="174"/>
      <c r="BZ62" s="174"/>
      <c r="CA62" s="174"/>
      <c r="CB62" s="174"/>
      <c r="CC62" s="174"/>
      <c r="CD62" s="174"/>
      <c r="CE62" s="174"/>
      <c r="CF62" s="174"/>
      <c r="CG62" s="174"/>
      <c r="CH62" s="175"/>
    </row>
    <row r="63" spans="12:86" x14ac:dyDescent="0.3">
      <c r="L63" s="196"/>
      <c r="AW63" s="174"/>
      <c r="AX63" s="174"/>
      <c r="AY63" s="174"/>
      <c r="AZ63" s="174"/>
      <c r="BA63" s="174"/>
      <c r="BB63" s="174"/>
      <c r="BC63" s="174"/>
      <c r="BD63" s="174"/>
      <c r="BE63" s="174"/>
      <c r="BF63" s="174"/>
      <c r="BG63" s="174"/>
      <c r="BH63" s="174"/>
      <c r="BI63" s="174"/>
      <c r="BJ63" s="174"/>
      <c r="BK63" s="174"/>
      <c r="BL63" s="174"/>
      <c r="BM63" s="174"/>
      <c r="BN63" s="174"/>
      <c r="BO63" s="174"/>
      <c r="BP63" s="174"/>
      <c r="BQ63" s="174"/>
      <c r="BR63" s="174"/>
      <c r="BS63" s="174"/>
      <c r="BT63" s="174"/>
      <c r="BU63" s="174"/>
      <c r="BV63" s="174"/>
      <c r="BW63" s="174"/>
      <c r="BX63" s="174"/>
      <c r="BY63" s="174"/>
      <c r="BZ63" s="174"/>
      <c r="CA63" s="174"/>
      <c r="CB63" s="174"/>
      <c r="CC63" s="174"/>
      <c r="CD63" s="174"/>
      <c r="CE63" s="174"/>
      <c r="CF63" s="174"/>
      <c r="CG63" s="174"/>
      <c r="CH63" s="175"/>
    </row>
    <row r="64" spans="12:86" x14ac:dyDescent="0.3">
      <c r="L64" s="196"/>
      <c r="AW64" s="174"/>
      <c r="AX64" s="174"/>
      <c r="AY64" s="174"/>
      <c r="AZ64" s="174"/>
      <c r="BA64" s="174"/>
      <c r="BB64" s="174"/>
      <c r="BC64" s="174"/>
      <c r="BD64" s="174"/>
      <c r="BE64" s="174"/>
      <c r="BF64" s="174"/>
      <c r="BG64" s="174"/>
      <c r="BH64" s="174"/>
      <c r="BI64" s="174"/>
      <c r="BJ64" s="174"/>
      <c r="BK64" s="174"/>
      <c r="BL64" s="174"/>
      <c r="BM64" s="174"/>
      <c r="BN64" s="174"/>
      <c r="BO64" s="174"/>
      <c r="BP64" s="174"/>
      <c r="BQ64" s="174"/>
      <c r="BR64" s="174"/>
      <c r="BS64" s="174"/>
      <c r="BT64" s="174"/>
      <c r="BU64" s="174"/>
      <c r="BV64" s="174"/>
      <c r="BW64" s="174"/>
      <c r="BX64" s="174"/>
      <c r="BY64" s="174"/>
      <c r="BZ64" s="174"/>
      <c r="CA64" s="174"/>
      <c r="CB64" s="174"/>
      <c r="CC64" s="174"/>
      <c r="CD64" s="174"/>
      <c r="CE64" s="174"/>
      <c r="CF64" s="174"/>
      <c r="CG64" s="174"/>
      <c r="CH64" s="175"/>
    </row>
    <row r="65" spans="12:86" x14ac:dyDescent="0.3">
      <c r="L65" s="196"/>
      <c r="AW65" s="174"/>
      <c r="AX65" s="174"/>
      <c r="AY65" s="174"/>
      <c r="AZ65" s="174"/>
      <c r="BA65" s="174"/>
      <c r="BB65" s="174"/>
      <c r="BC65" s="174"/>
      <c r="BD65" s="174"/>
      <c r="BE65" s="174"/>
      <c r="BF65" s="174"/>
      <c r="BG65" s="174"/>
      <c r="BH65" s="174"/>
      <c r="BI65" s="174"/>
      <c r="BJ65" s="174"/>
      <c r="BK65" s="174"/>
      <c r="BL65" s="174"/>
      <c r="BM65" s="174"/>
      <c r="BN65" s="174"/>
      <c r="BO65" s="174"/>
      <c r="BP65" s="174"/>
      <c r="BQ65" s="174"/>
      <c r="BR65" s="174"/>
      <c r="BS65" s="174"/>
      <c r="BT65" s="174"/>
      <c r="BU65" s="174"/>
      <c r="BV65" s="174"/>
      <c r="BW65" s="174"/>
      <c r="BX65" s="174"/>
      <c r="BY65" s="174"/>
      <c r="BZ65" s="174"/>
      <c r="CA65" s="174"/>
      <c r="CB65" s="174"/>
      <c r="CC65" s="174"/>
      <c r="CD65" s="174"/>
      <c r="CE65" s="174"/>
      <c r="CF65" s="174"/>
      <c r="CG65" s="174"/>
      <c r="CH65" s="175"/>
    </row>
    <row r="66" spans="12:86" x14ac:dyDescent="0.3">
      <c r="L66" s="196"/>
      <c r="AW66" s="174"/>
      <c r="AX66" s="174"/>
      <c r="AY66" s="174"/>
      <c r="AZ66" s="174"/>
      <c r="BA66" s="174"/>
      <c r="BB66" s="174"/>
      <c r="BC66" s="174"/>
      <c r="BD66" s="174"/>
      <c r="BE66" s="174"/>
      <c r="BF66" s="174"/>
      <c r="BG66" s="174"/>
      <c r="BH66" s="174"/>
      <c r="BI66" s="174"/>
      <c r="BJ66" s="174"/>
      <c r="BK66" s="174"/>
      <c r="BL66" s="174"/>
      <c r="BM66" s="174"/>
      <c r="BN66" s="174"/>
      <c r="BO66" s="174"/>
      <c r="BP66" s="174"/>
      <c r="BQ66" s="174"/>
      <c r="BR66" s="174"/>
      <c r="BS66" s="174"/>
      <c r="BT66" s="174"/>
      <c r="BU66" s="174"/>
      <c r="BV66" s="174"/>
      <c r="BW66" s="174"/>
      <c r="BX66" s="174"/>
      <c r="BY66" s="174"/>
      <c r="BZ66" s="174"/>
      <c r="CA66" s="174"/>
      <c r="CB66" s="174"/>
      <c r="CC66" s="174"/>
      <c r="CD66" s="174"/>
      <c r="CE66" s="174"/>
      <c r="CF66" s="174"/>
      <c r="CG66" s="174"/>
      <c r="CH66" s="175"/>
    </row>
    <row r="67" spans="12:86" x14ac:dyDescent="0.3">
      <c r="L67" s="196"/>
      <c r="AW67" s="174"/>
      <c r="AX67" s="174"/>
      <c r="AY67" s="174"/>
      <c r="AZ67" s="174"/>
      <c r="BA67" s="174"/>
      <c r="BB67" s="174"/>
      <c r="BC67" s="174"/>
      <c r="BD67" s="174"/>
      <c r="BE67" s="174"/>
      <c r="BF67" s="174"/>
      <c r="BG67" s="174"/>
      <c r="BH67" s="174"/>
      <c r="BI67" s="174"/>
      <c r="BJ67" s="174"/>
      <c r="BK67" s="174"/>
      <c r="BL67" s="174"/>
      <c r="BM67" s="174"/>
      <c r="BN67" s="174"/>
      <c r="BO67" s="174"/>
      <c r="BP67" s="174"/>
      <c r="BQ67" s="174"/>
      <c r="BR67" s="174"/>
      <c r="BS67" s="174"/>
      <c r="BT67" s="174"/>
      <c r="BU67" s="174"/>
      <c r="BV67" s="174"/>
      <c r="BW67" s="174"/>
      <c r="BX67" s="174"/>
      <c r="BY67" s="174"/>
      <c r="BZ67" s="174"/>
      <c r="CA67" s="174"/>
      <c r="CB67" s="174"/>
      <c r="CC67" s="174"/>
      <c r="CD67" s="174"/>
      <c r="CE67" s="174"/>
      <c r="CF67" s="174"/>
      <c r="CG67" s="174"/>
      <c r="CH67" s="175"/>
    </row>
    <row r="68" spans="12:86" x14ac:dyDescent="0.3">
      <c r="L68" s="196"/>
      <c r="AW68" s="174"/>
      <c r="AX68" s="174"/>
      <c r="AY68" s="174"/>
      <c r="AZ68" s="174"/>
      <c r="BA68" s="174"/>
      <c r="BB68" s="174"/>
      <c r="BC68" s="174"/>
      <c r="BD68" s="174"/>
      <c r="BE68" s="174"/>
      <c r="BF68" s="174"/>
      <c r="BG68" s="174"/>
      <c r="BH68" s="174"/>
      <c r="BI68" s="174"/>
      <c r="BJ68" s="174"/>
      <c r="BK68" s="174"/>
      <c r="BL68" s="174"/>
      <c r="BM68" s="174"/>
      <c r="BN68" s="174"/>
      <c r="BO68" s="174"/>
      <c r="BP68" s="174"/>
      <c r="BQ68" s="174"/>
      <c r="BR68" s="174"/>
      <c r="BS68" s="174"/>
      <c r="BT68" s="174"/>
      <c r="BU68" s="174"/>
      <c r="BV68" s="174"/>
      <c r="BW68" s="174"/>
      <c r="BX68" s="174"/>
      <c r="BY68" s="174"/>
      <c r="BZ68" s="174"/>
      <c r="CA68" s="174"/>
      <c r="CB68" s="174"/>
      <c r="CC68" s="174"/>
      <c r="CD68" s="174"/>
      <c r="CE68" s="174"/>
      <c r="CF68" s="174"/>
      <c r="CG68" s="174"/>
      <c r="CH68" s="175"/>
    </row>
    <row r="69" spans="12:86" x14ac:dyDescent="0.3">
      <c r="L69" s="196"/>
    </row>
    <row r="70" spans="12:86" x14ac:dyDescent="0.3">
      <c r="L70" s="196"/>
    </row>
    <row r="71" spans="12:86" x14ac:dyDescent="0.3">
      <c r="L71" s="196"/>
    </row>
    <row r="72" spans="12:86" x14ac:dyDescent="0.3">
      <c r="L72" s="196"/>
    </row>
    <row r="73" spans="12:86" x14ac:dyDescent="0.3">
      <c r="L73" s="196"/>
    </row>
    <row r="74" spans="12:86" x14ac:dyDescent="0.3">
      <c r="L74" s="196"/>
    </row>
    <row r="75" spans="12:86" x14ac:dyDescent="0.3">
      <c r="L75" s="196"/>
    </row>
    <row r="76" spans="12:86" x14ac:dyDescent="0.3">
      <c r="L76" s="196"/>
    </row>
    <row r="77" spans="12:86" x14ac:dyDescent="0.3">
      <c r="L77" s="196"/>
    </row>
    <row r="78" spans="12:86" x14ac:dyDescent="0.3">
      <c r="L78" s="196"/>
    </row>
    <row r="79" spans="12:86" x14ac:dyDescent="0.3">
      <c r="L79" s="196"/>
    </row>
    <row r="80" spans="12:86" x14ac:dyDescent="0.3">
      <c r="L80" s="196"/>
    </row>
    <row r="81" spans="12:12" x14ac:dyDescent="0.3">
      <c r="L81" s="196"/>
    </row>
    <row r="82" spans="12:12" x14ac:dyDescent="0.3">
      <c r="L82" s="196"/>
    </row>
    <row r="83" spans="12:12" x14ac:dyDescent="0.3">
      <c r="L83" s="196"/>
    </row>
    <row r="84" spans="12:12" x14ac:dyDescent="0.3">
      <c r="L84" s="196"/>
    </row>
    <row r="85" spans="12:12" x14ac:dyDescent="0.3">
      <c r="L85" s="196"/>
    </row>
    <row r="86" spans="12:12" x14ac:dyDescent="0.3">
      <c r="L86" s="196"/>
    </row>
    <row r="87" spans="12:12" x14ac:dyDescent="0.3">
      <c r="L87" s="196"/>
    </row>
    <row r="88" spans="12:12" x14ac:dyDescent="0.3">
      <c r="L88" s="196"/>
    </row>
    <row r="89" spans="12:12" x14ac:dyDescent="0.3">
      <c r="L89" s="196"/>
    </row>
    <row r="90" spans="12:12" x14ac:dyDescent="0.3">
      <c r="L90" s="196"/>
    </row>
    <row r="91" spans="12:12" x14ac:dyDescent="0.3">
      <c r="L91" s="196"/>
    </row>
    <row r="92" spans="12:12" x14ac:dyDescent="0.3">
      <c r="L92" s="196"/>
    </row>
    <row r="93" spans="12:12" x14ac:dyDescent="0.3">
      <c r="L93" s="196"/>
    </row>
    <row r="94" spans="12:12" x14ac:dyDescent="0.3">
      <c r="L94" s="196"/>
    </row>
    <row r="95" spans="12:12" x14ac:dyDescent="0.3">
      <c r="L95" s="196"/>
    </row>
    <row r="96" spans="12:12" x14ac:dyDescent="0.3">
      <c r="L96" s="196"/>
    </row>
    <row r="97" spans="12:12" x14ac:dyDescent="0.3">
      <c r="L97" s="196"/>
    </row>
    <row r="98" spans="12:12" x14ac:dyDescent="0.3">
      <c r="L98" s="196"/>
    </row>
    <row r="99" spans="12:12" x14ac:dyDescent="0.3">
      <c r="L99" s="196"/>
    </row>
    <row r="100" spans="12:12" x14ac:dyDescent="0.3">
      <c r="L100" s="196"/>
    </row>
    <row r="101" spans="12:12" x14ac:dyDescent="0.3">
      <c r="L101" s="196"/>
    </row>
    <row r="102" spans="12:12" x14ac:dyDescent="0.3">
      <c r="L102" s="196"/>
    </row>
    <row r="103" spans="12:12" x14ac:dyDescent="0.3">
      <c r="L103" s="196"/>
    </row>
    <row r="104" spans="12:12" x14ac:dyDescent="0.3">
      <c r="L104" s="196"/>
    </row>
    <row r="105" spans="12:12" x14ac:dyDescent="0.3">
      <c r="L105" s="196"/>
    </row>
    <row r="106" spans="12:12" x14ac:dyDescent="0.3">
      <c r="L106" s="196"/>
    </row>
    <row r="107" spans="12:12" x14ac:dyDescent="0.3">
      <c r="L107" s="196"/>
    </row>
    <row r="108" spans="12:12" x14ac:dyDescent="0.3">
      <c r="L108" s="196"/>
    </row>
    <row r="109" spans="12:12" x14ac:dyDescent="0.3">
      <c r="L109" s="196"/>
    </row>
    <row r="110" spans="12:12" x14ac:dyDescent="0.3">
      <c r="L110" s="196"/>
    </row>
    <row r="111" spans="12:12" x14ac:dyDescent="0.3">
      <c r="L111" s="196"/>
    </row>
    <row r="112" spans="12:12" x14ac:dyDescent="0.3">
      <c r="L112" s="196"/>
    </row>
    <row r="113" spans="12:12" x14ac:dyDescent="0.3">
      <c r="L113" s="196"/>
    </row>
    <row r="114" spans="12:12" x14ac:dyDescent="0.3">
      <c r="L114" s="196"/>
    </row>
    <row r="115" spans="12:12" x14ac:dyDescent="0.3">
      <c r="L115" s="196"/>
    </row>
    <row r="116" spans="12:12" x14ac:dyDescent="0.3">
      <c r="L116" s="196"/>
    </row>
    <row r="117" spans="12:12" x14ac:dyDescent="0.3">
      <c r="L117" s="196"/>
    </row>
    <row r="118" spans="12:12" x14ac:dyDescent="0.3">
      <c r="L118" s="196"/>
    </row>
    <row r="119" spans="12:12" x14ac:dyDescent="0.3">
      <c r="L119" s="196"/>
    </row>
    <row r="120" spans="12:12" x14ac:dyDescent="0.3">
      <c r="L120" s="196"/>
    </row>
    <row r="121" spans="12:12" x14ac:dyDescent="0.3">
      <c r="L121" s="196"/>
    </row>
    <row r="122" spans="12:12" x14ac:dyDescent="0.3">
      <c r="L122" s="196"/>
    </row>
    <row r="123" spans="12:12" x14ac:dyDescent="0.3">
      <c r="L123" s="196"/>
    </row>
    <row r="124" spans="12:12" x14ac:dyDescent="0.3">
      <c r="L124" s="196"/>
    </row>
    <row r="125" spans="12:12" x14ac:dyDescent="0.3">
      <c r="L125" s="196"/>
    </row>
    <row r="126" spans="12:12" x14ac:dyDescent="0.3">
      <c r="L126" s="196"/>
    </row>
    <row r="127" spans="12:12" x14ac:dyDescent="0.3">
      <c r="L127" s="196"/>
    </row>
    <row r="128" spans="12:12" x14ac:dyDescent="0.3">
      <c r="L128" s="196"/>
    </row>
    <row r="129" spans="12:12" x14ac:dyDescent="0.3">
      <c r="L129" s="196"/>
    </row>
    <row r="130" spans="12:12" x14ac:dyDescent="0.3">
      <c r="L130" s="196"/>
    </row>
    <row r="131" spans="12:12" x14ac:dyDescent="0.3">
      <c r="L131" s="196"/>
    </row>
    <row r="132" spans="12:12" x14ac:dyDescent="0.3">
      <c r="L132" s="196"/>
    </row>
    <row r="133" spans="12:12" x14ac:dyDescent="0.3">
      <c r="L133" s="196"/>
    </row>
    <row r="134" spans="12:12" x14ac:dyDescent="0.3">
      <c r="L134" s="196"/>
    </row>
    <row r="135" spans="12:12" x14ac:dyDescent="0.3">
      <c r="L135" s="196"/>
    </row>
    <row r="136" spans="12:12" x14ac:dyDescent="0.3">
      <c r="L136" s="196"/>
    </row>
    <row r="137" spans="12:12" x14ac:dyDescent="0.3">
      <c r="L137" s="196"/>
    </row>
    <row r="138" spans="12:12" x14ac:dyDescent="0.3">
      <c r="L138" s="196"/>
    </row>
    <row r="139" spans="12:12" x14ac:dyDescent="0.3">
      <c r="L139" s="196"/>
    </row>
    <row r="140" spans="12:12" x14ac:dyDescent="0.3">
      <c r="L140" s="196"/>
    </row>
    <row r="141" spans="12:12" x14ac:dyDescent="0.3">
      <c r="L141" s="196"/>
    </row>
    <row r="142" spans="12:12" x14ac:dyDescent="0.3">
      <c r="L142" s="196"/>
    </row>
    <row r="143" spans="12:12" x14ac:dyDescent="0.3">
      <c r="L143" s="196"/>
    </row>
    <row r="144" spans="12:12" x14ac:dyDescent="0.3">
      <c r="L144" s="196"/>
    </row>
    <row r="145" spans="12:12" x14ac:dyDescent="0.3">
      <c r="L145" s="196"/>
    </row>
    <row r="146" spans="12:12" x14ac:dyDescent="0.3">
      <c r="L146" s="196"/>
    </row>
    <row r="147" spans="12:12" x14ac:dyDescent="0.3">
      <c r="L147" s="196"/>
    </row>
    <row r="148" spans="12:12" x14ac:dyDescent="0.3">
      <c r="L148" s="196"/>
    </row>
    <row r="149" spans="12:12" x14ac:dyDescent="0.3">
      <c r="L149" s="196"/>
    </row>
    <row r="150" spans="12:12" x14ac:dyDescent="0.3">
      <c r="L150" s="196"/>
    </row>
    <row r="151" spans="12:12" x14ac:dyDescent="0.3">
      <c r="L151" s="196"/>
    </row>
    <row r="152" spans="12:12" x14ac:dyDescent="0.3">
      <c r="L152" s="196"/>
    </row>
    <row r="153" spans="12:12" x14ac:dyDescent="0.3">
      <c r="L153" s="196"/>
    </row>
    <row r="154" spans="12:12" x14ac:dyDescent="0.3">
      <c r="L154" s="196"/>
    </row>
    <row r="155" spans="12:12" x14ac:dyDescent="0.3">
      <c r="L155" s="196"/>
    </row>
    <row r="156" spans="12:12" x14ac:dyDescent="0.3">
      <c r="L156" s="196"/>
    </row>
    <row r="157" spans="12:12" x14ac:dyDescent="0.3">
      <c r="L157" s="196"/>
    </row>
    <row r="158" spans="12:12" x14ac:dyDescent="0.3">
      <c r="L158" s="196"/>
    </row>
    <row r="159" spans="12:12" x14ac:dyDescent="0.3">
      <c r="L159" s="196"/>
    </row>
    <row r="160" spans="12:12" x14ac:dyDescent="0.3">
      <c r="L160" s="196"/>
    </row>
    <row r="161" spans="12:12" x14ac:dyDescent="0.3">
      <c r="L161" s="196"/>
    </row>
    <row r="162" spans="12:12" x14ac:dyDescent="0.3">
      <c r="L162" s="196"/>
    </row>
    <row r="163" spans="12:12" x14ac:dyDescent="0.3">
      <c r="L163" s="196"/>
    </row>
    <row r="164" spans="12:12" x14ac:dyDescent="0.3">
      <c r="L164" s="196"/>
    </row>
    <row r="165" spans="12:12" x14ac:dyDescent="0.3">
      <c r="L165" s="196"/>
    </row>
    <row r="166" spans="12:12" x14ac:dyDescent="0.3">
      <c r="L166" s="196"/>
    </row>
    <row r="167" spans="12:12" x14ac:dyDescent="0.3">
      <c r="L167" s="196"/>
    </row>
    <row r="168" spans="12:12" x14ac:dyDescent="0.3">
      <c r="L168" s="196"/>
    </row>
    <row r="169" spans="12:12" x14ac:dyDescent="0.3">
      <c r="L169" s="196"/>
    </row>
    <row r="170" spans="12:12" x14ac:dyDescent="0.3">
      <c r="L170" s="196"/>
    </row>
    <row r="171" spans="12:12" x14ac:dyDescent="0.3">
      <c r="L171" s="196"/>
    </row>
    <row r="172" spans="12:12" x14ac:dyDescent="0.3">
      <c r="L172" s="196"/>
    </row>
    <row r="173" spans="12:12" x14ac:dyDescent="0.3">
      <c r="L173" s="196"/>
    </row>
    <row r="174" spans="12:12" x14ac:dyDescent="0.3">
      <c r="L174" s="196"/>
    </row>
    <row r="175" spans="12:12" x14ac:dyDescent="0.3">
      <c r="L175" s="196"/>
    </row>
    <row r="176" spans="12:12" x14ac:dyDescent="0.3">
      <c r="L176" s="196"/>
    </row>
    <row r="177" spans="12:12" x14ac:dyDescent="0.3">
      <c r="L177" s="196"/>
    </row>
    <row r="178" spans="12:12" x14ac:dyDescent="0.3">
      <c r="L178" s="196"/>
    </row>
    <row r="179" spans="12:12" x14ac:dyDescent="0.3">
      <c r="L179" s="196"/>
    </row>
    <row r="180" spans="12:12" x14ac:dyDescent="0.3">
      <c r="L180" s="196"/>
    </row>
    <row r="181" spans="12:12" x14ac:dyDescent="0.3">
      <c r="L181" s="196"/>
    </row>
    <row r="182" spans="12:12" x14ac:dyDescent="0.3">
      <c r="L182" s="196"/>
    </row>
    <row r="183" spans="12:12" x14ac:dyDescent="0.3">
      <c r="L183" s="196"/>
    </row>
    <row r="184" spans="12:12" x14ac:dyDescent="0.3">
      <c r="L184" s="196"/>
    </row>
    <row r="185" spans="12:12" x14ac:dyDescent="0.3">
      <c r="L185" s="196"/>
    </row>
    <row r="186" spans="12:12" x14ac:dyDescent="0.3">
      <c r="L186" s="196"/>
    </row>
    <row r="187" spans="12:12" x14ac:dyDescent="0.3">
      <c r="L187" s="196"/>
    </row>
    <row r="188" spans="12:12" x14ac:dyDescent="0.3">
      <c r="L188" s="196"/>
    </row>
    <row r="189" spans="12:12" x14ac:dyDescent="0.3">
      <c r="L189" s="196"/>
    </row>
    <row r="190" spans="12:12" x14ac:dyDescent="0.3">
      <c r="L190" s="196"/>
    </row>
    <row r="191" spans="12:12" x14ac:dyDescent="0.3">
      <c r="L191" s="196"/>
    </row>
    <row r="192" spans="12:12" x14ac:dyDescent="0.3">
      <c r="L192" s="196"/>
    </row>
    <row r="193" spans="12:12" x14ac:dyDescent="0.3">
      <c r="L193" s="196"/>
    </row>
    <row r="194" spans="12:12" x14ac:dyDescent="0.3">
      <c r="L194" s="196"/>
    </row>
    <row r="195" spans="12:12" x14ac:dyDescent="0.3">
      <c r="L195" s="196"/>
    </row>
    <row r="196" spans="12:12" x14ac:dyDescent="0.3">
      <c r="L196" s="196"/>
    </row>
    <row r="197" spans="12:12" x14ac:dyDescent="0.3">
      <c r="L197" s="196"/>
    </row>
    <row r="198" spans="12:12" x14ac:dyDescent="0.3">
      <c r="L198" s="196"/>
    </row>
    <row r="199" spans="12:12" x14ac:dyDescent="0.3">
      <c r="L199" s="196"/>
    </row>
    <row r="200" spans="12:12" x14ac:dyDescent="0.3">
      <c r="L200" s="196"/>
    </row>
    <row r="201" spans="12:12" x14ac:dyDescent="0.3">
      <c r="L201" s="196"/>
    </row>
    <row r="202" spans="12:12" x14ac:dyDescent="0.3">
      <c r="L202" s="196"/>
    </row>
    <row r="203" spans="12:12" x14ac:dyDescent="0.3">
      <c r="L203" s="196"/>
    </row>
    <row r="204" spans="12:12" x14ac:dyDescent="0.3">
      <c r="L204" s="196"/>
    </row>
    <row r="205" spans="12:12" x14ac:dyDescent="0.3">
      <c r="L205" s="196"/>
    </row>
    <row r="206" spans="12:12" x14ac:dyDescent="0.3">
      <c r="L206" s="196"/>
    </row>
    <row r="207" spans="12:12" x14ac:dyDescent="0.3">
      <c r="L207" s="196"/>
    </row>
    <row r="208" spans="12:12" x14ac:dyDescent="0.3">
      <c r="L208" s="196"/>
    </row>
    <row r="209" spans="12:12" x14ac:dyDescent="0.3">
      <c r="L209" s="196"/>
    </row>
    <row r="210" spans="12:12" x14ac:dyDescent="0.3">
      <c r="L210" s="196"/>
    </row>
    <row r="211" spans="12:12" x14ac:dyDescent="0.3">
      <c r="L211" s="196"/>
    </row>
    <row r="212" spans="12:12" x14ac:dyDescent="0.3">
      <c r="L212" s="196"/>
    </row>
    <row r="213" spans="12:12" x14ac:dyDescent="0.3">
      <c r="L213" s="196"/>
    </row>
    <row r="214" spans="12:12" x14ac:dyDescent="0.3">
      <c r="L214" s="196"/>
    </row>
    <row r="215" spans="12:12" x14ac:dyDescent="0.3">
      <c r="L215" s="196"/>
    </row>
    <row r="216" spans="12:12" x14ac:dyDescent="0.3">
      <c r="L216" s="196"/>
    </row>
    <row r="217" spans="12:12" x14ac:dyDescent="0.3">
      <c r="L217" s="196"/>
    </row>
    <row r="218" spans="12:12" x14ac:dyDescent="0.3">
      <c r="L218" s="196"/>
    </row>
    <row r="219" spans="12:12" x14ac:dyDescent="0.3">
      <c r="L219" s="196"/>
    </row>
    <row r="220" spans="12:12" x14ac:dyDescent="0.3">
      <c r="L220" s="196"/>
    </row>
    <row r="221" spans="12:12" x14ac:dyDescent="0.3">
      <c r="L221" s="196"/>
    </row>
    <row r="222" spans="12:12" x14ac:dyDescent="0.3">
      <c r="L222" s="196"/>
    </row>
    <row r="223" spans="12:12" x14ac:dyDescent="0.3">
      <c r="L223" s="196"/>
    </row>
    <row r="224" spans="12:12" x14ac:dyDescent="0.3">
      <c r="L224" s="196"/>
    </row>
    <row r="225" spans="12:12" x14ac:dyDescent="0.3">
      <c r="L225" s="196"/>
    </row>
    <row r="226" spans="12:12" x14ac:dyDescent="0.3">
      <c r="L226" s="196"/>
    </row>
    <row r="227" spans="12:12" x14ac:dyDescent="0.3">
      <c r="L227" s="196"/>
    </row>
    <row r="228" spans="12:12" x14ac:dyDescent="0.3">
      <c r="L228" s="196"/>
    </row>
    <row r="229" spans="12:12" x14ac:dyDescent="0.3">
      <c r="L229" s="196"/>
    </row>
    <row r="230" spans="12:12" x14ac:dyDescent="0.3">
      <c r="L230" s="196"/>
    </row>
    <row r="231" spans="12:12" x14ac:dyDescent="0.3">
      <c r="L231" s="196"/>
    </row>
    <row r="232" spans="12:12" x14ac:dyDescent="0.3">
      <c r="L232" s="196"/>
    </row>
    <row r="233" spans="12:12" x14ac:dyDescent="0.3">
      <c r="L233" s="196"/>
    </row>
    <row r="234" spans="12:12" x14ac:dyDescent="0.3">
      <c r="L234" s="196"/>
    </row>
    <row r="235" spans="12:12" x14ac:dyDescent="0.3">
      <c r="L235" s="196"/>
    </row>
    <row r="236" spans="12:12" x14ac:dyDescent="0.3">
      <c r="L236" s="196"/>
    </row>
    <row r="237" spans="12:12" x14ac:dyDescent="0.3">
      <c r="L237" s="196"/>
    </row>
    <row r="238" spans="12:12" x14ac:dyDescent="0.3">
      <c r="L238" s="196"/>
    </row>
    <row r="239" spans="12:12" x14ac:dyDescent="0.3">
      <c r="L239" s="196"/>
    </row>
    <row r="240" spans="12:12" x14ac:dyDescent="0.3">
      <c r="L240" s="196"/>
    </row>
    <row r="241" spans="12:12" x14ac:dyDescent="0.3">
      <c r="L241" s="196"/>
    </row>
    <row r="242" spans="12:12" x14ac:dyDescent="0.3">
      <c r="L242" s="196"/>
    </row>
    <row r="243" spans="12:12" x14ac:dyDescent="0.3">
      <c r="L243" s="196"/>
    </row>
    <row r="244" spans="12:12" x14ac:dyDescent="0.3">
      <c r="L244" s="196"/>
    </row>
    <row r="245" spans="12:12" x14ac:dyDescent="0.3">
      <c r="L245" s="196"/>
    </row>
    <row r="246" spans="12:12" x14ac:dyDescent="0.3">
      <c r="L246" s="196"/>
    </row>
    <row r="247" spans="12:12" x14ac:dyDescent="0.3">
      <c r="L247" s="196"/>
    </row>
    <row r="248" spans="12:12" x14ac:dyDescent="0.3">
      <c r="L248" s="196"/>
    </row>
    <row r="249" spans="12:12" x14ac:dyDescent="0.3">
      <c r="L249" s="196"/>
    </row>
    <row r="250" spans="12:12" x14ac:dyDescent="0.3">
      <c r="L250" s="196"/>
    </row>
    <row r="251" spans="12:12" x14ac:dyDescent="0.3">
      <c r="L251" s="196"/>
    </row>
    <row r="252" spans="12:12" x14ac:dyDescent="0.3">
      <c r="L252" s="196"/>
    </row>
    <row r="253" spans="12:12" x14ac:dyDescent="0.3">
      <c r="L253" s="196"/>
    </row>
    <row r="254" spans="12:12" x14ac:dyDescent="0.3">
      <c r="L254" s="196"/>
    </row>
    <row r="255" spans="12:12" x14ac:dyDescent="0.3">
      <c r="L255" s="196"/>
    </row>
  </sheetData>
  <mergeCells count="2">
    <mergeCell ref="R3:S3"/>
    <mergeCell ref="U3:V3"/>
  </mergeCells>
  <phoneticPr fontId="26" type="noConversion"/>
  <conditionalFormatting sqref="AM32:AP36 Q32:Q36 N32:N36">
    <cfRule type="expression" dxfId="222" priority="12">
      <formula>$L32="API sand"</formula>
    </cfRule>
  </conditionalFormatting>
  <conditionalFormatting sqref="R32:S36 AB32:AB35 AJ32:AL36 Z32:Z36 N32:N36">
    <cfRule type="expression" dxfId="221" priority="11">
      <formula>$M32="API sand"</formula>
    </cfRule>
  </conditionalFormatting>
  <conditionalFormatting sqref="R32:T36 Z32:AB35 AK32:AL36 N32:N36">
    <cfRule type="expression" dxfId="220" priority="10">
      <formula>$M32="API clay"</formula>
    </cfRule>
  </conditionalFormatting>
  <conditionalFormatting sqref="U32:W36 AM32:AP36 N32:P36">
    <cfRule type="expression" dxfId="219" priority="7">
      <formula>$L32="Stiff clay w/o free water"</formula>
    </cfRule>
    <cfRule type="expression" dxfId="218" priority="9">
      <formula>$L32="API clay"</formula>
    </cfRule>
  </conditionalFormatting>
  <conditionalFormatting sqref="U32:Y36 AM32:AP36 N32:P36">
    <cfRule type="expression" dxfId="217" priority="8">
      <formula>$L32="Kirsch soft clay"</formula>
    </cfRule>
  </conditionalFormatting>
  <conditionalFormatting sqref="U32:Y36 AM32:AP36 N32:P36">
    <cfRule type="expression" dxfId="216" priority="6">
      <formula>$L32="Kirsch stiff clay"</formula>
    </cfRule>
  </conditionalFormatting>
  <conditionalFormatting sqref="AM32:AP36 Q32:Q36 X32:Y36 N32:N36">
    <cfRule type="expression" dxfId="215" priority="5">
      <formula>$L32="Kirsch sand"</formula>
    </cfRule>
  </conditionalFormatting>
  <conditionalFormatting sqref="AC32:AD36 AI32:AI36 AM32:AP36 N32:N36">
    <cfRule type="expression" dxfId="214" priority="4">
      <formula>$L32="Modified Weak rock"</formula>
    </cfRule>
  </conditionalFormatting>
  <conditionalFormatting sqref="AM32:AP36 N32:P36 U32:V36">
    <cfRule type="expression" dxfId="213" priority="3">
      <formula>$L32="Reese stiff clay"</formula>
    </cfRule>
  </conditionalFormatting>
  <conditionalFormatting sqref="AB36">
    <cfRule type="expression" dxfId="212" priority="2">
      <formula>$M36="API sand"</formula>
    </cfRule>
  </conditionalFormatting>
  <conditionalFormatting sqref="Z36:AB36">
    <cfRule type="expression" dxfId="211" priority="1">
      <formula>$M36="API clay"</formula>
    </cfRule>
  </conditionalFormatting>
  <conditionalFormatting sqref="AE37:AH37">
    <cfRule type="expression" dxfId="210" priority="13">
      <formula>#REF!="Modified Weak rock"</formula>
    </cfRule>
  </conditionalFormatting>
  <dataValidations count="3">
    <dataValidation type="list" showInputMessage="1" showErrorMessage="1" sqref="M32:M36" xr:uid="{4674C437-F192-480E-BC89-3FB646215C28}">
      <formula1>"',API sand,API clay"</formula1>
    </dataValidation>
    <dataValidation type="list" showInputMessage="1" showErrorMessage="1" sqref="L32:L255" xr:uid="{45E03BEF-A9B5-4FC9-9CCB-DCECB833E6FF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1 L17:L31" xr:uid="{E8A49BAD-B11B-49DB-B878-96F85BDCBD75}"/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A98C9-9890-4DD4-A252-36271D53DF2C}">
  <sheetPr codeName="Sheet16">
    <tabColor rgb="FF92D050"/>
  </sheetPr>
  <dimension ref="A1:CL255"/>
  <sheetViews>
    <sheetView tabSelected="1" topLeftCell="AH5" zoomScaleNormal="100" workbookViewId="0">
      <selection activeCell="AT13" sqref="AT13"/>
    </sheetView>
  </sheetViews>
  <sheetFormatPr defaultColWidth="9.33203125" defaultRowHeight="14.4" x14ac:dyDescent="0.3"/>
  <cols>
    <col min="1" max="1" width="18" style="152" bestFit="1" customWidth="1"/>
    <col min="2" max="2" width="13.6640625" style="152" customWidth="1"/>
    <col min="3" max="3" width="13.5546875" style="152" customWidth="1"/>
    <col min="4" max="5" width="14" style="152" customWidth="1"/>
    <col min="6" max="6" width="13" style="152" bestFit="1" customWidth="1"/>
    <col min="7" max="7" width="13.5546875" style="152" customWidth="1"/>
    <col min="8" max="8" width="11" style="152" bestFit="1" customWidth="1"/>
    <col min="9" max="9" width="15.6640625" style="152" bestFit="1" customWidth="1"/>
    <col min="10" max="10" width="10.33203125" style="152" customWidth="1"/>
    <col min="11" max="11" width="11.5546875" style="152" bestFit="1" customWidth="1"/>
    <col min="12" max="12" width="22.5546875" style="152" customWidth="1"/>
    <col min="13" max="13" width="11.6640625" style="152" bestFit="1" customWidth="1"/>
    <col min="14" max="14" width="11" style="152" bestFit="1" customWidth="1"/>
    <col min="15" max="15" width="9.33203125" style="152" customWidth="1"/>
    <col min="16" max="16" width="10.5546875" style="152" customWidth="1"/>
    <col min="17" max="18" width="9.5546875" style="152" bestFit="1" customWidth="1"/>
    <col min="19" max="20" width="6.5546875" style="152" customWidth="1"/>
    <col min="21" max="21" width="13.33203125" style="152" customWidth="1"/>
    <col min="22" max="22" width="19.44140625" style="152" customWidth="1"/>
    <col min="23" max="23" width="6.5546875" style="152" customWidth="1"/>
    <col min="24" max="24" width="11.6640625" style="152" customWidth="1"/>
    <col min="25" max="25" width="8.44140625" style="152" bestFit="1" customWidth="1"/>
    <col min="26" max="26" width="11.6640625" style="152" customWidth="1"/>
    <col min="27" max="27" width="11" style="152" bestFit="1" customWidth="1"/>
    <col min="28" max="28" width="10.5546875" style="152" customWidth="1"/>
    <col min="29" max="29" width="14.6640625" style="152" customWidth="1"/>
    <col min="30" max="30" width="11.6640625" style="152" customWidth="1"/>
    <col min="31" max="31" width="10.33203125" style="152" customWidth="1"/>
    <col min="32" max="32" width="8.33203125" style="152" customWidth="1"/>
    <col min="33" max="33" width="13.6640625" style="152" customWidth="1"/>
    <col min="34" max="34" width="8.44140625" style="152" customWidth="1"/>
    <col min="35" max="35" width="7.6640625" style="152" customWidth="1"/>
    <col min="36" max="36" width="8.5546875" style="152" customWidth="1"/>
    <col min="37" max="37" width="11.33203125" style="152" bestFit="1" customWidth="1"/>
    <col min="38" max="38" width="11.44140625" style="152" bestFit="1" customWidth="1"/>
    <col min="39" max="39" width="11.6640625" style="152" bestFit="1" customWidth="1"/>
    <col min="40" max="40" width="11.5546875" style="152" bestFit="1" customWidth="1"/>
    <col min="41" max="42" width="11.5546875" style="152" customWidth="1"/>
    <col min="43" max="45" width="9.33203125" style="152"/>
    <col min="46" max="46" width="30" style="152" customWidth="1"/>
    <col min="47" max="16384" width="9.33203125" style="152"/>
  </cols>
  <sheetData>
    <row r="1" spans="1:90" x14ac:dyDescent="0.3">
      <c r="A1" s="151" t="str">
        <f ca="1">TRIM(MID(CELL("filename",A1),FIND("]",CELL("filename",A1),1)+1,255))</f>
        <v>U03_NGI_L42</v>
      </c>
      <c r="D1" s="151"/>
    </row>
    <row r="3" spans="1:90" s="153" customFormat="1" ht="45" customHeight="1" x14ac:dyDescent="0.3">
      <c r="F3" s="154" t="s">
        <v>37</v>
      </c>
      <c r="J3" s="155" t="s">
        <v>22</v>
      </c>
      <c r="Q3" s="215"/>
      <c r="R3" s="237"/>
      <c r="S3" s="237"/>
      <c r="T3" s="215"/>
      <c r="U3" s="237"/>
      <c r="V3" s="237"/>
      <c r="W3" s="215"/>
      <c r="X3" s="157"/>
      <c r="Y3" s="215"/>
      <c r="Z3" s="215"/>
      <c r="AA3" s="215"/>
      <c r="AB3" s="215"/>
      <c r="AC3" s="157"/>
      <c r="AD3" s="158"/>
      <c r="AE3" s="158"/>
      <c r="AF3" s="158"/>
      <c r="AG3" s="158"/>
      <c r="AH3" s="158"/>
      <c r="AI3" s="158"/>
      <c r="AJ3" s="215"/>
      <c r="AK3" s="215"/>
      <c r="AL3" s="215"/>
      <c r="AM3" s="215"/>
      <c r="AN3" s="215"/>
      <c r="AO3" s="215"/>
      <c r="AP3" s="215"/>
    </row>
    <row r="4" spans="1:90" x14ac:dyDescent="0.3">
      <c r="A4" s="159" t="s">
        <v>54</v>
      </c>
      <c r="B4" s="152">
        <f>COUNTIF(J:J,"&gt;0")</f>
        <v>21</v>
      </c>
      <c r="C4" s="160" t="s">
        <v>402</v>
      </c>
      <c r="D4" s="161"/>
      <c r="F4" s="152" t="s">
        <v>38</v>
      </c>
      <c r="G4" s="162">
        <v>0</v>
      </c>
      <c r="H4" s="160" t="s">
        <v>28</v>
      </c>
      <c r="I4" s="152" t="s">
        <v>492</v>
      </c>
      <c r="J4" s="161" t="s">
        <v>0</v>
      </c>
      <c r="K4" s="161" t="s">
        <v>3</v>
      </c>
      <c r="L4" s="161" t="s">
        <v>1</v>
      </c>
      <c r="M4" s="161" t="s">
        <v>2</v>
      </c>
      <c r="N4" s="161" t="s">
        <v>6</v>
      </c>
      <c r="O4" s="161" t="s">
        <v>4</v>
      </c>
      <c r="P4" s="161" t="s">
        <v>5</v>
      </c>
      <c r="Q4" s="161" t="s">
        <v>7</v>
      </c>
      <c r="R4" s="161" t="s">
        <v>13</v>
      </c>
      <c r="S4" s="161" t="s">
        <v>65</v>
      </c>
      <c r="T4" s="161" t="s">
        <v>14</v>
      </c>
      <c r="U4" s="161" t="s">
        <v>8</v>
      </c>
      <c r="V4" s="161" t="s">
        <v>9</v>
      </c>
      <c r="W4" s="161" t="s">
        <v>10</v>
      </c>
      <c r="X4" s="161" t="s">
        <v>67</v>
      </c>
      <c r="Y4" s="161" t="s">
        <v>71</v>
      </c>
      <c r="Z4" s="161" t="s">
        <v>15</v>
      </c>
      <c r="AA4" s="161" t="s">
        <v>16</v>
      </c>
      <c r="AB4" s="161" t="s">
        <v>17</v>
      </c>
      <c r="AC4" s="161" t="s">
        <v>11</v>
      </c>
      <c r="AD4" s="161" t="s">
        <v>12</v>
      </c>
      <c r="AE4" s="161" t="s">
        <v>18</v>
      </c>
      <c r="AF4" s="161" t="s">
        <v>19</v>
      </c>
      <c r="AG4" s="161" t="s">
        <v>408</v>
      </c>
      <c r="AH4" s="161" t="s">
        <v>20</v>
      </c>
      <c r="AI4" s="161" t="s">
        <v>21</v>
      </c>
      <c r="AJ4" s="161" t="s">
        <v>59</v>
      </c>
      <c r="AK4" s="161" t="s">
        <v>64</v>
      </c>
      <c r="AL4" s="161" t="s">
        <v>68</v>
      </c>
      <c r="AM4" s="161" t="s">
        <v>69</v>
      </c>
      <c r="AN4" s="161" t="s">
        <v>70</v>
      </c>
      <c r="AO4" s="161" t="s">
        <v>407</v>
      </c>
      <c r="AP4" s="161" t="s">
        <v>406</v>
      </c>
      <c r="AQ4" s="163" t="s">
        <v>405</v>
      </c>
      <c r="AR4" s="161" t="s">
        <v>404</v>
      </c>
      <c r="AS4" s="152" t="s">
        <v>403</v>
      </c>
      <c r="AT4" s="152" t="s">
        <v>487</v>
      </c>
      <c r="AU4" s="152" t="s">
        <v>480</v>
      </c>
      <c r="AV4" s="152" t="s">
        <v>488</v>
      </c>
      <c r="AW4" s="152" t="s">
        <v>1850</v>
      </c>
      <c r="AX4" s="152" t="s">
        <v>1851</v>
      </c>
    </row>
    <row r="5" spans="1:90" ht="92.4" x14ac:dyDescent="0.3">
      <c r="A5" s="152" t="s">
        <v>55</v>
      </c>
      <c r="B5" s="152">
        <f ca="1">COUNTIF(A:A,"&gt;0")</f>
        <v>1</v>
      </c>
      <c r="C5" s="160" t="s">
        <v>402</v>
      </c>
      <c r="F5" s="152" t="s">
        <v>39</v>
      </c>
      <c r="G5" s="162">
        <v>0</v>
      </c>
      <c r="H5" s="160" t="s">
        <v>28</v>
      </c>
      <c r="J5" s="164" t="s">
        <v>36</v>
      </c>
      <c r="K5" s="164" t="s">
        <v>29</v>
      </c>
      <c r="L5" s="164" t="s">
        <v>30</v>
      </c>
      <c r="M5" s="164" t="s">
        <v>30</v>
      </c>
      <c r="N5" s="164" t="s">
        <v>31</v>
      </c>
      <c r="O5" s="164" t="s">
        <v>32</v>
      </c>
      <c r="P5" s="164" t="s">
        <v>34</v>
      </c>
      <c r="Q5" s="164" t="s">
        <v>35</v>
      </c>
      <c r="R5" s="164" t="s">
        <v>35</v>
      </c>
      <c r="S5" s="164" t="s">
        <v>33</v>
      </c>
      <c r="T5" s="164" t="s">
        <v>32</v>
      </c>
      <c r="U5" s="164" t="s">
        <v>33</v>
      </c>
      <c r="V5" s="164" t="s">
        <v>401</v>
      </c>
      <c r="W5" s="164" t="s">
        <v>33</v>
      </c>
      <c r="X5" s="164" t="s">
        <v>32</v>
      </c>
      <c r="Y5" s="164" t="s">
        <v>34</v>
      </c>
      <c r="Z5" s="164" t="s">
        <v>32</v>
      </c>
      <c r="AA5" s="164" t="s">
        <v>33</v>
      </c>
      <c r="AB5" s="164" t="s">
        <v>32</v>
      </c>
      <c r="AC5" s="164" t="s">
        <v>32</v>
      </c>
      <c r="AD5" s="164" t="s">
        <v>34</v>
      </c>
      <c r="AE5" s="164" t="s">
        <v>33</v>
      </c>
      <c r="AF5" s="164" t="s">
        <v>32</v>
      </c>
      <c r="AG5" s="164" t="s">
        <v>34</v>
      </c>
      <c r="AH5" s="164" t="s">
        <v>33</v>
      </c>
      <c r="AI5" s="164" t="s">
        <v>33</v>
      </c>
      <c r="AJ5" s="164" t="s">
        <v>33</v>
      </c>
      <c r="AK5" s="164" t="s">
        <v>33</v>
      </c>
      <c r="AL5" s="164" t="s">
        <v>33</v>
      </c>
      <c r="AM5" s="164" t="s">
        <v>33</v>
      </c>
      <c r="AN5" s="164" t="s">
        <v>33</v>
      </c>
      <c r="AO5" s="164" t="s">
        <v>33</v>
      </c>
      <c r="AP5" s="164" t="s">
        <v>33</v>
      </c>
      <c r="AQ5" s="164" t="s">
        <v>400</v>
      </c>
      <c r="AR5" s="164" t="s">
        <v>399</v>
      </c>
      <c r="BA5" s="165" t="s">
        <v>493</v>
      </c>
      <c r="BB5" s="165" t="s">
        <v>494</v>
      </c>
      <c r="BC5" s="165" t="s">
        <v>495</v>
      </c>
      <c r="BD5" s="165" t="s">
        <v>496</v>
      </c>
      <c r="BE5" s="165" t="s">
        <v>497</v>
      </c>
      <c r="BF5" s="165" t="s">
        <v>498</v>
      </c>
      <c r="BG5" s="165" t="s">
        <v>499</v>
      </c>
      <c r="BH5" s="165" t="s">
        <v>500</v>
      </c>
      <c r="BI5" s="165" t="s">
        <v>501</v>
      </c>
      <c r="BJ5" s="165" t="s">
        <v>502</v>
      </c>
      <c r="BK5" s="165" t="s">
        <v>503</v>
      </c>
      <c r="BL5" s="165" t="s">
        <v>504</v>
      </c>
      <c r="BM5" s="165" t="s">
        <v>505</v>
      </c>
      <c r="BN5" s="165" t="s">
        <v>506</v>
      </c>
      <c r="BO5" s="165" t="s">
        <v>507</v>
      </c>
      <c r="BP5" s="165" t="s">
        <v>508</v>
      </c>
      <c r="BQ5" s="165" t="s">
        <v>509</v>
      </c>
      <c r="BR5" s="165" t="s">
        <v>510</v>
      </c>
      <c r="BS5" s="165" t="s">
        <v>511</v>
      </c>
      <c r="BT5" s="165" t="s">
        <v>512</v>
      </c>
      <c r="BU5" s="165" t="s">
        <v>513</v>
      </c>
      <c r="BV5" s="165" t="s">
        <v>514</v>
      </c>
      <c r="BW5" s="165" t="s">
        <v>515</v>
      </c>
      <c r="BX5" s="165" t="s">
        <v>516</v>
      </c>
      <c r="BY5" s="165" t="s">
        <v>517</v>
      </c>
      <c r="BZ5" s="165" t="s">
        <v>518</v>
      </c>
      <c r="CA5" s="165" t="s">
        <v>519</v>
      </c>
      <c r="CB5" s="165" t="s">
        <v>520</v>
      </c>
      <c r="CC5" s="165" t="s">
        <v>521</v>
      </c>
      <c r="CD5" s="165" t="s">
        <v>522</v>
      </c>
      <c r="CE5" s="165" t="s">
        <v>523</v>
      </c>
      <c r="CF5" s="165" t="s">
        <v>524</v>
      </c>
      <c r="CG5" s="165" t="s">
        <v>525</v>
      </c>
      <c r="CH5" s="165" t="s">
        <v>526</v>
      </c>
      <c r="CI5" s="165" t="s">
        <v>527</v>
      </c>
      <c r="CJ5" s="165" t="s">
        <v>528</v>
      </c>
      <c r="CK5" s="165" t="s">
        <v>529</v>
      </c>
      <c r="CL5" s="165" t="s">
        <v>530</v>
      </c>
    </row>
    <row r="6" spans="1:90" x14ac:dyDescent="0.3">
      <c r="C6" s="160"/>
      <c r="F6" s="152" t="s">
        <v>60</v>
      </c>
      <c r="G6" s="166"/>
      <c r="H6" s="160" t="s">
        <v>28</v>
      </c>
      <c r="I6" s="152" t="s">
        <v>533</v>
      </c>
      <c r="J6" s="167">
        <v>1</v>
      </c>
      <c r="K6" s="168">
        <v>0</v>
      </c>
      <c r="L6" s="169" t="s">
        <v>1872</v>
      </c>
      <c r="M6" s="67" t="s">
        <v>57</v>
      </c>
      <c r="N6" s="167">
        <v>9.6000000000000014</v>
      </c>
      <c r="O6" s="170">
        <v>0</v>
      </c>
      <c r="P6" s="170">
        <v>0</v>
      </c>
      <c r="Q6" s="167">
        <v>37</v>
      </c>
      <c r="R6" s="167">
        <v>32</v>
      </c>
      <c r="S6" s="167">
        <v>0.3</v>
      </c>
      <c r="T6" s="167">
        <v>0</v>
      </c>
      <c r="U6" s="171">
        <v>0</v>
      </c>
      <c r="V6" s="171">
        <v>0</v>
      </c>
      <c r="W6" s="167">
        <v>0.5</v>
      </c>
      <c r="X6" s="167">
        <v>7800</v>
      </c>
      <c r="Y6" s="167">
        <v>0</v>
      </c>
      <c r="Z6" s="167">
        <v>103.59999999999997</v>
      </c>
      <c r="AA6" s="167">
        <v>1</v>
      </c>
      <c r="AB6" s="167">
        <v>10560</v>
      </c>
      <c r="AC6" s="170">
        <v>2000</v>
      </c>
      <c r="AD6" s="172">
        <v>58000</v>
      </c>
      <c r="AE6" s="170">
        <v>0.3</v>
      </c>
      <c r="AF6" s="170">
        <v>0</v>
      </c>
      <c r="AG6" s="170">
        <v>0</v>
      </c>
      <c r="AH6" s="170">
        <v>0</v>
      </c>
      <c r="AI6" s="170">
        <v>0</v>
      </c>
      <c r="AJ6" s="167">
        <v>44.000000000000007</v>
      </c>
      <c r="AK6" s="167">
        <v>1</v>
      </c>
      <c r="AL6" s="167">
        <v>1</v>
      </c>
      <c r="AM6" s="167">
        <v>1</v>
      </c>
      <c r="AN6" s="167">
        <v>1</v>
      </c>
      <c r="AO6" s="167">
        <v>1</v>
      </c>
      <c r="AP6" s="167">
        <v>1</v>
      </c>
      <c r="AQ6" s="167">
        <v>0</v>
      </c>
      <c r="AR6" s="167">
        <v>100</v>
      </c>
      <c r="AS6" s="173">
        <v>1</v>
      </c>
      <c r="AT6" s="162" t="s">
        <v>1852</v>
      </c>
      <c r="AU6" s="152">
        <v>6</v>
      </c>
      <c r="AV6" s="207">
        <v>0.12</v>
      </c>
      <c r="AW6" s="152">
        <v>1</v>
      </c>
      <c r="AX6" s="152">
        <v>1</v>
      </c>
      <c r="BA6" s="174">
        <v>0</v>
      </c>
      <c r="BB6" s="174" t="s">
        <v>533</v>
      </c>
      <c r="BC6" s="174">
        <v>24</v>
      </c>
      <c r="BD6" s="174">
        <v>19.600000000000001</v>
      </c>
      <c r="BE6" s="174"/>
      <c r="BF6" s="174">
        <v>3</v>
      </c>
      <c r="BG6" s="174"/>
      <c r="BH6" s="174"/>
      <c r="BI6" s="174">
        <v>0</v>
      </c>
      <c r="BJ6" s="174">
        <v>0</v>
      </c>
      <c r="BK6" s="174">
        <v>0</v>
      </c>
      <c r="BL6" s="174">
        <v>0</v>
      </c>
      <c r="BM6" s="174">
        <v>0.8</v>
      </c>
      <c r="BN6" s="174">
        <v>0.01</v>
      </c>
      <c r="BO6" s="174">
        <v>0.01</v>
      </c>
      <c r="BP6" s="174">
        <v>0.01</v>
      </c>
      <c r="BQ6" s="174">
        <v>0.01</v>
      </c>
      <c r="BR6" s="174">
        <v>0.01</v>
      </c>
      <c r="BS6" s="174"/>
      <c r="BT6" s="174"/>
      <c r="BU6" s="174"/>
      <c r="BV6" s="174"/>
      <c r="BW6" s="174"/>
      <c r="BX6" s="174">
        <v>100</v>
      </c>
      <c r="BY6" s="174">
        <v>29</v>
      </c>
      <c r="BZ6" s="174">
        <v>37</v>
      </c>
      <c r="CA6" s="174">
        <v>42</v>
      </c>
      <c r="CB6" s="174">
        <v>46</v>
      </c>
      <c r="CC6" s="174">
        <v>47</v>
      </c>
      <c r="CD6" s="174">
        <v>0</v>
      </c>
      <c r="CE6" s="174">
        <v>0</v>
      </c>
      <c r="CF6" s="174">
        <v>2</v>
      </c>
      <c r="CG6" s="174">
        <v>6</v>
      </c>
      <c r="CH6" s="174">
        <v>13</v>
      </c>
      <c r="CI6" s="174">
        <v>7.8</v>
      </c>
      <c r="CJ6" s="174">
        <v>1</v>
      </c>
      <c r="CK6" s="174">
        <v>0.3</v>
      </c>
      <c r="CL6" s="175">
        <v>2.5818307464671409E-3</v>
      </c>
    </row>
    <row r="7" spans="1:90" x14ac:dyDescent="0.3">
      <c r="A7" s="176" t="s">
        <v>23</v>
      </c>
      <c r="C7" s="160"/>
      <c r="F7" s="177" t="s">
        <v>44</v>
      </c>
      <c r="G7" s="178"/>
      <c r="H7" s="158"/>
      <c r="I7" s="152" t="s">
        <v>533</v>
      </c>
      <c r="J7" s="167">
        <v>2</v>
      </c>
      <c r="K7" s="168">
        <v>-0.5</v>
      </c>
      <c r="L7" s="169" t="s">
        <v>1873</v>
      </c>
      <c r="M7" s="67" t="s">
        <v>57</v>
      </c>
      <c r="N7" s="167">
        <v>9.6000000000000014</v>
      </c>
      <c r="O7" s="170">
        <v>0</v>
      </c>
      <c r="P7" s="170">
        <v>0</v>
      </c>
      <c r="Q7" s="167">
        <v>41</v>
      </c>
      <c r="R7" s="167">
        <v>36</v>
      </c>
      <c r="S7" s="167">
        <v>0.3</v>
      </c>
      <c r="T7" s="167">
        <v>0</v>
      </c>
      <c r="U7" s="171">
        <v>0</v>
      </c>
      <c r="V7" s="171">
        <v>0</v>
      </c>
      <c r="W7" s="167">
        <v>0.5</v>
      </c>
      <c r="X7" s="167">
        <v>44000</v>
      </c>
      <c r="Y7" s="167">
        <v>0</v>
      </c>
      <c r="Z7" s="167">
        <v>114.99999999999996</v>
      </c>
      <c r="AA7" s="167">
        <v>1</v>
      </c>
      <c r="AB7" s="167">
        <v>12000</v>
      </c>
      <c r="AC7" s="170">
        <v>36000</v>
      </c>
      <c r="AD7" s="172">
        <v>39000</v>
      </c>
      <c r="AE7" s="170">
        <v>0.3</v>
      </c>
      <c r="AF7" s="170">
        <v>0</v>
      </c>
      <c r="AG7" s="170">
        <v>0</v>
      </c>
      <c r="AH7" s="170">
        <v>0</v>
      </c>
      <c r="AI7" s="170">
        <v>0</v>
      </c>
      <c r="AJ7" s="167">
        <v>50.000000000000007</v>
      </c>
      <c r="AK7" s="167">
        <v>1</v>
      </c>
      <c r="AL7" s="167">
        <v>1</v>
      </c>
      <c r="AM7" s="167">
        <v>1</v>
      </c>
      <c r="AN7" s="167">
        <v>1</v>
      </c>
      <c r="AO7" s="167">
        <v>1</v>
      </c>
      <c r="AP7" s="167">
        <v>1</v>
      </c>
      <c r="AQ7" s="167">
        <v>0</v>
      </c>
      <c r="AR7" s="167">
        <v>100</v>
      </c>
      <c r="AS7" s="173">
        <v>1</v>
      </c>
      <c r="AT7" s="162" t="s">
        <v>1852</v>
      </c>
      <c r="AU7" s="152">
        <v>5</v>
      </c>
      <c r="AV7" s="207">
        <v>0.12</v>
      </c>
      <c r="AW7" s="152">
        <v>1</v>
      </c>
      <c r="AX7" s="152">
        <v>1</v>
      </c>
      <c r="BA7" s="174">
        <v>0.5</v>
      </c>
      <c r="BB7" s="174" t="s">
        <v>533</v>
      </c>
      <c r="BC7" s="174">
        <v>24</v>
      </c>
      <c r="BD7" s="174">
        <v>19.600000000000001</v>
      </c>
      <c r="BE7" s="174"/>
      <c r="BF7" s="174">
        <v>3</v>
      </c>
      <c r="BG7" s="174"/>
      <c r="BH7" s="174"/>
      <c r="BI7" s="174">
        <v>3.7</v>
      </c>
      <c r="BJ7" s="174">
        <v>4.2</v>
      </c>
      <c r="BK7" s="174">
        <v>4.5</v>
      </c>
      <c r="BL7" s="174">
        <v>4.9000000000000004</v>
      </c>
      <c r="BM7" s="174">
        <v>5.5</v>
      </c>
      <c r="BN7" s="174">
        <v>1.5699999999999999E-2</v>
      </c>
      <c r="BO7" s="174">
        <v>1.6799999999999999E-2</v>
      </c>
      <c r="BP7" s="174">
        <v>1.7600000000000001E-2</v>
      </c>
      <c r="BQ7" s="174">
        <v>1.84E-2</v>
      </c>
      <c r="BR7" s="174">
        <v>1.95E-2</v>
      </c>
      <c r="BS7" s="174"/>
      <c r="BT7" s="174"/>
      <c r="BU7" s="174"/>
      <c r="BV7" s="174"/>
      <c r="BW7" s="174"/>
      <c r="BX7" s="174">
        <v>100</v>
      </c>
      <c r="BY7" s="174">
        <v>29</v>
      </c>
      <c r="BZ7" s="174">
        <v>37</v>
      </c>
      <c r="CA7" s="174">
        <v>42</v>
      </c>
      <c r="CB7" s="174">
        <v>46</v>
      </c>
      <c r="CC7" s="174">
        <v>47</v>
      </c>
      <c r="CD7" s="174">
        <v>24</v>
      </c>
      <c r="CE7" s="174">
        <v>28</v>
      </c>
      <c r="CF7" s="174">
        <v>31</v>
      </c>
      <c r="CG7" s="174">
        <v>35</v>
      </c>
      <c r="CH7" s="174">
        <v>42</v>
      </c>
      <c r="CI7" s="174">
        <v>7.8</v>
      </c>
      <c r="CJ7" s="174">
        <v>1</v>
      </c>
      <c r="CK7" s="174">
        <v>0.3</v>
      </c>
      <c r="CL7" s="175">
        <v>2.5818307464671409E-3</v>
      </c>
    </row>
    <row r="8" spans="1:90" x14ac:dyDescent="0.3">
      <c r="A8" s="152" t="s">
        <v>24</v>
      </c>
      <c r="B8" s="162">
        <v>0</v>
      </c>
      <c r="C8" s="160" t="s">
        <v>398</v>
      </c>
      <c r="F8" s="152" t="s">
        <v>45</v>
      </c>
      <c r="G8" s="179">
        <v>19321.6968835025</v>
      </c>
      <c r="H8" s="160" t="s">
        <v>48</v>
      </c>
      <c r="I8" s="152" t="s">
        <v>533</v>
      </c>
      <c r="J8" s="167">
        <v>3</v>
      </c>
      <c r="K8" s="168">
        <v>-1.5</v>
      </c>
      <c r="L8" s="169" t="s">
        <v>1874</v>
      </c>
      <c r="M8" s="67" t="s">
        <v>57</v>
      </c>
      <c r="N8" s="167">
        <v>9.6000000000000014</v>
      </c>
      <c r="O8" s="170">
        <v>0</v>
      </c>
      <c r="P8" s="170">
        <v>0</v>
      </c>
      <c r="Q8" s="167">
        <v>40</v>
      </c>
      <c r="R8" s="167">
        <v>35</v>
      </c>
      <c r="S8" s="167">
        <v>0.3</v>
      </c>
      <c r="T8" s="167">
        <v>0</v>
      </c>
      <c r="U8" s="171">
        <v>0</v>
      </c>
      <c r="V8" s="171">
        <v>0</v>
      </c>
      <c r="W8" s="167">
        <v>0.5</v>
      </c>
      <c r="X8" s="167">
        <v>44900</v>
      </c>
      <c r="Y8" s="167">
        <v>0</v>
      </c>
      <c r="Z8" s="167">
        <v>114.99999999999996</v>
      </c>
      <c r="AA8" s="167">
        <v>1</v>
      </c>
      <c r="AB8" s="167">
        <v>12000</v>
      </c>
      <c r="AC8" s="170">
        <v>78000</v>
      </c>
      <c r="AD8" s="172">
        <v>3000</v>
      </c>
      <c r="AE8" s="170">
        <v>0.3</v>
      </c>
      <c r="AF8" s="170">
        <v>0</v>
      </c>
      <c r="AG8" s="170">
        <v>0</v>
      </c>
      <c r="AH8" s="170">
        <v>0</v>
      </c>
      <c r="AI8" s="170">
        <v>0</v>
      </c>
      <c r="AJ8" s="167">
        <v>50.000000000000007</v>
      </c>
      <c r="AK8" s="167">
        <v>1</v>
      </c>
      <c r="AL8" s="167">
        <v>1</v>
      </c>
      <c r="AM8" s="167">
        <v>1</v>
      </c>
      <c r="AN8" s="167">
        <v>1</v>
      </c>
      <c r="AO8" s="167">
        <v>1</v>
      </c>
      <c r="AP8" s="167">
        <v>1</v>
      </c>
      <c r="AQ8" s="167">
        <v>0</v>
      </c>
      <c r="AR8" s="167">
        <v>100</v>
      </c>
      <c r="AS8" s="173">
        <v>1</v>
      </c>
      <c r="AT8" s="162" t="s">
        <v>1852</v>
      </c>
      <c r="AU8" s="152">
        <v>2</v>
      </c>
      <c r="AV8" s="207">
        <v>0.12</v>
      </c>
      <c r="AW8" s="152">
        <v>1</v>
      </c>
      <c r="AX8" s="152">
        <v>1</v>
      </c>
      <c r="BA8" s="174">
        <v>0.5</v>
      </c>
      <c r="BB8" s="174" t="s">
        <v>533</v>
      </c>
      <c r="BC8" s="174">
        <v>24</v>
      </c>
      <c r="BD8" s="174">
        <v>19.600000000000001</v>
      </c>
      <c r="BE8" s="174"/>
      <c r="BF8" s="174">
        <v>3</v>
      </c>
      <c r="BG8" s="174"/>
      <c r="BH8" s="174"/>
      <c r="BI8" s="174">
        <v>5.4</v>
      </c>
      <c r="BJ8" s="174">
        <v>6.7</v>
      </c>
      <c r="BK8" s="174">
        <v>7.7</v>
      </c>
      <c r="BL8" s="174">
        <v>8.6999999999999993</v>
      </c>
      <c r="BM8" s="174">
        <v>10.1</v>
      </c>
      <c r="BN8" s="174">
        <v>1.66E-2</v>
      </c>
      <c r="BO8" s="174">
        <v>2.2200000000000001E-2</v>
      </c>
      <c r="BP8" s="174">
        <v>2.5999999999999999E-2</v>
      </c>
      <c r="BQ8" s="174">
        <v>2.9899999999999999E-2</v>
      </c>
      <c r="BR8" s="174">
        <v>3.5499999999999997E-2</v>
      </c>
      <c r="BS8" s="174"/>
      <c r="BT8" s="174"/>
      <c r="BU8" s="174"/>
      <c r="BV8" s="174"/>
      <c r="BW8" s="174"/>
      <c r="BX8" s="174">
        <v>100</v>
      </c>
      <c r="BY8" s="174">
        <v>32</v>
      </c>
      <c r="BZ8" s="174">
        <v>41</v>
      </c>
      <c r="CA8" s="174">
        <v>46</v>
      </c>
      <c r="CB8" s="174">
        <v>47</v>
      </c>
      <c r="CC8" s="174">
        <v>47</v>
      </c>
      <c r="CD8" s="174">
        <v>13</v>
      </c>
      <c r="CE8" s="174">
        <v>25</v>
      </c>
      <c r="CF8" s="174">
        <v>36</v>
      </c>
      <c r="CG8" s="174">
        <v>46</v>
      </c>
      <c r="CH8" s="174">
        <v>69</v>
      </c>
      <c r="CI8" s="174">
        <v>44</v>
      </c>
      <c r="CJ8" s="174">
        <v>1</v>
      </c>
      <c r="CK8" s="174">
        <v>0.3</v>
      </c>
      <c r="CL8" s="175">
        <v>4.6160614856446316E-3</v>
      </c>
    </row>
    <row r="9" spans="1:90" x14ac:dyDescent="0.3">
      <c r="A9" s="152" t="s">
        <v>61</v>
      </c>
      <c r="B9" s="166">
        <v>42</v>
      </c>
      <c r="C9" s="160" t="s">
        <v>28</v>
      </c>
      <c r="D9" s="162">
        <v>32053.91</v>
      </c>
      <c r="F9" s="152" t="s">
        <v>72</v>
      </c>
      <c r="G9" s="180">
        <v>-895860.03920754697</v>
      </c>
      <c r="H9" s="160" t="s">
        <v>49</v>
      </c>
      <c r="I9" s="152" t="s">
        <v>1811</v>
      </c>
      <c r="J9" s="167">
        <v>4</v>
      </c>
      <c r="K9" s="168">
        <v>-2.5</v>
      </c>
      <c r="L9" s="169" t="s">
        <v>1875</v>
      </c>
      <c r="M9" s="67" t="s">
        <v>57</v>
      </c>
      <c r="N9" s="167">
        <v>10</v>
      </c>
      <c r="O9" s="170">
        <v>0</v>
      </c>
      <c r="P9" s="170">
        <v>0</v>
      </c>
      <c r="Q9" s="167">
        <v>31</v>
      </c>
      <c r="R9" s="167">
        <v>26</v>
      </c>
      <c r="S9" s="167">
        <v>1.2</v>
      </c>
      <c r="T9" s="167">
        <v>0</v>
      </c>
      <c r="U9" s="171">
        <v>0</v>
      </c>
      <c r="V9" s="171">
        <v>0</v>
      </c>
      <c r="W9" s="167">
        <v>0.5</v>
      </c>
      <c r="X9" s="167">
        <v>29600</v>
      </c>
      <c r="Y9" s="167">
        <v>0</v>
      </c>
      <c r="Z9" s="167">
        <v>83.999999999999972</v>
      </c>
      <c r="AA9" s="167">
        <v>1</v>
      </c>
      <c r="AB9" s="167">
        <v>5760</v>
      </c>
      <c r="AC9" s="170">
        <v>81000</v>
      </c>
      <c r="AD9" s="172">
        <v>20909.090909090912</v>
      </c>
      <c r="AE9" s="170">
        <v>0.3</v>
      </c>
      <c r="AF9" s="170">
        <v>0</v>
      </c>
      <c r="AG9" s="170">
        <v>0</v>
      </c>
      <c r="AH9" s="170">
        <v>0</v>
      </c>
      <c r="AI9" s="170">
        <v>0</v>
      </c>
      <c r="AJ9" s="167">
        <v>24.000000000000007</v>
      </c>
      <c r="AK9" s="167">
        <v>1</v>
      </c>
      <c r="AL9" s="167">
        <v>1</v>
      </c>
      <c r="AM9" s="167">
        <v>1</v>
      </c>
      <c r="AN9" s="167">
        <v>1</v>
      </c>
      <c r="AO9" s="167">
        <v>1</v>
      </c>
      <c r="AP9" s="167">
        <v>1</v>
      </c>
      <c r="AQ9" s="167">
        <v>0</v>
      </c>
      <c r="AR9" s="167">
        <v>73</v>
      </c>
      <c r="AS9" s="173">
        <v>1</v>
      </c>
      <c r="AT9" s="182" t="s">
        <v>1853</v>
      </c>
      <c r="AU9" s="152">
        <v>8</v>
      </c>
      <c r="AV9" s="207">
        <v>0.11</v>
      </c>
      <c r="AW9" s="152">
        <v>0.98915378731772796</v>
      </c>
      <c r="AX9" s="152">
        <v>0.84554921050758824</v>
      </c>
      <c r="BA9" s="174">
        <v>1.5</v>
      </c>
      <c r="BB9" s="174" t="s">
        <v>533</v>
      </c>
      <c r="BC9" s="174">
        <v>24</v>
      </c>
      <c r="BD9" s="174">
        <v>19.600000000000001</v>
      </c>
      <c r="BE9" s="174"/>
      <c r="BF9" s="174">
        <v>3</v>
      </c>
      <c r="BG9" s="174"/>
      <c r="BH9" s="174"/>
      <c r="BI9" s="174">
        <v>13</v>
      </c>
      <c r="BJ9" s="174">
        <v>14.4</v>
      </c>
      <c r="BK9" s="174">
        <v>15.3</v>
      </c>
      <c r="BL9" s="174">
        <v>16.3</v>
      </c>
      <c r="BM9" s="174">
        <v>17.7</v>
      </c>
      <c r="BN9" s="174">
        <v>5.8400000000000001E-2</v>
      </c>
      <c r="BO9" s="174">
        <v>6.4000000000000001E-2</v>
      </c>
      <c r="BP9" s="174">
        <v>6.7900000000000002E-2</v>
      </c>
      <c r="BQ9" s="174">
        <v>7.17E-2</v>
      </c>
      <c r="BR9" s="174">
        <v>7.7399999999999997E-2</v>
      </c>
      <c r="BS9" s="174"/>
      <c r="BT9" s="174"/>
      <c r="BU9" s="174"/>
      <c r="BV9" s="174"/>
      <c r="BW9" s="174"/>
      <c r="BX9" s="174">
        <v>100</v>
      </c>
      <c r="BY9" s="174">
        <v>32</v>
      </c>
      <c r="BZ9" s="174">
        <v>41</v>
      </c>
      <c r="CA9" s="174">
        <v>46</v>
      </c>
      <c r="CB9" s="174">
        <v>47</v>
      </c>
      <c r="CC9" s="174">
        <v>47</v>
      </c>
      <c r="CD9" s="174">
        <v>53</v>
      </c>
      <c r="CE9" s="174">
        <v>65</v>
      </c>
      <c r="CF9" s="174">
        <v>75</v>
      </c>
      <c r="CG9" s="174">
        <v>86</v>
      </c>
      <c r="CH9" s="174">
        <v>109</v>
      </c>
      <c r="CI9" s="174">
        <v>44</v>
      </c>
      <c r="CJ9" s="174">
        <v>1</v>
      </c>
      <c r="CK9" s="174">
        <v>0.3</v>
      </c>
      <c r="CL9" s="175">
        <v>4.6160614856446316E-3</v>
      </c>
    </row>
    <row r="10" spans="1:90" s="178" customFormat="1" x14ac:dyDescent="0.3">
      <c r="A10" s="152" t="s">
        <v>62</v>
      </c>
      <c r="B10" s="181">
        <v>42</v>
      </c>
      <c r="C10" s="160" t="s">
        <v>28</v>
      </c>
      <c r="D10" s="182">
        <v>-1309605</v>
      </c>
      <c r="F10" s="152" t="s">
        <v>46</v>
      </c>
      <c r="G10" s="179">
        <v>33329.551910426897</v>
      </c>
      <c r="H10" s="160" t="s">
        <v>48</v>
      </c>
      <c r="I10" s="173" t="s">
        <v>1811</v>
      </c>
      <c r="J10" s="216">
        <v>5</v>
      </c>
      <c r="K10" s="217">
        <v>-5.5</v>
      </c>
      <c r="L10" s="169" t="s">
        <v>1875</v>
      </c>
      <c r="M10" s="67" t="s">
        <v>57</v>
      </c>
      <c r="N10" s="167">
        <v>10</v>
      </c>
      <c r="O10" s="170">
        <v>0</v>
      </c>
      <c r="P10" s="170">
        <v>0</v>
      </c>
      <c r="Q10" s="167">
        <v>31</v>
      </c>
      <c r="R10" s="167">
        <v>26</v>
      </c>
      <c r="S10" s="167">
        <v>1.2</v>
      </c>
      <c r="T10" s="167">
        <v>0</v>
      </c>
      <c r="U10" s="171">
        <v>0</v>
      </c>
      <c r="V10" s="171">
        <v>0</v>
      </c>
      <c r="W10" s="167">
        <v>0.5</v>
      </c>
      <c r="X10" s="167">
        <v>29600</v>
      </c>
      <c r="Y10" s="167">
        <v>0</v>
      </c>
      <c r="Z10" s="167">
        <v>83.999999999999972</v>
      </c>
      <c r="AA10" s="167">
        <v>1</v>
      </c>
      <c r="AB10" s="167">
        <v>5760</v>
      </c>
      <c r="AC10" s="170">
        <v>143727</v>
      </c>
      <c r="AD10" s="218">
        <v>20909.090909090912</v>
      </c>
      <c r="AE10" s="170">
        <v>0.3</v>
      </c>
      <c r="AF10" s="170">
        <v>0</v>
      </c>
      <c r="AG10" s="170">
        <v>0</v>
      </c>
      <c r="AH10" s="170">
        <v>0</v>
      </c>
      <c r="AI10" s="170">
        <v>0</v>
      </c>
      <c r="AJ10" s="167">
        <v>24.000000000000007</v>
      </c>
      <c r="AK10" s="167">
        <v>1</v>
      </c>
      <c r="AL10" s="167">
        <v>1</v>
      </c>
      <c r="AM10" s="167">
        <v>1</v>
      </c>
      <c r="AN10" s="167">
        <v>1</v>
      </c>
      <c r="AO10" s="167">
        <v>1</v>
      </c>
      <c r="AP10" s="167">
        <v>1</v>
      </c>
      <c r="AQ10" s="167">
        <v>0</v>
      </c>
      <c r="AR10" s="167">
        <v>73</v>
      </c>
      <c r="AS10" s="173">
        <v>1</v>
      </c>
      <c r="AT10" s="182" t="s">
        <v>1853</v>
      </c>
      <c r="AU10" s="178">
        <v>9</v>
      </c>
      <c r="AV10" s="207">
        <v>0.11</v>
      </c>
      <c r="AW10" s="178">
        <v>0.98915378731772796</v>
      </c>
      <c r="AX10" s="178">
        <v>0.84554921050758824</v>
      </c>
      <c r="BA10" s="174">
        <v>1.5</v>
      </c>
      <c r="BB10" s="174" t="s">
        <v>533</v>
      </c>
      <c r="BC10" s="174">
        <v>24</v>
      </c>
      <c r="BD10" s="174">
        <v>19.600000000000001</v>
      </c>
      <c r="BE10" s="174"/>
      <c r="BF10" s="174">
        <v>3</v>
      </c>
      <c r="BG10" s="174"/>
      <c r="BH10" s="174"/>
      <c r="BI10" s="174">
        <v>13.8</v>
      </c>
      <c r="BJ10" s="174">
        <v>15.2</v>
      </c>
      <c r="BK10" s="174">
        <v>16.100000000000001</v>
      </c>
      <c r="BL10" s="174">
        <v>17.100000000000001</v>
      </c>
      <c r="BM10" s="174">
        <v>18.399999999999999</v>
      </c>
      <c r="BN10" s="174">
        <v>6.1400000000000003E-2</v>
      </c>
      <c r="BO10" s="174">
        <v>6.7500000000000004E-2</v>
      </c>
      <c r="BP10" s="174">
        <v>7.17E-2</v>
      </c>
      <c r="BQ10" s="174">
        <v>7.5899999999999995E-2</v>
      </c>
      <c r="BR10" s="174">
        <v>8.2100000000000006E-2</v>
      </c>
      <c r="BS10" s="174"/>
      <c r="BT10" s="174"/>
      <c r="BU10" s="174"/>
      <c r="BV10" s="174"/>
      <c r="BW10" s="174"/>
      <c r="BX10" s="174">
        <v>100</v>
      </c>
      <c r="BY10" s="174">
        <v>31</v>
      </c>
      <c r="BZ10" s="174">
        <v>40</v>
      </c>
      <c r="CA10" s="174">
        <v>45</v>
      </c>
      <c r="CB10" s="174">
        <v>47</v>
      </c>
      <c r="CC10" s="174">
        <v>47</v>
      </c>
      <c r="CD10" s="174">
        <v>46</v>
      </c>
      <c r="CE10" s="174">
        <v>63</v>
      </c>
      <c r="CF10" s="174">
        <v>78</v>
      </c>
      <c r="CG10" s="174">
        <v>93</v>
      </c>
      <c r="CH10" s="174">
        <v>125</v>
      </c>
      <c r="CI10" s="174">
        <v>44.9</v>
      </c>
      <c r="CJ10" s="174">
        <v>1</v>
      </c>
      <c r="CK10" s="174">
        <v>0.3</v>
      </c>
      <c r="CL10" s="175">
        <v>1.3858335028947321E-3</v>
      </c>
    </row>
    <row r="11" spans="1:90" x14ac:dyDescent="0.3">
      <c r="A11" s="152" t="s">
        <v>63</v>
      </c>
      <c r="B11" s="162">
        <v>1</v>
      </c>
      <c r="C11" s="160" t="s">
        <v>28</v>
      </c>
      <c r="D11" s="152">
        <v>27021.599999999999</v>
      </c>
      <c r="F11" s="152" t="s">
        <v>47</v>
      </c>
      <c r="G11" s="179">
        <v>0</v>
      </c>
      <c r="H11" s="160" t="s">
        <v>48</v>
      </c>
      <c r="I11" s="152" t="s">
        <v>1811</v>
      </c>
      <c r="J11" s="167">
        <v>6</v>
      </c>
      <c r="K11" s="168">
        <v>-8</v>
      </c>
      <c r="L11" s="169" t="s">
        <v>1876</v>
      </c>
      <c r="M11" s="67" t="s">
        <v>57</v>
      </c>
      <c r="N11" s="167">
        <v>10</v>
      </c>
      <c r="O11" s="170">
        <v>0</v>
      </c>
      <c r="P11" s="170">
        <v>0</v>
      </c>
      <c r="Q11" s="167">
        <v>32</v>
      </c>
      <c r="R11" s="167">
        <v>27</v>
      </c>
      <c r="S11" s="167">
        <v>1.1000000000000001</v>
      </c>
      <c r="T11" s="167">
        <v>0</v>
      </c>
      <c r="U11" s="171">
        <v>0</v>
      </c>
      <c r="V11" s="171">
        <v>0</v>
      </c>
      <c r="W11" s="167">
        <v>0.5</v>
      </c>
      <c r="X11" s="167">
        <v>62100</v>
      </c>
      <c r="Y11" s="167">
        <v>0</v>
      </c>
      <c r="Z11" s="167">
        <v>86.999999999999972</v>
      </c>
      <c r="AA11" s="167">
        <v>1</v>
      </c>
      <c r="AB11" s="167">
        <v>6720</v>
      </c>
      <c r="AC11" s="170">
        <v>201000</v>
      </c>
      <c r="AD11" s="172">
        <v>17250</v>
      </c>
      <c r="AE11" s="170">
        <v>0.3</v>
      </c>
      <c r="AF11" s="170">
        <v>0</v>
      </c>
      <c r="AG11" s="170">
        <v>0</v>
      </c>
      <c r="AH11" s="170">
        <v>0</v>
      </c>
      <c r="AI11" s="170">
        <v>0</v>
      </c>
      <c r="AJ11" s="167">
        <v>28.000000000000007</v>
      </c>
      <c r="AK11" s="167">
        <v>1</v>
      </c>
      <c r="AL11" s="167">
        <v>1</v>
      </c>
      <c r="AM11" s="167">
        <v>1</v>
      </c>
      <c r="AN11" s="167">
        <v>1</v>
      </c>
      <c r="AO11" s="167">
        <v>1</v>
      </c>
      <c r="AP11" s="167">
        <v>1</v>
      </c>
      <c r="AQ11" s="167">
        <v>0</v>
      </c>
      <c r="AR11" s="167">
        <v>90</v>
      </c>
      <c r="AS11" s="173">
        <v>1</v>
      </c>
      <c r="AT11" s="182" t="s">
        <v>1853</v>
      </c>
      <c r="AU11" s="152">
        <v>5</v>
      </c>
      <c r="AV11" s="207">
        <v>0.11</v>
      </c>
      <c r="AW11" s="152">
        <v>0.96563459424326092</v>
      </c>
      <c r="AX11" s="152">
        <v>1.7659217744746001</v>
      </c>
      <c r="BA11" s="174">
        <v>2.5</v>
      </c>
      <c r="BB11" s="174" t="s">
        <v>533</v>
      </c>
      <c r="BC11" s="174">
        <v>24</v>
      </c>
      <c r="BD11" s="174">
        <v>19.600000000000001</v>
      </c>
      <c r="BE11" s="174"/>
      <c r="BF11" s="174">
        <v>3</v>
      </c>
      <c r="BG11" s="174"/>
      <c r="BH11" s="174"/>
      <c r="BI11" s="174">
        <v>4</v>
      </c>
      <c r="BJ11" s="174">
        <v>5.4</v>
      </c>
      <c r="BK11" s="174">
        <v>6.3</v>
      </c>
      <c r="BL11" s="174">
        <v>7.2</v>
      </c>
      <c r="BM11" s="174">
        <v>8.6</v>
      </c>
      <c r="BN11" s="174">
        <v>2.1399999999999999E-2</v>
      </c>
      <c r="BO11" s="174">
        <v>2.76E-2</v>
      </c>
      <c r="BP11" s="174">
        <v>3.1699999999999999E-2</v>
      </c>
      <c r="BQ11" s="174">
        <v>3.5900000000000001E-2</v>
      </c>
      <c r="BR11" s="174">
        <v>4.2099999999999999E-2</v>
      </c>
      <c r="BS11" s="174"/>
      <c r="BT11" s="174"/>
      <c r="BU11" s="174"/>
      <c r="BV11" s="174"/>
      <c r="BW11" s="174"/>
      <c r="BX11" s="174">
        <v>100</v>
      </c>
      <c r="BY11" s="174">
        <v>31</v>
      </c>
      <c r="BZ11" s="174">
        <v>40</v>
      </c>
      <c r="CA11" s="174">
        <v>45</v>
      </c>
      <c r="CB11" s="174">
        <v>47</v>
      </c>
      <c r="CC11" s="174">
        <v>47</v>
      </c>
      <c r="CD11" s="174">
        <v>48</v>
      </c>
      <c r="CE11" s="174">
        <v>66</v>
      </c>
      <c r="CF11" s="174">
        <v>81</v>
      </c>
      <c r="CG11" s="174">
        <v>95</v>
      </c>
      <c r="CH11" s="174">
        <v>128</v>
      </c>
      <c r="CI11" s="174">
        <v>44.9</v>
      </c>
      <c r="CJ11" s="174">
        <v>1</v>
      </c>
      <c r="CK11" s="174">
        <v>0.3</v>
      </c>
      <c r="CL11" s="175">
        <v>1.3858335028947321E-3</v>
      </c>
    </row>
    <row r="12" spans="1:90" x14ac:dyDescent="0.3">
      <c r="A12" s="152" t="s">
        <v>66</v>
      </c>
      <c r="B12" s="166">
        <v>9.9</v>
      </c>
      <c r="C12" s="160" t="s">
        <v>28</v>
      </c>
      <c r="D12" s="152">
        <v>0</v>
      </c>
      <c r="E12" s="183"/>
      <c r="F12" s="178" t="s">
        <v>73</v>
      </c>
      <c r="G12" s="179">
        <v>3829.96621541491</v>
      </c>
      <c r="H12" s="160" t="s">
        <v>48</v>
      </c>
      <c r="I12" s="173" t="s">
        <v>1811</v>
      </c>
      <c r="J12" s="216">
        <v>7</v>
      </c>
      <c r="K12" s="217">
        <v>-11</v>
      </c>
      <c r="L12" s="169" t="s">
        <v>1876</v>
      </c>
      <c r="M12" s="67" t="s">
        <v>57</v>
      </c>
      <c r="N12" s="167">
        <v>10</v>
      </c>
      <c r="O12" s="170">
        <v>0</v>
      </c>
      <c r="P12" s="170">
        <v>0</v>
      </c>
      <c r="Q12" s="167">
        <v>32</v>
      </c>
      <c r="R12" s="167">
        <v>27</v>
      </c>
      <c r="S12" s="167">
        <v>1.1000000000000001</v>
      </c>
      <c r="T12" s="167">
        <v>0</v>
      </c>
      <c r="U12" s="171">
        <v>0</v>
      </c>
      <c r="V12" s="171">
        <v>0</v>
      </c>
      <c r="W12" s="167">
        <v>0.5</v>
      </c>
      <c r="X12" s="167">
        <v>62100</v>
      </c>
      <c r="Y12" s="167">
        <v>0</v>
      </c>
      <c r="Z12" s="167">
        <v>86.999999999999972</v>
      </c>
      <c r="AA12" s="167">
        <v>1</v>
      </c>
      <c r="AB12" s="167">
        <v>6720</v>
      </c>
      <c r="AC12" s="170">
        <v>252750</v>
      </c>
      <c r="AD12" s="218">
        <v>17250</v>
      </c>
      <c r="AE12" s="170">
        <v>0.3</v>
      </c>
      <c r="AF12" s="170">
        <v>0</v>
      </c>
      <c r="AG12" s="170">
        <v>0</v>
      </c>
      <c r="AH12" s="170">
        <v>0</v>
      </c>
      <c r="AI12" s="170">
        <v>0</v>
      </c>
      <c r="AJ12" s="167">
        <v>28.000000000000007</v>
      </c>
      <c r="AK12" s="167">
        <v>1</v>
      </c>
      <c r="AL12" s="167">
        <v>1</v>
      </c>
      <c r="AM12" s="167">
        <v>1</v>
      </c>
      <c r="AN12" s="167">
        <v>1</v>
      </c>
      <c r="AO12" s="167">
        <v>1</v>
      </c>
      <c r="AP12" s="167">
        <v>1</v>
      </c>
      <c r="AQ12" s="167">
        <v>0</v>
      </c>
      <c r="AR12" s="167">
        <v>90</v>
      </c>
      <c r="AS12" s="173">
        <v>1</v>
      </c>
      <c r="AT12" s="182" t="s">
        <v>1853</v>
      </c>
      <c r="AU12" s="152">
        <v>5</v>
      </c>
      <c r="AV12" s="207">
        <v>0.11</v>
      </c>
      <c r="AW12" s="152">
        <v>0.96563459424326092</v>
      </c>
      <c r="AX12" s="152">
        <v>1.7659217744746001</v>
      </c>
      <c r="BA12" s="174">
        <v>2.5</v>
      </c>
      <c r="BB12" s="174" t="s">
        <v>902</v>
      </c>
      <c r="BC12" s="174">
        <v>23</v>
      </c>
      <c r="BD12" s="174">
        <v>20</v>
      </c>
      <c r="BE12" s="174"/>
      <c r="BF12" s="174">
        <v>12</v>
      </c>
      <c r="BG12" s="174"/>
      <c r="BH12" s="174"/>
      <c r="BI12" s="174">
        <v>4.0999999999999996</v>
      </c>
      <c r="BJ12" s="174">
        <v>5.7</v>
      </c>
      <c r="BK12" s="174">
        <v>6.8</v>
      </c>
      <c r="BL12" s="174">
        <v>7.9</v>
      </c>
      <c r="BM12" s="174">
        <v>9.8000000000000007</v>
      </c>
      <c r="BN12" s="174">
        <v>1.52E-2</v>
      </c>
      <c r="BO12" s="174">
        <v>2.3E-2</v>
      </c>
      <c r="BP12" s="174">
        <v>2.8199999999999999E-2</v>
      </c>
      <c r="BQ12" s="174">
        <v>3.3399999999999999E-2</v>
      </c>
      <c r="BR12" s="174">
        <v>4.1200000000000001E-2</v>
      </c>
      <c r="BS12" s="174"/>
      <c r="BT12" s="174"/>
      <c r="BU12" s="174"/>
      <c r="BV12" s="174"/>
      <c r="BW12" s="174"/>
      <c r="BX12" s="174">
        <v>73</v>
      </c>
      <c r="BY12" s="174">
        <v>29</v>
      </c>
      <c r="BZ12" s="174">
        <v>31</v>
      </c>
      <c r="CA12" s="174">
        <v>35</v>
      </c>
      <c r="CB12" s="174">
        <v>39</v>
      </c>
      <c r="CC12" s="174">
        <v>46</v>
      </c>
      <c r="CD12" s="174">
        <v>25</v>
      </c>
      <c r="CE12" s="174">
        <v>56</v>
      </c>
      <c r="CF12" s="174">
        <v>81</v>
      </c>
      <c r="CG12" s="174">
        <v>107</v>
      </c>
      <c r="CH12" s="174">
        <v>164</v>
      </c>
      <c r="CI12" s="174">
        <v>29.6</v>
      </c>
      <c r="CJ12" s="174">
        <v>5.7</v>
      </c>
      <c r="CK12" s="174">
        <v>1.2</v>
      </c>
      <c r="CL12" s="175">
        <v>1.9568714767066709E-4</v>
      </c>
    </row>
    <row r="13" spans="1:90" x14ac:dyDescent="0.3">
      <c r="A13" s="152" t="s">
        <v>40</v>
      </c>
      <c r="B13" s="162">
        <v>78</v>
      </c>
      <c r="C13" s="160" t="s">
        <v>397</v>
      </c>
      <c r="D13" s="152">
        <v>1092.5789999999997</v>
      </c>
      <c r="E13" s="183"/>
      <c r="F13" s="176" t="s">
        <v>50</v>
      </c>
      <c r="I13" s="152" t="s">
        <v>1811</v>
      </c>
      <c r="J13" s="167">
        <v>8</v>
      </c>
      <c r="K13" s="168">
        <v>-12</v>
      </c>
      <c r="L13" s="169" t="s">
        <v>1877</v>
      </c>
      <c r="M13" s="67" t="s">
        <v>57</v>
      </c>
      <c r="N13" s="167">
        <v>10</v>
      </c>
      <c r="O13" s="170">
        <v>0</v>
      </c>
      <c r="P13" s="170">
        <v>0</v>
      </c>
      <c r="Q13" s="167">
        <v>32</v>
      </c>
      <c r="R13" s="167">
        <v>27</v>
      </c>
      <c r="S13" s="167">
        <v>0.9</v>
      </c>
      <c r="T13" s="167">
        <v>0</v>
      </c>
      <c r="U13" s="171">
        <v>0</v>
      </c>
      <c r="V13" s="171">
        <v>0</v>
      </c>
      <c r="W13" s="167">
        <v>0.5</v>
      </c>
      <c r="X13" s="167">
        <v>60700</v>
      </c>
      <c r="Y13" s="167">
        <v>0</v>
      </c>
      <c r="Z13" s="167">
        <v>86.999999999999972</v>
      </c>
      <c r="AA13" s="167">
        <v>1</v>
      </c>
      <c r="AB13" s="167">
        <v>6720</v>
      </c>
      <c r="AC13" s="170">
        <v>272000</v>
      </c>
      <c r="AD13" s="172">
        <v>-109999.99999999974</v>
      </c>
      <c r="AE13" s="170">
        <v>0.3</v>
      </c>
      <c r="AF13" s="170">
        <v>0</v>
      </c>
      <c r="AG13" s="170">
        <v>0</v>
      </c>
      <c r="AH13" s="170">
        <v>0</v>
      </c>
      <c r="AI13" s="170">
        <v>0</v>
      </c>
      <c r="AJ13" s="167">
        <v>28.000000000000007</v>
      </c>
      <c r="AK13" s="167">
        <v>1</v>
      </c>
      <c r="AL13" s="167">
        <v>1</v>
      </c>
      <c r="AM13" s="167">
        <v>1</v>
      </c>
      <c r="AN13" s="167">
        <v>1</v>
      </c>
      <c r="AO13" s="167">
        <v>1</v>
      </c>
      <c r="AP13" s="167">
        <v>1</v>
      </c>
      <c r="AQ13" s="167">
        <v>0</v>
      </c>
      <c r="AR13" s="167">
        <v>86</v>
      </c>
      <c r="AS13" s="173">
        <v>1</v>
      </c>
      <c r="AT13" s="182" t="s">
        <v>1853</v>
      </c>
      <c r="AU13" s="152">
        <v>11</v>
      </c>
      <c r="AV13" s="207">
        <v>0.11</v>
      </c>
      <c r="AW13" s="152">
        <v>0.88602660929171984</v>
      </c>
      <c r="AX13" s="152">
        <v>1.1959929420700617</v>
      </c>
      <c r="BA13" s="174">
        <v>8</v>
      </c>
      <c r="BB13" s="174" t="s">
        <v>902</v>
      </c>
      <c r="BC13" s="174">
        <v>23</v>
      </c>
      <c r="BD13" s="174">
        <v>20</v>
      </c>
      <c r="BE13" s="174"/>
      <c r="BF13" s="174">
        <v>12</v>
      </c>
      <c r="BG13" s="174"/>
      <c r="BH13" s="174"/>
      <c r="BI13" s="174">
        <v>16.7</v>
      </c>
      <c r="BJ13" s="174">
        <v>18.3</v>
      </c>
      <c r="BK13" s="174">
        <v>19.399999999999999</v>
      </c>
      <c r="BL13" s="174">
        <v>20.5</v>
      </c>
      <c r="BM13" s="174">
        <v>22.4</v>
      </c>
      <c r="BN13" s="174">
        <v>8.8400000000000006E-2</v>
      </c>
      <c r="BO13" s="174">
        <v>9.6199999999999994E-2</v>
      </c>
      <c r="BP13" s="174">
        <v>0.1014</v>
      </c>
      <c r="BQ13" s="174">
        <v>0.1066</v>
      </c>
      <c r="BR13" s="174">
        <v>0.1144</v>
      </c>
      <c r="BS13" s="174"/>
      <c r="BT13" s="174"/>
      <c r="BU13" s="174"/>
      <c r="BV13" s="174"/>
      <c r="BW13" s="174"/>
      <c r="BX13" s="174">
        <v>73</v>
      </c>
      <c r="BY13" s="174">
        <v>29</v>
      </c>
      <c r="BZ13" s="174">
        <v>31</v>
      </c>
      <c r="CA13" s="174">
        <v>35</v>
      </c>
      <c r="CB13" s="174">
        <v>39</v>
      </c>
      <c r="CC13" s="174">
        <v>46</v>
      </c>
      <c r="CD13" s="174">
        <v>140</v>
      </c>
      <c r="CE13" s="174">
        <v>170</v>
      </c>
      <c r="CF13" s="174">
        <v>196</v>
      </c>
      <c r="CG13" s="174">
        <v>221</v>
      </c>
      <c r="CH13" s="174">
        <v>278</v>
      </c>
      <c r="CI13" s="174">
        <v>29.6</v>
      </c>
      <c r="CJ13" s="174">
        <v>5.7</v>
      </c>
      <c r="CK13" s="174">
        <v>1.2</v>
      </c>
      <c r="CL13" s="175">
        <v>1.9568714767066709E-4</v>
      </c>
    </row>
    <row r="14" spans="1:90" x14ac:dyDescent="0.3">
      <c r="A14" s="152" t="s">
        <v>41</v>
      </c>
      <c r="B14" s="183">
        <v>355000</v>
      </c>
      <c r="C14" s="160" t="s">
        <v>396</v>
      </c>
      <c r="F14" s="152" t="s">
        <v>51</v>
      </c>
      <c r="G14" s="184" t="s">
        <v>52</v>
      </c>
      <c r="H14" s="160" t="s">
        <v>56</v>
      </c>
      <c r="I14" s="152" t="s">
        <v>902</v>
      </c>
      <c r="J14" s="167">
        <v>9</v>
      </c>
      <c r="K14" s="168">
        <v>-13</v>
      </c>
      <c r="L14" s="169" t="s">
        <v>1879</v>
      </c>
      <c r="M14" s="67" t="s">
        <v>57</v>
      </c>
      <c r="N14" s="167">
        <v>9.5</v>
      </c>
      <c r="O14" s="170">
        <v>0</v>
      </c>
      <c r="P14" s="170">
        <v>0</v>
      </c>
      <c r="Q14" s="167">
        <v>32</v>
      </c>
      <c r="R14" s="167">
        <v>27</v>
      </c>
      <c r="S14" s="167">
        <v>1</v>
      </c>
      <c r="T14" s="167">
        <v>0</v>
      </c>
      <c r="U14" s="171">
        <v>0</v>
      </c>
      <c r="V14" s="171">
        <v>0</v>
      </c>
      <c r="W14" s="167">
        <v>0.5</v>
      </c>
      <c r="X14" s="167">
        <v>89700</v>
      </c>
      <c r="Y14" s="167">
        <v>0</v>
      </c>
      <c r="Z14" s="167">
        <v>86.999999999999972</v>
      </c>
      <c r="AA14" s="167">
        <v>1</v>
      </c>
      <c r="AB14" s="167">
        <v>6720</v>
      </c>
      <c r="AC14" s="170">
        <v>296000</v>
      </c>
      <c r="AD14" s="172">
        <v>9090.9090909090883</v>
      </c>
      <c r="AE14" s="170">
        <v>0.3</v>
      </c>
      <c r="AF14" s="170">
        <v>0</v>
      </c>
      <c r="AG14" s="170">
        <v>0</v>
      </c>
      <c r="AH14" s="170">
        <v>0</v>
      </c>
      <c r="AI14" s="170">
        <v>0</v>
      </c>
      <c r="AJ14" s="167">
        <v>28.000000000000007</v>
      </c>
      <c r="AK14" s="167">
        <v>1</v>
      </c>
      <c r="AL14" s="167">
        <v>1</v>
      </c>
      <c r="AM14" s="167">
        <v>1</v>
      </c>
      <c r="AN14" s="167">
        <v>1</v>
      </c>
      <c r="AO14" s="167">
        <v>1</v>
      </c>
      <c r="AP14" s="167">
        <v>1</v>
      </c>
      <c r="AQ14" s="167">
        <v>0</v>
      </c>
      <c r="AR14" s="167">
        <v>97</v>
      </c>
      <c r="AS14" s="173">
        <v>1</v>
      </c>
      <c r="AT14" s="182" t="s">
        <v>1853</v>
      </c>
      <c r="AU14" s="152">
        <v>5</v>
      </c>
      <c r="AV14" s="207">
        <v>0.11</v>
      </c>
      <c r="AW14" s="152">
        <v>0.93916824840468549</v>
      </c>
      <c r="AX14" s="152">
        <v>3.1330557594197725</v>
      </c>
      <c r="BA14" s="174">
        <v>8</v>
      </c>
      <c r="BB14" s="174" t="s">
        <v>902</v>
      </c>
      <c r="BC14" s="174">
        <v>23</v>
      </c>
      <c r="BD14" s="174">
        <v>20</v>
      </c>
      <c r="BE14" s="174"/>
      <c r="BF14" s="174">
        <v>12</v>
      </c>
      <c r="BG14" s="174"/>
      <c r="BH14" s="174"/>
      <c r="BI14" s="174">
        <v>14</v>
      </c>
      <c r="BJ14" s="174">
        <v>19.100000000000001</v>
      </c>
      <c r="BK14" s="174">
        <v>22.5</v>
      </c>
      <c r="BL14" s="174">
        <v>26</v>
      </c>
      <c r="BM14" s="174">
        <v>29.9</v>
      </c>
      <c r="BN14" s="174">
        <v>4.8899999999999999E-2</v>
      </c>
      <c r="BO14" s="174">
        <v>7.3599999999999999E-2</v>
      </c>
      <c r="BP14" s="174">
        <v>9.0200000000000002E-2</v>
      </c>
      <c r="BQ14" s="174">
        <v>0.10680000000000001</v>
      </c>
      <c r="BR14" s="174">
        <v>0.11990000000000001</v>
      </c>
      <c r="BS14" s="174"/>
      <c r="BT14" s="174"/>
      <c r="BU14" s="174"/>
      <c r="BV14" s="174"/>
      <c r="BW14" s="174"/>
      <c r="BX14" s="174">
        <v>90</v>
      </c>
      <c r="BY14" s="174">
        <v>29</v>
      </c>
      <c r="BZ14" s="174">
        <v>32</v>
      </c>
      <c r="CA14" s="174">
        <v>36</v>
      </c>
      <c r="CB14" s="174">
        <v>40</v>
      </c>
      <c r="CC14" s="174">
        <v>47</v>
      </c>
      <c r="CD14" s="174">
        <v>106</v>
      </c>
      <c r="CE14" s="174">
        <v>158</v>
      </c>
      <c r="CF14" s="174">
        <v>201</v>
      </c>
      <c r="CG14" s="174">
        <v>244</v>
      </c>
      <c r="CH14" s="174">
        <v>342</v>
      </c>
      <c r="CI14" s="174">
        <v>62.1</v>
      </c>
      <c r="CJ14" s="174">
        <v>5.0999999999999996</v>
      </c>
      <c r="CK14" s="174">
        <v>1.1000000000000001</v>
      </c>
      <c r="CL14" s="175">
        <v>2.4904101118246552E-4</v>
      </c>
    </row>
    <row r="15" spans="1:90" x14ac:dyDescent="0.3">
      <c r="A15" s="152" t="s">
        <v>42</v>
      </c>
      <c r="B15" s="185">
        <v>207000000</v>
      </c>
      <c r="C15" s="160" t="s">
        <v>396</v>
      </c>
      <c r="I15" s="173" t="s">
        <v>902</v>
      </c>
      <c r="J15" s="216">
        <v>10</v>
      </c>
      <c r="K15" s="217">
        <v>-15.3</v>
      </c>
      <c r="L15" s="169" t="s">
        <v>1879</v>
      </c>
      <c r="M15" s="67" t="s">
        <v>57</v>
      </c>
      <c r="N15" s="167">
        <v>9.5</v>
      </c>
      <c r="O15" s="170">
        <v>0</v>
      </c>
      <c r="P15" s="170">
        <v>0</v>
      </c>
      <c r="Q15" s="167">
        <v>32</v>
      </c>
      <c r="R15" s="167">
        <v>27</v>
      </c>
      <c r="S15" s="167">
        <v>1</v>
      </c>
      <c r="T15" s="167">
        <v>0</v>
      </c>
      <c r="U15" s="171">
        <v>0</v>
      </c>
      <c r="V15" s="171">
        <v>0</v>
      </c>
      <c r="W15" s="167">
        <v>0.5</v>
      </c>
      <c r="X15" s="167">
        <v>89700</v>
      </c>
      <c r="Y15" s="167">
        <v>0</v>
      </c>
      <c r="Z15" s="167">
        <v>86.999999999999972</v>
      </c>
      <c r="AA15" s="167">
        <v>1</v>
      </c>
      <c r="AB15" s="167">
        <v>6720</v>
      </c>
      <c r="AC15" s="170">
        <v>316909</v>
      </c>
      <c r="AD15" s="218">
        <v>9090.9090909090883</v>
      </c>
      <c r="AE15" s="170">
        <v>0.3</v>
      </c>
      <c r="AF15" s="170">
        <v>0</v>
      </c>
      <c r="AG15" s="170">
        <v>0</v>
      </c>
      <c r="AH15" s="170">
        <v>0</v>
      </c>
      <c r="AI15" s="170">
        <v>0</v>
      </c>
      <c r="AJ15" s="167">
        <v>28.000000000000007</v>
      </c>
      <c r="AK15" s="167">
        <v>1</v>
      </c>
      <c r="AL15" s="167">
        <v>1</v>
      </c>
      <c r="AM15" s="167">
        <v>1</v>
      </c>
      <c r="AN15" s="167">
        <v>1</v>
      </c>
      <c r="AO15" s="167">
        <v>1</v>
      </c>
      <c r="AP15" s="167">
        <v>1</v>
      </c>
      <c r="AQ15" s="167">
        <v>0</v>
      </c>
      <c r="AR15" s="167">
        <v>97</v>
      </c>
      <c r="AS15" s="173">
        <v>1</v>
      </c>
      <c r="AT15" s="182" t="s">
        <v>1853</v>
      </c>
      <c r="AU15" s="152">
        <v>5</v>
      </c>
      <c r="AV15" s="207">
        <v>0.11</v>
      </c>
      <c r="AW15" s="152">
        <v>0.93916824840468549</v>
      </c>
      <c r="AX15" s="152">
        <v>3.1330557594197725</v>
      </c>
      <c r="BA15" s="174">
        <v>12</v>
      </c>
      <c r="BB15" s="174" t="s">
        <v>902</v>
      </c>
      <c r="BC15" s="174">
        <v>23</v>
      </c>
      <c r="BD15" s="174">
        <v>20</v>
      </c>
      <c r="BE15" s="174"/>
      <c r="BF15" s="174">
        <v>12</v>
      </c>
      <c r="BG15" s="174"/>
      <c r="BH15" s="174"/>
      <c r="BI15" s="174">
        <v>22.7</v>
      </c>
      <c r="BJ15" s="174">
        <v>27.8</v>
      </c>
      <c r="BK15" s="174">
        <v>31.2</v>
      </c>
      <c r="BL15" s="174">
        <v>34.700000000000003</v>
      </c>
      <c r="BM15" s="174">
        <v>38.6</v>
      </c>
      <c r="BN15" s="174">
        <v>0.1103</v>
      </c>
      <c r="BO15" s="174">
        <v>0.13500000000000001</v>
      </c>
      <c r="BP15" s="174">
        <v>0.15160000000000001</v>
      </c>
      <c r="BQ15" s="174">
        <v>0.16819999999999999</v>
      </c>
      <c r="BR15" s="174">
        <v>0.18129999999999999</v>
      </c>
      <c r="BS15" s="174"/>
      <c r="BT15" s="174"/>
      <c r="BU15" s="174"/>
      <c r="BV15" s="174"/>
      <c r="BW15" s="174"/>
      <c r="BX15" s="174">
        <v>90</v>
      </c>
      <c r="BY15" s="174">
        <v>29</v>
      </c>
      <c r="BZ15" s="174">
        <v>32</v>
      </c>
      <c r="CA15" s="174">
        <v>36</v>
      </c>
      <c r="CB15" s="174">
        <v>40</v>
      </c>
      <c r="CC15" s="174">
        <v>47</v>
      </c>
      <c r="CD15" s="174">
        <v>175</v>
      </c>
      <c r="CE15" s="174">
        <v>227</v>
      </c>
      <c r="CF15" s="174">
        <v>270</v>
      </c>
      <c r="CG15" s="174">
        <v>313</v>
      </c>
      <c r="CH15" s="174">
        <v>411</v>
      </c>
      <c r="CI15" s="174">
        <v>62.1</v>
      </c>
      <c r="CJ15" s="174">
        <v>5.0999999999999996</v>
      </c>
      <c r="CK15" s="174">
        <v>1.1000000000000001</v>
      </c>
      <c r="CL15" s="175">
        <v>2.4904101118246552E-4</v>
      </c>
    </row>
    <row r="16" spans="1:90" x14ac:dyDescent="0.3">
      <c r="A16" s="152" t="s">
        <v>43</v>
      </c>
      <c r="B16" s="185">
        <v>79000000</v>
      </c>
      <c r="C16" s="160" t="s">
        <v>396</v>
      </c>
      <c r="D16" s="186">
        <v>14312.368061853702</v>
      </c>
      <c r="E16" s="187"/>
      <c r="I16" s="152" t="s">
        <v>1884</v>
      </c>
      <c r="J16" s="167">
        <v>11</v>
      </c>
      <c r="K16" s="168">
        <v>-16.3</v>
      </c>
      <c r="L16" s="169" t="s">
        <v>1880</v>
      </c>
      <c r="M16" s="67" t="s">
        <v>58</v>
      </c>
      <c r="N16" s="167">
        <v>9.3000000000000007</v>
      </c>
      <c r="O16" s="170">
        <v>193</v>
      </c>
      <c r="P16" s="170">
        <v>-134.28571428571442</v>
      </c>
      <c r="Q16" s="167">
        <v>0</v>
      </c>
      <c r="R16" s="167" t="e">
        <v>#N/A</v>
      </c>
      <c r="S16" s="167">
        <v>0.9</v>
      </c>
      <c r="T16" s="167">
        <v>0</v>
      </c>
      <c r="U16" s="171">
        <v>1.9E-2</v>
      </c>
      <c r="V16" s="171">
        <v>0</v>
      </c>
      <c r="W16" s="167">
        <v>0.5</v>
      </c>
      <c r="X16" s="167">
        <v>11700</v>
      </c>
      <c r="Y16" s="167">
        <v>0</v>
      </c>
      <c r="Z16" s="167" t="e">
        <v>#N/A</v>
      </c>
      <c r="AA16" s="167">
        <v>1</v>
      </c>
      <c r="AB16" s="167" t="e">
        <v>#N/A</v>
      </c>
      <c r="AC16" s="170">
        <v>90000</v>
      </c>
      <c r="AD16" s="172">
        <v>-40000.000000000044</v>
      </c>
      <c r="AE16" s="170">
        <v>0.3</v>
      </c>
      <c r="AF16" s="170">
        <v>0</v>
      </c>
      <c r="AG16" s="170">
        <v>0</v>
      </c>
      <c r="AH16" s="170">
        <v>0</v>
      </c>
      <c r="AI16" s="170">
        <v>0</v>
      </c>
      <c r="AJ16" s="167" t="e">
        <v>#N/A</v>
      </c>
      <c r="AK16" s="167">
        <v>1</v>
      </c>
      <c r="AL16" s="167">
        <v>1</v>
      </c>
      <c r="AM16" s="167">
        <v>1</v>
      </c>
      <c r="AN16" s="167">
        <v>1</v>
      </c>
      <c r="AO16" s="167">
        <v>1</v>
      </c>
      <c r="AP16" s="167">
        <v>1</v>
      </c>
      <c r="AQ16" s="167">
        <v>0</v>
      </c>
      <c r="AR16" s="167">
        <v>0</v>
      </c>
      <c r="AS16" s="173">
        <v>1</v>
      </c>
      <c r="AT16" s="219" t="s">
        <v>1854</v>
      </c>
      <c r="AU16" s="152">
        <v>4</v>
      </c>
      <c r="AV16" s="207">
        <v>0.2</v>
      </c>
      <c r="AW16" s="152">
        <v>1</v>
      </c>
      <c r="AX16" s="152">
        <v>1</v>
      </c>
      <c r="BA16" s="174">
        <v>12</v>
      </c>
      <c r="BB16" s="174" t="s">
        <v>902</v>
      </c>
      <c r="BC16" s="174">
        <v>23</v>
      </c>
      <c r="BD16" s="174">
        <v>20</v>
      </c>
      <c r="BE16" s="174"/>
      <c r="BF16" s="174">
        <v>12</v>
      </c>
      <c r="BG16" s="174"/>
      <c r="BH16" s="174"/>
      <c r="BI16" s="174">
        <v>26.6</v>
      </c>
      <c r="BJ16" s="174">
        <v>29.5</v>
      </c>
      <c r="BK16" s="174">
        <v>31.4</v>
      </c>
      <c r="BL16" s="174">
        <v>33.4</v>
      </c>
      <c r="BM16" s="174">
        <v>36.299999999999997</v>
      </c>
      <c r="BN16" s="174">
        <v>0.1208</v>
      </c>
      <c r="BO16" s="174">
        <v>0.13739999999999999</v>
      </c>
      <c r="BP16" s="174">
        <v>0.14849999999999999</v>
      </c>
      <c r="BQ16" s="174">
        <v>0.15959999999999999</v>
      </c>
      <c r="BR16" s="174">
        <v>0.17630000000000001</v>
      </c>
      <c r="BS16" s="174"/>
      <c r="BT16" s="174"/>
      <c r="BU16" s="174"/>
      <c r="BV16" s="174"/>
      <c r="BW16" s="174"/>
      <c r="BX16" s="174">
        <v>86</v>
      </c>
      <c r="BY16" s="174">
        <v>29</v>
      </c>
      <c r="BZ16" s="174">
        <v>32</v>
      </c>
      <c r="CA16" s="174">
        <v>36</v>
      </c>
      <c r="CB16" s="174">
        <v>40</v>
      </c>
      <c r="CC16" s="174">
        <v>47</v>
      </c>
      <c r="CD16" s="174">
        <v>169</v>
      </c>
      <c r="CE16" s="174">
        <v>226</v>
      </c>
      <c r="CF16" s="174">
        <v>272</v>
      </c>
      <c r="CG16" s="174">
        <v>317</v>
      </c>
      <c r="CH16" s="174">
        <v>420</v>
      </c>
      <c r="CI16" s="174">
        <v>60.7</v>
      </c>
      <c r="CJ16" s="174">
        <v>4</v>
      </c>
      <c r="CK16" s="174">
        <v>0.9</v>
      </c>
      <c r="CL16" s="175">
        <v>8.6620890907736019E-5</v>
      </c>
    </row>
    <row r="17" spans="1:90" s="178" customFormat="1" x14ac:dyDescent="0.3">
      <c r="A17" s="152" t="s">
        <v>74</v>
      </c>
      <c r="B17" s="162">
        <v>0.53</v>
      </c>
      <c r="C17" s="160"/>
      <c r="D17" s="190">
        <v>-663600.02904262731</v>
      </c>
      <c r="E17" s="164"/>
      <c r="I17" s="152" t="s">
        <v>1884</v>
      </c>
      <c r="J17" s="167">
        <v>12</v>
      </c>
      <c r="K17" s="168">
        <v>-17</v>
      </c>
      <c r="L17" s="169" t="s">
        <v>1881</v>
      </c>
      <c r="M17" s="67" t="s">
        <v>58</v>
      </c>
      <c r="N17" s="167">
        <v>9.3000000000000007</v>
      </c>
      <c r="O17" s="170">
        <v>164</v>
      </c>
      <c r="P17" s="170">
        <v>127</v>
      </c>
      <c r="Q17" s="167">
        <v>0</v>
      </c>
      <c r="R17" s="167" t="e">
        <v>#N/A</v>
      </c>
      <c r="S17" s="167">
        <v>1.7</v>
      </c>
      <c r="T17" s="167">
        <v>0</v>
      </c>
      <c r="U17" s="171">
        <v>1.9E-2</v>
      </c>
      <c r="V17" s="171">
        <v>0</v>
      </c>
      <c r="W17" s="167">
        <v>0.5</v>
      </c>
      <c r="X17" s="167">
        <v>28200</v>
      </c>
      <c r="Y17" s="167">
        <v>0</v>
      </c>
      <c r="Z17" s="167" t="e">
        <v>#N/A</v>
      </c>
      <c r="AA17" s="167">
        <v>1</v>
      </c>
      <c r="AB17" s="167" t="e">
        <v>#N/A</v>
      </c>
      <c r="AC17" s="170">
        <v>79000</v>
      </c>
      <c r="AD17" s="172">
        <v>61666.666666666664</v>
      </c>
      <c r="AE17" s="170">
        <v>0.3</v>
      </c>
      <c r="AF17" s="170">
        <v>0</v>
      </c>
      <c r="AG17" s="170">
        <v>0</v>
      </c>
      <c r="AH17" s="170">
        <v>0</v>
      </c>
      <c r="AI17" s="170">
        <v>0</v>
      </c>
      <c r="AJ17" s="167" t="e">
        <v>#N/A</v>
      </c>
      <c r="AK17" s="167">
        <v>1</v>
      </c>
      <c r="AL17" s="167">
        <v>1</v>
      </c>
      <c r="AM17" s="167">
        <v>1</v>
      </c>
      <c r="AN17" s="167">
        <v>1</v>
      </c>
      <c r="AO17" s="167">
        <v>1</v>
      </c>
      <c r="AP17" s="167">
        <v>1</v>
      </c>
      <c r="AQ17" s="167">
        <v>0</v>
      </c>
      <c r="AR17" s="167">
        <v>0</v>
      </c>
      <c r="AS17" s="173">
        <v>1</v>
      </c>
      <c r="AT17" s="219" t="s">
        <v>1854</v>
      </c>
      <c r="AU17" s="178">
        <v>4</v>
      </c>
      <c r="AV17" s="207">
        <v>0.2</v>
      </c>
      <c r="AW17" s="178">
        <v>1</v>
      </c>
      <c r="AX17" s="178">
        <v>1</v>
      </c>
      <c r="BA17" s="174">
        <v>12.3</v>
      </c>
      <c r="BB17" s="174" t="s">
        <v>902</v>
      </c>
      <c r="BC17" s="174">
        <v>23</v>
      </c>
      <c r="BD17" s="174">
        <v>20</v>
      </c>
      <c r="BE17" s="174"/>
      <c r="BF17" s="174">
        <v>12</v>
      </c>
      <c r="BG17" s="174"/>
      <c r="BH17" s="174"/>
      <c r="BI17" s="174">
        <v>12.5</v>
      </c>
      <c r="BJ17" s="174">
        <v>15.4</v>
      </c>
      <c r="BK17" s="174">
        <v>17.399999999999999</v>
      </c>
      <c r="BL17" s="174">
        <v>19.399999999999999</v>
      </c>
      <c r="BM17" s="174">
        <v>22.3</v>
      </c>
      <c r="BN17" s="174">
        <v>0.1014</v>
      </c>
      <c r="BO17" s="174">
        <v>0.1181</v>
      </c>
      <c r="BP17" s="174">
        <v>0.12920000000000001</v>
      </c>
      <c r="BQ17" s="174">
        <v>0.14030000000000001</v>
      </c>
      <c r="BR17" s="174">
        <v>0.15690000000000001</v>
      </c>
      <c r="BS17" s="174"/>
      <c r="BT17" s="174"/>
      <c r="BU17" s="174"/>
      <c r="BV17" s="174"/>
      <c r="BW17" s="174"/>
      <c r="BX17" s="174">
        <v>86</v>
      </c>
      <c r="BY17" s="174">
        <v>29</v>
      </c>
      <c r="BZ17" s="174">
        <v>32</v>
      </c>
      <c r="CA17" s="174">
        <v>36</v>
      </c>
      <c r="CB17" s="174">
        <v>40</v>
      </c>
      <c r="CC17" s="174">
        <v>47</v>
      </c>
      <c r="CD17" s="174">
        <v>136</v>
      </c>
      <c r="CE17" s="174">
        <v>193</v>
      </c>
      <c r="CF17" s="174">
        <v>239</v>
      </c>
      <c r="CG17" s="174">
        <v>284</v>
      </c>
      <c r="CH17" s="174">
        <v>387</v>
      </c>
      <c r="CI17" s="174">
        <v>60.7</v>
      </c>
      <c r="CJ17" s="174">
        <v>4</v>
      </c>
      <c r="CK17" s="174">
        <v>0.9</v>
      </c>
      <c r="CL17" s="175">
        <v>8.6620890907736019E-5</v>
      </c>
    </row>
    <row r="18" spans="1:90" x14ac:dyDescent="0.3">
      <c r="A18" s="153" t="s">
        <v>25</v>
      </c>
      <c r="B18" s="153" t="s">
        <v>26</v>
      </c>
      <c r="C18" s="153" t="s">
        <v>27</v>
      </c>
      <c r="D18" s="191">
        <v>30299.592645842633</v>
      </c>
      <c r="E18" s="192"/>
      <c r="I18" s="152" t="s">
        <v>1885</v>
      </c>
      <c r="J18" s="167">
        <v>13</v>
      </c>
      <c r="K18" s="168">
        <v>-20</v>
      </c>
      <c r="L18" s="169" t="s">
        <v>1882</v>
      </c>
      <c r="M18" s="67" t="s">
        <v>57</v>
      </c>
      <c r="N18" s="167">
        <v>8.8999999999999986</v>
      </c>
      <c r="O18" s="170">
        <v>0</v>
      </c>
      <c r="P18" s="170">
        <v>0</v>
      </c>
      <c r="Q18" s="167">
        <v>29</v>
      </c>
      <c r="R18" s="167">
        <v>24</v>
      </c>
      <c r="S18" s="167">
        <v>0.8</v>
      </c>
      <c r="T18" s="167">
        <v>0</v>
      </c>
      <c r="U18" s="171">
        <v>0</v>
      </c>
      <c r="V18" s="171">
        <v>0</v>
      </c>
      <c r="W18" s="167">
        <v>0.5</v>
      </c>
      <c r="X18" s="167">
        <v>16900</v>
      </c>
      <c r="Y18" s="167">
        <v>0</v>
      </c>
      <c r="Z18" s="167">
        <v>78.199999999999974</v>
      </c>
      <c r="AA18" s="167">
        <v>1</v>
      </c>
      <c r="AB18" s="167">
        <v>4420</v>
      </c>
      <c r="AC18" s="170">
        <v>273000</v>
      </c>
      <c r="AD18" s="172">
        <v>8500</v>
      </c>
      <c r="AE18" s="170">
        <v>0.3</v>
      </c>
      <c r="AF18" s="170">
        <v>0</v>
      </c>
      <c r="AG18" s="170">
        <v>0</v>
      </c>
      <c r="AH18" s="170">
        <v>0</v>
      </c>
      <c r="AI18" s="170">
        <v>0</v>
      </c>
      <c r="AJ18" s="167">
        <v>18.400000000000006</v>
      </c>
      <c r="AK18" s="167">
        <v>1</v>
      </c>
      <c r="AL18" s="167">
        <v>1</v>
      </c>
      <c r="AM18" s="167">
        <v>1</v>
      </c>
      <c r="AN18" s="167">
        <v>1</v>
      </c>
      <c r="AO18" s="167">
        <v>1</v>
      </c>
      <c r="AP18" s="167">
        <v>1</v>
      </c>
      <c r="AQ18" s="167">
        <v>0</v>
      </c>
      <c r="AR18" s="167">
        <v>66</v>
      </c>
      <c r="AS18" s="173">
        <v>1</v>
      </c>
      <c r="AT18" s="207" t="s">
        <v>1898</v>
      </c>
      <c r="AU18" s="152">
        <v>16</v>
      </c>
      <c r="AV18" s="207">
        <v>0.08</v>
      </c>
      <c r="AW18" s="152">
        <v>1</v>
      </c>
      <c r="AX18" s="152">
        <v>0.97698258555793349</v>
      </c>
      <c r="BA18" s="174">
        <v>12.3</v>
      </c>
      <c r="BB18" s="174" t="s">
        <v>902</v>
      </c>
      <c r="BC18" s="174">
        <v>25</v>
      </c>
      <c r="BD18" s="174">
        <v>19.5</v>
      </c>
      <c r="BE18" s="174"/>
      <c r="BF18" s="174">
        <v>12</v>
      </c>
      <c r="BG18" s="174"/>
      <c r="BH18" s="174"/>
      <c r="BI18" s="174">
        <v>10.8</v>
      </c>
      <c r="BJ18" s="174">
        <v>14.5</v>
      </c>
      <c r="BK18" s="174">
        <v>17</v>
      </c>
      <c r="BL18" s="174">
        <v>19.399999999999999</v>
      </c>
      <c r="BM18" s="174">
        <v>22.3</v>
      </c>
      <c r="BN18" s="174">
        <v>9.4700000000000006E-2</v>
      </c>
      <c r="BO18" s="174">
        <v>0.1104</v>
      </c>
      <c r="BP18" s="174">
        <v>0.121</v>
      </c>
      <c r="BQ18" s="174">
        <v>0.13150000000000001</v>
      </c>
      <c r="BR18" s="174">
        <v>0.1472</v>
      </c>
      <c r="BS18" s="174"/>
      <c r="BT18" s="174"/>
      <c r="BU18" s="174"/>
      <c r="BV18" s="174"/>
      <c r="BW18" s="174"/>
      <c r="BX18" s="174">
        <v>82</v>
      </c>
      <c r="BY18" s="174">
        <v>29</v>
      </c>
      <c r="BZ18" s="174">
        <v>31</v>
      </c>
      <c r="CA18" s="174">
        <v>35</v>
      </c>
      <c r="CB18" s="174">
        <v>39</v>
      </c>
      <c r="CC18" s="174">
        <v>46</v>
      </c>
      <c r="CD18" s="174">
        <v>130</v>
      </c>
      <c r="CE18" s="174">
        <v>189</v>
      </c>
      <c r="CF18" s="174">
        <v>237</v>
      </c>
      <c r="CG18" s="174">
        <v>285</v>
      </c>
      <c r="CH18" s="174">
        <v>391</v>
      </c>
      <c r="CI18" s="174">
        <v>53.7</v>
      </c>
      <c r="CJ18" s="174">
        <v>3.5</v>
      </c>
      <c r="CK18" s="174">
        <v>0.9</v>
      </c>
      <c r="CL18" s="175">
        <v>5.6631350421931083E-5</v>
      </c>
    </row>
    <row r="19" spans="1:90" x14ac:dyDescent="0.3">
      <c r="A19" s="164" t="s">
        <v>36</v>
      </c>
      <c r="B19" s="164" t="s">
        <v>29</v>
      </c>
      <c r="C19" s="164" t="s">
        <v>53</v>
      </c>
      <c r="D19" s="161">
        <v>0</v>
      </c>
      <c r="E19" s="153"/>
      <c r="I19" s="173" t="s">
        <v>1885</v>
      </c>
      <c r="J19" s="216">
        <v>14</v>
      </c>
      <c r="K19" s="217">
        <v>-23</v>
      </c>
      <c r="L19" s="169" t="s">
        <v>1882</v>
      </c>
      <c r="M19" s="67" t="s">
        <v>57</v>
      </c>
      <c r="N19" s="167">
        <v>8.8999999999999986</v>
      </c>
      <c r="O19" s="170">
        <v>0</v>
      </c>
      <c r="P19" s="170">
        <v>0</v>
      </c>
      <c r="Q19" s="167">
        <v>29</v>
      </c>
      <c r="R19" s="167">
        <v>24</v>
      </c>
      <c r="S19" s="167">
        <v>0.8</v>
      </c>
      <c r="T19" s="167">
        <v>0</v>
      </c>
      <c r="U19" s="171">
        <v>0</v>
      </c>
      <c r="V19" s="171">
        <v>0</v>
      </c>
      <c r="W19" s="167">
        <v>0.5</v>
      </c>
      <c r="X19" s="167">
        <v>16900</v>
      </c>
      <c r="Y19" s="167">
        <v>0</v>
      </c>
      <c r="Z19" s="167">
        <v>78.199999999999974</v>
      </c>
      <c r="AA19" s="167">
        <v>1</v>
      </c>
      <c r="AB19" s="167">
        <v>4420</v>
      </c>
      <c r="AC19" s="170">
        <v>298500</v>
      </c>
      <c r="AD19" s="218">
        <v>8500</v>
      </c>
      <c r="AE19" s="170">
        <v>0.3</v>
      </c>
      <c r="AF19" s="170">
        <v>0</v>
      </c>
      <c r="AG19" s="170">
        <v>0</v>
      </c>
      <c r="AH19" s="170">
        <v>0</v>
      </c>
      <c r="AI19" s="170">
        <v>0</v>
      </c>
      <c r="AJ19" s="167">
        <v>18.400000000000006</v>
      </c>
      <c r="AK19" s="167">
        <v>1</v>
      </c>
      <c r="AL19" s="167">
        <v>1</v>
      </c>
      <c r="AM19" s="167">
        <v>1</v>
      </c>
      <c r="AN19" s="167">
        <v>1</v>
      </c>
      <c r="AO19" s="167">
        <v>1</v>
      </c>
      <c r="AP19" s="167">
        <v>1</v>
      </c>
      <c r="AQ19" s="167">
        <v>0</v>
      </c>
      <c r="AR19" s="167">
        <v>66</v>
      </c>
      <c r="AS19" s="173">
        <v>1</v>
      </c>
      <c r="AT19" s="207" t="s">
        <v>1898</v>
      </c>
      <c r="AU19" s="152">
        <v>18</v>
      </c>
      <c r="AV19" s="207">
        <v>0.08</v>
      </c>
      <c r="AW19" s="152">
        <v>1</v>
      </c>
      <c r="AX19" s="152">
        <v>0.97698258555793349</v>
      </c>
      <c r="BA19" s="174">
        <v>13</v>
      </c>
      <c r="BB19" s="174" t="s">
        <v>902</v>
      </c>
      <c r="BC19" s="174">
        <v>25</v>
      </c>
      <c r="BD19" s="174">
        <v>19.5</v>
      </c>
      <c r="BE19" s="174"/>
      <c r="BF19" s="174">
        <v>12</v>
      </c>
      <c r="BG19" s="174"/>
      <c r="BH19" s="174"/>
      <c r="BI19" s="174">
        <v>29.3</v>
      </c>
      <c r="BJ19" s="174">
        <v>32.9</v>
      </c>
      <c r="BK19" s="174">
        <v>35.4</v>
      </c>
      <c r="BL19" s="174">
        <v>37.9</v>
      </c>
      <c r="BM19" s="174">
        <v>40.700000000000003</v>
      </c>
      <c r="BN19" s="174">
        <v>0.11459999999999999</v>
      </c>
      <c r="BO19" s="174">
        <v>0.13039999999999999</v>
      </c>
      <c r="BP19" s="174">
        <v>0.1409</v>
      </c>
      <c r="BQ19" s="174">
        <v>0.15140000000000001</v>
      </c>
      <c r="BR19" s="174">
        <v>0.16719999999999999</v>
      </c>
      <c r="BS19" s="174"/>
      <c r="BT19" s="174"/>
      <c r="BU19" s="174"/>
      <c r="BV19" s="174"/>
      <c r="BW19" s="174"/>
      <c r="BX19" s="174">
        <v>82</v>
      </c>
      <c r="BY19" s="174">
        <v>29</v>
      </c>
      <c r="BZ19" s="174">
        <v>31</v>
      </c>
      <c r="CA19" s="174">
        <v>35</v>
      </c>
      <c r="CB19" s="174">
        <v>39</v>
      </c>
      <c r="CC19" s="174">
        <v>46</v>
      </c>
      <c r="CD19" s="174">
        <v>186</v>
      </c>
      <c r="CE19" s="174">
        <v>244</v>
      </c>
      <c r="CF19" s="174">
        <v>292</v>
      </c>
      <c r="CG19" s="174">
        <v>340</v>
      </c>
      <c r="CH19" s="174">
        <v>447</v>
      </c>
      <c r="CI19" s="174">
        <v>53.7</v>
      </c>
      <c r="CJ19" s="174">
        <v>3.5</v>
      </c>
      <c r="CK19" s="174">
        <v>0.9</v>
      </c>
      <c r="CL19" s="175">
        <v>5.6631350421931083E-5</v>
      </c>
    </row>
    <row r="20" spans="1:90" x14ac:dyDescent="0.3">
      <c r="A20" s="192">
        <v>1</v>
      </c>
      <c r="B20" s="192">
        <v>0</v>
      </c>
      <c r="C20" s="193">
        <v>0.09</v>
      </c>
      <c r="D20" s="194">
        <v>2837.0120114184515</v>
      </c>
      <c r="I20" s="173" t="s">
        <v>1885</v>
      </c>
      <c r="J20" s="216">
        <v>15</v>
      </c>
      <c r="K20" s="217">
        <v>-26</v>
      </c>
      <c r="L20" s="169" t="s">
        <v>1882</v>
      </c>
      <c r="M20" s="67" t="s">
        <v>57</v>
      </c>
      <c r="N20" s="167">
        <v>8.8999999999999986</v>
      </c>
      <c r="O20" s="170">
        <v>0</v>
      </c>
      <c r="P20" s="170">
        <v>0</v>
      </c>
      <c r="Q20" s="167">
        <v>29</v>
      </c>
      <c r="R20" s="167">
        <v>24</v>
      </c>
      <c r="S20" s="167">
        <v>0.8</v>
      </c>
      <c r="T20" s="167">
        <v>0</v>
      </c>
      <c r="U20" s="171">
        <v>0</v>
      </c>
      <c r="V20" s="171">
        <v>0</v>
      </c>
      <c r="W20" s="167">
        <v>0.5</v>
      </c>
      <c r="X20" s="167">
        <v>16900</v>
      </c>
      <c r="Y20" s="167">
        <v>0</v>
      </c>
      <c r="Z20" s="167">
        <v>78.199999999999974</v>
      </c>
      <c r="AA20" s="167">
        <v>1</v>
      </c>
      <c r="AB20" s="167">
        <v>4420</v>
      </c>
      <c r="AC20" s="170">
        <v>324000</v>
      </c>
      <c r="AD20" s="218">
        <v>8500</v>
      </c>
      <c r="AE20" s="170">
        <v>0.3</v>
      </c>
      <c r="AF20" s="170">
        <v>0</v>
      </c>
      <c r="AG20" s="170">
        <v>0</v>
      </c>
      <c r="AH20" s="170">
        <v>0</v>
      </c>
      <c r="AI20" s="170">
        <v>0</v>
      </c>
      <c r="AJ20" s="167">
        <v>18.400000000000006</v>
      </c>
      <c r="AK20" s="167">
        <v>1</v>
      </c>
      <c r="AL20" s="167">
        <v>1</v>
      </c>
      <c r="AM20" s="167">
        <v>1</v>
      </c>
      <c r="AN20" s="167">
        <v>1</v>
      </c>
      <c r="AO20" s="167">
        <v>1</v>
      </c>
      <c r="AP20" s="167">
        <v>1</v>
      </c>
      <c r="AQ20" s="167">
        <v>0</v>
      </c>
      <c r="AR20" s="167">
        <v>66</v>
      </c>
      <c r="AS20" s="173">
        <v>1</v>
      </c>
      <c r="AT20" s="207" t="s">
        <v>1898</v>
      </c>
      <c r="AU20" s="152">
        <v>19</v>
      </c>
      <c r="AV20" s="207">
        <v>0.08</v>
      </c>
      <c r="AW20" s="152">
        <v>1</v>
      </c>
      <c r="AX20" s="152">
        <v>0.97698258555793349</v>
      </c>
      <c r="BA20" s="174">
        <v>13</v>
      </c>
      <c r="BB20" s="174" t="s">
        <v>902</v>
      </c>
      <c r="BC20" s="174">
        <v>25</v>
      </c>
      <c r="BD20" s="174">
        <v>19.5</v>
      </c>
      <c r="BE20" s="174"/>
      <c r="BF20" s="174">
        <v>12</v>
      </c>
      <c r="BG20" s="174"/>
      <c r="BH20" s="174"/>
      <c r="BI20" s="174">
        <v>29.5</v>
      </c>
      <c r="BJ20" s="174">
        <v>33.799999999999997</v>
      </c>
      <c r="BK20" s="174">
        <v>36.700000000000003</v>
      </c>
      <c r="BL20" s="174">
        <v>39.6</v>
      </c>
      <c r="BM20" s="174">
        <v>50</v>
      </c>
      <c r="BN20" s="174">
        <v>7.4499999999999997E-2</v>
      </c>
      <c r="BO20" s="174">
        <v>9.5699999999999993E-2</v>
      </c>
      <c r="BP20" s="174">
        <v>0.1099</v>
      </c>
      <c r="BQ20" s="174">
        <v>0.1241</v>
      </c>
      <c r="BR20" s="174">
        <v>0.15440000000000001</v>
      </c>
      <c r="BS20" s="174"/>
      <c r="BT20" s="174"/>
      <c r="BU20" s="174"/>
      <c r="BV20" s="174"/>
      <c r="BW20" s="174"/>
      <c r="BX20" s="174">
        <v>97</v>
      </c>
      <c r="BY20" s="174">
        <v>29</v>
      </c>
      <c r="BZ20" s="174">
        <v>32</v>
      </c>
      <c r="CA20" s="174">
        <v>37</v>
      </c>
      <c r="CB20" s="174">
        <v>41</v>
      </c>
      <c r="CC20" s="174">
        <v>47</v>
      </c>
      <c r="CD20" s="174">
        <v>171</v>
      </c>
      <c r="CE20" s="174">
        <v>250</v>
      </c>
      <c r="CF20" s="174">
        <v>296</v>
      </c>
      <c r="CG20" s="174">
        <v>342</v>
      </c>
      <c r="CH20" s="174">
        <v>450</v>
      </c>
      <c r="CI20" s="174">
        <v>89.7</v>
      </c>
      <c r="CJ20" s="174">
        <v>4.5</v>
      </c>
      <c r="CK20" s="174">
        <v>1</v>
      </c>
      <c r="CL20" s="175">
        <v>3.3945559409402171E-4</v>
      </c>
    </row>
    <row r="21" spans="1:90" x14ac:dyDescent="0.3">
      <c r="A21" s="192"/>
      <c r="B21" s="192"/>
      <c r="D21" s="161"/>
      <c r="I21" s="173" t="s">
        <v>1885</v>
      </c>
      <c r="J21" s="216">
        <v>16</v>
      </c>
      <c r="K21" s="217">
        <v>-29</v>
      </c>
      <c r="L21" s="169" t="s">
        <v>1882</v>
      </c>
      <c r="M21" s="67" t="s">
        <v>57</v>
      </c>
      <c r="N21" s="167">
        <v>8.8999999999999986</v>
      </c>
      <c r="O21" s="170">
        <v>0</v>
      </c>
      <c r="P21" s="170">
        <v>0</v>
      </c>
      <c r="Q21" s="167">
        <v>29</v>
      </c>
      <c r="R21" s="167">
        <v>24</v>
      </c>
      <c r="S21" s="167">
        <v>0.8</v>
      </c>
      <c r="T21" s="167">
        <v>0</v>
      </c>
      <c r="U21" s="171">
        <v>0</v>
      </c>
      <c r="V21" s="171">
        <v>0</v>
      </c>
      <c r="W21" s="167">
        <v>0.5</v>
      </c>
      <c r="X21" s="167">
        <v>16900</v>
      </c>
      <c r="Y21" s="167">
        <v>0</v>
      </c>
      <c r="Z21" s="167">
        <v>78.199999999999974</v>
      </c>
      <c r="AA21" s="167">
        <v>1</v>
      </c>
      <c r="AB21" s="167">
        <v>4420</v>
      </c>
      <c r="AC21" s="170">
        <v>349500</v>
      </c>
      <c r="AD21" s="218">
        <v>8500</v>
      </c>
      <c r="AE21" s="170">
        <v>0.3</v>
      </c>
      <c r="AF21" s="170">
        <v>0</v>
      </c>
      <c r="AG21" s="170">
        <v>0</v>
      </c>
      <c r="AH21" s="170">
        <v>0</v>
      </c>
      <c r="AI21" s="170">
        <v>0</v>
      </c>
      <c r="AJ21" s="167">
        <v>18.400000000000006</v>
      </c>
      <c r="AK21" s="167">
        <v>1</v>
      </c>
      <c r="AL21" s="167">
        <v>1</v>
      </c>
      <c r="AM21" s="167">
        <v>1</v>
      </c>
      <c r="AN21" s="167">
        <v>1</v>
      </c>
      <c r="AO21" s="167">
        <v>1</v>
      </c>
      <c r="AP21" s="167">
        <v>1</v>
      </c>
      <c r="AQ21" s="167">
        <v>0</v>
      </c>
      <c r="AR21" s="167">
        <v>66</v>
      </c>
      <c r="AS21" s="173">
        <v>1</v>
      </c>
      <c r="AT21" s="207" t="s">
        <v>1898</v>
      </c>
      <c r="AU21" s="152">
        <v>15</v>
      </c>
      <c r="AV21" s="207">
        <v>0.08</v>
      </c>
      <c r="AW21" s="152">
        <v>1</v>
      </c>
      <c r="AX21" s="152">
        <v>0.97698258555793349</v>
      </c>
      <c r="BA21" s="174">
        <v>16.3</v>
      </c>
      <c r="BB21" s="174" t="s">
        <v>902</v>
      </c>
      <c r="BC21" s="174">
        <v>25</v>
      </c>
      <c r="BD21" s="174">
        <v>19.5</v>
      </c>
      <c r="BE21" s="174"/>
      <c r="BF21" s="174">
        <v>12</v>
      </c>
      <c r="BG21" s="174"/>
      <c r="BH21" s="174"/>
      <c r="BI21" s="174">
        <v>27.4</v>
      </c>
      <c r="BJ21" s="174">
        <v>31.7</v>
      </c>
      <c r="BK21" s="174">
        <v>34.6</v>
      </c>
      <c r="BL21" s="174">
        <v>37.5</v>
      </c>
      <c r="BM21" s="174">
        <v>47.9</v>
      </c>
      <c r="BN21" s="174">
        <v>0.10290000000000001</v>
      </c>
      <c r="BO21" s="174">
        <v>0.1241</v>
      </c>
      <c r="BP21" s="174">
        <v>0.13830000000000001</v>
      </c>
      <c r="BQ21" s="174">
        <v>0.15240000000000001</v>
      </c>
      <c r="BR21" s="174">
        <v>0.18279999999999999</v>
      </c>
      <c r="BS21" s="174"/>
      <c r="BT21" s="174"/>
      <c r="BU21" s="174"/>
      <c r="BV21" s="174"/>
      <c r="BW21" s="174"/>
      <c r="BX21" s="174">
        <v>97</v>
      </c>
      <c r="BY21" s="174">
        <v>29</v>
      </c>
      <c r="BZ21" s="174">
        <v>32</v>
      </c>
      <c r="CA21" s="174">
        <v>37</v>
      </c>
      <c r="CB21" s="174">
        <v>41</v>
      </c>
      <c r="CC21" s="174">
        <v>47</v>
      </c>
      <c r="CD21" s="174">
        <v>201</v>
      </c>
      <c r="CE21" s="174">
        <v>279</v>
      </c>
      <c r="CF21" s="174">
        <v>326</v>
      </c>
      <c r="CG21" s="174">
        <v>372</v>
      </c>
      <c r="CH21" s="174">
        <v>480</v>
      </c>
      <c r="CI21" s="174">
        <v>89.7</v>
      </c>
      <c r="CJ21" s="174">
        <v>4.5</v>
      </c>
      <c r="CK21" s="174">
        <v>1</v>
      </c>
      <c r="CL21" s="175">
        <v>3.3945559409402171E-4</v>
      </c>
    </row>
    <row r="22" spans="1:90" x14ac:dyDescent="0.3">
      <c r="A22" s="192"/>
      <c r="B22" s="192"/>
      <c r="D22" s="195">
        <v>19321.6968835025</v>
      </c>
      <c r="I22" s="152" t="s">
        <v>1885</v>
      </c>
      <c r="J22" s="167">
        <v>17</v>
      </c>
      <c r="K22" s="168">
        <v>-30</v>
      </c>
      <c r="L22" s="169" t="s">
        <v>1883</v>
      </c>
      <c r="M22" s="67" t="s">
        <v>57</v>
      </c>
      <c r="N22" s="167">
        <v>8.8999999999999986</v>
      </c>
      <c r="O22" s="170">
        <v>0</v>
      </c>
      <c r="P22" s="170">
        <v>0</v>
      </c>
      <c r="Q22" s="167">
        <v>30</v>
      </c>
      <c r="R22" s="167">
        <v>25</v>
      </c>
      <c r="S22" s="167">
        <v>0.6</v>
      </c>
      <c r="T22" s="167">
        <v>0</v>
      </c>
      <c r="U22" s="171">
        <v>0</v>
      </c>
      <c r="V22" s="171">
        <v>0</v>
      </c>
      <c r="W22" s="167">
        <v>0.5</v>
      </c>
      <c r="X22" s="167">
        <v>14300</v>
      </c>
      <c r="Y22" s="167">
        <v>0</v>
      </c>
      <c r="Z22" s="167">
        <v>80.999999999999972</v>
      </c>
      <c r="AA22" s="167">
        <v>1</v>
      </c>
      <c r="AB22" s="167">
        <v>4800</v>
      </c>
      <c r="AC22" s="170">
        <v>322000</v>
      </c>
      <c r="AD22" s="172">
        <v>5950</v>
      </c>
      <c r="AE22" s="170">
        <v>0.3</v>
      </c>
      <c r="AF22" s="170">
        <v>0</v>
      </c>
      <c r="AG22" s="170">
        <v>0</v>
      </c>
      <c r="AH22" s="170">
        <v>0</v>
      </c>
      <c r="AI22" s="170">
        <v>0</v>
      </c>
      <c r="AJ22" s="167">
        <v>20.000000000000007</v>
      </c>
      <c r="AK22" s="167">
        <v>1</v>
      </c>
      <c r="AL22" s="167">
        <v>1</v>
      </c>
      <c r="AM22" s="167">
        <v>1</v>
      </c>
      <c r="AN22" s="167">
        <v>1</v>
      </c>
      <c r="AO22" s="167">
        <v>1</v>
      </c>
      <c r="AP22" s="167">
        <v>1</v>
      </c>
      <c r="AQ22" s="167">
        <v>0</v>
      </c>
      <c r="AR22" s="167">
        <v>59</v>
      </c>
      <c r="AS22" s="173">
        <v>1</v>
      </c>
      <c r="AT22" s="207" t="s">
        <v>1898</v>
      </c>
      <c r="AU22" s="152">
        <v>12</v>
      </c>
      <c r="AV22" s="207">
        <v>0.08</v>
      </c>
      <c r="AW22" s="152">
        <v>1</v>
      </c>
      <c r="AX22" s="152">
        <v>0.92662552600936687</v>
      </c>
      <c r="BA22" s="174">
        <v>16.3</v>
      </c>
      <c r="BB22" s="174" t="s">
        <v>1884</v>
      </c>
      <c r="BC22" s="174">
        <v>28</v>
      </c>
      <c r="BD22" s="174">
        <v>19.3</v>
      </c>
      <c r="BE22" s="174">
        <v>16</v>
      </c>
      <c r="BF22" s="174">
        <v>40</v>
      </c>
      <c r="BG22" s="174">
        <v>5</v>
      </c>
      <c r="BH22" s="174">
        <v>1.9</v>
      </c>
      <c r="BI22" s="174">
        <v>3.3</v>
      </c>
      <c r="BJ22" s="174">
        <v>3.8</v>
      </c>
      <c r="BK22" s="174">
        <v>4.3</v>
      </c>
      <c r="BL22" s="174">
        <v>4.7</v>
      </c>
      <c r="BM22" s="174">
        <v>5.2</v>
      </c>
      <c r="BN22" s="174">
        <v>8.9499999999999996E-2</v>
      </c>
      <c r="BO22" s="174">
        <v>0.1096</v>
      </c>
      <c r="BP22" s="174">
        <v>0.1229</v>
      </c>
      <c r="BQ22" s="174">
        <v>0.1363</v>
      </c>
      <c r="BR22" s="174">
        <v>0.16339999999999999</v>
      </c>
      <c r="BS22" s="174">
        <v>150</v>
      </c>
      <c r="BT22" s="174">
        <v>193</v>
      </c>
      <c r="BU22" s="174">
        <v>219</v>
      </c>
      <c r="BV22" s="174">
        <v>246</v>
      </c>
      <c r="BW22" s="174">
        <v>328</v>
      </c>
      <c r="BX22" s="174"/>
      <c r="BY22" s="174"/>
      <c r="BZ22" s="174"/>
      <c r="CA22" s="174"/>
      <c r="CB22" s="174"/>
      <c r="CC22" s="174"/>
      <c r="CD22" s="174">
        <v>61</v>
      </c>
      <c r="CE22" s="174">
        <v>71</v>
      </c>
      <c r="CF22" s="174">
        <v>90</v>
      </c>
      <c r="CG22" s="174">
        <v>108</v>
      </c>
      <c r="CH22" s="174">
        <v>152</v>
      </c>
      <c r="CI22" s="174">
        <v>11.7</v>
      </c>
      <c r="CJ22" s="174">
        <v>5.7</v>
      </c>
      <c r="CK22" s="174">
        <v>0.9</v>
      </c>
      <c r="CL22" s="175">
        <v>2.034153126254609E-10</v>
      </c>
    </row>
    <row r="23" spans="1:90" x14ac:dyDescent="0.3">
      <c r="A23" s="192"/>
      <c r="B23" s="192"/>
      <c r="D23" s="195">
        <v>-895860.03920754697</v>
      </c>
      <c r="I23" s="173" t="s">
        <v>1885</v>
      </c>
      <c r="J23" s="216">
        <v>18</v>
      </c>
      <c r="K23" s="217">
        <v>-33</v>
      </c>
      <c r="L23" s="169" t="s">
        <v>1883</v>
      </c>
      <c r="M23" s="67" t="s">
        <v>57</v>
      </c>
      <c r="N23" s="167">
        <v>8.8999999999999986</v>
      </c>
      <c r="O23" s="170">
        <v>0</v>
      </c>
      <c r="P23" s="170">
        <v>0</v>
      </c>
      <c r="Q23" s="167">
        <v>30</v>
      </c>
      <c r="R23" s="167">
        <v>25</v>
      </c>
      <c r="S23" s="167">
        <v>0.6</v>
      </c>
      <c r="T23" s="167">
        <v>0</v>
      </c>
      <c r="U23" s="171">
        <v>0</v>
      </c>
      <c r="V23" s="171">
        <v>0</v>
      </c>
      <c r="W23" s="167">
        <v>0.5</v>
      </c>
      <c r="X23" s="167">
        <v>14300</v>
      </c>
      <c r="Y23" s="167">
        <v>0</v>
      </c>
      <c r="Z23" s="167">
        <v>80.999999999999972</v>
      </c>
      <c r="AA23" s="167">
        <v>1</v>
      </c>
      <c r="AB23" s="167">
        <v>4800</v>
      </c>
      <c r="AC23" s="170">
        <v>339850</v>
      </c>
      <c r="AD23" s="218">
        <v>5950</v>
      </c>
      <c r="AE23" s="170">
        <v>0.3</v>
      </c>
      <c r="AF23" s="170">
        <v>0</v>
      </c>
      <c r="AG23" s="170">
        <v>0</v>
      </c>
      <c r="AH23" s="170">
        <v>0</v>
      </c>
      <c r="AI23" s="170">
        <v>0</v>
      </c>
      <c r="AJ23" s="167">
        <v>20.000000000000007</v>
      </c>
      <c r="AK23" s="167">
        <v>1</v>
      </c>
      <c r="AL23" s="167">
        <v>1</v>
      </c>
      <c r="AM23" s="167">
        <v>1</v>
      </c>
      <c r="AN23" s="167">
        <v>1</v>
      </c>
      <c r="AO23" s="167">
        <v>1</v>
      </c>
      <c r="AP23" s="167">
        <v>1</v>
      </c>
      <c r="AQ23" s="167">
        <v>0</v>
      </c>
      <c r="AR23" s="167">
        <v>59</v>
      </c>
      <c r="AS23" s="173">
        <v>1</v>
      </c>
      <c r="AT23" s="207" t="s">
        <v>1898</v>
      </c>
      <c r="AU23" s="152">
        <v>13</v>
      </c>
      <c r="AV23" s="207">
        <v>0.08</v>
      </c>
      <c r="AW23" s="152">
        <v>1</v>
      </c>
      <c r="AX23" s="152">
        <v>0.92662552600936687</v>
      </c>
      <c r="BA23" s="174">
        <v>17</v>
      </c>
      <c r="BB23" s="174" t="s">
        <v>1884</v>
      </c>
      <c r="BC23" s="174">
        <v>28</v>
      </c>
      <c r="BD23" s="174">
        <v>19.3</v>
      </c>
      <c r="BE23" s="174">
        <v>16</v>
      </c>
      <c r="BF23" s="174">
        <v>40</v>
      </c>
      <c r="BG23" s="174">
        <v>5</v>
      </c>
      <c r="BH23" s="174">
        <v>1.9</v>
      </c>
      <c r="BI23" s="174">
        <v>1.6</v>
      </c>
      <c r="BJ23" s="174">
        <v>2.2000000000000002</v>
      </c>
      <c r="BK23" s="174">
        <v>2.6</v>
      </c>
      <c r="BL23" s="174">
        <v>3</v>
      </c>
      <c r="BM23" s="174">
        <v>3.5</v>
      </c>
      <c r="BN23" s="174">
        <v>1.04E-2</v>
      </c>
      <c r="BO23" s="174">
        <v>3.04E-2</v>
      </c>
      <c r="BP23" s="174">
        <v>4.3799999999999999E-2</v>
      </c>
      <c r="BQ23" s="174">
        <v>5.7200000000000001E-2</v>
      </c>
      <c r="BR23" s="174">
        <v>8.4199999999999997E-2</v>
      </c>
      <c r="BS23" s="174">
        <v>68</v>
      </c>
      <c r="BT23" s="174">
        <v>99</v>
      </c>
      <c r="BU23" s="174">
        <v>125</v>
      </c>
      <c r="BV23" s="174">
        <v>152</v>
      </c>
      <c r="BW23" s="174">
        <v>234</v>
      </c>
      <c r="BX23" s="174"/>
      <c r="BY23" s="174"/>
      <c r="BZ23" s="174"/>
      <c r="CA23" s="174"/>
      <c r="CB23" s="174"/>
      <c r="CC23" s="174"/>
      <c r="CD23" s="174">
        <v>61</v>
      </c>
      <c r="CE23" s="174">
        <v>61</v>
      </c>
      <c r="CF23" s="174">
        <v>62</v>
      </c>
      <c r="CG23" s="174">
        <v>68</v>
      </c>
      <c r="CH23" s="174">
        <v>113</v>
      </c>
      <c r="CI23" s="174">
        <v>11.7</v>
      </c>
      <c r="CJ23" s="174">
        <v>5.7</v>
      </c>
      <c r="CK23" s="174">
        <v>0.9</v>
      </c>
      <c r="CL23" s="175">
        <v>2.034153126254609E-10</v>
      </c>
    </row>
    <row r="24" spans="1:90" x14ac:dyDescent="0.3">
      <c r="A24" s="192"/>
      <c r="B24" s="192"/>
      <c r="D24" s="195">
        <v>33329.551910426897</v>
      </c>
      <c r="I24" s="173" t="s">
        <v>1885</v>
      </c>
      <c r="J24" s="216">
        <v>19</v>
      </c>
      <c r="K24" s="217">
        <v>-36</v>
      </c>
      <c r="L24" s="169" t="s">
        <v>1883</v>
      </c>
      <c r="M24" s="67" t="s">
        <v>57</v>
      </c>
      <c r="N24" s="167">
        <v>8.8999999999999986</v>
      </c>
      <c r="O24" s="170">
        <v>0</v>
      </c>
      <c r="P24" s="170">
        <v>0</v>
      </c>
      <c r="Q24" s="167">
        <v>30</v>
      </c>
      <c r="R24" s="167">
        <v>25</v>
      </c>
      <c r="S24" s="167">
        <v>0.6</v>
      </c>
      <c r="T24" s="167">
        <v>0</v>
      </c>
      <c r="U24" s="171">
        <v>0</v>
      </c>
      <c r="V24" s="171">
        <v>0</v>
      </c>
      <c r="W24" s="167">
        <v>0.5</v>
      </c>
      <c r="X24" s="167">
        <v>14300</v>
      </c>
      <c r="Y24" s="167">
        <v>0</v>
      </c>
      <c r="Z24" s="167">
        <v>80.999999999999972</v>
      </c>
      <c r="AA24" s="167">
        <v>1</v>
      </c>
      <c r="AB24" s="167">
        <v>4800</v>
      </c>
      <c r="AC24" s="170">
        <v>357700</v>
      </c>
      <c r="AD24" s="218">
        <v>5950</v>
      </c>
      <c r="AE24" s="170">
        <v>0.3</v>
      </c>
      <c r="AF24" s="170">
        <v>0</v>
      </c>
      <c r="AG24" s="170">
        <v>0</v>
      </c>
      <c r="AH24" s="170">
        <v>0</v>
      </c>
      <c r="AI24" s="170">
        <v>0</v>
      </c>
      <c r="AJ24" s="167">
        <v>20.000000000000007</v>
      </c>
      <c r="AK24" s="167">
        <v>1</v>
      </c>
      <c r="AL24" s="167">
        <v>1</v>
      </c>
      <c r="AM24" s="167">
        <v>1</v>
      </c>
      <c r="AN24" s="167">
        <v>1</v>
      </c>
      <c r="AO24" s="167">
        <v>1</v>
      </c>
      <c r="AP24" s="167">
        <v>1</v>
      </c>
      <c r="AQ24" s="167">
        <v>0</v>
      </c>
      <c r="AR24" s="167">
        <v>59</v>
      </c>
      <c r="AS24" s="173">
        <v>1</v>
      </c>
      <c r="AT24" s="207" t="s">
        <v>1898</v>
      </c>
      <c r="AU24" s="152">
        <v>14</v>
      </c>
      <c r="AV24" s="207">
        <v>0.08</v>
      </c>
      <c r="AW24" s="152">
        <v>1</v>
      </c>
      <c r="AX24" s="152">
        <v>0.92662552600936687</v>
      </c>
      <c r="BA24" s="174">
        <v>17</v>
      </c>
      <c r="BB24" s="174" t="s">
        <v>1884</v>
      </c>
      <c r="BC24" s="174">
        <v>28</v>
      </c>
      <c r="BD24" s="174">
        <v>19.3</v>
      </c>
      <c r="BE24" s="174">
        <v>16</v>
      </c>
      <c r="BF24" s="174">
        <v>40</v>
      </c>
      <c r="BG24" s="174">
        <v>5</v>
      </c>
      <c r="BH24" s="174">
        <v>1.9</v>
      </c>
      <c r="BI24" s="174">
        <v>2.4</v>
      </c>
      <c r="BJ24" s="174">
        <v>3.3</v>
      </c>
      <c r="BK24" s="174">
        <v>4</v>
      </c>
      <c r="BL24" s="174">
        <v>4.5999999999999996</v>
      </c>
      <c r="BM24" s="174">
        <v>6.7</v>
      </c>
      <c r="BN24" s="174">
        <v>6.3700000000000007E-2</v>
      </c>
      <c r="BO24" s="174">
        <v>8.5599999999999996E-2</v>
      </c>
      <c r="BP24" s="174">
        <v>0.1002</v>
      </c>
      <c r="BQ24" s="174">
        <v>0.1149</v>
      </c>
      <c r="BR24" s="174">
        <v>0.1298</v>
      </c>
      <c r="BS24" s="174">
        <v>122</v>
      </c>
      <c r="BT24" s="174">
        <v>164</v>
      </c>
      <c r="BU24" s="174">
        <v>202</v>
      </c>
      <c r="BV24" s="174">
        <v>243</v>
      </c>
      <c r="BW24" s="174">
        <v>415</v>
      </c>
      <c r="BX24" s="174"/>
      <c r="BY24" s="174"/>
      <c r="BZ24" s="174"/>
      <c r="CA24" s="174"/>
      <c r="CB24" s="174"/>
      <c r="CC24" s="174"/>
      <c r="CD24" s="174">
        <v>76</v>
      </c>
      <c r="CE24" s="174">
        <v>76</v>
      </c>
      <c r="CF24" s="174">
        <v>79</v>
      </c>
      <c r="CG24" s="174">
        <v>122</v>
      </c>
      <c r="CH24" s="174">
        <v>240</v>
      </c>
      <c r="CI24" s="174">
        <v>28.2</v>
      </c>
      <c r="CJ24" s="174">
        <v>13</v>
      </c>
      <c r="CK24" s="174">
        <v>1.7</v>
      </c>
      <c r="CL24" s="175">
        <v>3.5998813966313349E-9</v>
      </c>
    </row>
    <row r="25" spans="1:90" x14ac:dyDescent="0.3">
      <c r="A25" s="192"/>
      <c r="B25" s="192"/>
      <c r="D25" s="153">
        <v>0</v>
      </c>
      <c r="I25" s="173" t="s">
        <v>1885</v>
      </c>
      <c r="J25" s="216">
        <v>20</v>
      </c>
      <c r="K25" s="217">
        <v>-39</v>
      </c>
      <c r="L25" s="169" t="s">
        <v>1883</v>
      </c>
      <c r="M25" s="67" t="s">
        <v>57</v>
      </c>
      <c r="N25" s="167">
        <v>8.8999999999999986</v>
      </c>
      <c r="O25" s="170">
        <v>0</v>
      </c>
      <c r="P25" s="170">
        <v>0</v>
      </c>
      <c r="Q25" s="167">
        <v>30</v>
      </c>
      <c r="R25" s="167">
        <v>25</v>
      </c>
      <c r="S25" s="167">
        <v>0.6</v>
      </c>
      <c r="T25" s="167">
        <v>0</v>
      </c>
      <c r="U25" s="171">
        <v>0</v>
      </c>
      <c r="V25" s="171">
        <v>0</v>
      </c>
      <c r="W25" s="167">
        <v>0.5</v>
      </c>
      <c r="X25" s="167">
        <v>14300</v>
      </c>
      <c r="Y25" s="167">
        <v>0</v>
      </c>
      <c r="Z25" s="167">
        <v>80.999999999999972</v>
      </c>
      <c r="AA25" s="167">
        <v>1</v>
      </c>
      <c r="AB25" s="167">
        <v>4800</v>
      </c>
      <c r="AC25" s="170">
        <v>375550</v>
      </c>
      <c r="AD25" s="218">
        <v>5950</v>
      </c>
      <c r="AE25" s="170">
        <v>0.3</v>
      </c>
      <c r="AF25" s="170">
        <v>0</v>
      </c>
      <c r="AG25" s="170">
        <v>0</v>
      </c>
      <c r="AH25" s="170">
        <v>0</v>
      </c>
      <c r="AI25" s="170">
        <v>0</v>
      </c>
      <c r="AJ25" s="167">
        <v>20.000000000000007</v>
      </c>
      <c r="AK25" s="167">
        <v>1</v>
      </c>
      <c r="AL25" s="167">
        <v>1</v>
      </c>
      <c r="AM25" s="167">
        <v>1</v>
      </c>
      <c r="AN25" s="167">
        <v>1</v>
      </c>
      <c r="AO25" s="167">
        <v>1</v>
      </c>
      <c r="AP25" s="167">
        <v>1</v>
      </c>
      <c r="AQ25" s="167">
        <v>0</v>
      </c>
      <c r="AR25" s="167">
        <v>59</v>
      </c>
      <c r="AS25" s="173">
        <v>1</v>
      </c>
      <c r="AT25" s="207" t="s">
        <v>1898</v>
      </c>
      <c r="AU25" s="152">
        <v>50</v>
      </c>
      <c r="AV25" s="207">
        <v>0.08</v>
      </c>
      <c r="AW25" s="152">
        <v>1</v>
      </c>
      <c r="AX25" s="152">
        <v>0.92662552600936687</v>
      </c>
      <c r="BA25" s="174">
        <v>20</v>
      </c>
      <c r="BB25" s="174" t="s">
        <v>1884</v>
      </c>
      <c r="BC25" s="174">
        <v>28</v>
      </c>
      <c r="BD25" s="174">
        <v>19.3</v>
      </c>
      <c r="BE25" s="174">
        <v>16</v>
      </c>
      <c r="BF25" s="174">
        <v>40</v>
      </c>
      <c r="BG25" s="174">
        <v>5</v>
      </c>
      <c r="BH25" s="174">
        <v>1.9</v>
      </c>
      <c r="BI25" s="174">
        <v>9.3000000000000007</v>
      </c>
      <c r="BJ25" s="174">
        <v>10.199999999999999</v>
      </c>
      <c r="BK25" s="174">
        <v>10.9</v>
      </c>
      <c r="BL25" s="174">
        <v>11.5</v>
      </c>
      <c r="BM25" s="174">
        <v>13.6</v>
      </c>
      <c r="BN25" s="174">
        <v>0.124</v>
      </c>
      <c r="BO25" s="174">
        <v>0.1459</v>
      </c>
      <c r="BP25" s="174">
        <v>0.16059999999999999</v>
      </c>
      <c r="BQ25" s="174">
        <v>0.17519999999999999</v>
      </c>
      <c r="BR25" s="174">
        <v>0.19009999999999999</v>
      </c>
      <c r="BS25" s="174">
        <v>426</v>
      </c>
      <c r="BT25" s="174">
        <v>545</v>
      </c>
      <c r="BU25" s="174">
        <v>583</v>
      </c>
      <c r="BV25" s="174">
        <v>623</v>
      </c>
      <c r="BW25" s="174">
        <v>795</v>
      </c>
      <c r="BX25" s="174"/>
      <c r="BY25" s="174"/>
      <c r="BZ25" s="174"/>
      <c r="CA25" s="174"/>
      <c r="CB25" s="174"/>
      <c r="CC25" s="174"/>
      <c r="CD25" s="174">
        <v>195</v>
      </c>
      <c r="CE25" s="174">
        <v>221</v>
      </c>
      <c r="CF25" s="174">
        <v>264</v>
      </c>
      <c r="CG25" s="174">
        <v>307</v>
      </c>
      <c r="CH25" s="174">
        <v>425</v>
      </c>
      <c r="CI25" s="174">
        <v>28.2</v>
      </c>
      <c r="CJ25" s="174">
        <v>13</v>
      </c>
      <c r="CK25" s="174">
        <v>1.7</v>
      </c>
      <c r="CL25" s="175">
        <v>3.5998813966313349E-9</v>
      </c>
    </row>
    <row r="26" spans="1:90" x14ac:dyDescent="0.3">
      <c r="A26" s="192"/>
      <c r="B26" s="192"/>
      <c r="D26" s="195">
        <v>3829.96621541491</v>
      </c>
      <c r="I26" s="173" t="s">
        <v>1885</v>
      </c>
      <c r="J26" s="216">
        <v>21</v>
      </c>
      <c r="K26" s="217">
        <v>-42</v>
      </c>
      <c r="L26" s="169" t="s">
        <v>1883</v>
      </c>
      <c r="M26" s="67" t="s">
        <v>57</v>
      </c>
      <c r="N26" s="167">
        <v>8.8999999999999986</v>
      </c>
      <c r="O26" s="170">
        <v>0</v>
      </c>
      <c r="P26" s="170">
        <v>0</v>
      </c>
      <c r="Q26" s="167">
        <v>30</v>
      </c>
      <c r="R26" s="167">
        <v>25</v>
      </c>
      <c r="S26" s="167">
        <v>0.6</v>
      </c>
      <c r="T26" s="167">
        <v>0</v>
      </c>
      <c r="U26" s="171">
        <v>0</v>
      </c>
      <c r="V26" s="171">
        <v>0</v>
      </c>
      <c r="W26" s="167">
        <v>0.5</v>
      </c>
      <c r="X26" s="167">
        <v>14300</v>
      </c>
      <c r="Y26" s="167">
        <v>0</v>
      </c>
      <c r="Z26" s="167">
        <v>80.999999999999972</v>
      </c>
      <c r="AA26" s="167">
        <v>1</v>
      </c>
      <c r="AB26" s="167">
        <v>4800</v>
      </c>
      <c r="AC26" s="170">
        <v>393400</v>
      </c>
      <c r="AD26" s="218">
        <v>5950</v>
      </c>
      <c r="AE26" s="170">
        <v>0.3</v>
      </c>
      <c r="AF26" s="170">
        <v>0</v>
      </c>
      <c r="AG26" s="170">
        <v>0</v>
      </c>
      <c r="AH26" s="170">
        <v>0</v>
      </c>
      <c r="AI26" s="170">
        <v>0</v>
      </c>
      <c r="AJ26" s="167">
        <v>20.000000000000007</v>
      </c>
      <c r="AK26" s="167">
        <v>1</v>
      </c>
      <c r="AL26" s="167">
        <v>1</v>
      </c>
      <c r="AM26" s="167">
        <v>1</v>
      </c>
      <c r="AN26" s="167">
        <v>1</v>
      </c>
      <c r="AO26" s="167">
        <v>1</v>
      </c>
      <c r="AP26" s="167">
        <v>1</v>
      </c>
      <c r="AQ26" s="167">
        <v>0</v>
      </c>
      <c r="AR26" s="167">
        <v>59</v>
      </c>
      <c r="AS26" s="173">
        <v>1</v>
      </c>
      <c r="AT26" s="207" t="s">
        <v>1898</v>
      </c>
      <c r="AU26" s="152">
        <v>50</v>
      </c>
      <c r="AV26" s="207">
        <v>0.08</v>
      </c>
      <c r="AW26" s="152">
        <v>1</v>
      </c>
      <c r="AX26" s="152">
        <v>0.92662552600936687</v>
      </c>
      <c r="BA26" s="174">
        <v>20</v>
      </c>
      <c r="BB26" s="174" t="s">
        <v>1885</v>
      </c>
      <c r="BC26" s="174">
        <v>27</v>
      </c>
      <c r="BD26" s="174">
        <v>18.899999999999999</v>
      </c>
      <c r="BE26" s="174"/>
      <c r="BF26" s="174">
        <v>25</v>
      </c>
      <c r="BG26" s="174"/>
      <c r="BH26" s="174"/>
      <c r="BI26" s="174">
        <v>6.5</v>
      </c>
      <c r="BJ26" s="174">
        <v>9.3000000000000007</v>
      </c>
      <c r="BK26" s="174">
        <v>11.1</v>
      </c>
      <c r="BL26" s="174">
        <v>13</v>
      </c>
      <c r="BM26" s="174">
        <v>16.5</v>
      </c>
      <c r="BN26" s="174">
        <v>8.9399999999999993E-2</v>
      </c>
      <c r="BO26" s="174">
        <v>0.13619999999999999</v>
      </c>
      <c r="BP26" s="174">
        <v>0.16739999999999999</v>
      </c>
      <c r="BQ26" s="174">
        <v>0.1986</v>
      </c>
      <c r="BR26" s="174">
        <v>0.2727</v>
      </c>
      <c r="BS26" s="174"/>
      <c r="BT26" s="174"/>
      <c r="BU26" s="174"/>
      <c r="BV26" s="174"/>
      <c r="BW26" s="174"/>
      <c r="BX26" s="174">
        <v>66</v>
      </c>
      <c r="BY26" s="174">
        <v>29</v>
      </c>
      <c r="BZ26" s="174">
        <v>29</v>
      </c>
      <c r="CA26" s="174">
        <v>33</v>
      </c>
      <c r="CB26" s="174">
        <v>36</v>
      </c>
      <c r="CC26" s="174">
        <v>43</v>
      </c>
      <c r="CD26" s="174">
        <v>147</v>
      </c>
      <c r="CE26" s="174">
        <v>226</v>
      </c>
      <c r="CF26" s="174">
        <v>273</v>
      </c>
      <c r="CG26" s="174">
        <v>320</v>
      </c>
      <c r="CH26" s="174">
        <v>428</v>
      </c>
      <c r="CI26" s="174">
        <v>16.899999999999999</v>
      </c>
      <c r="CJ26" s="174">
        <v>2.7</v>
      </c>
      <c r="CK26" s="174">
        <v>0.8</v>
      </c>
      <c r="CL26" s="175">
        <v>4.5483992361544011E-7</v>
      </c>
    </row>
    <row r="27" spans="1:90" x14ac:dyDescent="0.3">
      <c r="A27" s="192"/>
      <c r="B27" s="192"/>
      <c r="D27" s="153"/>
      <c r="J27" s="167"/>
      <c r="K27" s="168"/>
      <c r="L27" s="169"/>
      <c r="M27" s="67"/>
      <c r="N27" s="167"/>
      <c r="O27" s="170"/>
      <c r="P27" s="170"/>
      <c r="Q27" s="167"/>
      <c r="R27" s="167"/>
      <c r="S27" s="167"/>
      <c r="T27" s="167"/>
      <c r="U27" s="171"/>
      <c r="V27" s="171"/>
      <c r="W27" s="167"/>
      <c r="X27" s="167"/>
      <c r="Y27" s="167"/>
      <c r="Z27" s="167"/>
      <c r="AA27" s="167"/>
      <c r="AB27" s="167"/>
      <c r="AC27" s="170"/>
      <c r="AD27" s="170"/>
      <c r="AE27" s="170"/>
      <c r="AF27" s="170"/>
      <c r="AG27" s="170"/>
      <c r="AH27" s="170"/>
      <c r="AI27" s="170"/>
      <c r="AJ27" s="167"/>
      <c r="AK27" s="167"/>
      <c r="AL27" s="167"/>
      <c r="AM27" s="167"/>
      <c r="AN27" s="167"/>
      <c r="AO27" s="167"/>
      <c r="AP27" s="167"/>
      <c r="AQ27" s="167"/>
      <c r="AR27" s="167"/>
      <c r="BA27" s="174">
        <v>30</v>
      </c>
      <c r="BB27" s="174" t="s">
        <v>1885</v>
      </c>
      <c r="BC27" s="174">
        <v>27</v>
      </c>
      <c r="BD27" s="174">
        <v>18.899999999999999</v>
      </c>
      <c r="BE27" s="174"/>
      <c r="BF27" s="174">
        <v>25</v>
      </c>
      <c r="BG27" s="174"/>
      <c r="BH27" s="174"/>
      <c r="BI27" s="174">
        <v>10.5</v>
      </c>
      <c r="BJ27" s="174">
        <v>13.3</v>
      </c>
      <c r="BK27" s="174">
        <v>15.1</v>
      </c>
      <c r="BL27" s="174">
        <v>17</v>
      </c>
      <c r="BM27" s="174">
        <v>20.5</v>
      </c>
      <c r="BN27" s="174">
        <v>0.14430000000000001</v>
      </c>
      <c r="BO27" s="174">
        <v>0.19109999999999999</v>
      </c>
      <c r="BP27" s="174">
        <v>0.2223</v>
      </c>
      <c r="BQ27" s="174">
        <v>0.2535</v>
      </c>
      <c r="BR27" s="174">
        <v>0.32750000000000001</v>
      </c>
      <c r="BS27" s="174"/>
      <c r="BT27" s="174"/>
      <c r="BU27" s="174"/>
      <c r="BV27" s="174"/>
      <c r="BW27" s="174"/>
      <c r="BX27" s="174">
        <v>66</v>
      </c>
      <c r="BY27" s="174">
        <v>29</v>
      </c>
      <c r="BZ27" s="174">
        <v>29</v>
      </c>
      <c r="CA27" s="174">
        <v>33</v>
      </c>
      <c r="CB27" s="174">
        <v>36</v>
      </c>
      <c r="CC27" s="174">
        <v>43</v>
      </c>
      <c r="CD27" s="174">
        <v>231</v>
      </c>
      <c r="CE27" s="174">
        <v>311</v>
      </c>
      <c r="CF27" s="174">
        <v>358</v>
      </c>
      <c r="CG27" s="174">
        <v>405</v>
      </c>
      <c r="CH27" s="174">
        <v>513</v>
      </c>
      <c r="CI27" s="174">
        <v>16.899999999999999</v>
      </c>
      <c r="CJ27" s="174">
        <v>2.7</v>
      </c>
      <c r="CK27" s="174">
        <v>0.8</v>
      </c>
      <c r="CL27" s="175">
        <v>4.5483992361544011E-7</v>
      </c>
    </row>
    <row r="28" spans="1:90" x14ac:dyDescent="0.3">
      <c r="A28" s="192"/>
      <c r="B28" s="192"/>
      <c r="D28" s="153"/>
      <c r="J28" s="167"/>
      <c r="K28" s="168"/>
      <c r="L28" s="169"/>
      <c r="M28" s="67"/>
      <c r="N28" s="167"/>
      <c r="O28" s="170"/>
      <c r="P28" s="170"/>
      <c r="Q28" s="167"/>
      <c r="R28" s="167"/>
      <c r="S28" s="167"/>
      <c r="T28" s="167"/>
      <c r="U28" s="171"/>
      <c r="V28" s="171"/>
      <c r="W28" s="167"/>
      <c r="X28" s="167"/>
      <c r="Y28" s="167"/>
      <c r="Z28" s="167"/>
      <c r="AA28" s="167"/>
      <c r="AB28" s="167"/>
      <c r="AC28" s="170"/>
      <c r="AD28" s="170"/>
      <c r="AE28" s="170"/>
      <c r="AF28" s="170"/>
      <c r="AG28" s="170"/>
      <c r="AH28" s="170"/>
      <c r="AI28" s="170"/>
      <c r="AJ28" s="167"/>
      <c r="AK28" s="167"/>
      <c r="AL28" s="167"/>
      <c r="AM28" s="167"/>
      <c r="AN28" s="167"/>
      <c r="AO28" s="167"/>
      <c r="AP28" s="167"/>
      <c r="AQ28" s="167"/>
      <c r="AR28" s="167"/>
      <c r="BA28" s="174">
        <v>30</v>
      </c>
      <c r="BB28" s="174" t="s">
        <v>1885</v>
      </c>
      <c r="BC28" s="174">
        <v>27</v>
      </c>
      <c r="BD28" s="174">
        <v>18.899999999999999</v>
      </c>
      <c r="BE28" s="174"/>
      <c r="BF28" s="174">
        <v>25</v>
      </c>
      <c r="BG28" s="174"/>
      <c r="BH28" s="174"/>
      <c r="BI28" s="174">
        <v>5.9</v>
      </c>
      <c r="BJ28" s="174">
        <v>6.6</v>
      </c>
      <c r="BK28" s="174">
        <v>9.8000000000000007</v>
      </c>
      <c r="BL28" s="174">
        <v>28.6</v>
      </c>
      <c r="BM28" s="174">
        <v>32.299999999999997</v>
      </c>
      <c r="BN28" s="174">
        <v>4.9200000000000001E-2</v>
      </c>
      <c r="BO28" s="174">
        <v>5.7799999999999997E-2</v>
      </c>
      <c r="BP28" s="174">
        <v>0.10100000000000001</v>
      </c>
      <c r="BQ28" s="174">
        <v>0.36399999999999999</v>
      </c>
      <c r="BR28" s="174">
        <v>0.41649999999999998</v>
      </c>
      <c r="BS28" s="174"/>
      <c r="BT28" s="174"/>
      <c r="BU28" s="174"/>
      <c r="BV28" s="174"/>
      <c r="BW28" s="174"/>
      <c r="BX28" s="174">
        <v>59</v>
      </c>
      <c r="BY28" s="174">
        <v>29</v>
      </c>
      <c r="BZ28" s="174">
        <v>30</v>
      </c>
      <c r="CA28" s="174">
        <v>31</v>
      </c>
      <c r="CB28" s="174">
        <v>35</v>
      </c>
      <c r="CC28" s="174">
        <v>35</v>
      </c>
      <c r="CD28" s="174">
        <v>284</v>
      </c>
      <c r="CE28" s="174">
        <v>291</v>
      </c>
      <c r="CF28" s="174">
        <v>322</v>
      </c>
      <c r="CG28" s="174">
        <v>421</v>
      </c>
      <c r="CH28" s="174">
        <v>434</v>
      </c>
      <c r="CI28" s="174">
        <v>14.3</v>
      </c>
      <c r="CJ28" s="174">
        <v>1.5</v>
      </c>
      <c r="CK28" s="174">
        <v>0.6</v>
      </c>
      <c r="CL28" s="175">
        <v>2.361564123204422E-7</v>
      </c>
    </row>
    <row r="29" spans="1:90" x14ac:dyDescent="0.3">
      <c r="A29" s="192"/>
      <c r="B29" s="192"/>
      <c r="D29" s="153"/>
      <c r="E29" s="152" t="s">
        <v>554</v>
      </c>
      <c r="F29" s="152" t="s">
        <v>1886</v>
      </c>
      <c r="G29" s="152" t="s">
        <v>1872</v>
      </c>
      <c r="J29" s="167"/>
      <c r="K29" s="168"/>
      <c r="L29" s="169"/>
      <c r="M29" s="67"/>
      <c r="N29" s="167"/>
      <c r="O29" s="170"/>
      <c r="P29" s="170"/>
      <c r="Q29" s="167"/>
      <c r="R29" s="167"/>
      <c r="S29" s="167"/>
      <c r="T29" s="167"/>
      <c r="U29" s="171"/>
      <c r="V29" s="171"/>
      <c r="W29" s="167"/>
      <c r="X29" s="167"/>
      <c r="Y29" s="167"/>
      <c r="Z29" s="167"/>
      <c r="AA29" s="167"/>
      <c r="AB29" s="167"/>
      <c r="AC29" s="170"/>
      <c r="AD29" s="170"/>
      <c r="AE29" s="170"/>
      <c r="AF29" s="170"/>
      <c r="AG29" s="170"/>
      <c r="AH29" s="170"/>
      <c r="AI29" s="170"/>
      <c r="AJ29" s="167"/>
      <c r="AK29" s="167"/>
      <c r="AL29" s="167"/>
      <c r="AM29" s="167"/>
      <c r="AN29" s="167"/>
      <c r="AO29" s="167"/>
      <c r="AP29" s="167"/>
      <c r="AQ29" s="167"/>
      <c r="AR29" s="167"/>
      <c r="BA29" s="174">
        <v>50</v>
      </c>
      <c r="BB29" s="174" t="s">
        <v>1885</v>
      </c>
      <c r="BC29" s="174">
        <v>27</v>
      </c>
      <c r="BD29" s="174">
        <v>18.899999999999999</v>
      </c>
      <c r="BE29" s="174"/>
      <c r="BF29" s="174">
        <v>25</v>
      </c>
      <c r="BG29" s="174"/>
      <c r="BH29" s="174"/>
      <c r="BI29" s="174">
        <v>8.3000000000000007</v>
      </c>
      <c r="BJ29" s="174">
        <v>9</v>
      </c>
      <c r="BK29" s="174">
        <v>12.2</v>
      </c>
      <c r="BL29" s="174">
        <v>31</v>
      </c>
      <c r="BM29" s="174">
        <v>34.700000000000003</v>
      </c>
      <c r="BN29" s="174">
        <v>8.2000000000000003E-2</v>
      </c>
      <c r="BO29" s="174">
        <v>9.06E-2</v>
      </c>
      <c r="BP29" s="174">
        <v>0.13370000000000001</v>
      </c>
      <c r="BQ29" s="174">
        <v>0.3967</v>
      </c>
      <c r="BR29" s="174">
        <v>0.44929999999999998</v>
      </c>
      <c r="BS29" s="174"/>
      <c r="BT29" s="174"/>
      <c r="BU29" s="174"/>
      <c r="BV29" s="174"/>
      <c r="BW29" s="174"/>
      <c r="BX29" s="174">
        <v>59</v>
      </c>
      <c r="BY29" s="174">
        <v>29</v>
      </c>
      <c r="BZ29" s="174">
        <v>30</v>
      </c>
      <c r="CA29" s="174">
        <v>31</v>
      </c>
      <c r="CB29" s="174">
        <v>35</v>
      </c>
      <c r="CC29" s="174">
        <v>35</v>
      </c>
      <c r="CD29" s="174">
        <v>401</v>
      </c>
      <c r="CE29" s="174">
        <v>409</v>
      </c>
      <c r="CF29" s="174">
        <v>441</v>
      </c>
      <c r="CG29" s="174">
        <v>558</v>
      </c>
      <c r="CH29" s="174">
        <v>574</v>
      </c>
      <c r="CI29" s="174">
        <v>14.3</v>
      </c>
      <c r="CJ29" s="174">
        <v>1.5</v>
      </c>
      <c r="CK29" s="174">
        <v>0.6</v>
      </c>
      <c r="CL29" s="175">
        <v>2.361564123204422E-7</v>
      </c>
    </row>
    <row r="30" spans="1:90" x14ac:dyDescent="0.3">
      <c r="A30" s="192"/>
      <c r="B30" s="192"/>
      <c r="D30" s="153"/>
      <c r="E30" s="152" t="s">
        <v>554</v>
      </c>
      <c r="F30" s="152" t="s">
        <v>1887</v>
      </c>
      <c r="G30" s="152" t="s">
        <v>1873</v>
      </c>
      <c r="J30" s="167"/>
      <c r="K30" s="168"/>
      <c r="L30" s="169"/>
      <c r="M30" s="67"/>
      <c r="N30" s="167"/>
      <c r="O30" s="170"/>
      <c r="P30" s="170"/>
      <c r="Q30" s="167"/>
      <c r="R30" s="167"/>
      <c r="S30" s="167"/>
      <c r="T30" s="167"/>
      <c r="U30" s="171"/>
      <c r="V30" s="171"/>
      <c r="W30" s="167"/>
      <c r="X30" s="167"/>
      <c r="Y30" s="167"/>
      <c r="Z30" s="167"/>
      <c r="AA30" s="167"/>
      <c r="AB30" s="167"/>
      <c r="AC30" s="170"/>
      <c r="AD30" s="170"/>
      <c r="AE30" s="170"/>
      <c r="AF30" s="170"/>
      <c r="AG30" s="170"/>
      <c r="AH30" s="170"/>
      <c r="AI30" s="170"/>
      <c r="AJ30" s="167"/>
      <c r="AK30" s="167"/>
      <c r="AL30" s="167"/>
      <c r="AM30" s="167"/>
      <c r="AN30" s="167"/>
      <c r="AO30" s="167"/>
      <c r="AP30" s="167"/>
      <c r="AQ30" s="167"/>
      <c r="AR30" s="167"/>
      <c r="AT30" s="162"/>
      <c r="AW30" s="174"/>
      <c r="AX30" s="174"/>
      <c r="AY30" s="174"/>
      <c r="AZ30" s="174"/>
      <c r="BA30" s="174"/>
      <c r="BB30" s="174"/>
      <c r="BC30" s="174"/>
      <c r="BD30" s="174"/>
      <c r="BE30" s="174"/>
      <c r="BF30" s="174"/>
      <c r="BG30" s="174"/>
      <c r="BH30" s="174"/>
      <c r="BI30" s="174"/>
      <c r="BJ30" s="174"/>
      <c r="BK30" s="174"/>
      <c r="BL30" s="174"/>
      <c r="BM30" s="174"/>
      <c r="BN30" s="174"/>
      <c r="BO30" s="174"/>
      <c r="BP30" s="174"/>
      <c r="BQ30" s="174"/>
      <c r="BR30" s="174"/>
      <c r="BS30" s="174"/>
      <c r="BT30" s="174"/>
      <c r="BU30" s="174"/>
      <c r="BV30" s="174"/>
      <c r="BW30" s="174"/>
      <c r="BX30" s="174"/>
      <c r="BY30" s="174"/>
      <c r="BZ30" s="174"/>
      <c r="CA30" s="174"/>
      <c r="CB30" s="174"/>
      <c r="CC30" s="174"/>
      <c r="CD30" s="175"/>
    </row>
    <row r="31" spans="1:90" x14ac:dyDescent="0.3">
      <c r="A31" s="192"/>
      <c r="B31" s="192"/>
      <c r="D31" s="153"/>
      <c r="E31" s="152" t="s">
        <v>554</v>
      </c>
      <c r="F31" s="152" t="s">
        <v>1888</v>
      </c>
      <c r="G31" s="152" t="s">
        <v>1874</v>
      </c>
      <c r="J31" s="167"/>
      <c r="K31" s="168"/>
      <c r="L31" s="169"/>
      <c r="M31" s="67"/>
      <c r="N31" s="167"/>
      <c r="O31" s="170"/>
      <c r="P31" s="170"/>
      <c r="Q31" s="167"/>
      <c r="R31" s="167"/>
      <c r="S31" s="167"/>
      <c r="T31" s="167"/>
      <c r="U31" s="171"/>
      <c r="V31" s="171"/>
      <c r="W31" s="167"/>
      <c r="X31" s="167"/>
      <c r="Y31" s="167"/>
      <c r="Z31" s="167"/>
      <c r="AA31" s="167"/>
      <c r="AB31" s="167"/>
      <c r="AC31" s="170"/>
      <c r="AD31" s="170"/>
      <c r="AE31" s="170"/>
      <c r="AF31" s="170"/>
      <c r="AG31" s="170"/>
      <c r="AH31" s="170"/>
      <c r="AI31" s="170"/>
      <c r="AJ31" s="167"/>
      <c r="AK31" s="167"/>
      <c r="AL31" s="167"/>
      <c r="AM31" s="167"/>
      <c r="AN31" s="167"/>
      <c r="AO31" s="167"/>
      <c r="AP31" s="167"/>
      <c r="AQ31" s="167"/>
      <c r="AR31" s="167"/>
      <c r="AT31" s="162"/>
      <c r="AW31" s="174"/>
      <c r="AX31" s="174"/>
      <c r="AY31" s="174"/>
      <c r="AZ31" s="174"/>
      <c r="BA31" s="174"/>
      <c r="BB31" s="174"/>
      <c r="BC31" s="174"/>
      <c r="BD31" s="174"/>
      <c r="BE31" s="174"/>
      <c r="BF31" s="174"/>
      <c r="BG31" s="174"/>
      <c r="BH31" s="174"/>
      <c r="BI31" s="174"/>
      <c r="BJ31" s="174"/>
      <c r="BK31" s="174"/>
      <c r="BL31" s="174"/>
      <c r="BM31" s="174"/>
      <c r="BN31" s="174"/>
      <c r="BO31" s="174"/>
      <c r="BP31" s="174"/>
      <c r="BQ31" s="174"/>
      <c r="BR31" s="174"/>
      <c r="BS31" s="174"/>
      <c r="BT31" s="174"/>
      <c r="BU31" s="174"/>
      <c r="BV31" s="174"/>
      <c r="BW31" s="174"/>
      <c r="BX31" s="174"/>
      <c r="BY31" s="174"/>
      <c r="BZ31" s="174"/>
      <c r="CA31" s="174"/>
      <c r="CB31" s="174"/>
      <c r="CC31" s="174"/>
      <c r="CD31" s="175"/>
    </row>
    <row r="32" spans="1:90" x14ac:dyDescent="0.3">
      <c r="A32" s="192"/>
      <c r="B32" s="192"/>
      <c r="D32" s="153"/>
      <c r="E32" s="152" t="s">
        <v>1126</v>
      </c>
      <c r="F32" s="152" t="s">
        <v>1889</v>
      </c>
      <c r="G32" s="152" t="s">
        <v>1875</v>
      </c>
      <c r="L32" s="196"/>
      <c r="M32" s="196" t="s">
        <v>395</v>
      </c>
      <c r="N32" s="167"/>
      <c r="O32" s="170"/>
      <c r="P32" s="167"/>
      <c r="Q32" s="167"/>
      <c r="R32" s="19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I32" s="167"/>
      <c r="AJ32" s="167"/>
      <c r="AK32" s="167"/>
      <c r="AL32" s="167"/>
      <c r="AM32" s="167"/>
      <c r="AN32" s="167"/>
      <c r="AO32" s="167"/>
      <c r="AP32" s="167"/>
      <c r="AT32" s="162"/>
      <c r="AW32" s="174"/>
      <c r="AX32" s="174"/>
      <c r="AY32" s="174"/>
      <c r="AZ32" s="174"/>
      <c r="BA32" s="174"/>
      <c r="BB32" s="174"/>
      <c r="BC32" s="174"/>
      <c r="BD32" s="174"/>
      <c r="BE32" s="174"/>
      <c r="BF32" s="174"/>
      <c r="BG32" s="174"/>
      <c r="BH32" s="174"/>
      <c r="BI32" s="174"/>
      <c r="BJ32" s="174"/>
      <c r="BK32" s="174"/>
      <c r="BL32" s="174"/>
      <c r="BM32" s="174"/>
      <c r="BN32" s="174"/>
      <c r="BO32" s="174"/>
      <c r="BP32" s="174"/>
      <c r="BQ32" s="174"/>
      <c r="BR32" s="174"/>
      <c r="BS32" s="174"/>
      <c r="BT32" s="174"/>
      <c r="BU32" s="174"/>
      <c r="BV32" s="174"/>
      <c r="BW32" s="174"/>
      <c r="BX32" s="174"/>
      <c r="BY32" s="174"/>
      <c r="BZ32" s="174"/>
      <c r="CA32" s="174"/>
      <c r="CB32" s="174"/>
      <c r="CC32" s="174"/>
      <c r="CD32" s="175"/>
    </row>
    <row r="33" spans="1:82" x14ac:dyDescent="0.3">
      <c r="A33" s="192"/>
      <c r="B33" s="192"/>
      <c r="D33" s="153"/>
      <c r="E33" s="152" t="s">
        <v>1145</v>
      </c>
      <c r="F33" s="152" t="s">
        <v>1890</v>
      </c>
      <c r="G33" s="152" t="s">
        <v>1876</v>
      </c>
      <c r="L33" s="196"/>
      <c r="M33" s="196" t="s">
        <v>395</v>
      </c>
      <c r="N33" s="167"/>
      <c r="O33" s="170"/>
      <c r="P33" s="167"/>
      <c r="Q33" s="167"/>
      <c r="R33" s="197"/>
      <c r="S33" s="167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I33" s="167"/>
      <c r="AJ33" s="167"/>
      <c r="AK33" s="167"/>
      <c r="AL33" s="167"/>
      <c r="AM33" s="167"/>
      <c r="AN33" s="167"/>
      <c r="AO33" s="167"/>
      <c r="AP33" s="167"/>
      <c r="AT33" s="162"/>
      <c r="AW33" s="174"/>
      <c r="AX33" s="174"/>
      <c r="AY33" s="174"/>
      <c r="AZ33" s="174"/>
      <c r="BA33" s="174"/>
      <c r="BB33" s="174"/>
      <c r="BC33" s="174"/>
      <c r="BD33" s="174"/>
      <c r="BE33" s="174"/>
      <c r="BF33" s="174"/>
      <c r="BG33" s="174"/>
      <c r="BH33" s="174"/>
      <c r="BI33" s="174"/>
      <c r="BJ33" s="174"/>
      <c r="BK33" s="174"/>
      <c r="BL33" s="174"/>
      <c r="BM33" s="174"/>
      <c r="BN33" s="174"/>
      <c r="BO33" s="174"/>
      <c r="BP33" s="174"/>
      <c r="BQ33" s="174"/>
      <c r="BR33" s="174"/>
      <c r="BS33" s="174"/>
      <c r="BT33" s="174"/>
      <c r="BU33" s="174"/>
      <c r="BV33" s="174"/>
      <c r="BW33" s="174"/>
      <c r="BX33" s="174"/>
      <c r="BY33" s="174"/>
      <c r="BZ33" s="174"/>
      <c r="CA33" s="174"/>
      <c r="CB33" s="174"/>
      <c r="CC33" s="174"/>
      <c r="CD33" s="175"/>
    </row>
    <row r="34" spans="1:82" x14ac:dyDescent="0.3">
      <c r="E34" s="152" t="s">
        <v>1140</v>
      </c>
      <c r="F34" s="152" t="s">
        <v>1891</v>
      </c>
      <c r="G34" s="152" t="s">
        <v>1877</v>
      </c>
      <c r="L34" s="196"/>
      <c r="M34" s="196" t="s">
        <v>395</v>
      </c>
      <c r="N34" s="167"/>
      <c r="O34" s="170"/>
      <c r="P34" s="167"/>
      <c r="Q34" s="167"/>
      <c r="R34" s="197"/>
      <c r="S34" s="167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I34" s="167"/>
      <c r="AJ34" s="167"/>
      <c r="AK34" s="167"/>
      <c r="AL34" s="167"/>
      <c r="AM34" s="167"/>
      <c r="AN34" s="167"/>
      <c r="AO34" s="167"/>
      <c r="AP34" s="167"/>
      <c r="AT34" s="182"/>
      <c r="AW34" s="174"/>
      <c r="AX34" s="174"/>
      <c r="AY34" s="174"/>
      <c r="AZ34" s="174"/>
      <c r="BA34" s="174"/>
      <c r="BB34" s="174"/>
      <c r="BC34" s="174"/>
      <c r="BD34" s="174"/>
      <c r="BE34" s="174"/>
      <c r="BF34" s="174"/>
      <c r="BG34" s="174"/>
      <c r="BH34" s="174"/>
      <c r="BI34" s="174"/>
      <c r="BJ34" s="174"/>
      <c r="BK34" s="174"/>
      <c r="BL34" s="174"/>
      <c r="BM34" s="174"/>
      <c r="BN34" s="174"/>
      <c r="BO34" s="174"/>
      <c r="BP34" s="174"/>
      <c r="BQ34" s="174"/>
      <c r="BR34" s="174"/>
      <c r="BS34" s="174"/>
      <c r="BT34" s="174"/>
      <c r="BU34" s="174"/>
      <c r="BV34" s="174"/>
      <c r="BW34" s="174"/>
      <c r="BX34" s="174"/>
      <c r="BY34" s="174"/>
      <c r="BZ34" s="174"/>
      <c r="CA34" s="174"/>
      <c r="CB34" s="174"/>
      <c r="CC34" s="174"/>
      <c r="CD34" s="175"/>
    </row>
    <row r="35" spans="1:82" x14ac:dyDescent="0.3">
      <c r="E35" s="152" t="s">
        <v>1036</v>
      </c>
      <c r="F35" s="152" t="s">
        <v>1892</v>
      </c>
      <c r="G35" s="152" t="s">
        <v>1878</v>
      </c>
      <c r="L35" s="196"/>
      <c r="M35" s="196" t="s">
        <v>395</v>
      </c>
      <c r="N35" s="167"/>
      <c r="O35" s="170"/>
      <c r="P35" s="167"/>
      <c r="Q35" s="167"/>
      <c r="R35" s="197"/>
      <c r="S35" s="167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I35" s="167"/>
      <c r="AJ35" s="167"/>
      <c r="AK35" s="167"/>
      <c r="AL35" s="167"/>
      <c r="AM35" s="167"/>
      <c r="AN35" s="167"/>
      <c r="AO35" s="167"/>
      <c r="AP35" s="167"/>
      <c r="AT35" s="162"/>
      <c r="AW35" s="174"/>
      <c r="AX35" s="174"/>
      <c r="AY35" s="174"/>
      <c r="AZ35" s="174"/>
      <c r="BA35" s="174"/>
      <c r="BB35" s="174"/>
      <c r="BC35" s="174"/>
      <c r="BD35" s="174"/>
      <c r="BE35" s="174"/>
      <c r="BF35" s="174"/>
      <c r="BG35" s="174"/>
      <c r="BH35" s="174"/>
      <c r="BI35" s="174"/>
      <c r="BJ35" s="174"/>
      <c r="BK35" s="174"/>
      <c r="BL35" s="174"/>
      <c r="BM35" s="174"/>
      <c r="BN35" s="174"/>
      <c r="BO35" s="174"/>
      <c r="BP35" s="174"/>
      <c r="BQ35" s="174"/>
      <c r="BR35" s="174"/>
      <c r="BS35" s="174"/>
      <c r="BT35" s="174"/>
      <c r="BU35" s="174"/>
      <c r="BV35" s="174"/>
      <c r="BW35" s="174"/>
      <c r="BX35" s="174"/>
      <c r="BY35" s="174"/>
      <c r="BZ35" s="174"/>
      <c r="CA35" s="174"/>
      <c r="CB35" s="174"/>
      <c r="CC35" s="174"/>
      <c r="CD35" s="175"/>
    </row>
    <row r="36" spans="1:82" x14ac:dyDescent="0.3">
      <c r="E36" s="152" t="s">
        <v>1052</v>
      </c>
      <c r="F36" s="152" t="s">
        <v>1893</v>
      </c>
      <c r="G36" s="152" t="s">
        <v>1879</v>
      </c>
      <c r="L36" s="196"/>
      <c r="M36" s="196" t="s">
        <v>395</v>
      </c>
      <c r="N36" s="167"/>
      <c r="O36" s="170"/>
      <c r="P36" s="167"/>
      <c r="Q36" s="167"/>
      <c r="R36" s="19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I36" s="167"/>
      <c r="AJ36" s="167"/>
      <c r="AK36" s="167"/>
      <c r="AL36" s="167"/>
      <c r="AM36" s="167"/>
      <c r="AN36" s="167"/>
      <c r="AO36" s="167"/>
      <c r="AP36" s="167"/>
      <c r="AT36" s="162"/>
      <c r="AW36" s="174"/>
      <c r="AX36" s="174"/>
      <c r="AY36" s="174"/>
      <c r="AZ36" s="174"/>
      <c r="BA36" s="174"/>
      <c r="BB36" s="174"/>
      <c r="BC36" s="174"/>
      <c r="BD36" s="174"/>
      <c r="BE36" s="174"/>
      <c r="BF36" s="174"/>
      <c r="BG36" s="174"/>
      <c r="BH36" s="174"/>
      <c r="BI36" s="174"/>
      <c r="BJ36" s="174"/>
      <c r="BK36" s="174"/>
      <c r="BL36" s="174"/>
      <c r="BM36" s="174"/>
      <c r="BN36" s="174"/>
      <c r="BO36" s="174"/>
      <c r="BP36" s="174"/>
      <c r="BQ36" s="174"/>
      <c r="BR36" s="174"/>
      <c r="BS36" s="174"/>
      <c r="BT36" s="174"/>
      <c r="BU36" s="174"/>
      <c r="BV36" s="174"/>
      <c r="BW36" s="174"/>
      <c r="BX36" s="174"/>
      <c r="BY36" s="174"/>
      <c r="BZ36" s="174"/>
      <c r="CA36" s="174"/>
      <c r="CB36" s="174"/>
      <c r="CC36" s="174"/>
      <c r="CD36" s="175"/>
    </row>
    <row r="37" spans="1:82" x14ac:dyDescent="0.3">
      <c r="E37" s="152" t="s">
        <v>785</v>
      </c>
      <c r="F37" s="152" t="s">
        <v>1894</v>
      </c>
      <c r="G37" s="152" t="s">
        <v>1880</v>
      </c>
      <c r="L37" s="196"/>
      <c r="AE37" s="167"/>
      <c r="AF37" s="167" t="s">
        <v>394</v>
      </c>
      <c r="AG37" s="167" t="s">
        <v>393</v>
      </c>
      <c r="AH37" s="167" t="s">
        <v>59</v>
      </c>
      <c r="AT37" s="162"/>
      <c r="AW37" s="174"/>
      <c r="AX37" s="174"/>
      <c r="AY37" s="174"/>
      <c r="AZ37" s="174"/>
      <c r="BA37" s="174"/>
      <c r="BB37" s="174"/>
      <c r="BC37" s="174"/>
      <c r="BD37" s="174"/>
      <c r="BE37" s="174"/>
      <c r="BF37" s="174"/>
      <c r="BG37" s="174"/>
      <c r="BH37" s="174"/>
      <c r="BI37" s="174"/>
      <c r="BJ37" s="174"/>
      <c r="BK37" s="174"/>
      <c r="BL37" s="174"/>
      <c r="BM37" s="174"/>
      <c r="BN37" s="174"/>
      <c r="BO37" s="174"/>
      <c r="BP37" s="174"/>
      <c r="BQ37" s="174"/>
      <c r="BR37" s="174"/>
      <c r="BS37" s="174"/>
      <c r="BT37" s="174"/>
      <c r="BU37" s="174"/>
      <c r="BV37" s="174"/>
      <c r="BW37" s="174"/>
      <c r="BX37" s="174"/>
      <c r="BY37" s="174"/>
      <c r="BZ37" s="174"/>
      <c r="CA37" s="174"/>
      <c r="CB37" s="174"/>
      <c r="CC37" s="174"/>
      <c r="CD37" s="175"/>
    </row>
    <row r="38" spans="1:82" x14ac:dyDescent="0.3">
      <c r="E38" s="152" t="s">
        <v>785</v>
      </c>
      <c r="F38" s="152" t="s">
        <v>1895</v>
      </c>
      <c r="G38" s="152" t="s">
        <v>1881</v>
      </c>
      <c r="L38" s="196"/>
      <c r="AE38" s="152" t="s">
        <v>392</v>
      </c>
      <c r="AF38" s="152" t="s">
        <v>391</v>
      </c>
      <c r="AG38" s="152" t="s">
        <v>390</v>
      </c>
      <c r="AT38" s="162"/>
      <c r="AW38" s="174"/>
      <c r="AX38" s="174"/>
      <c r="AY38" s="174"/>
      <c r="AZ38" s="174"/>
      <c r="BA38" s="174"/>
      <c r="BB38" s="174"/>
      <c r="BC38" s="174"/>
      <c r="BD38" s="174"/>
      <c r="BE38" s="174"/>
      <c r="BF38" s="174"/>
      <c r="BG38" s="174"/>
      <c r="BH38" s="174"/>
      <c r="BI38" s="174"/>
      <c r="BJ38" s="174"/>
      <c r="BK38" s="174"/>
      <c r="BL38" s="174"/>
      <c r="BM38" s="174"/>
      <c r="BN38" s="174"/>
      <c r="BO38" s="174"/>
      <c r="BP38" s="174"/>
      <c r="BQ38" s="174"/>
      <c r="BR38" s="174"/>
      <c r="BS38" s="174"/>
      <c r="BT38" s="174"/>
      <c r="BU38" s="174"/>
      <c r="BV38" s="174"/>
      <c r="BW38" s="174"/>
      <c r="BX38" s="174"/>
      <c r="BY38" s="174"/>
      <c r="BZ38" s="174"/>
      <c r="CA38" s="174"/>
      <c r="CB38" s="174"/>
      <c r="CC38" s="174"/>
      <c r="CD38" s="175"/>
    </row>
    <row r="39" spans="1:82" x14ac:dyDescent="0.3">
      <c r="E39" s="152" t="s">
        <v>1218</v>
      </c>
      <c r="F39" s="152" t="s">
        <v>1896</v>
      </c>
      <c r="G39" s="152" t="s">
        <v>1882</v>
      </c>
      <c r="L39" s="196"/>
      <c r="AE39" s="152">
        <v>15</v>
      </c>
      <c r="AF39" s="152">
        <v>48</v>
      </c>
      <c r="AG39" s="152">
        <v>1900</v>
      </c>
      <c r="AH39" s="152">
        <v>8</v>
      </c>
      <c r="AT39" s="162"/>
      <c r="AW39" s="174"/>
      <c r="AX39" s="174"/>
      <c r="AY39" s="174"/>
      <c r="AZ39" s="174"/>
      <c r="BA39" s="174"/>
      <c r="BB39" s="174"/>
      <c r="BC39" s="174"/>
      <c r="BD39" s="174"/>
      <c r="BE39" s="174"/>
      <c r="BF39" s="174"/>
      <c r="BG39" s="174"/>
      <c r="BH39" s="174"/>
      <c r="BI39" s="174"/>
      <c r="BJ39" s="174"/>
      <c r="BK39" s="174"/>
      <c r="BL39" s="174"/>
      <c r="BM39" s="174"/>
      <c r="BN39" s="174"/>
      <c r="BO39" s="174"/>
      <c r="BP39" s="174"/>
      <c r="BQ39" s="174"/>
      <c r="BR39" s="174"/>
      <c r="BS39" s="174"/>
      <c r="BT39" s="174"/>
      <c r="BU39" s="174"/>
      <c r="BV39" s="174"/>
      <c r="BW39" s="174"/>
      <c r="BX39" s="174"/>
      <c r="BY39" s="174"/>
      <c r="BZ39" s="174"/>
      <c r="CA39" s="174"/>
      <c r="CB39" s="174"/>
      <c r="CC39" s="174"/>
      <c r="CD39" s="175"/>
    </row>
    <row r="40" spans="1:82" x14ac:dyDescent="0.3">
      <c r="E40" s="152" t="s">
        <v>1210</v>
      </c>
      <c r="F40" s="152" t="s">
        <v>1897</v>
      </c>
      <c r="G40" s="152" t="s">
        <v>1883</v>
      </c>
      <c r="L40" s="196"/>
      <c r="AE40" s="152">
        <v>16</v>
      </c>
      <c r="AF40" s="152">
        <f>AF39+3.8</f>
        <v>51.8</v>
      </c>
      <c r="AG40" s="152">
        <f>AG39+200</f>
        <v>2100</v>
      </c>
      <c r="AH40" s="152">
        <f>AH39+0.8</f>
        <v>8.8000000000000007</v>
      </c>
      <c r="AT40" s="162"/>
      <c r="AW40" s="174"/>
      <c r="AX40" s="174"/>
      <c r="AY40" s="174"/>
      <c r="AZ40" s="174"/>
      <c r="BA40" s="174"/>
      <c r="BB40" s="174"/>
      <c r="BC40" s="174"/>
      <c r="BD40" s="174"/>
      <c r="BE40" s="174"/>
      <c r="BF40" s="174"/>
      <c r="BG40" s="174"/>
      <c r="BH40" s="174"/>
      <c r="BI40" s="174"/>
      <c r="BJ40" s="174"/>
      <c r="BK40" s="174"/>
      <c r="BL40" s="174"/>
      <c r="BM40" s="174"/>
      <c r="BN40" s="174"/>
      <c r="BO40" s="174"/>
      <c r="BP40" s="174"/>
      <c r="BQ40" s="174"/>
      <c r="BR40" s="174"/>
      <c r="BS40" s="174"/>
      <c r="BT40" s="174"/>
      <c r="BU40" s="174"/>
      <c r="BV40" s="174"/>
      <c r="BW40" s="174"/>
      <c r="BX40" s="174"/>
      <c r="BY40" s="174"/>
      <c r="BZ40" s="174"/>
      <c r="CA40" s="174"/>
      <c r="CB40" s="174"/>
      <c r="CC40" s="174"/>
      <c r="CD40" s="175"/>
    </row>
    <row r="41" spans="1:82" x14ac:dyDescent="0.3">
      <c r="L41" s="196"/>
      <c r="AE41" s="152">
        <v>17</v>
      </c>
      <c r="AF41" s="152">
        <f>AF40+3.8</f>
        <v>55.599999999999994</v>
      </c>
      <c r="AG41" s="152">
        <f>AG40+200</f>
        <v>2300</v>
      </c>
      <c r="AH41" s="152">
        <f>AH40+0.8</f>
        <v>9.6000000000000014</v>
      </c>
      <c r="AT41" s="182"/>
      <c r="AW41" s="174"/>
      <c r="AX41" s="174"/>
      <c r="AY41" s="174"/>
      <c r="AZ41" s="174"/>
      <c r="BA41" s="174"/>
      <c r="BB41" s="174"/>
      <c r="BC41" s="174"/>
      <c r="BD41" s="174"/>
      <c r="BE41" s="174"/>
      <c r="BF41" s="174"/>
      <c r="BG41" s="174"/>
      <c r="BH41" s="174"/>
      <c r="BI41" s="174"/>
      <c r="BJ41" s="174"/>
      <c r="BK41" s="174"/>
      <c r="BL41" s="174"/>
      <c r="BM41" s="174"/>
      <c r="BN41" s="174"/>
      <c r="BO41" s="174"/>
      <c r="BP41" s="174"/>
      <c r="BQ41" s="174"/>
      <c r="BR41" s="174"/>
      <c r="BS41" s="174"/>
      <c r="BT41" s="174"/>
      <c r="BU41" s="174"/>
      <c r="BV41" s="174"/>
      <c r="BW41" s="174"/>
      <c r="BX41" s="174"/>
      <c r="BY41" s="174"/>
      <c r="BZ41" s="174"/>
      <c r="CA41" s="174"/>
      <c r="CB41" s="174"/>
      <c r="CC41" s="174"/>
      <c r="CD41" s="175"/>
    </row>
    <row r="42" spans="1:82" x14ac:dyDescent="0.3">
      <c r="L42" s="196"/>
      <c r="AE42" s="152">
        <v>18</v>
      </c>
      <c r="AF42" s="152">
        <f>AF41+3.8</f>
        <v>59.399999999999991</v>
      </c>
      <c r="AG42" s="152">
        <f>AG41+200</f>
        <v>2500</v>
      </c>
      <c r="AH42" s="152">
        <f>AH41+0.8</f>
        <v>10.400000000000002</v>
      </c>
      <c r="AW42" s="174"/>
      <c r="AX42" s="174"/>
      <c r="AY42" s="174"/>
      <c r="AZ42" s="174"/>
      <c r="BA42" s="174"/>
      <c r="BB42" s="174"/>
      <c r="BC42" s="174"/>
      <c r="BD42" s="174"/>
      <c r="BE42" s="174"/>
      <c r="BF42" s="174"/>
      <c r="BG42" s="174"/>
      <c r="BH42" s="174"/>
      <c r="BI42" s="174"/>
      <c r="BJ42" s="174"/>
      <c r="BK42" s="174"/>
      <c r="BL42" s="174"/>
      <c r="BM42" s="174"/>
      <c r="BN42" s="174"/>
      <c r="BO42" s="174"/>
      <c r="BP42" s="174"/>
      <c r="BQ42" s="174"/>
      <c r="BR42" s="174"/>
      <c r="BS42" s="174"/>
      <c r="BT42" s="174"/>
      <c r="BU42" s="174"/>
      <c r="BV42" s="174"/>
      <c r="BW42" s="174"/>
      <c r="BX42" s="174"/>
      <c r="BY42" s="174"/>
      <c r="BZ42" s="174"/>
      <c r="CA42" s="174"/>
      <c r="CB42" s="174"/>
      <c r="CC42" s="174"/>
      <c r="CD42" s="175"/>
    </row>
    <row r="43" spans="1:82" x14ac:dyDescent="0.3">
      <c r="L43" s="196"/>
      <c r="AE43" s="152">
        <v>19</v>
      </c>
      <c r="AF43" s="152">
        <f>AF42+3.8</f>
        <v>63.199999999999989</v>
      </c>
      <c r="AG43" s="152">
        <f>AG42+200</f>
        <v>2700</v>
      </c>
      <c r="AH43" s="152">
        <f>AH42+0.8</f>
        <v>11.200000000000003</v>
      </c>
      <c r="AW43" s="174"/>
      <c r="AX43" s="174"/>
      <c r="AY43" s="174"/>
      <c r="AZ43" s="174"/>
      <c r="BA43" s="174"/>
      <c r="BB43" s="174"/>
      <c r="BC43" s="174"/>
      <c r="BD43" s="174"/>
      <c r="BE43" s="174"/>
      <c r="BF43" s="174"/>
      <c r="BG43" s="174"/>
      <c r="BH43" s="174"/>
      <c r="BI43" s="174"/>
      <c r="BJ43" s="174"/>
      <c r="BK43" s="174"/>
      <c r="BL43" s="174"/>
      <c r="BM43" s="174"/>
      <c r="BN43" s="174"/>
      <c r="BO43" s="174"/>
      <c r="BP43" s="174"/>
      <c r="BQ43" s="174"/>
      <c r="BR43" s="174"/>
      <c r="BS43" s="174"/>
      <c r="BT43" s="174"/>
      <c r="BU43" s="174"/>
      <c r="BV43" s="174"/>
      <c r="BW43" s="174"/>
      <c r="BX43" s="174"/>
      <c r="BY43" s="174"/>
      <c r="BZ43" s="174"/>
      <c r="CA43" s="174"/>
      <c r="CB43" s="174"/>
      <c r="CC43" s="174"/>
      <c r="CD43" s="175"/>
    </row>
    <row r="44" spans="1:82" x14ac:dyDescent="0.3">
      <c r="L44" s="196"/>
      <c r="AE44" s="152">
        <v>20</v>
      </c>
      <c r="AF44" s="152">
        <f>AF43+3.8</f>
        <v>66.999999999999986</v>
      </c>
      <c r="AG44" s="152">
        <f>AG43+200</f>
        <v>2900</v>
      </c>
      <c r="AH44" s="152">
        <f>AH43+0.8</f>
        <v>12.000000000000004</v>
      </c>
      <c r="AW44" s="174"/>
      <c r="AX44" s="174"/>
      <c r="AY44" s="174"/>
      <c r="AZ44" s="174"/>
      <c r="BA44" s="174"/>
      <c r="BB44" s="174"/>
      <c r="BC44" s="174"/>
      <c r="BD44" s="174"/>
      <c r="BE44" s="174"/>
      <c r="BF44" s="174"/>
      <c r="BG44" s="174"/>
      <c r="BH44" s="174"/>
      <c r="BI44" s="174"/>
      <c r="BJ44" s="174"/>
      <c r="BK44" s="174"/>
      <c r="BL44" s="174"/>
      <c r="BM44" s="174"/>
      <c r="BN44" s="174"/>
      <c r="BO44" s="174"/>
      <c r="BP44" s="174"/>
      <c r="BQ44" s="174"/>
      <c r="BR44" s="174"/>
      <c r="BS44" s="174"/>
      <c r="BT44" s="174"/>
      <c r="BU44" s="174"/>
      <c r="BV44" s="174"/>
      <c r="BW44" s="174"/>
      <c r="BX44" s="174"/>
      <c r="BY44" s="174"/>
      <c r="BZ44" s="174"/>
      <c r="CA44" s="174"/>
      <c r="CB44" s="174"/>
      <c r="CC44" s="174"/>
      <c r="CD44" s="175"/>
    </row>
    <row r="45" spans="1:82" x14ac:dyDescent="0.3">
      <c r="L45" s="196"/>
      <c r="AE45" s="152">
        <v>21</v>
      </c>
      <c r="AF45" s="152">
        <f>AF44+2.8</f>
        <v>69.799999999999983</v>
      </c>
      <c r="AG45" s="152">
        <f>AG44+380</f>
        <v>3280</v>
      </c>
      <c r="AH45" s="152">
        <f>AH44+1.6</f>
        <v>13.600000000000003</v>
      </c>
      <c r="AW45" s="174"/>
      <c r="AX45" s="174"/>
      <c r="AY45" s="174"/>
      <c r="AZ45" s="174"/>
      <c r="BA45" s="174"/>
      <c r="BB45" s="174"/>
      <c r="BC45" s="174"/>
      <c r="BD45" s="174"/>
      <c r="BE45" s="174"/>
      <c r="BF45" s="174"/>
      <c r="BG45" s="174"/>
      <c r="BH45" s="174"/>
      <c r="BI45" s="174"/>
      <c r="BJ45" s="174"/>
      <c r="BK45" s="174"/>
      <c r="BL45" s="174"/>
      <c r="BM45" s="174"/>
      <c r="BN45" s="174"/>
      <c r="BO45" s="174"/>
      <c r="BP45" s="174"/>
      <c r="BQ45" s="174"/>
      <c r="BR45" s="174"/>
      <c r="BS45" s="174"/>
      <c r="BT45" s="174"/>
      <c r="BU45" s="174"/>
      <c r="BV45" s="174"/>
      <c r="BW45" s="174"/>
      <c r="BX45" s="174"/>
      <c r="BY45" s="174"/>
      <c r="BZ45" s="174"/>
      <c r="CA45" s="174"/>
      <c r="CB45" s="174"/>
      <c r="CC45" s="174"/>
      <c r="CD45" s="175"/>
    </row>
    <row r="46" spans="1:82" x14ac:dyDescent="0.3">
      <c r="L46" s="196"/>
      <c r="AE46" s="152">
        <v>22</v>
      </c>
      <c r="AF46" s="152">
        <f>AF45+2.8</f>
        <v>72.59999999999998</v>
      </c>
      <c r="AG46" s="152">
        <f>AG45+380</f>
        <v>3660</v>
      </c>
      <c r="AH46" s="152">
        <f>AH45+1.6</f>
        <v>15.200000000000003</v>
      </c>
      <c r="AW46" s="174"/>
      <c r="AX46" s="174"/>
      <c r="AY46" s="174"/>
      <c r="AZ46" s="174"/>
      <c r="BA46" s="174"/>
      <c r="BB46" s="174"/>
      <c r="BC46" s="174"/>
      <c r="BD46" s="174"/>
      <c r="BE46" s="174"/>
      <c r="BF46" s="174"/>
      <c r="BG46" s="174"/>
      <c r="BH46" s="174"/>
      <c r="BI46" s="174"/>
      <c r="BJ46" s="174"/>
      <c r="BK46" s="174"/>
      <c r="BL46" s="174"/>
      <c r="BM46" s="174"/>
      <c r="BN46" s="174"/>
      <c r="BO46" s="174"/>
      <c r="BP46" s="174"/>
      <c r="BQ46" s="174"/>
      <c r="BR46" s="174"/>
      <c r="BS46" s="174"/>
      <c r="BT46" s="174"/>
      <c r="BU46" s="174"/>
      <c r="BV46" s="174"/>
      <c r="BW46" s="174"/>
      <c r="BX46" s="174"/>
      <c r="BY46" s="174"/>
      <c r="BZ46" s="174"/>
      <c r="CA46" s="174"/>
      <c r="CB46" s="174"/>
      <c r="CC46" s="174"/>
      <c r="CD46" s="175"/>
    </row>
    <row r="47" spans="1:82" x14ac:dyDescent="0.3">
      <c r="L47" s="196"/>
      <c r="AE47" s="152">
        <v>23</v>
      </c>
      <c r="AF47" s="152">
        <f>AF46+2.8</f>
        <v>75.399999999999977</v>
      </c>
      <c r="AG47" s="152">
        <f>AG46+380</f>
        <v>4040</v>
      </c>
      <c r="AH47" s="152">
        <f>AH46+1.6</f>
        <v>16.800000000000004</v>
      </c>
      <c r="AW47" s="174"/>
      <c r="AX47" s="174"/>
      <c r="AY47" s="174"/>
      <c r="AZ47" s="174"/>
      <c r="BA47" s="174"/>
      <c r="BB47" s="174"/>
      <c r="BC47" s="174"/>
      <c r="BD47" s="174"/>
      <c r="BE47" s="174"/>
      <c r="BF47" s="174"/>
      <c r="BG47" s="174"/>
      <c r="BH47" s="174"/>
      <c r="BI47" s="174"/>
      <c r="BJ47" s="174"/>
      <c r="BK47" s="174"/>
      <c r="BL47" s="174"/>
      <c r="BM47" s="174"/>
      <c r="BN47" s="174"/>
      <c r="BO47" s="174"/>
      <c r="BP47" s="174"/>
      <c r="BQ47" s="174"/>
      <c r="BR47" s="174"/>
      <c r="BS47" s="174"/>
      <c r="BT47" s="174"/>
      <c r="BU47" s="174"/>
      <c r="BV47" s="174"/>
      <c r="BW47" s="174"/>
      <c r="BX47" s="174"/>
      <c r="BY47" s="174"/>
      <c r="BZ47" s="174"/>
      <c r="CA47" s="174"/>
      <c r="CB47" s="174"/>
      <c r="CC47" s="174"/>
      <c r="CD47" s="175"/>
    </row>
    <row r="48" spans="1:82" x14ac:dyDescent="0.3">
      <c r="L48" s="196"/>
      <c r="AE48" s="152">
        <v>24</v>
      </c>
      <c r="AF48" s="152">
        <f>AF47+2.8</f>
        <v>78.199999999999974</v>
      </c>
      <c r="AG48" s="152">
        <f>AG47+380</f>
        <v>4420</v>
      </c>
      <c r="AH48" s="152">
        <f>AH47+1.6</f>
        <v>18.400000000000006</v>
      </c>
      <c r="AW48" s="174"/>
      <c r="AX48" s="174"/>
      <c r="AY48" s="174"/>
      <c r="AZ48" s="174"/>
      <c r="BA48" s="174"/>
      <c r="BB48" s="174"/>
      <c r="BC48" s="174"/>
      <c r="BD48" s="174"/>
      <c r="BE48" s="174"/>
      <c r="BF48" s="174"/>
      <c r="BG48" s="174"/>
      <c r="BH48" s="174"/>
      <c r="BI48" s="174"/>
      <c r="BJ48" s="174"/>
      <c r="BK48" s="174"/>
      <c r="BL48" s="174"/>
      <c r="BM48" s="174"/>
      <c r="BN48" s="174"/>
      <c r="BO48" s="174"/>
      <c r="BP48" s="174"/>
      <c r="BQ48" s="174"/>
      <c r="BR48" s="174"/>
      <c r="BS48" s="174"/>
      <c r="BT48" s="174"/>
      <c r="BU48" s="174"/>
      <c r="BV48" s="174"/>
      <c r="BW48" s="174"/>
      <c r="BX48" s="174"/>
      <c r="BY48" s="174"/>
      <c r="BZ48" s="174"/>
      <c r="CA48" s="174"/>
      <c r="CB48" s="174"/>
      <c r="CC48" s="174"/>
      <c r="CD48" s="175"/>
    </row>
    <row r="49" spans="12:82" x14ac:dyDescent="0.3">
      <c r="L49" s="196"/>
      <c r="AE49" s="152">
        <v>25</v>
      </c>
      <c r="AF49" s="152">
        <f>AF48+2.8</f>
        <v>80.999999999999972</v>
      </c>
      <c r="AG49" s="152">
        <v>4800</v>
      </c>
      <c r="AH49" s="152">
        <f>AH48+1.6</f>
        <v>20.000000000000007</v>
      </c>
      <c r="AW49" s="174"/>
      <c r="AX49" s="174"/>
      <c r="AY49" s="174"/>
      <c r="AZ49" s="174"/>
      <c r="BA49" s="174"/>
      <c r="BB49" s="174"/>
      <c r="BC49" s="174"/>
      <c r="BD49" s="174"/>
      <c r="BE49" s="174"/>
      <c r="BF49" s="174"/>
      <c r="BG49" s="174"/>
      <c r="BH49" s="174"/>
      <c r="BI49" s="174"/>
      <c r="BJ49" s="174"/>
      <c r="BK49" s="174"/>
      <c r="BL49" s="174"/>
      <c r="BM49" s="174"/>
      <c r="BN49" s="174"/>
      <c r="BO49" s="174"/>
      <c r="BP49" s="174"/>
      <c r="BQ49" s="174"/>
      <c r="BR49" s="174"/>
      <c r="BS49" s="174"/>
      <c r="BT49" s="174"/>
      <c r="BU49" s="174"/>
      <c r="BV49" s="174"/>
      <c r="BW49" s="174"/>
      <c r="BX49" s="174"/>
      <c r="BY49" s="174"/>
      <c r="BZ49" s="174"/>
      <c r="CA49" s="174"/>
      <c r="CB49" s="174"/>
      <c r="CC49" s="174"/>
      <c r="CD49" s="175"/>
    </row>
    <row r="50" spans="12:82" x14ac:dyDescent="0.3">
      <c r="L50" s="196"/>
      <c r="AE50" s="152">
        <v>26</v>
      </c>
      <c r="AF50" s="152">
        <f>AF49+3</f>
        <v>83.999999999999972</v>
      </c>
      <c r="AG50" s="152">
        <f>AG49+960</f>
        <v>5760</v>
      </c>
      <c r="AH50" s="152">
        <f>AH49+4</f>
        <v>24.000000000000007</v>
      </c>
      <c r="AW50" s="174"/>
      <c r="AX50" s="174"/>
      <c r="AY50" s="174"/>
      <c r="AZ50" s="174"/>
      <c r="BA50" s="174"/>
      <c r="BB50" s="174"/>
      <c r="BC50" s="174"/>
      <c r="BD50" s="174"/>
      <c r="BE50" s="174"/>
      <c r="BF50" s="174"/>
      <c r="BG50" s="174"/>
      <c r="BH50" s="174"/>
      <c r="BI50" s="174"/>
      <c r="BJ50" s="174"/>
      <c r="BK50" s="174"/>
      <c r="BL50" s="174"/>
      <c r="BM50" s="174"/>
      <c r="BN50" s="174"/>
      <c r="BO50" s="174"/>
      <c r="BP50" s="174"/>
      <c r="BQ50" s="174"/>
      <c r="BR50" s="174"/>
      <c r="BS50" s="174"/>
      <c r="BT50" s="174"/>
      <c r="BU50" s="174"/>
      <c r="BV50" s="174"/>
      <c r="BW50" s="174"/>
      <c r="BX50" s="174"/>
      <c r="BY50" s="174"/>
      <c r="BZ50" s="174"/>
      <c r="CA50" s="174"/>
      <c r="CB50" s="174"/>
      <c r="CC50" s="174"/>
      <c r="CD50" s="175"/>
    </row>
    <row r="51" spans="12:82" x14ac:dyDescent="0.3">
      <c r="L51" s="196"/>
      <c r="AE51" s="152">
        <v>27</v>
      </c>
      <c r="AF51" s="152">
        <f>AF50+3</f>
        <v>86.999999999999972</v>
      </c>
      <c r="AG51" s="152">
        <f>AG50+960</f>
        <v>6720</v>
      </c>
      <c r="AH51" s="152">
        <f>AH50+4</f>
        <v>28.000000000000007</v>
      </c>
      <c r="AW51" s="174"/>
      <c r="AX51" s="174"/>
      <c r="AY51" s="174"/>
      <c r="AZ51" s="174"/>
      <c r="BA51" s="174"/>
      <c r="BB51" s="174"/>
      <c r="BC51" s="174"/>
      <c r="BD51" s="174"/>
      <c r="BE51" s="174"/>
      <c r="BF51" s="174"/>
      <c r="BG51" s="174"/>
      <c r="BH51" s="174"/>
      <c r="BI51" s="174"/>
      <c r="BJ51" s="174"/>
      <c r="BK51" s="174"/>
      <c r="BL51" s="174"/>
      <c r="BM51" s="174"/>
      <c r="BN51" s="174"/>
      <c r="BO51" s="174"/>
      <c r="BP51" s="174"/>
      <c r="BQ51" s="174"/>
      <c r="BR51" s="174"/>
      <c r="BS51" s="174"/>
      <c r="BT51" s="174"/>
      <c r="BU51" s="174"/>
      <c r="BV51" s="174"/>
      <c r="BW51" s="174"/>
      <c r="BX51" s="174"/>
      <c r="BY51" s="174"/>
      <c r="BZ51" s="174"/>
      <c r="CA51" s="174"/>
      <c r="CB51" s="174"/>
      <c r="CC51" s="174"/>
      <c r="CD51" s="175"/>
    </row>
    <row r="52" spans="12:82" x14ac:dyDescent="0.3">
      <c r="L52" s="196"/>
      <c r="AE52" s="152">
        <v>28</v>
      </c>
      <c r="AF52" s="152">
        <f>AF51+3</f>
        <v>89.999999999999972</v>
      </c>
      <c r="AG52" s="152">
        <f>AG51+960</f>
        <v>7680</v>
      </c>
      <c r="AH52" s="152">
        <f>AH51+4</f>
        <v>32.000000000000007</v>
      </c>
      <c r="AW52" s="174"/>
      <c r="AX52" s="174"/>
      <c r="AY52" s="174"/>
      <c r="AZ52" s="174"/>
      <c r="BA52" s="174"/>
      <c r="BB52" s="174"/>
      <c r="BC52" s="174"/>
      <c r="BD52" s="174"/>
      <c r="BE52" s="174"/>
      <c r="BF52" s="174"/>
      <c r="BG52" s="174"/>
      <c r="BH52" s="174"/>
      <c r="BI52" s="174"/>
      <c r="BJ52" s="174"/>
      <c r="BK52" s="174"/>
      <c r="BL52" s="174"/>
      <c r="BM52" s="174"/>
      <c r="BN52" s="174"/>
      <c r="BO52" s="174"/>
      <c r="BP52" s="174"/>
      <c r="BQ52" s="174"/>
      <c r="BR52" s="174"/>
      <c r="BS52" s="174"/>
      <c r="BT52" s="174"/>
      <c r="BU52" s="174"/>
      <c r="BV52" s="174"/>
      <c r="BW52" s="174"/>
      <c r="BX52" s="174"/>
      <c r="BY52" s="174"/>
      <c r="BZ52" s="174"/>
      <c r="CA52" s="174"/>
      <c r="CB52" s="174"/>
      <c r="CC52" s="174"/>
      <c r="CD52" s="175"/>
    </row>
    <row r="53" spans="12:82" x14ac:dyDescent="0.3">
      <c r="L53" s="196"/>
      <c r="AE53" s="152">
        <v>29</v>
      </c>
      <c r="AF53" s="152">
        <f>AF52+3</f>
        <v>92.999999999999972</v>
      </c>
      <c r="AG53" s="152">
        <f>AG52+960</f>
        <v>8640</v>
      </c>
      <c r="AH53" s="152">
        <f>AH52+4</f>
        <v>36.000000000000007</v>
      </c>
      <c r="AW53" s="174"/>
      <c r="AX53" s="174"/>
      <c r="AY53" s="174"/>
      <c r="AZ53" s="174"/>
      <c r="BA53" s="174"/>
      <c r="BB53" s="174"/>
      <c r="BC53" s="174"/>
      <c r="BD53" s="174"/>
      <c r="BE53" s="174"/>
      <c r="BF53" s="174"/>
      <c r="BG53" s="174"/>
      <c r="BH53" s="174"/>
      <c r="BI53" s="174"/>
      <c r="BJ53" s="174"/>
      <c r="BK53" s="174"/>
      <c r="BL53" s="174"/>
      <c r="BM53" s="174"/>
      <c r="BN53" s="174"/>
      <c r="BO53" s="174"/>
      <c r="BP53" s="174"/>
      <c r="BQ53" s="174"/>
      <c r="BR53" s="174"/>
      <c r="BS53" s="174"/>
      <c r="BT53" s="174"/>
      <c r="BU53" s="174"/>
      <c r="BV53" s="174"/>
      <c r="BW53" s="174"/>
      <c r="BX53" s="174"/>
      <c r="BY53" s="174"/>
      <c r="BZ53" s="174"/>
      <c r="CA53" s="174"/>
      <c r="CB53" s="174"/>
      <c r="CC53" s="174"/>
      <c r="CD53" s="175"/>
    </row>
    <row r="54" spans="12:82" x14ac:dyDescent="0.3">
      <c r="L54" s="196"/>
      <c r="AE54" s="152">
        <v>30</v>
      </c>
      <c r="AF54" s="152">
        <f>AF53+3</f>
        <v>95.999999999999972</v>
      </c>
      <c r="AG54" s="152">
        <f>AG53+960</f>
        <v>9600</v>
      </c>
      <c r="AH54" s="152">
        <f>AH53+4</f>
        <v>40.000000000000007</v>
      </c>
      <c r="AW54" s="174"/>
      <c r="AX54" s="174"/>
      <c r="AY54" s="174"/>
      <c r="AZ54" s="174"/>
      <c r="BA54" s="174"/>
      <c r="BB54" s="174"/>
      <c r="BC54" s="174"/>
      <c r="BD54" s="174"/>
      <c r="BE54" s="174"/>
      <c r="BF54" s="174"/>
      <c r="BG54" s="174"/>
      <c r="BH54" s="174"/>
      <c r="BI54" s="174"/>
      <c r="BJ54" s="174"/>
      <c r="BK54" s="174"/>
      <c r="BL54" s="174"/>
      <c r="BM54" s="174"/>
      <c r="BN54" s="174"/>
      <c r="BO54" s="174"/>
      <c r="BP54" s="174"/>
      <c r="BQ54" s="174"/>
      <c r="BR54" s="174"/>
      <c r="BS54" s="174"/>
      <c r="BT54" s="174"/>
      <c r="BU54" s="174"/>
      <c r="BV54" s="174"/>
      <c r="BW54" s="174"/>
      <c r="BX54" s="174"/>
      <c r="BY54" s="174"/>
      <c r="BZ54" s="174"/>
      <c r="CA54" s="174"/>
      <c r="CB54" s="174"/>
      <c r="CC54" s="174"/>
      <c r="CD54" s="175"/>
    </row>
    <row r="55" spans="12:82" x14ac:dyDescent="0.3">
      <c r="L55" s="196"/>
      <c r="AE55" s="152">
        <v>31</v>
      </c>
      <c r="AF55" s="152">
        <f>AF54+3.8</f>
        <v>99.799999999999969</v>
      </c>
      <c r="AG55" s="152">
        <f>AG54+480</f>
        <v>10080</v>
      </c>
      <c r="AH55" s="152">
        <f>AH54+2</f>
        <v>42.000000000000007</v>
      </c>
      <c r="AW55" s="174"/>
      <c r="AX55" s="174"/>
      <c r="AY55" s="174"/>
      <c r="AZ55" s="174"/>
      <c r="BA55" s="174"/>
      <c r="BB55" s="174"/>
      <c r="BC55" s="174"/>
      <c r="BD55" s="174"/>
      <c r="BE55" s="174"/>
      <c r="BF55" s="174"/>
      <c r="BG55" s="174"/>
      <c r="BH55" s="174"/>
      <c r="BI55" s="174"/>
      <c r="BJ55" s="174"/>
      <c r="BK55" s="174"/>
      <c r="BL55" s="174"/>
      <c r="BM55" s="174"/>
      <c r="BN55" s="174"/>
      <c r="BO55" s="174"/>
      <c r="BP55" s="174"/>
      <c r="BQ55" s="174"/>
      <c r="BR55" s="174"/>
      <c r="BS55" s="174"/>
      <c r="BT55" s="174"/>
      <c r="BU55" s="174"/>
      <c r="BV55" s="174"/>
      <c r="BW55" s="174"/>
      <c r="BX55" s="174"/>
      <c r="BY55" s="174"/>
      <c r="BZ55" s="174"/>
      <c r="CA55" s="174"/>
      <c r="CB55" s="174"/>
      <c r="CC55" s="174"/>
      <c r="CD55" s="175"/>
    </row>
    <row r="56" spans="12:82" x14ac:dyDescent="0.3">
      <c r="L56" s="196"/>
      <c r="AE56" s="152">
        <v>32</v>
      </c>
      <c r="AF56" s="152">
        <f>AF55+3.8</f>
        <v>103.59999999999997</v>
      </c>
      <c r="AG56" s="152">
        <f>AG55+480</f>
        <v>10560</v>
      </c>
      <c r="AH56" s="152">
        <f>AH55+2</f>
        <v>44.000000000000007</v>
      </c>
      <c r="AW56" s="174"/>
      <c r="AX56" s="174"/>
      <c r="AY56" s="174"/>
      <c r="AZ56" s="174"/>
      <c r="BA56" s="174"/>
      <c r="BB56" s="174"/>
      <c r="BC56" s="174"/>
      <c r="BD56" s="174"/>
      <c r="BE56" s="174"/>
      <c r="BF56" s="174"/>
      <c r="BG56" s="174"/>
      <c r="BH56" s="174"/>
      <c r="BI56" s="174"/>
      <c r="BJ56" s="174"/>
      <c r="BK56" s="174"/>
      <c r="BL56" s="174"/>
      <c r="BM56" s="174"/>
      <c r="BN56" s="174"/>
      <c r="BO56" s="174"/>
      <c r="BP56" s="174"/>
      <c r="BQ56" s="174"/>
      <c r="BR56" s="174"/>
      <c r="BS56" s="174"/>
      <c r="BT56" s="174"/>
      <c r="BU56" s="174"/>
      <c r="BV56" s="174"/>
      <c r="BW56" s="174"/>
      <c r="BX56" s="174"/>
      <c r="BY56" s="174"/>
      <c r="BZ56" s="174"/>
      <c r="CA56" s="174"/>
      <c r="CB56" s="174"/>
      <c r="CC56" s="174"/>
      <c r="CD56" s="175"/>
    </row>
    <row r="57" spans="12:82" x14ac:dyDescent="0.3">
      <c r="L57" s="196"/>
      <c r="AE57" s="152">
        <v>33</v>
      </c>
      <c r="AF57" s="152">
        <f>AF56+3.8</f>
        <v>107.39999999999996</v>
      </c>
      <c r="AG57" s="152">
        <f>AG56+480</f>
        <v>11040</v>
      </c>
      <c r="AH57" s="152">
        <f>AH56+2</f>
        <v>46.000000000000007</v>
      </c>
      <c r="AW57" s="174"/>
      <c r="AX57" s="174"/>
      <c r="AY57" s="174"/>
      <c r="AZ57" s="174"/>
      <c r="BA57" s="174"/>
      <c r="BB57" s="174"/>
      <c r="BC57" s="174"/>
      <c r="BD57" s="174"/>
      <c r="BE57" s="174"/>
      <c r="BF57" s="174"/>
      <c r="BG57" s="174"/>
      <c r="BH57" s="174"/>
      <c r="BI57" s="174"/>
      <c r="BJ57" s="174"/>
      <c r="BK57" s="174"/>
      <c r="BL57" s="174"/>
      <c r="BM57" s="174"/>
      <c r="BN57" s="174"/>
      <c r="BO57" s="174"/>
      <c r="BP57" s="174"/>
      <c r="BQ57" s="174"/>
      <c r="BR57" s="174"/>
      <c r="BS57" s="174"/>
      <c r="BT57" s="174"/>
      <c r="BU57" s="174"/>
      <c r="BV57" s="174"/>
      <c r="BW57" s="174"/>
      <c r="BX57" s="174"/>
      <c r="BY57" s="174"/>
      <c r="BZ57" s="174"/>
      <c r="CA57" s="174"/>
      <c r="CB57" s="174"/>
      <c r="CC57" s="174"/>
      <c r="CD57" s="175"/>
    </row>
    <row r="58" spans="12:82" x14ac:dyDescent="0.3">
      <c r="L58" s="196"/>
      <c r="AE58" s="152">
        <v>34</v>
      </c>
      <c r="AF58" s="152">
        <f>AF57+3.8</f>
        <v>111.19999999999996</v>
      </c>
      <c r="AG58" s="152">
        <f>AG57+480</f>
        <v>11520</v>
      </c>
      <c r="AH58" s="152">
        <f>AH57+2</f>
        <v>48.000000000000007</v>
      </c>
      <c r="AW58" s="174"/>
      <c r="AX58" s="174"/>
      <c r="AY58" s="174"/>
      <c r="AZ58" s="174"/>
      <c r="BA58" s="174"/>
      <c r="BB58" s="174"/>
      <c r="BC58" s="174"/>
      <c r="BD58" s="174"/>
      <c r="BE58" s="174"/>
      <c r="BF58" s="174"/>
      <c r="BG58" s="174"/>
      <c r="BH58" s="174"/>
      <c r="BI58" s="174"/>
      <c r="BJ58" s="174"/>
      <c r="BK58" s="174"/>
      <c r="BL58" s="174"/>
      <c r="BM58" s="174"/>
      <c r="BN58" s="174"/>
      <c r="BO58" s="174"/>
      <c r="BP58" s="174"/>
      <c r="BQ58" s="174"/>
      <c r="BR58" s="174"/>
      <c r="BS58" s="174"/>
      <c r="BT58" s="174"/>
      <c r="BU58" s="174"/>
      <c r="BV58" s="174"/>
      <c r="BW58" s="174"/>
      <c r="BX58" s="174"/>
      <c r="BY58" s="174"/>
      <c r="BZ58" s="174"/>
      <c r="CA58" s="174"/>
      <c r="CB58" s="174"/>
      <c r="CC58" s="174"/>
      <c r="CD58" s="175"/>
    </row>
    <row r="59" spans="12:82" x14ac:dyDescent="0.3">
      <c r="L59" s="196"/>
      <c r="AE59" s="152">
        <v>35</v>
      </c>
      <c r="AF59" s="152">
        <f>AF58+3.8</f>
        <v>114.99999999999996</v>
      </c>
      <c r="AG59" s="152">
        <f>AG58+480</f>
        <v>12000</v>
      </c>
      <c r="AH59" s="152">
        <f>AH58+2</f>
        <v>50.000000000000007</v>
      </c>
      <c r="AW59" s="174"/>
      <c r="AX59" s="174"/>
      <c r="AY59" s="174"/>
      <c r="AZ59" s="174"/>
      <c r="BA59" s="174"/>
      <c r="BB59" s="174"/>
      <c r="BC59" s="174"/>
      <c r="BD59" s="174"/>
      <c r="BE59" s="174"/>
      <c r="BF59" s="174"/>
      <c r="BG59" s="174"/>
      <c r="BH59" s="174"/>
      <c r="BI59" s="174"/>
      <c r="BJ59" s="174"/>
      <c r="BK59" s="174"/>
      <c r="BL59" s="174"/>
      <c r="BM59" s="174"/>
      <c r="BN59" s="174"/>
      <c r="BO59" s="174"/>
      <c r="BP59" s="174"/>
      <c r="BQ59" s="174"/>
      <c r="BR59" s="174"/>
      <c r="BS59" s="174"/>
      <c r="BT59" s="174"/>
      <c r="BU59" s="174"/>
      <c r="BV59" s="174"/>
      <c r="BW59" s="174"/>
      <c r="BX59" s="174"/>
      <c r="BY59" s="174"/>
      <c r="BZ59" s="174"/>
      <c r="CA59" s="174"/>
      <c r="CB59" s="174"/>
      <c r="CC59" s="174"/>
      <c r="CD59" s="175"/>
    </row>
    <row r="60" spans="12:82" x14ac:dyDescent="0.3">
      <c r="L60" s="196"/>
      <c r="AW60" s="174"/>
      <c r="AX60" s="174"/>
      <c r="AY60" s="174"/>
      <c r="AZ60" s="174"/>
      <c r="BA60" s="174"/>
      <c r="BB60" s="174"/>
      <c r="BC60" s="174"/>
      <c r="BD60" s="174"/>
      <c r="BE60" s="174"/>
      <c r="BF60" s="174"/>
      <c r="BG60" s="174"/>
      <c r="BH60" s="174"/>
      <c r="BI60" s="174"/>
      <c r="BJ60" s="174"/>
      <c r="BK60" s="174"/>
      <c r="BL60" s="174"/>
      <c r="BM60" s="174"/>
      <c r="BN60" s="174"/>
      <c r="BO60" s="174"/>
      <c r="BP60" s="174"/>
      <c r="BQ60" s="174"/>
      <c r="BR60" s="174"/>
      <c r="BS60" s="174"/>
      <c r="BT60" s="174"/>
      <c r="BU60" s="174"/>
      <c r="BV60" s="174"/>
      <c r="BW60" s="174"/>
      <c r="BX60" s="174"/>
      <c r="BY60" s="174"/>
      <c r="BZ60" s="174"/>
      <c r="CA60" s="174"/>
      <c r="CB60" s="174"/>
      <c r="CC60" s="174"/>
      <c r="CD60" s="175"/>
    </row>
    <row r="61" spans="12:82" x14ac:dyDescent="0.3">
      <c r="L61" s="196"/>
      <c r="AW61" s="174"/>
      <c r="AX61" s="174"/>
      <c r="AY61" s="174"/>
      <c r="AZ61" s="174"/>
      <c r="BA61" s="174"/>
      <c r="BB61" s="174"/>
      <c r="BC61" s="174"/>
      <c r="BD61" s="174"/>
      <c r="BE61" s="174"/>
      <c r="BF61" s="174"/>
      <c r="BG61" s="174"/>
      <c r="BH61" s="174"/>
      <c r="BI61" s="174"/>
      <c r="BJ61" s="174"/>
      <c r="BK61" s="174"/>
      <c r="BL61" s="174"/>
      <c r="BM61" s="174"/>
      <c r="BN61" s="174"/>
      <c r="BO61" s="174"/>
      <c r="BP61" s="174"/>
      <c r="BQ61" s="174"/>
      <c r="BR61" s="174"/>
      <c r="BS61" s="174"/>
      <c r="BT61" s="174"/>
      <c r="BU61" s="174"/>
      <c r="BV61" s="174"/>
      <c r="BW61" s="174"/>
      <c r="BX61" s="174"/>
      <c r="BY61" s="174"/>
      <c r="BZ61" s="174"/>
      <c r="CA61" s="174"/>
      <c r="CB61" s="174"/>
      <c r="CC61" s="174"/>
      <c r="CD61" s="175"/>
    </row>
    <row r="62" spans="12:82" x14ac:dyDescent="0.3">
      <c r="L62" s="196"/>
      <c r="AW62" s="174"/>
      <c r="AX62" s="174"/>
      <c r="AY62" s="174"/>
      <c r="AZ62" s="174"/>
      <c r="BA62" s="174"/>
      <c r="BB62" s="174"/>
      <c r="BC62" s="174"/>
      <c r="BD62" s="174"/>
      <c r="BE62" s="174"/>
      <c r="BF62" s="174"/>
      <c r="BG62" s="174"/>
      <c r="BH62" s="174"/>
      <c r="BI62" s="174"/>
      <c r="BJ62" s="174"/>
      <c r="BK62" s="174"/>
      <c r="BL62" s="174"/>
      <c r="BM62" s="174"/>
      <c r="BN62" s="174"/>
      <c r="BO62" s="174"/>
      <c r="BP62" s="174"/>
      <c r="BQ62" s="174"/>
      <c r="BR62" s="174"/>
      <c r="BS62" s="174"/>
      <c r="BT62" s="174"/>
      <c r="BU62" s="174"/>
      <c r="BV62" s="174"/>
      <c r="BW62" s="174"/>
      <c r="BX62" s="174"/>
      <c r="BY62" s="174"/>
      <c r="BZ62" s="174"/>
      <c r="CA62" s="174"/>
      <c r="CB62" s="174"/>
      <c r="CC62" s="174"/>
      <c r="CD62" s="175"/>
    </row>
    <row r="63" spans="12:82" x14ac:dyDescent="0.3">
      <c r="L63" s="196"/>
      <c r="AW63" s="174"/>
      <c r="AX63" s="174"/>
      <c r="AY63" s="174"/>
      <c r="AZ63" s="174"/>
      <c r="BA63" s="174"/>
      <c r="BB63" s="174"/>
      <c r="BC63" s="174"/>
      <c r="BD63" s="174"/>
      <c r="BE63" s="174"/>
      <c r="BF63" s="174"/>
      <c r="BG63" s="174"/>
      <c r="BH63" s="174"/>
      <c r="BI63" s="174"/>
      <c r="BJ63" s="174"/>
      <c r="BK63" s="174"/>
      <c r="BL63" s="174"/>
      <c r="BM63" s="174"/>
      <c r="BN63" s="174"/>
      <c r="BO63" s="174"/>
      <c r="BP63" s="174"/>
      <c r="BQ63" s="174"/>
      <c r="BR63" s="174"/>
      <c r="BS63" s="174"/>
      <c r="BT63" s="174"/>
      <c r="BU63" s="174"/>
      <c r="BV63" s="174"/>
      <c r="BW63" s="174"/>
      <c r="BX63" s="174"/>
      <c r="BY63" s="174"/>
      <c r="BZ63" s="174"/>
      <c r="CA63" s="174"/>
      <c r="CB63" s="174"/>
      <c r="CC63" s="174"/>
      <c r="CD63" s="175"/>
    </row>
    <row r="64" spans="12:82" x14ac:dyDescent="0.3">
      <c r="L64" s="196"/>
      <c r="AW64" s="174"/>
      <c r="AX64" s="174"/>
      <c r="AY64" s="174"/>
      <c r="AZ64" s="174"/>
      <c r="BA64" s="174"/>
      <c r="BB64" s="174"/>
      <c r="BC64" s="174"/>
      <c r="BD64" s="174"/>
      <c r="BE64" s="174"/>
      <c r="BF64" s="174"/>
      <c r="BG64" s="174"/>
      <c r="BH64" s="174"/>
      <c r="BI64" s="174"/>
      <c r="BJ64" s="174"/>
      <c r="BK64" s="174"/>
      <c r="BL64" s="174"/>
      <c r="BM64" s="174"/>
      <c r="BN64" s="174"/>
      <c r="BO64" s="174"/>
      <c r="BP64" s="174"/>
      <c r="BQ64" s="174"/>
      <c r="BR64" s="174"/>
      <c r="BS64" s="174"/>
      <c r="BT64" s="174"/>
      <c r="BU64" s="174"/>
      <c r="BV64" s="174"/>
      <c r="BW64" s="174"/>
      <c r="BX64" s="174"/>
      <c r="BY64" s="174"/>
      <c r="BZ64" s="174"/>
      <c r="CA64" s="174"/>
      <c r="CB64" s="174"/>
      <c r="CC64" s="174"/>
      <c r="CD64" s="175"/>
    </row>
    <row r="65" spans="12:82" x14ac:dyDescent="0.3">
      <c r="L65" s="196"/>
      <c r="AW65" s="174"/>
      <c r="AX65" s="174"/>
      <c r="AY65" s="174"/>
      <c r="AZ65" s="174"/>
      <c r="BA65" s="174"/>
      <c r="BB65" s="174"/>
      <c r="BC65" s="174"/>
      <c r="BD65" s="174"/>
      <c r="BE65" s="174"/>
      <c r="BF65" s="174"/>
      <c r="BG65" s="174"/>
      <c r="BH65" s="174"/>
      <c r="BI65" s="174"/>
      <c r="BJ65" s="174"/>
      <c r="BK65" s="174"/>
      <c r="BL65" s="174"/>
      <c r="BM65" s="174"/>
      <c r="BN65" s="174"/>
      <c r="BO65" s="174"/>
      <c r="BP65" s="174"/>
      <c r="BQ65" s="174"/>
      <c r="BR65" s="174"/>
      <c r="BS65" s="174"/>
      <c r="BT65" s="174"/>
      <c r="BU65" s="174"/>
      <c r="BV65" s="174"/>
      <c r="BW65" s="174"/>
      <c r="BX65" s="174"/>
      <c r="BY65" s="174"/>
      <c r="BZ65" s="174"/>
      <c r="CA65" s="174"/>
      <c r="CB65" s="174"/>
      <c r="CC65" s="174"/>
      <c r="CD65" s="175"/>
    </row>
    <row r="66" spans="12:82" x14ac:dyDescent="0.3">
      <c r="L66" s="196"/>
      <c r="AW66" s="174"/>
      <c r="AX66" s="174"/>
      <c r="AY66" s="174"/>
      <c r="AZ66" s="174"/>
      <c r="BA66" s="174"/>
      <c r="BB66" s="174"/>
      <c r="BC66" s="174"/>
      <c r="BD66" s="174"/>
      <c r="BE66" s="174"/>
      <c r="BF66" s="174"/>
      <c r="BG66" s="174"/>
      <c r="BH66" s="174"/>
      <c r="BI66" s="174"/>
      <c r="BJ66" s="174"/>
      <c r="BK66" s="174"/>
      <c r="BL66" s="174"/>
      <c r="BM66" s="174"/>
      <c r="BN66" s="174"/>
      <c r="BO66" s="174"/>
      <c r="BP66" s="174"/>
      <c r="BQ66" s="174"/>
      <c r="BR66" s="174"/>
      <c r="BS66" s="174"/>
      <c r="BT66" s="174"/>
      <c r="BU66" s="174"/>
      <c r="BV66" s="174"/>
      <c r="BW66" s="174"/>
      <c r="BX66" s="174"/>
      <c r="BY66" s="174"/>
      <c r="BZ66" s="174"/>
      <c r="CA66" s="174"/>
      <c r="CB66" s="174"/>
      <c r="CC66" s="174"/>
      <c r="CD66" s="175"/>
    </row>
    <row r="67" spans="12:82" x14ac:dyDescent="0.3">
      <c r="L67" s="196"/>
      <c r="AW67" s="174"/>
      <c r="AX67" s="174"/>
      <c r="AY67" s="174"/>
      <c r="AZ67" s="174"/>
      <c r="BA67" s="174"/>
      <c r="BB67" s="174"/>
      <c r="BC67" s="174"/>
      <c r="BD67" s="174"/>
      <c r="BE67" s="174"/>
      <c r="BF67" s="174"/>
      <c r="BG67" s="174"/>
      <c r="BH67" s="174"/>
      <c r="BI67" s="174"/>
      <c r="BJ67" s="174"/>
      <c r="BK67" s="174"/>
      <c r="BL67" s="174"/>
      <c r="BM67" s="174"/>
      <c r="BN67" s="174"/>
      <c r="BO67" s="174"/>
      <c r="BP67" s="174"/>
      <c r="BQ67" s="174"/>
      <c r="BR67" s="174"/>
      <c r="BS67" s="174"/>
      <c r="BT67" s="174"/>
      <c r="BU67" s="174"/>
      <c r="BV67" s="174"/>
      <c r="BW67" s="174"/>
      <c r="BX67" s="174"/>
      <c r="BY67" s="174"/>
      <c r="BZ67" s="174"/>
      <c r="CA67" s="174"/>
      <c r="CB67" s="174"/>
      <c r="CC67" s="174"/>
      <c r="CD67" s="175"/>
    </row>
    <row r="68" spans="12:82" x14ac:dyDescent="0.3">
      <c r="L68" s="196"/>
      <c r="AW68" s="174"/>
      <c r="AX68" s="174"/>
      <c r="AY68" s="174"/>
      <c r="AZ68" s="174"/>
      <c r="BA68" s="174"/>
      <c r="BB68" s="174"/>
      <c r="BC68" s="174"/>
      <c r="BD68" s="174"/>
      <c r="BE68" s="174"/>
      <c r="BF68" s="174"/>
      <c r="BG68" s="174"/>
      <c r="BH68" s="174"/>
      <c r="BI68" s="174"/>
      <c r="BJ68" s="174"/>
      <c r="BK68" s="174"/>
      <c r="BL68" s="174"/>
      <c r="BM68" s="174"/>
      <c r="BN68" s="174"/>
      <c r="BO68" s="174"/>
      <c r="BP68" s="174"/>
      <c r="BQ68" s="174"/>
      <c r="BR68" s="174"/>
      <c r="BS68" s="174"/>
      <c r="BT68" s="174"/>
      <c r="BU68" s="174"/>
      <c r="BV68" s="174"/>
      <c r="BW68" s="174"/>
      <c r="BX68" s="174"/>
      <c r="BY68" s="174"/>
      <c r="BZ68" s="174"/>
      <c r="CA68" s="174"/>
      <c r="CB68" s="174"/>
      <c r="CC68" s="174"/>
      <c r="CD68" s="175"/>
    </row>
    <row r="69" spans="12:82" x14ac:dyDescent="0.3">
      <c r="L69" s="196"/>
    </row>
    <row r="70" spans="12:82" x14ac:dyDescent="0.3">
      <c r="L70" s="196"/>
    </row>
    <row r="71" spans="12:82" x14ac:dyDescent="0.3">
      <c r="L71" s="196"/>
    </row>
    <row r="72" spans="12:82" x14ac:dyDescent="0.3">
      <c r="L72" s="196"/>
    </row>
    <row r="73" spans="12:82" x14ac:dyDescent="0.3">
      <c r="L73" s="196"/>
    </row>
    <row r="74" spans="12:82" x14ac:dyDescent="0.3">
      <c r="L74" s="196"/>
    </row>
    <row r="75" spans="12:82" x14ac:dyDescent="0.3">
      <c r="L75" s="196"/>
    </row>
    <row r="76" spans="12:82" x14ac:dyDescent="0.3">
      <c r="L76" s="196"/>
    </row>
    <row r="77" spans="12:82" x14ac:dyDescent="0.3">
      <c r="L77" s="196"/>
    </row>
    <row r="78" spans="12:82" x14ac:dyDescent="0.3">
      <c r="L78" s="196"/>
    </row>
    <row r="79" spans="12:82" x14ac:dyDescent="0.3">
      <c r="L79" s="196"/>
    </row>
    <row r="80" spans="12:82" x14ac:dyDescent="0.3">
      <c r="L80" s="196"/>
    </row>
    <row r="81" spans="12:12" x14ac:dyDescent="0.3">
      <c r="L81" s="196"/>
    </row>
    <row r="82" spans="12:12" x14ac:dyDescent="0.3">
      <c r="L82" s="196"/>
    </row>
    <row r="83" spans="12:12" x14ac:dyDescent="0.3">
      <c r="L83" s="196"/>
    </row>
    <row r="84" spans="12:12" x14ac:dyDescent="0.3">
      <c r="L84" s="196"/>
    </row>
    <row r="85" spans="12:12" x14ac:dyDescent="0.3">
      <c r="L85" s="196"/>
    </row>
    <row r="86" spans="12:12" x14ac:dyDescent="0.3">
      <c r="L86" s="196"/>
    </row>
    <row r="87" spans="12:12" x14ac:dyDescent="0.3">
      <c r="L87" s="196"/>
    </row>
    <row r="88" spans="12:12" x14ac:dyDescent="0.3">
      <c r="L88" s="196"/>
    </row>
    <row r="89" spans="12:12" x14ac:dyDescent="0.3">
      <c r="L89" s="196"/>
    </row>
    <row r="90" spans="12:12" x14ac:dyDescent="0.3">
      <c r="L90" s="196"/>
    </row>
    <row r="91" spans="12:12" x14ac:dyDescent="0.3">
      <c r="L91" s="196"/>
    </row>
    <row r="92" spans="12:12" x14ac:dyDescent="0.3">
      <c r="L92" s="196"/>
    </row>
    <row r="93" spans="12:12" x14ac:dyDescent="0.3">
      <c r="L93" s="196"/>
    </row>
    <row r="94" spans="12:12" x14ac:dyDescent="0.3">
      <c r="L94" s="196"/>
    </row>
    <row r="95" spans="12:12" x14ac:dyDescent="0.3">
      <c r="L95" s="196"/>
    </row>
    <row r="96" spans="12:12" x14ac:dyDescent="0.3">
      <c r="L96" s="196"/>
    </row>
    <row r="97" spans="12:12" x14ac:dyDescent="0.3">
      <c r="L97" s="196"/>
    </row>
    <row r="98" spans="12:12" x14ac:dyDescent="0.3">
      <c r="L98" s="196"/>
    </row>
    <row r="99" spans="12:12" x14ac:dyDescent="0.3">
      <c r="L99" s="196"/>
    </row>
    <row r="100" spans="12:12" x14ac:dyDescent="0.3">
      <c r="L100" s="196"/>
    </row>
    <row r="101" spans="12:12" x14ac:dyDescent="0.3">
      <c r="L101" s="196"/>
    </row>
    <row r="102" spans="12:12" x14ac:dyDescent="0.3">
      <c r="L102" s="196"/>
    </row>
    <row r="103" spans="12:12" x14ac:dyDescent="0.3">
      <c r="L103" s="196"/>
    </row>
    <row r="104" spans="12:12" x14ac:dyDescent="0.3">
      <c r="L104" s="196"/>
    </row>
    <row r="105" spans="12:12" x14ac:dyDescent="0.3">
      <c r="L105" s="196"/>
    </row>
    <row r="106" spans="12:12" x14ac:dyDescent="0.3">
      <c r="L106" s="196"/>
    </row>
    <row r="107" spans="12:12" x14ac:dyDescent="0.3">
      <c r="L107" s="196"/>
    </row>
    <row r="108" spans="12:12" x14ac:dyDescent="0.3">
      <c r="L108" s="196"/>
    </row>
    <row r="109" spans="12:12" x14ac:dyDescent="0.3">
      <c r="L109" s="196"/>
    </row>
    <row r="110" spans="12:12" x14ac:dyDescent="0.3">
      <c r="L110" s="196"/>
    </row>
    <row r="111" spans="12:12" x14ac:dyDescent="0.3">
      <c r="L111" s="196"/>
    </row>
    <row r="112" spans="12:12" x14ac:dyDescent="0.3">
      <c r="L112" s="196"/>
    </row>
    <row r="113" spans="12:12" x14ac:dyDescent="0.3">
      <c r="L113" s="196"/>
    </row>
    <row r="114" spans="12:12" x14ac:dyDescent="0.3">
      <c r="L114" s="196"/>
    </row>
    <row r="115" spans="12:12" x14ac:dyDescent="0.3">
      <c r="L115" s="196"/>
    </row>
    <row r="116" spans="12:12" x14ac:dyDescent="0.3">
      <c r="L116" s="196"/>
    </row>
    <row r="117" spans="12:12" x14ac:dyDescent="0.3">
      <c r="L117" s="196"/>
    </row>
    <row r="118" spans="12:12" x14ac:dyDescent="0.3">
      <c r="L118" s="196"/>
    </row>
    <row r="119" spans="12:12" x14ac:dyDescent="0.3">
      <c r="L119" s="196"/>
    </row>
    <row r="120" spans="12:12" x14ac:dyDescent="0.3">
      <c r="L120" s="196"/>
    </row>
    <row r="121" spans="12:12" x14ac:dyDescent="0.3">
      <c r="L121" s="196"/>
    </row>
    <row r="122" spans="12:12" x14ac:dyDescent="0.3">
      <c r="L122" s="196"/>
    </row>
    <row r="123" spans="12:12" x14ac:dyDescent="0.3">
      <c r="L123" s="196"/>
    </row>
    <row r="124" spans="12:12" x14ac:dyDescent="0.3">
      <c r="L124" s="196"/>
    </row>
    <row r="125" spans="12:12" x14ac:dyDescent="0.3">
      <c r="L125" s="196"/>
    </row>
    <row r="126" spans="12:12" x14ac:dyDescent="0.3">
      <c r="L126" s="196"/>
    </row>
    <row r="127" spans="12:12" x14ac:dyDescent="0.3">
      <c r="L127" s="196"/>
    </row>
    <row r="128" spans="12:12" x14ac:dyDescent="0.3">
      <c r="L128" s="196"/>
    </row>
    <row r="129" spans="12:12" x14ac:dyDescent="0.3">
      <c r="L129" s="196"/>
    </row>
    <row r="130" spans="12:12" x14ac:dyDescent="0.3">
      <c r="L130" s="196"/>
    </row>
    <row r="131" spans="12:12" x14ac:dyDescent="0.3">
      <c r="L131" s="196"/>
    </row>
    <row r="132" spans="12:12" x14ac:dyDescent="0.3">
      <c r="L132" s="196"/>
    </row>
    <row r="133" spans="12:12" x14ac:dyDescent="0.3">
      <c r="L133" s="196"/>
    </row>
    <row r="134" spans="12:12" x14ac:dyDescent="0.3">
      <c r="L134" s="196"/>
    </row>
    <row r="135" spans="12:12" x14ac:dyDescent="0.3">
      <c r="L135" s="196"/>
    </row>
    <row r="136" spans="12:12" x14ac:dyDescent="0.3">
      <c r="L136" s="196"/>
    </row>
    <row r="137" spans="12:12" x14ac:dyDescent="0.3">
      <c r="L137" s="196"/>
    </row>
    <row r="138" spans="12:12" x14ac:dyDescent="0.3">
      <c r="L138" s="196"/>
    </row>
    <row r="139" spans="12:12" x14ac:dyDescent="0.3">
      <c r="L139" s="196"/>
    </row>
    <row r="140" spans="12:12" x14ac:dyDescent="0.3">
      <c r="L140" s="196"/>
    </row>
    <row r="141" spans="12:12" x14ac:dyDescent="0.3">
      <c r="L141" s="196"/>
    </row>
    <row r="142" spans="12:12" x14ac:dyDescent="0.3">
      <c r="L142" s="196"/>
    </row>
    <row r="143" spans="12:12" x14ac:dyDescent="0.3">
      <c r="L143" s="196"/>
    </row>
    <row r="144" spans="12:12" x14ac:dyDescent="0.3">
      <c r="L144" s="196"/>
    </row>
    <row r="145" spans="12:12" x14ac:dyDescent="0.3">
      <c r="L145" s="196"/>
    </row>
    <row r="146" spans="12:12" x14ac:dyDescent="0.3">
      <c r="L146" s="196"/>
    </row>
    <row r="147" spans="12:12" x14ac:dyDescent="0.3">
      <c r="L147" s="196"/>
    </row>
    <row r="148" spans="12:12" x14ac:dyDescent="0.3">
      <c r="L148" s="196"/>
    </row>
    <row r="149" spans="12:12" x14ac:dyDescent="0.3">
      <c r="L149" s="196"/>
    </row>
    <row r="150" spans="12:12" x14ac:dyDescent="0.3">
      <c r="L150" s="196"/>
    </row>
    <row r="151" spans="12:12" x14ac:dyDescent="0.3">
      <c r="L151" s="196"/>
    </row>
    <row r="152" spans="12:12" x14ac:dyDescent="0.3">
      <c r="L152" s="196"/>
    </row>
    <row r="153" spans="12:12" x14ac:dyDescent="0.3">
      <c r="L153" s="196"/>
    </row>
    <row r="154" spans="12:12" x14ac:dyDescent="0.3">
      <c r="L154" s="196"/>
    </row>
    <row r="155" spans="12:12" x14ac:dyDescent="0.3">
      <c r="L155" s="196"/>
    </row>
    <row r="156" spans="12:12" x14ac:dyDescent="0.3">
      <c r="L156" s="196"/>
    </row>
    <row r="157" spans="12:12" x14ac:dyDescent="0.3">
      <c r="L157" s="196"/>
    </row>
    <row r="158" spans="12:12" x14ac:dyDescent="0.3">
      <c r="L158" s="196"/>
    </row>
    <row r="159" spans="12:12" x14ac:dyDescent="0.3">
      <c r="L159" s="196"/>
    </row>
    <row r="160" spans="12:12" x14ac:dyDescent="0.3">
      <c r="L160" s="196"/>
    </row>
    <row r="161" spans="12:12" x14ac:dyDescent="0.3">
      <c r="L161" s="196"/>
    </row>
    <row r="162" spans="12:12" x14ac:dyDescent="0.3">
      <c r="L162" s="196"/>
    </row>
    <row r="163" spans="12:12" x14ac:dyDescent="0.3">
      <c r="L163" s="196"/>
    </row>
    <row r="164" spans="12:12" x14ac:dyDescent="0.3">
      <c r="L164" s="196"/>
    </row>
    <row r="165" spans="12:12" x14ac:dyDescent="0.3">
      <c r="L165" s="196"/>
    </row>
    <row r="166" spans="12:12" x14ac:dyDescent="0.3">
      <c r="L166" s="196"/>
    </row>
    <row r="167" spans="12:12" x14ac:dyDescent="0.3">
      <c r="L167" s="196"/>
    </row>
    <row r="168" spans="12:12" x14ac:dyDescent="0.3">
      <c r="L168" s="196"/>
    </row>
    <row r="169" spans="12:12" x14ac:dyDescent="0.3">
      <c r="L169" s="196"/>
    </row>
    <row r="170" spans="12:12" x14ac:dyDescent="0.3">
      <c r="L170" s="196"/>
    </row>
    <row r="171" spans="12:12" x14ac:dyDescent="0.3">
      <c r="L171" s="196"/>
    </row>
    <row r="172" spans="12:12" x14ac:dyDescent="0.3">
      <c r="L172" s="196"/>
    </row>
    <row r="173" spans="12:12" x14ac:dyDescent="0.3">
      <c r="L173" s="196"/>
    </row>
    <row r="174" spans="12:12" x14ac:dyDescent="0.3">
      <c r="L174" s="196"/>
    </row>
    <row r="175" spans="12:12" x14ac:dyDescent="0.3">
      <c r="L175" s="196"/>
    </row>
    <row r="176" spans="12:12" x14ac:dyDescent="0.3">
      <c r="L176" s="196"/>
    </row>
    <row r="177" spans="12:12" x14ac:dyDescent="0.3">
      <c r="L177" s="196"/>
    </row>
    <row r="178" spans="12:12" x14ac:dyDescent="0.3">
      <c r="L178" s="196"/>
    </row>
    <row r="179" spans="12:12" x14ac:dyDescent="0.3">
      <c r="L179" s="196"/>
    </row>
    <row r="180" spans="12:12" x14ac:dyDescent="0.3">
      <c r="L180" s="196"/>
    </row>
    <row r="181" spans="12:12" x14ac:dyDescent="0.3">
      <c r="L181" s="196"/>
    </row>
    <row r="182" spans="12:12" x14ac:dyDescent="0.3">
      <c r="L182" s="196"/>
    </row>
    <row r="183" spans="12:12" x14ac:dyDescent="0.3">
      <c r="L183" s="196"/>
    </row>
    <row r="184" spans="12:12" x14ac:dyDescent="0.3">
      <c r="L184" s="196"/>
    </row>
    <row r="185" spans="12:12" x14ac:dyDescent="0.3">
      <c r="L185" s="196"/>
    </row>
    <row r="186" spans="12:12" x14ac:dyDescent="0.3">
      <c r="L186" s="196"/>
    </row>
    <row r="187" spans="12:12" x14ac:dyDescent="0.3">
      <c r="L187" s="196"/>
    </row>
    <row r="188" spans="12:12" x14ac:dyDescent="0.3">
      <c r="L188" s="196"/>
    </row>
    <row r="189" spans="12:12" x14ac:dyDescent="0.3">
      <c r="L189" s="196"/>
    </row>
    <row r="190" spans="12:12" x14ac:dyDescent="0.3">
      <c r="L190" s="196"/>
    </row>
    <row r="191" spans="12:12" x14ac:dyDescent="0.3">
      <c r="L191" s="196"/>
    </row>
    <row r="192" spans="12:12" x14ac:dyDescent="0.3">
      <c r="L192" s="196"/>
    </row>
    <row r="193" spans="12:12" x14ac:dyDescent="0.3">
      <c r="L193" s="196"/>
    </row>
    <row r="194" spans="12:12" x14ac:dyDescent="0.3">
      <c r="L194" s="196"/>
    </row>
    <row r="195" spans="12:12" x14ac:dyDescent="0.3">
      <c r="L195" s="196"/>
    </row>
    <row r="196" spans="12:12" x14ac:dyDescent="0.3">
      <c r="L196" s="196"/>
    </row>
    <row r="197" spans="12:12" x14ac:dyDescent="0.3">
      <c r="L197" s="196"/>
    </row>
    <row r="198" spans="12:12" x14ac:dyDescent="0.3">
      <c r="L198" s="196"/>
    </row>
    <row r="199" spans="12:12" x14ac:dyDescent="0.3">
      <c r="L199" s="196"/>
    </row>
    <row r="200" spans="12:12" x14ac:dyDescent="0.3">
      <c r="L200" s="196"/>
    </row>
    <row r="201" spans="12:12" x14ac:dyDescent="0.3">
      <c r="L201" s="196"/>
    </row>
    <row r="202" spans="12:12" x14ac:dyDescent="0.3">
      <c r="L202" s="196"/>
    </row>
    <row r="203" spans="12:12" x14ac:dyDescent="0.3">
      <c r="L203" s="196"/>
    </row>
    <row r="204" spans="12:12" x14ac:dyDescent="0.3">
      <c r="L204" s="196"/>
    </row>
    <row r="205" spans="12:12" x14ac:dyDescent="0.3">
      <c r="L205" s="196"/>
    </row>
    <row r="206" spans="12:12" x14ac:dyDescent="0.3">
      <c r="L206" s="196"/>
    </row>
    <row r="207" spans="12:12" x14ac:dyDescent="0.3">
      <c r="L207" s="196"/>
    </row>
    <row r="208" spans="12:12" x14ac:dyDescent="0.3">
      <c r="L208" s="196"/>
    </row>
    <row r="209" spans="12:12" x14ac:dyDescent="0.3">
      <c r="L209" s="196"/>
    </row>
    <row r="210" spans="12:12" x14ac:dyDescent="0.3">
      <c r="L210" s="196"/>
    </row>
    <row r="211" spans="12:12" x14ac:dyDescent="0.3">
      <c r="L211" s="196"/>
    </row>
    <row r="212" spans="12:12" x14ac:dyDescent="0.3">
      <c r="L212" s="196"/>
    </row>
    <row r="213" spans="12:12" x14ac:dyDescent="0.3">
      <c r="L213" s="196"/>
    </row>
    <row r="214" spans="12:12" x14ac:dyDescent="0.3">
      <c r="L214" s="196"/>
    </row>
    <row r="215" spans="12:12" x14ac:dyDescent="0.3">
      <c r="L215" s="196"/>
    </row>
    <row r="216" spans="12:12" x14ac:dyDescent="0.3">
      <c r="L216" s="196"/>
    </row>
    <row r="217" spans="12:12" x14ac:dyDescent="0.3">
      <c r="L217" s="196"/>
    </row>
    <row r="218" spans="12:12" x14ac:dyDescent="0.3">
      <c r="L218" s="196"/>
    </row>
    <row r="219" spans="12:12" x14ac:dyDescent="0.3">
      <c r="L219" s="196"/>
    </row>
    <row r="220" spans="12:12" x14ac:dyDescent="0.3">
      <c r="L220" s="196"/>
    </row>
    <row r="221" spans="12:12" x14ac:dyDescent="0.3">
      <c r="L221" s="196"/>
    </row>
    <row r="222" spans="12:12" x14ac:dyDescent="0.3">
      <c r="L222" s="196"/>
    </row>
    <row r="223" spans="12:12" x14ac:dyDescent="0.3">
      <c r="L223" s="196"/>
    </row>
    <row r="224" spans="12:12" x14ac:dyDescent="0.3">
      <c r="L224" s="196"/>
    </row>
    <row r="225" spans="12:12" x14ac:dyDescent="0.3">
      <c r="L225" s="196"/>
    </row>
    <row r="226" spans="12:12" x14ac:dyDescent="0.3">
      <c r="L226" s="196"/>
    </row>
    <row r="227" spans="12:12" x14ac:dyDescent="0.3">
      <c r="L227" s="196"/>
    </row>
    <row r="228" spans="12:12" x14ac:dyDescent="0.3">
      <c r="L228" s="196"/>
    </row>
    <row r="229" spans="12:12" x14ac:dyDescent="0.3">
      <c r="L229" s="196"/>
    </row>
    <row r="230" spans="12:12" x14ac:dyDescent="0.3">
      <c r="L230" s="196"/>
    </row>
    <row r="231" spans="12:12" x14ac:dyDescent="0.3">
      <c r="L231" s="196"/>
    </row>
    <row r="232" spans="12:12" x14ac:dyDescent="0.3">
      <c r="L232" s="196"/>
    </row>
    <row r="233" spans="12:12" x14ac:dyDescent="0.3">
      <c r="L233" s="196"/>
    </row>
    <row r="234" spans="12:12" x14ac:dyDescent="0.3">
      <c r="L234" s="196"/>
    </row>
    <row r="235" spans="12:12" x14ac:dyDescent="0.3">
      <c r="L235" s="196"/>
    </row>
    <row r="236" spans="12:12" x14ac:dyDescent="0.3">
      <c r="L236" s="196"/>
    </row>
    <row r="237" spans="12:12" x14ac:dyDescent="0.3">
      <c r="L237" s="196"/>
    </row>
    <row r="238" spans="12:12" x14ac:dyDescent="0.3">
      <c r="L238" s="196"/>
    </row>
    <row r="239" spans="12:12" x14ac:dyDescent="0.3">
      <c r="L239" s="196"/>
    </row>
    <row r="240" spans="12:12" x14ac:dyDescent="0.3">
      <c r="L240" s="196"/>
    </row>
    <row r="241" spans="12:12" x14ac:dyDescent="0.3">
      <c r="L241" s="196"/>
    </row>
    <row r="242" spans="12:12" x14ac:dyDescent="0.3">
      <c r="L242" s="196"/>
    </row>
    <row r="243" spans="12:12" x14ac:dyDescent="0.3">
      <c r="L243" s="196"/>
    </row>
    <row r="244" spans="12:12" x14ac:dyDescent="0.3">
      <c r="L244" s="196"/>
    </row>
    <row r="245" spans="12:12" x14ac:dyDescent="0.3">
      <c r="L245" s="196"/>
    </row>
    <row r="246" spans="12:12" x14ac:dyDescent="0.3">
      <c r="L246" s="196"/>
    </row>
    <row r="247" spans="12:12" x14ac:dyDescent="0.3">
      <c r="L247" s="196"/>
    </row>
    <row r="248" spans="12:12" x14ac:dyDescent="0.3">
      <c r="L248" s="196"/>
    </row>
    <row r="249" spans="12:12" x14ac:dyDescent="0.3">
      <c r="L249" s="196"/>
    </row>
    <row r="250" spans="12:12" x14ac:dyDescent="0.3">
      <c r="L250" s="196"/>
    </row>
    <row r="251" spans="12:12" x14ac:dyDescent="0.3">
      <c r="L251" s="196"/>
    </row>
    <row r="252" spans="12:12" x14ac:dyDescent="0.3">
      <c r="L252" s="196"/>
    </row>
    <row r="253" spans="12:12" x14ac:dyDescent="0.3">
      <c r="L253" s="196"/>
    </row>
    <row r="254" spans="12:12" x14ac:dyDescent="0.3">
      <c r="L254" s="196"/>
    </row>
    <row r="255" spans="12:12" x14ac:dyDescent="0.3">
      <c r="L255" s="196"/>
    </row>
  </sheetData>
  <mergeCells count="2">
    <mergeCell ref="R3:S3"/>
    <mergeCell ref="U3:V3"/>
  </mergeCells>
  <phoneticPr fontId="26" type="noConversion"/>
  <conditionalFormatting sqref="AM32:AP36 Q32:Q36 N32:N36">
    <cfRule type="expression" dxfId="209" priority="12">
      <formula>$L32="API sand"</formula>
    </cfRule>
  </conditionalFormatting>
  <conditionalFormatting sqref="R32:S36 AB32:AB35 AJ32:AL36 Z32:Z36 N32:N36">
    <cfRule type="expression" dxfId="208" priority="11">
      <formula>$M32="API sand"</formula>
    </cfRule>
  </conditionalFormatting>
  <conditionalFormatting sqref="R32:T36 Z32:AB35 AK32:AL36 N32:N36">
    <cfRule type="expression" dxfId="207" priority="10">
      <formula>$M32="API clay"</formula>
    </cfRule>
  </conditionalFormatting>
  <conditionalFormatting sqref="U32:W36 AM32:AP36 N32:P36">
    <cfRule type="expression" dxfId="206" priority="7">
      <formula>$L32="Stiff clay w/o free water"</formula>
    </cfRule>
    <cfRule type="expression" dxfId="205" priority="9">
      <formula>$L32="API clay"</formula>
    </cfRule>
  </conditionalFormatting>
  <conditionalFormatting sqref="U32:Y36 AM32:AP36 N32:P36">
    <cfRule type="expression" dxfId="204" priority="8">
      <formula>$L32="Kirsch soft clay"</formula>
    </cfRule>
  </conditionalFormatting>
  <conditionalFormatting sqref="U32:Y36 AM32:AP36 N32:P36">
    <cfRule type="expression" dxfId="203" priority="6">
      <formula>$L32="Kirsch stiff clay"</formula>
    </cfRule>
  </conditionalFormatting>
  <conditionalFormatting sqref="AM32:AP36 Q32:Q36 X32:Y36 N32:N36">
    <cfRule type="expression" dxfId="202" priority="5">
      <formula>$L32="Kirsch sand"</formula>
    </cfRule>
  </conditionalFormatting>
  <conditionalFormatting sqref="AC32:AD36 AI32:AI36 AM32:AP36 N32:N36">
    <cfRule type="expression" dxfId="201" priority="4">
      <formula>$L32="Modified Weak rock"</formula>
    </cfRule>
  </conditionalFormatting>
  <conditionalFormatting sqref="AM32:AP36 N32:P36 U32:V36">
    <cfRule type="expression" dxfId="200" priority="3">
      <formula>$L32="Reese stiff clay"</formula>
    </cfRule>
  </conditionalFormatting>
  <conditionalFormatting sqref="AB36">
    <cfRule type="expression" dxfId="199" priority="2">
      <formula>$M36="API sand"</formula>
    </cfRule>
  </conditionalFormatting>
  <conditionalFormatting sqref="Z36:AB36">
    <cfRule type="expression" dxfId="198" priority="1">
      <formula>$M36="API clay"</formula>
    </cfRule>
  </conditionalFormatting>
  <conditionalFormatting sqref="AE37:AH37">
    <cfRule type="expression" dxfId="197" priority="13">
      <formula>#REF!="Modified Weak rock"</formula>
    </cfRule>
  </conditionalFormatting>
  <dataValidations count="3">
    <dataValidation showInputMessage="1" showErrorMessage="1" sqref="L6:M31" xr:uid="{C9A90663-AC20-4F04-AC8D-3533036BA713}"/>
    <dataValidation type="list" showInputMessage="1" showErrorMessage="1" sqref="L32:L255" xr:uid="{960FADBB-32D7-4009-AF4A-193B21ECA5F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32:M36" xr:uid="{A1DEED60-23BF-45C1-98BC-AC617498FF09}">
      <formula1>"',API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0FC6D-6140-4318-9AEB-041AC5C3ED06}">
  <sheetPr>
    <tabColor rgb="FF7030A0"/>
  </sheetPr>
  <dimension ref="A1:CW255"/>
  <sheetViews>
    <sheetView zoomScale="115" zoomScaleNormal="115" workbookViewId="0">
      <pane xSplit="12" ySplit="5" topLeftCell="AS6" activePane="bottomRight" state="frozen"/>
      <selection pane="topRight" activeCell="M1" sqref="M1"/>
      <selection pane="bottomLeft" activeCell="A6" sqref="A6"/>
      <selection pane="bottomRight" activeCell="K34" sqref="K34"/>
    </sheetView>
  </sheetViews>
  <sheetFormatPr defaultColWidth="9.33203125" defaultRowHeight="14.4" x14ac:dyDescent="0.3"/>
  <cols>
    <col min="1" max="1" width="18" style="152" bestFit="1" customWidth="1"/>
    <col min="2" max="2" width="13.6640625" style="152" customWidth="1"/>
    <col min="3" max="3" width="13.5546875" style="152" customWidth="1"/>
    <col min="4" max="5" width="14" style="152" customWidth="1"/>
    <col min="6" max="6" width="13" style="152" bestFit="1" customWidth="1"/>
    <col min="7" max="7" width="13.5546875" style="152" customWidth="1"/>
    <col min="8" max="8" width="11" style="152" bestFit="1" customWidth="1"/>
    <col min="9" max="9" width="15.6640625" style="152" bestFit="1" customWidth="1"/>
    <col min="10" max="10" width="10.33203125" style="152" customWidth="1"/>
    <col min="11" max="11" width="11.5546875" style="152" bestFit="1" customWidth="1"/>
    <col min="12" max="12" width="15.5546875" style="152" customWidth="1"/>
    <col min="13" max="13" width="11.6640625" style="152" bestFit="1" customWidth="1"/>
    <col min="14" max="14" width="11" style="152" bestFit="1" customWidth="1"/>
    <col min="15" max="15" width="9.33203125" style="152" customWidth="1"/>
    <col min="16" max="16" width="10.5546875" style="152" customWidth="1"/>
    <col min="17" max="18" width="9.5546875" style="152" bestFit="1" customWidth="1"/>
    <col min="19" max="20" width="6.5546875" style="152" customWidth="1"/>
    <col min="21" max="21" width="13.33203125" style="152" customWidth="1"/>
    <col min="22" max="22" width="19.44140625" style="152" customWidth="1"/>
    <col min="23" max="23" width="6.5546875" style="152" customWidth="1"/>
    <col min="24" max="24" width="11.6640625" style="152" customWidth="1"/>
    <col min="25" max="25" width="8.44140625" style="152" bestFit="1" customWidth="1"/>
    <col min="26" max="26" width="11.6640625" style="152" customWidth="1"/>
    <col min="27" max="27" width="11" style="152" bestFit="1" customWidth="1"/>
    <col min="28" max="28" width="10.5546875" style="152" customWidth="1"/>
    <col min="29" max="29" width="14.6640625" style="152" customWidth="1"/>
    <col min="30" max="30" width="11.6640625" style="152" customWidth="1"/>
    <col min="31" max="31" width="10.33203125" style="152" customWidth="1"/>
    <col min="32" max="32" width="8.33203125" style="152" customWidth="1"/>
    <col min="33" max="33" width="13.6640625" style="152" customWidth="1"/>
    <col min="34" max="34" width="8.44140625" style="152" customWidth="1"/>
    <col min="35" max="35" width="7.6640625" style="152" customWidth="1"/>
    <col min="36" max="36" width="8.5546875" style="152" customWidth="1"/>
    <col min="37" max="37" width="11.33203125" style="152" bestFit="1" customWidth="1"/>
    <col min="38" max="38" width="11.44140625" style="152" bestFit="1" customWidth="1"/>
    <col min="39" max="39" width="11.6640625" style="152" bestFit="1" customWidth="1"/>
    <col min="40" max="40" width="11.5546875" style="152" bestFit="1" customWidth="1"/>
    <col min="41" max="42" width="11.5546875" style="152" customWidth="1"/>
    <col min="43" max="45" width="9.33203125" style="152"/>
    <col min="46" max="46" width="32.5546875" style="152" customWidth="1"/>
    <col min="47" max="16384" width="9.33203125" style="152"/>
  </cols>
  <sheetData>
    <row r="1" spans="1:101" x14ac:dyDescent="0.3">
      <c r="A1" s="151" t="str">
        <f ca="1">TRIM(MID(CELL("filename",A1),FIND("]",CELL("filename",A1),1)+1,255))</f>
        <v>L02_NGI_L40</v>
      </c>
      <c r="D1" s="151"/>
    </row>
    <row r="3" spans="1:101" s="153" customFormat="1" ht="45" customHeight="1" x14ac:dyDescent="0.3">
      <c r="F3" s="154" t="s">
        <v>37</v>
      </c>
      <c r="J3" s="155" t="s">
        <v>22</v>
      </c>
      <c r="Q3" s="205"/>
      <c r="R3" s="237"/>
      <c r="S3" s="237"/>
      <c r="T3" s="205"/>
      <c r="U3" s="237"/>
      <c r="V3" s="237"/>
      <c r="W3" s="205"/>
      <c r="X3" s="157"/>
      <c r="Y3" s="205"/>
      <c r="Z3" s="205"/>
      <c r="AA3" s="205"/>
      <c r="AB3" s="205"/>
      <c r="AC3" s="157"/>
      <c r="AD3" s="158"/>
      <c r="AE3" s="158"/>
      <c r="AF3" s="158"/>
      <c r="AG3" s="158"/>
      <c r="AH3" s="158"/>
      <c r="AI3" s="158"/>
      <c r="AJ3" s="205"/>
      <c r="AK3" s="205"/>
      <c r="AL3" s="205"/>
      <c r="AM3" s="205"/>
      <c r="AN3" s="205"/>
      <c r="AO3" s="205"/>
      <c r="AP3" s="205"/>
      <c r="BL3" s="153" t="s">
        <v>491</v>
      </c>
    </row>
    <row r="4" spans="1:101" x14ac:dyDescent="0.3">
      <c r="A4" s="159" t="s">
        <v>54</v>
      </c>
      <c r="B4" s="152">
        <f>COUNTIF(J:J,"&gt;0")</f>
        <v>16</v>
      </c>
      <c r="C4" s="160" t="s">
        <v>402</v>
      </c>
      <c r="D4" s="161"/>
      <c r="F4" s="152" t="s">
        <v>38</v>
      </c>
      <c r="G4" s="162">
        <v>0</v>
      </c>
      <c r="H4" s="160" t="s">
        <v>28</v>
      </c>
      <c r="I4" s="152" t="s">
        <v>492</v>
      </c>
      <c r="J4" s="161" t="s">
        <v>0</v>
      </c>
      <c r="K4" s="161" t="s">
        <v>3</v>
      </c>
      <c r="L4" s="161" t="s">
        <v>1</v>
      </c>
      <c r="M4" s="161" t="s">
        <v>2</v>
      </c>
      <c r="N4" s="161" t="s">
        <v>6</v>
      </c>
      <c r="O4" s="161" t="s">
        <v>4</v>
      </c>
      <c r="P4" s="161" t="s">
        <v>5</v>
      </c>
      <c r="Q4" s="161" t="s">
        <v>7</v>
      </c>
      <c r="R4" s="161" t="s">
        <v>13</v>
      </c>
      <c r="S4" s="161" t="s">
        <v>65</v>
      </c>
      <c r="T4" s="161" t="s">
        <v>14</v>
      </c>
      <c r="U4" s="161" t="s">
        <v>8</v>
      </c>
      <c r="V4" s="161" t="s">
        <v>9</v>
      </c>
      <c r="W4" s="161" t="s">
        <v>10</v>
      </c>
      <c r="X4" s="161" t="s">
        <v>67</v>
      </c>
      <c r="Y4" s="161" t="s">
        <v>71</v>
      </c>
      <c r="Z4" s="161" t="s">
        <v>15</v>
      </c>
      <c r="AA4" s="161" t="s">
        <v>16</v>
      </c>
      <c r="AB4" s="161" t="s">
        <v>17</v>
      </c>
      <c r="AC4" s="161" t="s">
        <v>11</v>
      </c>
      <c r="AD4" s="161" t="s">
        <v>12</v>
      </c>
      <c r="AE4" s="161" t="s">
        <v>18</v>
      </c>
      <c r="AF4" s="161" t="s">
        <v>19</v>
      </c>
      <c r="AG4" s="161" t="s">
        <v>408</v>
      </c>
      <c r="AH4" s="161" t="s">
        <v>20</v>
      </c>
      <c r="AI4" s="161" t="s">
        <v>21</v>
      </c>
      <c r="AJ4" s="161" t="s">
        <v>59</v>
      </c>
      <c r="AK4" s="161" t="s">
        <v>64</v>
      </c>
      <c r="AL4" s="161" t="s">
        <v>68</v>
      </c>
      <c r="AM4" s="161" t="s">
        <v>69</v>
      </c>
      <c r="AN4" s="161" t="s">
        <v>70</v>
      </c>
      <c r="AO4" s="161" t="s">
        <v>407</v>
      </c>
      <c r="AP4" s="161" t="s">
        <v>406</v>
      </c>
      <c r="AQ4" s="163" t="s">
        <v>405</v>
      </c>
      <c r="AR4" s="161" t="s">
        <v>404</v>
      </c>
      <c r="AS4" s="152" t="s">
        <v>403</v>
      </c>
      <c r="AT4" s="66" t="s">
        <v>487</v>
      </c>
      <c r="AU4" s="66" t="s">
        <v>480</v>
      </c>
      <c r="AV4" s="66" t="s">
        <v>488</v>
      </c>
      <c r="AW4" s="66" t="s">
        <v>1850</v>
      </c>
      <c r="AX4" s="66" t="s">
        <v>1851</v>
      </c>
    </row>
    <row r="5" spans="1:101" ht="92.4" x14ac:dyDescent="0.3">
      <c r="A5" s="152" t="s">
        <v>55</v>
      </c>
      <c r="B5" s="152">
        <f ca="1">COUNTIF(A:A,"&gt;0")</f>
        <v>1</v>
      </c>
      <c r="C5" s="160" t="s">
        <v>402</v>
      </c>
      <c r="F5" s="152" t="s">
        <v>39</v>
      </c>
      <c r="G5" s="162">
        <v>0</v>
      </c>
      <c r="H5" s="160" t="s">
        <v>28</v>
      </c>
      <c r="J5" s="164" t="s">
        <v>36</v>
      </c>
      <c r="K5" s="164" t="s">
        <v>29</v>
      </c>
      <c r="L5" s="164" t="s">
        <v>30</v>
      </c>
      <c r="M5" s="164" t="s">
        <v>30</v>
      </c>
      <c r="N5" s="164" t="s">
        <v>31</v>
      </c>
      <c r="O5" s="164" t="s">
        <v>32</v>
      </c>
      <c r="P5" s="164" t="s">
        <v>34</v>
      </c>
      <c r="Q5" s="164" t="s">
        <v>35</v>
      </c>
      <c r="R5" s="164" t="s">
        <v>35</v>
      </c>
      <c r="S5" s="164" t="s">
        <v>33</v>
      </c>
      <c r="T5" s="164" t="s">
        <v>32</v>
      </c>
      <c r="U5" s="164" t="s">
        <v>33</v>
      </c>
      <c r="V5" s="164" t="s">
        <v>401</v>
      </c>
      <c r="W5" s="164" t="s">
        <v>33</v>
      </c>
      <c r="X5" s="164" t="s">
        <v>32</v>
      </c>
      <c r="Y5" s="164" t="s">
        <v>34</v>
      </c>
      <c r="Z5" s="164" t="s">
        <v>32</v>
      </c>
      <c r="AA5" s="164" t="s">
        <v>33</v>
      </c>
      <c r="AB5" s="164" t="s">
        <v>32</v>
      </c>
      <c r="AC5" s="164" t="s">
        <v>32</v>
      </c>
      <c r="AD5" s="164" t="s">
        <v>34</v>
      </c>
      <c r="AE5" s="164" t="s">
        <v>33</v>
      </c>
      <c r="AF5" s="164" t="s">
        <v>32</v>
      </c>
      <c r="AG5" s="164" t="s">
        <v>34</v>
      </c>
      <c r="AH5" s="164" t="s">
        <v>33</v>
      </c>
      <c r="AI5" s="164" t="s">
        <v>33</v>
      </c>
      <c r="AJ5" s="164" t="s">
        <v>33</v>
      </c>
      <c r="AK5" s="164" t="s">
        <v>33</v>
      </c>
      <c r="AL5" s="164" t="s">
        <v>33</v>
      </c>
      <c r="AM5" s="164" t="s">
        <v>33</v>
      </c>
      <c r="AN5" s="164" t="s">
        <v>33</v>
      </c>
      <c r="AO5" s="164" t="s">
        <v>33</v>
      </c>
      <c r="AP5" s="164" t="s">
        <v>33</v>
      </c>
      <c r="AQ5" s="164" t="s">
        <v>400</v>
      </c>
      <c r="AR5" s="164" t="s">
        <v>399</v>
      </c>
      <c r="AT5" s="66"/>
      <c r="AU5" s="66"/>
      <c r="AV5" s="66"/>
      <c r="AW5" s="66"/>
      <c r="AX5" s="66"/>
      <c r="BL5" s="165" t="s">
        <v>493</v>
      </c>
      <c r="BM5" s="165" t="s">
        <v>494</v>
      </c>
      <c r="BN5" s="165" t="s">
        <v>495</v>
      </c>
      <c r="BO5" s="165" t="s">
        <v>496</v>
      </c>
      <c r="BP5" s="165" t="s">
        <v>497</v>
      </c>
      <c r="BQ5" s="165" t="s">
        <v>498</v>
      </c>
      <c r="BR5" s="165" t="s">
        <v>499</v>
      </c>
      <c r="BS5" s="165" t="s">
        <v>500</v>
      </c>
      <c r="BT5" s="165" t="s">
        <v>501</v>
      </c>
      <c r="BU5" s="165" t="s">
        <v>502</v>
      </c>
      <c r="BV5" s="165" t="s">
        <v>503</v>
      </c>
      <c r="BW5" s="165" t="s">
        <v>504</v>
      </c>
      <c r="BX5" s="165" t="s">
        <v>505</v>
      </c>
      <c r="BY5" s="165" t="s">
        <v>506</v>
      </c>
      <c r="BZ5" s="165" t="s">
        <v>507</v>
      </c>
      <c r="CA5" s="165" t="s">
        <v>508</v>
      </c>
      <c r="CB5" s="165" t="s">
        <v>509</v>
      </c>
      <c r="CC5" s="165" t="s">
        <v>510</v>
      </c>
      <c r="CD5" s="165" t="s">
        <v>511</v>
      </c>
      <c r="CE5" s="165" t="s">
        <v>512</v>
      </c>
      <c r="CF5" s="165" t="s">
        <v>513</v>
      </c>
      <c r="CG5" s="165" t="s">
        <v>514</v>
      </c>
      <c r="CH5" s="165" t="s">
        <v>515</v>
      </c>
      <c r="CI5" s="165" t="s">
        <v>516</v>
      </c>
      <c r="CJ5" s="165" t="s">
        <v>517</v>
      </c>
      <c r="CK5" s="165" t="s">
        <v>518</v>
      </c>
      <c r="CL5" s="165" t="s">
        <v>519</v>
      </c>
      <c r="CM5" s="165" t="s">
        <v>520</v>
      </c>
      <c r="CN5" s="165" t="s">
        <v>521</v>
      </c>
      <c r="CO5" s="165" t="s">
        <v>522</v>
      </c>
      <c r="CP5" s="165" t="s">
        <v>523</v>
      </c>
      <c r="CQ5" s="165" t="s">
        <v>524</v>
      </c>
      <c r="CR5" s="165" t="s">
        <v>525</v>
      </c>
      <c r="CS5" s="165" t="s">
        <v>526</v>
      </c>
      <c r="CT5" s="165" t="s">
        <v>527</v>
      </c>
      <c r="CU5" s="165" t="s">
        <v>528</v>
      </c>
      <c r="CV5" s="165" t="s">
        <v>529</v>
      </c>
      <c r="CW5" s="165" t="s">
        <v>530</v>
      </c>
    </row>
    <row r="6" spans="1:101" x14ac:dyDescent="0.3">
      <c r="C6" s="160"/>
      <c r="F6" s="152" t="s">
        <v>60</v>
      </c>
      <c r="G6" s="166"/>
      <c r="H6" s="160" t="s">
        <v>28</v>
      </c>
      <c r="I6" s="152" t="str">
        <f t="shared" ref="I6:I21" ca="1" si="0">IF(OFFSET($BM$6,(ROW()-6)*2,0)=0,"",OFFSET($BM$6,(ROW()-6)*2,0))</f>
        <v>SS1</v>
      </c>
      <c r="J6" s="167">
        <v>1</v>
      </c>
      <c r="K6" s="168">
        <v>0</v>
      </c>
      <c r="L6" s="206" t="s">
        <v>1818</v>
      </c>
      <c r="M6" s="67" t="s">
        <v>57</v>
      </c>
      <c r="N6" s="167">
        <v>9.6000000000000014</v>
      </c>
      <c r="O6" s="170">
        <v>0</v>
      </c>
      <c r="P6" s="170">
        <v>0</v>
      </c>
      <c r="Q6" s="167">
        <v>35</v>
      </c>
      <c r="R6" s="167">
        <v>30</v>
      </c>
      <c r="S6" s="167">
        <v>0.4</v>
      </c>
      <c r="T6" s="167">
        <v>0</v>
      </c>
      <c r="U6" s="171">
        <v>0</v>
      </c>
      <c r="V6" s="171">
        <v>0</v>
      </c>
      <c r="W6" s="167">
        <v>0.5</v>
      </c>
      <c r="X6" s="167">
        <v>4200</v>
      </c>
      <c r="Y6" s="167">
        <v>0</v>
      </c>
      <c r="Z6" s="167">
        <v>95.999999999999972</v>
      </c>
      <c r="AA6" s="167">
        <v>1</v>
      </c>
      <c r="AB6" s="167">
        <v>9600</v>
      </c>
      <c r="AC6" s="170">
        <v>1000</v>
      </c>
      <c r="AD6" s="172">
        <v>68000</v>
      </c>
      <c r="AE6" s="170">
        <v>0.3</v>
      </c>
      <c r="AF6" s="170">
        <v>0</v>
      </c>
      <c r="AG6" s="170">
        <v>0</v>
      </c>
      <c r="AH6" s="170">
        <v>0</v>
      </c>
      <c r="AI6" s="170">
        <v>0</v>
      </c>
      <c r="AJ6" s="167">
        <v>40.000000000000007</v>
      </c>
      <c r="AK6" s="167">
        <v>1</v>
      </c>
      <c r="AL6" s="167">
        <v>1</v>
      </c>
      <c r="AM6" s="167">
        <v>1</v>
      </c>
      <c r="AN6" s="167">
        <v>1</v>
      </c>
      <c r="AO6" s="167">
        <v>1</v>
      </c>
      <c r="AP6" s="167">
        <v>1</v>
      </c>
      <c r="AQ6" s="167">
        <v>0</v>
      </c>
      <c r="AR6" s="167">
        <v>100</v>
      </c>
      <c r="AS6" s="173">
        <v>1</v>
      </c>
      <c r="AT6" s="207" t="s">
        <v>1852</v>
      </c>
      <c r="AU6" s="66">
        <v>10</v>
      </c>
      <c r="AV6" s="207">
        <v>0.12</v>
      </c>
      <c r="AW6" s="66">
        <v>1</v>
      </c>
      <c r="AX6" s="66">
        <v>1</v>
      </c>
      <c r="AY6" s="173"/>
      <c r="AZ6" s="173"/>
      <c r="BA6" s="173"/>
      <c r="BB6" s="173"/>
      <c r="BC6" s="173"/>
      <c r="BD6" s="173"/>
      <c r="BE6" s="173"/>
      <c r="BF6" s="173"/>
      <c r="BG6" s="173"/>
      <c r="BH6" s="173"/>
      <c r="BI6" s="152">
        <v>3.6308838316114795</v>
      </c>
      <c r="BJ6" s="152">
        <v>0.45</v>
      </c>
      <c r="BL6" s="174">
        <v>0</v>
      </c>
      <c r="BM6" s="174" t="s">
        <v>533</v>
      </c>
      <c r="BN6" s="174">
        <v>24</v>
      </c>
      <c r="BO6" s="174">
        <v>19.600000000000001</v>
      </c>
      <c r="BP6" s="174"/>
      <c r="BQ6" s="174">
        <v>3</v>
      </c>
      <c r="BR6" s="174"/>
      <c r="BS6" s="174"/>
      <c r="BT6" s="174">
        <v>0</v>
      </c>
      <c r="BU6" s="174">
        <v>0</v>
      </c>
      <c r="BV6" s="174">
        <v>0</v>
      </c>
      <c r="BW6" s="174">
        <v>0</v>
      </c>
      <c r="BX6" s="174">
        <v>0.1</v>
      </c>
      <c r="BY6" s="174">
        <v>0.01</v>
      </c>
      <c r="BZ6" s="174">
        <v>0.01</v>
      </c>
      <c r="CA6" s="174">
        <v>0.01</v>
      </c>
      <c r="CB6" s="174">
        <v>0.01</v>
      </c>
      <c r="CC6" s="174">
        <v>0.01</v>
      </c>
      <c r="CD6" s="174"/>
      <c r="CE6" s="174"/>
      <c r="CF6" s="174"/>
      <c r="CG6" s="174"/>
      <c r="CH6" s="174"/>
      <c r="CI6" s="174">
        <v>100</v>
      </c>
      <c r="CJ6" s="174">
        <v>29</v>
      </c>
      <c r="CK6" s="174">
        <v>35</v>
      </c>
      <c r="CL6" s="174">
        <v>40</v>
      </c>
      <c r="CM6" s="174">
        <v>44</v>
      </c>
      <c r="CN6" s="174">
        <v>47</v>
      </c>
      <c r="CO6" s="174">
        <v>0</v>
      </c>
      <c r="CP6" s="174">
        <v>0</v>
      </c>
      <c r="CQ6" s="174">
        <v>1</v>
      </c>
      <c r="CR6" s="174">
        <v>3</v>
      </c>
      <c r="CS6" s="174">
        <v>7</v>
      </c>
      <c r="CT6" s="174">
        <v>4.2</v>
      </c>
      <c r="CU6" s="174">
        <v>1</v>
      </c>
      <c r="CV6" s="174">
        <v>0.4</v>
      </c>
      <c r="CW6" s="175">
        <v>9.79969762311199E-4</v>
      </c>
    </row>
    <row r="7" spans="1:101" x14ac:dyDescent="0.3">
      <c r="A7" s="176" t="s">
        <v>23</v>
      </c>
      <c r="C7" s="160"/>
      <c r="F7" s="177" t="s">
        <v>44</v>
      </c>
      <c r="G7" s="178"/>
      <c r="H7" s="158"/>
      <c r="I7" s="152" t="str">
        <f t="shared" ca="1" si="0"/>
        <v>SS1</v>
      </c>
      <c r="J7" s="167">
        <v>2</v>
      </c>
      <c r="K7" s="168">
        <f ca="1">IF(OFFSET($BL$6,(ROW()-6)*2,0)=0,"",-OFFSET($BL$6,(ROW()-6)*2,0))</f>
        <v>-0.25</v>
      </c>
      <c r="L7" s="206" t="s">
        <v>1819</v>
      </c>
      <c r="M7" s="67" t="s">
        <v>57</v>
      </c>
      <c r="N7" s="167">
        <v>9.6000000000000014</v>
      </c>
      <c r="O7" s="170">
        <v>0</v>
      </c>
      <c r="P7" s="170">
        <v>0</v>
      </c>
      <c r="Q7" s="167">
        <v>37</v>
      </c>
      <c r="R7" s="167">
        <v>32</v>
      </c>
      <c r="S7" s="167">
        <v>0.3</v>
      </c>
      <c r="T7" s="167">
        <v>0</v>
      </c>
      <c r="U7" s="171">
        <v>0</v>
      </c>
      <c r="V7" s="171">
        <v>0</v>
      </c>
      <c r="W7" s="167">
        <v>0.5</v>
      </c>
      <c r="X7" s="167">
        <v>11000</v>
      </c>
      <c r="Y7" s="167">
        <v>0</v>
      </c>
      <c r="Z7" s="167">
        <v>103.59999999999997</v>
      </c>
      <c r="AA7" s="167">
        <v>1</v>
      </c>
      <c r="AB7" s="167">
        <v>10560</v>
      </c>
      <c r="AC7" s="170">
        <v>18000</v>
      </c>
      <c r="AD7" s="172">
        <v>36000</v>
      </c>
      <c r="AE7" s="170">
        <v>0.3</v>
      </c>
      <c r="AF7" s="170">
        <v>0</v>
      </c>
      <c r="AG7" s="170">
        <v>0</v>
      </c>
      <c r="AH7" s="170">
        <v>0</v>
      </c>
      <c r="AI7" s="170">
        <v>0</v>
      </c>
      <c r="AJ7" s="167">
        <v>44.000000000000007</v>
      </c>
      <c r="AK7" s="167">
        <v>1</v>
      </c>
      <c r="AL7" s="167">
        <v>1</v>
      </c>
      <c r="AM7" s="167">
        <v>1</v>
      </c>
      <c r="AN7" s="167">
        <v>1</v>
      </c>
      <c r="AO7" s="167">
        <v>1</v>
      </c>
      <c r="AP7" s="167">
        <v>1</v>
      </c>
      <c r="AQ7" s="167">
        <v>0</v>
      </c>
      <c r="AR7" s="167">
        <v>100</v>
      </c>
      <c r="AS7" s="173">
        <v>1</v>
      </c>
      <c r="AT7" s="207" t="s">
        <v>1852</v>
      </c>
      <c r="AU7" s="66">
        <v>10</v>
      </c>
      <c r="AV7" s="207">
        <v>0.12</v>
      </c>
      <c r="AW7" s="66">
        <v>1</v>
      </c>
      <c r="AX7" s="66">
        <v>1</v>
      </c>
      <c r="AY7" s="173"/>
      <c r="AZ7" s="173"/>
      <c r="BA7" s="173"/>
      <c r="BB7" s="173"/>
      <c r="BC7" s="173"/>
      <c r="BD7" s="173"/>
      <c r="BE7" s="173"/>
      <c r="BF7" s="173"/>
      <c r="BG7" s="173"/>
      <c r="BH7" s="173"/>
      <c r="BI7" s="152">
        <v>3.6308838316114795</v>
      </c>
      <c r="BJ7" s="152">
        <v>0.45</v>
      </c>
      <c r="BL7" s="174">
        <v>0.25</v>
      </c>
      <c r="BM7" s="174" t="s">
        <v>533</v>
      </c>
      <c r="BN7" s="174">
        <v>24</v>
      </c>
      <c r="BO7" s="174">
        <v>19.600000000000001</v>
      </c>
      <c r="BP7" s="174"/>
      <c r="BQ7" s="174">
        <v>3</v>
      </c>
      <c r="BR7" s="174"/>
      <c r="BS7" s="174"/>
      <c r="BT7" s="174">
        <v>1.8</v>
      </c>
      <c r="BU7" s="174">
        <v>2</v>
      </c>
      <c r="BV7" s="174">
        <v>2.1</v>
      </c>
      <c r="BW7" s="174">
        <v>2.2000000000000002</v>
      </c>
      <c r="BX7" s="174">
        <v>2.2999999999999998</v>
      </c>
      <c r="BY7" s="174">
        <v>0.01</v>
      </c>
      <c r="BZ7" s="174">
        <v>0.01</v>
      </c>
      <c r="CA7" s="174">
        <v>1.06E-2</v>
      </c>
      <c r="CB7" s="174">
        <v>1.1599999999999999E-2</v>
      </c>
      <c r="CC7" s="174">
        <v>1.2800000000000001E-2</v>
      </c>
      <c r="CD7" s="174"/>
      <c r="CE7" s="174"/>
      <c r="CF7" s="174"/>
      <c r="CG7" s="174"/>
      <c r="CH7" s="174"/>
      <c r="CI7" s="174">
        <v>100</v>
      </c>
      <c r="CJ7" s="174">
        <v>29</v>
      </c>
      <c r="CK7" s="174">
        <v>35</v>
      </c>
      <c r="CL7" s="174">
        <v>40</v>
      </c>
      <c r="CM7" s="174">
        <v>44</v>
      </c>
      <c r="CN7" s="174">
        <v>47</v>
      </c>
      <c r="CO7" s="174">
        <v>14</v>
      </c>
      <c r="CP7" s="174">
        <v>16</v>
      </c>
      <c r="CQ7" s="174">
        <v>18</v>
      </c>
      <c r="CR7" s="174">
        <v>20</v>
      </c>
      <c r="CS7" s="174">
        <v>24</v>
      </c>
      <c r="CT7" s="174">
        <v>4.2</v>
      </c>
      <c r="CU7" s="174">
        <v>1</v>
      </c>
      <c r="CV7" s="174">
        <v>0.4</v>
      </c>
      <c r="CW7" s="175">
        <v>9.79969762311199E-4</v>
      </c>
    </row>
    <row r="8" spans="1:101" x14ac:dyDescent="0.3">
      <c r="A8" s="152" t="s">
        <v>24</v>
      </c>
      <c r="B8" s="162">
        <v>0</v>
      </c>
      <c r="C8" s="160" t="s">
        <v>398</v>
      </c>
      <c r="F8" s="152" t="s">
        <v>45</v>
      </c>
      <c r="G8" s="179">
        <v>14956.756746798887</v>
      </c>
      <c r="H8" s="160" t="s">
        <v>48</v>
      </c>
      <c r="I8" s="152" t="str">
        <f t="shared" ca="1" si="0"/>
        <v>PC1</v>
      </c>
      <c r="J8" s="167">
        <v>3</v>
      </c>
      <c r="K8" s="168">
        <f t="shared" ref="K8:K21" ca="1" si="1">IF(OFFSET($BL$6,(ROW()-6)*2,0)=0,"",-OFFSET($BL$6,(ROW()-6)*2,0))</f>
        <v>-0.5</v>
      </c>
      <c r="L8" s="206" t="s">
        <v>1820</v>
      </c>
      <c r="M8" s="67" t="s">
        <v>57</v>
      </c>
      <c r="N8" s="167">
        <v>9.6999999999999993</v>
      </c>
      <c r="O8" s="170">
        <v>0</v>
      </c>
      <c r="P8" s="170">
        <v>0</v>
      </c>
      <c r="Q8" s="167">
        <v>29</v>
      </c>
      <c r="R8" s="167">
        <v>24</v>
      </c>
      <c r="S8" s="167">
        <v>1.2</v>
      </c>
      <c r="T8" s="167">
        <v>0</v>
      </c>
      <c r="U8" s="171">
        <v>0</v>
      </c>
      <c r="V8" s="171">
        <v>0</v>
      </c>
      <c r="W8" s="167">
        <v>0.5</v>
      </c>
      <c r="X8" s="167">
        <v>8600</v>
      </c>
      <c r="Y8" s="167">
        <v>0</v>
      </c>
      <c r="Z8" s="167">
        <v>78.199999999999974</v>
      </c>
      <c r="AA8" s="167">
        <v>1</v>
      </c>
      <c r="AB8" s="167">
        <v>4420</v>
      </c>
      <c r="AC8" s="170">
        <v>27000</v>
      </c>
      <c r="AD8" s="172">
        <v>22413.793103448279</v>
      </c>
      <c r="AE8" s="170">
        <v>0.3</v>
      </c>
      <c r="AF8" s="170">
        <v>0</v>
      </c>
      <c r="AG8" s="170">
        <v>0</v>
      </c>
      <c r="AH8" s="170">
        <v>0</v>
      </c>
      <c r="AI8" s="170">
        <v>0</v>
      </c>
      <c r="AJ8" s="167">
        <v>18.400000000000006</v>
      </c>
      <c r="AK8" s="167">
        <v>1</v>
      </c>
      <c r="AL8" s="167">
        <v>1</v>
      </c>
      <c r="AM8" s="167">
        <v>1</v>
      </c>
      <c r="AN8" s="167">
        <v>1</v>
      </c>
      <c r="AO8" s="167">
        <v>1</v>
      </c>
      <c r="AP8" s="167">
        <v>1</v>
      </c>
      <c r="AQ8" s="167">
        <v>0</v>
      </c>
      <c r="AR8" s="167">
        <v>46</v>
      </c>
      <c r="AS8" s="173">
        <v>1</v>
      </c>
      <c r="AT8" s="207" t="s">
        <v>1853</v>
      </c>
      <c r="AU8" s="66">
        <v>10</v>
      </c>
      <c r="AV8" s="207">
        <v>0.11</v>
      </c>
      <c r="AW8" s="66">
        <v>0.66</v>
      </c>
      <c r="AX8" s="66">
        <v>1</v>
      </c>
      <c r="AY8" s="173"/>
      <c r="AZ8" s="173"/>
      <c r="BA8" s="173"/>
      <c r="BB8" s="173"/>
      <c r="BC8" s="173"/>
      <c r="BD8" s="173"/>
      <c r="BE8" s="173"/>
      <c r="BF8" s="173"/>
      <c r="BG8" s="173"/>
      <c r="BH8" s="173"/>
      <c r="BI8" s="152">
        <v>1</v>
      </c>
      <c r="BJ8" s="152">
        <v>0.22</v>
      </c>
      <c r="BL8" s="174">
        <v>0.25</v>
      </c>
      <c r="BM8" s="174" t="s">
        <v>533</v>
      </c>
      <c r="BN8" s="174">
        <v>24</v>
      </c>
      <c r="BO8" s="174">
        <v>19.600000000000001</v>
      </c>
      <c r="BP8" s="174"/>
      <c r="BQ8" s="174">
        <v>3</v>
      </c>
      <c r="BR8" s="174"/>
      <c r="BS8" s="174"/>
      <c r="BT8" s="174">
        <v>2</v>
      </c>
      <c r="BU8" s="174">
        <v>2.2999999999999998</v>
      </c>
      <c r="BV8" s="174">
        <v>2.6</v>
      </c>
      <c r="BW8" s="174">
        <v>2.9</v>
      </c>
      <c r="BX8" s="174">
        <v>3.2</v>
      </c>
      <c r="BY8" s="174">
        <v>0.01</v>
      </c>
      <c r="BZ8" s="174">
        <v>1.09E-2</v>
      </c>
      <c r="CA8" s="174">
        <v>1.2500000000000001E-2</v>
      </c>
      <c r="CB8" s="174">
        <v>1.4E-2</v>
      </c>
      <c r="CC8" s="174">
        <v>1.5699999999999999E-2</v>
      </c>
      <c r="CD8" s="174"/>
      <c r="CE8" s="174"/>
      <c r="CF8" s="174"/>
      <c r="CG8" s="174"/>
      <c r="CH8" s="174"/>
      <c r="CI8" s="174">
        <v>100</v>
      </c>
      <c r="CJ8" s="174">
        <v>29</v>
      </c>
      <c r="CK8" s="174">
        <v>37</v>
      </c>
      <c r="CL8" s="174">
        <v>42</v>
      </c>
      <c r="CM8" s="174">
        <v>47</v>
      </c>
      <c r="CN8" s="174">
        <v>47</v>
      </c>
      <c r="CO8" s="174">
        <v>9</v>
      </c>
      <c r="CP8" s="174">
        <v>14</v>
      </c>
      <c r="CQ8" s="174">
        <v>18</v>
      </c>
      <c r="CR8" s="174">
        <v>23</v>
      </c>
      <c r="CS8" s="174">
        <v>33</v>
      </c>
      <c r="CT8" s="174">
        <v>11</v>
      </c>
      <c r="CU8" s="174">
        <v>1</v>
      </c>
      <c r="CV8" s="174">
        <v>0.3</v>
      </c>
      <c r="CW8" s="175">
        <v>2.0816441256472189E-3</v>
      </c>
    </row>
    <row r="9" spans="1:101" x14ac:dyDescent="0.3">
      <c r="A9" s="152" t="s">
        <v>61</v>
      </c>
      <c r="B9" s="166">
        <v>40</v>
      </c>
      <c r="C9" s="160" t="s">
        <v>28</v>
      </c>
      <c r="D9" s="162">
        <v>32867.4</v>
      </c>
      <c r="F9" s="152" t="s">
        <v>72</v>
      </c>
      <c r="G9" s="180">
        <v>-635805.97239886073</v>
      </c>
      <c r="H9" s="160" t="s">
        <v>49</v>
      </c>
      <c r="I9" s="152" t="str">
        <f t="shared" ca="1" si="0"/>
        <v>PC1</v>
      </c>
      <c r="J9" s="167">
        <v>4</v>
      </c>
      <c r="K9" s="168">
        <f t="shared" ca="1" si="1"/>
        <v>-3.4</v>
      </c>
      <c r="L9" s="206" t="s">
        <v>1821</v>
      </c>
      <c r="M9" s="67" t="s">
        <v>57</v>
      </c>
      <c r="N9" s="167">
        <v>9.6999999999999993</v>
      </c>
      <c r="O9" s="170">
        <v>0</v>
      </c>
      <c r="P9" s="170">
        <v>0</v>
      </c>
      <c r="Q9" s="167">
        <v>29</v>
      </c>
      <c r="R9" s="167">
        <v>24</v>
      </c>
      <c r="S9" s="167">
        <v>1</v>
      </c>
      <c r="T9" s="167">
        <v>0</v>
      </c>
      <c r="U9" s="171">
        <v>0</v>
      </c>
      <c r="V9" s="171">
        <v>0</v>
      </c>
      <c r="W9" s="167">
        <v>0.5</v>
      </c>
      <c r="X9" s="167">
        <v>16300</v>
      </c>
      <c r="Y9" s="167">
        <v>0</v>
      </c>
      <c r="Z9" s="167">
        <v>78.199999999999974</v>
      </c>
      <c r="AA9" s="167">
        <v>1</v>
      </c>
      <c r="AB9" s="167">
        <v>4420</v>
      </c>
      <c r="AC9" s="170">
        <v>93000</v>
      </c>
      <c r="AD9" s="172">
        <v>13846.153846153846</v>
      </c>
      <c r="AE9" s="170">
        <v>0.3</v>
      </c>
      <c r="AF9" s="170">
        <v>0</v>
      </c>
      <c r="AG9" s="170">
        <v>0</v>
      </c>
      <c r="AH9" s="170">
        <v>0</v>
      </c>
      <c r="AI9" s="170">
        <v>0</v>
      </c>
      <c r="AJ9" s="167">
        <v>18.400000000000006</v>
      </c>
      <c r="AK9" s="167">
        <v>1</v>
      </c>
      <c r="AL9" s="167">
        <v>1</v>
      </c>
      <c r="AM9" s="167">
        <v>1</v>
      </c>
      <c r="AN9" s="167">
        <v>1</v>
      </c>
      <c r="AO9" s="167">
        <v>1</v>
      </c>
      <c r="AP9" s="167">
        <v>1</v>
      </c>
      <c r="AQ9" s="167">
        <v>0</v>
      </c>
      <c r="AR9" s="167">
        <v>56</v>
      </c>
      <c r="AS9" s="173">
        <v>1</v>
      </c>
      <c r="AT9" s="207" t="s">
        <v>1853</v>
      </c>
      <c r="AU9" s="66">
        <v>10</v>
      </c>
      <c r="AV9" s="207">
        <v>0.11</v>
      </c>
      <c r="AW9" s="66">
        <v>0.73</v>
      </c>
      <c r="AX9" s="66">
        <v>1</v>
      </c>
      <c r="AY9" s="173"/>
      <c r="AZ9" s="173"/>
      <c r="BA9" s="173"/>
      <c r="BB9" s="173"/>
      <c r="BC9" s="173"/>
      <c r="BD9" s="173"/>
      <c r="BE9" s="173"/>
      <c r="BF9" s="173"/>
      <c r="BG9" s="173"/>
      <c r="BH9" s="173"/>
      <c r="BI9" s="152">
        <v>1</v>
      </c>
      <c r="BJ9" s="152">
        <v>0.22</v>
      </c>
      <c r="BL9" s="174">
        <v>0.5</v>
      </c>
      <c r="BM9" s="174" t="s">
        <v>533</v>
      </c>
      <c r="BN9" s="174">
        <v>24</v>
      </c>
      <c r="BO9" s="174">
        <v>19.600000000000001</v>
      </c>
      <c r="BP9" s="174"/>
      <c r="BQ9" s="174">
        <v>3</v>
      </c>
      <c r="BR9" s="174"/>
      <c r="BS9" s="174"/>
      <c r="BT9" s="174">
        <v>2.2000000000000002</v>
      </c>
      <c r="BU9" s="174">
        <v>2.6</v>
      </c>
      <c r="BV9" s="174">
        <v>2.8</v>
      </c>
      <c r="BW9" s="174">
        <v>3.1</v>
      </c>
      <c r="BX9" s="174">
        <v>3.4</v>
      </c>
      <c r="BY9" s="174">
        <v>1.1900000000000001E-2</v>
      </c>
      <c r="BZ9" s="174">
        <v>1.4200000000000001E-2</v>
      </c>
      <c r="CA9" s="174">
        <v>1.5699999999999999E-2</v>
      </c>
      <c r="CB9" s="174">
        <v>1.7299999999999999E-2</v>
      </c>
      <c r="CC9" s="174">
        <v>1.89E-2</v>
      </c>
      <c r="CD9" s="174"/>
      <c r="CE9" s="174"/>
      <c r="CF9" s="174"/>
      <c r="CG9" s="174"/>
      <c r="CH9" s="174"/>
      <c r="CI9" s="174">
        <v>100</v>
      </c>
      <c r="CJ9" s="174">
        <v>29</v>
      </c>
      <c r="CK9" s="174">
        <v>37</v>
      </c>
      <c r="CL9" s="174">
        <v>42</v>
      </c>
      <c r="CM9" s="174">
        <v>47</v>
      </c>
      <c r="CN9" s="174">
        <v>47</v>
      </c>
      <c r="CO9" s="174">
        <v>17</v>
      </c>
      <c r="CP9" s="174">
        <v>22</v>
      </c>
      <c r="CQ9" s="174">
        <v>27</v>
      </c>
      <c r="CR9" s="174">
        <v>32</v>
      </c>
      <c r="CS9" s="174">
        <v>41</v>
      </c>
      <c r="CT9" s="174">
        <v>11</v>
      </c>
      <c r="CU9" s="174">
        <v>1</v>
      </c>
      <c r="CV9" s="174">
        <v>0.3</v>
      </c>
      <c r="CW9" s="175">
        <v>2.0816441256472189E-3</v>
      </c>
    </row>
    <row r="10" spans="1:101" s="178" customFormat="1" x14ac:dyDescent="0.3">
      <c r="A10" s="152" t="s">
        <v>62</v>
      </c>
      <c r="B10" s="181">
        <v>40</v>
      </c>
      <c r="C10" s="160" t="s">
        <v>28</v>
      </c>
      <c r="D10" s="182">
        <v>-1203012.7692307692</v>
      </c>
      <c r="F10" s="152" t="s">
        <v>46</v>
      </c>
      <c r="G10" s="179">
        <v>30094.302468293183</v>
      </c>
      <c r="H10" s="160" t="s">
        <v>48</v>
      </c>
      <c r="I10" s="152" t="str">
        <f t="shared" ca="1" si="0"/>
        <v>PC1</v>
      </c>
      <c r="J10" s="167">
        <v>5</v>
      </c>
      <c r="K10" s="168">
        <f t="shared" ca="1" si="1"/>
        <v>-6</v>
      </c>
      <c r="L10" s="206" t="s">
        <v>1822</v>
      </c>
      <c r="M10" s="67" t="s">
        <v>57</v>
      </c>
      <c r="N10" s="167">
        <v>9.6999999999999993</v>
      </c>
      <c r="O10" s="170">
        <v>0</v>
      </c>
      <c r="P10" s="170">
        <v>0</v>
      </c>
      <c r="Q10" s="167">
        <v>29</v>
      </c>
      <c r="R10" s="167">
        <v>24</v>
      </c>
      <c r="S10" s="167">
        <v>0.9</v>
      </c>
      <c r="T10" s="167">
        <v>0</v>
      </c>
      <c r="U10" s="171">
        <v>0</v>
      </c>
      <c r="V10" s="171">
        <v>0</v>
      </c>
      <c r="W10" s="167">
        <v>0.5</v>
      </c>
      <c r="X10" s="167">
        <v>21800</v>
      </c>
      <c r="Y10" s="167">
        <v>0</v>
      </c>
      <c r="Z10" s="167">
        <v>78.199999999999974</v>
      </c>
      <c r="AA10" s="167">
        <v>1</v>
      </c>
      <c r="AB10" s="167">
        <v>4420</v>
      </c>
      <c r="AC10" s="170">
        <v>126000</v>
      </c>
      <c r="AD10" s="172">
        <v>24000</v>
      </c>
      <c r="AE10" s="170">
        <v>0.3</v>
      </c>
      <c r="AF10" s="170">
        <v>0</v>
      </c>
      <c r="AG10" s="170">
        <v>0</v>
      </c>
      <c r="AH10" s="170">
        <v>0</v>
      </c>
      <c r="AI10" s="170">
        <v>0</v>
      </c>
      <c r="AJ10" s="167">
        <v>18.400000000000006</v>
      </c>
      <c r="AK10" s="167">
        <v>1</v>
      </c>
      <c r="AL10" s="167">
        <v>1</v>
      </c>
      <c r="AM10" s="167">
        <v>1</v>
      </c>
      <c r="AN10" s="167">
        <v>1</v>
      </c>
      <c r="AO10" s="167">
        <v>1</v>
      </c>
      <c r="AP10" s="167">
        <v>1</v>
      </c>
      <c r="AQ10" s="167">
        <v>0</v>
      </c>
      <c r="AR10" s="167">
        <v>61</v>
      </c>
      <c r="AS10" s="173">
        <v>1</v>
      </c>
      <c r="AT10" s="207" t="s">
        <v>1853</v>
      </c>
      <c r="AU10" s="66">
        <v>10</v>
      </c>
      <c r="AV10" s="207">
        <v>0.11</v>
      </c>
      <c r="AW10" s="66">
        <v>0.76</v>
      </c>
      <c r="AX10" s="66">
        <v>1</v>
      </c>
      <c r="AY10" s="173"/>
      <c r="AZ10" s="173"/>
      <c r="BA10" s="173"/>
      <c r="BB10" s="173"/>
      <c r="BC10" s="173"/>
      <c r="BD10" s="173"/>
      <c r="BE10" s="173"/>
      <c r="BF10" s="173"/>
      <c r="BG10" s="173"/>
      <c r="BH10" s="173"/>
      <c r="BI10" s="178">
        <v>1</v>
      </c>
      <c r="BJ10" s="178">
        <v>0.22</v>
      </c>
      <c r="BL10" s="174">
        <v>0.5</v>
      </c>
      <c r="BM10" s="174" t="s">
        <v>902</v>
      </c>
      <c r="BN10" s="174">
        <v>24</v>
      </c>
      <c r="BO10" s="174">
        <v>19.7</v>
      </c>
      <c r="BP10" s="174"/>
      <c r="BQ10" s="174">
        <v>21</v>
      </c>
      <c r="BR10" s="174"/>
      <c r="BS10" s="174"/>
      <c r="BT10" s="174">
        <v>0.9</v>
      </c>
      <c r="BU10" s="174">
        <v>1.4</v>
      </c>
      <c r="BV10" s="174">
        <v>1.7</v>
      </c>
      <c r="BW10" s="174">
        <v>2.1</v>
      </c>
      <c r="BX10" s="174">
        <v>2.6</v>
      </c>
      <c r="BY10" s="174">
        <v>0.01</v>
      </c>
      <c r="BZ10" s="174">
        <v>0.01</v>
      </c>
      <c r="CA10" s="174">
        <v>1.09E-2</v>
      </c>
      <c r="CB10" s="174">
        <v>1.26E-2</v>
      </c>
      <c r="CC10" s="174">
        <v>1.8200000000000001E-2</v>
      </c>
      <c r="CD10" s="174"/>
      <c r="CE10" s="174"/>
      <c r="CF10" s="174"/>
      <c r="CG10" s="174"/>
      <c r="CH10" s="174"/>
      <c r="CI10" s="174">
        <v>46</v>
      </c>
      <c r="CJ10" s="174">
        <v>29</v>
      </c>
      <c r="CK10" s="174">
        <v>29</v>
      </c>
      <c r="CL10" s="174">
        <v>32</v>
      </c>
      <c r="CM10" s="174">
        <v>36</v>
      </c>
      <c r="CN10" s="174">
        <v>42</v>
      </c>
      <c r="CO10" s="174">
        <v>11</v>
      </c>
      <c r="CP10" s="174">
        <v>16</v>
      </c>
      <c r="CQ10" s="174">
        <v>27</v>
      </c>
      <c r="CR10" s="174">
        <v>38</v>
      </c>
      <c r="CS10" s="174">
        <v>63</v>
      </c>
      <c r="CT10" s="174">
        <v>8.6</v>
      </c>
      <c r="CU10" s="174">
        <v>6.2</v>
      </c>
      <c r="CV10" s="174">
        <v>1.2</v>
      </c>
      <c r="CW10" s="175">
        <v>6.7114957101676147E-5</v>
      </c>
    </row>
    <row r="11" spans="1:101" x14ac:dyDescent="0.3">
      <c r="A11" s="152" t="s">
        <v>63</v>
      </c>
      <c r="B11" s="162">
        <v>1</v>
      </c>
      <c r="C11" s="160" t="s">
        <v>28</v>
      </c>
      <c r="D11" s="152">
        <v>26189.504615384616</v>
      </c>
      <c r="F11" s="152" t="s">
        <v>47</v>
      </c>
      <c r="G11" s="179">
        <v>0</v>
      </c>
      <c r="H11" s="160" t="s">
        <v>48</v>
      </c>
      <c r="I11" s="152" t="str">
        <f t="shared" ca="1" si="0"/>
        <v>PC1</v>
      </c>
      <c r="J11" s="167">
        <v>6</v>
      </c>
      <c r="K11" s="168">
        <f t="shared" ca="1" si="1"/>
        <v>-7.5</v>
      </c>
      <c r="L11" s="206" t="s">
        <v>1823</v>
      </c>
      <c r="M11" s="67" t="s">
        <v>57</v>
      </c>
      <c r="N11" s="167">
        <v>9.6999999999999993</v>
      </c>
      <c r="O11" s="170">
        <v>0</v>
      </c>
      <c r="P11" s="170">
        <v>0</v>
      </c>
      <c r="Q11" s="167">
        <v>30</v>
      </c>
      <c r="R11" s="167">
        <v>25</v>
      </c>
      <c r="S11" s="167">
        <v>0.9</v>
      </c>
      <c r="T11" s="167">
        <v>0</v>
      </c>
      <c r="U11" s="171">
        <v>0</v>
      </c>
      <c r="V11" s="171">
        <v>0</v>
      </c>
      <c r="W11" s="167">
        <v>0.5</v>
      </c>
      <c r="X11" s="167">
        <v>28400</v>
      </c>
      <c r="Y11" s="167">
        <v>0</v>
      </c>
      <c r="Z11" s="167">
        <v>80.999999999999972</v>
      </c>
      <c r="AA11" s="167">
        <v>1</v>
      </c>
      <c r="AB11" s="167">
        <v>4800</v>
      </c>
      <c r="AC11" s="170">
        <v>162000</v>
      </c>
      <c r="AD11" s="172">
        <v>12400</v>
      </c>
      <c r="AE11" s="170">
        <v>0.3</v>
      </c>
      <c r="AF11" s="170">
        <v>0</v>
      </c>
      <c r="AG11" s="170">
        <v>0</v>
      </c>
      <c r="AH11" s="170">
        <v>0</v>
      </c>
      <c r="AI11" s="170">
        <v>0</v>
      </c>
      <c r="AJ11" s="167">
        <v>20.000000000000007</v>
      </c>
      <c r="AK11" s="167">
        <v>1</v>
      </c>
      <c r="AL11" s="167">
        <v>1</v>
      </c>
      <c r="AM11" s="167">
        <v>1</v>
      </c>
      <c r="AN11" s="167">
        <v>1</v>
      </c>
      <c r="AO11" s="167">
        <v>1</v>
      </c>
      <c r="AP11" s="167">
        <v>1</v>
      </c>
      <c r="AQ11" s="167">
        <v>0</v>
      </c>
      <c r="AR11" s="167">
        <v>66</v>
      </c>
      <c r="AS11" s="173">
        <v>1</v>
      </c>
      <c r="AT11" s="207" t="s">
        <v>1853</v>
      </c>
      <c r="AU11" s="66">
        <v>10</v>
      </c>
      <c r="AV11" s="207">
        <v>0.11</v>
      </c>
      <c r="AW11" s="66">
        <v>0.87</v>
      </c>
      <c r="AX11" s="66">
        <v>1</v>
      </c>
      <c r="AY11" s="173"/>
      <c r="AZ11" s="173"/>
      <c r="BA11" s="173"/>
      <c r="BB11" s="173"/>
      <c r="BC11" s="173"/>
      <c r="BD11" s="173"/>
      <c r="BE11" s="173"/>
      <c r="BF11" s="173"/>
      <c r="BG11" s="173"/>
      <c r="BH11" s="173"/>
      <c r="BI11" s="152">
        <v>1</v>
      </c>
      <c r="BJ11" s="152">
        <v>0.22</v>
      </c>
      <c r="BL11" s="174">
        <v>3.4</v>
      </c>
      <c r="BM11" s="174" t="s">
        <v>902</v>
      </c>
      <c r="BN11" s="174">
        <v>24</v>
      </c>
      <c r="BO11" s="174">
        <v>19.7</v>
      </c>
      <c r="BP11" s="174"/>
      <c r="BQ11" s="174">
        <v>21</v>
      </c>
      <c r="BR11" s="174"/>
      <c r="BS11" s="174"/>
      <c r="BT11" s="174">
        <v>4.7</v>
      </c>
      <c r="BU11" s="174">
        <v>5.0999999999999996</v>
      </c>
      <c r="BV11" s="174">
        <v>5.5</v>
      </c>
      <c r="BW11" s="174">
        <v>5.8</v>
      </c>
      <c r="BX11" s="174">
        <v>6.4</v>
      </c>
      <c r="BY11" s="174">
        <v>2.7900000000000001E-2</v>
      </c>
      <c r="BZ11" s="174">
        <v>3.0499999999999999E-2</v>
      </c>
      <c r="CA11" s="174">
        <v>3.2300000000000002E-2</v>
      </c>
      <c r="CB11" s="174">
        <v>3.4000000000000002E-2</v>
      </c>
      <c r="CC11" s="174">
        <v>3.9600000000000003E-2</v>
      </c>
      <c r="CD11" s="174"/>
      <c r="CE11" s="174"/>
      <c r="CF11" s="174"/>
      <c r="CG11" s="174"/>
      <c r="CH11" s="174"/>
      <c r="CI11" s="174">
        <v>46</v>
      </c>
      <c r="CJ11" s="174">
        <v>29</v>
      </c>
      <c r="CK11" s="174">
        <v>29</v>
      </c>
      <c r="CL11" s="174">
        <v>32</v>
      </c>
      <c r="CM11" s="174">
        <v>36</v>
      </c>
      <c r="CN11" s="174">
        <v>42</v>
      </c>
      <c r="CO11" s="174">
        <v>67</v>
      </c>
      <c r="CP11" s="174">
        <v>80</v>
      </c>
      <c r="CQ11" s="174">
        <v>92</v>
      </c>
      <c r="CR11" s="174">
        <v>103</v>
      </c>
      <c r="CS11" s="174">
        <v>127</v>
      </c>
      <c r="CT11" s="174">
        <v>8.6</v>
      </c>
      <c r="CU11" s="174">
        <v>6.2</v>
      </c>
      <c r="CV11" s="174">
        <v>1.2</v>
      </c>
      <c r="CW11" s="175">
        <v>6.7114957101676147E-5</v>
      </c>
    </row>
    <row r="12" spans="1:101" x14ac:dyDescent="0.3">
      <c r="A12" s="152" t="s">
        <v>66</v>
      </c>
      <c r="B12" s="166">
        <v>9.5</v>
      </c>
      <c r="C12" s="160" t="s">
        <v>28</v>
      </c>
      <c r="D12" s="152">
        <v>0</v>
      </c>
      <c r="E12" s="183"/>
      <c r="F12" s="178" t="s">
        <v>73</v>
      </c>
      <c r="G12" s="179">
        <v>2837.7196321115921</v>
      </c>
      <c r="H12" s="160" t="s">
        <v>48</v>
      </c>
      <c r="I12" s="152" t="str">
        <f t="shared" ca="1" si="0"/>
        <v>PC2</v>
      </c>
      <c r="J12" s="167">
        <v>7</v>
      </c>
      <c r="K12" s="168">
        <f t="shared" ca="1" si="1"/>
        <v>-10</v>
      </c>
      <c r="L12" s="206" t="s">
        <v>1824</v>
      </c>
      <c r="M12" s="67" t="s">
        <v>58</v>
      </c>
      <c r="N12" s="167">
        <v>10.3</v>
      </c>
      <c r="O12" s="170">
        <v>135</v>
      </c>
      <c r="P12" s="170">
        <v>3</v>
      </c>
      <c r="Q12" s="167">
        <v>0</v>
      </c>
      <c r="R12" s="167" t="e">
        <v>#N/A</v>
      </c>
      <c r="S12" s="167">
        <v>1.3</v>
      </c>
      <c r="T12" s="167">
        <v>0</v>
      </c>
      <c r="U12" s="171">
        <v>1.9E-2</v>
      </c>
      <c r="V12" s="171">
        <v>0</v>
      </c>
      <c r="W12" s="167">
        <v>0.5</v>
      </c>
      <c r="X12" s="167">
        <v>23300</v>
      </c>
      <c r="Y12" s="167">
        <v>0</v>
      </c>
      <c r="Z12" s="167" t="e">
        <v>#N/A</v>
      </c>
      <c r="AA12" s="167">
        <v>1</v>
      </c>
      <c r="AB12" s="167" t="e">
        <v>#N/A</v>
      </c>
      <c r="AC12" s="170">
        <v>58000</v>
      </c>
      <c r="AD12" s="172">
        <v>4000</v>
      </c>
      <c r="AE12" s="170">
        <v>0.3</v>
      </c>
      <c r="AF12" s="170">
        <v>0</v>
      </c>
      <c r="AG12" s="170">
        <v>0</v>
      </c>
      <c r="AH12" s="170">
        <v>0</v>
      </c>
      <c r="AI12" s="170">
        <v>0</v>
      </c>
      <c r="AJ12" s="167" t="e">
        <v>#N/A</v>
      </c>
      <c r="AK12" s="167">
        <v>1</v>
      </c>
      <c r="AL12" s="167">
        <v>1</v>
      </c>
      <c r="AM12" s="167">
        <v>1</v>
      </c>
      <c r="AN12" s="167">
        <v>1</v>
      </c>
      <c r="AO12" s="167">
        <v>1</v>
      </c>
      <c r="AP12" s="167">
        <v>1</v>
      </c>
      <c r="AQ12" s="167">
        <v>0</v>
      </c>
      <c r="AR12" s="167">
        <v>0</v>
      </c>
      <c r="AS12" s="173">
        <v>1</v>
      </c>
      <c r="AT12" s="207" t="s">
        <v>1854</v>
      </c>
      <c r="AU12" s="66">
        <v>10</v>
      </c>
      <c r="AV12" s="208">
        <v>0.2</v>
      </c>
      <c r="AW12" s="66">
        <v>1</v>
      </c>
      <c r="AX12" s="66">
        <v>1</v>
      </c>
      <c r="AY12" s="173"/>
      <c r="AZ12" s="173"/>
      <c r="BA12" s="173"/>
      <c r="BB12" s="173"/>
      <c r="BC12" s="173"/>
      <c r="BD12" s="173"/>
      <c r="BE12" s="173"/>
      <c r="BF12" s="173"/>
      <c r="BG12" s="173"/>
      <c r="BH12" s="173"/>
      <c r="BI12" s="152">
        <v>1</v>
      </c>
      <c r="BJ12" s="152">
        <v>0.4</v>
      </c>
      <c r="BL12" s="174">
        <v>3.4</v>
      </c>
      <c r="BM12" s="174" t="s">
        <v>902</v>
      </c>
      <c r="BN12" s="174">
        <v>24</v>
      </c>
      <c r="BO12" s="174">
        <v>19.7</v>
      </c>
      <c r="BP12" s="174"/>
      <c r="BQ12" s="174">
        <v>21</v>
      </c>
      <c r="BR12" s="174"/>
      <c r="BS12" s="174"/>
      <c r="BT12" s="174">
        <v>4.8</v>
      </c>
      <c r="BU12" s="174">
        <v>5.6</v>
      </c>
      <c r="BV12" s="174">
        <v>6.1</v>
      </c>
      <c r="BW12" s="174">
        <v>6.7</v>
      </c>
      <c r="BX12" s="174">
        <v>7.5</v>
      </c>
      <c r="BY12" s="174">
        <v>1.83E-2</v>
      </c>
      <c r="BZ12" s="174">
        <v>2.2100000000000002E-2</v>
      </c>
      <c r="CA12" s="174">
        <v>2.47E-2</v>
      </c>
      <c r="CB12" s="174">
        <v>2.7199999999999998E-2</v>
      </c>
      <c r="CC12" s="174">
        <v>3.1800000000000002E-2</v>
      </c>
      <c r="CD12" s="174"/>
      <c r="CE12" s="174"/>
      <c r="CF12" s="174"/>
      <c r="CG12" s="174"/>
      <c r="CH12" s="174"/>
      <c r="CI12" s="174">
        <v>56</v>
      </c>
      <c r="CJ12" s="174">
        <v>29</v>
      </c>
      <c r="CK12" s="174">
        <v>29</v>
      </c>
      <c r="CL12" s="174">
        <v>33</v>
      </c>
      <c r="CM12" s="174">
        <v>37</v>
      </c>
      <c r="CN12" s="174">
        <v>43</v>
      </c>
      <c r="CO12" s="174">
        <v>48</v>
      </c>
      <c r="CP12" s="174">
        <v>72</v>
      </c>
      <c r="CQ12" s="174">
        <v>93</v>
      </c>
      <c r="CR12" s="174">
        <v>113</v>
      </c>
      <c r="CS12" s="174">
        <v>158</v>
      </c>
      <c r="CT12" s="174">
        <v>16.3</v>
      </c>
      <c r="CU12" s="174">
        <v>4.0999999999999996</v>
      </c>
      <c r="CV12" s="174">
        <v>1</v>
      </c>
      <c r="CW12" s="175">
        <v>4.926821361096603E-5</v>
      </c>
    </row>
    <row r="13" spans="1:101" x14ac:dyDescent="0.3">
      <c r="A13" s="152" t="s">
        <v>40</v>
      </c>
      <c r="B13" s="162">
        <v>78</v>
      </c>
      <c r="C13" s="160" t="s">
        <v>397</v>
      </c>
      <c r="D13" s="152">
        <v>2823.4689999999991</v>
      </c>
      <c r="E13" s="183"/>
      <c r="F13" s="176" t="s">
        <v>50</v>
      </c>
      <c r="I13" s="152" t="str">
        <f t="shared" ca="1" si="0"/>
        <v>PM5</v>
      </c>
      <c r="J13" s="167">
        <v>8</v>
      </c>
      <c r="K13" s="168">
        <f t="shared" ca="1" si="1"/>
        <v>-14</v>
      </c>
      <c r="L13" s="206" t="s">
        <v>1825</v>
      </c>
      <c r="M13" s="67" t="s">
        <v>57</v>
      </c>
      <c r="N13" s="167">
        <v>10.100000000000001</v>
      </c>
      <c r="O13" s="170">
        <v>0</v>
      </c>
      <c r="P13" s="170">
        <v>0</v>
      </c>
      <c r="Q13" s="167">
        <v>30</v>
      </c>
      <c r="R13" s="167">
        <v>25</v>
      </c>
      <c r="S13" s="167">
        <v>1.1000000000000001</v>
      </c>
      <c r="T13" s="167">
        <v>0</v>
      </c>
      <c r="U13" s="171">
        <v>0</v>
      </c>
      <c r="V13" s="171">
        <v>0</v>
      </c>
      <c r="W13" s="167">
        <v>0.5</v>
      </c>
      <c r="X13" s="167">
        <v>21400</v>
      </c>
      <c r="Y13" s="167">
        <v>0</v>
      </c>
      <c r="Z13" s="167">
        <v>80.999999999999972</v>
      </c>
      <c r="AA13" s="167">
        <v>1</v>
      </c>
      <c r="AB13" s="167">
        <v>4800</v>
      </c>
      <c r="AC13" s="170">
        <v>211000</v>
      </c>
      <c r="AD13" s="172">
        <v>24999.999999999978</v>
      </c>
      <c r="AE13" s="170">
        <v>0.3</v>
      </c>
      <c r="AF13" s="170">
        <v>0</v>
      </c>
      <c r="AG13" s="170">
        <v>0</v>
      </c>
      <c r="AH13" s="170">
        <v>0</v>
      </c>
      <c r="AI13" s="170">
        <v>0</v>
      </c>
      <c r="AJ13" s="167">
        <v>20.000000000000007</v>
      </c>
      <c r="AK13" s="167">
        <v>1</v>
      </c>
      <c r="AL13" s="167">
        <v>1</v>
      </c>
      <c r="AM13" s="167">
        <v>1</v>
      </c>
      <c r="AN13" s="167">
        <v>1</v>
      </c>
      <c r="AO13" s="167">
        <v>1</v>
      </c>
      <c r="AP13" s="167">
        <v>1</v>
      </c>
      <c r="AQ13" s="167">
        <v>0</v>
      </c>
      <c r="AR13" s="167">
        <v>71</v>
      </c>
      <c r="AS13" s="173">
        <v>1</v>
      </c>
      <c r="AT13" s="207" t="s">
        <v>1855</v>
      </c>
      <c r="AU13" s="66">
        <v>10</v>
      </c>
      <c r="AV13" s="208">
        <v>0.11</v>
      </c>
      <c r="AW13" s="66">
        <v>1</v>
      </c>
      <c r="AX13" s="66">
        <v>1</v>
      </c>
      <c r="AY13" s="173"/>
      <c r="AZ13" s="173"/>
      <c r="BA13" s="173"/>
      <c r="BB13" s="173"/>
      <c r="BC13" s="173"/>
      <c r="BD13" s="173"/>
      <c r="BE13" s="173"/>
      <c r="BF13" s="173"/>
      <c r="BG13" s="173"/>
      <c r="BH13" s="173"/>
      <c r="BI13" s="152">
        <v>1.2459686143154216</v>
      </c>
      <c r="BJ13" s="152">
        <v>0.37</v>
      </c>
      <c r="BL13" s="174">
        <v>6</v>
      </c>
      <c r="BM13" s="174" t="s">
        <v>902</v>
      </c>
      <c r="BN13" s="174">
        <v>24</v>
      </c>
      <c r="BO13" s="174">
        <v>19.7</v>
      </c>
      <c r="BP13" s="174"/>
      <c r="BQ13" s="174">
        <v>21</v>
      </c>
      <c r="BR13" s="174"/>
      <c r="BS13" s="174"/>
      <c r="BT13" s="174">
        <v>5.5</v>
      </c>
      <c r="BU13" s="174">
        <v>6.2</v>
      </c>
      <c r="BV13" s="174">
        <v>6.8</v>
      </c>
      <c r="BW13" s="174">
        <v>7.4</v>
      </c>
      <c r="BX13" s="174">
        <v>8.1</v>
      </c>
      <c r="BY13" s="174">
        <v>3.2399999999999998E-2</v>
      </c>
      <c r="BZ13" s="174">
        <v>3.6200000000000003E-2</v>
      </c>
      <c r="CA13" s="174">
        <v>3.8800000000000001E-2</v>
      </c>
      <c r="CB13" s="174">
        <v>4.1399999999999999E-2</v>
      </c>
      <c r="CC13" s="174">
        <v>4.5900000000000003E-2</v>
      </c>
      <c r="CD13" s="174"/>
      <c r="CE13" s="174"/>
      <c r="CF13" s="174"/>
      <c r="CG13" s="174"/>
      <c r="CH13" s="174"/>
      <c r="CI13" s="174">
        <v>56</v>
      </c>
      <c r="CJ13" s="174">
        <v>29</v>
      </c>
      <c r="CK13" s="174">
        <v>29</v>
      </c>
      <c r="CL13" s="174">
        <v>33</v>
      </c>
      <c r="CM13" s="174">
        <v>37</v>
      </c>
      <c r="CN13" s="174">
        <v>43</v>
      </c>
      <c r="CO13" s="174">
        <v>84</v>
      </c>
      <c r="CP13" s="174">
        <v>108</v>
      </c>
      <c r="CQ13" s="174">
        <v>129</v>
      </c>
      <c r="CR13" s="174">
        <v>149</v>
      </c>
      <c r="CS13" s="174">
        <v>194</v>
      </c>
      <c r="CT13" s="174">
        <v>16.3</v>
      </c>
      <c r="CU13" s="174">
        <v>4.0999999999999996</v>
      </c>
      <c r="CV13" s="174">
        <v>1</v>
      </c>
      <c r="CW13" s="175">
        <v>4.926821361096603E-5</v>
      </c>
    </row>
    <row r="14" spans="1:101" x14ac:dyDescent="0.3">
      <c r="A14" s="152" t="s">
        <v>41</v>
      </c>
      <c r="B14" s="183">
        <v>355000</v>
      </c>
      <c r="C14" s="160" t="s">
        <v>396</v>
      </c>
      <c r="F14" s="152" t="s">
        <v>51</v>
      </c>
      <c r="G14" s="184" t="s">
        <v>52</v>
      </c>
      <c r="H14" s="160" t="s">
        <v>56</v>
      </c>
      <c r="I14" s="152" t="str">
        <f t="shared" ca="1" si="0"/>
        <v>PM5</v>
      </c>
      <c r="J14" s="167">
        <v>9</v>
      </c>
      <c r="K14" s="168">
        <f t="shared" ca="1" si="1"/>
        <v>-14.8</v>
      </c>
      <c r="L14" s="206" t="s">
        <v>1826</v>
      </c>
      <c r="M14" s="67" t="s">
        <v>57</v>
      </c>
      <c r="N14" s="167">
        <v>10.100000000000001</v>
      </c>
      <c r="O14" s="170">
        <v>0</v>
      </c>
      <c r="P14" s="170">
        <v>0</v>
      </c>
      <c r="Q14" s="167">
        <v>30</v>
      </c>
      <c r="R14" s="167">
        <v>25</v>
      </c>
      <c r="S14" s="167">
        <v>1</v>
      </c>
      <c r="T14" s="167">
        <v>0</v>
      </c>
      <c r="U14" s="171">
        <v>0</v>
      </c>
      <c r="V14" s="171">
        <v>0</v>
      </c>
      <c r="W14" s="167">
        <v>0.5</v>
      </c>
      <c r="X14" s="167">
        <v>19400</v>
      </c>
      <c r="Y14" s="167">
        <v>0</v>
      </c>
      <c r="Z14" s="167">
        <v>80.999999999999972</v>
      </c>
      <c r="AA14" s="167">
        <v>1</v>
      </c>
      <c r="AB14" s="167">
        <v>4800</v>
      </c>
      <c r="AC14" s="170">
        <v>235000</v>
      </c>
      <c r="AD14" s="172">
        <v>-2619.0476190476197</v>
      </c>
      <c r="AE14" s="170">
        <v>0.3</v>
      </c>
      <c r="AF14" s="170">
        <v>0</v>
      </c>
      <c r="AG14" s="170">
        <v>0</v>
      </c>
      <c r="AH14" s="170">
        <v>0</v>
      </c>
      <c r="AI14" s="170">
        <v>0</v>
      </c>
      <c r="AJ14" s="167">
        <v>20.000000000000007</v>
      </c>
      <c r="AK14" s="167">
        <v>1</v>
      </c>
      <c r="AL14" s="167">
        <v>1</v>
      </c>
      <c r="AM14" s="167">
        <v>1</v>
      </c>
      <c r="AN14" s="167">
        <v>1</v>
      </c>
      <c r="AO14" s="167">
        <v>1</v>
      </c>
      <c r="AP14" s="167">
        <v>1</v>
      </c>
      <c r="AQ14" s="167">
        <v>0</v>
      </c>
      <c r="AR14" s="167">
        <v>67</v>
      </c>
      <c r="AS14" s="173">
        <v>1</v>
      </c>
      <c r="AT14" s="207" t="s">
        <v>1855</v>
      </c>
      <c r="AU14" s="66">
        <v>10</v>
      </c>
      <c r="AV14" s="208">
        <v>0.11</v>
      </c>
      <c r="AW14" s="66">
        <v>1</v>
      </c>
      <c r="AX14" s="66">
        <v>1</v>
      </c>
      <c r="AY14" s="173"/>
      <c r="AZ14" s="173"/>
      <c r="BA14" s="173"/>
      <c r="BB14" s="173"/>
      <c r="BC14" s="173"/>
      <c r="BD14" s="173"/>
      <c r="BE14" s="173"/>
      <c r="BF14" s="173"/>
      <c r="BG14" s="173"/>
      <c r="BH14" s="173"/>
      <c r="BI14" s="152">
        <v>1.1966991910962579</v>
      </c>
      <c r="BJ14" s="152">
        <v>0.37</v>
      </c>
      <c r="BL14" s="174">
        <v>6</v>
      </c>
      <c r="BM14" s="174" t="s">
        <v>902</v>
      </c>
      <c r="BN14" s="174">
        <v>24</v>
      </c>
      <c r="BO14" s="174">
        <v>19.7</v>
      </c>
      <c r="BP14" s="174"/>
      <c r="BQ14" s="174">
        <v>21</v>
      </c>
      <c r="BR14" s="174"/>
      <c r="BS14" s="174"/>
      <c r="BT14" s="174">
        <v>4.5999999999999996</v>
      </c>
      <c r="BU14" s="174">
        <v>5.7</v>
      </c>
      <c r="BV14" s="174">
        <v>6.4</v>
      </c>
      <c r="BW14" s="174">
        <v>7.2</v>
      </c>
      <c r="BX14" s="174">
        <v>8.1999999999999993</v>
      </c>
      <c r="BY14" s="174">
        <v>2.9700000000000001E-2</v>
      </c>
      <c r="BZ14" s="174">
        <v>3.56E-2</v>
      </c>
      <c r="CA14" s="174">
        <v>3.9600000000000003E-2</v>
      </c>
      <c r="CB14" s="174">
        <v>4.36E-2</v>
      </c>
      <c r="CC14" s="174">
        <v>4.9500000000000002E-2</v>
      </c>
      <c r="CD14" s="174"/>
      <c r="CE14" s="174"/>
      <c r="CF14" s="174"/>
      <c r="CG14" s="174"/>
      <c r="CH14" s="174"/>
      <c r="CI14" s="174">
        <v>61</v>
      </c>
      <c r="CJ14" s="174">
        <v>29</v>
      </c>
      <c r="CK14" s="174">
        <v>29</v>
      </c>
      <c r="CL14" s="174">
        <v>33</v>
      </c>
      <c r="CM14" s="174">
        <v>37</v>
      </c>
      <c r="CN14" s="174">
        <v>44</v>
      </c>
      <c r="CO14" s="174">
        <v>68</v>
      </c>
      <c r="CP14" s="174">
        <v>100</v>
      </c>
      <c r="CQ14" s="174">
        <v>126</v>
      </c>
      <c r="CR14" s="174">
        <v>153</v>
      </c>
      <c r="CS14" s="174">
        <v>212</v>
      </c>
      <c r="CT14" s="174">
        <v>21.8</v>
      </c>
      <c r="CU14" s="174">
        <v>3.5</v>
      </c>
      <c r="CV14" s="174">
        <v>0.9</v>
      </c>
      <c r="CW14" s="175">
        <v>3.1415204597263783E-5</v>
      </c>
    </row>
    <row r="15" spans="1:101" x14ac:dyDescent="0.3">
      <c r="A15" s="152" t="s">
        <v>42</v>
      </c>
      <c r="B15" s="185">
        <v>207000000</v>
      </c>
      <c r="C15" s="160" t="s">
        <v>396</v>
      </c>
      <c r="I15" s="152" t="str">
        <f t="shared" ca="1" si="0"/>
        <v>PM5</v>
      </c>
      <c r="J15" s="167">
        <v>10</v>
      </c>
      <c r="K15" s="168">
        <f t="shared" ca="1" si="1"/>
        <v>-19</v>
      </c>
      <c r="L15" s="206" t="s">
        <v>1827</v>
      </c>
      <c r="M15" s="67" t="s">
        <v>57</v>
      </c>
      <c r="N15" s="167">
        <v>10.100000000000001</v>
      </c>
      <c r="O15" s="170">
        <v>0</v>
      </c>
      <c r="P15" s="170">
        <v>0</v>
      </c>
      <c r="Q15" s="167">
        <v>29</v>
      </c>
      <c r="R15" s="167">
        <v>24</v>
      </c>
      <c r="S15" s="167">
        <v>0.9</v>
      </c>
      <c r="T15" s="167">
        <v>0</v>
      </c>
      <c r="U15" s="171">
        <v>0</v>
      </c>
      <c r="V15" s="171">
        <v>0</v>
      </c>
      <c r="W15" s="167">
        <v>0.5</v>
      </c>
      <c r="X15" s="167">
        <v>18700</v>
      </c>
      <c r="Y15" s="167">
        <v>0</v>
      </c>
      <c r="Z15" s="167">
        <v>78.199999999999974</v>
      </c>
      <c r="AA15" s="167">
        <v>1</v>
      </c>
      <c r="AB15" s="167">
        <v>4420</v>
      </c>
      <c r="AC15" s="170">
        <v>205000</v>
      </c>
      <c r="AD15" s="172">
        <v>49999.999999999978</v>
      </c>
      <c r="AE15" s="170">
        <v>0.3</v>
      </c>
      <c r="AF15" s="170">
        <v>0</v>
      </c>
      <c r="AG15" s="170">
        <v>0</v>
      </c>
      <c r="AH15" s="170">
        <v>0</v>
      </c>
      <c r="AI15" s="170">
        <v>0</v>
      </c>
      <c r="AJ15" s="167">
        <v>18.400000000000006</v>
      </c>
      <c r="AK15" s="167">
        <v>1</v>
      </c>
      <c r="AL15" s="167">
        <v>1</v>
      </c>
      <c r="AM15" s="167">
        <v>1</v>
      </c>
      <c r="AN15" s="167">
        <v>1</v>
      </c>
      <c r="AO15" s="167">
        <v>1</v>
      </c>
      <c r="AP15" s="167">
        <v>1</v>
      </c>
      <c r="AQ15" s="167">
        <v>0</v>
      </c>
      <c r="AR15" s="167">
        <v>65</v>
      </c>
      <c r="AS15" s="173">
        <v>1</v>
      </c>
      <c r="AT15" s="207" t="s">
        <v>1855</v>
      </c>
      <c r="AU15" s="66">
        <v>10</v>
      </c>
      <c r="AV15" s="208">
        <v>0.11</v>
      </c>
      <c r="AW15" s="66">
        <v>1</v>
      </c>
      <c r="AX15" s="66">
        <v>1</v>
      </c>
      <c r="AY15" s="173"/>
      <c r="AZ15" s="173"/>
      <c r="BA15" s="173"/>
      <c r="BB15" s="173"/>
      <c r="BC15" s="173"/>
      <c r="BD15" s="173"/>
      <c r="BE15" s="173"/>
      <c r="BF15" s="173"/>
      <c r="BG15" s="173"/>
      <c r="BH15" s="173"/>
      <c r="BI15" s="152">
        <v>1.1758597332726926</v>
      </c>
      <c r="BJ15" s="152">
        <v>0.37</v>
      </c>
      <c r="BL15" s="174">
        <v>7.5</v>
      </c>
      <c r="BM15" s="174" t="s">
        <v>902</v>
      </c>
      <c r="BN15" s="174">
        <v>24</v>
      </c>
      <c r="BO15" s="174">
        <v>19.7</v>
      </c>
      <c r="BP15" s="174"/>
      <c r="BQ15" s="174">
        <v>21</v>
      </c>
      <c r="BR15" s="174"/>
      <c r="BS15" s="174"/>
      <c r="BT15" s="174">
        <v>9.1999999999999993</v>
      </c>
      <c r="BU15" s="174">
        <v>10.199999999999999</v>
      </c>
      <c r="BV15" s="174">
        <v>11</v>
      </c>
      <c r="BW15" s="174">
        <v>11.7</v>
      </c>
      <c r="BX15" s="174">
        <v>12.7</v>
      </c>
      <c r="BY15" s="174">
        <v>4.9099999999999998E-2</v>
      </c>
      <c r="BZ15" s="174">
        <v>5.5E-2</v>
      </c>
      <c r="CA15" s="174">
        <v>5.8999999999999997E-2</v>
      </c>
      <c r="CB15" s="174">
        <v>6.3E-2</v>
      </c>
      <c r="CC15" s="174">
        <v>6.8900000000000003E-2</v>
      </c>
      <c r="CD15" s="174"/>
      <c r="CE15" s="174"/>
      <c r="CF15" s="174"/>
      <c r="CG15" s="174"/>
      <c r="CH15" s="174"/>
      <c r="CI15" s="174">
        <v>61</v>
      </c>
      <c r="CJ15" s="174">
        <v>29</v>
      </c>
      <c r="CK15" s="174">
        <v>29</v>
      </c>
      <c r="CL15" s="174">
        <v>33</v>
      </c>
      <c r="CM15" s="174">
        <v>37</v>
      </c>
      <c r="CN15" s="174">
        <v>44</v>
      </c>
      <c r="CO15" s="174">
        <v>104</v>
      </c>
      <c r="CP15" s="174">
        <v>136</v>
      </c>
      <c r="CQ15" s="174">
        <v>162</v>
      </c>
      <c r="CR15" s="174">
        <v>189</v>
      </c>
      <c r="CS15" s="174">
        <v>248</v>
      </c>
      <c r="CT15" s="174">
        <v>21.8</v>
      </c>
      <c r="CU15" s="174">
        <v>3.5</v>
      </c>
      <c r="CV15" s="174">
        <v>0.9</v>
      </c>
      <c r="CW15" s="175">
        <v>3.1415204597263783E-5</v>
      </c>
    </row>
    <row r="16" spans="1:101" x14ac:dyDescent="0.3">
      <c r="A16" s="152" t="s">
        <v>43</v>
      </c>
      <c r="B16" s="185">
        <v>79000000</v>
      </c>
      <c r="C16" s="160" t="s">
        <v>396</v>
      </c>
      <c r="D16" s="187"/>
      <c r="E16" s="187"/>
      <c r="I16" s="152" t="str">
        <f t="shared" ca="1" si="0"/>
        <v>PM5</v>
      </c>
      <c r="J16" s="167">
        <v>11</v>
      </c>
      <c r="K16" s="168">
        <f t="shared" ca="1" si="1"/>
        <v>-20.8</v>
      </c>
      <c r="L16" s="206" t="s">
        <v>1828</v>
      </c>
      <c r="M16" s="67" t="s">
        <v>57</v>
      </c>
      <c r="N16" s="167">
        <v>10.100000000000001</v>
      </c>
      <c r="O16" s="170">
        <v>0</v>
      </c>
      <c r="P16" s="170">
        <v>0</v>
      </c>
      <c r="Q16" s="167">
        <v>29</v>
      </c>
      <c r="R16" s="167">
        <v>24</v>
      </c>
      <c r="S16" s="167">
        <v>0.9</v>
      </c>
      <c r="T16" s="167">
        <v>0</v>
      </c>
      <c r="U16" s="171">
        <v>0</v>
      </c>
      <c r="V16" s="171">
        <v>0</v>
      </c>
      <c r="W16" s="167">
        <v>0.5</v>
      </c>
      <c r="X16" s="167">
        <v>19200</v>
      </c>
      <c r="Y16" s="167">
        <v>0</v>
      </c>
      <c r="Z16" s="167">
        <v>78.199999999999974</v>
      </c>
      <c r="AA16" s="167">
        <v>1</v>
      </c>
      <c r="AB16" s="167">
        <v>4420</v>
      </c>
      <c r="AC16" s="170">
        <v>279000</v>
      </c>
      <c r="AD16" s="172">
        <v>-18333.333333333343</v>
      </c>
      <c r="AE16" s="170">
        <v>0.3</v>
      </c>
      <c r="AF16" s="170">
        <v>0</v>
      </c>
      <c r="AG16" s="170">
        <v>0</v>
      </c>
      <c r="AH16" s="170">
        <v>0</v>
      </c>
      <c r="AI16" s="170">
        <v>0</v>
      </c>
      <c r="AJ16" s="167">
        <v>18.400000000000006</v>
      </c>
      <c r="AK16" s="167">
        <v>1</v>
      </c>
      <c r="AL16" s="167">
        <v>1</v>
      </c>
      <c r="AM16" s="167">
        <v>1</v>
      </c>
      <c r="AN16" s="167">
        <v>1</v>
      </c>
      <c r="AO16" s="167">
        <v>1</v>
      </c>
      <c r="AP16" s="167">
        <v>1</v>
      </c>
      <c r="AQ16" s="167">
        <v>0</v>
      </c>
      <c r="AR16" s="167">
        <v>64</v>
      </c>
      <c r="AS16" s="173">
        <v>1</v>
      </c>
      <c r="AT16" s="207" t="s">
        <v>1855</v>
      </c>
      <c r="AU16" s="66">
        <v>10</v>
      </c>
      <c r="AV16" s="208">
        <v>0.11</v>
      </c>
      <c r="AW16" s="66">
        <v>1</v>
      </c>
      <c r="AX16" s="66">
        <v>1</v>
      </c>
      <c r="AY16" s="173"/>
      <c r="AZ16" s="173"/>
      <c r="BA16" s="173"/>
      <c r="BB16" s="173"/>
      <c r="BC16" s="173"/>
      <c r="BD16" s="173"/>
      <c r="BE16" s="173"/>
      <c r="BF16" s="173"/>
      <c r="BG16" s="173"/>
      <c r="BH16" s="173"/>
      <c r="BI16" s="152">
        <v>1.1656554468466633</v>
      </c>
      <c r="BJ16" s="152">
        <v>0.37</v>
      </c>
      <c r="BL16" s="174">
        <v>7.5</v>
      </c>
      <c r="BM16" s="174" t="s">
        <v>902</v>
      </c>
      <c r="BN16" s="174">
        <v>24</v>
      </c>
      <c r="BO16" s="174">
        <v>19.7</v>
      </c>
      <c r="BP16" s="174"/>
      <c r="BQ16" s="174">
        <v>21</v>
      </c>
      <c r="BR16" s="174"/>
      <c r="BS16" s="174"/>
      <c r="BT16" s="174">
        <v>8.5</v>
      </c>
      <c r="BU16" s="174">
        <v>9.9</v>
      </c>
      <c r="BV16" s="174">
        <v>10.9</v>
      </c>
      <c r="BW16" s="174">
        <v>11.8</v>
      </c>
      <c r="BX16" s="174">
        <v>19.3</v>
      </c>
      <c r="BY16" s="174">
        <v>4.48E-2</v>
      </c>
      <c r="BZ16" s="174">
        <v>5.2900000000000003E-2</v>
      </c>
      <c r="CA16" s="174">
        <v>5.8400000000000001E-2</v>
      </c>
      <c r="CB16" s="174">
        <v>6.3799999999999996E-2</v>
      </c>
      <c r="CC16" s="174">
        <v>8.1900000000000001E-2</v>
      </c>
      <c r="CD16" s="174"/>
      <c r="CE16" s="174"/>
      <c r="CF16" s="174"/>
      <c r="CG16" s="174"/>
      <c r="CH16" s="174"/>
      <c r="CI16" s="174">
        <v>66</v>
      </c>
      <c r="CJ16" s="174">
        <v>29</v>
      </c>
      <c r="CK16" s="174">
        <v>30</v>
      </c>
      <c r="CL16" s="174">
        <v>34</v>
      </c>
      <c r="CM16" s="174">
        <v>38</v>
      </c>
      <c r="CN16" s="174">
        <v>44</v>
      </c>
      <c r="CO16" s="174">
        <v>90</v>
      </c>
      <c r="CP16" s="174">
        <v>129</v>
      </c>
      <c r="CQ16" s="174">
        <v>162</v>
      </c>
      <c r="CR16" s="174">
        <v>195</v>
      </c>
      <c r="CS16" s="174">
        <v>271</v>
      </c>
      <c r="CT16" s="174">
        <v>28.4</v>
      </c>
      <c r="CU16" s="174">
        <v>3.4</v>
      </c>
      <c r="CV16" s="174">
        <v>0.9</v>
      </c>
      <c r="CW16" s="175">
        <v>5.2912397019298823E-5</v>
      </c>
    </row>
    <row r="17" spans="1:101" s="178" customFormat="1" x14ac:dyDescent="0.3">
      <c r="A17" s="152" t="s">
        <v>74</v>
      </c>
      <c r="B17" s="162">
        <v>0.53</v>
      </c>
      <c r="C17" s="160"/>
      <c r="D17" s="190">
        <v>14956.756746798887</v>
      </c>
      <c r="E17" s="164">
        <v>14936</v>
      </c>
      <c r="I17" s="152" t="str">
        <f t="shared" ca="1" si="0"/>
        <v>PM5</v>
      </c>
      <c r="J17" s="167">
        <v>12</v>
      </c>
      <c r="K17" s="168">
        <f t="shared" ca="1" si="1"/>
        <v>-22</v>
      </c>
      <c r="L17" s="206" t="s">
        <v>1829</v>
      </c>
      <c r="M17" s="67" t="s">
        <v>57</v>
      </c>
      <c r="N17" s="167">
        <v>10.100000000000001</v>
      </c>
      <c r="O17" s="170">
        <v>0</v>
      </c>
      <c r="P17" s="170">
        <v>0</v>
      </c>
      <c r="Q17" s="167">
        <v>29</v>
      </c>
      <c r="R17" s="167">
        <v>24</v>
      </c>
      <c r="S17" s="167">
        <v>0.7</v>
      </c>
      <c r="T17" s="167">
        <v>0</v>
      </c>
      <c r="U17" s="171">
        <v>0</v>
      </c>
      <c r="V17" s="171">
        <v>0</v>
      </c>
      <c r="W17" s="167">
        <v>0.5</v>
      </c>
      <c r="X17" s="167">
        <v>13800</v>
      </c>
      <c r="Y17" s="167">
        <v>0</v>
      </c>
      <c r="Z17" s="167">
        <v>78.199999999999974</v>
      </c>
      <c r="AA17" s="167">
        <v>1</v>
      </c>
      <c r="AB17" s="167">
        <v>4420</v>
      </c>
      <c r="AC17" s="170">
        <v>254000</v>
      </c>
      <c r="AD17" s="172">
        <v>1714.2857142857142</v>
      </c>
      <c r="AE17" s="170">
        <v>0.3</v>
      </c>
      <c r="AF17" s="170">
        <v>0</v>
      </c>
      <c r="AG17" s="170">
        <v>0</v>
      </c>
      <c r="AH17" s="170">
        <v>0</v>
      </c>
      <c r="AI17" s="170">
        <v>0</v>
      </c>
      <c r="AJ17" s="167">
        <v>18.400000000000006</v>
      </c>
      <c r="AK17" s="167">
        <v>1</v>
      </c>
      <c r="AL17" s="167">
        <v>1</v>
      </c>
      <c r="AM17" s="167">
        <v>1</v>
      </c>
      <c r="AN17" s="167">
        <v>1</v>
      </c>
      <c r="AO17" s="167">
        <v>1</v>
      </c>
      <c r="AP17" s="167">
        <v>1</v>
      </c>
      <c r="AQ17" s="167">
        <v>0</v>
      </c>
      <c r="AR17" s="167">
        <v>55</v>
      </c>
      <c r="AS17" s="173">
        <v>1</v>
      </c>
      <c r="AT17" s="207" t="s">
        <v>1855</v>
      </c>
      <c r="AU17" s="66">
        <v>10</v>
      </c>
      <c r="AV17" s="208">
        <v>0.11</v>
      </c>
      <c r="AW17" s="66">
        <v>1</v>
      </c>
      <c r="AX17" s="66">
        <v>1</v>
      </c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8">
        <v>1.0682084242817547</v>
      </c>
      <c r="BJ17" s="178">
        <v>0.37</v>
      </c>
      <c r="BL17" s="174">
        <v>10</v>
      </c>
      <c r="BM17" s="174" t="s">
        <v>902</v>
      </c>
      <c r="BN17" s="174">
        <v>24</v>
      </c>
      <c r="BO17" s="174">
        <v>19.7</v>
      </c>
      <c r="BP17" s="174"/>
      <c r="BQ17" s="174">
        <v>21</v>
      </c>
      <c r="BR17" s="174"/>
      <c r="BS17" s="174"/>
      <c r="BT17" s="174">
        <v>9.6</v>
      </c>
      <c r="BU17" s="174">
        <v>11</v>
      </c>
      <c r="BV17" s="174">
        <v>11.9</v>
      </c>
      <c r="BW17" s="174">
        <v>12.9</v>
      </c>
      <c r="BX17" s="174">
        <v>20.399999999999999</v>
      </c>
      <c r="BY17" s="174">
        <v>6.2899999999999998E-2</v>
      </c>
      <c r="BZ17" s="174">
        <v>7.0999999999999994E-2</v>
      </c>
      <c r="CA17" s="174">
        <v>7.6399999999999996E-2</v>
      </c>
      <c r="CB17" s="174">
        <v>8.1900000000000001E-2</v>
      </c>
      <c r="CC17" s="174">
        <v>0.1</v>
      </c>
      <c r="CD17" s="174"/>
      <c r="CE17" s="174"/>
      <c r="CF17" s="174"/>
      <c r="CG17" s="174"/>
      <c r="CH17" s="174"/>
      <c r="CI17" s="174">
        <v>66</v>
      </c>
      <c r="CJ17" s="174">
        <v>29</v>
      </c>
      <c r="CK17" s="174">
        <v>30</v>
      </c>
      <c r="CL17" s="174">
        <v>34</v>
      </c>
      <c r="CM17" s="174">
        <v>38</v>
      </c>
      <c r="CN17" s="174">
        <v>44</v>
      </c>
      <c r="CO17" s="174">
        <v>121</v>
      </c>
      <c r="CP17" s="174">
        <v>160</v>
      </c>
      <c r="CQ17" s="174">
        <v>193</v>
      </c>
      <c r="CR17" s="174">
        <v>226</v>
      </c>
      <c r="CS17" s="174">
        <v>302</v>
      </c>
      <c r="CT17" s="174">
        <v>28.4</v>
      </c>
      <c r="CU17" s="174">
        <v>3.4</v>
      </c>
      <c r="CV17" s="174">
        <v>0.9</v>
      </c>
      <c r="CW17" s="175">
        <v>5.2912397019298823E-5</v>
      </c>
    </row>
    <row r="18" spans="1:101" x14ac:dyDescent="0.3">
      <c r="A18" s="153" t="s">
        <v>25</v>
      </c>
      <c r="B18" s="153" t="s">
        <v>26</v>
      </c>
      <c r="C18" s="153" t="s">
        <v>27</v>
      </c>
      <c r="D18" s="191">
        <v>-635805.97239886073</v>
      </c>
      <c r="E18" s="192">
        <v>-635801</v>
      </c>
      <c r="I18" s="152" t="str">
        <f t="shared" ca="1" si="0"/>
        <v>PM5</v>
      </c>
      <c r="J18" s="167">
        <v>13</v>
      </c>
      <c r="K18" s="168">
        <f t="shared" ca="1" si="1"/>
        <v>-25.5</v>
      </c>
      <c r="L18" s="206" t="s">
        <v>1830</v>
      </c>
      <c r="M18" s="67" t="s">
        <v>57</v>
      </c>
      <c r="N18" s="167">
        <v>10.100000000000001</v>
      </c>
      <c r="O18" s="170">
        <v>0</v>
      </c>
      <c r="P18" s="170">
        <v>0</v>
      </c>
      <c r="Q18" s="167">
        <v>29</v>
      </c>
      <c r="R18" s="167">
        <v>24</v>
      </c>
      <c r="S18" s="167">
        <v>0.7</v>
      </c>
      <c r="T18" s="167">
        <v>0</v>
      </c>
      <c r="U18" s="171">
        <v>0</v>
      </c>
      <c r="V18" s="171">
        <v>0</v>
      </c>
      <c r="W18" s="167">
        <v>0.5</v>
      </c>
      <c r="X18" s="167">
        <v>14300</v>
      </c>
      <c r="Y18" s="167">
        <v>0</v>
      </c>
      <c r="Z18" s="167">
        <v>78.199999999999974</v>
      </c>
      <c r="AA18" s="167">
        <v>1</v>
      </c>
      <c r="AB18" s="167">
        <v>4420</v>
      </c>
      <c r="AC18" s="170">
        <v>280000</v>
      </c>
      <c r="AD18" s="172">
        <v>0</v>
      </c>
      <c r="AE18" s="170">
        <v>0.3</v>
      </c>
      <c r="AF18" s="170">
        <v>0</v>
      </c>
      <c r="AG18" s="170">
        <v>0</v>
      </c>
      <c r="AH18" s="170">
        <v>0</v>
      </c>
      <c r="AI18" s="170">
        <v>0</v>
      </c>
      <c r="AJ18" s="167">
        <v>18.400000000000006</v>
      </c>
      <c r="AK18" s="167">
        <v>1</v>
      </c>
      <c r="AL18" s="167">
        <v>1</v>
      </c>
      <c r="AM18" s="167">
        <v>1</v>
      </c>
      <c r="AN18" s="167">
        <v>1</v>
      </c>
      <c r="AO18" s="167">
        <v>1</v>
      </c>
      <c r="AP18" s="167">
        <v>1</v>
      </c>
      <c r="AQ18" s="167">
        <v>0</v>
      </c>
      <c r="AR18" s="167">
        <v>54</v>
      </c>
      <c r="AS18" s="173">
        <v>1</v>
      </c>
      <c r="AT18" s="207" t="s">
        <v>1855</v>
      </c>
      <c r="AU18" s="66">
        <v>10</v>
      </c>
      <c r="AV18" s="208">
        <v>0.11</v>
      </c>
      <c r="AW18" s="66">
        <v>1</v>
      </c>
      <c r="AX18" s="66">
        <v>1</v>
      </c>
      <c r="AY18" s="173"/>
      <c r="AZ18" s="173"/>
      <c r="BA18" s="173"/>
      <c r="BB18" s="173"/>
      <c r="BC18" s="173"/>
      <c r="BD18" s="173"/>
      <c r="BE18" s="173"/>
      <c r="BF18" s="173"/>
      <c r="BG18" s="173"/>
      <c r="BH18" s="173"/>
      <c r="BI18" s="152">
        <v>1.0571079521949756</v>
      </c>
      <c r="BJ18" s="152">
        <v>0.6</v>
      </c>
      <c r="BL18" s="174">
        <v>10</v>
      </c>
      <c r="BM18" s="174" t="s">
        <v>1831</v>
      </c>
      <c r="BN18" s="174">
        <v>21</v>
      </c>
      <c r="BO18" s="174">
        <v>20.3</v>
      </c>
      <c r="BP18" s="174">
        <v>14</v>
      </c>
      <c r="BQ18" s="174">
        <v>32</v>
      </c>
      <c r="BR18" s="174">
        <v>4</v>
      </c>
      <c r="BS18" s="174">
        <v>1.9</v>
      </c>
      <c r="BT18" s="174">
        <v>1.5</v>
      </c>
      <c r="BU18" s="174">
        <v>2.2999999999999998</v>
      </c>
      <c r="BV18" s="174">
        <v>2.8</v>
      </c>
      <c r="BW18" s="174">
        <v>3.4</v>
      </c>
      <c r="BX18" s="174">
        <v>7.7</v>
      </c>
      <c r="BY18" s="174">
        <v>3.78E-2</v>
      </c>
      <c r="BZ18" s="174">
        <v>5.0700000000000002E-2</v>
      </c>
      <c r="CA18" s="174">
        <v>5.9299999999999999E-2</v>
      </c>
      <c r="CB18" s="174">
        <v>6.8000000000000005E-2</v>
      </c>
      <c r="CC18" s="174">
        <v>8.3799999999999999E-2</v>
      </c>
      <c r="CD18" s="174">
        <v>93</v>
      </c>
      <c r="CE18" s="174">
        <v>135</v>
      </c>
      <c r="CF18" s="174">
        <v>159</v>
      </c>
      <c r="CG18" s="174">
        <v>192</v>
      </c>
      <c r="CH18" s="174">
        <v>439</v>
      </c>
      <c r="CI18" s="174"/>
      <c r="CJ18" s="174"/>
      <c r="CK18" s="174"/>
      <c r="CL18" s="174"/>
      <c r="CM18" s="174"/>
      <c r="CN18" s="174"/>
      <c r="CO18" s="174">
        <v>53</v>
      </c>
      <c r="CP18" s="174">
        <v>53</v>
      </c>
      <c r="CQ18" s="174">
        <v>58</v>
      </c>
      <c r="CR18" s="174">
        <v>78</v>
      </c>
      <c r="CS18" s="174">
        <v>198</v>
      </c>
      <c r="CT18" s="174">
        <v>23.3</v>
      </c>
      <c r="CU18" s="174">
        <v>3.8</v>
      </c>
      <c r="CV18" s="174">
        <v>1.3</v>
      </c>
      <c r="CW18" s="175">
        <v>4.9022902713215064E-10</v>
      </c>
    </row>
    <row r="19" spans="1:101" x14ac:dyDescent="0.3">
      <c r="A19" s="164" t="s">
        <v>36</v>
      </c>
      <c r="B19" s="164" t="s">
        <v>29</v>
      </c>
      <c r="C19" s="164" t="s">
        <v>53</v>
      </c>
      <c r="D19" s="194">
        <v>30094.302468293183</v>
      </c>
      <c r="E19" s="153">
        <v>30030</v>
      </c>
      <c r="I19" s="152" t="str">
        <f t="shared" ca="1" si="0"/>
        <v>CC2</v>
      </c>
      <c r="J19" s="167">
        <v>14</v>
      </c>
      <c r="K19" s="168">
        <f t="shared" ca="1" si="1"/>
        <v>-31.5</v>
      </c>
      <c r="L19" s="206" t="s">
        <v>1832</v>
      </c>
      <c r="M19" s="67" t="s">
        <v>58</v>
      </c>
      <c r="N19" s="167">
        <v>8.8000000000000007</v>
      </c>
      <c r="O19" s="170">
        <v>304</v>
      </c>
      <c r="P19" s="170">
        <v>0</v>
      </c>
      <c r="Q19" s="167">
        <v>0</v>
      </c>
      <c r="R19" s="167" t="e">
        <v>#N/A</v>
      </c>
      <c r="S19" s="167">
        <v>1.1000000000000001</v>
      </c>
      <c r="T19" s="167">
        <v>0</v>
      </c>
      <c r="U19" s="171">
        <v>1.9E-2</v>
      </c>
      <c r="V19" s="171">
        <v>0</v>
      </c>
      <c r="W19" s="167">
        <v>0.25</v>
      </c>
      <c r="X19" s="167">
        <v>24900</v>
      </c>
      <c r="Y19" s="167">
        <v>0</v>
      </c>
      <c r="Z19" s="167" t="e">
        <v>#N/A</v>
      </c>
      <c r="AA19" s="167">
        <v>1</v>
      </c>
      <c r="AB19" s="167" t="e">
        <v>#N/A</v>
      </c>
      <c r="AC19" s="170">
        <v>157000</v>
      </c>
      <c r="AD19" s="172">
        <v>0</v>
      </c>
      <c r="AE19" s="170">
        <v>0.3</v>
      </c>
      <c r="AF19" s="170">
        <v>0</v>
      </c>
      <c r="AG19" s="170">
        <v>0</v>
      </c>
      <c r="AH19" s="170">
        <v>0</v>
      </c>
      <c r="AI19" s="170">
        <v>0</v>
      </c>
      <c r="AJ19" s="167" t="e">
        <v>#N/A</v>
      </c>
      <c r="AK19" s="167">
        <v>1</v>
      </c>
      <c r="AL19" s="167">
        <v>1</v>
      </c>
      <c r="AM19" s="167">
        <v>1</v>
      </c>
      <c r="AN19" s="167">
        <v>1</v>
      </c>
      <c r="AO19" s="167">
        <v>1</v>
      </c>
      <c r="AP19" s="167">
        <v>1</v>
      </c>
      <c r="AQ19" s="167">
        <v>0</v>
      </c>
      <c r="AR19" s="167">
        <v>0</v>
      </c>
      <c r="AS19" s="173">
        <v>1</v>
      </c>
      <c r="AT19" s="207" t="s">
        <v>1856</v>
      </c>
      <c r="AU19" s="66">
        <v>10</v>
      </c>
      <c r="AV19" s="209">
        <v>0.41</v>
      </c>
      <c r="AW19" s="66">
        <v>1</v>
      </c>
      <c r="AX19" s="66">
        <v>1</v>
      </c>
      <c r="AY19" s="173"/>
      <c r="AZ19" s="173"/>
      <c r="BA19" s="173"/>
      <c r="BB19" s="173"/>
      <c r="BC19" s="173"/>
      <c r="BD19" s="173"/>
      <c r="BE19" s="173"/>
      <c r="BF19" s="173"/>
      <c r="BG19" s="173"/>
      <c r="BH19" s="173"/>
      <c r="BI19" s="152">
        <v>1</v>
      </c>
      <c r="BJ19" s="152">
        <v>0.85</v>
      </c>
      <c r="BL19" s="174">
        <v>14</v>
      </c>
      <c r="BM19" s="174" t="s">
        <v>1831</v>
      </c>
      <c r="BN19" s="174">
        <v>21</v>
      </c>
      <c r="BO19" s="174">
        <v>20.3</v>
      </c>
      <c r="BP19" s="174">
        <v>14</v>
      </c>
      <c r="BQ19" s="174">
        <v>32</v>
      </c>
      <c r="BR19" s="174">
        <v>4</v>
      </c>
      <c r="BS19" s="174">
        <v>1.9</v>
      </c>
      <c r="BT19" s="174">
        <v>2.2000000000000002</v>
      </c>
      <c r="BU19" s="174">
        <v>3</v>
      </c>
      <c r="BV19" s="174">
        <v>3.5</v>
      </c>
      <c r="BW19" s="174">
        <v>4.0999999999999996</v>
      </c>
      <c r="BX19" s="174">
        <v>8.4</v>
      </c>
      <c r="BY19" s="174">
        <v>8.0600000000000005E-2</v>
      </c>
      <c r="BZ19" s="174">
        <v>9.35E-2</v>
      </c>
      <c r="CA19" s="174">
        <v>0.1021</v>
      </c>
      <c r="CB19" s="174">
        <v>0.1108</v>
      </c>
      <c r="CC19" s="174">
        <v>0.12659999999999999</v>
      </c>
      <c r="CD19" s="174">
        <v>106</v>
      </c>
      <c r="CE19" s="174">
        <v>147</v>
      </c>
      <c r="CF19" s="174">
        <v>172</v>
      </c>
      <c r="CG19" s="174">
        <v>205</v>
      </c>
      <c r="CH19" s="174">
        <v>452</v>
      </c>
      <c r="CI19" s="174"/>
      <c r="CJ19" s="174"/>
      <c r="CK19" s="174"/>
      <c r="CL19" s="174"/>
      <c r="CM19" s="174"/>
      <c r="CN19" s="174"/>
      <c r="CO19" s="174">
        <v>63</v>
      </c>
      <c r="CP19" s="174">
        <v>63</v>
      </c>
      <c r="CQ19" s="174">
        <v>74</v>
      </c>
      <c r="CR19" s="174">
        <v>93</v>
      </c>
      <c r="CS19" s="174">
        <v>213</v>
      </c>
      <c r="CT19" s="174">
        <v>23.3</v>
      </c>
      <c r="CU19" s="174">
        <v>3.8</v>
      </c>
      <c r="CV19" s="174">
        <v>1.3</v>
      </c>
      <c r="CW19" s="175">
        <v>4.9022902713215064E-10</v>
      </c>
    </row>
    <row r="20" spans="1:101" x14ac:dyDescent="0.3">
      <c r="A20" s="192">
        <v>1</v>
      </c>
      <c r="B20" s="192">
        <v>0</v>
      </c>
      <c r="C20" s="193">
        <v>0.09</v>
      </c>
      <c r="D20" s="161">
        <v>0</v>
      </c>
      <c r="I20" s="152" t="str">
        <f t="shared" ca="1" si="0"/>
        <v>CC2</v>
      </c>
      <c r="J20" s="167">
        <v>15</v>
      </c>
      <c r="K20" s="168">
        <f t="shared" ca="1" si="1"/>
        <v>-37</v>
      </c>
      <c r="L20" s="206" t="s">
        <v>1833</v>
      </c>
      <c r="M20" s="67" t="s">
        <v>58</v>
      </c>
      <c r="N20" s="167">
        <v>8.8000000000000007</v>
      </c>
      <c r="O20" s="170">
        <v>353</v>
      </c>
      <c r="P20" s="170">
        <v>16.333333333333332</v>
      </c>
      <c r="Q20" s="167">
        <v>0</v>
      </c>
      <c r="R20" s="167" t="e">
        <v>#N/A</v>
      </c>
      <c r="S20" s="167">
        <v>1.2</v>
      </c>
      <c r="T20" s="167">
        <v>0</v>
      </c>
      <c r="U20" s="171">
        <v>1.9E-2</v>
      </c>
      <c r="V20" s="171">
        <v>0</v>
      </c>
      <c r="W20" s="167">
        <v>0.25</v>
      </c>
      <c r="X20" s="167">
        <v>35100</v>
      </c>
      <c r="Y20" s="167">
        <v>0</v>
      </c>
      <c r="Z20" s="167" t="e">
        <v>#N/A</v>
      </c>
      <c r="AA20" s="167">
        <v>1</v>
      </c>
      <c r="AB20" s="167" t="e">
        <v>#N/A</v>
      </c>
      <c r="AC20" s="170">
        <v>181000</v>
      </c>
      <c r="AD20" s="172">
        <v>8555.5555555555547</v>
      </c>
      <c r="AE20" s="170">
        <v>0.3</v>
      </c>
      <c r="AF20" s="170">
        <v>0</v>
      </c>
      <c r="AG20" s="170">
        <v>0</v>
      </c>
      <c r="AH20" s="170">
        <v>0</v>
      </c>
      <c r="AI20" s="170">
        <v>0</v>
      </c>
      <c r="AJ20" s="167" t="e">
        <v>#N/A</v>
      </c>
      <c r="AK20" s="167">
        <v>1</v>
      </c>
      <c r="AL20" s="167">
        <v>1</v>
      </c>
      <c r="AM20" s="167">
        <v>1</v>
      </c>
      <c r="AN20" s="167">
        <v>1</v>
      </c>
      <c r="AO20" s="167">
        <v>1</v>
      </c>
      <c r="AP20" s="167">
        <v>1</v>
      </c>
      <c r="AQ20" s="167">
        <v>0</v>
      </c>
      <c r="AR20" s="167">
        <v>0</v>
      </c>
      <c r="AS20" s="173">
        <v>1</v>
      </c>
      <c r="AT20" s="207" t="s">
        <v>1856</v>
      </c>
      <c r="AU20" s="66">
        <v>10</v>
      </c>
      <c r="AV20" s="209">
        <v>0.41</v>
      </c>
      <c r="AW20" s="66">
        <v>1</v>
      </c>
      <c r="AX20" s="66">
        <v>1</v>
      </c>
      <c r="AY20" s="173"/>
      <c r="AZ20" s="173"/>
      <c r="BA20" s="173"/>
      <c r="BB20" s="173"/>
      <c r="BC20" s="173"/>
      <c r="BD20" s="173"/>
      <c r="BE20" s="173"/>
      <c r="BF20" s="173"/>
      <c r="BG20" s="173"/>
      <c r="BH20" s="173"/>
      <c r="BI20" s="152">
        <v>1</v>
      </c>
      <c r="BJ20" s="152">
        <v>0.85</v>
      </c>
      <c r="BL20" s="174">
        <v>14</v>
      </c>
      <c r="BM20" s="174" t="s">
        <v>540</v>
      </c>
      <c r="BN20" s="174">
        <v>24</v>
      </c>
      <c r="BO20" s="174">
        <v>20.100000000000001</v>
      </c>
      <c r="BP20" s="174"/>
      <c r="BQ20" s="174">
        <v>17</v>
      </c>
      <c r="BR20" s="174"/>
      <c r="BS20" s="174"/>
      <c r="BT20" s="174">
        <v>11.1</v>
      </c>
      <c r="BU20" s="174">
        <v>13.1</v>
      </c>
      <c r="BV20" s="174">
        <v>14.5</v>
      </c>
      <c r="BW20" s="174">
        <v>15.9</v>
      </c>
      <c r="BX20" s="174">
        <v>17.8</v>
      </c>
      <c r="BY20" s="174">
        <v>0.10349999999999999</v>
      </c>
      <c r="BZ20" s="174">
        <v>0.11840000000000001</v>
      </c>
      <c r="CA20" s="174">
        <v>0.1285</v>
      </c>
      <c r="CB20" s="174">
        <v>0.13850000000000001</v>
      </c>
      <c r="CC20" s="174">
        <v>0.16470000000000001</v>
      </c>
      <c r="CD20" s="174"/>
      <c r="CE20" s="174"/>
      <c r="CF20" s="174"/>
      <c r="CG20" s="174"/>
      <c r="CH20" s="174"/>
      <c r="CI20" s="174">
        <v>71</v>
      </c>
      <c r="CJ20" s="174">
        <v>29</v>
      </c>
      <c r="CK20" s="174">
        <v>30</v>
      </c>
      <c r="CL20" s="174">
        <v>34</v>
      </c>
      <c r="CM20" s="174">
        <v>38</v>
      </c>
      <c r="CN20" s="174">
        <v>45</v>
      </c>
      <c r="CO20" s="174">
        <v>122</v>
      </c>
      <c r="CP20" s="174">
        <v>130</v>
      </c>
      <c r="CQ20" s="174">
        <v>211</v>
      </c>
      <c r="CR20" s="174">
        <v>292</v>
      </c>
      <c r="CS20" s="174">
        <v>473</v>
      </c>
      <c r="CT20" s="174">
        <v>21.4</v>
      </c>
      <c r="CU20" s="174">
        <v>5.3</v>
      </c>
      <c r="CV20" s="174">
        <v>1.1000000000000001</v>
      </c>
      <c r="CW20" s="175">
        <v>9.8417519098481928E-6</v>
      </c>
    </row>
    <row r="21" spans="1:101" x14ac:dyDescent="0.3">
      <c r="A21" s="192"/>
      <c r="B21" s="192"/>
      <c r="D21" s="194">
        <v>2837.7196321115921</v>
      </c>
      <c r="E21" s="152">
        <v>2838</v>
      </c>
      <c r="I21" s="152" t="str">
        <f t="shared" ca="1" si="0"/>
        <v>CC2</v>
      </c>
      <c r="J21" s="167">
        <v>16</v>
      </c>
      <c r="K21" s="168">
        <f t="shared" ca="1" si="1"/>
        <v>-46</v>
      </c>
      <c r="L21" s="206" t="s">
        <v>780</v>
      </c>
      <c r="M21" s="67" t="s">
        <v>58</v>
      </c>
      <c r="N21" s="167">
        <v>8.8000000000000007</v>
      </c>
      <c r="O21" s="170">
        <v>277</v>
      </c>
      <c r="P21" s="170">
        <v>5.75</v>
      </c>
      <c r="Q21" s="167">
        <v>0</v>
      </c>
      <c r="R21" s="167" t="e">
        <v>#N/A</v>
      </c>
      <c r="S21" s="167">
        <v>1</v>
      </c>
      <c r="T21" s="167">
        <v>0</v>
      </c>
      <c r="U21" s="171">
        <v>1.9E-2</v>
      </c>
      <c r="V21" s="171">
        <v>0</v>
      </c>
      <c r="W21" s="167">
        <v>0.25</v>
      </c>
      <c r="X21" s="167">
        <v>28800</v>
      </c>
      <c r="Y21" s="167">
        <v>0</v>
      </c>
      <c r="Z21" s="167" t="e">
        <v>#N/A</v>
      </c>
      <c r="AA21" s="167">
        <v>1</v>
      </c>
      <c r="AB21" s="167" t="e">
        <v>#N/A</v>
      </c>
      <c r="AC21" s="170">
        <v>180000</v>
      </c>
      <c r="AD21" s="172">
        <v>3250</v>
      </c>
      <c r="AE21" s="170">
        <v>0.3</v>
      </c>
      <c r="AF21" s="170">
        <v>0</v>
      </c>
      <c r="AG21" s="170">
        <v>0</v>
      </c>
      <c r="AH21" s="170">
        <v>0</v>
      </c>
      <c r="AI21" s="170">
        <v>0</v>
      </c>
      <c r="AJ21" s="167" t="e">
        <v>#N/A</v>
      </c>
      <c r="AK21" s="167">
        <v>1</v>
      </c>
      <c r="AL21" s="167">
        <v>1</v>
      </c>
      <c r="AM21" s="167">
        <v>1</v>
      </c>
      <c r="AN21" s="167">
        <v>1</v>
      </c>
      <c r="AO21" s="167">
        <v>1</v>
      </c>
      <c r="AP21" s="167">
        <v>1</v>
      </c>
      <c r="AQ21" s="167">
        <v>0</v>
      </c>
      <c r="AR21" s="167">
        <v>0</v>
      </c>
      <c r="AS21" s="173">
        <v>1</v>
      </c>
      <c r="AT21" s="207" t="s">
        <v>1856</v>
      </c>
      <c r="AU21" s="66">
        <v>10</v>
      </c>
      <c r="AV21" s="209">
        <v>0.41</v>
      </c>
      <c r="AW21" s="66">
        <v>1</v>
      </c>
      <c r="AX21" s="66">
        <v>1</v>
      </c>
      <c r="AY21" s="173"/>
      <c r="AZ21" s="173"/>
      <c r="BA21" s="173"/>
      <c r="BB21" s="173"/>
      <c r="BC21" s="173"/>
      <c r="BD21" s="173"/>
      <c r="BE21" s="173"/>
      <c r="BF21" s="173"/>
      <c r="BG21" s="173"/>
      <c r="BH21" s="173"/>
      <c r="BI21" s="152">
        <v>1</v>
      </c>
      <c r="BJ21" s="152">
        <v>0.85</v>
      </c>
      <c r="BL21" s="174">
        <v>14.8</v>
      </c>
      <c r="BM21" s="174" t="s">
        <v>540</v>
      </c>
      <c r="BN21" s="174">
        <v>24</v>
      </c>
      <c r="BO21" s="174">
        <v>20.100000000000001</v>
      </c>
      <c r="BP21" s="174"/>
      <c r="BQ21" s="174">
        <v>17</v>
      </c>
      <c r="BR21" s="174"/>
      <c r="BS21" s="174"/>
      <c r="BT21" s="174">
        <v>15.3</v>
      </c>
      <c r="BU21" s="174">
        <v>17.3</v>
      </c>
      <c r="BV21" s="174">
        <v>18.600000000000001</v>
      </c>
      <c r="BW21" s="174">
        <v>20</v>
      </c>
      <c r="BX21" s="174">
        <v>22</v>
      </c>
      <c r="BY21" s="174">
        <v>9.64E-2</v>
      </c>
      <c r="BZ21" s="174">
        <v>0.1113</v>
      </c>
      <c r="CA21" s="174">
        <v>0.12139999999999999</v>
      </c>
      <c r="CB21" s="174">
        <v>0.13139999999999999</v>
      </c>
      <c r="CC21" s="174">
        <v>0.15759999999999999</v>
      </c>
      <c r="CD21" s="174"/>
      <c r="CE21" s="174"/>
      <c r="CF21" s="174"/>
      <c r="CG21" s="174"/>
      <c r="CH21" s="174"/>
      <c r="CI21" s="174">
        <v>71</v>
      </c>
      <c r="CJ21" s="174">
        <v>29</v>
      </c>
      <c r="CK21" s="174">
        <v>30</v>
      </c>
      <c r="CL21" s="174">
        <v>34</v>
      </c>
      <c r="CM21" s="174">
        <v>38</v>
      </c>
      <c r="CN21" s="174">
        <v>45</v>
      </c>
      <c r="CO21" s="174">
        <v>142</v>
      </c>
      <c r="CP21" s="174">
        <v>151</v>
      </c>
      <c r="CQ21" s="174">
        <v>231</v>
      </c>
      <c r="CR21" s="174">
        <v>312</v>
      </c>
      <c r="CS21" s="174">
        <v>493</v>
      </c>
      <c r="CT21" s="174">
        <v>21.4</v>
      </c>
      <c r="CU21" s="174">
        <v>5.3</v>
      </c>
      <c r="CV21" s="174">
        <v>1.1000000000000001</v>
      </c>
      <c r="CW21" s="175">
        <v>9.8417519098481928E-6</v>
      </c>
    </row>
    <row r="22" spans="1:101" x14ac:dyDescent="0.3">
      <c r="A22" s="192"/>
      <c r="B22" s="192"/>
      <c r="D22" s="153"/>
      <c r="J22" s="167"/>
      <c r="K22" s="168"/>
      <c r="L22" s="169"/>
      <c r="M22" s="67"/>
      <c r="N22" s="167"/>
      <c r="O22" s="170"/>
      <c r="P22" s="170"/>
      <c r="Q22" s="167"/>
      <c r="R22" s="167"/>
      <c r="S22" s="167"/>
      <c r="T22" s="167"/>
      <c r="U22" s="171"/>
      <c r="V22" s="171"/>
      <c r="W22" s="167"/>
      <c r="X22" s="167"/>
      <c r="Y22" s="167"/>
      <c r="Z22" s="167"/>
      <c r="AA22" s="167"/>
      <c r="AB22" s="167"/>
      <c r="AC22" s="170"/>
      <c r="AD22" s="170"/>
      <c r="AE22" s="170"/>
      <c r="AF22" s="170"/>
      <c r="AG22" s="170"/>
      <c r="AH22" s="170"/>
      <c r="AI22" s="170"/>
      <c r="AJ22" s="167"/>
      <c r="AK22" s="167"/>
      <c r="AL22" s="167"/>
      <c r="AM22" s="167"/>
      <c r="AN22" s="167"/>
      <c r="AO22" s="167"/>
      <c r="AP22" s="167"/>
      <c r="AQ22" s="167"/>
      <c r="AR22" s="167"/>
      <c r="BL22" s="174">
        <v>14.8</v>
      </c>
      <c r="BM22" s="174" t="s">
        <v>540</v>
      </c>
      <c r="BN22" s="174">
        <v>24</v>
      </c>
      <c r="BO22" s="174">
        <v>20.100000000000001</v>
      </c>
      <c r="BP22" s="174"/>
      <c r="BQ22" s="174">
        <v>17</v>
      </c>
      <c r="BR22" s="174"/>
      <c r="BS22" s="174"/>
      <c r="BT22" s="174">
        <v>16.600000000000001</v>
      </c>
      <c r="BU22" s="174">
        <v>18.3</v>
      </c>
      <c r="BV22" s="174">
        <v>19.5</v>
      </c>
      <c r="BW22" s="174">
        <v>20.7</v>
      </c>
      <c r="BX22" s="174">
        <v>23.9</v>
      </c>
      <c r="BY22" s="174">
        <v>2.9399999999999999E-2</v>
      </c>
      <c r="BZ22" s="174">
        <v>6.3700000000000007E-2</v>
      </c>
      <c r="CA22" s="174">
        <v>8.6699999999999999E-2</v>
      </c>
      <c r="CB22" s="174">
        <v>0.10970000000000001</v>
      </c>
      <c r="CC22" s="174">
        <v>0.17960000000000001</v>
      </c>
      <c r="CD22" s="174"/>
      <c r="CE22" s="174"/>
      <c r="CF22" s="174"/>
      <c r="CG22" s="174"/>
      <c r="CH22" s="174"/>
      <c r="CI22" s="174">
        <v>67</v>
      </c>
      <c r="CJ22" s="174">
        <v>29</v>
      </c>
      <c r="CK22" s="174">
        <v>30</v>
      </c>
      <c r="CL22" s="174">
        <v>34</v>
      </c>
      <c r="CM22" s="174">
        <v>37</v>
      </c>
      <c r="CN22" s="174">
        <v>44</v>
      </c>
      <c r="CO22" s="174">
        <v>143</v>
      </c>
      <c r="CP22" s="174">
        <v>152</v>
      </c>
      <c r="CQ22" s="174">
        <v>235</v>
      </c>
      <c r="CR22" s="174">
        <v>319</v>
      </c>
      <c r="CS22" s="174">
        <v>507</v>
      </c>
      <c r="CT22" s="174">
        <v>19.399999999999999</v>
      </c>
      <c r="CU22" s="174">
        <v>4.2</v>
      </c>
      <c r="CV22" s="174">
        <v>1</v>
      </c>
      <c r="CW22" s="175">
        <v>7.1151818221969407E-6</v>
      </c>
    </row>
    <row r="23" spans="1:101" x14ac:dyDescent="0.3">
      <c r="A23" s="192"/>
      <c r="B23" s="192"/>
      <c r="D23" s="153"/>
      <c r="J23" s="167"/>
      <c r="K23" s="168"/>
      <c r="L23" s="169"/>
      <c r="M23" s="67"/>
      <c r="N23" s="167"/>
      <c r="O23" s="170"/>
      <c r="P23" s="170"/>
      <c r="Q23" s="167"/>
      <c r="R23" s="167"/>
      <c r="S23" s="167"/>
      <c r="T23" s="167"/>
      <c r="U23" s="171"/>
      <c r="V23" s="171"/>
      <c r="W23" s="167"/>
      <c r="X23" s="167"/>
      <c r="Y23" s="167"/>
      <c r="Z23" s="167"/>
      <c r="AA23" s="167"/>
      <c r="AB23" s="167"/>
      <c r="AC23" s="170"/>
      <c r="AD23" s="170"/>
      <c r="AE23" s="170"/>
      <c r="AF23" s="170"/>
      <c r="AG23" s="170"/>
      <c r="AH23" s="170"/>
      <c r="AI23" s="170"/>
      <c r="AJ23" s="167"/>
      <c r="AK23" s="167"/>
      <c r="AL23" s="167"/>
      <c r="AM23" s="167"/>
      <c r="AN23" s="167"/>
      <c r="AO23" s="167"/>
      <c r="AP23" s="167"/>
      <c r="AQ23" s="167"/>
      <c r="AR23" s="167"/>
      <c r="BL23" s="174">
        <v>19</v>
      </c>
      <c r="BM23" s="174" t="s">
        <v>540</v>
      </c>
      <c r="BN23" s="174">
        <v>24</v>
      </c>
      <c r="BO23" s="174">
        <v>20.100000000000001</v>
      </c>
      <c r="BP23" s="174"/>
      <c r="BQ23" s="174">
        <v>17</v>
      </c>
      <c r="BR23" s="174"/>
      <c r="BS23" s="174"/>
      <c r="BT23" s="174">
        <v>6.6</v>
      </c>
      <c r="BU23" s="174">
        <v>8.4</v>
      </c>
      <c r="BV23" s="174">
        <v>9.6</v>
      </c>
      <c r="BW23" s="174">
        <v>10.8</v>
      </c>
      <c r="BX23" s="174">
        <v>14</v>
      </c>
      <c r="BY23" s="174">
        <v>0.14230000000000001</v>
      </c>
      <c r="BZ23" s="174">
        <v>0.1767</v>
      </c>
      <c r="CA23" s="174">
        <v>0.1996</v>
      </c>
      <c r="CB23" s="174">
        <v>0.22259999999999999</v>
      </c>
      <c r="CC23" s="174">
        <v>0.29249999999999998</v>
      </c>
      <c r="CD23" s="174"/>
      <c r="CE23" s="174"/>
      <c r="CF23" s="174"/>
      <c r="CG23" s="174"/>
      <c r="CH23" s="174"/>
      <c r="CI23" s="174">
        <v>67</v>
      </c>
      <c r="CJ23" s="174">
        <v>29</v>
      </c>
      <c r="CK23" s="174">
        <v>30</v>
      </c>
      <c r="CL23" s="174">
        <v>34</v>
      </c>
      <c r="CM23" s="174">
        <v>37</v>
      </c>
      <c r="CN23" s="174">
        <v>44</v>
      </c>
      <c r="CO23" s="174">
        <v>131</v>
      </c>
      <c r="CP23" s="174">
        <v>140</v>
      </c>
      <c r="CQ23" s="174">
        <v>224</v>
      </c>
      <c r="CR23" s="174">
        <v>307</v>
      </c>
      <c r="CS23" s="174">
        <v>496</v>
      </c>
      <c r="CT23" s="174">
        <v>19.399999999999999</v>
      </c>
      <c r="CU23" s="174">
        <v>4.2</v>
      </c>
      <c r="CV23" s="174">
        <v>1</v>
      </c>
      <c r="CW23" s="175">
        <v>7.1151818221969407E-6</v>
      </c>
    </row>
    <row r="24" spans="1:101" x14ac:dyDescent="0.3">
      <c r="A24" s="192"/>
      <c r="B24" s="192"/>
      <c r="D24" s="195">
        <v>20191.621608178499</v>
      </c>
      <c r="J24" s="167"/>
      <c r="K24" s="168"/>
      <c r="L24" s="169"/>
      <c r="M24" s="67"/>
      <c r="N24" s="167"/>
      <c r="O24" s="170"/>
      <c r="P24" s="170"/>
      <c r="Q24" s="167"/>
      <c r="R24" s="167"/>
      <c r="S24" s="167"/>
      <c r="T24" s="167"/>
      <c r="U24" s="171"/>
      <c r="V24" s="171"/>
      <c r="W24" s="167"/>
      <c r="X24" s="167"/>
      <c r="Y24" s="167"/>
      <c r="Z24" s="167"/>
      <c r="AA24" s="167"/>
      <c r="AB24" s="167"/>
      <c r="AC24" s="170"/>
      <c r="AD24" s="170"/>
      <c r="AE24" s="170"/>
      <c r="AF24" s="170"/>
      <c r="AG24" s="170"/>
      <c r="AH24" s="170"/>
      <c r="AI24" s="170"/>
      <c r="AJ24" s="167"/>
      <c r="AK24" s="167"/>
      <c r="AL24" s="167"/>
      <c r="AM24" s="167"/>
      <c r="AN24" s="167"/>
      <c r="AO24" s="167"/>
      <c r="AP24" s="167"/>
      <c r="AQ24" s="167"/>
      <c r="AR24" s="167"/>
      <c r="BL24" s="174">
        <v>19</v>
      </c>
      <c r="BM24" s="174" t="s">
        <v>540</v>
      </c>
      <c r="BN24" s="174">
        <v>24</v>
      </c>
      <c r="BO24" s="174">
        <v>20.100000000000001</v>
      </c>
      <c r="BP24" s="174"/>
      <c r="BQ24" s="174">
        <v>17</v>
      </c>
      <c r="BR24" s="174"/>
      <c r="BS24" s="174"/>
      <c r="BT24" s="174">
        <v>3.9</v>
      </c>
      <c r="BU24" s="174">
        <v>5.7</v>
      </c>
      <c r="BV24" s="174">
        <v>7</v>
      </c>
      <c r="BW24" s="174">
        <v>8.1999999999999993</v>
      </c>
      <c r="BX24" s="174">
        <v>10</v>
      </c>
      <c r="BY24" s="174">
        <v>9.2799999999999994E-2</v>
      </c>
      <c r="BZ24" s="174">
        <v>0.16550000000000001</v>
      </c>
      <c r="CA24" s="174">
        <v>0.214</v>
      </c>
      <c r="CB24" s="174">
        <v>0.26250000000000001</v>
      </c>
      <c r="CC24" s="174">
        <v>0.32679999999999998</v>
      </c>
      <c r="CD24" s="174"/>
      <c r="CE24" s="174"/>
      <c r="CF24" s="174"/>
      <c r="CG24" s="174"/>
      <c r="CH24" s="174"/>
      <c r="CI24" s="174">
        <v>65</v>
      </c>
      <c r="CJ24" s="174">
        <v>29</v>
      </c>
      <c r="CK24" s="174">
        <v>29</v>
      </c>
      <c r="CL24" s="174">
        <v>33</v>
      </c>
      <c r="CM24" s="174">
        <v>37</v>
      </c>
      <c r="CN24" s="174">
        <v>44</v>
      </c>
      <c r="CO24" s="174">
        <v>104</v>
      </c>
      <c r="CP24" s="174">
        <v>116</v>
      </c>
      <c r="CQ24" s="174">
        <v>205</v>
      </c>
      <c r="CR24" s="174">
        <v>294</v>
      </c>
      <c r="CS24" s="174">
        <v>495</v>
      </c>
      <c r="CT24" s="174">
        <v>18.7</v>
      </c>
      <c r="CU24" s="174">
        <v>3.5</v>
      </c>
      <c r="CV24" s="174">
        <v>0.9</v>
      </c>
      <c r="CW24" s="175">
        <v>1.8917207639142129E-7</v>
      </c>
    </row>
    <row r="25" spans="1:101" x14ac:dyDescent="0.3">
      <c r="A25" s="192"/>
      <c r="B25" s="192"/>
      <c r="D25" s="195">
        <v>-858338.062738462</v>
      </c>
      <c r="J25" s="167"/>
      <c r="K25" s="168"/>
      <c r="L25" s="169"/>
      <c r="M25" s="67"/>
      <c r="N25" s="167"/>
      <c r="O25" s="170"/>
      <c r="P25" s="170"/>
      <c r="Q25" s="167"/>
      <c r="R25" s="167"/>
      <c r="S25" s="167"/>
      <c r="T25" s="167"/>
      <c r="U25" s="171"/>
      <c r="V25" s="171"/>
      <c r="W25" s="167"/>
      <c r="X25" s="167"/>
      <c r="Y25" s="167"/>
      <c r="Z25" s="167"/>
      <c r="AA25" s="167"/>
      <c r="AB25" s="167"/>
      <c r="AC25" s="170"/>
      <c r="AD25" s="170"/>
      <c r="AE25" s="170"/>
      <c r="AF25" s="170"/>
      <c r="AG25" s="170"/>
      <c r="AH25" s="170"/>
      <c r="AI25" s="170"/>
      <c r="AJ25" s="167"/>
      <c r="AK25" s="167"/>
      <c r="AL25" s="167"/>
      <c r="AM25" s="167"/>
      <c r="AN25" s="167"/>
      <c r="AO25" s="167"/>
      <c r="AP25" s="167"/>
      <c r="AQ25" s="167"/>
      <c r="AR25" s="167"/>
      <c r="BL25" s="174">
        <v>20.8</v>
      </c>
      <c r="BM25" s="174" t="s">
        <v>540</v>
      </c>
      <c r="BN25" s="174">
        <v>24</v>
      </c>
      <c r="BO25" s="174">
        <v>20.100000000000001</v>
      </c>
      <c r="BP25" s="174"/>
      <c r="BQ25" s="174">
        <v>17</v>
      </c>
      <c r="BR25" s="174"/>
      <c r="BS25" s="174"/>
      <c r="BT25" s="174">
        <v>20</v>
      </c>
      <c r="BU25" s="174">
        <v>21.8</v>
      </c>
      <c r="BV25" s="174">
        <v>23.1</v>
      </c>
      <c r="BW25" s="174">
        <v>24.3</v>
      </c>
      <c r="BX25" s="174">
        <v>26.1</v>
      </c>
      <c r="BY25" s="174">
        <v>0.77700000000000002</v>
      </c>
      <c r="BZ25" s="174">
        <v>0.84970000000000001</v>
      </c>
      <c r="CA25" s="174">
        <v>0.8982</v>
      </c>
      <c r="CB25" s="174">
        <v>0.94669999999999999</v>
      </c>
      <c r="CC25" s="174">
        <v>1.0109999999999999</v>
      </c>
      <c r="CD25" s="174"/>
      <c r="CE25" s="174"/>
      <c r="CF25" s="174"/>
      <c r="CG25" s="174"/>
      <c r="CH25" s="174"/>
      <c r="CI25" s="174">
        <v>65</v>
      </c>
      <c r="CJ25" s="174">
        <v>29</v>
      </c>
      <c r="CK25" s="174">
        <v>29</v>
      </c>
      <c r="CL25" s="174">
        <v>33</v>
      </c>
      <c r="CM25" s="174">
        <v>37</v>
      </c>
      <c r="CN25" s="174">
        <v>44</v>
      </c>
      <c r="CO25" s="174">
        <v>195</v>
      </c>
      <c r="CP25" s="174">
        <v>206</v>
      </c>
      <c r="CQ25" s="174">
        <v>295</v>
      </c>
      <c r="CR25" s="174">
        <v>384</v>
      </c>
      <c r="CS25" s="174">
        <v>585</v>
      </c>
      <c r="CT25" s="174">
        <v>18.7</v>
      </c>
      <c r="CU25" s="174">
        <v>3.5</v>
      </c>
      <c r="CV25" s="174">
        <v>0.9</v>
      </c>
      <c r="CW25" s="175">
        <v>1.8917207639142129E-7</v>
      </c>
    </row>
    <row r="26" spans="1:101" x14ac:dyDescent="0.3">
      <c r="A26" s="192"/>
      <c r="B26" s="192"/>
      <c r="D26" s="195">
        <v>33103.732715122504</v>
      </c>
      <c r="J26" s="167"/>
      <c r="K26" s="168"/>
      <c r="L26" s="169"/>
      <c r="M26" s="67"/>
      <c r="N26" s="167"/>
      <c r="O26" s="170"/>
      <c r="P26" s="170"/>
      <c r="Q26" s="167"/>
      <c r="R26" s="167"/>
      <c r="S26" s="167"/>
      <c r="T26" s="167"/>
      <c r="U26" s="171"/>
      <c r="V26" s="171"/>
      <c r="W26" s="167"/>
      <c r="X26" s="167"/>
      <c r="Y26" s="167"/>
      <c r="Z26" s="167"/>
      <c r="AA26" s="167"/>
      <c r="AB26" s="167"/>
      <c r="AC26" s="170"/>
      <c r="AD26" s="170"/>
      <c r="AE26" s="170"/>
      <c r="AF26" s="170"/>
      <c r="AG26" s="170"/>
      <c r="AH26" s="170"/>
      <c r="AI26" s="170"/>
      <c r="AJ26" s="167"/>
      <c r="AK26" s="167"/>
      <c r="AL26" s="167"/>
      <c r="AM26" s="167"/>
      <c r="AN26" s="167"/>
      <c r="AO26" s="167"/>
      <c r="AP26" s="167"/>
      <c r="AQ26" s="167"/>
      <c r="AR26" s="167"/>
      <c r="BL26" s="174">
        <v>20.8</v>
      </c>
      <c r="BM26" s="174" t="s">
        <v>540</v>
      </c>
      <c r="BN26" s="174">
        <v>24</v>
      </c>
      <c r="BO26" s="174">
        <v>20.100000000000001</v>
      </c>
      <c r="BP26" s="174"/>
      <c r="BQ26" s="174">
        <v>17</v>
      </c>
      <c r="BR26" s="174"/>
      <c r="BS26" s="174"/>
      <c r="BT26" s="174">
        <v>16</v>
      </c>
      <c r="BU26" s="174">
        <v>17.8</v>
      </c>
      <c r="BV26" s="174">
        <v>19.100000000000001</v>
      </c>
      <c r="BW26" s="174">
        <v>20.399999999999999</v>
      </c>
      <c r="BX26" s="174">
        <v>22.3</v>
      </c>
      <c r="BY26" s="174">
        <v>0.63400000000000001</v>
      </c>
      <c r="BZ26" s="174">
        <v>0.70840000000000003</v>
      </c>
      <c r="CA26" s="174">
        <v>0.75800000000000001</v>
      </c>
      <c r="CB26" s="174">
        <v>0.80759999999999998</v>
      </c>
      <c r="CC26" s="174">
        <v>0.86960000000000004</v>
      </c>
      <c r="CD26" s="174"/>
      <c r="CE26" s="174"/>
      <c r="CF26" s="174"/>
      <c r="CG26" s="174"/>
      <c r="CH26" s="174"/>
      <c r="CI26" s="174">
        <v>64</v>
      </c>
      <c r="CJ26" s="174">
        <v>29</v>
      </c>
      <c r="CK26" s="174">
        <v>29</v>
      </c>
      <c r="CL26" s="174">
        <v>33</v>
      </c>
      <c r="CM26" s="174">
        <v>37</v>
      </c>
      <c r="CN26" s="174">
        <v>43</v>
      </c>
      <c r="CO26" s="174">
        <v>171</v>
      </c>
      <c r="CP26" s="174">
        <v>187</v>
      </c>
      <c r="CQ26" s="174">
        <v>279</v>
      </c>
      <c r="CR26" s="174">
        <v>371</v>
      </c>
      <c r="CS26" s="174">
        <v>578</v>
      </c>
      <c r="CT26" s="174">
        <v>19.2</v>
      </c>
      <c r="CU26" s="174">
        <v>3.2</v>
      </c>
      <c r="CV26" s="174">
        <v>0.9</v>
      </c>
      <c r="CW26" s="175">
        <v>2.403421129246329E-7</v>
      </c>
    </row>
    <row r="27" spans="1:101" x14ac:dyDescent="0.3">
      <c r="A27" s="192"/>
      <c r="B27" s="192"/>
      <c r="D27" s="153">
        <v>0</v>
      </c>
      <c r="J27" s="167"/>
      <c r="K27" s="168"/>
      <c r="L27" s="169"/>
      <c r="M27" s="67"/>
      <c r="N27" s="167"/>
      <c r="O27" s="170"/>
      <c r="P27" s="170"/>
      <c r="Q27" s="167"/>
      <c r="R27" s="167"/>
      <c r="S27" s="167"/>
      <c r="T27" s="167"/>
      <c r="U27" s="171"/>
      <c r="V27" s="171"/>
      <c r="W27" s="167"/>
      <c r="X27" s="167"/>
      <c r="Y27" s="167"/>
      <c r="Z27" s="167"/>
      <c r="AA27" s="167"/>
      <c r="AB27" s="167"/>
      <c r="AC27" s="170"/>
      <c r="AD27" s="170"/>
      <c r="AE27" s="170"/>
      <c r="AF27" s="170"/>
      <c r="AG27" s="170"/>
      <c r="AH27" s="170"/>
      <c r="AI27" s="170"/>
      <c r="AJ27" s="167"/>
      <c r="AK27" s="167"/>
      <c r="AL27" s="167"/>
      <c r="AM27" s="167"/>
      <c r="AN27" s="167"/>
      <c r="AO27" s="167"/>
      <c r="AP27" s="167"/>
      <c r="AQ27" s="167"/>
      <c r="AR27" s="167"/>
      <c r="BL27" s="174">
        <v>22</v>
      </c>
      <c r="BM27" s="174" t="s">
        <v>540</v>
      </c>
      <c r="BN27" s="174">
        <v>24</v>
      </c>
      <c r="BO27" s="174">
        <v>20.100000000000001</v>
      </c>
      <c r="BP27" s="174"/>
      <c r="BQ27" s="174">
        <v>17</v>
      </c>
      <c r="BR27" s="174"/>
      <c r="BS27" s="174"/>
      <c r="BT27" s="174">
        <v>8.9</v>
      </c>
      <c r="BU27" s="174">
        <v>10.8</v>
      </c>
      <c r="BV27" s="174">
        <v>12.1</v>
      </c>
      <c r="BW27" s="174">
        <v>13.4</v>
      </c>
      <c r="BX27" s="174">
        <v>15.3</v>
      </c>
      <c r="BY27" s="174">
        <v>0.23419999999999999</v>
      </c>
      <c r="BZ27" s="174">
        <v>0.3085</v>
      </c>
      <c r="CA27" s="174">
        <v>0.35820000000000002</v>
      </c>
      <c r="CB27" s="174">
        <v>0.4078</v>
      </c>
      <c r="CC27" s="174">
        <v>0.4698</v>
      </c>
      <c r="CD27" s="174"/>
      <c r="CE27" s="174"/>
      <c r="CF27" s="174"/>
      <c r="CG27" s="174"/>
      <c r="CH27" s="174"/>
      <c r="CI27" s="174">
        <v>64</v>
      </c>
      <c r="CJ27" s="174">
        <v>29</v>
      </c>
      <c r="CK27" s="174">
        <v>29</v>
      </c>
      <c r="CL27" s="174">
        <v>33</v>
      </c>
      <c r="CM27" s="174">
        <v>37</v>
      </c>
      <c r="CN27" s="174">
        <v>43</v>
      </c>
      <c r="CO27" s="174">
        <v>149</v>
      </c>
      <c r="CP27" s="174">
        <v>165</v>
      </c>
      <c r="CQ27" s="174">
        <v>257</v>
      </c>
      <c r="CR27" s="174">
        <v>349</v>
      </c>
      <c r="CS27" s="174">
        <v>555</v>
      </c>
      <c r="CT27" s="174">
        <v>19.2</v>
      </c>
      <c r="CU27" s="174">
        <v>3.2</v>
      </c>
      <c r="CV27" s="174">
        <v>0.9</v>
      </c>
      <c r="CW27" s="175">
        <v>2.403421129246329E-7</v>
      </c>
    </row>
    <row r="28" spans="1:101" x14ac:dyDescent="0.3">
      <c r="A28" s="192"/>
      <c r="B28" s="192"/>
      <c r="D28" s="195">
        <v>3830.9215033506498</v>
      </c>
      <c r="J28" s="167"/>
      <c r="K28" s="168"/>
      <c r="L28" s="169"/>
      <c r="M28" s="67"/>
      <c r="N28" s="167"/>
      <c r="O28" s="170"/>
      <c r="P28" s="170"/>
      <c r="Q28" s="167"/>
      <c r="R28" s="167"/>
      <c r="S28" s="167"/>
      <c r="T28" s="167"/>
      <c r="U28" s="171"/>
      <c r="V28" s="171"/>
      <c r="W28" s="167"/>
      <c r="X28" s="167"/>
      <c r="Y28" s="167"/>
      <c r="Z28" s="167"/>
      <c r="AA28" s="167"/>
      <c r="AB28" s="167"/>
      <c r="AC28" s="170"/>
      <c r="AD28" s="170"/>
      <c r="AE28" s="170"/>
      <c r="AF28" s="170"/>
      <c r="AG28" s="170"/>
      <c r="AH28" s="170"/>
      <c r="AI28" s="170"/>
      <c r="AJ28" s="167"/>
      <c r="AK28" s="167"/>
      <c r="AL28" s="167"/>
      <c r="AM28" s="167"/>
      <c r="AN28" s="167"/>
      <c r="AO28" s="167"/>
      <c r="AP28" s="167"/>
      <c r="AQ28" s="167"/>
      <c r="AR28" s="167"/>
      <c r="BL28" s="174">
        <v>22</v>
      </c>
      <c r="BM28" s="174" t="s">
        <v>540</v>
      </c>
      <c r="BN28" s="174">
        <v>24</v>
      </c>
      <c r="BO28" s="174">
        <v>20.100000000000001</v>
      </c>
      <c r="BP28" s="174"/>
      <c r="BQ28" s="174">
        <v>17</v>
      </c>
      <c r="BR28" s="174"/>
      <c r="BS28" s="174"/>
      <c r="BT28" s="174">
        <v>9.6999999999999993</v>
      </c>
      <c r="BU28" s="174">
        <v>11</v>
      </c>
      <c r="BV28" s="174">
        <v>11.9</v>
      </c>
      <c r="BW28" s="174">
        <v>12.8</v>
      </c>
      <c r="BX28" s="174">
        <v>14</v>
      </c>
      <c r="BY28" s="174">
        <v>0.2878</v>
      </c>
      <c r="BZ28" s="174">
        <v>0.3306</v>
      </c>
      <c r="CA28" s="174">
        <v>0.35909999999999997</v>
      </c>
      <c r="CB28" s="174">
        <v>0.38769999999999999</v>
      </c>
      <c r="CC28" s="174">
        <v>0.43540000000000001</v>
      </c>
      <c r="CD28" s="174"/>
      <c r="CE28" s="174"/>
      <c r="CF28" s="174"/>
      <c r="CG28" s="174"/>
      <c r="CH28" s="174"/>
      <c r="CI28" s="174">
        <v>55</v>
      </c>
      <c r="CJ28" s="174">
        <v>29</v>
      </c>
      <c r="CK28" s="174">
        <v>29</v>
      </c>
      <c r="CL28" s="174">
        <v>32</v>
      </c>
      <c r="CM28" s="174">
        <v>35</v>
      </c>
      <c r="CN28" s="174">
        <v>42</v>
      </c>
      <c r="CO28" s="174">
        <v>150</v>
      </c>
      <c r="CP28" s="174">
        <v>163</v>
      </c>
      <c r="CQ28" s="174">
        <v>254</v>
      </c>
      <c r="CR28" s="174">
        <v>345</v>
      </c>
      <c r="CS28" s="174">
        <v>549</v>
      </c>
      <c r="CT28" s="174">
        <v>13.8</v>
      </c>
      <c r="CU28" s="174">
        <v>2.2000000000000002</v>
      </c>
      <c r="CV28" s="174">
        <v>0.7</v>
      </c>
      <c r="CW28" s="175">
        <v>8.8238517471361787E-8</v>
      </c>
    </row>
    <row r="29" spans="1:101" x14ac:dyDescent="0.3">
      <c r="A29" s="192"/>
      <c r="B29" s="192"/>
      <c r="D29" s="153"/>
      <c r="J29" s="167"/>
      <c r="K29" s="168"/>
      <c r="L29" s="169"/>
      <c r="M29" s="67"/>
      <c r="N29" s="167"/>
      <c r="O29" s="170"/>
      <c r="P29" s="170"/>
      <c r="Q29" s="167"/>
      <c r="R29" s="167"/>
      <c r="S29" s="167"/>
      <c r="T29" s="167"/>
      <c r="U29" s="171"/>
      <c r="V29" s="171"/>
      <c r="W29" s="167"/>
      <c r="X29" s="167"/>
      <c r="Y29" s="167"/>
      <c r="Z29" s="167"/>
      <c r="AA29" s="167"/>
      <c r="AB29" s="167"/>
      <c r="AC29" s="170"/>
      <c r="AD29" s="170"/>
      <c r="AE29" s="170"/>
      <c r="AF29" s="170"/>
      <c r="AG29" s="170"/>
      <c r="AH29" s="170"/>
      <c r="AI29" s="170"/>
      <c r="AJ29" s="167"/>
      <c r="AK29" s="167"/>
      <c r="AL29" s="167"/>
      <c r="AM29" s="167"/>
      <c r="AN29" s="167"/>
      <c r="AO29" s="167"/>
      <c r="AP29" s="167"/>
      <c r="AQ29" s="167"/>
      <c r="AR29" s="167"/>
      <c r="BL29" s="174">
        <v>25.5</v>
      </c>
      <c r="BM29" s="174" t="s">
        <v>540</v>
      </c>
      <c r="BN29" s="174">
        <v>24</v>
      </c>
      <c r="BO29" s="174">
        <v>20.100000000000001</v>
      </c>
      <c r="BP29" s="174"/>
      <c r="BQ29" s="174">
        <v>17</v>
      </c>
      <c r="BR29" s="174"/>
      <c r="BS29" s="174"/>
      <c r="BT29" s="174">
        <v>7.2</v>
      </c>
      <c r="BU29" s="174">
        <v>8.5</v>
      </c>
      <c r="BV29" s="174">
        <v>9.4</v>
      </c>
      <c r="BW29" s="174">
        <v>10.3</v>
      </c>
      <c r="BX29" s="174">
        <v>11.6</v>
      </c>
      <c r="BY29" s="174">
        <v>0.28239999999999998</v>
      </c>
      <c r="BZ29" s="174">
        <v>0.3251</v>
      </c>
      <c r="CA29" s="174">
        <v>0.35370000000000001</v>
      </c>
      <c r="CB29" s="174">
        <v>0.38229999999999997</v>
      </c>
      <c r="CC29" s="174">
        <v>0.43</v>
      </c>
      <c r="CD29" s="174"/>
      <c r="CE29" s="174"/>
      <c r="CF29" s="174"/>
      <c r="CG29" s="174"/>
      <c r="CH29" s="174"/>
      <c r="CI29" s="174">
        <v>55</v>
      </c>
      <c r="CJ29" s="174">
        <v>29</v>
      </c>
      <c r="CK29" s="174">
        <v>29</v>
      </c>
      <c r="CL29" s="174">
        <v>32</v>
      </c>
      <c r="CM29" s="174">
        <v>35</v>
      </c>
      <c r="CN29" s="174">
        <v>42</v>
      </c>
      <c r="CO29" s="174">
        <v>157</v>
      </c>
      <c r="CP29" s="174">
        <v>170</v>
      </c>
      <c r="CQ29" s="174">
        <v>260</v>
      </c>
      <c r="CR29" s="174">
        <v>351</v>
      </c>
      <c r="CS29" s="174">
        <v>556</v>
      </c>
      <c r="CT29" s="174">
        <v>13.8</v>
      </c>
      <c r="CU29" s="174">
        <v>2.2000000000000002</v>
      </c>
      <c r="CV29" s="174">
        <v>0.7</v>
      </c>
      <c r="CW29" s="175">
        <v>8.8238517471361787E-8</v>
      </c>
    </row>
    <row r="30" spans="1:101" x14ac:dyDescent="0.3">
      <c r="A30" s="192"/>
      <c r="B30" s="192"/>
      <c r="D30" s="153"/>
      <c r="J30" s="167"/>
      <c r="K30" s="168"/>
      <c r="L30" s="169"/>
      <c r="M30" s="67"/>
      <c r="N30" s="167"/>
      <c r="O30" s="170"/>
      <c r="P30" s="170"/>
      <c r="Q30" s="167"/>
      <c r="R30" s="167"/>
      <c r="S30" s="167"/>
      <c r="T30" s="167"/>
      <c r="U30" s="171"/>
      <c r="V30" s="171"/>
      <c r="W30" s="167"/>
      <c r="X30" s="167"/>
      <c r="Y30" s="167"/>
      <c r="Z30" s="167"/>
      <c r="AA30" s="167"/>
      <c r="AB30" s="167"/>
      <c r="AC30" s="170"/>
      <c r="AD30" s="170"/>
      <c r="AE30" s="170"/>
      <c r="AF30" s="170"/>
      <c r="AG30" s="170"/>
      <c r="AH30" s="170"/>
      <c r="AI30" s="170"/>
      <c r="AJ30" s="167"/>
      <c r="AK30" s="167"/>
      <c r="AL30" s="167"/>
      <c r="AM30" s="167"/>
      <c r="AN30" s="167"/>
      <c r="AO30" s="167"/>
      <c r="AP30" s="167"/>
      <c r="AQ30" s="167"/>
      <c r="AR30" s="167"/>
      <c r="BL30" s="174">
        <v>25.5</v>
      </c>
      <c r="BM30" s="174" t="s">
        <v>540</v>
      </c>
      <c r="BN30" s="174">
        <v>24</v>
      </c>
      <c r="BO30" s="174">
        <v>20.100000000000001</v>
      </c>
      <c r="BP30" s="174"/>
      <c r="BQ30" s="174">
        <v>17</v>
      </c>
      <c r="BR30" s="174"/>
      <c r="BS30" s="174"/>
      <c r="BT30" s="174">
        <v>8.6999999999999993</v>
      </c>
      <c r="BU30" s="174">
        <v>10.7</v>
      </c>
      <c r="BV30" s="174">
        <v>12.1</v>
      </c>
      <c r="BW30" s="174">
        <v>13.6</v>
      </c>
      <c r="BX30" s="174">
        <v>16</v>
      </c>
      <c r="BY30" s="174">
        <v>0.31240000000000001</v>
      </c>
      <c r="BZ30" s="174">
        <v>0.3705</v>
      </c>
      <c r="CA30" s="174">
        <v>0.4093</v>
      </c>
      <c r="CB30" s="174">
        <v>0.4481</v>
      </c>
      <c r="CC30" s="174">
        <v>0.54039999999999999</v>
      </c>
      <c r="CD30" s="174"/>
      <c r="CE30" s="174"/>
      <c r="CF30" s="174"/>
      <c r="CG30" s="174"/>
      <c r="CH30" s="174"/>
      <c r="CI30" s="174">
        <v>54</v>
      </c>
      <c r="CJ30" s="174">
        <v>29</v>
      </c>
      <c r="CK30" s="174">
        <v>29</v>
      </c>
      <c r="CL30" s="174">
        <v>32</v>
      </c>
      <c r="CM30" s="174">
        <v>35</v>
      </c>
      <c r="CN30" s="174">
        <v>42</v>
      </c>
      <c r="CO30" s="174">
        <v>168</v>
      </c>
      <c r="CP30" s="174">
        <v>190</v>
      </c>
      <c r="CQ30" s="174">
        <v>280</v>
      </c>
      <c r="CR30" s="174">
        <v>370</v>
      </c>
      <c r="CS30" s="174">
        <v>574</v>
      </c>
      <c r="CT30" s="174">
        <v>14.3</v>
      </c>
      <c r="CU30" s="174">
        <v>1.9</v>
      </c>
      <c r="CV30" s="174">
        <v>0.7</v>
      </c>
      <c r="CW30" s="175">
        <v>6.6310075502420898E-8</v>
      </c>
    </row>
    <row r="31" spans="1:101" x14ac:dyDescent="0.3">
      <c r="A31" s="192"/>
      <c r="B31" s="192"/>
      <c r="D31" s="153"/>
      <c r="J31" s="167"/>
      <c r="K31" s="168"/>
      <c r="L31" s="169"/>
      <c r="M31" s="67"/>
      <c r="N31" s="167"/>
      <c r="O31" s="170"/>
      <c r="P31" s="170"/>
      <c r="Q31" s="167"/>
      <c r="R31" s="167"/>
      <c r="S31" s="167"/>
      <c r="T31" s="167"/>
      <c r="U31" s="171"/>
      <c r="V31" s="171"/>
      <c r="W31" s="167"/>
      <c r="X31" s="167"/>
      <c r="Y31" s="167"/>
      <c r="Z31" s="167"/>
      <c r="AA31" s="167"/>
      <c r="AB31" s="167"/>
      <c r="AC31" s="170"/>
      <c r="AD31" s="170"/>
      <c r="AE31" s="170"/>
      <c r="AF31" s="170"/>
      <c r="AG31" s="170"/>
      <c r="AH31" s="170"/>
      <c r="AI31" s="170"/>
      <c r="AJ31" s="167"/>
      <c r="AK31" s="167"/>
      <c r="AL31" s="167"/>
      <c r="AM31" s="167"/>
      <c r="AN31" s="167"/>
      <c r="AO31" s="167"/>
      <c r="AP31" s="167"/>
      <c r="AQ31" s="167"/>
      <c r="AR31" s="167"/>
      <c r="BL31" s="174">
        <v>31.5</v>
      </c>
      <c r="BM31" s="174" t="s">
        <v>540</v>
      </c>
      <c r="BN31" s="174">
        <v>24</v>
      </c>
      <c r="BO31" s="174">
        <v>20.100000000000001</v>
      </c>
      <c r="BP31" s="174"/>
      <c r="BQ31" s="174">
        <v>17</v>
      </c>
      <c r="BR31" s="174"/>
      <c r="BS31" s="174"/>
      <c r="BT31" s="174">
        <v>4.9000000000000004</v>
      </c>
      <c r="BU31" s="174">
        <v>6.9</v>
      </c>
      <c r="BV31" s="174">
        <v>8.4</v>
      </c>
      <c r="BW31" s="174">
        <v>9.8000000000000007</v>
      </c>
      <c r="BX31" s="174">
        <v>12.2</v>
      </c>
      <c r="BY31" s="174">
        <v>0.121</v>
      </c>
      <c r="BZ31" s="174">
        <v>0.17910000000000001</v>
      </c>
      <c r="CA31" s="174">
        <v>0.21779999999999999</v>
      </c>
      <c r="CB31" s="174">
        <v>0.25659999999999999</v>
      </c>
      <c r="CC31" s="174">
        <v>0.34889999999999999</v>
      </c>
      <c r="CD31" s="174"/>
      <c r="CE31" s="174"/>
      <c r="CF31" s="174"/>
      <c r="CG31" s="174"/>
      <c r="CH31" s="174"/>
      <c r="CI31" s="174">
        <v>54</v>
      </c>
      <c r="CJ31" s="174">
        <v>29</v>
      </c>
      <c r="CK31" s="174">
        <v>29</v>
      </c>
      <c r="CL31" s="174">
        <v>32</v>
      </c>
      <c r="CM31" s="174">
        <v>35</v>
      </c>
      <c r="CN31" s="174">
        <v>42</v>
      </c>
      <c r="CO31" s="174">
        <v>167</v>
      </c>
      <c r="CP31" s="174">
        <v>190</v>
      </c>
      <c r="CQ31" s="174">
        <v>280</v>
      </c>
      <c r="CR31" s="174">
        <v>370</v>
      </c>
      <c r="CS31" s="174">
        <v>573</v>
      </c>
      <c r="CT31" s="174">
        <v>14.3</v>
      </c>
      <c r="CU31" s="174">
        <v>1.9</v>
      </c>
      <c r="CV31" s="174">
        <v>0.7</v>
      </c>
      <c r="CW31" s="175">
        <v>6.6310075502420898E-8</v>
      </c>
    </row>
    <row r="32" spans="1:101" x14ac:dyDescent="0.3">
      <c r="A32" s="192"/>
      <c r="B32" s="192"/>
      <c r="D32" s="153"/>
      <c r="L32" s="196"/>
      <c r="M32" s="196" t="s">
        <v>395</v>
      </c>
      <c r="N32" s="167"/>
      <c r="O32" s="170"/>
      <c r="P32" s="167"/>
      <c r="Q32" s="167"/>
      <c r="R32" s="19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I32" s="167"/>
      <c r="AJ32" s="167"/>
      <c r="AK32" s="167"/>
      <c r="AL32" s="167"/>
      <c r="AM32" s="167"/>
      <c r="AN32" s="167"/>
      <c r="AO32" s="167"/>
      <c r="AP32" s="167"/>
      <c r="BL32" s="174">
        <v>31.5</v>
      </c>
      <c r="BM32" s="174" t="s">
        <v>557</v>
      </c>
      <c r="BN32" s="174">
        <v>31</v>
      </c>
      <c r="BO32" s="174">
        <v>18.8</v>
      </c>
      <c r="BP32" s="174">
        <v>46</v>
      </c>
      <c r="BQ32" s="174">
        <v>85</v>
      </c>
      <c r="BR32" s="174">
        <v>3</v>
      </c>
      <c r="BS32" s="174">
        <v>1.9</v>
      </c>
      <c r="BT32" s="174">
        <v>4.7</v>
      </c>
      <c r="BU32" s="174">
        <v>5.9</v>
      </c>
      <c r="BV32" s="174">
        <v>6.8</v>
      </c>
      <c r="BW32" s="174">
        <v>7.7</v>
      </c>
      <c r="BX32" s="174">
        <v>9.1999999999999993</v>
      </c>
      <c r="BY32" s="174">
        <v>7.3400000000000007E-2</v>
      </c>
      <c r="BZ32" s="174">
        <v>9.7900000000000001E-2</v>
      </c>
      <c r="CA32" s="174">
        <v>0.1142</v>
      </c>
      <c r="CB32" s="174">
        <v>0.13059999999999999</v>
      </c>
      <c r="CC32" s="174">
        <v>0.18090000000000001</v>
      </c>
      <c r="CD32" s="174">
        <v>203</v>
      </c>
      <c r="CE32" s="174">
        <v>304</v>
      </c>
      <c r="CF32" s="174">
        <v>339</v>
      </c>
      <c r="CG32" s="174">
        <v>376</v>
      </c>
      <c r="CH32" s="174">
        <v>533</v>
      </c>
      <c r="CI32" s="174"/>
      <c r="CJ32" s="174"/>
      <c r="CK32" s="174"/>
      <c r="CL32" s="174"/>
      <c r="CM32" s="174"/>
      <c r="CN32" s="174"/>
      <c r="CO32" s="174">
        <v>93</v>
      </c>
      <c r="CP32" s="174">
        <v>118</v>
      </c>
      <c r="CQ32" s="174">
        <v>157</v>
      </c>
      <c r="CR32" s="174">
        <v>196</v>
      </c>
      <c r="CS32" s="174">
        <v>303</v>
      </c>
      <c r="CT32" s="174">
        <v>24.9</v>
      </c>
      <c r="CU32" s="174">
        <v>6</v>
      </c>
      <c r="CV32" s="174">
        <v>1.1000000000000001</v>
      </c>
      <c r="CW32" s="175">
        <v>3.8872464121651599E-10</v>
      </c>
    </row>
    <row r="33" spans="1:101" x14ac:dyDescent="0.3">
      <c r="A33" s="192"/>
      <c r="B33" s="192"/>
      <c r="D33" s="153"/>
      <c r="L33" s="196"/>
      <c r="M33" s="196" t="s">
        <v>395</v>
      </c>
      <c r="N33" s="167"/>
      <c r="O33" s="170"/>
      <c r="P33" s="167"/>
      <c r="Q33" s="167"/>
      <c r="R33" s="197"/>
      <c r="S33" s="167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I33" s="167"/>
      <c r="AJ33" s="167"/>
      <c r="AK33" s="167"/>
      <c r="AL33" s="167"/>
      <c r="AM33" s="167"/>
      <c r="AN33" s="167"/>
      <c r="AO33" s="167"/>
      <c r="AP33" s="167"/>
      <c r="BL33" s="174">
        <v>37</v>
      </c>
      <c r="BM33" s="174" t="s">
        <v>557</v>
      </c>
      <c r="BN33" s="174">
        <v>31</v>
      </c>
      <c r="BO33" s="174">
        <v>18.8</v>
      </c>
      <c r="BP33" s="174">
        <v>46</v>
      </c>
      <c r="BQ33" s="174">
        <v>85</v>
      </c>
      <c r="BR33" s="174">
        <v>3</v>
      </c>
      <c r="BS33" s="174">
        <v>1.9</v>
      </c>
      <c r="BT33" s="174">
        <v>4.7</v>
      </c>
      <c r="BU33" s="174">
        <v>5.9</v>
      </c>
      <c r="BV33" s="174">
        <v>6.8</v>
      </c>
      <c r="BW33" s="174">
        <v>7.7</v>
      </c>
      <c r="BX33" s="174">
        <v>9.1999999999999993</v>
      </c>
      <c r="BY33" s="174">
        <v>7.3400000000000007E-2</v>
      </c>
      <c r="BZ33" s="174">
        <v>9.7900000000000001E-2</v>
      </c>
      <c r="CA33" s="174">
        <v>0.1142</v>
      </c>
      <c r="CB33" s="174">
        <v>0.13059999999999999</v>
      </c>
      <c r="CC33" s="174">
        <v>0.18090000000000001</v>
      </c>
      <c r="CD33" s="174">
        <v>203</v>
      </c>
      <c r="CE33" s="174">
        <v>304</v>
      </c>
      <c r="CF33" s="174">
        <v>339</v>
      </c>
      <c r="CG33" s="174">
        <v>376</v>
      </c>
      <c r="CH33" s="174">
        <v>533</v>
      </c>
      <c r="CI33" s="174"/>
      <c r="CJ33" s="174"/>
      <c r="CK33" s="174"/>
      <c r="CL33" s="174"/>
      <c r="CM33" s="174"/>
      <c r="CN33" s="174"/>
      <c r="CO33" s="174">
        <v>96</v>
      </c>
      <c r="CP33" s="174">
        <v>118</v>
      </c>
      <c r="CQ33" s="174">
        <v>157</v>
      </c>
      <c r="CR33" s="174">
        <v>196</v>
      </c>
      <c r="CS33" s="174">
        <v>303</v>
      </c>
      <c r="CT33" s="174">
        <v>24.9</v>
      </c>
      <c r="CU33" s="174">
        <v>6</v>
      </c>
      <c r="CV33" s="174">
        <v>1.1000000000000001</v>
      </c>
      <c r="CW33" s="175">
        <v>3.8872464121651599E-10</v>
      </c>
    </row>
    <row r="34" spans="1:101" x14ac:dyDescent="0.3">
      <c r="L34" s="196"/>
      <c r="M34" s="196" t="s">
        <v>395</v>
      </c>
      <c r="N34" s="167"/>
      <c r="O34" s="170"/>
      <c r="P34" s="167"/>
      <c r="Q34" s="167"/>
      <c r="R34" s="197"/>
      <c r="S34" s="167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I34" s="167"/>
      <c r="AJ34" s="167"/>
      <c r="AK34" s="167"/>
      <c r="AL34" s="167"/>
      <c r="AM34" s="167"/>
      <c r="AN34" s="167"/>
      <c r="AO34" s="167"/>
      <c r="AP34" s="167"/>
      <c r="BL34" s="174">
        <v>37</v>
      </c>
      <c r="BM34" s="174" t="s">
        <v>557</v>
      </c>
      <c r="BN34" s="174">
        <v>31</v>
      </c>
      <c r="BO34" s="174">
        <v>18.8</v>
      </c>
      <c r="BP34" s="174">
        <v>46</v>
      </c>
      <c r="BQ34" s="174">
        <v>85</v>
      </c>
      <c r="BR34" s="174">
        <v>3</v>
      </c>
      <c r="BS34" s="174">
        <v>1.9</v>
      </c>
      <c r="BT34" s="174">
        <v>5.8</v>
      </c>
      <c r="BU34" s="174">
        <v>6.9</v>
      </c>
      <c r="BV34" s="174">
        <v>7.7</v>
      </c>
      <c r="BW34" s="174">
        <v>8.5</v>
      </c>
      <c r="BX34" s="174">
        <v>10.6</v>
      </c>
      <c r="BY34" s="174">
        <v>7.3499999999999996E-2</v>
      </c>
      <c r="BZ34" s="174">
        <v>0.1043</v>
      </c>
      <c r="CA34" s="174">
        <v>0.12479999999999999</v>
      </c>
      <c r="CB34" s="174">
        <v>0.1454</v>
      </c>
      <c r="CC34" s="174">
        <v>0.22070000000000001</v>
      </c>
      <c r="CD34" s="174">
        <v>234</v>
      </c>
      <c r="CE34" s="174">
        <v>353</v>
      </c>
      <c r="CF34" s="174">
        <v>387</v>
      </c>
      <c r="CG34" s="174">
        <v>424</v>
      </c>
      <c r="CH34" s="174">
        <v>596</v>
      </c>
      <c r="CI34" s="174"/>
      <c r="CJ34" s="174"/>
      <c r="CK34" s="174"/>
      <c r="CL34" s="174"/>
      <c r="CM34" s="174"/>
      <c r="CN34" s="174"/>
      <c r="CO34" s="174">
        <v>99</v>
      </c>
      <c r="CP34" s="174">
        <v>126</v>
      </c>
      <c r="CQ34" s="174">
        <v>181</v>
      </c>
      <c r="CR34" s="174">
        <v>235</v>
      </c>
      <c r="CS34" s="174">
        <v>382</v>
      </c>
      <c r="CT34" s="174">
        <v>35.1</v>
      </c>
      <c r="CU34" s="174">
        <v>7.3</v>
      </c>
      <c r="CV34" s="174">
        <v>1.2</v>
      </c>
      <c r="CW34" s="175">
        <v>8.3497794933026537E-10</v>
      </c>
    </row>
    <row r="35" spans="1:101" x14ac:dyDescent="0.3">
      <c r="L35" s="196"/>
      <c r="M35" s="196" t="s">
        <v>395</v>
      </c>
      <c r="N35" s="167"/>
      <c r="O35" s="170"/>
      <c r="P35" s="167"/>
      <c r="Q35" s="167"/>
      <c r="R35" s="197"/>
      <c r="S35" s="167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I35" s="167"/>
      <c r="AJ35" s="167"/>
      <c r="AK35" s="167"/>
      <c r="AL35" s="167"/>
      <c r="AM35" s="167"/>
      <c r="AN35" s="167"/>
      <c r="AO35" s="167"/>
      <c r="AP35" s="167"/>
      <c r="BL35" s="174">
        <v>46</v>
      </c>
      <c r="BM35" s="174" t="s">
        <v>557</v>
      </c>
      <c r="BN35" s="174">
        <v>31</v>
      </c>
      <c r="BO35" s="174">
        <v>18.8</v>
      </c>
      <c r="BP35" s="174">
        <v>46</v>
      </c>
      <c r="BQ35" s="174">
        <v>85</v>
      </c>
      <c r="BR35" s="174">
        <v>3</v>
      </c>
      <c r="BS35" s="174">
        <v>1.9</v>
      </c>
      <c r="BT35" s="174">
        <v>8.6</v>
      </c>
      <c r="BU35" s="174">
        <v>9.6999999999999993</v>
      </c>
      <c r="BV35" s="174">
        <v>10.5</v>
      </c>
      <c r="BW35" s="174">
        <v>11.3</v>
      </c>
      <c r="BX35" s="174">
        <v>13.4</v>
      </c>
      <c r="BY35" s="174">
        <v>0.1133</v>
      </c>
      <c r="BZ35" s="174">
        <v>0.14399999999999999</v>
      </c>
      <c r="CA35" s="174">
        <v>0.1646</v>
      </c>
      <c r="CB35" s="174">
        <v>0.18509999999999999</v>
      </c>
      <c r="CC35" s="174">
        <v>0.26040000000000002</v>
      </c>
      <c r="CD35" s="174">
        <v>381</v>
      </c>
      <c r="CE35" s="174">
        <v>500</v>
      </c>
      <c r="CF35" s="174">
        <v>534</v>
      </c>
      <c r="CG35" s="174">
        <v>570</v>
      </c>
      <c r="CH35" s="174">
        <v>742</v>
      </c>
      <c r="CI35" s="174"/>
      <c r="CJ35" s="174"/>
      <c r="CK35" s="174"/>
      <c r="CL35" s="174"/>
      <c r="CM35" s="174"/>
      <c r="CN35" s="174"/>
      <c r="CO35" s="174">
        <v>170</v>
      </c>
      <c r="CP35" s="174">
        <v>204</v>
      </c>
      <c r="CQ35" s="174">
        <v>258</v>
      </c>
      <c r="CR35" s="174">
        <v>313</v>
      </c>
      <c r="CS35" s="174">
        <v>460</v>
      </c>
      <c r="CT35" s="174">
        <v>35.1</v>
      </c>
      <c r="CU35" s="174">
        <v>7.3</v>
      </c>
      <c r="CV35" s="174">
        <v>1.2</v>
      </c>
      <c r="CW35" s="175">
        <v>8.3497794933026537E-10</v>
      </c>
    </row>
    <row r="36" spans="1:101" x14ac:dyDescent="0.3">
      <c r="L36" s="196"/>
      <c r="M36" s="196" t="s">
        <v>395</v>
      </c>
      <c r="N36" s="167"/>
      <c r="O36" s="170"/>
      <c r="P36" s="167"/>
      <c r="Q36" s="167"/>
      <c r="R36" s="19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I36" s="167"/>
      <c r="AJ36" s="167"/>
      <c r="AK36" s="167"/>
      <c r="AL36" s="167"/>
      <c r="AM36" s="167"/>
      <c r="AN36" s="167"/>
      <c r="AO36" s="167"/>
      <c r="AP36" s="167"/>
      <c r="BL36" s="174">
        <v>46</v>
      </c>
      <c r="BM36" s="174" t="s">
        <v>557</v>
      </c>
      <c r="BN36" s="174">
        <v>31</v>
      </c>
      <c r="BO36" s="174">
        <v>18.8</v>
      </c>
      <c r="BP36" s="174">
        <v>46</v>
      </c>
      <c r="BQ36" s="174">
        <v>85</v>
      </c>
      <c r="BR36" s="174">
        <v>3</v>
      </c>
      <c r="BS36" s="174">
        <v>1.9</v>
      </c>
      <c r="BT36" s="174">
        <v>5.5</v>
      </c>
      <c r="BU36" s="174">
        <v>5.8</v>
      </c>
      <c r="BV36" s="174">
        <v>7.7</v>
      </c>
      <c r="BW36" s="174">
        <v>12</v>
      </c>
      <c r="BX36" s="174">
        <v>12.9</v>
      </c>
      <c r="BY36" s="174">
        <v>8.5900000000000004E-2</v>
      </c>
      <c r="BZ36" s="174">
        <v>9.2999999999999999E-2</v>
      </c>
      <c r="CA36" s="174">
        <v>0.12859999999999999</v>
      </c>
      <c r="CB36" s="174">
        <v>0.24579999999999999</v>
      </c>
      <c r="CC36" s="174">
        <v>0.26919999999999999</v>
      </c>
      <c r="CD36" s="174">
        <v>257</v>
      </c>
      <c r="CE36" s="174">
        <v>277</v>
      </c>
      <c r="CF36" s="174">
        <v>376</v>
      </c>
      <c r="CG36" s="174">
        <v>615</v>
      </c>
      <c r="CH36" s="174">
        <v>663</v>
      </c>
      <c r="CI36" s="174"/>
      <c r="CJ36" s="174"/>
      <c r="CK36" s="174"/>
      <c r="CL36" s="174"/>
      <c r="CM36" s="174"/>
      <c r="CN36" s="174"/>
      <c r="CO36" s="174">
        <v>123</v>
      </c>
      <c r="CP36" s="174">
        <v>132</v>
      </c>
      <c r="CQ36" s="174">
        <v>180</v>
      </c>
      <c r="CR36" s="174">
        <v>301</v>
      </c>
      <c r="CS36" s="174">
        <v>326</v>
      </c>
      <c r="CT36" s="174">
        <v>28.8</v>
      </c>
      <c r="CU36" s="174">
        <v>5.4</v>
      </c>
      <c r="CV36" s="174">
        <v>1</v>
      </c>
      <c r="CW36" s="175">
        <v>2.4725088131784682E-10</v>
      </c>
    </row>
    <row r="37" spans="1:101" x14ac:dyDescent="0.3">
      <c r="L37" s="196"/>
      <c r="AE37" s="167"/>
      <c r="AF37" s="167" t="s">
        <v>394</v>
      </c>
      <c r="AG37" s="167" t="s">
        <v>393</v>
      </c>
      <c r="AH37" s="167" t="s">
        <v>59</v>
      </c>
      <c r="BL37" s="174">
        <v>50</v>
      </c>
      <c r="BM37" s="174" t="s">
        <v>557</v>
      </c>
      <c r="BN37" s="174">
        <v>31</v>
      </c>
      <c r="BO37" s="174">
        <v>18.8</v>
      </c>
      <c r="BP37" s="174">
        <v>46</v>
      </c>
      <c r="BQ37" s="174">
        <v>85</v>
      </c>
      <c r="BR37" s="174">
        <v>3</v>
      </c>
      <c r="BS37" s="174">
        <v>1.9</v>
      </c>
      <c r="BT37" s="174">
        <v>6</v>
      </c>
      <c r="BU37" s="174">
        <v>6.3</v>
      </c>
      <c r="BV37" s="174">
        <v>8.1999999999999993</v>
      </c>
      <c r="BW37" s="174">
        <v>12.5</v>
      </c>
      <c r="BX37" s="174">
        <v>13.4</v>
      </c>
      <c r="BY37" s="174">
        <v>9.01E-2</v>
      </c>
      <c r="BZ37" s="174">
        <v>9.7199999999999995E-2</v>
      </c>
      <c r="CA37" s="174">
        <v>0.13270000000000001</v>
      </c>
      <c r="CB37" s="174">
        <v>0.25</v>
      </c>
      <c r="CC37" s="174">
        <v>0.27339999999999998</v>
      </c>
      <c r="CD37" s="174">
        <v>280</v>
      </c>
      <c r="CE37" s="174">
        <v>300</v>
      </c>
      <c r="CF37" s="174">
        <v>399</v>
      </c>
      <c r="CG37" s="174">
        <v>638</v>
      </c>
      <c r="CH37" s="174">
        <v>686</v>
      </c>
      <c r="CI37" s="174"/>
      <c r="CJ37" s="174"/>
      <c r="CK37" s="174"/>
      <c r="CL37" s="174"/>
      <c r="CM37" s="174"/>
      <c r="CN37" s="174"/>
      <c r="CO37" s="174">
        <v>136</v>
      </c>
      <c r="CP37" s="174">
        <v>145</v>
      </c>
      <c r="CQ37" s="174">
        <v>193</v>
      </c>
      <c r="CR37" s="174">
        <v>315</v>
      </c>
      <c r="CS37" s="174">
        <v>341</v>
      </c>
      <c r="CT37" s="174">
        <v>28.8</v>
      </c>
      <c r="CU37" s="174">
        <v>5.4</v>
      </c>
      <c r="CV37" s="174">
        <v>1</v>
      </c>
      <c r="CW37" s="175">
        <v>2.4725088131784682E-10</v>
      </c>
    </row>
    <row r="38" spans="1:101" x14ac:dyDescent="0.3">
      <c r="L38" s="196"/>
      <c r="AE38" s="152" t="s">
        <v>392</v>
      </c>
      <c r="AF38" s="152" t="s">
        <v>391</v>
      </c>
      <c r="AG38" s="152" t="s">
        <v>390</v>
      </c>
      <c r="BL38" s="174"/>
      <c r="BM38" s="174"/>
      <c r="BN38" s="174"/>
      <c r="BO38" s="174"/>
      <c r="BP38" s="174"/>
      <c r="BQ38" s="174"/>
      <c r="BR38" s="174"/>
      <c r="BS38" s="174"/>
      <c r="BT38" s="174"/>
      <c r="BU38" s="174"/>
      <c r="BV38" s="174"/>
      <c r="BW38" s="174"/>
      <c r="BX38" s="174"/>
      <c r="BY38" s="174"/>
      <c r="BZ38" s="174"/>
      <c r="CA38" s="174"/>
      <c r="CB38" s="174"/>
      <c r="CC38" s="174"/>
      <c r="CD38" s="174"/>
      <c r="CE38" s="174"/>
      <c r="CF38" s="174"/>
      <c r="CG38" s="174"/>
      <c r="CH38" s="174"/>
      <c r="CI38" s="174"/>
      <c r="CJ38" s="174"/>
      <c r="CK38" s="174"/>
      <c r="CL38" s="174"/>
      <c r="CM38" s="174"/>
      <c r="CN38" s="174"/>
      <c r="CO38" s="174"/>
      <c r="CP38" s="174"/>
      <c r="CQ38" s="174"/>
      <c r="CR38" s="174"/>
      <c r="CS38" s="174"/>
      <c r="CT38" s="174"/>
      <c r="CU38" s="174"/>
      <c r="CV38" s="174"/>
      <c r="CW38" s="175"/>
    </row>
    <row r="39" spans="1:101" x14ac:dyDescent="0.3">
      <c r="L39" s="196"/>
      <c r="AE39" s="152">
        <v>15</v>
      </c>
      <c r="AF39" s="152">
        <v>48</v>
      </c>
      <c r="AG39" s="152">
        <v>1900</v>
      </c>
      <c r="AH39" s="152">
        <v>8</v>
      </c>
      <c r="BL39" s="174"/>
      <c r="BM39" s="174"/>
      <c r="BN39" s="174"/>
      <c r="BO39" s="174"/>
      <c r="BP39" s="174"/>
      <c r="BQ39" s="174"/>
      <c r="BR39" s="174"/>
      <c r="BS39" s="174"/>
      <c r="BT39" s="174"/>
      <c r="BU39" s="174"/>
      <c r="BV39" s="174"/>
      <c r="BW39" s="174"/>
      <c r="BX39" s="174"/>
      <c r="BY39" s="174"/>
      <c r="BZ39" s="174"/>
      <c r="CA39" s="174"/>
      <c r="CB39" s="174"/>
      <c r="CC39" s="174"/>
      <c r="CD39" s="174"/>
      <c r="CE39" s="174"/>
      <c r="CF39" s="174"/>
      <c r="CG39" s="174"/>
      <c r="CH39" s="174"/>
      <c r="CI39" s="174"/>
      <c r="CJ39" s="174"/>
      <c r="CK39" s="174"/>
      <c r="CL39" s="174"/>
      <c r="CM39" s="174"/>
      <c r="CN39" s="174"/>
      <c r="CO39" s="174"/>
      <c r="CP39" s="174"/>
      <c r="CQ39" s="174"/>
      <c r="CR39" s="174"/>
      <c r="CS39" s="174"/>
      <c r="CT39" s="174"/>
      <c r="CU39" s="174"/>
      <c r="CV39" s="174"/>
      <c r="CW39" s="175"/>
    </row>
    <row r="40" spans="1:101" x14ac:dyDescent="0.3">
      <c r="L40" s="196"/>
      <c r="AE40" s="152">
        <v>16</v>
      </c>
      <c r="AF40" s="152">
        <f>AF39+3.8</f>
        <v>51.8</v>
      </c>
      <c r="AG40" s="152">
        <f>AG39+200</f>
        <v>2100</v>
      </c>
      <c r="AH40" s="152">
        <f>AH39+0.8</f>
        <v>8.8000000000000007</v>
      </c>
      <c r="BL40" s="174"/>
      <c r="BM40" s="174"/>
      <c r="BN40" s="174"/>
      <c r="BO40" s="174"/>
      <c r="BP40" s="174"/>
      <c r="BQ40" s="174"/>
      <c r="BR40" s="174"/>
      <c r="BS40" s="174"/>
      <c r="BT40" s="174"/>
      <c r="BU40" s="174"/>
      <c r="BV40" s="174"/>
      <c r="BW40" s="174"/>
      <c r="BX40" s="174"/>
      <c r="BY40" s="174"/>
      <c r="BZ40" s="174"/>
      <c r="CA40" s="174"/>
      <c r="CB40" s="174"/>
      <c r="CC40" s="174"/>
      <c r="CD40" s="174"/>
      <c r="CE40" s="174"/>
      <c r="CF40" s="174"/>
      <c r="CG40" s="174"/>
      <c r="CH40" s="174"/>
      <c r="CI40" s="174"/>
      <c r="CJ40" s="174"/>
      <c r="CK40" s="174"/>
      <c r="CL40" s="174"/>
      <c r="CM40" s="174"/>
      <c r="CN40" s="174"/>
      <c r="CO40" s="174"/>
      <c r="CP40" s="174"/>
      <c r="CQ40" s="174"/>
      <c r="CR40" s="174"/>
      <c r="CS40" s="174"/>
      <c r="CT40" s="174"/>
      <c r="CU40" s="174"/>
      <c r="CV40" s="174"/>
      <c r="CW40" s="175"/>
    </row>
    <row r="41" spans="1:101" x14ac:dyDescent="0.3">
      <c r="L41" s="196"/>
      <c r="AE41" s="152">
        <v>17</v>
      </c>
      <c r="AF41" s="152">
        <f>AF40+3.8</f>
        <v>55.599999999999994</v>
      </c>
      <c r="AG41" s="152">
        <f>AG40+200</f>
        <v>2300</v>
      </c>
      <c r="AH41" s="152">
        <f>AH40+0.8</f>
        <v>9.6000000000000014</v>
      </c>
      <c r="BL41" s="174"/>
      <c r="BM41" s="174"/>
      <c r="BN41" s="174"/>
      <c r="BO41" s="174"/>
      <c r="BP41" s="174"/>
      <c r="BQ41" s="174"/>
      <c r="BR41" s="174"/>
      <c r="BS41" s="174"/>
      <c r="BT41" s="174"/>
      <c r="BU41" s="174"/>
      <c r="BV41" s="174"/>
      <c r="BW41" s="174"/>
      <c r="BX41" s="174"/>
      <c r="BY41" s="174"/>
      <c r="BZ41" s="174"/>
      <c r="CA41" s="174"/>
      <c r="CB41" s="174"/>
      <c r="CC41" s="174"/>
      <c r="CD41" s="174"/>
      <c r="CE41" s="174"/>
      <c r="CF41" s="174"/>
      <c r="CG41" s="174"/>
      <c r="CH41" s="174"/>
      <c r="CI41" s="174"/>
      <c r="CJ41" s="174"/>
      <c r="CK41" s="174"/>
      <c r="CL41" s="174"/>
      <c r="CM41" s="174"/>
      <c r="CN41" s="174"/>
      <c r="CO41" s="174"/>
      <c r="CP41" s="174"/>
      <c r="CQ41" s="174"/>
      <c r="CR41" s="174"/>
      <c r="CS41" s="174"/>
      <c r="CT41" s="174"/>
      <c r="CU41" s="174"/>
      <c r="CV41" s="174"/>
      <c r="CW41" s="175"/>
    </row>
    <row r="42" spans="1:101" x14ac:dyDescent="0.3">
      <c r="L42" s="196"/>
      <c r="AE42" s="152">
        <v>18</v>
      </c>
      <c r="AF42" s="152">
        <f>AF41+3.8</f>
        <v>59.399999999999991</v>
      </c>
      <c r="AG42" s="152">
        <f>AG41+200</f>
        <v>2500</v>
      </c>
      <c r="AH42" s="152">
        <f>AH41+0.8</f>
        <v>10.400000000000002</v>
      </c>
      <c r="BL42" s="174"/>
      <c r="BM42" s="174"/>
      <c r="BN42" s="174"/>
      <c r="BO42" s="174"/>
      <c r="BP42" s="174"/>
      <c r="BQ42" s="174"/>
      <c r="BR42" s="174"/>
      <c r="BS42" s="174"/>
      <c r="BT42" s="174"/>
      <c r="BU42" s="174"/>
      <c r="BV42" s="174"/>
      <c r="BW42" s="174"/>
      <c r="BX42" s="174"/>
      <c r="BY42" s="174"/>
      <c r="BZ42" s="174"/>
      <c r="CA42" s="174"/>
      <c r="CB42" s="174"/>
      <c r="CC42" s="174"/>
      <c r="CD42" s="174"/>
      <c r="CE42" s="174"/>
      <c r="CF42" s="174"/>
      <c r="CG42" s="174"/>
      <c r="CH42" s="174"/>
      <c r="CI42" s="174"/>
      <c r="CJ42" s="174"/>
      <c r="CK42" s="174"/>
      <c r="CL42" s="174"/>
      <c r="CM42" s="174"/>
      <c r="CN42" s="174"/>
      <c r="CO42" s="174"/>
      <c r="CP42" s="174"/>
      <c r="CQ42" s="174"/>
      <c r="CR42" s="174"/>
      <c r="CS42" s="174"/>
      <c r="CT42" s="174"/>
      <c r="CU42" s="174"/>
      <c r="CV42" s="174"/>
      <c r="CW42" s="175"/>
    </row>
    <row r="43" spans="1:101" x14ac:dyDescent="0.3">
      <c r="L43" s="196"/>
      <c r="AE43" s="152">
        <v>19</v>
      </c>
      <c r="AF43" s="152">
        <f>AF42+3.8</f>
        <v>63.199999999999989</v>
      </c>
      <c r="AG43" s="152">
        <f>AG42+200</f>
        <v>2700</v>
      </c>
      <c r="AH43" s="152">
        <f>AH42+0.8</f>
        <v>11.200000000000003</v>
      </c>
      <c r="BL43" s="174"/>
      <c r="BM43" s="174"/>
      <c r="BN43" s="174"/>
      <c r="BO43" s="174"/>
      <c r="BP43" s="174"/>
      <c r="BQ43" s="174"/>
      <c r="BR43" s="174"/>
      <c r="BS43" s="174"/>
      <c r="BT43" s="174"/>
      <c r="BU43" s="174"/>
      <c r="BV43" s="174"/>
      <c r="BW43" s="174"/>
      <c r="BX43" s="174"/>
      <c r="BY43" s="174"/>
      <c r="BZ43" s="174"/>
      <c r="CA43" s="174"/>
      <c r="CB43" s="174"/>
      <c r="CC43" s="174"/>
      <c r="CD43" s="174"/>
      <c r="CE43" s="174"/>
      <c r="CF43" s="174"/>
      <c r="CG43" s="174"/>
      <c r="CH43" s="174"/>
      <c r="CI43" s="174"/>
      <c r="CJ43" s="174"/>
      <c r="CK43" s="174"/>
      <c r="CL43" s="174"/>
      <c r="CM43" s="174"/>
      <c r="CN43" s="174"/>
      <c r="CO43" s="174"/>
      <c r="CP43" s="174"/>
      <c r="CQ43" s="174"/>
      <c r="CR43" s="174"/>
      <c r="CS43" s="174"/>
      <c r="CT43" s="174"/>
      <c r="CU43" s="174"/>
      <c r="CV43" s="174"/>
      <c r="CW43" s="175"/>
    </row>
    <row r="44" spans="1:101" x14ac:dyDescent="0.3">
      <c r="L44" s="196"/>
      <c r="AE44" s="152">
        <v>20</v>
      </c>
      <c r="AF44" s="152">
        <f>AF43+3.8</f>
        <v>66.999999999999986</v>
      </c>
      <c r="AG44" s="152">
        <f>AG43+200</f>
        <v>2900</v>
      </c>
      <c r="AH44" s="152">
        <f>AH43+0.8</f>
        <v>12.000000000000004</v>
      </c>
      <c r="BL44" s="174"/>
      <c r="BM44" s="174"/>
      <c r="BN44" s="174"/>
      <c r="BO44" s="174"/>
      <c r="BP44" s="174"/>
      <c r="BQ44" s="174"/>
      <c r="BR44" s="174"/>
      <c r="BS44" s="174"/>
      <c r="BT44" s="174"/>
      <c r="BU44" s="174"/>
      <c r="BV44" s="174"/>
      <c r="BW44" s="174"/>
      <c r="BX44" s="174"/>
      <c r="BY44" s="174"/>
      <c r="BZ44" s="174"/>
      <c r="CA44" s="174"/>
      <c r="CB44" s="174"/>
      <c r="CC44" s="174"/>
      <c r="CD44" s="174"/>
      <c r="CE44" s="174"/>
      <c r="CF44" s="174"/>
      <c r="CG44" s="174"/>
      <c r="CH44" s="174"/>
      <c r="CI44" s="174"/>
      <c r="CJ44" s="174"/>
      <c r="CK44" s="174"/>
      <c r="CL44" s="174"/>
      <c r="CM44" s="174"/>
      <c r="CN44" s="174"/>
      <c r="CO44" s="174"/>
      <c r="CP44" s="174"/>
      <c r="CQ44" s="174"/>
      <c r="CR44" s="174"/>
      <c r="CS44" s="174"/>
      <c r="CT44" s="174"/>
      <c r="CU44" s="174"/>
      <c r="CV44" s="174"/>
      <c r="CW44" s="175"/>
    </row>
    <row r="45" spans="1:101" x14ac:dyDescent="0.3">
      <c r="L45" s="196"/>
      <c r="AE45" s="152">
        <v>21</v>
      </c>
      <c r="AF45" s="152">
        <f>AF44+2.8</f>
        <v>69.799999999999983</v>
      </c>
      <c r="AG45" s="152">
        <f>AG44+380</f>
        <v>3280</v>
      </c>
      <c r="AH45" s="152">
        <f>AH44+1.6</f>
        <v>13.600000000000003</v>
      </c>
      <c r="BL45" s="174"/>
      <c r="BM45" s="174"/>
      <c r="BN45" s="174"/>
      <c r="BO45" s="174"/>
      <c r="BP45" s="174"/>
      <c r="BQ45" s="174"/>
      <c r="BR45" s="174"/>
      <c r="BS45" s="174"/>
      <c r="BT45" s="174"/>
      <c r="BU45" s="174"/>
      <c r="BV45" s="174"/>
      <c r="BW45" s="174"/>
      <c r="BX45" s="174"/>
      <c r="BY45" s="174"/>
      <c r="BZ45" s="174"/>
      <c r="CA45" s="174"/>
      <c r="CB45" s="174"/>
      <c r="CC45" s="174"/>
      <c r="CD45" s="174"/>
      <c r="CE45" s="174"/>
      <c r="CF45" s="174"/>
      <c r="CG45" s="174"/>
      <c r="CH45" s="174"/>
      <c r="CI45" s="174"/>
      <c r="CJ45" s="174"/>
      <c r="CK45" s="174"/>
      <c r="CL45" s="174"/>
      <c r="CM45" s="174"/>
      <c r="CN45" s="174"/>
      <c r="CO45" s="174"/>
      <c r="CP45" s="174"/>
      <c r="CQ45" s="174"/>
      <c r="CR45" s="174"/>
      <c r="CS45" s="174"/>
      <c r="CT45" s="174"/>
      <c r="CU45" s="174"/>
      <c r="CV45" s="174"/>
      <c r="CW45" s="175"/>
    </row>
    <row r="46" spans="1:101" x14ac:dyDescent="0.3">
      <c r="L46" s="196"/>
      <c r="AE46" s="152">
        <v>22</v>
      </c>
      <c r="AF46" s="152">
        <f>AF45+2.8</f>
        <v>72.59999999999998</v>
      </c>
      <c r="AG46" s="152">
        <f>AG45+380</f>
        <v>3660</v>
      </c>
      <c r="AH46" s="152">
        <f>AH45+1.6</f>
        <v>15.200000000000003</v>
      </c>
      <c r="BL46" s="174"/>
      <c r="BM46" s="174"/>
      <c r="BN46" s="174"/>
      <c r="BO46" s="174"/>
      <c r="BP46" s="174"/>
      <c r="BQ46" s="174"/>
      <c r="BR46" s="174"/>
      <c r="BS46" s="174"/>
      <c r="BT46" s="174"/>
      <c r="BU46" s="174"/>
      <c r="BV46" s="174"/>
      <c r="BW46" s="174"/>
      <c r="BX46" s="174"/>
      <c r="BY46" s="174"/>
      <c r="BZ46" s="174"/>
      <c r="CA46" s="174"/>
      <c r="CB46" s="174"/>
      <c r="CC46" s="174"/>
      <c r="CD46" s="174"/>
      <c r="CE46" s="174"/>
      <c r="CF46" s="174"/>
      <c r="CG46" s="174"/>
      <c r="CH46" s="174"/>
      <c r="CI46" s="174"/>
      <c r="CJ46" s="174"/>
      <c r="CK46" s="174"/>
      <c r="CL46" s="174"/>
      <c r="CM46" s="174"/>
      <c r="CN46" s="174"/>
      <c r="CO46" s="174"/>
      <c r="CP46" s="174"/>
      <c r="CQ46" s="174"/>
      <c r="CR46" s="174"/>
      <c r="CS46" s="174"/>
      <c r="CT46" s="174"/>
      <c r="CU46" s="174"/>
      <c r="CV46" s="174"/>
      <c r="CW46" s="175"/>
    </row>
    <row r="47" spans="1:101" x14ac:dyDescent="0.3">
      <c r="L47" s="196"/>
      <c r="AE47" s="152">
        <v>23</v>
      </c>
      <c r="AF47" s="152">
        <f>AF46+2.8</f>
        <v>75.399999999999977</v>
      </c>
      <c r="AG47" s="152">
        <f>AG46+380</f>
        <v>4040</v>
      </c>
      <c r="AH47" s="152">
        <f>AH46+1.6</f>
        <v>16.800000000000004</v>
      </c>
      <c r="BL47" s="174"/>
      <c r="BM47" s="174"/>
      <c r="BN47" s="174"/>
      <c r="BO47" s="174"/>
      <c r="BP47" s="174"/>
      <c r="BQ47" s="174"/>
      <c r="BR47" s="174"/>
      <c r="BS47" s="174"/>
      <c r="BT47" s="174"/>
      <c r="BU47" s="174"/>
      <c r="BV47" s="174"/>
      <c r="BW47" s="174"/>
      <c r="BX47" s="174"/>
      <c r="BY47" s="174"/>
      <c r="BZ47" s="174"/>
      <c r="CA47" s="174"/>
      <c r="CB47" s="174"/>
      <c r="CC47" s="174"/>
      <c r="CD47" s="174"/>
      <c r="CE47" s="174"/>
      <c r="CF47" s="174"/>
      <c r="CG47" s="174"/>
      <c r="CH47" s="174"/>
      <c r="CI47" s="174"/>
      <c r="CJ47" s="174"/>
      <c r="CK47" s="174"/>
      <c r="CL47" s="174"/>
      <c r="CM47" s="174"/>
      <c r="CN47" s="174"/>
      <c r="CO47" s="174"/>
      <c r="CP47" s="174"/>
      <c r="CQ47" s="174"/>
      <c r="CR47" s="174"/>
      <c r="CS47" s="174"/>
      <c r="CT47" s="174"/>
      <c r="CU47" s="174"/>
      <c r="CV47" s="174"/>
      <c r="CW47" s="175"/>
    </row>
    <row r="48" spans="1:101" x14ac:dyDescent="0.3">
      <c r="L48" s="196"/>
      <c r="AE48" s="152">
        <v>24</v>
      </c>
      <c r="AF48" s="152">
        <f>AF47+2.8</f>
        <v>78.199999999999974</v>
      </c>
      <c r="AG48" s="152">
        <f>AG47+380</f>
        <v>4420</v>
      </c>
      <c r="AH48" s="152">
        <f>AH47+1.6</f>
        <v>18.400000000000006</v>
      </c>
      <c r="BL48" s="174"/>
      <c r="BM48" s="174"/>
      <c r="BN48" s="174"/>
      <c r="BO48" s="174"/>
      <c r="BP48" s="174"/>
      <c r="BQ48" s="174"/>
      <c r="BR48" s="174"/>
      <c r="BS48" s="174"/>
      <c r="BT48" s="174"/>
      <c r="BU48" s="174"/>
      <c r="BV48" s="174"/>
      <c r="BW48" s="174"/>
      <c r="BX48" s="174"/>
      <c r="BY48" s="174"/>
      <c r="BZ48" s="174"/>
      <c r="CA48" s="174"/>
      <c r="CB48" s="174"/>
      <c r="CC48" s="174"/>
      <c r="CD48" s="174"/>
      <c r="CE48" s="174"/>
      <c r="CF48" s="174"/>
      <c r="CG48" s="174"/>
      <c r="CH48" s="174"/>
      <c r="CI48" s="174"/>
      <c r="CJ48" s="174"/>
      <c r="CK48" s="174"/>
      <c r="CL48" s="174"/>
      <c r="CM48" s="174"/>
      <c r="CN48" s="174"/>
      <c r="CO48" s="174"/>
      <c r="CP48" s="174"/>
      <c r="CQ48" s="174"/>
      <c r="CR48" s="174"/>
      <c r="CS48" s="174"/>
      <c r="CT48" s="174"/>
      <c r="CU48" s="174"/>
      <c r="CV48" s="174"/>
      <c r="CW48" s="175"/>
    </row>
    <row r="49" spans="12:101" x14ac:dyDescent="0.3">
      <c r="L49" s="196"/>
      <c r="AE49" s="152">
        <v>25</v>
      </c>
      <c r="AF49" s="152">
        <f>AF48+2.8</f>
        <v>80.999999999999972</v>
      </c>
      <c r="AG49" s="152">
        <v>4800</v>
      </c>
      <c r="AH49" s="152">
        <f>AH48+1.6</f>
        <v>20.000000000000007</v>
      </c>
      <c r="BL49" s="174"/>
      <c r="BM49" s="174"/>
      <c r="BN49" s="174"/>
      <c r="BO49" s="174"/>
      <c r="BP49" s="174"/>
      <c r="BQ49" s="174"/>
      <c r="BR49" s="174"/>
      <c r="BS49" s="174"/>
      <c r="BT49" s="174"/>
      <c r="BU49" s="174"/>
      <c r="BV49" s="174"/>
      <c r="BW49" s="174"/>
      <c r="BX49" s="174"/>
      <c r="BY49" s="174"/>
      <c r="BZ49" s="174"/>
      <c r="CA49" s="174"/>
      <c r="CB49" s="174"/>
      <c r="CC49" s="174"/>
      <c r="CD49" s="174"/>
      <c r="CE49" s="174"/>
      <c r="CF49" s="174"/>
      <c r="CG49" s="174"/>
      <c r="CH49" s="174"/>
      <c r="CI49" s="174"/>
      <c r="CJ49" s="174"/>
      <c r="CK49" s="174"/>
      <c r="CL49" s="174"/>
      <c r="CM49" s="174"/>
      <c r="CN49" s="174"/>
      <c r="CO49" s="174"/>
      <c r="CP49" s="174"/>
      <c r="CQ49" s="174"/>
      <c r="CR49" s="174"/>
      <c r="CS49" s="174"/>
      <c r="CT49" s="174"/>
      <c r="CU49" s="174"/>
      <c r="CV49" s="174"/>
      <c r="CW49" s="175"/>
    </row>
    <row r="50" spans="12:101" x14ac:dyDescent="0.3">
      <c r="L50" s="196"/>
      <c r="AE50" s="152">
        <v>26</v>
      </c>
      <c r="AF50" s="152">
        <f>AF49+3</f>
        <v>83.999999999999972</v>
      </c>
      <c r="AG50" s="152">
        <f>AG49+960</f>
        <v>5760</v>
      </c>
      <c r="AH50" s="152">
        <f>AH49+4</f>
        <v>24.000000000000007</v>
      </c>
      <c r="BL50" s="174"/>
      <c r="BM50" s="174"/>
      <c r="BN50" s="174"/>
      <c r="BO50" s="174"/>
      <c r="BP50" s="174"/>
      <c r="BQ50" s="174"/>
      <c r="BR50" s="174"/>
      <c r="BS50" s="174"/>
      <c r="BT50" s="174"/>
      <c r="BU50" s="174"/>
      <c r="BV50" s="174"/>
      <c r="BW50" s="174"/>
      <c r="BX50" s="174"/>
      <c r="BY50" s="174"/>
      <c r="BZ50" s="174"/>
      <c r="CA50" s="174"/>
      <c r="CB50" s="174"/>
      <c r="CC50" s="174"/>
      <c r="CD50" s="174"/>
      <c r="CE50" s="174"/>
      <c r="CF50" s="174"/>
      <c r="CG50" s="174"/>
      <c r="CH50" s="174"/>
      <c r="CI50" s="174"/>
      <c r="CJ50" s="174"/>
      <c r="CK50" s="174"/>
      <c r="CL50" s="174"/>
      <c r="CM50" s="174"/>
      <c r="CN50" s="174"/>
      <c r="CO50" s="174"/>
      <c r="CP50" s="174"/>
      <c r="CQ50" s="174"/>
      <c r="CR50" s="174"/>
      <c r="CS50" s="174"/>
      <c r="CT50" s="174"/>
      <c r="CU50" s="174"/>
      <c r="CV50" s="174"/>
      <c r="CW50" s="175"/>
    </row>
    <row r="51" spans="12:101" x14ac:dyDescent="0.3">
      <c r="L51" s="196"/>
      <c r="AE51" s="152">
        <v>27</v>
      </c>
      <c r="AF51" s="152">
        <f>AF50+3</f>
        <v>86.999999999999972</v>
      </c>
      <c r="AG51" s="152">
        <f>AG50+960</f>
        <v>6720</v>
      </c>
      <c r="AH51" s="152">
        <f>AH50+4</f>
        <v>28.000000000000007</v>
      </c>
      <c r="BL51" s="174"/>
      <c r="BM51" s="174"/>
      <c r="BN51" s="174"/>
      <c r="BO51" s="174"/>
      <c r="BP51" s="174"/>
      <c r="BQ51" s="174"/>
      <c r="BR51" s="174"/>
      <c r="BS51" s="174"/>
      <c r="BT51" s="174"/>
      <c r="BU51" s="174"/>
      <c r="BV51" s="174"/>
      <c r="BW51" s="174"/>
      <c r="BX51" s="174"/>
      <c r="BY51" s="174"/>
      <c r="BZ51" s="174"/>
      <c r="CA51" s="174"/>
      <c r="CB51" s="174"/>
      <c r="CC51" s="174"/>
      <c r="CD51" s="174"/>
      <c r="CE51" s="174"/>
      <c r="CF51" s="174"/>
      <c r="CG51" s="174"/>
      <c r="CH51" s="174"/>
      <c r="CI51" s="174"/>
      <c r="CJ51" s="174"/>
      <c r="CK51" s="174"/>
      <c r="CL51" s="174"/>
      <c r="CM51" s="174"/>
      <c r="CN51" s="174"/>
      <c r="CO51" s="174"/>
      <c r="CP51" s="174"/>
      <c r="CQ51" s="174"/>
      <c r="CR51" s="174"/>
      <c r="CS51" s="174"/>
      <c r="CT51" s="174"/>
      <c r="CU51" s="174"/>
      <c r="CV51" s="174"/>
      <c r="CW51" s="175"/>
    </row>
    <row r="52" spans="12:101" x14ac:dyDescent="0.3">
      <c r="L52" s="196"/>
      <c r="AE52" s="152">
        <v>28</v>
      </c>
      <c r="AF52" s="152">
        <f>AF51+3</f>
        <v>89.999999999999972</v>
      </c>
      <c r="AG52" s="152">
        <f>AG51+960</f>
        <v>7680</v>
      </c>
      <c r="AH52" s="152">
        <f>AH51+4</f>
        <v>32.000000000000007</v>
      </c>
      <c r="BL52" s="174"/>
      <c r="BM52" s="174"/>
      <c r="BN52" s="174"/>
      <c r="BO52" s="174"/>
      <c r="BP52" s="174"/>
      <c r="BQ52" s="174"/>
      <c r="BR52" s="174"/>
      <c r="BS52" s="174"/>
      <c r="BT52" s="174"/>
      <c r="BU52" s="174"/>
      <c r="BV52" s="174"/>
      <c r="BW52" s="174"/>
      <c r="BX52" s="174"/>
      <c r="BY52" s="174"/>
      <c r="BZ52" s="174"/>
      <c r="CA52" s="174"/>
      <c r="CB52" s="174"/>
      <c r="CC52" s="174"/>
      <c r="CD52" s="174"/>
      <c r="CE52" s="174"/>
      <c r="CF52" s="174"/>
      <c r="CG52" s="174"/>
      <c r="CH52" s="174"/>
      <c r="CI52" s="174"/>
      <c r="CJ52" s="174"/>
      <c r="CK52" s="174"/>
      <c r="CL52" s="174"/>
      <c r="CM52" s="174"/>
      <c r="CN52" s="174"/>
      <c r="CO52" s="174"/>
      <c r="CP52" s="174"/>
      <c r="CQ52" s="174"/>
      <c r="CR52" s="174"/>
      <c r="CS52" s="174"/>
      <c r="CT52" s="174"/>
      <c r="CU52" s="174"/>
      <c r="CV52" s="174"/>
      <c r="CW52" s="175"/>
    </row>
    <row r="53" spans="12:101" x14ac:dyDescent="0.3">
      <c r="L53" s="196"/>
      <c r="AE53" s="152">
        <v>29</v>
      </c>
      <c r="AF53" s="152">
        <f>AF52+3</f>
        <v>92.999999999999972</v>
      </c>
      <c r="AG53" s="152">
        <f>AG52+960</f>
        <v>8640</v>
      </c>
      <c r="AH53" s="152">
        <f>AH52+4</f>
        <v>36.000000000000007</v>
      </c>
      <c r="BL53" s="174"/>
      <c r="BM53" s="174"/>
      <c r="BN53" s="174"/>
      <c r="BO53" s="174"/>
      <c r="BP53" s="174"/>
      <c r="BQ53" s="174"/>
      <c r="BR53" s="174"/>
      <c r="BS53" s="174"/>
      <c r="BT53" s="174"/>
      <c r="BU53" s="174"/>
      <c r="BV53" s="174"/>
      <c r="BW53" s="174"/>
      <c r="BX53" s="174"/>
      <c r="BY53" s="174"/>
      <c r="BZ53" s="174"/>
      <c r="CA53" s="174"/>
      <c r="CB53" s="174"/>
      <c r="CC53" s="174"/>
      <c r="CD53" s="174"/>
      <c r="CE53" s="174"/>
      <c r="CF53" s="174"/>
      <c r="CG53" s="174"/>
      <c r="CH53" s="174"/>
      <c r="CI53" s="174"/>
      <c r="CJ53" s="174"/>
      <c r="CK53" s="174"/>
      <c r="CL53" s="174"/>
      <c r="CM53" s="174"/>
      <c r="CN53" s="174"/>
      <c r="CO53" s="174"/>
      <c r="CP53" s="174"/>
      <c r="CQ53" s="174"/>
      <c r="CR53" s="174"/>
      <c r="CS53" s="174"/>
      <c r="CT53" s="174"/>
      <c r="CU53" s="174"/>
      <c r="CV53" s="174"/>
      <c r="CW53" s="175"/>
    </row>
    <row r="54" spans="12:101" x14ac:dyDescent="0.3">
      <c r="L54" s="196"/>
      <c r="AE54" s="152">
        <v>30</v>
      </c>
      <c r="AF54" s="152">
        <f>AF53+3</f>
        <v>95.999999999999972</v>
      </c>
      <c r="AG54" s="152">
        <f>AG53+960</f>
        <v>9600</v>
      </c>
      <c r="AH54" s="152">
        <f>AH53+4</f>
        <v>40.000000000000007</v>
      </c>
      <c r="BL54" s="174"/>
      <c r="BM54" s="174"/>
      <c r="BN54" s="174"/>
      <c r="BO54" s="174"/>
      <c r="BP54" s="174"/>
      <c r="BQ54" s="174"/>
      <c r="BR54" s="174"/>
      <c r="BS54" s="174"/>
      <c r="BT54" s="174"/>
      <c r="BU54" s="174"/>
      <c r="BV54" s="174"/>
      <c r="BW54" s="174"/>
      <c r="BX54" s="174"/>
      <c r="BY54" s="174"/>
      <c r="BZ54" s="174"/>
      <c r="CA54" s="174"/>
      <c r="CB54" s="174"/>
      <c r="CC54" s="174"/>
      <c r="CD54" s="174"/>
      <c r="CE54" s="174"/>
      <c r="CF54" s="174"/>
      <c r="CG54" s="174"/>
      <c r="CH54" s="174"/>
      <c r="CI54" s="174"/>
      <c r="CJ54" s="174"/>
      <c r="CK54" s="174"/>
      <c r="CL54" s="174"/>
      <c r="CM54" s="174"/>
      <c r="CN54" s="174"/>
      <c r="CO54" s="174"/>
      <c r="CP54" s="174"/>
      <c r="CQ54" s="174"/>
      <c r="CR54" s="174"/>
      <c r="CS54" s="174"/>
      <c r="CT54" s="174"/>
      <c r="CU54" s="174"/>
      <c r="CV54" s="174"/>
      <c r="CW54" s="175"/>
    </row>
    <row r="55" spans="12:101" x14ac:dyDescent="0.3">
      <c r="L55" s="196"/>
      <c r="AE55" s="152">
        <v>31</v>
      </c>
      <c r="AF55" s="152">
        <f>AF54+3.8</f>
        <v>99.799999999999969</v>
      </c>
      <c r="AG55" s="152">
        <f>AG54+480</f>
        <v>10080</v>
      </c>
      <c r="AH55" s="152">
        <f>AH54+2</f>
        <v>42.000000000000007</v>
      </c>
      <c r="BL55" s="174"/>
      <c r="BM55" s="174"/>
      <c r="BN55" s="174"/>
      <c r="BO55" s="174"/>
      <c r="BP55" s="174"/>
      <c r="BQ55" s="174"/>
      <c r="BR55" s="174"/>
      <c r="BS55" s="174"/>
      <c r="BT55" s="174"/>
      <c r="BU55" s="174"/>
      <c r="BV55" s="174"/>
      <c r="BW55" s="174"/>
      <c r="BX55" s="174"/>
      <c r="BY55" s="174"/>
      <c r="BZ55" s="174"/>
      <c r="CA55" s="174"/>
      <c r="CB55" s="174"/>
      <c r="CC55" s="174"/>
      <c r="CD55" s="174"/>
      <c r="CE55" s="174"/>
      <c r="CF55" s="174"/>
      <c r="CG55" s="174"/>
      <c r="CH55" s="174"/>
      <c r="CI55" s="174"/>
      <c r="CJ55" s="174"/>
      <c r="CK55" s="174"/>
      <c r="CL55" s="174"/>
      <c r="CM55" s="174"/>
      <c r="CN55" s="174"/>
      <c r="CO55" s="174"/>
      <c r="CP55" s="174"/>
      <c r="CQ55" s="174"/>
      <c r="CR55" s="174"/>
      <c r="CS55" s="174"/>
      <c r="CT55" s="174"/>
      <c r="CU55" s="174"/>
      <c r="CV55" s="174"/>
      <c r="CW55" s="175"/>
    </row>
    <row r="56" spans="12:101" x14ac:dyDescent="0.3">
      <c r="L56" s="196"/>
      <c r="AE56" s="152">
        <v>32</v>
      </c>
      <c r="AF56" s="152">
        <f>AF55+3.8</f>
        <v>103.59999999999997</v>
      </c>
      <c r="AG56" s="152">
        <f>AG55+480</f>
        <v>10560</v>
      </c>
      <c r="AH56" s="152">
        <f>AH55+2</f>
        <v>44.000000000000007</v>
      </c>
      <c r="BL56" s="174"/>
      <c r="BM56" s="174"/>
      <c r="BN56" s="174"/>
      <c r="BO56" s="174"/>
      <c r="BP56" s="174"/>
      <c r="BQ56" s="174"/>
      <c r="BR56" s="174"/>
      <c r="BS56" s="174"/>
      <c r="BT56" s="174"/>
      <c r="BU56" s="174"/>
      <c r="BV56" s="174"/>
      <c r="BW56" s="174"/>
      <c r="BX56" s="174"/>
      <c r="BY56" s="174"/>
      <c r="BZ56" s="174"/>
      <c r="CA56" s="174"/>
      <c r="CB56" s="174"/>
      <c r="CC56" s="174"/>
      <c r="CD56" s="174"/>
      <c r="CE56" s="174"/>
      <c r="CF56" s="174"/>
      <c r="CG56" s="174"/>
      <c r="CH56" s="174"/>
      <c r="CI56" s="174"/>
      <c r="CJ56" s="174"/>
      <c r="CK56" s="174"/>
      <c r="CL56" s="174"/>
      <c r="CM56" s="174"/>
      <c r="CN56" s="174"/>
      <c r="CO56" s="174"/>
      <c r="CP56" s="174"/>
      <c r="CQ56" s="174"/>
      <c r="CR56" s="174"/>
      <c r="CS56" s="174"/>
      <c r="CT56" s="174"/>
      <c r="CU56" s="174"/>
      <c r="CV56" s="174"/>
      <c r="CW56" s="175"/>
    </row>
    <row r="57" spans="12:101" x14ac:dyDescent="0.3">
      <c r="L57" s="196"/>
      <c r="AE57" s="152">
        <v>33</v>
      </c>
      <c r="AF57" s="152">
        <f>AF56+3.8</f>
        <v>107.39999999999996</v>
      </c>
      <c r="AG57" s="152">
        <f>AG56+480</f>
        <v>11040</v>
      </c>
      <c r="AH57" s="152">
        <f>AH56+2</f>
        <v>46.000000000000007</v>
      </c>
      <c r="BL57" s="174"/>
      <c r="BM57" s="174"/>
      <c r="BN57" s="174"/>
      <c r="BO57" s="174"/>
      <c r="BP57" s="174"/>
      <c r="BQ57" s="174"/>
      <c r="BR57" s="174"/>
      <c r="BS57" s="174"/>
      <c r="BT57" s="174"/>
      <c r="BU57" s="174"/>
      <c r="BV57" s="174"/>
      <c r="BW57" s="174"/>
      <c r="BX57" s="174"/>
      <c r="BY57" s="174"/>
      <c r="BZ57" s="174"/>
      <c r="CA57" s="174"/>
      <c r="CB57" s="174"/>
      <c r="CC57" s="174"/>
      <c r="CD57" s="174"/>
      <c r="CE57" s="174"/>
      <c r="CF57" s="174"/>
      <c r="CG57" s="174"/>
      <c r="CH57" s="174"/>
      <c r="CI57" s="174"/>
      <c r="CJ57" s="174"/>
      <c r="CK57" s="174"/>
      <c r="CL57" s="174"/>
      <c r="CM57" s="174"/>
      <c r="CN57" s="174"/>
      <c r="CO57" s="174"/>
      <c r="CP57" s="174"/>
      <c r="CQ57" s="174"/>
      <c r="CR57" s="174"/>
      <c r="CS57" s="174"/>
      <c r="CT57" s="174"/>
      <c r="CU57" s="174"/>
      <c r="CV57" s="174"/>
      <c r="CW57" s="175"/>
    </row>
    <row r="58" spans="12:101" x14ac:dyDescent="0.3">
      <c r="L58" s="196"/>
      <c r="AE58" s="152">
        <v>34</v>
      </c>
      <c r="AF58" s="152">
        <f>AF57+3.8</f>
        <v>111.19999999999996</v>
      </c>
      <c r="AG58" s="152">
        <f>AG57+480</f>
        <v>11520</v>
      </c>
      <c r="AH58" s="152">
        <f>AH57+2</f>
        <v>48.000000000000007</v>
      </c>
      <c r="BL58" s="174"/>
      <c r="BM58" s="174"/>
      <c r="BN58" s="174"/>
      <c r="BO58" s="174"/>
      <c r="BP58" s="174"/>
      <c r="BQ58" s="174"/>
      <c r="BR58" s="174"/>
      <c r="BS58" s="174"/>
      <c r="BT58" s="174"/>
      <c r="BU58" s="174"/>
      <c r="BV58" s="174"/>
      <c r="BW58" s="174"/>
      <c r="BX58" s="174"/>
      <c r="BY58" s="174"/>
      <c r="BZ58" s="174"/>
      <c r="CA58" s="174"/>
      <c r="CB58" s="174"/>
      <c r="CC58" s="174"/>
      <c r="CD58" s="174"/>
      <c r="CE58" s="174"/>
      <c r="CF58" s="174"/>
      <c r="CG58" s="174"/>
      <c r="CH58" s="174"/>
      <c r="CI58" s="174"/>
      <c r="CJ58" s="174"/>
      <c r="CK58" s="174"/>
      <c r="CL58" s="174"/>
      <c r="CM58" s="174"/>
      <c r="CN58" s="174"/>
      <c r="CO58" s="174"/>
      <c r="CP58" s="174"/>
      <c r="CQ58" s="174"/>
      <c r="CR58" s="174"/>
      <c r="CS58" s="174"/>
      <c r="CT58" s="174"/>
      <c r="CU58" s="174"/>
      <c r="CV58" s="174"/>
      <c r="CW58" s="175"/>
    </row>
    <row r="59" spans="12:101" x14ac:dyDescent="0.3">
      <c r="L59" s="196"/>
      <c r="AE59" s="152">
        <v>35</v>
      </c>
      <c r="AF59" s="152">
        <f>AF58+3.8</f>
        <v>114.99999999999996</v>
      </c>
      <c r="AG59" s="152">
        <f>AG58+480</f>
        <v>12000</v>
      </c>
      <c r="AH59" s="152">
        <f>AH58+2</f>
        <v>50.000000000000007</v>
      </c>
      <c r="BL59" s="174"/>
      <c r="BM59" s="174"/>
      <c r="BN59" s="174"/>
      <c r="BO59" s="174"/>
      <c r="BP59" s="174"/>
      <c r="BQ59" s="174"/>
      <c r="BR59" s="174"/>
      <c r="BS59" s="174"/>
      <c r="BT59" s="174"/>
      <c r="BU59" s="174"/>
      <c r="BV59" s="174"/>
      <c r="BW59" s="174"/>
      <c r="BX59" s="174"/>
      <c r="BY59" s="174"/>
      <c r="BZ59" s="174"/>
      <c r="CA59" s="174"/>
      <c r="CB59" s="174"/>
      <c r="CC59" s="174"/>
      <c r="CD59" s="174"/>
      <c r="CE59" s="174"/>
      <c r="CF59" s="174"/>
      <c r="CG59" s="174"/>
      <c r="CH59" s="174"/>
      <c r="CI59" s="174"/>
      <c r="CJ59" s="174"/>
      <c r="CK59" s="174"/>
      <c r="CL59" s="174"/>
      <c r="CM59" s="174"/>
      <c r="CN59" s="174"/>
      <c r="CO59" s="174"/>
      <c r="CP59" s="174"/>
      <c r="CQ59" s="174"/>
      <c r="CR59" s="174"/>
      <c r="CS59" s="174"/>
      <c r="CT59" s="174"/>
      <c r="CU59" s="174"/>
      <c r="CV59" s="174"/>
      <c r="CW59" s="175"/>
    </row>
    <row r="60" spans="12:101" x14ac:dyDescent="0.3">
      <c r="L60" s="196"/>
      <c r="BL60" s="174"/>
      <c r="BM60" s="174"/>
      <c r="BN60" s="174"/>
      <c r="BO60" s="174"/>
      <c r="BP60" s="174"/>
      <c r="BQ60" s="174"/>
      <c r="BR60" s="174"/>
      <c r="BS60" s="174"/>
      <c r="BT60" s="174"/>
      <c r="BU60" s="174"/>
      <c r="BV60" s="174"/>
      <c r="BW60" s="174"/>
      <c r="BX60" s="174"/>
      <c r="BY60" s="174"/>
      <c r="BZ60" s="174"/>
      <c r="CA60" s="174"/>
      <c r="CB60" s="174"/>
      <c r="CC60" s="174"/>
      <c r="CD60" s="174"/>
      <c r="CE60" s="174"/>
      <c r="CF60" s="174"/>
      <c r="CG60" s="174"/>
      <c r="CH60" s="174"/>
      <c r="CI60" s="174"/>
      <c r="CJ60" s="174"/>
      <c r="CK60" s="174"/>
      <c r="CL60" s="174"/>
      <c r="CM60" s="174"/>
      <c r="CN60" s="174"/>
      <c r="CO60" s="174"/>
      <c r="CP60" s="174"/>
      <c r="CQ60" s="174"/>
      <c r="CR60" s="174"/>
      <c r="CS60" s="174"/>
      <c r="CT60" s="174"/>
      <c r="CU60" s="174"/>
      <c r="CV60" s="174"/>
      <c r="CW60" s="175"/>
    </row>
    <row r="61" spans="12:101" x14ac:dyDescent="0.3">
      <c r="L61" s="196"/>
      <c r="BL61" s="174"/>
      <c r="BM61" s="174"/>
      <c r="BN61" s="174"/>
      <c r="BO61" s="174"/>
      <c r="BP61" s="174"/>
      <c r="BQ61" s="174"/>
      <c r="BR61" s="174"/>
      <c r="BS61" s="174"/>
      <c r="BT61" s="174"/>
      <c r="BU61" s="174"/>
      <c r="BV61" s="174"/>
      <c r="BW61" s="174"/>
      <c r="BX61" s="174"/>
      <c r="BY61" s="174"/>
      <c r="BZ61" s="174"/>
      <c r="CA61" s="174"/>
      <c r="CB61" s="174"/>
      <c r="CC61" s="174"/>
      <c r="CD61" s="174"/>
      <c r="CE61" s="174"/>
      <c r="CF61" s="174"/>
      <c r="CG61" s="174"/>
      <c r="CH61" s="174"/>
      <c r="CI61" s="174"/>
      <c r="CJ61" s="174"/>
      <c r="CK61" s="174"/>
      <c r="CL61" s="174"/>
      <c r="CM61" s="174"/>
      <c r="CN61" s="174"/>
      <c r="CO61" s="174"/>
      <c r="CP61" s="174"/>
      <c r="CQ61" s="174"/>
      <c r="CR61" s="174"/>
      <c r="CS61" s="174"/>
      <c r="CT61" s="174"/>
      <c r="CU61" s="174"/>
      <c r="CV61" s="174"/>
      <c r="CW61" s="175"/>
    </row>
    <row r="62" spans="12:101" x14ac:dyDescent="0.3">
      <c r="L62" s="196"/>
      <c r="BL62" s="174"/>
      <c r="BM62" s="174"/>
      <c r="BN62" s="174"/>
      <c r="BO62" s="174"/>
      <c r="BP62" s="174"/>
      <c r="BQ62" s="174"/>
      <c r="BR62" s="174"/>
      <c r="BS62" s="174"/>
      <c r="BT62" s="174"/>
      <c r="BU62" s="174"/>
      <c r="BV62" s="174"/>
      <c r="BW62" s="174"/>
      <c r="BX62" s="174"/>
      <c r="BY62" s="174"/>
      <c r="BZ62" s="174"/>
      <c r="CA62" s="174"/>
      <c r="CB62" s="174"/>
      <c r="CC62" s="174"/>
      <c r="CD62" s="174"/>
      <c r="CE62" s="174"/>
      <c r="CF62" s="174"/>
      <c r="CG62" s="174"/>
      <c r="CH62" s="174"/>
      <c r="CI62" s="174"/>
      <c r="CJ62" s="174"/>
      <c r="CK62" s="174"/>
      <c r="CL62" s="174"/>
      <c r="CM62" s="174"/>
      <c r="CN62" s="174"/>
      <c r="CO62" s="174"/>
      <c r="CP62" s="174"/>
      <c r="CQ62" s="174"/>
      <c r="CR62" s="174"/>
      <c r="CS62" s="174"/>
      <c r="CT62" s="174"/>
      <c r="CU62" s="174"/>
      <c r="CV62" s="174"/>
      <c r="CW62" s="175"/>
    </row>
    <row r="63" spans="12:101" x14ac:dyDescent="0.3">
      <c r="L63" s="196"/>
      <c r="BL63" s="174"/>
      <c r="BM63" s="174"/>
      <c r="BN63" s="174"/>
      <c r="BO63" s="174"/>
      <c r="BP63" s="174"/>
      <c r="BQ63" s="174"/>
      <c r="BR63" s="174"/>
      <c r="BS63" s="174"/>
      <c r="BT63" s="174"/>
      <c r="BU63" s="174"/>
      <c r="BV63" s="174"/>
      <c r="BW63" s="174"/>
      <c r="BX63" s="174"/>
      <c r="BY63" s="174"/>
      <c r="BZ63" s="174"/>
      <c r="CA63" s="174"/>
      <c r="CB63" s="174"/>
      <c r="CC63" s="174"/>
      <c r="CD63" s="174"/>
      <c r="CE63" s="174"/>
      <c r="CF63" s="174"/>
      <c r="CG63" s="174"/>
      <c r="CH63" s="174"/>
      <c r="CI63" s="174"/>
      <c r="CJ63" s="174"/>
      <c r="CK63" s="174"/>
      <c r="CL63" s="174"/>
      <c r="CM63" s="174"/>
      <c r="CN63" s="174"/>
      <c r="CO63" s="174"/>
      <c r="CP63" s="174"/>
      <c r="CQ63" s="174"/>
      <c r="CR63" s="174"/>
      <c r="CS63" s="174"/>
      <c r="CT63" s="174"/>
      <c r="CU63" s="174"/>
      <c r="CV63" s="174"/>
      <c r="CW63" s="175"/>
    </row>
    <row r="64" spans="12:101" x14ac:dyDescent="0.3">
      <c r="L64" s="196"/>
      <c r="BL64" s="174"/>
      <c r="BM64" s="174"/>
      <c r="BN64" s="174"/>
      <c r="BO64" s="174"/>
      <c r="BP64" s="174"/>
      <c r="BQ64" s="174"/>
      <c r="BR64" s="174"/>
      <c r="BS64" s="174"/>
      <c r="BT64" s="174"/>
      <c r="BU64" s="174"/>
      <c r="BV64" s="174"/>
      <c r="BW64" s="174"/>
      <c r="BX64" s="174"/>
      <c r="BY64" s="174"/>
      <c r="BZ64" s="174"/>
      <c r="CA64" s="174"/>
      <c r="CB64" s="174"/>
      <c r="CC64" s="174"/>
      <c r="CD64" s="174"/>
      <c r="CE64" s="174"/>
      <c r="CF64" s="174"/>
      <c r="CG64" s="174"/>
      <c r="CH64" s="174"/>
      <c r="CI64" s="174"/>
      <c r="CJ64" s="174"/>
      <c r="CK64" s="174"/>
      <c r="CL64" s="174"/>
      <c r="CM64" s="174"/>
      <c r="CN64" s="174"/>
      <c r="CO64" s="174"/>
      <c r="CP64" s="174"/>
      <c r="CQ64" s="174"/>
      <c r="CR64" s="174"/>
      <c r="CS64" s="174"/>
      <c r="CT64" s="174"/>
      <c r="CU64" s="174"/>
      <c r="CV64" s="174"/>
      <c r="CW64" s="175"/>
    </row>
    <row r="65" spans="12:101" x14ac:dyDescent="0.3">
      <c r="L65" s="196"/>
      <c r="BL65" s="174"/>
      <c r="BM65" s="174"/>
      <c r="BN65" s="174"/>
      <c r="BO65" s="174"/>
      <c r="BP65" s="174"/>
      <c r="BQ65" s="174"/>
      <c r="BR65" s="174"/>
      <c r="BS65" s="174"/>
      <c r="BT65" s="174"/>
      <c r="BU65" s="174"/>
      <c r="BV65" s="174"/>
      <c r="BW65" s="174"/>
      <c r="BX65" s="174"/>
      <c r="BY65" s="174"/>
      <c r="BZ65" s="174"/>
      <c r="CA65" s="174"/>
      <c r="CB65" s="174"/>
      <c r="CC65" s="174"/>
      <c r="CD65" s="174"/>
      <c r="CE65" s="174"/>
      <c r="CF65" s="174"/>
      <c r="CG65" s="174"/>
      <c r="CH65" s="174"/>
      <c r="CI65" s="174"/>
      <c r="CJ65" s="174"/>
      <c r="CK65" s="174"/>
      <c r="CL65" s="174"/>
      <c r="CM65" s="174"/>
      <c r="CN65" s="174"/>
      <c r="CO65" s="174"/>
      <c r="CP65" s="174"/>
      <c r="CQ65" s="174"/>
      <c r="CR65" s="174"/>
      <c r="CS65" s="174"/>
      <c r="CT65" s="174"/>
      <c r="CU65" s="174"/>
      <c r="CV65" s="174"/>
      <c r="CW65" s="175"/>
    </row>
    <row r="66" spans="12:101" x14ac:dyDescent="0.3">
      <c r="L66" s="196"/>
      <c r="BL66" s="174"/>
      <c r="BM66" s="174"/>
      <c r="BN66" s="174"/>
      <c r="BO66" s="174"/>
      <c r="BP66" s="174"/>
      <c r="BQ66" s="174"/>
      <c r="BR66" s="174"/>
      <c r="BS66" s="174"/>
      <c r="BT66" s="174"/>
      <c r="BU66" s="174"/>
      <c r="BV66" s="174"/>
      <c r="BW66" s="174"/>
      <c r="BX66" s="174"/>
      <c r="BY66" s="174"/>
      <c r="BZ66" s="174"/>
      <c r="CA66" s="174"/>
      <c r="CB66" s="174"/>
      <c r="CC66" s="174"/>
      <c r="CD66" s="174"/>
      <c r="CE66" s="174"/>
      <c r="CF66" s="174"/>
      <c r="CG66" s="174"/>
      <c r="CH66" s="174"/>
      <c r="CI66" s="174"/>
      <c r="CJ66" s="174"/>
      <c r="CK66" s="174"/>
      <c r="CL66" s="174"/>
      <c r="CM66" s="174"/>
      <c r="CN66" s="174"/>
      <c r="CO66" s="174"/>
      <c r="CP66" s="174"/>
      <c r="CQ66" s="174"/>
      <c r="CR66" s="174"/>
      <c r="CS66" s="174"/>
      <c r="CT66" s="174"/>
      <c r="CU66" s="174"/>
      <c r="CV66" s="174"/>
      <c r="CW66" s="175"/>
    </row>
    <row r="67" spans="12:101" x14ac:dyDescent="0.3">
      <c r="L67" s="196"/>
      <c r="BL67" s="174"/>
      <c r="BM67" s="174"/>
      <c r="BN67" s="174"/>
      <c r="BO67" s="174"/>
      <c r="BP67" s="174"/>
      <c r="BQ67" s="174"/>
      <c r="BR67" s="174"/>
      <c r="BS67" s="174"/>
      <c r="BT67" s="174"/>
      <c r="BU67" s="174"/>
      <c r="BV67" s="174"/>
      <c r="BW67" s="174"/>
      <c r="BX67" s="174"/>
      <c r="BY67" s="174"/>
      <c r="BZ67" s="174"/>
      <c r="CA67" s="174"/>
      <c r="CB67" s="174"/>
      <c r="CC67" s="174"/>
      <c r="CD67" s="174"/>
      <c r="CE67" s="174"/>
      <c r="CF67" s="174"/>
      <c r="CG67" s="174"/>
      <c r="CH67" s="174"/>
      <c r="CI67" s="174"/>
      <c r="CJ67" s="174"/>
      <c r="CK67" s="174"/>
      <c r="CL67" s="174"/>
      <c r="CM67" s="174"/>
      <c r="CN67" s="174"/>
      <c r="CO67" s="174"/>
      <c r="CP67" s="174"/>
      <c r="CQ67" s="174"/>
      <c r="CR67" s="174"/>
      <c r="CS67" s="174"/>
      <c r="CT67" s="174"/>
      <c r="CU67" s="174"/>
      <c r="CV67" s="174"/>
      <c r="CW67" s="175"/>
    </row>
    <row r="68" spans="12:101" x14ac:dyDescent="0.3">
      <c r="L68" s="196"/>
      <c r="BL68" s="174"/>
      <c r="BM68" s="174"/>
      <c r="BN68" s="174"/>
      <c r="BO68" s="174"/>
      <c r="BP68" s="174"/>
      <c r="BQ68" s="174"/>
      <c r="BR68" s="174"/>
      <c r="BS68" s="174"/>
      <c r="BT68" s="174"/>
      <c r="BU68" s="174"/>
      <c r="BV68" s="174"/>
      <c r="BW68" s="174"/>
      <c r="BX68" s="174"/>
      <c r="BY68" s="174"/>
      <c r="BZ68" s="174"/>
      <c r="CA68" s="174"/>
      <c r="CB68" s="174"/>
      <c r="CC68" s="174"/>
      <c r="CD68" s="174"/>
      <c r="CE68" s="174"/>
      <c r="CF68" s="174"/>
      <c r="CG68" s="174"/>
      <c r="CH68" s="174"/>
      <c r="CI68" s="174"/>
      <c r="CJ68" s="174"/>
      <c r="CK68" s="174"/>
      <c r="CL68" s="174"/>
      <c r="CM68" s="174"/>
      <c r="CN68" s="174"/>
      <c r="CO68" s="174"/>
      <c r="CP68" s="174"/>
      <c r="CQ68" s="174"/>
      <c r="CR68" s="174"/>
      <c r="CS68" s="174"/>
      <c r="CT68" s="174"/>
      <c r="CU68" s="174"/>
      <c r="CV68" s="174"/>
      <c r="CW68" s="175"/>
    </row>
    <row r="69" spans="12:101" x14ac:dyDescent="0.3">
      <c r="L69" s="196"/>
    </row>
    <row r="70" spans="12:101" x14ac:dyDescent="0.3">
      <c r="L70" s="196"/>
    </row>
    <row r="71" spans="12:101" x14ac:dyDescent="0.3">
      <c r="L71" s="196"/>
    </row>
    <row r="72" spans="12:101" x14ac:dyDescent="0.3">
      <c r="L72" s="196"/>
    </row>
    <row r="73" spans="12:101" x14ac:dyDescent="0.3">
      <c r="L73" s="196"/>
    </row>
    <row r="74" spans="12:101" x14ac:dyDescent="0.3">
      <c r="L74" s="196"/>
    </row>
    <row r="75" spans="12:101" x14ac:dyDescent="0.3">
      <c r="L75" s="196"/>
    </row>
    <row r="76" spans="12:101" x14ac:dyDescent="0.3">
      <c r="L76" s="196"/>
    </row>
    <row r="77" spans="12:101" x14ac:dyDescent="0.3">
      <c r="L77" s="196"/>
    </row>
    <row r="78" spans="12:101" x14ac:dyDescent="0.3">
      <c r="L78" s="196"/>
    </row>
    <row r="79" spans="12:101" x14ac:dyDescent="0.3">
      <c r="L79" s="196"/>
    </row>
    <row r="80" spans="12:101" x14ac:dyDescent="0.3">
      <c r="L80" s="196"/>
    </row>
    <row r="81" spans="12:12" x14ac:dyDescent="0.3">
      <c r="L81" s="196"/>
    </row>
    <row r="82" spans="12:12" x14ac:dyDescent="0.3">
      <c r="L82" s="196"/>
    </row>
    <row r="83" spans="12:12" x14ac:dyDescent="0.3">
      <c r="L83" s="196"/>
    </row>
    <row r="84" spans="12:12" x14ac:dyDescent="0.3">
      <c r="L84" s="196"/>
    </row>
    <row r="85" spans="12:12" x14ac:dyDescent="0.3">
      <c r="L85" s="196"/>
    </row>
    <row r="86" spans="12:12" x14ac:dyDescent="0.3">
      <c r="L86" s="196"/>
    </row>
    <row r="87" spans="12:12" x14ac:dyDescent="0.3">
      <c r="L87" s="196"/>
    </row>
    <row r="88" spans="12:12" x14ac:dyDescent="0.3">
      <c r="L88" s="196"/>
    </row>
    <row r="89" spans="12:12" x14ac:dyDescent="0.3">
      <c r="L89" s="196"/>
    </row>
    <row r="90" spans="12:12" x14ac:dyDescent="0.3">
      <c r="L90" s="196"/>
    </row>
    <row r="91" spans="12:12" x14ac:dyDescent="0.3">
      <c r="L91" s="196"/>
    </row>
    <row r="92" spans="12:12" x14ac:dyDescent="0.3">
      <c r="L92" s="196"/>
    </row>
    <row r="93" spans="12:12" x14ac:dyDescent="0.3">
      <c r="L93" s="196"/>
    </row>
    <row r="94" spans="12:12" x14ac:dyDescent="0.3">
      <c r="L94" s="196"/>
    </row>
    <row r="95" spans="12:12" x14ac:dyDescent="0.3">
      <c r="L95" s="196"/>
    </row>
    <row r="96" spans="12:12" x14ac:dyDescent="0.3">
      <c r="L96" s="196"/>
    </row>
    <row r="97" spans="12:12" x14ac:dyDescent="0.3">
      <c r="L97" s="196"/>
    </row>
    <row r="98" spans="12:12" x14ac:dyDescent="0.3">
      <c r="L98" s="196"/>
    </row>
    <row r="99" spans="12:12" x14ac:dyDescent="0.3">
      <c r="L99" s="196"/>
    </row>
    <row r="100" spans="12:12" x14ac:dyDescent="0.3">
      <c r="L100" s="196"/>
    </row>
    <row r="101" spans="12:12" x14ac:dyDescent="0.3">
      <c r="L101" s="196"/>
    </row>
    <row r="102" spans="12:12" x14ac:dyDescent="0.3">
      <c r="L102" s="196"/>
    </row>
    <row r="103" spans="12:12" x14ac:dyDescent="0.3">
      <c r="L103" s="196"/>
    </row>
    <row r="104" spans="12:12" x14ac:dyDescent="0.3">
      <c r="L104" s="196"/>
    </row>
    <row r="105" spans="12:12" x14ac:dyDescent="0.3">
      <c r="L105" s="196"/>
    </row>
    <row r="106" spans="12:12" x14ac:dyDescent="0.3">
      <c r="L106" s="196"/>
    </row>
    <row r="107" spans="12:12" x14ac:dyDescent="0.3">
      <c r="L107" s="196"/>
    </row>
    <row r="108" spans="12:12" x14ac:dyDescent="0.3">
      <c r="L108" s="196"/>
    </row>
    <row r="109" spans="12:12" x14ac:dyDescent="0.3">
      <c r="L109" s="196"/>
    </row>
    <row r="110" spans="12:12" x14ac:dyDescent="0.3">
      <c r="L110" s="196"/>
    </row>
    <row r="111" spans="12:12" x14ac:dyDescent="0.3">
      <c r="L111" s="196"/>
    </row>
    <row r="112" spans="12:12" x14ac:dyDescent="0.3">
      <c r="L112" s="196"/>
    </row>
    <row r="113" spans="12:12" x14ac:dyDescent="0.3">
      <c r="L113" s="196"/>
    </row>
    <row r="114" spans="12:12" x14ac:dyDescent="0.3">
      <c r="L114" s="196"/>
    </row>
    <row r="115" spans="12:12" x14ac:dyDescent="0.3">
      <c r="L115" s="196"/>
    </row>
    <row r="116" spans="12:12" x14ac:dyDescent="0.3">
      <c r="L116" s="196"/>
    </row>
    <row r="117" spans="12:12" x14ac:dyDescent="0.3">
      <c r="L117" s="196"/>
    </row>
    <row r="118" spans="12:12" x14ac:dyDescent="0.3">
      <c r="L118" s="196"/>
    </row>
    <row r="119" spans="12:12" x14ac:dyDescent="0.3">
      <c r="L119" s="196"/>
    </row>
    <row r="120" spans="12:12" x14ac:dyDescent="0.3">
      <c r="L120" s="196"/>
    </row>
    <row r="121" spans="12:12" x14ac:dyDescent="0.3">
      <c r="L121" s="196"/>
    </row>
    <row r="122" spans="12:12" x14ac:dyDescent="0.3">
      <c r="L122" s="196"/>
    </row>
    <row r="123" spans="12:12" x14ac:dyDescent="0.3">
      <c r="L123" s="196"/>
    </row>
    <row r="124" spans="12:12" x14ac:dyDescent="0.3">
      <c r="L124" s="196"/>
    </row>
    <row r="125" spans="12:12" x14ac:dyDescent="0.3">
      <c r="L125" s="196"/>
    </row>
    <row r="126" spans="12:12" x14ac:dyDescent="0.3">
      <c r="L126" s="196"/>
    </row>
    <row r="127" spans="12:12" x14ac:dyDescent="0.3">
      <c r="L127" s="196"/>
    </row>
    <row r="128" spans="12:12" x14ac:dyDescent="0.3">
      <c r="L128" s="196"/>
    </row>
    <row r="129" spans="12:12" x14ac:dyDescent="0.3">
      <c r="L129" s="196"/>
    </row>
    <row r="130" spans="12:12" x14ac:dyDescent="0.3">
      <c r="L130" s="196"/>
    </row>
    <row r="131" spans="12:12" x14ac:dyDescent="0.3">
      <c r="L131" s="196"/>
    </row>
    <row r="132" spans="12:12" x14ac:dyDescent="0.3">
      <c r="L132" s="196"/>
    </row>
    <row r="133" spans="12:12" x14ac:dyDescent="0.3">
      <c r="L133" s="196"/>
    </row>
    <row r="134" spans="12:12" x14ac:dyDescent="0.3">
      <c r="L134" s="196"/>
    </row>
    <row r="135" spans="12:12" x14ac:dyDescent="0.3">
      <c r="L135" s="196"/>
    </row>
    <row r="136" spans="12:12" x14ac:dyDescent="0.3">
      <c r="L136" s="196"/>
    </row>
    <row r="137" spans="12:12" x14ac:dyDescent="0.3">
      <c r="L137" s="196"/>
    </row>
    <row r="138" spans="12:12" x14ac:dyDescent="0.3">
      <c r="L138" s="196"/>
    </row>
    <row r="139" spans="12:12" x14ac:dyDescent="0.3">
      <c r="L139" s="196"/>
    </row>
    <row r="140" spans="12:12" x14ac:dyDescent="0.3">
      <c r="L140" s="196"/>
    </row>
    <row r="141" spans="12:12" x14ac:dyDescent="0.3">
      <c r="L141" s="196"/>
    </row>
    <row r="142" spans="12:12" x14ac:dyDescent="0.3">
      <c r="L142" s="196"/>
    </row>
    <row r="143" spans="12:12" x14ac:dyDescent="0.3">
      <c r="L143" s="196"/>
    </row>
    <row r="144" spans="12:12" x14ac:dyDescent="0.3">
      <c r="L144" s="196"/>
    </row>
    <row r="145" spans="12:12" x14ac:dyDescent="0.3">
      <c r="L145" s="196"/>
    </row>
    <row r="146" spans="12:12" x14ac:dyDescent="0.3">
      <c r="L146" s="196"/>
    </row>
    <row r="147" spans="12:12" x14ac:dyDescent="0.3">
      <c r="L147" s="196"/>
    </row>
    <row r="148" spans="12:12" x14ac:dyDescent="0.3">
      <c r="L148" s="196"/>
    </row>
    <row r="149" spans="12:12" x14ac:dyDescent="0.3">
      <c r="L149" s="196"/>
    </row>
    <row r="150" spans="12:12" x14ac:dyDescent="0.3">
      <c r="L150" s="196"/>
    </row>
    <row r="151" spans="12:12" x14ac:dyDescent="0.3">
      <c r="L151" s="196"/>
    </row>
    <row r="152" spans="12:12" x14ac:dyDescent="0.3">
      <c r="L152" s="196"/>
    </row>
    <row r="153" spans="12:12" x14ac:dyDescent="0.3">
      <c r="L153" s="196"/>
    </row>
    <row r="154" spans="12:12" x14ac:dyDescent="0.3">
      <c r="L154" s="196"/>
    </row>
    <row r="155" spans="12:12" x14ac:dyDescent="0.3">
      <c r="L155" s="196"/>
    </row>
    <row r="156" spans="12:12" x14ac:dyDescent="0.3">
      <c r="L156" s="196"/>
    </row>
    <row r="157" spans="12:12" x14ac:dyDescent="0.3">
      <c r="L157" s="196"/>
    </row>
    <row r="158" spans="12:12" x14ac:dyDescent="0.3">
      <c r="L158" s="196"/>
    </row>
    <row r="159" spans="12:12" x14ac:dyDescent="0.3">
      <c r="L159" s="196"/>
    </row>
    <row r="160" spans="12:12" x14ac:dyDescent="0.3">
      <c r="L160" s="196"/>
    </row>
    <row r="161" spans="12:12" x14ac:dyDescent="0.3">
      <c r="L161" s="196"/>
    </row>
    <row r="162" spans="12:12" x14ac:dyDescent="0.3">
      <c r="L162" s="196"/>
    </row>
    <row r="163" spans="12:12" x14ac:dyDescent="0.3">
      <c r="L163" s="196"/>
    </row>
    <row r="164" spans="12:12" x14ac:dyDescent="0.3">
      <c r="L164" s="196"/>
    </row>
    <row r="165" spans="12:12" x14ac:dyDescent="0.3">
      <c r="L165" s="196"/>
    </row>
    <row r="166" spans="12:12" x14ac:dyDescent="0.3">
      <c r="L166" s="196"/>
    </row>
    <row r="167" spans="12:12" x14ac:dyDescent="0.3">
      <c r="L167" s="196"/>
    </row>
    <row r="168" spans="12:12" x14ac:dyDescent="0.3">
      <c r="L168" s="196"/>
    </row>
    <row r="169" spans="12:12" x14ac:dyDescent="0.3">
      <c r="L169" s="196"/>
    </row>
    <row r="170" spans="12:12" x14ac:dyDescent="0.3">
      <c r="L170" s="196"/>
    </row>
    <row r="171" spans="12:12" x14ac:dyDescent="0.3">
      <c r="L171" s="196"/>
    </row>
    <row r="172" spans="12:12" x14ac:dyDescent="0.3">
      <c r="L172" s="196"/>
    </row>
    <row r="173" spans="12:12" x14ac:dyDescent="0.3">
      <c r="L173" s="196"/>
    </row>
    <row r="174" spans="12:12" x14ac:dyDescent="0.3">
      <c r="L174" s="196"/>
    </row>
    <row r="175" spans="12:12" x14ac:dyDescent="0.3">
      <c r="L175" s="196"/>
    </row>
    <row r="176" spans="12:12" x14ac:dyDescent="0.3">
      <c r="L176" s="196"/>
    </row>
    <row r="177" spans="12:12" x14ac:dyDescent="0.3">
      <c r="L177" s="196"/>
    </row>
    <row r="178" spans="12:12" x14ac:dyDescent="0.3">
      <c r="L178" s="196"/>
    </row>
    <row r="179" spans="12:12" x14ac:dyDescent="0.3">
      <c r="L179" s="196"/>
    </row>
    <row r="180" spans="12:12" x14ac:dyDescent="0.3">
      <c r="L180" s="196"/>
    </row>
    <row r="181" spans="12:12" x14ac:dyDescent="0.3">
      <c r="L181" s="196"/>
    </row>
    <row r="182" spans="12:12" x14ac:dyDescent="0.3">
      <c r="L182" s="196"/>
    </row>
    <row r="183" spans="12:12" x14ac:dyDescent="0.3">
      <c r="L183" s="196"/>
    </row>
    <row r="184" spans="12:12" x14ac:dyDescent="0.3">
      <c r="L184" s="196"/>
    </row>
    <row r="185" spans="12:12" x14ac:dyDescent="0.3">
      <c r="L185" s="196"/>
    </row>
    <row r="186" spans="12:12" x14ac:dyDescent="0.3">
      <c r="L186" s="196"/>
    </row>
    <row r="187" spans="12:12" x14ac:dyDescent="0.3">
      <c r="L187" s="196"/>
    </row>
    <row r="188" spans="12:12" x14ac:dyDescent="0.3">
      <c r="L188" s="196"/>
    </row>
    <row r="189" spans="12:12" x14ac:dyDescent="0.3">
      <c r="L189" s="196"/>
    </row>
    <row r="190" spans="12:12" x14ac:dyDescent="0.3">
      <c r="L190" s="196"/>
    </row>
    <row r="191" spans="12:12" x14ac:dyDescent="0.3">
      <c r="L191" s="196"/>
    </row>
    <row r="192" spans="12:12" x14ac:dyDescent="0.3">
      <c r="L192" s="196"/>
    </row>
    <row r="193" spans="12:12" x14ac:dyDescent="0.3">
      <c r="L193" s="196"/>
    </row>
    <row r="194" spans="12:12" x14ac:dyDescent="0.3">
      <c r="L194" s="196"/>
    </row>
    <row r="195" spans="12:12" x14ac:dyDescent="0.3">
      <c r="L195" s="196"/>
    </row>
    <row r="196" spans="12:12" x14ac:dyDescent="0.3">
      <c r="L196" s="196"/>
    </row>
    <row r="197" spans="12:12" x14ac:dyDescent="0.3">
      <c r="L197" s="196"/>
    </row>
    <row r="198" spans="12:12" x14ac:dyDescent="0.3">
      <c r="L198" s="196"/>
    </row>
    <row r="199" spans="12:12" x14ac:dyDescent="0.3">
      <c r="L199" s="196"/>
    </row>
    <row r="200" spans="12:12" x14ac:dyDescent="0.3">
      <c r="L200" s="196"/>
    </row>
    <row r="201" spans="12:12" x14ac:dyDescent="0.3">
      <c r="L201" s="196"/>
    </row>
    <row r="202" spans="12:12" x14ac:dyDescent="0.3">
      <c r="L202" s="196"/>
    </row>
    <row r="203" spans="12:12" x14ac:dyDescent="0.3">
      <c r="L203" s="196"/>
    </row>
    <row r="204" spans="12:12" x14ac:dyDescent="0.3">
      <c r="L204" s="196"/>
    </row>
    <row r="205" spans="12:12" x14ac:dyDescent="0.3">
      <c r="L205" s="196"/>
    </row>
    <row r="206" spans="12:12" x14ac:dyDescent="0.3">
      <c r="L206" s="196"/>
    </row>
    <row r="207" spans="12:12" x14ac:dyDescent="0.3">
      <c r="L207" s="196"/>
    </row>
    <row r="208" spans="12:12" x14ac:dyDescent="0.3">
      <c r="L208" s="196"/>
    </row>
    <row r="209" spans="12:12" x14ac:dyDescent="0.3">
      <c r="L209" s="196"/>
    </row>
    <row r="210" spans="12:12" x14ac:dyDescent="0.3">
      <c r="L210" s="196"/>
    </row>
    <row r="211" spans="12:12" x14ac:dyDescent="0.3">
      <c r="L211" s="196"/>
    </row>
    <row r="212" spans="12:12" x14ac:dyDescent="0.3">
      <c r="L212" s="196"/>
    </row>
    <row r="213" spans="12:12" x14ac:dyDescent="0.3">
      <c r="L213" s="196"/>
    </row>
    <row r="214" spans="12:12" x14ac:dyDescent="0.3">
      <c r="L214" s="196"/>
    </row>
    <row r="215" spans="12:12" x14ac:dyDescent="0.3">
      <c r="L215" s="196"/>
    </row>
    <row r="216" spans="12:12" x14ac:dyDescent="0.3">
      <c r="L216" s="196"/>
    </row>
    <row r="217" spans="12:12" x14ac:dyDescent="0.3">
      <c r="L217" s="196"/>
    </row>
    <row r="218" spans="12:12" x14ac:dyDescent="0.3">
      <c r="L218" s="196"/>
    </row>
    <row r="219" spans="12:12" x14ac:dyDescent="0.3">
      <c r="L219" s="196"/>
    </row>
    <row r="220" spans="12:12" x14ac:dyDescent="0.3">
      <c r="L220" s="196"/>
    </row>
    <row r="221" spans="12:12" x14ac:dyDescent="0.3">
      <c r="L221" s="196"/>
    </row>
    <row r="222" spans="12:12" x14ac:dyDescent="0.3">
      <c r="L222" s="196"/>
    </row>
    <row r="223" spans="12:12" x14ac:dyDescent="0.3">
      <c r="L223" s="196"/>
    </row>
    <row r="224" spans="12:12" x14ac:dyDescent="0.3">
      <c r="L224" s="196"/>
    </row>
    <row r="225" spans="12:12" x14ac:dyDescent="0.3">
      <c r="L225" s="196"/>
    </row>
    <row r="226" spans="12:12" x14ac:dyDescent="0.3">
      <c r="L226" s="196"/>
    </row>
    <row r="227" spans="12:12" x14ac:dyDescent="0.3">
      <c r="L227" s="196"/>
    </row>
    <row r="228" spans="12:12" x14ac:dyDescent="0.3">
      <c r="L228" s="196"/>
    </row>
    <row r="229" spans="12:12" x14ac:dyDescent="0.3">
      <c r="L229" s="196"/>
    </row>
    <row r="230" spans="12:12" x14ac:dyDescent="0.3">
      <c r="L230" s="196"/>
    </row>
    <row r="231" spans="12:12" x14ac:dyDescent="0.3">
      <c r="L231" s="196"/>
    </row>
    <row r="232" spans="12:12" x14ac:dyDescent="0.3">
      <c r="L232" s="196"/>
    </row>
    <row r="233" spans="12:12" x14ac:dyDescent="0.3">
      <c r="L233" s="196"/>
    </row>
    <row r="234" spans="12:12" x14ac:dyDescent="0.3">
      <c r="L234" s="196"/>
    </row>
    <row r="235" spans="12:12" x14ac:dyDescent="0.3">
      <c r="L235" s="196"/>
    </row>
    <row r="236" spans="12:12" x14ac:dyDescent="0.3">
      <c r="L236" s="196"/>
    </row>
    <row r="237" spans="12:12" x14ac:dyDescent="0.3">
      <c r="L237" s="196"/>
    </row>
    <row r="238" spans="12:12" x14ac:dyDescent="0.3">
      <c r="L238" s="196"/>
    </row>
    <row r="239" spans="12:12" x14ac:dyDescent="0.3">
      <c r="L239" s="196"/>
    </row>
    <row r="240" spans="12:12" x14ac:dyDescent="0.3">
      <c r="L240" s="196"/>
    </row>
    <row r="241" spans="12:12" x14ac:dyDescent="0.3">
      <c r="L241" s="196"/>
    </row>
    <row r="242" spans="12:12" x14ac:dyDescent="0.3">
      <c r="L242" s="196"/>
    </row>
    <row r="243" spans="12:12" x14ac:dyDescent="0.3">
      <c r="L243" s="196"/>
    </row>
    <row r="244" spans="12:12" x14ac:dyDescent="0.3">
      <c r="L244" s="196"/>
    </row>
    <row r="245" spans="12:12" x14ac:dyDescent="0.3">
      <c r="L245" s="196"/>
    </row>
    <row r="246" spans="12:12" x14ac:dyDescent="0.3">
      <c r="L246" s="196"/>
    </row>
    <row r="247" spans="12:12" x14ac:dyDescent="0.3">
      <c r="L247" s="196"/>
    </row>
    <row r="248" spans="12:12" x14ac:dyDescent="0.3">
      <c r="L248" s="196"/>
    </row>
    <row r="249" spans="12:12" x14ac:dyDescent="0.3">
      <c r="L249" s="196"/>
    </row>
    <row r="250" spans="12:12" x14ac:dyDescent="0.3">
      <c r="L250" s="196"/>
    </row>
    <row r="251" spans="12:12" x14ac:dyDescent="0.3">
      <c r="L251" s="196"/>
    </row>
    <row r="252" spans="12:12" x14ac:dyDescent="0.3">
      <c r="L252" s="196"/>
    </row>
    <row r="253" spans="12:12" x14ac:dyDescent="0.3">
      <c r="L253" s="196"/>
    </row>
    <row r="254" spans="12:12" x14ac:dyDescent="0.3">
      <c r="L254" s="196"/>
    </row>
    <row r="255" spans="12:12" x14ac:dyDescent="0.3">
      <c r="L255" s="196"/>
    </row>
  </sheetData>
  <mergeCells count="2">
    <mergeCell ref="R3:S3"/>
    <mergeCell ref="U3:V3"/>
  </mergeCells>
  <phoneticPr fontId="26" type="noConversion"/>
  <conditionalFormatting sqref="AM32:AP36 Q32:Q36 N32:N36">
    <cfRule type="expression" dxfId="196" priority="12">
      <formula>$L32="API sand"</formula>
    </cfRule>
  </conditionalFormatting>
  <conditionalFormatting sqref="R32:S36 AB32:AB35 AJ32:AL36 Z32:Z36 N32:N36">
    <cfRule type="expression" dxfId="195" priority="11">
      <formula>$M32="API sand"</formula>
    </cfRule>
  </conditionalFormatting>
  <conditionalFormatting sqref="R32:T36 Z32:AB35 AK32:AL36 N32:N36">
    <cfRule type="expression" dxfId="194" priority="10">
      <formula>$M32="API clay"</formula>
    </cfRule>
  </conditionalFormatting>
  <conditionalFormatting sqref="U32:W36 AM32:AP36 N32:P36">
    <cfRule type="expression" dxfId="193" priority="7">
      <formula>$L32="Stiff clay w/o free water"</formula>
    </cfRule>
    <cfRule type="expression" dxfId="192" priority="9">
      <formula>$L32="API clay"</formula>
    </cfRule>
  </conditionalFormatting>
  <conditionalFormatting sqref="U32:Y36 AM32:AP36 N32:P36">
    <cfRule type="expression" dxfId="191" priority="8">
      <formula>$L32="Kirsch soft clay"</formula>
    </cfRule>
  </conditionalFormatting>
  <conditionalFormatting sqref="U32:Y36 AM32:AP36 N32:P36">
    <cfRule type="expression" dxfId="190" priority="6">
      <formula>$L32="Kirsch stiff clay"</formula>
    </cfRule>
  </conditionalFormatting>
  <conditionalFormatting sqref="AM32:AP36 Q32:Q36 X32:Y36 N32:N36">
    <cfRule type="expression" dxfId="189" priority="5">
      <formula>$L32="Kirsch sand"</formula>
    </cfRule>
  </conditionalFormatting>
  <conditionalFormatting sqref="AC32:AD36 AI32:AI36 AM32:AP36 N32:N36">
    <cfRule type="expression" dxfId="188" priority="4">
      <formula>$L32="Modified Weak rock"</formula>
    </cfRule>
  </conditionalFormatting>
  <conditionalFormatting sqref="AM32:AP36 N32:P36 U32:V36">
    <cfRule type="expression" dxfId="187" priority="3">
      <formula>$L32="Reese stiff clay"</formula>
    </cfRule>
  </conditionalFormatting>
  <conditionalFormatting sqref="AB36">
    <cfRule type="expression" dxfId="186" priority="2">
      <formula>$M36="API sand"</formula>
    </cfRule>
  </conditionalFormatting>
  <conditionalFormatting sqref="Z36:AB36">
    <cfRule type="expression" dxfId="185" priority="1">
      <formula>$M36="API clay"</formula>
    </cfRule>
  </conditionalFormatting>
  <conditionalFormatting sqref="AE37:AH37">
    <cfRule type="expression" dxfId="184" priority="13">
      <formula>#REF!="Modified Weak rock"</formula>
    </cfRule>
  </conditionalFormatting>
  <dataValidations count="3">
    <dataValidation showInputMessage="1" showErrorMessage="1" sqref="L6:M31" xr:uid="{C78FF739-F4FE-42AF-9545-AB4894802DE1}"/>
    <dataValidation type="list" showInputMessage="1" showErrorMessage="1" sqref="L32:L255" xr:uid="{CB3D29C7-85F8-405C-8299-12E4565CADAD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32:M36" xr:uid="{0031AF59-6488-423E-897E-8E441E242A7B}">
      <formula1>"',API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FD65F-4D48-4D79-B79A-5A288DA36C53}">
  <sheetPr>
    <tabColor rgb="FF00B050"/>
  </sheetPr>
  <dimension ref="A1:CH255"/>
  <sheetViews>
    <sheetView topLeftCell="AD4" zoomScale="115" zoomScaleNormal="115" workbookViewId="0">
      <selection activeCell="AS33" sqref="AS33"/>
    </sheetView>
  </sheetViews>
  <sheetFormatPr defaultColWidth="9.33203125" defaultRowHeight="14.4" x14ac:dyDescent="0.3"/>
  <cols>
    <col min="1" max="1" width="18" style="152" bestFit="1" customWidth="1"/>
    <col min="2" max="2" width="13.6640625" style="152" customWidth="1"/>
    <col min="3" max="3" width="13.5546875" style="152" customWidth="1"/>
    <col min="4" max="5" width="14" style="152" customWidth="1"/>
    <col min="6" max="6" width="13" style="152" bestFit="1" customWidth="1"/>
    <col min="7" max="7" width="13.5546875" style="152" customWidth="1"/>
    <col min="8" max="8" width="11" style="152" bestFit="1" customWidth="1"/>
    <col min="9" max="9" width="15.6640625" style="152" bestFit="1" customWidth="1"/>
    <col min="10" max="10" width="10.33203125" style="152" customWidth="1"/>
    <col min="11" max="11" width="11.5546875" style="152" bestFit="1" customWidth="1"/>
    <col min="12" max="12" width="22.5546875" style="152" customWidth="1"/>
    <col min="13" max="13" width="11.6640625" style="152" bestFit="1" customWidth="1"/>
    <col min="14" max="14" width="11" style="152" bestFit="1" customWidth="1"/>
    <col min="15" max="15" width="9.33203125" style="152" customWidth="1"/>
    <col min="16" max="16" width="10.5546875" style="152" customWidth="1"/>
    <col min="17" max="18" width="9.5546875" style="152" bestFit="1" customWidth="1"/>
    <col min="19" max="20" width="6.5546875" style="152" customWidth="1"/>
    <col min="21" max="21" width="13.33203125" style="152" customWidth="1"/>
    <col min="22" max="22" width="19.44140625" style="152" customWidth="1"/>
    <col min="23" max="23" width="6.5546875" style="152" customWidth="1"/>
    <col min="24" max="24" width="11.6640625" style="152" customWidth="1"/>
    <col min="25" max="25" width="8.44140625" style="152" bestFit="1" customWidth="1"/>
    <col min="26" max="26" width="11.6640625" style="152" customWidth="1"/>
    <col min="27" max="27" width="11" style="152" bestFit="1" customWidth="1"/>
    <col min="28" max="28" width="10.5546875" style="152" customWidth="1"/>
    <col min="29" max="29" width="14.6640625" style="152" customWidth="1"/>
    <col min="30" max="30" width="11.6640625" style="152" customWidth="1"/>
    <col min="31" max="31" width="10.33203125" style="152" customWidth="1"/>
    <col min="32" max="32" width="8.33203125" style="152" customWidth="1"/>
    <col min="33" max="33" width="13.6640625" style="152" customWidth="1"/>
    <col min="34" max="34" width="8.44140625" style="152" customWidth="1"/>
    <col min="35" max="35" width="7.6640625" style="152" customWidth="1"/>
    <col min="36" max="36" width="8.5546875" style="152" customWidth="1"/>
    <col min="37" max="37" width="11.33203125" style="152" bestFit="1" customWidth="1"/>
    <col min="38" max="38" width="11.44140625" style="152" bestFit="1" customWidth="1"/>
    <col min="39" max="39" width="11.6640625" style="152" bestFit="1" customWidth="1"/>
    <col min="40" max="40" width="11.5546875" style="152" bestFit="1" customWidth="1"/>
    <col min="41" max="42" width="11.5546875" style="152" customWidth="1"/>
    <col min="43" max="44" width="9.33203125" style="152"/>
    <col min="45" max="45" width="16" style="152" bestFit="1" customWidth="1"/>
    <col min="46" max="16384" width="9.33203125" style="152"/>
  </cols>
  <sheetData>
    <row r="1" spans="1:86" x14ac:dyDescent="0.3">
      <c r="A1" s="151" t="str">
        <f ca="1">TRIM(MID(CELL("filename",A1),FIND("]",CELL("filename",A1),1)+1,255))</f>
        <v>U05_AYBR_GHS_L37</v>
      </c>
      <c r="D1" s="151"/>
    </row>
    <row r="3" spans="1:86" s="153" customFormat="1" ht="45" customHeight="1" x14ac:dyDescent="0.3">
      <c r="F3" s="154" t="s">
        <v>37</v>
      </c>
      <c r="J3" s="155" t="s">
        <v>22</v>
      </c>
      <c r="Q3" s="202"/>
      <c r="R3" s="237"/>
      <c r="S3" s="237"/>
      <c r="T3" s="202"/>
      <c r="U3" s="237"/>
      <c r="V3" s="237"/>
      <c r="W3" s="202"/>
      <c r="X3" s="157"/>
      <c r="Y3" s="202"/>
      <c r="Z3" s="202"/>
      <c r="AA3" s="202"/>
      <c r="AB3" s="202"/>
      <c r="AC3" s="157"/>
      <c r="AD3" s="158"/>
      <c r="AE3" s="158"/>
      <c r="AF3" s="158"/>
      <c r="AG3" s="158"/>
      <c r="AH3" s="158"/>
      <c r="AI3" s="158"/>
      <c r="AJ3" s="202"/>
      <c r="AK3" s="202"/>
      <c r="AL3" s="202"/>
      <c r="AM3" s="202"/>
      <c r="AN3" s="202"/>
      <c r="AO3" s="202"/>
      <c r="AP3" s="202"/>
      <c r="AW3" s="153" t="s">
        <v>491</v>
      </c>
    </row>
    <row r="4" spans="1:86" x14ac:dyDescent="0.3">
      <c r="A4" s="159" t="s">
        <v>54</v>
      </c>
      <c r="B4" s="152">
        <f>COUNTIF(J:J,"&gt;0")</f>
        <v>14</v>
      </c>
      <c r="C4" s="160" t="s">
        <v>402</v>
      </c>
      <c r="D4" s="161"/>
      <c r="F4" s="152" t="s">
        <v>38</v>
      </c>
      <c r="G4" s="162">
        <v>0</v>
      </c>
      <c r="H4" s="160" t="s">
        <v>28</v>
      </c>
      <c r="I4" s="152" t="s">
        <v>492</v>
      </c>
      <c r="J4" s="161" t="s">
        <v>0</v>
      </c>
      <c r="K4" s="161" t="s">
        <v>3</v>
      </c>
      <c r="L4" s="161" t="s">
        <v>1</v>
      </c>
      <c r="M4" s="161" t="s">
        <v>2</v>
      </c>
      <c r="N4" s="161" t="s">
        <v>6</v>
      </c>
      <c r="O4" s="161" t="s">
        <v>4</v>
      </c>
      <c r="P4" s="161" t="s">
        <v>5</v>
      </c>
      <c r="Q4" s="161" t="s">
        <v>7</v>
      </c>
      <c r="R4" s="161" t="s">
        <v>13</v>
      </c>
      <c r="S4" s="161" t="s">
        <v>65</v>
      </c>
      <c r="T4" s="161" t="s">
        <v>14</v>
      </c>
      <c r="U4" s="161" t="s">
        <v>8</v>
      </c>
      <c r="V4" s="161" t="s">
        <v>9</v>
      </c>
      <c r="W4" s="161" t="s">
        <v>10</v>
      </c>
      <c r="X4" s="161" t="s">
        <v>67</v>
      </c>
      <c r="Y4" s="161" t="s">
        <v>71</v>
      </c>
      <c r="Z4" s="161" t="s">
        <v>15</v>
      </c>
      <c r="AA4" s="161" t="s">
        <v>16</v>
      </c>
      <c r="AB4" s="161" t="s">
        <v>17</v>
      </c>
      <c r="AC4" s="161" t="s">
        <v>11</v>
      </c>
      <c r="AD4" s="161" t="s">
        <v>12</v>
      </c>
      <c r="AE4" s="161" t="s">
        <v>18</v>
      </c>
      <c r="AF4" s="161" t="s">
        <v>19</v>
      </c>
      <c r="AG4" s="161" t="s">
        <v>408</v>
      </c>
      <c r="AH4" s="161" t="s">
        <v>20</v>
      </c>
      <c r="AI4" s="161" t="s">
        <v>21</v>
      </c>
      <c r="AJ4" s="161" t="s">
        <v>59</v>
      </c>
      <c r="AK4" s="161" t="s">
        <v>64</v>
      </c>
      <c r="AL4" s="161" t="s">
        <v>68</v>
      </c>
      <c r="AM4" s="161" t="s">
        <v>69</v>
      </c>
      <c r="AN4" s="161" t="s">
        <v>70</v>
      </c>
      <c r="AO4" s="161" t="s">
        <v>407</v>
      </c>
      <c r="AP4" s="161" t="s">
        <v>406</v>
      </c>
      <c r="AQ4" s="163" t="s">
        <v>405</v>
      </c>
      <c r="AR4" s="161" t="s">
        <v>404</v>
      </c>
      <c r="AS4" s="152" t="s">
        <v>403</v>
      </c>
      <c r="AT4" s="152" t="s">
        <v>1810</v>
      </c>
    </row>
    <row r="5" spans="1:86" ht="92.4" x14ac:dyDescent="0.3">
      <c r="A5" s="152" t="s">
        <v>55</v>
      </c>
      <c r="B5" s="152">
        <f ca="1">COUNTIF(A:A,"&gt;0")</f>
        <v>1</v>
      </c>
      <c r="C5" s="160" t="s">
        <v>402</v>
      </c>
      <c r="F5" s="152" t="s">
        <v>39</v>
      </c>
      <c r="G5" s="162">
        <v>0</v>
      </c>
      <c r="H5" s="160" t="s">
        <v>28</v>
      </c>
      <c r="J5" s="164" t="s">
        <v>36</v>
      </c>
      <c r="K5" s="164" t="s">
        <v>29</v>
      </c>
      <c r="L5" s="164" t="s">
        <v>30</v>
      </c>
      <c r="M5" s="164" t="s">
        <v>30</v>
      </c>
      <c r="N5" s="164" t="s">
        <v>31</v>
      </c>
      <c r="O5" s="164" t="s">
        <v>32</v>
      </c>
      <c r="P5" s="164" t="s">
        <v>34</v>
      </c>
      <c r="Q5" s="164" t="s">
        <v>35</v>
      </c>
      <c r="R5" s="164" t="s">
        <v>35</v>
      </c>
      <c r="S5" s="164" t="s">
        <v>33</v>
      </c>
      <c r="T5" s="164" t="s">
        <v>32</v>
      </c>
      <c r="U5" s="164" t="s">
        <v>33</v>
      </c>
      <c r="V5" s="164" t="s">
        <v>401</v>
      </c>
      <c r="W5" s="164" t="s">
        <v>33</v>
      </c>
      <c r="X5" s="164" t="s">
        <v>32</v>
      </c>
      <c r="Y5" s="164" t="s">
        <v>34</v>
      </c>
      <c r="Z5" s="164" t="s">
        <v>32</v>
      </c>
      <c r="AA5" s="164" t="s">
        <v>33</v>
      </c>
      <c r="AB5" s="164" t="s">
        <v>32</v>
      </c>
      <c r="AC5" s="164" t="s">
        <v>32</v>
      </c>
      <c r="AD5" s="164" t="s">
        <v>34</v>
      </c>
      <c r="AE5" s="164" t="s">
        <v>33</v>
      </c>
      <c r="AF5" s="164" t="s">
        <v>32</v>
      </c>
      <c r="AG5" s="164" t="s">
        <v>34</v>
      </c>
      <c r="AH5" s="164" t="s">
        <v>33</v>
      </c>
      <c r="AI5" s="164" t="s">
        <v>33</v>
      </c>
      <c r="AJ5" s="164" t="s">
        <v>33</v>
      </c>
      <c r="AK5" s="164" t="s">
        <v>33</v>
      </c>
      <c r="AL5" s="164" t="s">
        <v>33</v>
      </c>
      <c r="AM5" s="164" t="s">
        <v>33</v>
      </c>
      <c r="AN5" s="164" t="s">
        <v>33</v>
      </c>
      <c r="AO5" s="164" t="s">
        <v>33</v>
      </c>
      <c r="AP5" s="164" t="s">
        <v>33</v>
      </c>
      <c r="AQ5" s="164" t="s">
        <v>400</v>
      </c>
      <c r="AR5" s="164" t="s">
        <v>399</v>
      </c>
      <c r="AW5" s="165" t="s">
        <v>493</v>
      </c>
      <c r="AX5" s="165" t="s">
        <v>494</v>
      </c>
      <c r="AY5" s="165" t="s">
        <v>495</v>
      </c>
      <c r="AZ5" s="165" t="s">
        <v>496</v>
      </c>
      <c r="BA5" s="165" t="s">
        <v>497</v>
      </c>
      <c r="BB5" s="165" t="s">
        <v>498</v>
      </c>
      <c r="BC5" s="165" t="s">
        <v>499</v>
      </c>
      <c r="BD5" s="165" t="s">
        <v>500</v>
      </c>
      <c r="BE5" s="165" t="s">
        <v>501</v>
      </c>
      <c r="BF5" s="165" t="s">
        <v>502</v>
      </c>
      <c r="BG5" s="165" t="s">
        <v>503</v>
      </c>
      <c r="BH5" s="165" t="s">
        <v>504</v>
      </c>
      <c r="BI5" s="165" t="s">
        <v>505</v>
      </c>
      <c r="BJ5" s="165" t="s">
        <v>506</v>
      </c>
      <c r="BK5" s="165" t="s">
        <v>507</v>
      </c>
      <c r="BL5" s="165" t="s">
        <v>508</v>
      </c>
      <c r="BM5" s="165" t="s">
        <v>509</v>
      </c>
      <c r="BN5" s="165" t="s">
        <v>510</v>
      </c>
      <c r="BO5" s="165" t="s">
        <v>511</v>
      </c>
      <c r="BP5" s="165" t="s">
        <v>512</v>
      </c>
      <c r="BQ5" s="165" t="s">
        <v>513</v>
      </c>
      <c r="BR5" s="165" t="s">
        <v>514</v>
      </c>
      <c r="BS5" s="165" t="s">
        <v>515</v>
      </c>
      <c r="BT5" s="165" t="s">
        <v>516</v>
      </c>
      <c r="BU5" s="165" t="s">
        <v>517</v>
      </c>
      <c r="BV5" s="165" t="s">
        <v>518</v>
      </c>
      <c r="BW5" s="165" t="s">
        <v>519</v>
      </c>
      <c r="BX5" s="165" t="s">
        <v>520</v>
      </c>
      <c r="BY5" s="165" t="s">
        <v>521</v>
      </c>
      <c r="BZ5" s="165" t="s">
        <v>522</v>
      </c>
      <c r="CA5" s="165" t="s">
        <v>523</v>
      </c>
      <c r="CB5" s="165" t="s">
        <v>524</v>
      </c>
      <c r="CC5" s="165" t="s">
        <v>525</v>
      </c>
      <c r="CD5" s="165" t="s">
        <v>526</v>
      </c>
      <c r="CE5" s="165" t="s">
        <v>527</v>
      </c>
      <c r="CF5" s="165" t="s">
        <v>528</v>
      </c>
      <c r="CG5" s="165" t="s">
        <v>529</v>
      </c>
      <c r="CH5" s="165" t="s">
        <v>530</v>
      </c>
    </row>
    <row r="6" spans="1:86" x14ac:dyDescent="0.3">
      <c r="C6" s="160"/>
      <c r="F6" s="152" t="s">
        <v>60</v>
      </c>
      <c r="G6" s="166"/>
      <c r="H6" s="160" t="s">
        <v>28</v>
      </c>
      <c r="I6" s="152" t="str">
        <f ca="1">IF(OFFSET($AX$6,(ROW()-6)*2,0)=0,"",OFFSET($AX$6,(ROW()-6)*2,0))</f>
        <v>SS1</v>
      </c>
      <c r="J6" s="167">
        <f>1</f>
        <v>1</v>
      </c>
      <c r="K6" s="168">
        <v>0</v>
      </c>
      <c r="L6" s="169" t="s">
        <v>1781</v>
      </c>
      <c r="M6" s="67" t="s">
        <v>57</v>
      </c>
      <c r="N6" s="167">
        <v>9.6000000000000014</v>
      </c>
      <c r="O6" s="170">
        <v>0</v>
      </c>
      <c r="P6" s="170">
        <v>0</v>
      </c>
      <c r="Q6" s="167">
        <v>39</v>
      </c>
      <c r="R6" s="167">
        <v>34</v>
      </c>
      <c r="S6" s="167">
        <v>0.3</v>
      </c>
      <c r="T6" s="167">
        <v>0</v>
      </c>
      <c r="U6" s="171">
        <v>0</v>
      </c>
      <c r="V6" s="171">
        <v>0</v>
      </c>
      <c r="W6" s="167">
        <v>0.5</v>
      </c>
      <c r="X6" s="167">
        <v>19400</v>
      </c>
      <c r="Y6" s="167">
        <v>0</v>
      </c>
      <c r="Z6" s="167">
        <v>111.19999999999996</v>
      </c>
      <c r="AA6" s="167">
        <v>1</v>
      </c>
      <c r="AB6" s="167">
        <v>11520</v>
      </c>
      <c r="AC6" s="170">
        <v>2000</v>
      </c>
      <c r="AD6" s="172">
        <v>57000</v>
      </c>
      <c r="AE6" s="170">
        <v>0.3</v>
      </c>
      <c r="AF6" s="170">
        <v>0</v>
      </c>
      <c r="AG6" s="170">
        <v>0</v>
      </c>
      <c r="AH6" s="170">
        <v>0</v>
      </c>
      <c r="AI6" s="170">
        <v>0</v>
      </c>
      <c r="AJ6" s="167">
        <v>48.000000000000007</v>
      </c>
      <c r="AK6" s="167">
        <v>1</v>
      </c>
      <c r="AL6" s="167">
        <v>1</v>
      </c>
      <c r="AM6" s="167">
        <v>1</v>
      </c>
      <c r="AN6" s="167">
        <v>1</v>
      </c>
      <c r="AO6" s="167">
        <v>1</v>
      </c>
      <c r="AP6" s="167">
        <v>1</v>
      </c>
      <c r="AQ6" s="167">
        <v>0</v>
      </c>
      <c r="AR6" s="167">
        <v>100</v>
      </c>
      <c r="AS6" s="204">
        <f>AS7</f>
        <v>0.43695000000000001</v>
      </c>
      <c r="AW6" s="174">
        <v>0</v>
      </c>
      <c r="AX6" s="174" t="s">
        <v>533</v>
      </c>
      <c r="AY6" s="174">
        <v>24</v>
      </c>
      <c r="AZ6" s="174">
        <v>19.600000000000001</v>
      </c>
      <c r="BA6" s="174"/>
      <c r="BB6" s="174">
        <v>3</v>
      </c>
      <c r="BC6" s="174"/>
      <c r="BD6" s="174"/>
      <c r="BE6" s="174">
        <v>0</v>
      </c>
      <c r="BF6" s="174">
        <v>0</v>
      </c>
      <c r="BG6" s="174">
        <v>0</v>
      </c>
      <c r="BH6" s="174">
        <v>0</v>
      </c>
      <c r="BI6" s="174">
        <v>0</v>
      </c>
      <c r="BJ6" s="174">
        <v>0.01</v>
      </c>
      <c r="BK6" s="174">
        <v>0.01</v>
      </c>
      <c r="BL6" s="174">
        <v>0.01</v>
      </c>
      <c r="BM6" s="174">
        <v>0.01</v>
      </c>
      <c r="BN6" s="174">
        <v>0.01</v>
      </c>
      <c r="BO6" s="174"/>
      <c r="BP6" s="174"/>
      <c r="BQ6" s="174"/>
      <c r="BR6" s="174"/>
      <c r="BS6" s="174"/>
      <c r="BT6" s="174">
        <v>100</v>
      </c>
      <c r="BU6" s="174">
        <v>30</v>
      </c>
      <c r="BV6" s="174">
        <v>39</v>
      </c>
      <c r="BW6" s="174">
        <v>44</v>
      </c>
      <c r="BX6" s="174">
        <v>47</v>
      </c>
      <c r="BY6" s="174">
        <v>47</v>
      </c>
      <c r="BZ6" s="174">
        <v>0</v>
      </c>
      <c r="CA6" s="174">
        <v>0</v>
      </c>
      <c r="CB6" s="174">
        <v>2</v>
      </c>
      <c r="CC6" s="174">
        <v>8</v>
      </c>
      <c r="CD6" s="174">
        <v>20</v>
      </c>
      <c r="CE6" s="174">
        <v>19.399999999999999</v>
      </c>
      <c r="CF6" s="174">
        <v>1</v>
      </c>
      <c r="CG6" s="174">
        <v>0.3</v>
      </c>
      <c r="CH6" s="175">
        <v>3.0431480019541849E-3</v>
      </c>
    </row>
    <row r="7" spans="1:86" x14ac:dyDescent="0.3">
      <c r="A7" s="176" t="s">
        <v>23</v>
      </c>
      <c r="C7" s="160"/>
      <c r="F7" s="177" t="s">
        <v>44</v>
      </c>
      <c r="G7" s="178"/>
      <c r="H7" s="158"/>
      <c r="I7" s="152" t="str">
        <f ca="1">IF(OFFSET($AX$6,(ROW()-6)*2,0)=0,"",OFFSET($AX$6,(ROW()-6)*2,0))</f>
        <v>SS1</v>
      </c>
      <c r="J7" s="167">
        <v>2</v>
      </c>
      <c r="K7" s="168">
        <f ca="1">IF(OFFSET($AW$6,(ROW()-6)*2,0)=0,"",-OFFSET($AW$6,(ROW()-6)*2,0))</f>
        <v>-1</v>
      </c>
      <c r="L7" s="169" t="s">
        <v>1787</v>
      </c>
      <c r="M7" s="67" t="s">
        <v>57</v>
      </c>
      <c r="N7" s="167">
        <v>9.6000000000000014</v>
      </c>
      <c r="O7" s="170">
        <v>0</v>
      </c>
      <c r="P7" s="170">
        <v>0</v>
      </c>
      <c r="Q7" s="167">
        <v>41</v>
      </c>
      <c r="R7" s="167">
        <v>36</v>
      </c>
      <c r="S7" s="167">
        <v>0.3</v>
      </c>
      <c r="T7" s="167">
        <v>0</v>
      </c>
      <c r="U7" s="171">
        <v>0</v>
      </c>
      <c r="V7" s="171">
        <v>0</v>
      </c>
      <c r="W7" s="167">
        <v>0.5</v>
      </c>
      <c r="X7" s="167">
        <v>48200</v>
      </c>
      <c r="Y7" s="167">
        <v>0</v>
      </c>
      <c r="Z7" s="167">
        <v>114.99999999999996</v>
      </c>
      <c r="AA7" s="167">
        <v>1</v>
      </c>
      <c r="AB7" s="167">
        <v>12000</v>
      </c>
      <c r="AC7" s="170">
        <v>56000</v>
      </c>
      <c r="AD7" s="172">
        <v>35000</v>
      </c>
      <c r="AE7" s="170">
        <v>0.3</v>
      </c>
      <c r="AF7" s="170">
        <v>0</v>
      </c>
      <c r="AG7" s="170">
        <v>0</v>
      </c>
      <c r="AH7" s="170">
        <v>0</v>
      </c>
      <c r="AI7" s="170">
        <v>0</v>
      </c>
      <c r="AJ7" s="167">
        <v>50.000000000000007</v>
      </c>
      <c r="AK7" s="167">
        <v>1</v>
      </c>
      <c r="AL7" s="167">
        <v>1</v>
      </c>
      <c r="AM7" s="167">
        <v>1</v>
      </c>
      <c r="AN7" s="167">
        <v>1</v>
      </c>
      <c r="AO7" s="167">
        <v>1</v>
      </c>
      <c r="AP7" s="167">
        <v>1</v>
      </c>
      <c r="AQ7" s="167">
        <v>0</v>
      </c>
      <c r="AR7" s="167">
        <v>100</v>
      </c>
      <c r="AS7" s="204">
        <v>0.43695000000000001</v>
      </c>
      <c r="AW7" s="174">
        <v>1</v>
      </c>
      <c r="AX7" s="174" t="s">
        <v>533</v>
      </c>
      <c r="AY7" s="174">
        <v>24</v>
      </c>
      <c r="AZ7" s="174">
        <v>19.600000000000001</v>
      </c>
      <c r="BA7" s="174"/>
      <c r="BB7" s="174">
        <v>3</v>
      </c>
      <c r="BC7" s="174"/>
      <c r="BD7" s="174"/>
      <c r="BE7" s="174">
        <v>11.1</v>
      </c>
      <c r="BF7" s="174">
        <v>11.8</v>
      </c>
      <c r="BG7" s="174">
        <v>12.3</v>
      </c>
      <c r="BH7" s="174">
        <v>12.7</v>
      </c>
      <c r="BI7" s="174">
        <v>13.4</v>
      </c>
      <c r="BJ7" s="174">
        <v>4.5900000000000003E-2</v>
      </c>
      <c r="BK7" s="174">
        <v>4.9099999999999998E-2</v>
      </c>
      <c r="BL7" s="174">
        <v>5.1299999999999998E-2</v>
      </c>
      <c r="BM7" s="174">
        <v>5.3600000000000002E-2</v>
      </c>
      <c r="BN7" s="174">
        <v>5.6300000000000003E-2</v>
      </c>
      <c r="BO7" s="174"/>
      <c r="BP7" s="174"/>
      <c r="BQ7" s="174"/>
      <c r="BR7" s="174"/>
      <c r="BS7" s="174"/>
      <c r="BT7" s="174">
        <v>100</v>
      </c>
      <c r="BU7" s="174">
        <v>30</v>
      </c>
      <c r="BV7" s="174">
        <v>39</v>
      </c>
      <c r="BW7" s="174">
        <v>44</v>
      </c>
      <c r="BX7" s="174">
        <v>47</v>
      </c>
      <c r="BY7" s="174">
        <v>47</v>
      </c>
      <c r="BZ7" s="174">
        <v>46</v>
      </c>
      <c r="CA7" s="174">
        <v>53</v>
      </c>
      <c r="CB7" s="174">
        <v>59</v>
      </c>
      <c r="CC7" s="174">
        <v>65</v>
      </c>
      <c r="CD7" s="174">
        <v>78</v>
      </c>
      <c r="CE7" s="174">
        <v>19.399999999999999</v>
      </c>
      <c r="CF7" s="174">
        <v>1</v>
      </c>
      <c r="CG7" s="174">
        <v>0.3</v>
      </c>
      <c r="CH7" s="175">
        <v>3.0431480019541849E-3</v>
      </c>
    </row>
    <row r="8" spans="1:86" x14ac:dyDescent="0.3">
      <c r="A8" s="152" t="s">
        <v>24</v>
      </c>
      <c r="B8" s="162">
        <v>0</v>
      </c>
      <c r="C8" s="160" t="s">
        <v>398</v>
      </c>
      <c r="F8" s="152" t="s">
        <v>45</v>
      </c>
      <c r="G8" s="179">
        <v>32216.600769230768</v>
      </c>
      <c r="H8" s="160" t="s">
        <v>48</v>
      </c>
      <c r="I8" s="152" t="str">
        <f ca="1">IF(OFFSET($AX$6,(ROW()-6)*2,0)=0,"",OFFSET($AX$6,(ROW()-6)*2,0))</f>
        <v>SS1</v>
      </c>
      <c r="J8" s="167">
        <v>3</v>
      </c>
      <c r="K8" s="168">
        <f t="shared" ref="K8:K19" ca="1" si="0">IF(OFFSET($AW$6,(ROW()-6)*2,0)=0,"",-OFFSET($AW$6,(ROW()-6)*2,0))</f>
        <v>-1.8</v>
      </c>
      <c r="L8" s="169" t="s">
        <v>1788</v>
      </c>
      <c r="M8" s="67" t="s">
        <v>57</v>
      </c>
      <c r="N8" s="167">
        <v>9.6000000000000014</v>
      </c>
      <c r="O8" s="170">
        <v>0</v>
      </c>
      <c r="P8" s="170">
        <v>0</v>
      </c>
      <c r="Q8" s="167">
        <v>40</v>
      </c>
      <c r="R8" s="167">
        <v>35</v>
      </c>
      <c r="S8" s="167">
        <v>0.3</v>
      </c>
      <c r="T8" s="167">
        <v>0</v>
      </c>
      <c r="U8" s="171">
        <v>0</v>
      </c>
      <c r="V8" s="171">
        <v>0</v>
      </c>
      <c r="W8" s="167">
        <v>0.5</v>
      </c>
      <c r="X8" s="167">
        <v>48200</v>
      </c>
      <c r="Y8" s="167">
        <v>0</v>
      </c>
      <c r="Z8" s="167">
        <v>114.99999999999996</v>
      </c>
      <c r="AA8" s="167">
        <v>1</v>
      </c>
      <c r="AB8" s="167">
        <v>12000</v>
      </c>
      <c r="AC8" s="170">
        <v>86000</v>
      </c>
      <c r="AD8" s="172">
        <v>15833.333333333334</v>
      </c>
      <c r="AE8" s="170">
        <v>0.3</v>
      </c>
      <c r="AF8" s="170">
        <v>0</v>
      </c>
      <c r="AG8" s="170">
        <v>0</v>
      </c>
      <c r="AH8" s="170">
        <v>0</v>
      </c>
      <c r="AI8" s="170">
        <v>0</v>
      </c>
      <c r="AJ8" s="167">
        <v>50.000000000000007</v>
      </c>
      <c r="AK8" s="167">
        <v>1</v>
      </c>
      <c r="AL8" s="167">
        <v>1</v>
      </c>
      <c r="AM8" s="167">
        <v>1</v>
      </c>
      <c r="AN8" s="167">
        <v>1</v>
      </c>
      <c r="AO8" s="167">
        <v>1</v>
      </c>
      <c r="AP8" s="167">
        <v>1</v>
      </c>
      <c r="AQ8" s="167">
        <v>0</v>
      </c>
      <c r="AR8" s="167">
        <v>100</v>
      </c>
      <c r="AS8" s="204">
        <v>0.47440300000000002</v>
      </c>
      <c r="AW8" s="174">
        <v>1</v>
      </c>
      <c r="AX8" s="174" t="s">
        <v>533</v>
      </c>
      <c r="AY8" s="174">
        <v>24</v>
      </c>
      <c r="AZ8" s="174">
        <v>19.600000000000001</v>
      </c>
      <c r="BA8" s="174"/>
      <c r="BB8" s="174">
        <v>3</v>
      </c>
      <c r="BC8" s="174"/>
      <c r="BD8" s="174"/>
      <c r="BE8" s="174">
        <v>8.1</v>
      </c>
      <c r="BF8" s="174">
        <v>9.8000000000000007</v>
      </c>
      <c r="BG8" s="174">
        <v>11</v>
      </c>
      <c r="BH8" s="174">
        <v>12.2</v>
      </c>
      <c r="BI8" s="174">
        <v>13.9</v>
      </c>
      <c r="BJ8" s="174">
        <v>4.4999999999999998E-2</v>
      </c>
      <c r="BK8" s="174">
        <v>5.2200000000000003E-2</v>
      </c>
      <c r="BL8" s="174">
        <v>5.7000000000000002E-2</v>
      </c>
      <c r="BM8" s="174">
        <v>6.1899999999999997E-2</v>
      </c>
      <c r="BN8" s="174">
        <v>6.9099999999999995E-2</v>
      </c>
      <c r="BO8" s="174"/>
      <c r="BP8" s="174"/>
      <c r="BQ8" s="174"/>
      <c r="BR8" s="174"/>
      <c r="BS8" s="174"/>
      <c r="BT8" s="174">
        <v>100</v>
      </c>
      <c r="BU8" s="174">
        <v>32</v>
      </c>
      <c r="BV8" s="174">
        <v>41</v>
      </c>
      <c r="BW8" s="174">
        <v>46</v>
      </c>
      <c r="BX8" s="174">
        <v>47</v>
      </c>
      <c r="BY8" s="174">
        <v>47</v>
      </c>
      <c r="BZ8" s="174">
        <v>27</v>
      </c>
      <c r="CA8" s="174">
        <v>43</v>
      </c>
      <c r="CB8" s="174">
        <v>56</v>
      </c>
      <c r="CC8" s="174">
        <v>69</v>
      </c>
      <c r="CD8" s="174">
        <v>98</v>
      </c>
      <c r="CE8" s="174">
        <v>48.2</v>
      </c>
      <c r="CF8" s="174">
        <v>1</v>
      </c>
      <c r="CG8" s="174">
        <v>0.3</v>
      </c>
      <c r="CH8" s="175">
        <v>3.841573861007897E-3</v>
      </c>
    </row>
    <row r="9" spans="1:86" x14ac:dyDescent="0.3">
      <c r="A9" s="152" t="s">
        <v>61</v>
      </c>
      <c r="B9" s="166">
        <v>37</v>
      </c>
      <c r="C9" s="160" t="s">
        <v>28</v>
      </c>
      <c r="D9" s="162">
        <v>32216.600769230768</v>
      </c>
      <c r="F9" s="152" t="s">
        <v>72</v>
      </c>
      <c r="G9" s="180">
        <v>-1288286.5538461499</v>
      </c>
      <c r="H9" s="160" t="s">
        <v>49</v>
      </c>
      <c r="I9" s="152" t="s">
        <v>1811</v>
      </c>
      <c r="J9" s="167">
        <v>4</v>
      </c>
      <c r="K9" s="168">
        <f t="shared" ca="1" si="0"/>
        <v>-3</v>
      </c>
      <c r="L9" s="169" t="s">
        <v>1789</v>
      </c>
      <c r="M9" s="67" t="s">
        <v>57</v>
      </c>
      <c r="N9" s="167">
        <v>8.6999999999999993</v>
      </c>
      <c r="O9" s="170">
        <v>0</v>
      </c>
      <c r="P9" s="170">
        <v>0</v>
      </c>
      <c r="Q9" s="167">
        <v>38</v>
      </c>
      <c r="R9" s="167">
        <v>33</v>
      </c>
      <c r="S9" s="167">
        <v>1.3</v>
      </c>
      <c r="T9" s="167">
        <v>0</v>
      </c>
      <c r="U9" s="171">
        <v>0</v>
      </c>
      <c r="V9" s="171">
        <v>0</v>
      </c>
      <c r="W9" s="167">
        <v>0.5</v>
      </c>
      <c r="X9" s="167">
        <v>30800</v>
      </c>
      <c r="Y9" s="167">
        <v>0</v>
      </c>
      <c r="Z9" s="167">
        <v>107.39999999999996</v>
      </c>
      <c r="AA9" s="167">
        <v>1</v>
      </c>
      <c r="AB9" s="167">
        <v>11040</v>
      </c>
      <c r="AC9" s="170">
        <v>107000</v>
      </c>
      <c r="AD9" s="172">
        <v>7499.9999999999991</v>
      </c>
      <c r="AE9" s="170">
        <v>0.3</v>
      </c>
      <c r="AF9" s="170">
        <v>0</v>
      </c>
      <c r="AG9" s="170">
        <v>0</v>
      </c>
      <c r="AH9" s="170">
        <v>0</v>
      </c>
      <c r="AI9" s="170">
        <v>0</v>
      </c>
      <c r="AJ9" s="167">
        <v>46.000000000000007</v>
      </c>
      <c r="AK9" s="167">
        <v>1</v>
      </c>
      <c r="AL9" s="167">
        <v>1</v>
      </c>
      <c r="AM9" s="167">
        <v>1</v>
      </c>
      <c r="AN9" s="167">
        <v>1</v>
      </c>
      <c r="AO9" s="167">
        <v>1</v>
      </c>
      <c r="AP9" s="167">
        <v>1</v>
      </c>
      <c r="AQ9" s="167">
        <v>0</v>
      </c>
      <c r="AR9" s="167">
        <v>78</v>
      </c>
      <c r="AS9" s="204">
        <v>0.38</v>
      </c>
      <c r="AW9" s="174">
        <v>1.8</v>
      </c>
      <c r="AX9" s="174" t="s">
        <v>533</v>
      </c>
      <c r="AY9" s="174">
        <v>24</v>
      </c>
      <c r="AZ9" s="174">
        <v>19.600000000000001</v>
      </c>
      <c r="BA9" s="174"/>
      <c r="BB9" s="174">
        <v>3</v>
      </c>
      <c r="BC9" s="174"/>
      <c r="BD9" s="174"/>
      <c r="BE9" s="174">
        <v>14.2</v>
      </c>
      <c r="BF9" s="174">
        <v>15.9</v>
      </c>
      <c r="BG9" s="174">
        <v>17.100000000000001</v>
      </c>
      <c r="BH9" s="174">
        <v>18.3</v>
      </c>
      <c r="BI9" s="174">
        <v>20</v>
      </c>
      <c r="BJ9" s="174">
        <v>5.0500000000000003E-2</v>
      </c>
      <c r="BK9" s="174">
        <v>5.7700000000000001E-2</v>
      </c>
      <c r="BL9" s="174">
        <v>6.25E-2</v>
      </c>
      <c r="BM9" s="174">
        <v>6.7400000000000002E-2</v>
      </c>
      <c r="BN9" s="174">
        <v>7.4499999999999997E-2</v>
      </c>
      <c r="BO9" s="174"/>
      <c r="BP9" s="174"/>
      <c r="BQ9" s="174"/>
      <c r="BR9" s="174"/>
      <c r="BS9" s="174"/>
      <c r="BT9" s="174">
        <v>100</v>
      </c>
      <c r="BU9" s="174">
        <v>32</v>
      </c>
      <c r="BV9" s="174">
        <v>41</v>
      </c>
      <c r="BW9" s="174">
        <v>46</v>
      </c>
      <c r="BX9" s="174">
        <v>47</v>
      </c>
      <c r="BY9" s="174">
        <v>47</v>
      </c>
      <c r="BZ9" s="174">
        <v>56</v>
      </c>
      <c r="CA9" s="174">
        <v>71</v>
      </c>
      <c r="CB9" s="174">
        <v>84</v>
      </c>
      <c r="CC9" s="174">
        <v>98</v>
      </c>
      <c r="CD9" s="174">
        <v>126</v>
      </c>
      <c r="CE9" s="174">
        <v>48.2</v>
      </c>
      <c r="CF9" s="174">
        <v>1</v>
      </c>
      <c r="CG9" s="174">
        <v>0.3</v>
      </c>
      <c r="CH9" s="175">
        <v>3.841573861007897E-3</v>
      </c>
    </row>
    <row r="10" spans="1:86" s="178" customFormat="1" x14ac:dyDescent="0.3">
      <c r="A10" s="152" t="s">
        <v>62</v>
      </c>
      <c r="B10" s="181">
        <v>37</v>
      </c>
      <c r="C10" s="160" t="s">
        <v>28</v>
      </c>
      <c r="D10" s="182">
        <v>-1288286.5538461499</v>
      </c>
      <c r="F10" s="152" t="s">
        <v>46</v>
      </c>
      <c r="G10" s="179">
        <v>26855.180923076921</v>
      </c>
      <c r="H10" s="160" t="s">
        <v>48</v>
      </c>
      <c r="I10" s="152" t="s">
        <v>1811</v>
      </c>
      <c r="J10" s="167">
        <v>5</v>
      </c>
      <c r="K10" s="168">
        <f t="shared" ca="1" si="0"/>
        <v>-4.2</v>
      </c>
      <c r="L10" s="169" t="s">
        <v>1790</v>
      </c>
      <c r="M10" s="67" t="s">
        <v>57</v>
      </c>
      <c r="N10" s="167">
        <v>8.6999999999999993</v>
      </c>
      <c r="O10" s="170">
        <v>0</v>
      </c>
      <c r="P10" s="170">
        <v>0</v>
      </c>
      <c r="Q10" s="167">
        <v>38</v>
      </c>
      <c r="R10" s="167">
        <v>33</v>
      </c>
      <c r="S10" s="167">
        <v>1.2</v>
      </c>
      <c r="T10" s="167">
        <v>0</v>
      </c>
      <c r="U10" s="171">
        <v>0</v>
      </c>
      <c r="V10" s="171">
        <v>0</v>
      </c>
      <c r="W10" s="167">
        <v>0.5</v>
      </c>
      <c r="X10" s="167">
        <v>35100</v>
      </c>
      <c r="Y10" s="167">
        <v>0</v>
      </c>
      <c r="Z10" s="167">
        <v>107.39999999999996</v>
      </c>
      <c r="AA10" s="167">
        <v>1</v>
      </c>
      <c r="AB10" s="167">
        <v>11040</v>
      </c>
      <c r="AC10" s="170">
        <v>114000</v>
      </c>
      <c r="AD10" s="172">
        <v>32499.999999999993</v>
      </c>
      <c r="AE10" s="170">
        <v>0.3</v>
      </c>
      <c r="AF10" s="170">
        <v>0</v>
      </c>
      <c r="AG10" s="170">
        <v>0</v>
      </c>
      <c r="AH10" s="170">
        <v>0</v>
      </c>
      <c r="AI10" s="170">
        <v>0</v>
      </c>
      <c r="AJ10" s="167">
        <v>46.000000000000007</v>
      </c>
      <c r="AK10" s="167">
        <v>1</v>
      </c>
      <c r="AL10" s="167">
        <v>1</v>
      </c>
      <c r="AM10" s="167">
        <v>1</v>
      </c>
      <c r="AN10" s="167">
        <v>1</v>
      </c>
      <c r="AO10" s="167">
        <v>1</v>
      </c>
      <c r="AP10" s="167">
        <v>1</v>
      </c>
      <c r="AQ10" s="167">
        <v>0</v>
      </c>
      <c r="AR10" s="167">
        <v>80</v>
      </c>
      <c r="AS10" s="204">
        <v>0.38</v>
      </c>
      <c r="AW10" s="174">
        <v>1.8</v>
      </c>
      <c r="AX10" s="174" t="s">
        <v>533</v>
      </c>
      <c r="AY10" s="174">
        <v>24</v>
      </c>
      <c r="AZ10" s="174">
        <v>19.600000000000001</v>
      </c>
      <c r="BA10" s="174"/>
      <c r="BB10" s="174">
        <v>3</v>
      </c>
      <c r="BC10" s="174"/>
      <c r="BD10" s="174"/>
      <c r="BE10" s="174">
        <v>14.4</v>
      </c>
      <c r="BF10" s="174">
        <v>16.600000000000001</v>
      </c>
      <c r="BG10" s="174">
        <v>18.2</v>
      </c>
      <c r="BH10" s="174">
        <v>19.8</v>
      </c>
      <c r="BI10" s="174">
        <v>21.3</v>
      </c>
      <c r="BJ10" s="174">
        <v>6.1499999999999999E-2</v>
      </c>
      <c r="BK10" s="174">
        <v>6.9400000000000003E-2</v>
      </c>
      <c r="BL10" s="174">
        <v>7.4800000000000005E-2</v>
      </c>
      <c r="BM10" s="174">
        <v>8.0100000000000005E-2</v>
      </c>
      <c r="BN10" s="174">
        <v>8.8800000000000004E-2</v>
      </c>
      <c r="BO10" s="174"/>
      <c r="BP10" s="174"/>
      <c r="BQ10" s="174"/>
      <c r="BR10" s="174"/>
      <c r="BS10" s="174"/>
      <c r="BT10" s="174">
        <v>100</v>
      </c>
      <c r="BU10" s="174">
        <v>31</v>
      </c>
      <c r="BV10" s="174">
        <v>40</v>
      </c>
      <c r="BW10" s="174">
        <v>45</v>
      </c>
      <c r="BX10" s="174">
        <v>47</v>
      </c>
      <c r="BY10" s="174">
        <v>47</v>
      </c>
      <c r="BZ10" s="174">
        <v>47</v>
      </c>
      <c r="CA10" s="174">
        <v>68</v>
      </c>
      <c r="CB10" s="174">
        <v>86</v>
      </c>
      <c r="CC10" s="174">
        <v>103</v>
      </c>
      <c r="CD10" s="174">
        <v>142</v>
      </c>
      <c r="CE10" s="174">
        <v>48.2</v>
      </c>
      <c r="CF10" s="174">
        <v>1</v>
      </c>
      <c r="CG10" s="174">
        <v>0.3</v>
      </c>
      <c r="CH10" s="175">
        <v>1.6301967222633309E-3</v>
      </c>
    </row>
    <row r="11" spans="1:86" x14ac:dyDescent="0.3">
      <c r="A11" s="152" t="s">
        <v>63</v>
      </c>
      <c r="B11" s="162">
        <v>1</v>
      </c>
      <c r="C11" s="160" t="s">
        <v>28</v>
      </c>
      <c r="D11" s="152">
        <v>26855.180923076921</v>
      </c>
      <c r="F11" s="152" t="s">
        <v>47</v>
      </c>
      <c r="G11" s="179">
        <v>0</v>
      </c>
      <c r="H11" s="160" t="s">
        <v>48</v>
      </c>
      <c r="I11" s="152" t="s">
        <v>1811</v>
      </c>
      <c r="J11" s="167">
        <v>6</v>
      </c>
      <c r="K11" s="168">
        <f t="shared" ca="1" si="0"/>
        <v>-5.4</v>
      </c>
      <c r="L11" s="169" t="s">
        <v>1791</v>
      </c>
      <c r="M11" s="67" t="s">
        <v>57</v>
      </c>
      <c r="N11" s="167">
        <v>10</v>
      </c>
      <c r="O11" s="170">
        <v>0</v>
      </c>
      <c r="P11" s="170">
        <v>0</v>
      </c>
      <c r="Q11" s="167">
        <v>31</v>
      </c>
      <c r="R11" s="167">
        <v>26</v>
      </c>
      <c r="S11" s="167">
        <v>1</v>
      </c>
      <c r="T11" s="167">
        <v>0</v>
      </c>
      <c r="U11" s="171">
        <v>0</v>
      </c>
      <c r="V11" s="171">
        <v>0</v>
      </c>
      <c r="W11" s="167">
        <v>0.5</v>
      </c>
      <c r="X11" s="167">
        <v>33200</v>
      </c>
      <c r="Y11" s="167">
        <v>0</v>
      </c>
      <c r="Z11" s="167">
        <v>83.999999999999972</v>
      </c>
      <c r="AA11" s="167">
        <v>1</v>
      </c>
      <c r="AB11" s="167">
        <v>5760</v>
      </c>
      <c r="AC11" s="170">
        <v>151000</v>
      </c>
      <c r="AD11" s="172">
        <v>7586.2068965517237</v>
      </c>
      <c r="AE11" s="170">
        <v>0.3</v>
      </c>
      <c r="AF11" s="170">
        <v>0</v>
      </c>
      <c r="AG11" s="170">
        <v>0</v>
      </c>
      <c r="AH11" s="170">
        <v>0</v>
      </c>
      <c r="AI11" s="170">
        <v>0</v>
      </c>
      <c r="AJ11" s="167">
        <v>24.000000000000007</v>
      </c>
      <c r="AK11" s="167">
        <v>1</v>
      </c>
      <c r="AL11" s="167">
        <v>1</v>
      </c>
      <c r="AM11" s="167">
        <v>1</v>
      </c>
      <c r="AN11" s="167">
        <v>1</v>
      </c>
      <c r="AO11" s="167">
        <v>1</v>
      </c>
      <c r="AP11" s="167">
        <v>1</v>
      </c>
      <c r="AQ11" s="167">
        <v>0</v>
      </c>
      <c r="AR11" s="167">
        <v>72</v>
      </c>
      <c r="AS11">
        <v>0.43</v>
      </c>
      <c r="AW11" s="174">
        <v>3</v>
      </c>
      <c r="AX11" s="174" t="s">
        <v>533</v>
      </c>
      <c r="AY11" s="174">
        <v>24</v>
      </c>
      <c r="AZ11" s="174">
        <v>19.600000000000001</v>
      </c>
      <c r="BA11" s="174"/>
      <c r="BB11" s="174">
        <v>3</v>
      </c>
      <c r="BC11" s="174"/>
      <c r="BD11" s="174"/>
      <c r="BE11" s="174">
        <v>8.6999999999999993</v>
      </c>
      <c r="BF11" s="174">
        <v>11</v>
      </c>
      <c r="BG11" s="174">
        <v>12.6</v>
      </c>
      <c r="BH11" s="174">
        <v>14.2</v>
      </c>
      <c r="BI11" s="174">
        <v>15.7</v>
      </c>
      <c r="BJ11" s="174">
        <v>4.4499999999999998E-2</v>
      </c>
      <c r="BK11" s="174">
        <v>5.2499999999999998E-2</v>
      </c>
      <c r="BL11" s="174">
        <v>5.7799999999999997E-2</v>
      </c>
      <c r="BM11" s="174">
        <v>6.3200000000000006E-2</v>
      </c>
      <c r="BN11" s="174">
        <v>7.1800000000000003E-2</v>
      </c>
      <c r="BO11" s="174"/>
      <c r="BP11" s="174"/>
      <c r="BQ11" s="174"/>
      <c r="BR11" s="174"/>
      <c r="BS11" s="174"/>
      <c r="BT11" s="174">
        <v>100</v>
      </c>
      <c r="BU11" s="174">
        <v>31</v>
      </c>
      <c r="BV11" s="174">
        <v>40</v>
      </c>
      <c r="BW11" s="174">
        <v>45</v>
      </c>
      <c r="BX11" s="174">
        <v>47</v>
      </c>
      <c r="BY11" s="174">
        <v>47</v>
      </c>
      <c r="BZ11" s="174">
        <v>66</v>
      </c>
      <c r="CA11" s="174">
        <v>87</v>
      </c>
      <c r="CB11" s="174">
        <v>105</v>
      </c>
      <c r="CC11" s="174">
        <v>123</v>
      </c>
      <c r="CD11" s="174">
        <v>162</v>
      </c>
      <c r="CE11" s="174">
        <v>48.2</v>
      </c>
      <c r="CF11" s="174">
        <v>1</v>
      </c>
      <c r="CG11" s="174">
        <v>0.3</v>
      </c>
      <c r="CH11" s="175">
        <v>1.6301967222633309E-3</v>
      </c>
    </row>
    <row r="12" spans="1:86" x14ac:dyDescent="0.3">
      <c r="A12" s="152" t="s">
        <v>66</v>
      </c>
      <c r="B12" s="166">
        <v>9.9</v>
      </c>
      <c r="C12" s="160" t="s">
        <v>28</v>
      </c>
      <c r="D12" s="152">
        <v>0</v>
      </c>
      <c r="E12" s="183"/>
      <c r="F12" s="178" t="s">
        <v>73</v>
      </c>
      <c r="G12" s="179">
        <v>1438.757000000001</v>
      </c>
      <c r="H12" s="160" t="s">
        <v>48</v>
      </c>
      <c r="I12" s="152" t="s">
        <v>1811</v>
      </c>
      <c r="J12" s="167">
        <v>7</v>
      </c>
      <c r="K12" s="168">
        <f t="shared" ca="1" si="0"/>
        <v>-8.3000000000000007</v>
      </c>
      <c r="L12" s="169" t="s">
        <v>1792</v>
      </c>
      <c r="M12" s="67" t="s">
        <v>57</v>
      </c>
      <c r="N12" s="167">
        <v>10</v>
      </c>
      <c r="O12" s="170">
        <v>0</v>
      </c>
      <c r="P12" s="170">
        <v>0</v>
      </c>
      <c r="Q12" s="167">
        <v>32</v>
      </c>
      <c r="R12" s="167">
        <v>27</v>
      </c>
      <c r="S12" s="167">
        <v>1.1000000000000001</v>
      </c>
      <c r="T12" s="167">
        <v>0</v>
      </c>
      <c r="U12" s="171">
        <v>0</v>
      </c>
      <c r="V12" s="171">
        <v>0</v>
      </c>
      <c r="W12" s="167">
        <v>0.5</v>
      </c>
      <c r="X12" s="167">
        <v>52900</v>
      </c>
      <c r="Y12" s="167">
        <v>0</v>
      </c>
      <c r="Z12" s="167">
        <v>86.999999999999972</v>
      </c>
      <c r="AA12" s="167">
        <v>1</v>
      </c>
      <c r="AB12" s="167">
        <v>6720</v>
      </c>
      <c r="AC12" s="170">
        <v>170000</v>
      </c>
      <c r="AD12" s="172">
        <v>69473.684210526379</v>
      </c>
      <c r="AE12" s="170">
        <v>0.3</v>
      </c>
      <c r="AF12" s="170">
        <v>0</v>
      </c>
      <c r="AG12" s="170">
        <v>0</v>
      </c>
      <c r="AH12" s="170">
        <v>0</v>
      </c>
      <c r="AI12" s="170">
        <v>0</v>
      </c>
      <c r="AJ12" s="167">
        <v>28.000000000000007</v>
      </c>
      <c r="AK12" s="167">
        <v>1</v>
      </c>
      <c r="AL12" s="167">
        <v>1</v>
      </c>
      <c r="AM12" s="167">
        <v>1</v>
      </c>
      <c r="AN12" s="167">
        <v>1</v>
      </c>
      <c r="AO12" s="167">
        <v>1</v>
      </c>
      <c r="AP12" s="167">
        <v>1</v>
      </c>
      <c r="AQ12" s="167">
        <v>0</v>
      </c>
      <c r="AR12" s="167">
        <v>85</v>
      </c>
      <c r="AS12" s="204">
        <v>0.4</v>
      </c>
      <c r="AW12" s="174">
        <v>3</v>
      </c>
      <c r="AX12" s="174" t="s">
        <v>902</v>
      </c>
      <c r="AY12" s="174">
        <v>29</v>
      </c>
      <c r="AZ12" s="174">
        <v>18.7</v>
      </c>
      <c r="BA12" s="174"/>
      <c r="BB12" s="174">
        <v>11</v>
      </c>
      <c r="BC12" s="174"/>
      <c r="BD12" s="174"/>
      <c r="BE12" s="174">
        <v>11.9</v>
      </c>
      <c r="BF12" s="174">
        <v>13.4</v>
      </c>
      <c r="BG12" s="174">
        <v>14.4</v>
      </c>
      <c r="BH12" s="174">
        <v>15.4</v>
      </c>
      <c r="BI12" s="174">
        <v>16.899999999999999</v>
      </c>
      <c r="BJ12" s="174">
        <v>5.0999999999999997E-2</v>
      </c>
      <c r="BK12" s="174">
        <v>5.6000000000000001E-2</v>
      </c>
      <c r="BL12" s="174">
        <v>5.9400000000000001E-2</v>
      </c>
      <c r="BM12" s="174">
        <v>6.2799999999999995E-2</v>
      </c>
      <c r="BN12" s="174">
        <v>7.0300000000000001E-2</v>
      </c>
      <c r="BO12" s="174"/>
      <c r="BP12" s="174"/>
      <c r="BQ12" s="174"/>
      <c r="BR12" s="174"/>
      <c r="BS12" s="174"/>
      <c r="BT12" s="174">
        <v>78</v>
      </c>
      <c r="BU12" s="174">
        <v>30</v>
      </c>
      <c r="BV12" s="174">
        <v>38</v>
      </c>
      <c r="BW12" s="174">
        <v>43</v>
      </c>
      <c r="BX12" s="174">
        <v>47</v>
      </c>
      <c r="BY12" s="174">
        <v>47</v>
      </c>
      <c r="BZ12" s="174">
        <v>62</v>
      </c>
      <c r="CA12" s="174">
        <v>86</v>
      </c>
      <c r="CB12" s="174">
        <v>107</v>
      </c>
      <c r="CC12" s="174">
        <v>127</v>
      </c>
      <c r="CD12" s="174">
        <v>173</v>
      </c>
      <c r="CE12" s="174">
        <v>30.8</v>
      </c>
      <c r="CF12" s="174">
        <v>8.1</v>
      </c>
      <c r="CG12" s="174">
        <v>1.3</v>
      </c>
      <c r="CH12" s="175">
        <v>8.1696235902278087E-4</v>
      </c>
    </row>
    <row r="13" spans="1:86" x14ac:dyDescent="0.3">
      <c r="A13" s="152" t="s">
        <v>40</v>
      </c>
      <c r="B13" s="162">
        <v>78</v>
      </c>
      <c r="C13" s="160" t="s">
        <v>397</v>
      </c>
      <c r="D13" s="152">
        <v>1438.757000000001</v>
      </c>
      <c r="E13" s="183"/>
      <c r="F13" s="176" t="s">
        <v>50</v>
      </c>
      <c r="I13" s="152" t="str">
        <f t="shared" ref="I13:I19" ca="1" si="1">IF(OFFSET($AX$6,(ROW()-6)*2,0)=0,"",OFFSET($AX$6,(ROW()-6)*2,0))</f>
        <v>PC1</v>
      </c>
      <c r="J13" s="167">
        <v>8</v>
      </c>
      <c r="K13" s="168">
        <f t="shared" ca="1" si="0"/>
        <v>-9.25</v>
      </c>
      <c r="L13" s="169" t="s">
        <v>1793</v>
      </c>
      <c r="M13" s="67" t="s">
        <v>57</v>
      </c>
      <c r="N13" s="167">
        <v>9.5</v>
      </c>
      <c r="O13" s="170">
        <v>0</v>
      </c>
      <c r="P13" s="170">
        <v>0</v>
      </c>
      <c r="Q13" s="167">
        <v>32</v>
      </c>
      <c r="R13" s="167">
        <v>27</v>
      </c>
      <c r="S13" s="167">
        <v>1.1000000000000001</v>
      </c>
      <c r="T13" s="167">
        <v>0</v>
      </c>
      <c r="U13" s="171">
        <v>0</v>
      </c>
      <c r="V13" s="171">
        <v>0</v>
      </c>
      <c r="W13" s="167">
        <v>0.5</v>
      </c>
      <c r="X13" s="167">
        <v>70000</v>
      </c>
      <c r="Y13" s="167">
        <v>0</v>
      </c>
      <c r="Z13" s="167">
        <v>86.999999999999972</v>
      </c>
      <c r="AA13" s="167">
        <v>1</v>
      </c>
      <c r="AB13" s="167">
        <v>6720</v>
      </c>
      <c r="AC13" s="170">
        <v>233000</v>
      </c>
      <c r="AD13" s="172">
        <v>9600</v>
      </c>
      <c r="AE13" s="170">
        <v>0.3</v>
      </c>
      <c r="AF13" s="170">
        <v>0</v>
      </c>
      <c r="AG13" s="170">
        <v>0</v>
      </c>
      <c r="AH13" s="170">
        <v>0</v>
      </c>
      <c r="AI13" s="170">
        <v>0</v>
      </c>
      <c r="AJ13" s="167">
        <v>28.000000000000007</v>
      </c>
      <c r="AK13" s="167">
        <v>1</v>
      </c>
      <c r="AL13" s="167">
        <v>1</v>
      </c>
      <c r="AM13" s="167">
        <v>1</v>
      </c>
      <c r="AN13" s="167">
        <v>1</v>
      </c>
      <c r="AO13" s="167">
        <v>1</v>
      </c>
      <c r="AP13" s="167">
        <v>1</v>
      </c>
      <c r="AQ13" s="167">
        <v>0</v>
      </c>
      <c r="AR13" s="167">
        <v>93</v>
      </c>
      <c r="AS13" s="204">
        <v>0.4</v>
      </c>
      <c r="AW13" s="174">
        <v>4.2</v>
      </c>
      <c r="AX13" s="174" t="s">
        <v>902</v>
      </c>
      <c r="AY13" s="174">
        <v>29</v>
      </c>
      <c r="AZ13" s="174">
        <v>18.7</v>
      </c>
      <c r="BA13" s="174"/>
      <c r="BB13" s="174">
        <v>11</v>
      </c>
      <c r="BC13" s="174"/>
      <c r="BD13" s="174"/>
      <c r="BE13" s="174">
        <v>7.5</v>
      </c>
      <c r="BF13" s="174">
        <v>9</v>
      </c>
      <c r="BG13" s="174">
        <v>10</v>
      </c>
      <c r="BH13" s="174">
        <v>11</v>
      </c>
      <c r="BI13" s="174">
        <v>12.5</v>
      </c>
      <c r="BJ13" s="174">
        <v>1.6400000000000001E-2</v>
      </c>
      <c r="BK13" s="174">
        <v>2.1399999999999999E-2</v>
      </c>
      <c r="BL13" s="174">
        <v>2.4899999999999999E-2</v>
      </c>
      <c r="BM13" s="174">
        <v>2.8299999999999999E-2</v>
      </c>
      <c r="BN13" s="174">
        <v>3.5700000000000003E-2</v>
      </c>
      <c r="BO13" s="174"/>
      <c r="BP13" s="174"/>
      <c r="BQ13" s="174"/>
      <c r="BR13" s="174"/>
      <c r="BS13" s="174"/>
      <c r="BT13" s="174">
        <v>78</v>
      </c>
      <c r="BU13" s="174">
        <v>30</v>
      </c>
      <c r="BV13" s="174">
        <v>38</v>
      </c>
      <c r="BW13" s="174">
        <v>43</v>
      </c>
      <c r="BX13" s="174">
        <v>47</v>
      </c>
      <c r="BY13" s="174">
        <v>47</v>
      </c>
      <c r="BZ13" s="174">
        <v>71</v>
      </c>
      <c r="CA13" s="174">
        <v>95</v>
      </c>
      <c r="CB13" s="174">
        <v>116</v>
      </c>
      <c r="CC13" s="174">
        <v>137</v>
      </c>
      <c r="CD13" s="174">
        <v>182</v>
      </c>
      <c r="CE13" s="174">
        <v>30.8</v>
      </c>
      <c r="CF13" s="174">
        <v>8.1</v>
      </c>
      <c r="CG13" s="174">
        <v>1.3</v>
      </c>
      <c r="CH13" s="175">
        <v>8.1696235902278087E-4</v>
      </c>
    </row>
    <row r="14" spans="1:86" x14ac:dyDescent="0.3">
      <c r="A14" s="152" t="s">
        <v>41</v>
      </c>
      <c r="B14" s="183">
        <v>355000</v>
      </c>
      <c r="C14" s="160" t="s">
        <v>396</v>
      </c>
      <c r="F14" s="152" t="s">
        <v>51</v>
      </c>
      <c r="G14" s="184" t="s">
        <v>52</v>
      </c>
      <c r="H14" s="160" t="s">
        <v>56</v>
      </c>
      <c r="I14" s="152" t="str">
        <f t="shared" ca="1" si="1"/>
        <v>PC1</v>
      </c>
      <c r="J14" s="167">
        <v>9</v>
      </c>
      <c r="K14" s="168">
        <f t="shared" ca="1" si="0"/>
        <v>-10.5</v>
      </c>
      <c r="L14" s="169" t="s">
        <v>1794</v>
      </c>
      <c r="M14" s="67" t="s">
        <v>57</v>
      </c>
      <c r="N14" s="167">
        <v>9.5</v>
      </c>
      <c r="O14" s="170">
        <v>0</v>
      </c>
      <c r="P14" s="170">
        <v>0</v>
      </c>
      <c r="Q14" s="167">
        <v>34</v>
      </c>
      <c r="R14" s="167">
        <v>29</v>
      </c>
      <c r="S14" s="167">
        <v>1.3</v>
      </c>
      <c r="T14" s="167">
        <v>0</v>
      </c>
      <c r="U14" s="171">
        <v>0</v>
      </c>
      <c r="V14" s="171">
        <v>0</v>
      </c>
      <c r="W14" s="167">
        <v>0.5</v>
      </c>
      <c r="X14" s="167">
        <v>125000</v>
      </c>
      <c r="Y14" s="167">
        <v>0</v>
      </c>
      <c r="Z14" s="167">
        <v>92.999999999999972</v>
      </c>
      <c r="AA14" s="167">
        <v>1</v>
      </c>
      <c r="AB14" s="167">
        <v>8640</v>
      </c>
      <c r="AC14" s="170">
        <v>259000</v>
      </c>
      <c r="AD14" s="172">
        <v>44666.666666666664</v>
      </c>
      <c r="AE14" s="170">
        <v>0.3</v>
      </c>
      <c r="AF14" s="170">
        <v>0</v>
      </c>
      <c r="AG14" s="170">
        <v>0</v>
      </c>
      <c r="AH14" s="170">
        <v>0</v>
      </c>
      <c r="AI14" s="170">
        <v>0</v>
      </c>
      <c r="AJ14" s="167">
        <v>36.000000000000007</v>
      </c>
      <c r="AK14" s="167">
        <v>1</v>
      </c>
      <c r="AL14" s="167">
        <v>1</v>
      </c>
      <c r="AM14" s="167">
        <v>1</v>
      </c>
      <c r="AN14" s="167">
        <v>1</v>
      </c>
      <c r="AO14" s="167">
        <v>1</v>
      </c>
      <c r="AP14" s="167">
        <v>1</v>
      </c>
      <c r="AQ14" s="167">
        <v>0</v>
      </c>
      <c r="AR14" s="167">
        <v>100</v>
      </c>
      <c r="AS14">
        <v>0.50187400000000004</v>
      </c>
      <c r="AW14" s="174">
        <v>4.2</v>
      </c>
      <c r="AX14" s="174" t="s">
        <v>902</v>
      </c>
      <c r="AY14" s="174">
        <v>29</v>
      </c>
      <c r="AZ14" s="174">
        <v>18.7</v>
      </c>
      <c r="BA14" s="174"/>
      <c r="BB14" s="174">
        <v>11</v>
      </c>
      <c r="BC14" s="174"/>
      <c r="BD14" s="174"/>
      <c r="BE14" s="174">
        <v>6.6</v>
      </c>
      <c r="BF14" s="174">
        <v>8.1999999999999993</v>
      </c>
      <c r="BG14" s="174">
        <v>9.4</v>
      </c>
      <c r="BH14" s="174">
        <v>10.5</v>
      </c>
      <c r="BI14" s="174">
        <v>12.1</v>
      </c>
      <c r="BJ14" s="174">
        <v>2.3699999999999999E-2</v>
      </c>
      <c r="BK14" s="174">
        <v>2.9000000000000001E-2</v>
      </c>
      <c r="BL14" s="174">
        <v>3.2599999999999997E-2</v>
      </c>
      <c r="BM14" s="174">
        <v>3.6200000000000003E-2</v>
      </c>
      <c r="BN14" s="174">
        <v>4.3099999999999999E-2</v>
      </c>
      <c r="BO14" s="174"/>
      <c r="BP14" s="174"/>
      <c r="BQ14" s="174"/>
      <c r="BR14" s="174"/>
      <c r="BS14" s="174"/>
      <c r="BT14" s="174">
        <v>80</v>
      </c>
      <c r="BU14" s="174">
        <v>30</v>
      </c>
      <c r="BV14" s="174">
        <v>38</v>
      </c>
      <c r="BW14" s="174">
        <v>43</v>
      </c>
      <c r="BX14" s="174">
        <v>47</v>
      </c>
      <c r="BY14" s="174">
        <v>47</v>
      </c>
      <c r="BZ14" s="174">
        <v>60</v>
      </c>
      <c r="CA14" s="174">
        <v>90</v>
      </c>
      <c r="CB14" s="174">
        <v>114</v>
      </c>
      <c r="CC14" s="174">
        <v>139</v>
      </c>
      <c r="CD14" s="174">
        <v>194</v>
      </c>
      <c r="CE14" s="174">
        <v>35.1</v>
      </c>
      <c r="CF14" s="174">
        <v>6.9</v>
      </c>
      <c r="CG14" s="174">
        <v>1.2</v>
      </c>
      <c r="CH14" s="175">
        <v>5.4384949624882036E-4</v>
      </c>
    </row>
    <row r="15" spans="1:86" x14ac:dyDescent="0.3">
      <c r="A15" s="152" t="s">
        <v>42</v>
      </c>
      <c r="B15" s="185">
        <v>207000000</v>
      </c>
      <c r="C15" s="160" t="s">
        <v>396</v>
      </c>
      <c r="I15" s="152" t="str">
        <f t="shared" ca="1" si="1"/>
        <v>PC1</v>
      </c>
      <c r="J15" s="167">
        <v>10</v>
      </c>
      <c r="K15" s="168">
        <f t="shared" ca="1" si="0"/>
        <v>-12</v>
      </c>
      <c r="L15" s="169" t="s">
        <v>1782</v>
      </c>
      <c r="M15" s="67" t="s">
        <v>57</v>
      </c>
      <c r="N15" s="167">
        <v>9.5</v>
      </c>
      <c r="O15" s="170">
        <v>0</v>
      </c>
      <c r="P15" s="170">
        <v>0</v>
      </c>
      <c r="Q15" s="167">
        <v>32</v>
      </c>
      <c r="R15" s="167">
        <v>27</v>
      </c>
      <c r="S15" s="167">
        <v>1</v>
      </c>
      <c r="T15" s="167">
        <v>0</v>
      </c>
      <c r="U15" s="171">
        <v>0</v>
      </c>
      <c r="V15" s="171">
        <v>0</v>
      </c>
      <c r="W15" s="167">
        <v>0.5</v>
      </c>
      <c r="X15" s="167">
        <v>83600</v>
      </c>
      <c r="Y15" s="167">
        <v>0</v>
      </c>
      <c r="Z15" s="167">
        <v>86.999999999999972</v>
      </c>
      <c r="AA15" s="167">
        <v>1</v>
      </c>
      <c r="AB15" s="167">
        <v>6720</v>
      </c>
      <c r="AC15" s="170">
        <v>311000</v>
      </c>
      <c r="AD15" s="172">
        <v>-6904.7619047619064</v>
      </c>
      <c r="AE15" s="170">
        <v>0.3</v>
      </c>
      <c r="AF15" s="170">
        <v>0</v>
      </c>
      <c r="AG15" s="170">
        <v>0</v>
      </c>
      <c r="AH15" s="170">
        <v>0</v>
      </c>
      <c r="AI15" s="170">
        <v>0</v>
      </c>
      <c r="AJ15" s="167">
        <v>28.000000000000007</v>
      </c>
      <c r="AK15" s="167">
        <v>1</v>
      </c>
      <c r="AL15" s="167">
        <v>1</v>
      </c>
      <c r="AM15" s="167">
        <v>1</v>
      </c>
      <c r="AN15" s="167">
        <v>1</v>
      </c>
      <c r="AO15" s="167">
        <v>1</v>
      </c>
      <c r="AP15" s="167">
        <v>1</v>
      </c>
      <c r="AQ15" s="167">
        <v>0</v>
      </c>
      <c r="AR15" s="167">
        <v>95</v>
      </c>
      <c r="AS15">
        <v>0.43</v>
      </c>
      <c r="AW15" s="174">
        <v>5.4</v>
      </c>
      <c r="AX15" s="174" t="s">
        <v>902</v>
      </c>
      <c r="AY15" s="174">
        <v>29</v>
      </c>
      <c r="AZ15" s="174">
        <v>18.7</v>
      </c>
      <c r="BA15" s="174"/>
      <c r="BB15" s="174">
        <v>11</v>
      </c>
      <c r="BC15" s="174"/>
      <c r="BD15" s="174"/>
      <c r="BE15" s="174">
        <v>14.7</v>
      </c>
      <c r="BF15" s="174">
        <v>16.3</v>
      </c>
      <c r="BG15" s="174">
        <v>17.5</v>
      </c>
      <c r="BH15" s="174">
        <v>18.600000000000001</v>
      </c>
      <c r="BI15" s="174">
        <v>20.2</v>
      </c>
      <c r="BJ15" s="174">
        <v>4.7100000000000003E-2</v>
      </c>
      <c r="BK15" s="174">
        <v>5.2400000000000002E-2</v>
      </c>
      <c r="BL15" s="174">
        <v>5.6000000000000001E-2</v>
      </c>
      <c r="BM15" s="174">
        <v>5.96E-2</v>
      </c>
      <c r="BN15" s="174">
        <v>6.6500000000000004E-2</v>
      </c>
      <c r="BO15" s="174"/>
      <c r="BP15" s="174"/>
      <c r="BQ15" s="174"/>
      <c r="BR15" s="174"/>
      <c r="BS15" s="174"/>
      <c r="BT15" s="174">
        <v>80</v>
      </c>
      <c r="BU15" s="174">
        <v>30</v>
      </c>
      <c r="BV15" s="174">
        <v>38</v>
      </c>
      <c r="BW15" s="174">
        <v>43</v>
      </c>
      <c r="BX15" s="174">
        <v>47</v>
      </c>
      <c r="BY15" s="174">
        <v>47</v>
      </c>
      <c r="BZ15" s="174">
        <v>99</v>
      </c>
      <c r="CA15" s="174">
        <v>128</v>
      </c>
      <c r="CB15" s="174">
        <v>153</v>
      </c>
      <c r="CC15" s="174">
        <v>178</v>
      </c>
      <c r="CD15" s="174">
        <v>233</v>
      </c>
      <c r="CE15" s="174">
        <v>35.1</v>
      </c>
      <c r="CF15" s="174">
        <v>6.9</v>
      </c>
      <c r="CG15" s="174">
        <v>1.2</v>
      </c>
      <c r="CH15" s="175">
        <v>5.4384949624882036E-4</v>
      </c>
    </row>
    <row r="16" spans="1:86" x14ac:dyDescent="0.3">
      <c r="A16" s="152" t="s">
        <v>43</v>
      </c>
      <c r="B16" s="185">
        <v>79000000</v>
      </c>
      <c r="C16" s="160" t="s">
        <v>396</v>
      </c>
      <c r="D16" s="186">
        <v>14522.326951276294</v>
      </c>
      <c r="E16" s="187"/>
      <c r="I16" s="152" t="str">
        <f t="shared" ca="1" si="1"/>
        <v>PM2</v>
      </c>
      <c r="J16" s="167">
        <v>11</v>
      </c>
      <c r="K16" s="168">
        <f t="shared" ca="1" si="0"/>
        <v>-16.2</v>
      </c>
      <c r="L16" s="169" t="s">
        <v>1783</v>
      </c>
      <c r="M16" s="67" t="s">
        <v>58</v>
      </c>
      <c r="N16" s="167">
        <v>8.3999999999999986</v>
      </c>
      <c r="O16" s="170">
        <v>153</v>
      </c>
      <c r="P16" s="170">
        <v>1.7482517482517481</v>
      </c>
      <c r="Q16" s="167">
        <v>0</v>
      </c>
      <c r="R16" s="167" t="e">
        <v>#N/A</v>
      </c>
      <c r="S16" s="167">
        <v>0.9</v>
      </c>
      <c r="T16" s="167">
        <v>0</v>
      </c>
      <c r="U16" s="171">
        <v>1.9E-2</v>
      </c>
      <c r="V16" s="171">
        <v>0</v>
      </c>
      <c r="W16" s="167">
        <v>0.5</v>
      </c>
      <c r="X16" s="167">
        <v>15200</v>
      </c>
      <c r="Y16" s="167">
        <v>0</v>
      </c>
      <c r="Z16" s="167" t="e">
        <v>#N/A</v>
      </c>
      <c r="AA16" s="167">
        <v>1</v>
      </c>
      <c r="AB16" s="167" t="e">
        <v>#N/A</v>
      </c>
      <c r="AC16" s="170">
        <v>74000</v>
      </c>
      <c r="AD16" s="172">
        <v>1188.8111888111887</v>
      </c>
      <c r="AE16" s="170">
        <v>0.3</v>
      </c>
      <c r="AF16" s="170">
        <v>0</v>
      </c>
      <c r="AG16" s="170">
        <v>0</v>
      </c>
      <c r="AH16" s="170">
        <v>0</v>
      </c>
      <c r="AI16" s="170">
        <v>0</v>
      </c>
      <c r="AJ16" s="167" t="e">
        <v>#N/A</v>
      </c>
      <c r="AK16" s="167">
        <v>1</v>
      </c>
      <c r="AL16" s="167">
        <v>1</v>
      </c>
      <c r="AM16" s="167">
        <v>1</v>
      </c>
      <c r="AN16" s="167">
        <v>1</v>
      </c>
      <c r="AO16" s="167">
        <v>1</v>
      </c>
      <c r="AP16" s="167">
        <v>1</v>
      </c>
      <c r="AQ16" s="167">
        <v>0</v>
      </c>
      <c r="AR16" s="167">
        <v>0</v>
      </c>
      <c r="AS16" s="204">
        <v>1</v>
      </c>
      <c r="AW16" s="174">
        <v>5.4</v>
      </c>
      <c r="AX16" s="174" t="s">
        <v>902</v>
      </c>
      <c r="AY16" s="174">
        <v>23</v>
      </c>
      <c r="AZ16" s="174">
        <v>20</v>
      </c>
      <c r="BA16" s="174"/>
      <c r="BB16" s="174">
        <v>12</v>
      </c>
      <c r="BC16" s="174"/>
      <c r="BD16" s="174"/>
      <c r="BE16" s="174">
        <v>13.7</v>
      </c>
      <c r="BF16" s="174">
        <v>15.4</v>
      </c>
      <c r="BG16" s="174">
        <v>16.600000000000001</v>
      </c>
      <c r="BH16" s="174">
        <v>17.8</v>
      </c>
      <c r="BI16" s="174">
        <v>19.399999999999999</v>
      </c>
      <c r="BJ16" s="174">
        <v>3.5700000000000003E-2</v>
      </c>
      <c r="BK16" s="174">
        <v>4.2200000000000001E-2</v>
      </c>
      <c r="BL16" s="174">
        <v>4.65E-2</v>
      </c>
      <c r="BM16" s="174">
        <v>5.0799999999999998E-2</v>
      </c>
      <c r="BN16" s="174">
        <v>5.7299999999999997E-2</v>
      </c>
      <c r="BO16" s="174"/>
      <c r="BP16" s="174"/>
      <c r="BQ16" s="174"/>
      <c r="BR16" s="174"/>
      <c r="BS16" s="174"/>
      <c r="BT16" s="174">
        <v>72</v>
      </c>
      <c r="BU16" s="174">
        <v>29</v>
      </c>
      <c r="BV16" s="174">
        <v>31</v>
      </c>
      <c r="BW16" s="174">
        <v>35</v>
      </c>
      <c r="BX16" s="174">
        <v>38</v>
      </c>
      <c r="BY16" s="174">
        <v>45</v>
      </c>
      <c r="BZ16" s="174">
        <v>86</v>
      </c>
      <c r="CA16" s="174">
        <v>121</v>
      </c>
      <c r="CB16" s="174">
        <v>151</v>
      </c>
      <c r="CC16" s="174">
        <v>181</v>
      </c>
      <c r="CD16" s="174">
        <v>248</v>
      </c>
      <c r="CE16" s="174">
        <v>33.200000000000003</v>
      </c>
      <c r="CF16" s="174">
        <v>4.5</v>
      </c>
      <c r="CG16" s="174">
        <v>1</v>
      </c>
      <c r="CH16" s="175">
        <v>1.4763976822903559E-4</v>
      </c>
    </row>
    <row r="17" spans="1:86" s="178" customFormat="1" x14ac:dyDescent="0.3">
      <c r="A17" s="152" t="s">
        <v>74</v>
      </c>
      <c r="B17" s="162">
        <v>0.53</v>
      </c>
      <c r="C17" s="160"/>
      <c r="D17" s="190">
        <v>-645070.59638344217</v>
      </c>
      <c r="E17" s="164"/>
      <c r="I17" s="152" t="str">
        <f t="shared" ca="1" si="1"/>
        <v>PM3</v>
      </c>
      <c r="J17" s="167">
        <v>12</v>
      </c>
      <c r="K17" s="168">
        <f t="shared" ca="1" si="0"/>
        <v>-30.5</v>
      </c>
      <c r="L17" s="169" t="s">
        <v>1784</v>
      </c>
      <c r="M17" s="67" t="s">
        <v>57</v>
      </c>
      <c r="N17" s="167">
        <v>8</v>
      </c>
      <c r="O17" s="170">
        <v>0</v>
      </c>
      <c r="P17" s="170">
        <v>0</v>
      </c>
      <c r="Q17" s="167">
        <v>30</v>
      </c>
      <c r="R17" s="167">
        <v>25</v>
      </c>
      <c r="S17" s="167">
        <v>0.9</v>
      </c>
      <c r="T17" s="167">
        <v>0</v>
      </c>
      <c r="U17" s="171">
        <v>0</v>
      </c>
      <c r="V17" s="171">
        <v>0</v>
      </c>
      <c r="W17" s="167">
        <v>0.5</v>
      </c>
      <c r="X17" s="167">
        <v>28700</v>
      </c>
      <c r="Y17" s="167">
        <v>0</v>
      </c>
      <c r="Z17" s="167">
        <v>80.999999999999972</v>
      </c>
      <c r="AA17" s="167">
        <v>1</v>
      </c>
      <c r="AB17" s="167">
        <v>4800</v>
      </c>
      <c r="AC17" s="170">
        <v>316000</v>
      </c>
      <c r="AD17" s="172">
        <v>10000.000000000013</v>
      </c>
      <c r="AE17" s="170">
        <v>0.3</v>
      </c>
      <c r="AF17" s="170">
        <v>0</v>
      </c>
      <c r="AG17" s="170">
        <v>0</v>
      </c>
      <c r="AH17" s="170">
        <v>0</v>
      </c>
      <c r="AI17" s="170">
        <v>0</v>
      </c>
      <c r="AJ17" s="167">
        <v>20.000000000000007</v>
      </c>
      <c r="AK17" s="167">
        <v>1</v>
      </c>
      <c r="AL17" s="167">
        <v>1</v>
      </c>
      <c r="AM17" s="167">
        <v>1</v>
      </c>
      <c r="AN17" s="167">
        <v>1</v>
      </c>
      <c r="AO17" s="167">
        <v>1</v>
      </c>
      <c r="AP17" s="167">
        <v>1</v>
      </c>
      <c r="AQ17" s="167">
        <v>0</v>
      </c>
      <c r="AR17" s="167">
        <v>79</v>
      </c>
      <c r="AS17" s="204">
        <v>1</v>
      </c>
      <c r="AW17" s="174">
        <v>8.3000000000000007</v>
      </c>
      <c r="AX17" s="174" t="s">
        <v>902</v>
      </c>
      <c r="AY17" s="174">
        <v>23</v>
      </c>
      <c r="AZ17" s="174">
        <v>20</v>
      </c>
      <c r="BA17" s="174"/>
      <c r="BB17" s="174">
        <v>12</v>
      </c>
      <c r="BC17" s="174"/>
      <c r="BD17" s="174"/>
      <c r="BE17" s="174">
        <v>8.5</v>
      </c>
      <c r="BF17" s="174">
        <v>10.199999999999999</v>
      </c>
      <c r="BG17" s="174">
        <v>11.4</v>
      </c>
      <c r="BH17" s="174">
        <v>12.5</v>
      </c>
      <c r="BI17" s="174">
        <v>14.2</v>
      </c>
      <c r="BJ17" s="174">
        <v>0.05</v>
      </c>
      <c r="BK17" s="174">
        <v>5.6399999999999999E-2</v>
      </c>
      <c r="BL17" s="174">
        <v>6.08E-2</v>
      </c>
      <c r="BM17" s="174">
        <v>6.5100000000000005E-2</v>
      </c>
      <c r="BN17" s="174">
        <v>7.1599999999999997E-2</v>
      </c>
      <c r="BO17" s="174"/>
      <c r="BP17" s="174"/>
      <c r="BQ17" s="174"/>
      <c r="BR17" s="174"/>
      <c r="BS17" s="174"/>
      <c r="BT17" s="174">
        <v>72</v>
      </c>
      <c r="BU17" s="174">
        <v>29</v>
      </c>
      <c r="BV17" s="174">
        <v>31</v>
      </c>
      <c r="BW17" s="174">
        <v>35</v>
      </c>
      <c r="BX17" s="174">
        <v>38</v>
      </c>
      <c r="BY17" s="174">
        <v>45</v>
      </c>
      <c r="BZ17" s="174">
        <v>107</v>
      </c>
      <c r="CA17" s="174">
        <v>143</v>
      </c>
      <c r="CB17" s="174">
        <v>173</v>
      </c>
      <c r="CC17" s="174">
        <v>203</v>
      </c>
      <c r="CD17" s="174">
        <v>269</v>
      </c>
      <c r="CE17" s="174">
        <v>33.200000000000003</v>
      </c>
      <c r="CF17" s="174">
        <v>4.5</v>
      </c>
      <c r="CG17" s="174">
        <v>1</v>
      </c>
      <c r="CH17" s="175">
        <v>1.4763976822903559E-4</v>
      </c>
    </row>
    <row r="18" spans="1:86" x14ac:dyDescent="0.3">
      <c r="A18" s="153" t="s">
        <v>25</v>
      </c>
      <c r="B18" s="153" t="s">
        <v>26</v>
      </c>
      <c r="C18" s="153" t="s">
        <v>27</v>
      </c>
      <c r="D18" s="191">
        <v>29589.367332108995</v>
      </c>
      <c r="E18" s="192"/>
      <c r="I18" s="152" t="str">
        <f t="shared" ca="1" si="1"/>
        <v>PM3</v>
      </c>
      <c r="J18" s="167">
        <v>13</v>
      </c>
      <c r="K18" s="168">
        <f t="shared" ca="1" si="0"/>
        <v>-32.799999999999997</v>
      </c>
      <c r="L18" s="169" t="s">
        <v>1785</v>
      </c>
      <c r="M18" s="67" t="s">
        <v>57</v>
      </c>
      <c r="N18" s="167">
        <v>8</v>
      </c>
      <c r="O18" s="170">
        <v>0</v>
      </c>
      <c r="P18" s="170">
        <v>0</v>
      </c>
      <c r="Q18" s="167">
        <v>29</v>
      </c>
      <c r="R18" s="167">
        <v>24</v>
      </c>
      <c r="S18" s="167">
        <v>0.5</v>
      </c>
      <c r="T18" s="167">
        <v>0</v>
      </c>
      <c r="U18" s="171">
        <v>0</v>
      </c>
      <c r="V18" s="171">
        <v>0</v>
      </c>
      <c r="W18" s="167">
        <v>0.5</v>
      </c>
      <c r="X18" s="167">
        <v>14400</v>
      </c>
      <c r="Y18" s="167">
        <v>0</v>
      </c>
      <c r="Z18" s="167">
        <v>78.199999999999974</v>
      </c>
      <c r="AA18" s="167">
        <v>1</v>
      </c>
      <c r="AB18" s="167">
        <v>4420</v>
      </c>
      <c r="AC18" s="170">
        <v>269000</v>
      </c>
      <c r="AD18" s="172">
        <v>2187.4999999999982</v>
      </c>
      <c r="AE18" s="170">
        <v>0.3</v>
      </c>
      <c r="AF18" s="170">
        <v>0</v>
      </c>
      <c r="AG18" s="170">
        <v>0</v>
      </c>
      <c r="AH18" s="170">
        <v>0</v>
      </c>
      <c r="AI18" s="170">
        <v>0</v>
      </c>
      <c r="AJ18" s="167">
        <v>18.400000000000006</v>
      </c>
      <c r="AK18" s="167">
        <v>1</v>
      </c>
      <c r="AL18" s="167">
        <v>1</v>
      </c>
      <c r="AM18" s="167">
        <v>1</v>
      </c>
      <c r="AN18" s="167">
        <v>1</v>
      </c>
      <c r="AO18" s="167">
        <v>1</v>
      </c>
      <c r="AP18" s="167">
        <v>1</v>
      </c>
      <c r="AQ18" s="167">
        <v>0</v>
      </c>
      <c r="AR18" s="167">
        <v>56</v>
      </c>
      <c r="AS18" s="204">
        <v>1</v>
      </c>
      <c r="AW18" s="174">
        <v>8.3000000000000007</v>
      </c>
      <c r="AX18" s="174" t="s">
        <v>902</v>
      </c>
      <c r="AY18" s="174">
        <v>23</v>
      </c>
      <c r="AZ18" s="174">
        <v>20</v>
      </c>
      <c r="BA18" s="174"/>
      <c r="BB18" s="174">
        <v>12</v>
      </c>
      <c r="BC18" s="174"/>
      <c r="BD18" s="174"/>
      <c r="BE18" s="174">
        <v>6.3</v>
      </c>
      <c r="BF18" s="174">
        <v>8.6999999999999993</v>
      </c>
      <c r="BG18" s="174">
        <v>10.3</v>
      </c>
      <c r="BH18" s="174">
        <v>12</v>
      </c>
      <c r="BI18" s="174">
        <v>14.4</v>
      </c>
      <c r="BJ18" s="174">
        <v>5.8900000000000001E-2</v>
      </c>
      <c r="BK18" s="174">
        <v>7.2300000000000003E-2</v>
      </c>
      <c r="BL18" s="174">
        <v>8.1199999999999994E-2</v>
      </c>
      <c r="BM18" s="174">
        <v>9.0200000000000002E-2</v>
      </c>
      <c r="BN18" s="174">
        <v>0.1027</v>
      </c>
      <c r="BO18" s="174"/>
      <c r="BP18" s="174"/>
      <c r="BQ18" s="174"/>
      <c r="BR18" s="174"/>
      <c r="BS18" s="174"/>
      <c r="BT18" s="174">
        <v>85</v>
      </c>
      <c r="BU18" s="174">
        <v>29</v>
      </c>
      <c r="BV18" s="174">
        <v>32</v>
      </c>
      <c r="BW18" s="174">
        <v>36</v>
      </c>
      <c r="BX18" s="174">
        <v>40</v>
      </c>
      <c r="BY18" s="174">
        <v>47</v>
      </c>
      <c r="BZ18" s="174">
        <v>88</v>
      </c>
      <c r="CA18" s="174">
        <v>133</v>
      </c>
      <c r="CB18" s="174">
        <v>170</v>
      </c>
      <c r="CC18" s="174">
        <v>207</v>
      </c>
      <c r="CD18" s="174">
        <v>291</v>
      </c>
      <c r="CE18" s="174">
        <v>52.9</v>
      </c>
      <c r="CF18" s="174">
        <v>5</v>
      </c>
      <c r="CG18" s="174">
        <v>1.1000000000000001</v>
      </c>
      <c r="CH18" s="175">
        <v>1.961188245225343E-4</v>
      </c>
    </row>
    <row r="19" spans="1:86" x14ac:dyDescent="0.3">
      <c r="A19" s="164" t="s">
        <v>36</v>
      </c>
      <c r="B19" s="164" t="s">
        <v>29</v>
      </c>
      <c r="C19" s="164" t="s">
        <v>53</v>
      </c>
      <c r="D19" s="161">
        <v>0</v>
      </c>
      <c r="E19" s="153"/>
      <c r="I19" s="152" t="str">
        <f t="shared" ca="1" si="1"/>
        <v>PM3</v>
      </c>
      <c r="J19" s="167">
        <v>14</v>
      </c>
      <c r="K19" s="168">
        <f t="shared" ca="1" si="0"/>
        <v>-36</v>
      </c>
      <c r="L19" s="169" t="s">
        <v>1786</v>
      </c>
      <c r="M19" s="67" t="s">
        <v>57</v>
      </c>
      <c r="N19" s="167">
        <v>8</v>
      </c>
      <c r="O19" s="170">
        <v>0</v>
      </c>
      <c r="P19" s="170">
        <v>0</v>
      </c>
      <c r="Q19" s="167">
        <v>30</v>
      </c>
      <c r="R19" s="167">
        <v>25</v>
      </c>
      <c r="S19" s="167">
        <v>0.8</v>
      </c>
      <c r="T19" s="167">
        <v>0</v>
      </c>
      <c r="U19" s="171">
        <v>0</v>
      </c>
      <c r="V19" s="171">
        <v>0</v>
      </c>
      <c r="W19" s="167">
        <v>0.5</v>
      </c>
      <c r="X19" s="167">
        <v>31300</v>
      </c>
      <c r="Y19" s="167">
        <v>0</v>
      </c>
      <c r="Z19" s="167">
        <v>80.999999999999972</v>
      </c>
      <c r="AA19" s="167">
        <v>1</v>
      </c>
      <c r="AB19" s="167">
        <v>4800</v>
      </c>
      <c r="AC19" s="170">
        <v>385000</v>
      </c>
      <c r="AD19" s="172">
        <v>0</v>
      </c>
      <c r="AE19" s="170">
        <v>0.3</v>
      </c>
      <c r="AF19" s="170">
        <v>0</v>
      </c>
      <c r="AG19" s="170">
        <v>0</v>
      </c>
      <c r="AH19" s="170">
        <v>0</v>
      </c>
      <c r="AI19" s="170">
        <v>0</v>
      </c>
      <c r="AJ19" s="167">
        <v>20.000000000000007</v>
      </c>
      <c r="AK19" s="167">
        <v>1</v>
      </c>
      <c r="AL19" s="167">
        <v>1</v>
      </c>
      <c r="AM19" s="167">
        <v>1</v>
      </c>
      <c r="AN19" s="167">
        <v>1</v>
      </c>
      <c r="AO19" s="167">
        <v>1</v>
      </c>
      <c r="AP19" s="167">
        <v>1</v>
      </c>
      <c r="AQ19" s="167">
        <v>0</v>
      </c>
      <c r="AR19" s="167">
        <v>78</v>
      </c>
      <c r="AS19" s="204">
        <v>1</v>
      </c>
      <c r="AW19" s="174">
        <v>9.25</v>
      </c>
      <c r="AX19" s="174" t="s">
        <v>902</v>
      </c>
      <c r="AY19" s="174">
        <v>23</v>
      </c>
      <c r="AZ19" s="174">
        <v>20</v>
      </c>
      <c r="BA19" s="174"/>
      <c r="BB19" s="174">
        <v>12</v>
      </c>
      <c r="BC19" s="174"/>
      <c r="BD19" s="174"/>
      <c r="BE19" s="174">
        <v>25.3</v>
      </c>
      <c r="BF19" s="174">
        <v>27.7</v>
      </c>
      <c r="BG19" s="174">
        <v>29.4</v>
      </c>
      <c r="BH19" s="174">
        <v>31</v>
      </c>
      <c r="BI19" s="174">
        <v>33.4</v>
      </c>
      <c r="BJ19" s="174">
        <v>0.1105</v>
      </c>
      <c r="BK19" s="174">
        <v>0.12379999999999999</v>
      </c>
      <c r="BL19" s="174">
        <v>0.1328</v>
      </c>
      <c r="BM19" s="174">
        <v>0.14169999999999999</v>
      </c>
      <c r="BN19" s="174">
        <v>0.15429999999999999</v>
      </c>
      <c r="BO19" s="174"/>
      <c r="BP19" s="174"/>
      <c r="BQ19" s="174"/>
      <c r="BR19" s="174"/>
      <c r="BS19" s="174"/>
      <c r="BT19" s="174">
        <v>85</v>
      </c>
      <c r="BU19" s="174">
        <v>29</v>
      </c>
      <c r="BV19" s="174">
        <v>32</v>
      </c>
      <c r="BW19" s="174">
        <v>36</v>
      </c>
      <c r="BX19" s="174">
        <v>40</v>
      </c>
      <c r="BY19" s="174">
        <v>47</v>
      </c>
      <c r="BZ19" s="174">
        <v>154</v>
      </c>
      <c r="CA19" s="174">
        <v>199</v>
      </c>
      <c r="CB19" s="174">
        <v>236</v>
      </c>
      <c r="CC19" s="174">
        <v>273</v>
      </c>
      <c r="CD19" s="174">
        <v>357</v>
      </c>
      <c r="CE19" s="174">
        <v>52.9</v>
      </c>
      <c r="CF19" s="174">
        <v>5</v>
      </c>
      <c r="CG19" s="174">
        <v>1.1000000000000001</v>
      </c>
      <c r="CH19" s="175">
        <v>1.961188245225343E-4</v>
      </c>
    </row>
    <row r="20" spans="1:86" x14ac:dyDescent="0.3">
      <c r="A20" s="192">
        <v>1</v>
      </c>
      <c r="B20" s="192">
        <v>0</v>
      </c>
      <c r="C20" s="193">
        <v>0.09</v>
      </c>
      <c r="D20" s="194">
        <v>2693.7272520161182</v>
      </c>
      <c r="J20" s="167"/>
      <c r="K20" s="168"/>
      <c r="L20" s="169"/>
      <c r="M20" s="67"/>
      <c r="N20" s="167"/>
      <c r="O20" s="170"/>
      <c r="P20" s="170"/>
      <c r="Q20" s="167"/>
      <c r="R20" s="167"/>
      <c r="S20" s="167"/>
      <c r="T20" s="167"/>
      <c r="U20" s="171"/>
      <c r="V20" s="171"/>
      <c r="W20" s="167"/>
      <c r="X20" s="167"/>
      <c r="Y20" s="167"/>
      <c r="Z20" s="167"/>
      <c r="AA20" s="167"/>
      <c r="AB20" s="167"/>
      <c r="AC20" s="170"/>
      <c r="AD20" s="170"/>
      <c r="AE20" s="170"/>
      <c r="AF20" s="170"/>
      <c r="AG20" s="170"/>
      <c r="AH20" s="170"/>
      <c r="AI20" s="170"/>
      <c r="AJ20" s="167"/>
      <c r="AK20" s="167"/>
      <c r="AL20" s="167"/>
      <c r="AM20" s="167"/>
      <c r="AN20" s="167"/>
      <c r="AO20" s="167"/>
      <c r="AP20" s="167"/>
      <c r="AQ20" s="167"/>
      <c r="AR20" s="167"/>
      <c r="AW20" s="174">
        <v>9.25</v>
      </c>
      <c r="AX20" s="174" t="s">
        <v>902</v>
      </c>
      <c r="AY20" s="174">
        <v>25</v>
      </c>
      <c r="AZ20" s="174">
        <v>19.5</v>
      </c>
      <c r="BA20" s="174"/>
      <c r="BB20" s="174">
        <v>12</v>
      </c>
      <c r="BC20" s="174"/>
      <c r="BD20" s="174"/>
      <c r="BE20" s="174">
        <v>24.3</v>
      </c>
      <c r="BF20" s="174">
        <v>27.8</v>
      </c>
      <c r="BG20" s="174">
        <v>30.2</v>
      </c>
      <c r="BH20" s="174">
        <v>32.5</v>
      </c>
      <c r="BI20" s="174">
        <v>36</v>
      </c>
      <c r="BJ20" s="174">
        <v>9.8000000000000004E-2</v>
      </c>
      <c r="BK20" s="174">
        <v>0.11700000000000001</v>
      </c>
      <c r="BL20" s="174">
        <v>0.12970000000000001</v>
      </c>
      <c r="BM20" s="174">
        <v>0.1424</v>
      </c>
      <c r="BN20" s="174">
        <v>0.15659999999999999</v>
      </c>
      <c r="BO20" s="174"/>
      <c r="BP20" s="174"/>
      <c r="BQ20" s="174"/>
      <c r="BR20" s="174"/>
      <c r="BS20" s="174"/>
      <c r="BT20" s="174">
        <v>93</v>
      </c>
      <c r="BU20" s="174">
        <v>29</v>
      </c>
      <c r="BV20" s="174">
        <v>32</v>
      </c>
      <c r="BW20" s="174">
        <v>37</v>
      </c>
      <c r="BX20" s="174">
        <v>41</v>
      </c>
      <c r="BY20" s="174">
        <v>47</v>
      </c>
      <c r="BZ20" s="174">
        <v>137</v>
      </c>
      <c r="CA20" s="174">
        <v>189</v>
      </c>
      <c r="CB20" s="174">
        <v>233</v>
      </c>
      <c r="CC20" s="174">
        <v>277</v>
      </c>
      <c r="CD20" s="174">
        <v>375</v>
      </c>
      <c r="CE20" s="174">
        <v>70</v>
      </c>
      <c r="CF20" s="174">
        <v>5.6</v>
      </c>
      <c r="CG20" s="174">
        <v>1.1000000000000001</v>
      </c>
      <c r="CH20" s="175">
        <v>3.0196603832630239E-4</v>
      </c>
    </row>
    <row r="21" spans="1:86" x14ac:dyDescent="0.3">
      <c r="A21" s="192"/>
      <c r="B21" s="192"/>
      <c r="D21" s="161"/>
      <c r="J21" s="167"/>
      <c r="K21" s="168"/>
      <c r="L21" s="169"/>
      <c r="M21" s="67"/>
      <c r="N21" s="167"/>
      <c r="O21" s="170"/>
      <c r="P21" s="170"/>
      <c r="Q21" s="167"/>
      <c r="R21" s="167"/>
      <c r="S21" s="167"/>
      <c r="T21" s="167"/>
      <c r="U21" s="171"/>
      <c r="V21" s="171"/>
      <c r="W21" s="167"/>
      <c r="X21" s="167"/>
      <c r="Y21" s="167"/>
      <c r="Z21" s="167"/>
      <c r="AA21" s="167"/>
      <c r="AB21" s="167"/>
      <c r="AC21" s="170"/>
      <c r="AD21" s="170"/>
      <c r="AE21" s="170"/>
      <c r="AF21" s="170"/>
      <c r="AG21" s="170"/>
      <c r="AH21" s="170"/>
      <c r="AI21" s="170"/>
      <c r="AJ21" s="167"/>
      <c r="AK21" s="167"/>
      <c r="AL21" s="167"/>
      <c r="AM21" s="167"/>
      <c r="AN21" s="167"/>
      <c r="AO21" s="167"/>
      <c r="AP21" s="167"/>
      <c r="AQ21" s="167"/>
      <c r="AR21" s="167"/>
      <c r="AW21" s="174">
        <v>10.5</v>
      </c>
      <c r="AX21" s="174" t="s">
        <v>902</v>
      </c>
      <c r="AY21" s="174">
        <v>25</v>
      </c>
      <c r="AZ21" s="174">
        <v>19.5</v>
      </c>
      <c r="BA21" s="174"/>
      <c r="BB21" s="174">
        <v>12</v>
      </c>
      <c r="BC21" s="174"/>
      <c r="BD21" s="174"/>
      <c r="BE21" s="174">
        <v>22.1</v>
      </c>
      <c r="BF21" s="174">
        <v>25.6</v>
      </c>
      <c r="BG21" s="174">
        <v>28</v>
      </c>
      <c r="BH21" s="174">
        <v>30.4</v>
      </c>
      <c r="BI21" s="174">
        <v>33.9</v>
      </c>
      <c r="BJ21" s="174">
        <v>0.10730000000000001</v>
      </c>
      <c r="BK21" s="174">
        <v>0.12620000000000001</v>
      </c>
      <c r="BL21" s="174">
        <v>0.1389</v>
      </c>
      <c r="BM21" s="174">
        <v>0.15160000000000001</v>
      </c>
      <c r="BN21" s="174">
        <v>0.16589999999999999</v>
      </c>
      <c r="BO21" s="174"/>
      <c r="BP21" s="174"/>
      <c r="BQ21" s="174"/>
      <c r="BR21" s="174"/>
      <c r="BS21" s="174"/>
      <c r="BT21" s="174">
        <v>93</v>
      </c>
      <c r="BU21" s="174">
        <v>29</v>
      </c>
      <c r="BV21" s="174">
        <v>32</v>
      </c>
      <c r="BW21" s="174">
        <v>37</v>
      </c>
      <c r="BX21" s="174">
        <v>41</v>
      </c>
      <c r="BY21" s="174">
        <v>47</v>
      </c>
      <c r="BZ21" s="174">
        <v>149</v>
      </c>
      <c r="CA21" s="174">
        <v>201</v>
      </c>
      <c r="CB21" s="174">
        <v>245</v>
      </c>
      <c r="CC21" s="174">
        <v>289</v>
      </c>
      <c r="CD21" s="174">
        <v>387</v>
      </c>
      <c r="CE21" s="174">
        <v>70</v>
      </c>
      <c r="CF21" s="174">
        <v>5.6</v>
      </c>
      <c r="CG21" s="174">
        <v>1.1000000000000001</v>
      </c>
      <c r="CH21" s="175">
        <v>3.0196603832630239E-4</v>
      </c>
    </row>
    <row r="22" spans="1:86" x14ac:dyDescent="0.3">
      <c r="A22" s="192"/>
      <c r="B22" s="192"/>
      <c r="D22" s="153"/>
      <c r="J22" s="167"/>
      <c r="K22" s="168"/>
      <c r="L22" s="169"/>
      <c r="M22" s="67"/>
      <c r="N22" s="167"/>
      <c r="O22" s="170"/>
      <c r="P22" s="170"/>
      <c r="Q22" s="167"/>
      <c r="R22" s="167"/>
      <c r="S22" s="167"/>
      <c r="T22" s="167"/>
      <c r="U22" s="171"/>
      <c r="V22" s="171"/>
      <c r="W22" s="167"/>
      <c r="X22" s="167"/>
      <c r="Y22" s="167"/>
      <c r="Z22" s="167"/>
      <c r="AA22" s="167"/>
      <c r="AB22" s="167"/>
      <c r="AC22" s="170"/>
      <c r="AD22" s="170"/>
      <c r="AE22" s="170"/>
      <c r="AF22" s="170"/>
      <c r="AG22" s="170"/>
      <c r="AH22" s="170"/>
      <c r="AI22" s="170"/>
      <c r="AJ22" s="167"/>
      <c r="AK22" s="167"/>
      <c r="AL22" s="167"/>
      <c r="AM22" s="167"/>
      <c r="AN22" s="167"/>
      <c r="AO22" s="167"/>
      <c r="AP22" s="167"/>
      <c r="AQ22" s="167"/>
      <c r="AR22" s="167"/>
      <c r="AW22" s="174">
        <v>10.5</v>
      </c>
      <c r="AX22" s="174" t="s">
        <v>902</v>
      </c>
      <c r="AY22" s="174">
        <v>25</v>
      </c>
      <c r="AZ22" s="174">
        <v>19.5</v>
      </c>
      <c r="BA22" s="174"/>
      <c r="BB22" s="174">
        <v>12</v>
      </c>
      <c r="BC22" s="174"/>
      <c r="BD22" s="174"/>
      <c r="BE22" s="174">
        <v>23.8</v>
      </c>
      <c r="BF22" s="174">
        <v>29.8</v>
      </c>
      <c r="BG22" s="174">
        <v>33.799999999999997</v>
      </c>
      <c r="BH22" s="174">
        <v>37.9</v>
      </c>
      <c r="BI22" s="174">
        <v>43.9</v>
      </c>
      <c r="BJ22" s="174">
        <v>0.11650000000000001</v>
      </c>
      <c r="BK22" s="174">
        <v>0.1404</v>
      </c>
      <c r="BL22" s="174">
        <v>0.15629999999999999</v>
      </c>
      <c r="BM22" s="174">
        <v>0.17230000000000001</v>
      </c>
      <c r="BN22" s="174">
        <v>0.1961</v>
      </c>
      <c r="BO22" s="174"/>
      <c r="BP22" s="174"/>
      <c r="BQ22" s="174"/>
      <c r="BR22" s="174"/>
      <c r="BS22" s="174"/>
      <c r="BT22" s="174">
        <v>100</v>
      </c>
      <c r="BU22" s="174">
        <v>29</v>
      </c>
      <c r="BV22" s="174">
        <v>34</v>
      </c>
      <c r="BW22" s="174">
        <v>38</v>
      </c>
      <c r="BX22" s="174">
        <v>43</v>
      </c>
      <c r="BY22" s="174">
        <v>47</v>
      </c>
      <c r="BZ22" s="174">
        <v>142</v>
      </c>
      <c r="CA22" s="174">
        <v>214</v>
      </c>
      <c r="CB22" s="174">
        <v>259</v>
      </c>
      <c r="CC22" s="174">
        <v>305</v>
      </c>
      <c r="CD22" s="174">
        <v>408</v>
      </c>
      <c r="CE22" s="174">
        <v>125</v>
      </c>
      <c r="CF22" s="174">
        <v>7.3</v>
      </c>
      <c r="CG22" s="174">
        <v>1.3</v>
      </c>
      <c r="CH22" s="175">
        <v>1.116120469669757E-3</v>
      </c>
    </row>
    <row r="23" spans="1:86" x14ac:dyDescent="0.3">
      <c r="A23" s="192"/>
      <c r="B23" s="192"/>
      <c r="D23" s="195">
        <v>19605.141384222999</v>
      </c>
      <c r="J23" s="167"/>
      <c r="K23" s="168"/>
      <c r="L23" s="169"/>
      <c r="M23" s="67"/>
      <c r="N23" s="167"/>
      <c r="O23" s="170"/>
      <c r="P23" s="170"/>
      <c r="Q23" s="167"/>
      <c r="R23" s="167"/>
      <c r="S23" s="167"/>
      <c r="T23" s="167"/>
      <c r="U23" s="171"/>
      <c r="V23" s="171"/>
      <c r="W23" s="167"/>
      <c r="X23" s="167"/>
      <c r="Y23" s="167"/>
      <c r="Z23" s="167"/>
      <c r="AA23" s="167"/>
      <c r="AB23" s="167"/>
      <c r="AC23" s="170"/>
      <c r="AD23" s="170"/>
      <c r="AE23" s="170"/>
      <c r="AF23" s="170"/>
      <c r="AG23" s="170"/>
      <c r="AH23" s="170"/>
      <c r="AI23" s="170"/>
      <c r="AJ23" s="167"/>
      <c r="AK23" s="167"/>
      <c r="AL23" s="167"/>
      <c r="AM23" s="167"/>
      <c r="AN23" s="167"/>
      <c r="AO23" s="167"/>
      <c r="AP23" s="167"/>
      <c r="AQ23" s="167"/>
      <c r="AR23" s="167"/>
      <c r="AW23" s="174">
        <v>12</v>
      </c>
      <c r="AX23" s="174" t="s">
        <v>902</v>
      </c>
      <c r="AY23" s="174">
        <v>25</v>
      </c>
      <c r="AZ23" s="174">
        <v>19.5</v>
      </c>
      <c r="BA23" s="174"/>
      <c r="BB23" s="174">
        <v>12</v>
      </c>
      <c r="BC23" s="174"/>
      <c r="BD23" s="174"/>
      <c r="BE23" s="174">
        <v>55.7</v>
      </c>
      <c r="BF23" s="174">
        <v>61.7</v>
      </c>
      <c r="BG23" s="174">
        <v>65.8</v>
      </c>
      <c r="BH23" s="174">
        <v>69.8</v>
      </c>
      <c r="BI23" s="174">
        <v>75.8</v>
      </c>
      <c r="BJ23" s="174">
        <v>0.20080000000000001</v>
      </c>
      <c r="BK23" s="174">
        <v>0.22459999999999999</v>
      </c>
      <c r="BL23" s="174">
        <v>0.24060000000000001</v>
      </c>
      <c r="BM23" s="174">
        <v>0.25650000000000001</v>
      </c>
      <c r="BN23" s="174">
        <v>0.28039999999999998</v>
      </c>
      <c r="BO23" s="174"/>
      <c r="BP23" s="174"/>
      <c r="BQ23" s="174"/>
      <c r="BR23" s="174"/>
      <c r="BS23" s="174"/>
      <c r="BT23" s="174">
        <v>100</v>
      </c>
      <c r="BU23" s="174">
        <v>29</v>
      </c>
      <c r="BV23" s="174">
        <v>34</v>
      </c>
      <c r="BW23" s="174">
        <v>38</v>
      </c>
      <c r="BX23" s="174">
        <v>43</v>
      </c>
      <c r="BY23" s="174">
        <v>47</v>
      </c>
      <c r="BZ23" s="174">
        <v>209</v>
      </c>
      <c r="CA23" s="174">
        <v>281</v>
      </c>
      <c r="CB23" s="174">
        <v>326</v>
      </c>
      <c r="CC23" s="174">
        <v>372</v>
      </c>
      <c r="CD23" s="174">
        <v>475</v>
      </c>
      <c r="CE23" s="174">
        <v>125</v>
      </c>
      <c r="CF23" s="174">
        <v>7.3</v>
      </c>
      <c r="CG23" s="174">
        <v>1.3</v>
      </c>
      <c r="CH23" s="175">
        <v>1.116120469669757E-3</v>
      </c>
    </row>
    <row r="24" spans="1:86" x14ac:dyDescent="0.3">
      <c r="A24" s="192"/>
      <c r="B24" s="192"/>
      <c r="D24" s="195">
        <v>-870845.30511764705</v>
      </c>
      <c r="J24" s="167"/>
      <c r="K24" s="168"/>
      <c r="L24" s="169"/>
      <c r="M24" s="67"/>
      <c r="N24" s="167"/>
      <c r="O24" s="170"/>
      <c r="P24" s="170"/>
      <c r="Q24" s="167"/>
      <c r="R24" s="167"/>
      <c r="S24" s="167"/>
      <c r="T24" s="167"/>
      <c r="U24" s="171"/>
      <c r="V24" s="171"/>
      <c r="W24" s="167"/>
      <c r="X24" s="167"/>
      <c r="Y24" s="167"/>
      <c r="Z24" s="167"/>
      <c r="AA24" s="167"/>
      <c r="AB24" s="167"/>
      <c r="AC24" s="170"/>
      <c r="AD24" s="170"/>
      <c r="AE24" s="170"/>
      <c r="AF24" s="170"/>
      <c r="AG24" s="170"/>
      <c r="AH24" s="170"/>
      <c r="AI24" s="170"/>
      <c r="AJ24" s="167"/>
      <c r="AK24" s="167"/>
      <c r="AL24" s="167"/>
      <c r="AM24" s="167"/>
      <c r="AN24" s="167"/>
      <c r="AO24" s="167"/>
      <c r="AP24" s="167"/>
      <c r="AQ24" s="167"/>
      <c r="AR24" s="167"/>
      <c r="AW24" s="174">
        <v>12</v>
      </c>
      <c r="AX24" s="174" t="s">
        <v>902</v>
      </c>
      <c r="AY24" s="174">
        <v>25</v>
      </c>
      <c r="AZ24" s="174">
        <v>19.5</v>
      </c>
      <c r="BA24" s="174"/>
      <c r="BB24" s="174">
        <v>12</v>
      </c>
      <c r="BC24" s="174"/>
      <c r="BD24" s="174"/>
      <c r="BE24" s="174">
        <v>38.700000000000003</v>
      </c>
      <c r="BF24" s="174">
        <v>44.7</v>
      </c>
      <c r="BG24" s="174">
        <v>48.7</v>
      </c>
      <c r="BH24" s="174">
        <v>52.7</v>
      </c>
      <c r="BI24" s="174">
        <v>57.7</v>
      </c>
      <c r="BJ24" s="174">
        <v>0.1285</v>
      </c>
      <c r="BK24" s="174">
        <v>0.15859999999999999</v>
      </c>
      <c r="BL24" s="174">
        <v>0.1787</v>
      </c>
      <c r="BM24" s="174">
        <v>0.1988</v>
      </c>
      <c r="BN24" s="174">
        <v>0.25319999999999998</v>
      </c>
      <c r="BO24" s="174"/>
      <c r="BP24" s="174"/>
      <c r="BQ24" s="174"/>
      <c r="BR24" s="174"/>
      <c r="BS24" s="174"/>
      <c r="BT24" s="174">
        <v>95</v>
      </c>
      <c r="BU24" s="174">
        <v>29</v>
      </c>
      <c r="BV24" s="174">
        <v>32</v>
      </c>
      <c r="BW24" s="174">
        <v>36</v>
      </c>
      <c r="BX24" s="174">
        <v>41</v>
      </c>
      <c r="BY24" s="174">
        <v>47</v>
      </c>
      <c r="BZ24" s="174">
        <v>192</v>
      </c>
      <c r="CA24" s="174">
        <v>265</v>
      </c>
      <c r="CB24" s="174">
        <v>311</v>
      </c>
      <c r="CC24" s="174">
        <v>357</v>
      </c>
      <c r="CD24" s="174">
        <v>461</v>
      </c>
      <c r="CE24" s="174">
        <v>83.6</v>
      </c>
      <c r="CF24" s="174">
        <v>4.3</v>
      </c>
      <c r="CG24" s="174">
        <v>1</v>
      </c>
      <c r="CH24" s="175">
        <v>2.9669100809277728E-4</v>
      </c>
    </row>
    <row r="25" spans="1:86" x14ac:dyDescent="0.3">
      <c r="A25" s="192"/>
      <c r="B25" s="192"/>
      <c r="D25" s="195">
        <v>32548.304065319899</v>
      </c>
      <c r="J25" s="167"/>
      <c r="K25" s="168"/>
      <c r="L25" s="169"/>
      <c r="M25" s="67"/>
      <c r="N25" s="167"/>
      <c r="O25" s="170"/>
      <c r="P25" s="170"/>
      <c r="Q25" s="167"/>
      <c r="R25" s="167"/>
      <c r="S25" s="167"/>
      <c r="T25" s="167"/>
      <c r="U25" s="171"/>
      <c r="V25" s="171"/>
      <c r="W25" s="167"/>
      <c r="X25" s="167"/>
      <c r="Y25" s="167"/>
      <c r="Z25" s="167"/>
      <c r="AA25" s="167"/>
      <c r="AB25" s="167"/>
      <c r="AC25" s="170"/>
      <c r="AD25" s="170"/>
      <c r="AE25" s="170"/>
      <c r="AF25" s="170"/>
      <c r="AG25" s="170"/>
      <c r="AH25" s="170"/>
      <c r="AI25" s="170"/>
      <c r="AJ25" s="167"/>
      <c r="AK25" s="167"/>
      <c r="AL25" s="167"/>
      <c r="AM25" s="167"/>
      <c r="AN25" s="167"/>
      <c r="AO25" s="167"/>
      <c r="AP25" s="167"/>
      <c r="AQ25" s="167"/>
      <c r="AR25" s="167"/>
      <c r="AW25" s="174">
        <v>16.2</v>
      </c>
      <c r="AX25" s="174" t="s">
        <v>902</v>
      </c>
      <c r="AY25" s="174">
        <v>25</v>
      </c>
      <c r="AZ25" s="174">
        <v>19.5</v>
      </c>
      <c r="BA25" s="174"/>
      <c r="BB25" s="174">
        <v>12</v>
      </c>
      <c r="BC25" s="174"/>
      <c r="BD25" s="174"/>
      <c r="BE25" s="174">
        <v>8</v>
      </c>
      <c r="BF25" s="174">
        <v>13.9</v>
      </c>
      <c r="BG25" s="174">
        <v>17.899999999999999</v>
      </c>
      <c r="BH25" s="174">
        <v>21.9</v>
      </c>
      <c r="BI25" s="174">
        <v>26.9</v>
      </c>
      <c r="BJ25" s="174">
        <v>2.1600000000000001E-2</v>
      </c>
      <c r="BK25" s="174">
        <v>5.1700000000000003E-2</v>
      </c>
      <c r="BL25" s="174">
        <v>7.1800000000000003E-2</v>
      </c>
      <c r="BM25" s="174">
        <v>9.1899999999999996E-2</v>
      </c>
      <c r="BN25" s="174">
        <v>0.14630000000000001</v>
      </c>
      <c r="BO25" s="174"/>
      <c r="BP25" s="174"/>
      <c r="BQ25" s="174"/>
      <c r="BR25" s="174"/>
      <c r="BS25" s="174"/>
      <c r="BT25" s="174">
        <v>95</v>
      </c>
      <c r="BU25" s="174">
        <v>29</v>
      </c>
      <c r="BV25" s="174">
        <v>32</v>
      </c>
      <c r="BW25" s="174">
        <v>36</v>
      </c>
      <c r="BX25" s="174">
        <v>41</v>
      </c>
      <c r="BY25" s="174">
        <v>47</v>
      </c>
      <c r="BZ25" s="174">
        <v>163</v>
      </c>
      <c r="CA25" s="174">
        <v>236</v>
      </c>
      <c r="CB25" s="174">
        <v>282</v>
      </c>
      <c r="CC25" s="174">
        <v>328</v>
      </c>
      <c r="CD25" s="174">
        <v>432</v>
      </c>
      <c r="CE25" s="174">
        <v>83.6</v>
      </c>
      <c r="CF25" s="174">
        <v>4.3</v>
      </c>
      <c r="CG25" s="174">
        <v>1</v>
      </c>
      <c r="CH25" s="175">
        <v>2.9669100809277728E-4</v>
      </c>
    </row>
    <row r="26" spans="1:86" x14ac:dyDescent="0.3">
      <c r="A26" s="192"/>
      <c r="B26" s="192"/>
      <c r="D26" s="153">
        <v>0</v>
      </c>
      <c r="J26" s="167"/>
      <c r="K26" s="168"/>
      <c r="L26" s="169"/>
      <c r="M26" s="67"/>
      <c r="N26" s="167"/>
      <c r="O26" s="170"/>
      <c r="P26" s="170"/>
      <c r="Q26" s="167"/>
      <c r="R26" s="167"/>
      <c r="S26" s="167"/>
      <c r="T26" s="167"/>
      <c r="U26" s="171"/>
      <c r="V26" s="171"/>
      <c r="W26" s="167"/>
      <c r="X26" s="167"/>
      <c r="Y26" s="167"/>
      <c r="Z26" s="167"/>
      <c r="AA26" s="167"/>
      <c r="AB26" s="167"/>
      <c r="AC26" s="170"/>
      <c r="AD26" s="170"/>
      <c r="AE26" s="170"/>
      <c r="AF26" s="170"/>
      <c r="AG26" s="170"/>
      <c r="AH26" s="170"/>
      <c r="AI26" s="170"/>
      <c r="AJ26" s="167"/>
      <c r="AK26" s="167"/>
      <c r="AL26" s="167"/>
      <c r="AM26" s="167"/>
      <c r="AN26" s="167"/>
      <c r="AO26" s="167"/>
      <c r="AP26" s="167"/>
      <c r="AQ26" s="167"/>
      <c r="AR26" s="167"/>
      <c r="AW26" s="174">
        <v>16.2</v>
      </c>
      <c r="AX26" s="174" t="s">
        <v>544</v>
      </c>
      <c r="AY26" s="174">
        <v>35</v>
      </c>
      <c r="AZ26" s="174">
        <v>18.399999999999999</v>
      </c>
      <c r="BA26" s="174">
        <v>22</v>
      </c>
      <c r="BB26" s="174">
        <v>84</v>
      </c>
      <c r="BC26" s="174">
        <v>7</v>
      </c>
      <c r="BD26" s="174">
        <v>1.9</v>
      </c>
      <c r="BE26" s="174">
        <v>2.7</v>
      </c>
      <c r="BF26" s="174">
        <v>3.2</v>
      </c>
      <c r="BG26" s="174">
        <v>3.6</v>
      </c>
      <c r="BH26" s="174">
        <v>3.9</v>
      </c>
      <c r="BI26" s="174">
        <v>5.6</v>
      </c>
      <c r="BJ26" s="174">
        <v>4.4900000000000002E-2</v>
      </c>
      <c r="BK26" s="174">
        <v>5.79E-2</v>
      </c>
      <c r="BL26" s="174">
        <v>6.6600000000000006E-2</v>
      </c>
      <c r="BM26" s="174">
        <v>7.5399999999999995E-2</v>
      </c>
      <c r="BN26" s="174">
        <v>0.1138</v>
      </c>
      <c r="BO26" s="174">
        <v>102</v>
      </c>
      <c r="BP26" s="174">
        <v>153</v>
      </c>
      <c r="BQ26" s="174">
        <v>179</v>
      </c>
      <c r="BR26" s="174">
        <v>208</v>
      </c>
      <c r="BS26" s="174">
        <v>337</v>
      </c>
      <c r="BT26" s="174"/>
      <c r="BU26" s="174"/>
      <c r="BV26" s="174"/>
      <c r="BW26" s="174"/>
      <c r="BX26" s="174"/>
      <c r="BY26" s="174"/>
      <c r="BZ26" s="174">
        <v>60</v>
      </c>
      <c r="CA26" s="174">
        <v>60</v>
      </c>
      <c r="CB26" s="174">
        <v>74</v>
      </c>
      <c r="CC26" s="174">
        <v>95</v>
      </c>
      <c r="CD26" s="174">
        <v>163</v>
      </c>
      <c r="CE26" s="174">
        <v>15.2</v>
      </c>
      <c r="CF26" s="174">
        <v>5.5</v>
      </c>
      <c r="CG26" s="174">
        <v>0.9</v>
      </c>
      <c r="CH26" s="175">
        <v>3.4518326692651089E-10</v>
      </c>
    </row>
    <row r="27" spans="1:86" x14ac:dyDescent="0.3">
      <c r="A27" s="192"/>
      <c r="B27" s="192"/>
      <c r="D27" s="195">
        <v>3636.5317902217598</v>
      </c>
      <c r="J27" s="167"/>
      <c r="K27" s="168"/>
      <c r="L27" s="169"/>
      <c r="M27" s="67"/>
      <c r="N27" s="167"/>
      <c r="O27" s="170"/>
      <c r="P27" s="170"/>
      <c r="Q27" s="167"/>
      <c r="R27" s="167"/>
      <c r="S27" s="167"/>
      <c r="T27" s="167"/>
      <c r="U27" s="171"/>
      <c r="V27" s="171"/>
      <c r="W27" s="167"/>
      <c r="X27" s="167"/>
      <c r="Y27" s="167"/>
      <c r="Z27" s="167"/>
      <c r="AA27" s="167"/>
      <c r="AB27" s="167"/>
      <c r="AC27" s="170"/>
      <c r="AD27" s="170"/>
      <c r="AE27" s="170"/>
      <c r="AF27" s="170"/>
      <c r="AG27" s="170"/>
      <c r="AH27" s="170"/>
      <c r="AI27" s="170"/>
      <c r="AJ27" s="167"/>
      <c r="AK27" s="167"/>
      <c r="AL27" s="167"/>
      <c r="AM27" s="167"/>
      <c r="AN27" s="167"/>
      <c r="AO27" s="167"/>
      <c r="AP27" s="167"/>
      <c r="AQ27" s="167"/>
      <c r="AR27" s="167"/>
      <c r="AW27" s="174">
        <v>30.5</v>
      </c>
      <c r="AX27" s="174" t="s">
        <v>544</v>
      </c>
      <c r="AY27" s="174">
        <v>35</v>
      </c>
      <c r="AZ27" s="174">
        <v>18.399999999999999</v>
      </c>
      <c r="BA27" s="174">
        <v>22</v>
      </c>
      <c r="BB27" s="174">
        <v>84</v>
      </c>
      <c r="BC27" s="174">
        <v>7</v>
      </c>
      <c r="BD27" s="174">
        <v>1.9</v>
      </c>
      <c r="BE27" s="174">
        <v>3.4</v>
      </c>
      <c r="BF27" s="174">
        <v>3.9</v>
      </c>
      <c r="BG27" s="174">
        <v>4.3</v>
      </c>
      <c r="BH27" s="174">
        <v>4.5999999999999996</v>
      </c>
      <c r="BI27" s="174">
        <v>6.4</v>
      </c>
      <c r="BJ27" s="174">
        <v>4.0399999999999998E-2</v>
      </c>
      <c r="BK27" s="174">
        <v>5.3400000000000003E-2</v>
      </c>
      <c r="BL27" s="174">
        <v>6.2199999999999998E-2</v>
      </c>
      <c r="BM27" s="174">
        <v>7.0900000000000005E-2</v>
      </c>
      <c r="BN27" s="174">
        <v>0.10929999999999999</v>
      </c>
      <c r="BO27" s="174">
        <v>128</v>
      </c>
      <c r="BP27" s="174">
        <v>178</v>
      </c>
      <c r="BQ27" s="174">
        <v>205</v>
      </c>
      <c r="BR27" s="174">
        <v>233</v>
      </c>
      <c r="BS27" s="174">
        <v>363</v>
      </c>
      <c r="BT27" s="174"/>
      <c r="BU27" s="174"/>
      <c r="BV27" s="174"/>
      <c r="BW27" s="174"/>
      <c r="BX27" s="174"/>
      <c r="BY27" s="174"/>
      <c r="BZ27" s="174">
        <v>82</v>
      </c>
      <c r="CA27" s="174">
        <v>82</v>
      </c>
      <c r="CB27" s="174">
        <v>91</v>
      </c>
      <c r="CC27" s="174">
        <v>112</v>
      </c>
      <c r="CD27" s="174">
        <v>180</v>
      </c>
      <c r="CE27" s="174">
        <v>15.2</v>
      </c>
      <c r="CF27" s="174">
        <v>5.5</v>
      </c>
      <c r="CG27" s="174">
        <v>0.9</v>
      </c>
      <c r="CH27" s="175">
        <v>3.4518326692651089E-10</v>
      </c>
    </row>
    <row r="28" spans="1:86" x14ac:dyDescent="0.3">
      <c r="A28" s="192"/>
      <c r="B28" s="192"/>
      <c r="D28" s="153"/>
      <c r="J28" s="167"/>
      <c r="K28" s="168"/>
      <c r="L28" s="169"/>
      <c r="M28" s="67"/>
      <c r="N28" s="167"/>
      <c r="O28" s="170"/>
      <c r="P28" s="170"/>
      <c r="Q28" s="167"/>
      <c r="R28" s="167"/>
      <c r="S28" s="167"/>
      <c r="T28" s="167"/>
      <c r="U28" s="171"/>
      <c r="V28" s="171"/>
      <c r="W28" s="167"/>
      <c r="X28" s="167"/>
      <c r="Y28" s="167"/>
      <c r="Z28" s="167"/>
      <c r="AA28" s="167"/>
      <c r="AB28" s="167"/>
      <c r="AC28" s="170"/>
      <c r="AD28" s="170"/>
      <c r="AE28" s="170"/>
      <c r="AF28" s="170"/>
      <c r="AG28" s="170"/>
      <c r="AH28" s="170"/>
      <c r="AI28" s="170"/>
      <c r="AJ28" s="167"/>
      <c r="AK28" s="167"/>
      <c r="AL28" s="167"/>
      <c r="AM28" s="167"/>
      <c r="AN28" s="167"/>
      <c r="AO28" s="167"/>
      <c r="AP28" s="167"/>
      <c r="AQ28" s="167"/>
      <c r="AR28" s="167"/>
      <c r="AW28" s="174">
        <v>30.5</v>
      </c>
      <c r="AX28" s="174" t="s">
        <v>1812</v>
      </c>
      <c r="AY28" s="174">
        <v>37</v>
      </c>
      <c r="AZ28" s="174">
        <v>18</v>
      </c>
      <c r="BA28" s="174"/>
      <c r="BB28" s="174">
        <v>43</v>
      </c>
      <c r="BC28" s="174"/>
      <c r="BD28" s="174"/>
      <c r="BE28" s="174">
        <v>16</v>
      </c>
      <c r="BF28" s="174">
        <v>19.5</v>
      </c>
      <c r="BG28" s="174">
        <v>21.9</v>
      </c>
      <c r="BH28" s="174">
        <v>24.2</v>
      </c>
      <c r="BI28" s="174">
        <v>35.1</v>
      </c>
      <c r="BJ28" s="174">
        <v>0.12189999999999999</v>
      </c>
      <c r="BK28" s="174">
        <v>0.1376</v>
      </c>
      <c r="BL28" s="174">
        <v>0.14810000000000001</v>
      </c>
      <c r="BM28" s="174">
        <v>0.15859999999999999</v>
      </c>
      <c r="BN28" s="174">
        <v>0.19400000000000001</v>
      </c>
      <c r="BO28" s="174"/>
      <c r="BP28" s="174"/>
      <c r="BQ28" s="174"/>
      <c r="BR28" s="174"/>
      <c r="BS28" s="174"/>
      <c r="BT28" s="174">
        <v>79</v>
      </c>
      <c r="BU28" s="174">
        <v>29</v>
      </c>
      <c r="BV28" s="174">
        <v>30</v>
      </c>
      <c r="BW28" s="174">
        <v>34</v>
      </c>
      <c r="BX28" s="174">
        <v>38</v>
      </c>
      <c r="BY28" s="174">
        <v>45</v>
      </c>
      <c r="BZ28" s="174">
        <v>184</v>
      </c>
      <c r="CA28" s="174">
        <v>226</v>
      </c>
      <c r="CB28" s="174">
        <v>316</v>
      </c>
      <c r="CC28" s="174">
        <v>405</v>
      </c>
      <c r="CD28" s="174">
        <v>613</v>
      </c>
      <c r="CE28" s="174">
        <v>28.7</v>
      </c>
      <c r="CF28" s="174">
        <v>3.4</v>
      </c>
      <c r="CG28" s="174">
        <v>0.9</v>
      </c>
      <c r="CH28" s="175">
        <v>7.1884075454901206E-6</v>
      </c>
    </row>
    <row r="29" spans="1:86" x14ac:dyDescent="0.3">
      <c r="A29" s="192"/>
      <c r="B29" s="192"/>
      <c r="D29" s="153"/>
      <c r="J29" s="167"/>
      <c r="K29" s="168"/>
      <c r="L29" s="169"/>
      <c r="M29" s="67"/>
      <c r="N29" s="167"/>
      <c r="O29" s="170"/>
      <c r="P29" s="170"/>
      <c r="Q29" s="167"/>
      <c r="R29" s="167"/>
      <c r="S29" s="167"/>
      <c r="T29" s="167"/>
      <c r="U29" s="171"/>
      <c r="V29" s="171"/>
      <c r="W29" s="167"/>
      <c r="X29" s="167"/>
      <c r="Y29" s="167"/>
      <c r="Z29" s="167"/>
      <c r="AA29" s="167"/>
      <c r="AB29" s="167"/>
      <c r="AC29" s="170"/>
      <c r="AD29" s="170"/>
      <c r="AE29" s="170"/>
      <c r="AF29" s="170"/>
      <c r="AG29" s="170"/>
      <c r="AH29" s="170"/>
      <c r="AI29" s="170"/>
      <c r="AJ29" s="167"/>
      <c r="AK29" s="167"/>
      <c r="AL29" s="167"/>
      <c r="AM29" s="167"/>
      <c r="AN29" s="167"/>
      <c r="AO29" s="167"/>
      <c r="AP29" s="167"/>
      <c r="AQ29" s="167"/>
      <c r="AR29" s="167"/>
      <c r="AW29" s="174">
        <v>32.799999999999997</v>
      </c>
      <c r="AX29" s="174" t="s">
        <v>1812</v>
      </c>
      <c r="AY29" s="174">
        <v>37</v>
      </c>
      <c r="AZ29" s="174">
        <v>18</v>
      </c>
      <c r="BA29" s="174"/>
      <c r="BB29" s="174">
        <v>43</v>
      </c>
      <c r="BC29" s="174"/>
      <c r="BD29" s="174"/>
      <c r="BE29" s="174">
        <v>11.5</v>
      </c>
      <c r="BF29" s="174">
        <v>15</v>
      </c>
      <c r="BG29" s="174">
        <v>17.3</v>
      </c>
      <c r="BH29" s="174">
        <v>19.7</v>
      </c>
      <c r="BI29" s="174">
        <v>30.6</v>
      </c>
      <c r="BJ29" s="174">
        <v>5.7799999999999997E-2</v>
      </c>
      <c r="BK29" s="174">
        <v>7.3499999999999996E-2</v>
      </c>
      <c r="BL29" s="174">
        <v>8.4000000000000005E-2</v>
      </c>
      <c r="BM29" s="174">
        <v>9.4500000000000001E-2</v>
      </c>
      <c r="BN29" s="174">
        <v>0.1298</v>
      </c>
      <c r="BO29" s="174"/>
      <c r="BP29" s="174"/>
      <c r="BQ29" s="174"/>
      <c r="BR29" s="174"/>
      <c r="BS29" s="174"/>
      <c r="BT29" s="174">
        <v>79</v>
      </c>
      <c r="BU29" s="174">
        <v>29</v>
      </c>
      <c r="BV29" s="174">
        <v>30</v>
      </c>
      <c r="BW29" s="174">
        <v>34</v>
      </c>
      <c r="BX29" s="174">
        <v>38</v>
      </c>
      <c r="BY29" s="174">
        <v>45</v>
      </c>
      <c r="BZ29" s="174">
        <v>208</v>
      </c>
      <c r="CA29" s="174">
        <v>250</v>
      </c>
      <c r="CB29" s="174">
        <v>339</v>
      </c>
      <c r="CC29" s="174">
        <v>429</v>
      </c>
      <c r="CD29" s="174">
        <v>637</v>
      </c>
      <c r="CE29" s="174">
        <v>28.7</v>
      </c>
      <c r="CF29" s="174">
        <v>3.4</v>
      </c>
      <c r="CG29" s="174">
        <v>0.9</v>
      </c>
      <c r="CH29" s="175">
        <v>7.1884075454901206E-6</v>
      </c>
    </row>
    <row r="30" spans="1:86" x14ac:dyDescent="0.3">
      <c r="A30" s="192"/>
      <c r="B30" s="192"/>
      <c r="D30" s="153"/>
      <c r="J30" s="167"/>
      <c r="K30" s="168"/>
      <c r="L30" s="169"/>
      <c r="M30" s="67"/>
      <c r="N30" s="167"/>
      <c r="O30" s="170"/>
      <c r="P30" s="170"/>
      <c r="Q30" s="167"/>
      <c r="R30" s="167"/>
      <c r="S30" s="167"/>
      <c r="T30" s="167"/>
      <c r="U30" s="171"/>
      <c r="V30" s="171"/>
      <c r="W30" s="167"/>
      <c r="X30" s="167"/>
      <c r="Y30" s="167"/>
      <c r="Z30" s="167"/>
      <c r="AA30" s="167"/>
      <c r="AB30" s="167"/>
      <c r="AC30" s="170"/>
      <c r="AD30" s="170"/>
      <c r="AE30" s="170"/>
      <c r="AF30" s="170"/>
      <c r="AG30" s="170"/>
      <c r="AH30" s="170"/>
      <c r="AI30" s="170"/>
      <c r="AJ30" s="167"/>
      <c r="AK30" s="167"/>
      <c r="AL30" s="167"/>
      <c r="AM30" s="167"/>
      <c r="AN30" s="167"/>
      <c r="AO30" s="167"/>
      <c r="AP30" s="167"/>
      <c r="AQ30" s="167"/>
      <c r="AR30" s="167"/>
      <c r="AW30" s="174">
        <v>32.799999999999997</v>
      </c>
      <c r="AX30" s="174" t="s">
        <v>1812</v>
      </c>
      <c r="AY30" s="174">
        <v>37</v>
      </c>
      <c r="AZ30" s="174">
        <v>18</v>
      </c>
      <c r="BA30" s="174"/>
      <c r="BB30" s="174">
        <v>43</v>
      </c>
      <c r="BC30" s="174"/>
      <c r="BD30" s="174"/>
      <c r="BE30" s="174">
        <v>5.6</v>
      </c>
      <c r="BF30" s="174">
        <v>7.6</v>
      </c>
      <c r="BG30" s="174">
        <v>9</v>
      </c>
      <c r="BH30" s="174">
        <v>10.3</v>
      </c>
      <c r="BI30" s="174">
        <v>25.2</v>
      </c>
      <c r="BJ30" s="174">
        <v>9.01E-2</v>
      </c>
      <c r="BK30" s="174">
        <v>0.1221</v>
      </c>
      <c r="BL30" s="174">
        <v>0.14360000000000001</v>
      </c>
      <c r="BM30" s="174">
        <v>0.16500000000000001</v>
      </c>
      <c r="BN30" s="174">
        <v>0.32019999999999998</v>
      </c>
      <c r="BO30" s="174"/>
      <c r="BP30" s="174"/>
      <c r="BQ30" s="174"/>
      <c r="BR30" s="174"/>
      <c r="BS30" s="174"/>
      <c r="BT30" s="174">
        <v>56</v>
      </c>
      <c r="BU30" s="174">
        <v>29</v>
      </c>
      <c r="BV30" s="174">
        <v>29</v>
      </c>
      <c r="BW30" s="174">
        <v>30</v>
      </c>
      <c r="BX30" s="174">
        <v>34</v>
      </c>
      <c r="BY30" s="174">
        <v>40</v>
      </c>
      <c r="BZ30" s="174">
        <v>159</v>
      </c>
      <c r="CA30" s="174">
        <v>178</v>
      </c>
      <c r="CB30" s="174">
        <v>269</v>
      </c>
      <c r="CC30" s="174">
        <v>360</v>
      </c>
      <c r="CD30" s="174">
        <v>585</v>
      </c>
      <c r="CE30" s="174">
        <v>14.4</v>
      </c>
      <c r="CF30" s="174">
        <v>1</v>
      </c>
      <c r="CG30" s="174">
        <v>0.5</v>
      </c>
      <c r="CH30" s="175">
        <v>2.2782399620004218E-8</v>
      </c>
    </row>
    <row r="31" spans="1:86" x14ac:dyDescent="0.3">
      <c r="A31" s="192"/>
      <c r="B31" s="192"/>
      <c r="D31" s="153"/>
      <c r="J31" s="167"/>
      <c r="K31" s="168"/>
      <c r="L31" s="169"/>
      <c r="M31" s="67"/>
      <c r="N31" s="167"/>
      <c r="O31" s="170"/>
      <c r="P31" s="170"/>
      <c r="Q31" s="167"/>
      <c r="R31" s="167"/>
      <c r="S31" s="167"/>
      <c r="T31" s="167"/>
      <c r="U31" s="171"/>
      <c r="V31" s="171"/>
      <c r="W31" s="167"/>
      <c r="X31" s="167"/>
      <c r="Y31" s="167"/>
      <c r="Z31" s="167"/>
      <c r="AA31" s="167"/>
      <c r="AB31" s="167"/>
      <c r="AC31" s="170"/>
      <c r="AD31" s="170"/>
      <c r="AE31" s="170"/>
      <c r="AF31" s="170"/>
      <c r="AG31" s="170"/>
      <c r="AH31" s="170"/>
      <c r="AI31" s="170"/>
      <c r="AJ31" s="167"/>
      <c r="AK31" s="167"/>
      <c r="AL31" s="167"/>
      <c r="AM31" s="167"/>
      <c r="AN31" s="167"/>
      <c r="AO31" s="167"/>
      <c r="AP31" s="167"/>
      <c r="AQ31" s="167"/>
      <c r="AR31" s="167"/>
      <c r="AW31" s="174">
        <v>36</v>
      </c>
      <c r="AX31" s="174" t="s">
        <v>1812</v>
      </c>
      <c r="AY31" s="174">
        <v>37</v>
      </c>
      <c r="AZ31" s="174">
        <v>18</v>
      </c>
      <c r="BA31" s="174"/>
      <c r="BB31" s="174">
        <v>43</v>
      </c>
      <c r="BC31" s="174"/>
      <c r="BD31" s="174"/>
      <c r="BE31" s="174">
        <v>4.3</v>
      </c>
      <c r="BF31" s="174">
        <v>6.3</v>
      </c>
      <c r="BG31" s="174">
        <v>7.7</v>
      </c>
      <c r="BH31" s="174">
        <v>9.1</v>
      </c>
      <c r="BI31" s="174">
        <v>23.9</v>
      </c>
      <c r="BJ31" s="174">
        <v>7.0300000000000001E-2</v>
      </c>
      <c r="BK31" s="174">
        <v>0.1024</v>
      </c>
      <c r="BL31" s="174">
        <v>0.12379999999999999</v>
      </c>
      <c r="BM31" s="174">
        <v>0.14530000000000001</v>
      </c>
      <c r="BN31" s="174">
        <v>0.30049999999999999</v>
      </c>
      <c r="BO31" s="174"/>
      <c r="BP31" s="174"/>
      <c r="BQ31" s="174"/>
      <c r="BR31" s="174"/>
      <c r="BS31" s="174"/>
      <c r="BT31" s="174">
        <v>56</v>
      </c>
      <c r="BU31" s="174">
        <v>29</v>
      </c>
      <c r="BV31" s="174">
        <v>29</v>
      </c>
      <c r="BW31" s="174">
        <v>30</v>
      </c>
      <c r="BX31" s="174">
        <v>34</v>
      </c>
      <c r="BY31" s="174">
        <v>40</v>
      </c>
      <c r="BZ31" s="174">
        <v>167</v>
      </c>
      <c r="CA31" s="174">
        <v>185</v>
      </c>
      <c r="CB31" s="174">
        <v>276</v>
      </c>
      <c r="CC31" s="174">
        <v>367</v>
      </c>
      <c r="CD31" s="174">
        <v>592</v>
      </c>
      <c r="CE31" s="174">
        <v>14.4</v>
      </c>
      <c r="CF31" s="174">
        <v>1</v>
      </c>
      <c r="CG31" s="174">
        <v>0.5</v>
      </c>
      <c r="CH31" s="175">
        <v>2.2782399620004218E-8</v>
      </c>
    </row>
    <row r="32" spans="1:86" x14ac:dyDescent="0.3">
      <c r="A32" s="192"/>
      <c r="B32" s="192"/>
      <c r="D32" s="153"/>
      <c r="L32" s="196"/>
      <c r="M32" s="196" t="s">
        <v>395</v>
      </c>
      <c r="N32" s="167"/>
      <c r="O32" s="170"/>
      <c r="P32" s="167"/>
      <c r="Q32" s="167"/>
      <c r="R32" s="19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I32" s="167"/>
      <c r="AJ32" s="167"/>
      <c r="AK32" s="167"/>
      <c r="AL32" s="167"/>
      <c r="AM32" s="167"/>
      <c r="AN32" s="167"/>
      <c r="AO32" s="167"/>
      <c r="AP32" s="167"/>
      <c r="AW32" s="174">
        <v>36</v>
      </c>
      <c r="AX32" s="174" t="s">
        <v>1812</v>
      </c>
      <c r="AY32" s="174">
        <v>37</v>
      </c>
      <c r="AZ32" s="174">
        <v>18</v>
      </c>
      <c r="BA32" s="174"/>
      <c r="BB32" s="174">
        <v>43</v>
      </c>
      <c r="BC32" s="174"/>
      <c r="BD32" s="174"/>
      <c r="BE32" s="174">
        <v>14</v>
      </c>
      <c r="BF32" s="174">
        <v>19.600000000000001</v>
      </c>
      <c r="BG32" s="174">
        <v>23.4</v>
      </c>
      <c r="BH32" s="174">
        <v>27.2</v>
      </c>
      <c r="BI32" s="174">
        <v>44.4</v>
      </c>
      <c r="BJ32" s="174">
        <v>0.1754</v>
      </c>
      <c r="BK32" s="174">
        <v>0.2455</v>
      </c>
      <c r="BL32" s="174">
        <v>0.29239999999999999</v>
      </c>
      <c r="BM32" s="174">
        <v>0.3392</v>
      </c>
      <c r="BN32" s="174">
        <v>0.50439999999999996</v>
      </c>
      <c r="BO32" s="174"/>
      <c r="BP32" s="174"/>
      <c r="BQ32" s="174"/>
      <c r="BR32" s="174"/>
      <c r="BS32" s="174"/>
      <c r="BT32" s="174">
        <v>78</v>
      </c>
      <c r="BU32" s="174">
        <v>29</v>
      </c>
      <c r="BV32" s="174">
        <v>30</v>
      </c>
      <c r="BW32" s="174">
        <v>34</v>
      </c>
      <c r="BX32" s="174">
        <v>38</v>
      </c>
      <c r="BY32" s="174">
        <v>44</v>
      </c>
      <c r="BZ32" s="174">
        <v>231</v>
      </c>
      <c r="CA32" s="174">
        <v>294</v>
      </c>
      <c r="CB32" s="174">
        <v>385</v>
      </c>
      <c r="CC32" s="174">
        <v>477</v>
      </c>
      <c r="CD32" s="174">
        <v>698</v>
      </c>
      <c r="CE32" s="174">
        <v>31.3</v>
      </c>
      <c r="CF32" s="174">
        <v>2.8</v>
      </c>
      <c r="CG32" s="174">
        <v>0.8</v>
      </c>
      <c r="CH32" s="175">
        <v>2.3896708709136542E-7</v>
      </c>
    </row>
    <row r="33" spans="1:86" x14ac:dyDescent="0.3">
      <c r="A33" s="192"/>
      <c r="B33" s="192"/>
      <c r="D33" s="153"/>
      <c r="E33" s="152" t="s">
        <v>554</v>
      </c>
      <c r="L33" s="196"/>
      <c r="M33" s="196" t="s">
        <v>395</v>
      </c>
      <c r="N33" s="167"/>
      <c r="O33" s="170"/>
      <c r="P33" s="167"/>
      <c r="Q33" s="167"/>
      <c r="R33" s="197"/>
      <c r="S33" s="167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I33" s="167"/>
      <c r="AJ33" s="167"/>
      <c r="AK33" s="167"/>
      <c r="AL33" s="167"/>
      <c r="AM33" s="167"/>
      <c r="AN33" s="167"/>
      <c r="AO33" s="167"/>
      <c r="AP33" s="167"/>
      <c r="AW33" s="174">
        <v>50</v>
      </c>
      <c r="AX33" s="174" t="s">
        <v>1812</v>
      </c>
      <c r="AY33" s="174">
        <v>37</v>
      </c>
      <c r="AZ33" s="174">
        <v>18</v>
      </c>
      <c r="BA33" s="174"/>
      <c r="BB33" s="174">
        <v>43</v>
      </c>
      <c r="BC33" s="174"/>
      <c r="BD33" s="174"/>
      <c r="BE33" s="174">
        <v>14</v>
      </c>
      <c r="BF33" s="174">
        <v>19.600000000000001</v>
      </c>
      <c r="BG33" s="174">
        <v>23.4</v>
      </c>
      <c r="BH33" s="174">
        <v>27.2</v>
      </c>
      <c r="BI33" s="174">
        <v>44.4</v>
      </c>
      <c r="BJ33" s="174">
        <v>0.1754</v>
      </c>
      <c r="BK33" s="174">
        <v>0.2455</v>
      </c>
      <c r="BL33" s="174">
        <v>0.29239999999999999</v>
      </c>
      <c r="BM33" s="174">
        <v>0.3392</v>
      </c>
      <c r="BN33" s="174">
        <v>0.50439999999999996</v>
      </c>
      <c r="BO33" s="174"/>
      <c r="BP33" s="174"/>
      <c r="BQ33" s="174"/>
      <c r="BR33" s="174"/>
      <c r="BS33" s="174"/>
      <c r="BT33" s="174">
        <v>78</v>
      </c>
      <c r="BU33" s="174">
        <v>29</v>
      </c>
      <c r="BV33" s="174">
        <v>30</v>
      </c>
      <c r="BW33" s="174">
        <v>34</v>
      </c>
      <c r="BX33" s="174">
        <v>38</v>
      </c>
      <c r="BY33" s="174">
        <v>44</v>
      </c>
      <c r="BZ33" s="174">
        <v>231</v>
      </c>
      <c r="CA33" s="174">
        <v>294</v>
      </c>
      <c r="CB33" s="174">
        <v>385</v>
      </c>
      <c r="CC33" s="174">
        <v>477</v>
      </c>
      <c r="CD33" s="174">
        <v>698</v>
      </c>
      <c r="CE33" s="174">
        <v>31.3</v>
      </c>
      <c r="CF33" s="174">
        <v>2.8</v>
      </c>
      <c r="CG33" s="174">
        <v>0.8</v>
      </c>
      <c r="CH33" s="175">
        <v>2.3896708709136542E-7</v>
      </c>
    </row>
    <row r="34" spans="1:86" x14ac:dyDescent="0.3">
      <c r="E34" s="152" t="s">
        <v>554</v>
      </c>
      <c r="L34" s="196"/>
      <c r="M34" s="196" t="s">
        <v>395</v>
      </c>
      <c r="N34" s="167"/>
      <c r="O34" s="170"/>
      <c r="P34" s="167"/>
      <c r="Q34" s="167"/>
      <c r="R34" s="197"/>
      <c r="S34" s="167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I34" s="167"/>
      <c r="AJ34" s="167"/>
      <c r="AK34" s="167"/>
      <c r="AL34" s="167"/>
      <c r="AM34" s="167"/>
      <c r="AN34" s="167"/>
      <c r="AO34" s="167"/>
      <c r="AP34" s="167"/>
      <c r="AW34" s="174"/>
      <c r="AX34" s="174"/>
      <c r="AY34" s="174"/>
      <c r="AZ34" s="174"/>
      <c r="BA34" s="174"/>
      <c r="BB34" s="174"/>
      <c r="BC34" s="174"/>
      <c r="BD34" s="174"/>
      <c r="BE34" s="174"/>
      <c r="BF34" s="174"/>
      <c r="BG34" s="174"/>
      <c r="BH34" s="174"/>
      <c r="BI34" s="174"/>
      <c r="BJ34" s="174"/>
      <c r="BK34" s="174"/>
      <c r="BL34" s="174"/>
      <c r="BM34" s="174"/>
      <c r="BN34" s="174"/>
      <c r="BO34" s="174"/>
      <c r="BP34" s="174"/>
      <c r="BQ34" s="174"/>
      <c r="BR34" s="174"/>
      <c r="BS34" s="174"/>
      <c r="BT34" s="174"/>
      <c r="BU34" s="174"/>
      <c r="BV34" s="174"/>
      <c r="BW34" s="174"/>
      <c r="BX34" s="174"/>
      <c r="BY34" s="174"/>
      <c r="BZ34" s="174"/>
      <c r="CA34" s="174"/>
      <c r="CB34" s="174"/>
      <c r="CC34" s="174"/>
      <c r="CD34" s="174"/>
      <c r="CE34" s="174"/>
      <c r="CF34" s="174"/>
      <c r="CG34" s="174"/>
      <c r="CH34" s="175"/>
    </row>
    <row r="35" spans="1:86" x14ac:dyDescent="0.3">
      <c r="E35" s="152" t="s">
        <v>554</v>
      </c>
      <c r="L35" s="196"/>
      <c r="M35" s="196" t="s">
        <v>395</v>
      </c>
      <c r="N35" s="167"/>
      <c r="O35" s="170"/>
      <c r="P35" s="167"/>
      <c r="Q35" s="167"/>
      <c r="R35" s="197"/>
      <c r="S35" s="167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I35" s="167"/>
      <c r="AJ35" s="167"/>
      <c r="AK35" s="167"/>
      <c r="AL35" s="167"/>
      <c r="AM35" s="167"/>
      <c r="AN35" s="167"/>
      <c r="AO35" s="167"/>
      <c r="AP35" s="167"/>
      <c r="AW35" s="174"/>
      <c r="AX35" s="174"/>
      <c r="AY35" s="174"/>
      <c r="AZ35" s="174"/>
      <c r="BA35" s="174"/>
      <c r="BB35" s="174"/>
      <c r="BC35" s="174"/>
      <c r="BD35" s="174"/>
      <c r="BE35" s="174"/>
      <c r="BF35" s="174"/>
      <c r="BG35" s="174"/>
      <c r="BH35" s="174"/>
      <c r="BI35" s="174"/>
      <c r="BJ35" s="174"/>
      <c r="BK35" s="174"/>
      <c r="BL35" s="174"/>
      <c r="BM35" s="174"/>
      <c r="BN35" s="174"/>
      <c r="BO35" s="174"/>
      <c r="BP35" s="174"/>
      <c r="BQ35" s="174"/>
      <c r="BR35" s="174"/>
      <c r="BS35" s="174"/>
      <c r="BT35" s="174"/>
      <c r="BU35" s="174"/>
      <c r="BV35" s="174"/>
      <c r="BW35" s="174"/>
      <c r="BX35" s="174"/>
      <c r="BY35" s="174"/>
      <c r="BZ35" s="174"/>
      <c r="CA35" s="174"/>
      <c r="CB35" s="174"/>
      <c r="CC35" s="174"/>
      <c r="CD35" s="174"/>
      <c r="CE35" s="174"/>
      <c r="CF35" s="174"/>
      <c r="CG35" s="174"/>
      <c r="CH35" s="175"/>
    </row>
    <row r="36" spans="1:86" x14ac:dyDescent="0.3">
      <c r="E36" s="152" t="s">
        <v>1131</v>
      </c>
      <c r="L36" s="196"/>
      <c r="M36" s="196" t="s">
        <v>395</v>
      </c>
      <c r="N36" s="167"/>
      <c r="O36" s="170"/>
      <c r="P36" s="167"/>
      <c r="Q36" s="167"/>
      <c r="R36" s="19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I36" s="167"/>
      <c r="AJ36" s="167"/>
      <c r="AK36" s="167"/>
      <c r="AL36" s="167"/>
      <c r="AM36" s="167"/>
      <c r="AN36" s="167"/>
      <c r="AO36" s="167"/>
      <c r="AP36" s="167"/>
      <c r="AW36" s="174"/>
      <c r="AX36" s="174"/>
      <c r="AY36" s="174"/>
      <c r="AZ36" s="174"/>
      <c r="BA36" s="174"/>
      <c r="BB36" s="174"/>
      <c r="BC36" s="174"/>
      <c r="BD36" s="174"/>
      <c r="BE36" s="174"/>
      <c r="BF36" s="174"/>
      <c r="BG36" s="174"/>
      <c r="BH36" s="174"/>
      <c r="BI36" s="174"/>
      <c r="BJ36" s="174"/>
      <c r="BK36" s="174"/>
      <c r="BL36" s="174"/>
      <c r="BM36" s="174"/>
      <c r="BN36" s="174"/>
      <c r="BO36" s="174"/>
      <c r="BP36" s="174"/>
      <c r="BQ36" s="174"/>
      <c r="BR36" s="174"/>
      <c r="BS36" s="174"/>
      <c r="BT36" s="174"/>
      <c r="BU36" s="174"/>
      <c r="BV36" s="174"/>
      <c r="BW36" s="174"/>
      <c r="BX36" s="174"/>
      <c r="BY36" s="174"/>
      <c r="BZ36" s="174"/>
      <c r="CA36" s="174"/>
      <c r="CB36" s="174"/>
      <c r="CC36" s="174"/>
      <c r="CD36" s="174"/>
      <c r="CE36" s="174"/>
      <c r="CF36" s="174"/>
      <c r="CG36" s="174"/>
      <c r="CH36" s="175"/>
    </row>
    <row r="37" spans="1:86" x14ac:dyDescent="0.3">
      <c r="E37" s="152" t="s">
        <v>1134</v>
      </c>
      <c r="L37" s="196"/>
      <c r="AE37" s="167"/>
      <c r="AF37" s="167" t="s">
        <v>394</v>
      </c>
      <c r="AG37" s="167" t="s">
        <v>393</v>
      </c>
      <c r="AH37" s="167" t="s">
        <v>59</v>
      </c>
      <c r="AW37" s="174"/>
      <c r="AX37" s="174"/>
      <c r="AY37" s="174"/>
      <c r="AZ37" s="174"/>
      <c r="BA37" s="174"/>
      <c r="BB37" s="174"/>
      <c r="BC37" s="174"/>
      <c r="BD37" s="174"/>
      <c r="BE37" s="174"/>
      <c r="BF37" s="174"/>
      <c r="BG37" s="174"/>
      <c r="BH37" s="174"/>
      <c r="BI37" s="174"/>
      <c r="BJ37" s="174"/>
      <c r="BK37" s="174"/>
      <c r="BL37" s="174"/>
      <c r="BM37" s="174"/>
      <c r="BN37" s="174"/>
      <c r="BO37" s="174"/>
      <c r="BP37" s="174"/>
      <c r="BQ37" s="174"/>
      <c r="BR37" s="174"/>
      <c r="BS37" s="174"/>
      <c r="BT37" s="174"/>
      <c r="BU37" s="174"/>
      <c r="BV37" s="174"/>
      <c r="BW37" s="174"/>
      <c r="BX37" s="174"/>
      <c r="BY37" s="174"/>
      <c r="BZ37" s="174"/>
      <c r="CA37" s="174"/>
      <c r="CB37" s="174"/>
      <c r="CC37" s="174"/>
      <c r="CD37" s="174"/>
      <c r="CE37" s="174"/>
      <c r="CF37" s="174"/>
      <c r="CG37" s="174"/>
      <c r="CH37" s="175"/>
    </row>
    <row r="38" spans="1:86" x14ac:dyDescent="0.3">
      <c r="E38" s="152" t="s">
        <v>1125</v>
      </c>
      <c r="L38" s="196"/>
      <c r="AE38" s="152" t="s">
        <v>392</v>
      </c>
      <c r="AF38" s="152" t="s">
        <v>391</v>
      </c>
      <c r="AG38" s="152" t="s">
        <v>390</v>
      </c>
      <c r="AU38" s="152" t="s">
        <v>1816</v>
      </c>
      <c r="AW38" s="174" t="s">
        <v>1817</v>
      </c>
      <c r="AX38" s="174"/>
      <c r="AY38" s="174"/>
      <c r="AZ38" s="174"/>
      <c r="BA38" s="174"/>
      <c r="BB38" s="174"/>
      <c r="BC38" s="174"/>
      <c r="BD38" s="174"/>
      <c r="BE38" s="174"/>
      <c r="BF38" s="174"/>
      <c r="BG38" s="174"/>
      <c r="BH38" s="174"/>
      <c r="BI38" s="174"/>
      <c r="BJ38" s="174"/>
      <c r="BK38" s="174"/>
      <c r="BL38" s="174"/>
      <c r="BM38" s="174"/>
      <c r="BN38" s="174"/>
      <c r="BO38" s="174"/>
      <c r="BP38" s="174"/>
      <c r="BQ38" s="174"/>
      <c r="BR38" s="174"/>
      <c r="BS38" s="174"/>
      <c r="BT38" s="174"/>
      <c r="BU38" s="174"/>
      <c r="BV38" s="174"/>
      <c r="BW38" s="174"/>
      <c r="BX38" s="174"/>
      <c r="BY38" s="174"/>
      <c r="BZ38" s="174"/>
      <c r="CA38" s="174"/>
      <c r="CB38" s="174"/>
      <c r="CC38" s="174"/>
      <c r="CD38" s="174"/>
      <c r="CE38" s="174"/>
      <c r="CF38" s="174"/>
      <c r="CG38" s="174"/>
      <c r="CH38" s="175"/>
    </row>
    <row r="39" spans="1:86" x14ac:dyDescent="0.3">
      <c r="E39" s="152" t="s">
        <v>1139</v>
      </c>
      <c r="L39" s="196"/>
      <c r="AE39" s="152">
        <v>15</v>
      </c>
      <c r="AF39" s="152">
        <v>48</v>
      </c>
      <c r="AG39" s="152">
        <v>1900</v>
      </c>
      <c r="AH39" s="152">
        <v>8</v>
      </c>
      <c r="AT39" s="152">
        <v>0.43278800000000001</v>
      </c>
      <c r="AU39" s="152">
        <v>0.45</v>
      </c>
      <c r="AV39" s="152">
        <v>0.46</v>
      </c>
      <c r="AW39" s="174">
        <v>0.43278800000000001</v>
      </c>
      <c r="AX39" s="174"/>
      <c r="AY39" s="174"/>
      <c r="AZ39" s="174"/>
      <c r="BA39" s="174"/>
      <c r="BB39" s="174"/>
      <c r="BC39" s="174"/>
      <c r="BD39" s="174"/>
      <c r="BE39" s="174"/>
      <c r="BF39" s="174"/>
      <c r="BG39" s="174"/>
      <c r="BH39" s="174"/>
      <c r="BI39" s="174"/>
      <c r="BJ39" s="174"/>
      <c r="BK39" s="174"/>
      <c r="BL39" s="174"/>
      <c r="BM39" s="174"/>
      <c r="BN39" s="174"/>
      <c r="BO39" s="174"/>
      <c r="BP39" s="174"/>
      <c r="BQ39" s="174"/>
      <c r="BR39" s="174"/>
      <c r="BS39" s="174"/>
      <c r="BT39" s="174"/>
      <c r="BU39" s="174"/>
      <c r="BV39" s="174"/>
      <c r="BW39" s="174"/>
      <c r="BX39" s="174"/>
      <c r="BY39" s="174"/>
      <c r="BZ39" s="174"/>
      <c r="CA39" s="174"/>
      <c r="CB39" s="174"/>
      <c r="CC39" s="174"/>
      <c r="CD39" s="174"/>
      <c r="CE39" s="174"/>
      <c r="CF39" s="174"/>
      <c r="CG39" s="174"/>
      <c r="CH39" s="175"/>
    </row>
    <row r="40" spans="1:86" x14ac:dyDescent="0.3">
      <c r="E40" s="152" t="s">
        <v>1048</v>
      </c>
      <c r="L40" s="196"/>
      <c r="AE40" s="152">
        <v>16</v>
      </c>
      <c r="AF40" s="152">
        <f>AF39+3.8</f>
        <v>51.8</v>
      </c>
      <c r="AG40" s="152">
        <f>AG39+200</f>
        <v>2100</v>
      </c>
      <c r="AH40" s="152">
        <f>AH39+0.8</f>
        <v>8.8000000000000007</v>
      </c>
      <c r="AT40" s="152">
        <v>0.46</v>
      </c>
      <c r="AU40" s="152">
        <v>0.45</v>
      </c>
      <c r="AV40" s="152">
        <v>0.46</v>
      </c>
      <c r="AW40" s="174">
        <v>0.46</v>
      </c>
      <c r="AX40" s="174"/>
      <c r="AY40" s="174"/>
      <c r="AZ40" s="174"/>
      <c r="BA40" s="174"/>
      <c r="BB40" s="174"/>
      <c r="BC40" s="174"/>
      <c r="BD40" s="174"/>
      <c r="BE40" s="174"/>
      <c r="BF40" s="174"/>
      <c r="BG40" s="174"/>
      <c r="BH40" s="174"/>
      <c r="BI40" s="174"/>
      <c r="BJ40" s="174"/>
      <c r="BK40" s="174"/>
      <c r="BL40" s="174"/>
      <c r="BM40" s="174"/>
      <c r="BN40" s="174"/>
      <c r="BO40" s="174"/>
      <c r="BP40" s="174"/>
      <c r="BQ40" s="174"/>
      <c r="BR40" s="174"/>
      <c r="BS40" s="174"/>
      <c r="BT40" s="174"/>
      <c r="BU40" s="174"/>
      <c r="BV40" s="174"/>
      <c r="BW40" s="174"/>
      <c r="BX40" s="174"/>
      <c r="BY40" s="174"/>
      <c r="BZ40" s="174"/>
      <c r="CA40" s="174"/>
      <c r="CB40" s="174"/>
      <c r="CC40" s="174"/>
      <c r="CD40" s="174"/>
      <c r="CE40" s="174"/>
      <c r="CF40" s="174"/>
      <c r="CG40" s="174"/>
      <c r="CH40" s="175"/>
    </row>
    <row r="41" spans="1:86" x14ac:dyDescent="0.3">
      <c r="E41" s="152" t="s">
        <v>957</v>
      </c>
      <c r="L41" s="196"/>
      <c r="AE41" s="152">
        <v>17</v>
      </c>
      <c r="AF41" s="152">
        <f>AF40+3.8</f>
        <v>55.599999999999994</v>
      </c>
      <c r="AG41" s="152">
        <f>AG40+200</f>
        <v>2300</v>
      </c>
      <c r="AH41" s="152">
        <f>AH40+0.8</f>
        <v>9.6000000000000014</v>
      </c>
      <c r="AT41" s="152">
        <v>0.46</v>
      </c>
      <c r="AU41" s="152">
        <v>0.45</v>
      </c>
      <c r="AV41" s="152">
        <v>0.46</v>
      </c>
      <c r="AW41" s="174">
        <v>0.46</v>
      </c>
      <c r="AX41" s="174"/>
      <c r="AY41" s="174"/>
      <c r="AZ41" s="174"/>
      <c r="BA41" s="174"/>
      <c r="BB41" s="174"/>
      <c r="BC41" s="174"/>
      <c r="BD41" s="174"/>
      <c r="BE41" s="174"/>
      <c r="BF41" s="174"/>
      <c r="BG41" s="174"/>
      <c r="BH41" s="174"/>
      <c r="BI41" s="174"/>
      <c r="BJ41" s="174"/>
      <c r="BK41" s="174"/>
      <c r="BL41" s="174"/>
      <c r="BM41" s="174"/>
      <c r="BN41" s="174"/>
      <c r="BO41" s="174"/>
      <c r="BP41" s="174"/>
      <c r="BQ41" s="174"/>
      <c r="BR41" s="174"/>
      <c r="BS41" s="174"/>
      <c r="BT41" s="174"/>
      <c r="BU41" s="174"/>
      <c r="BV41" s="174"/>
      <c r="BW41" s="174"/>
      <c r="BX41" s="174"/>
      <c r="BY41" s="174"/>
      <c r="BZ41" s="174"/>
      <c r="CA41" s="174"/>
      <c r="CB41" s="174"/>
      <c r="CC41" s="174"/>
      <c r="CD41" s="174"/>
      <c r="CE41" s="174"/>
      <c r="CF41" s="174"/>
      <c r="CG41" s="174"/>
      <c r="CH41" s="175"/>
    </row>
    <row r="42" spans="1:86" x14ac:dyDescent="0.3">
      <c r="E42" s="152" t="s">
        <v>1050</v>
      </c>
      <c r="L42" s="196"/>
      <c r="AE42" s="152">
        <v>18</v>
      </c>
      <c r="AF42" s="152">
        <f>AF41+3.8</f>
        <v>59.399999999999991</v>
      </c>
      <c r="AG42" s="152">
        <f>AG41+200</f>
        <v>2500</v>
      </c>
      <c r="AH42" s="152">
        <f>AH41+0.8</f>
        <v>10.400000000000002</v>
      </c>
      <c r="AT42" s="152">
        <v>0.384019</v>
      </c>
      <c r="AU42" s="152">
        <v>0.22</v>
      </c>
      <c r="AV42" s="152">
        <v>1</v>
      </c>
      <c r="AW42" s="174">
        <v>0.384019</v>
      </c>
      <c r="AX42" s="174"/>
      <c r="AY42" s="174"/>
      <c r="AZ42" s="174"/>
      <c r="BA42" s="174"/>
      <c r="BB42" s="174"/>
      <c r="BC42" s="174"/>
      <c r="BD42" s="174"/>
      <c r="BE42" s="174"/>
      <c r="BF42" s="174"/>
      <c r="BG42" s="174"/>
      <c r="BH42" s="174"/>
      <c r="BI42" s="174"/>
      <c r="BJ42" s="174"/>
      <c r="BK42" s="174"/>
      <c r="BL42" s="174"/>
      <c r="BM42" s="174"/>
      <c r="BN42" s="174"/>
      <c r="BO42" s="174"/>
      <c r="BP42" s="174"/>
      <c r="BQ42" s="174"/>
      <c r="BR42" s="174"/>
      <c r="BS42" s="174"/>
      <c r="BT42" s="174"/>
      <c r="BU42" s="174"/>
      <c r="BV42" s="174"/>
      <c r="BW42" s="174"/>
      <c r="BX42" s="174"/>
      <c r="BY42" s="174"/>
      <c r="BZ42" s="174"/>
      <c r="CA42" s="174"/>
      <c r="CB42" s="174"/>
      <c r="CC42" s="174"/>
      <c r="CD42" s="174"/>
      <c r="CE42" s="174"/>
      <c r="CF42" s="174"/>
      <c r="CG42" s="174"/>
      <c r="CH42" s="175"/>
    </row>
    <row r="43" spans="1:86" x14ac:dyDescent="0.3">
      <c r="E43" s="152" t="s">
        <v>558</v>
      </c>
      <c r="L43" s="196"/>
      <c r="AE43" s="152">
        <v>19</v>
      </c>
      <c r="AF43" s="152">
        <f>AF42+3.8</f>
        <v>63.199999999999989</v>
      </c>
      <c r="AG43" s="152">
        <f>AG42+200</f>
        <v>2700</v>
      </c>
      <c r="AH43" s="152">
        <f>AH42+0.8</f>
        <v>11.200000000000003</v>
      </c>
      <c r="AT43" s="152">
        <v>0.4</v>
      </c>
      <c r="AU43" s="152">
        <v>0.22</v>
      </c>
      <c r="AV43" s="152">
        <v>1</v>
      </c>
      <c r="AW43" s="174">
        <v>0.4</v>
      </c>
      <c r="AX43" s="174"/>
      <c r="AY43" s="174"/>
      <c r="AZ43" s="174"/>
      <c r="BA43" s="174"/>
      <c r="BB43" s="174"/>
      <c r="BC43" s="174"/>
      <c r="BD43" s="174"/>
      <c r="BE43" s="174"/>
      <c r="BF43" s="174"/>
      <c r="BG43" s="174"/>
      <c r="BH43" s="174"/>
      <c r="BI43" s="174"/>
      <c r="BJ43" s="174"/>
      <c r="BK43" s="174"/>
      <c r="BL43" s="174"/>
      <c r="BM43" s="174"/>
      <c r="BN43" s="174"/>
      <c r="BO43" s="174"/>
      <c r="BP43" s="174"/>
      <c r="BQ43" s="174"/>
      <c r="BR43" s="174"/>
      <c r="BS43" s="174"/>
      <c r="BT43" s="174"/>
      <c r="BU43" s="174"/>
      <c r="BV43" s="174"/>
      <c r="BW43" s="174"/>
      <c r="BX43" s="174"/>
      <c r="BY43" s="174"/>
      <c r="BZ43" s="174"/>
      <c r="CA43" s="174"/>
      <c r="CB43" s="174"/>
      <c r="CC43" s="174"/>
      <c r="CD43" s="174"/>
      <c r="CE43" s="174"/>
      <c r="CF43" s="174"/>
      <c r="CG43" s="174"/>
      <c r="CH43" s="175"/>
    </row>
    <row r="44" spans="1:86" x14ac:dyDescent="0.3">
      <c r="E44" s="152" t="s">
        <v>1432</v>
      </c>
      <c r="L44" s="196"/>
      <c r="AE44" s="152">
        <v>20</v>
      </c>
      <c r="AF44" s="152">
        <f>AF43+3.8</f>
        <v>66.999999999999986</v>
      </c>
      <c r="AG44" s="152">
        <f>AG43+200</f>
        <v>2900</v>
      </c>
      <c r="AH44" s="152">
        <f>AH43+0.8</f>
        <v>12.000000000000004</v>
      </c>
      <c r="AT44" s="152">
        <v>0.280727</v>
      </c>
      <c r="AU44" s="152">
        <v>0.22</v>
      </c>
      <c r="AV44" s="152">
        <v>1</v>
      </c>
      <c r="AW44" s="174">
        <v>0.280727</v>
      </c>
      <c r="AX44" s="174"/>
      <c r="AY44" s="174"/>
      <c r="AZ44" s="174"/>
      <c r="BA44" s="174"/>
      <c r="BB44" s="174"/>
      <c r="BC44" s="174"/>
      <c r="BD44" s="174"/>
      <c r="BE44" s="174"/>
      <c r="BF44" s="174"/>
      <c r="BG44" s="174"/>
      <c r="BH44" s="174"/>
      <c r="BI44" s="174"/>
      <c r="BJ44" s="174"/>
      <c r="BK44" s="174"/>
      <c r="BL44" s="174"/>
      <c r="BM44" s="174"/>
      <c r="BN44" s="174"/>
      <c r="BO44" s="174"/>
      <c r="BP44" s="174"/>
      <c r="BQ44" s="174"/>
      <c r="BR44" s="174"/>
      <c r="BS44" s="174"/>
      <c r="BT44" s="174"/>
      <c r="BU44" s="174"/>
      <c r="BV44" s="174"/>
      <c r="BW44" s="174"/>
      <c r="BX44" s="174"/>
      <c r="BY44" s="174"/>
      <c r="BZ44" s="174"/>
      <c r="CA44" s="174"/>
      <c r="CB44" s="174"/>
      <c r="CC44" s="174"/>
      <c r="CD44" s="174"/>
      <c r="CE44" s="174"/>
      <c r="CF44" s="174"/>
      <c r="CG44" s="174"/>
      <c r="CH44" s="175"/>
    </row>
    <row r="45" spans="1:86" x14ac:dyDescent="0.3">
      <c r="E45" s="152" t="s">
        <v>1407</v>
      </c>
      <c r="L45" s="196"/>
      <c r="AE45" s="152">
        <v>21</v>
      </c>
      <c r="AF45" s="152">
        <f>AF44+2.8</f>
        <v>69.799999999999983</v>
      </c>
      <c r="AG45" s="152">
        <f>AG44+380</f>
        <v>3280</v>
      </c>
      <c r="AH45" s="152">
        <f>AH44+1.6</f>
        <v>13.600000000000003</v>
      </c>
      <c r="AT45" s="152">
        <v>0.47009800000000002</v>
      </c>
      <c r="AU45" s="152">
        <v>0.22</v>
      </c>
      <c r="AV45" s="152">
        <v>1</v>
      </c>
      <c r="AW45" s="174">
        <v>0.47009800000000002</v>
      </c>
      <c r="AX45" s="174"/>
      <c r="AY45" s="174"/>
      <c r="AZ45" s="174"/>
      <c r="BA45" s="174"/>
      <c r="BB45" s="174"/>
      <c r="BC45" s="174"/>
      <c r="BD45" s="174"/>
      <c r="BE45" s="174"/>
      <c r="BF45" s="174"/>
      <c r="BG45" s="174"/>
      <c r="BH45" s="174"/>
      <c r="BI45" s="174"/>
      <c r="BJ45" s="174"/>
      <c r="BK45" s="174"/>
      <c r="BL45" s="174"/>
      <c r="BM45" s="174"/>
      <c r="BN45" s="174"/>
      <c r="BO45" s="174"/>
      <c r="BP45" s="174"/>
      <c r="BQ45" s="174"/>
      <c r="BR45" s="174"/>
      <c r="BS45" s="174"/>
      <c r="BT45" s="174"/>
      <c r="BU45" s="174"/>
      <c r="BV45" s="174"/>
      <c r="BW45" s="174"/>
      <c r="BX45" s="174"/>
      <c r="BY45" s="174"/>
      <c r="BZ45" s="174"/>
      <c r="CA45" s="174"/>
      <c r="CB45" s="174"/>
      <c r="CC45" s="174"/>
      <c r="CD45" s="174"/>
      <c r="CE45" s="174"/>
      <c r="CF45" s="174"/>
      <c r="CG45" s="174"/>
      <c r="CH45" s="175"/>
    </row>
    <row r="46" spans="1:86" x14ac:dyDescent="0.3">
      <c r="E46" s="152" t="s">
        <v>1431</v>
      </c>
      <c r="L46" s="196"/>
      <c r="AE46" s="152">
        <v>22</v>
      </c>
      <c r="AF46" s="152">
        <f>AF45+2.8</f>
        <v>72.59999999999998</v>
      </c>
      <c r="AG46" s="152">
        <f>AG45+380</f>
        <v>3660</v>
      </c>
      <c r="AH46" s="152">
        <f>AH45+1.6</f>
        <v>15.200000000000003</v>
      </c>
      <c r="AT46" s="152">
        <v>0.40009800000000001</v>
      </c>
      <c r="AU46" s="152">
        <v>0.22</v>
      </c>
      <c r="AV46" s="152">
        <v>1</v>
      </c>
      <c r="AW46" s="174">
        <v>0.40009800000000001</v>
      </c>
      <c r="AX46" s="174"/>
      <c r="AY46" s="174"/>
      <c r="AZ46" s="174"/>
      <c r="BA46" s="174"/>
      <c r="BB46" s="174"/>
      <c r="BC46" s="174"/>
      <c r="BD46" s="174"/>
      <c r="BE46" s="174"/>
      <c r="BF46" s="174"/>
      <c r="BG46" s="174"/>
      <c r="BH46" s="174"/>
      <c r="BI46" s="174"/>
      <c r="BJ46" s="174"/>
      <c r="BK46" s="174"/>
      <c r="BL46" s="174"/>
      <c r="BM46" s="174"/>
      <c r="BN46" s="174"/>
      <c r="BO46" s="174"/>
      <c r="BP46" s="174"/>
      <c r="BQ46" s="174"/>
      <c r="BR46" s="174"/>
      <c r="BS46" s="174"/>
      <c r="BT46" s="174"/>
      <c r="BU46" s="174"/>
      <c r="BV46" s="174"/>
      <c r="BW46" s="174"/>
      <c r="BX46" s="174"/>
      <c r="BY46" s="174"/>
      <c r="BZ46" s="174"/>
      <c r="CA46" s="174"/>
      <c r="CB46" s="174"/>
      <c r="CC46" s="174"/>
      <c r="CD46" s="174"/>
      <c r="CE46" s="174"/>
      <c r="CF46" s="174"/>
      <c r="CG46" s="174"/>
      <c r="CH46" s="175"/>
    </row>
    <row r="47" spans="1:86" x14ac:dyDescent="0.3">
      <c r="L47" s="196"/>
      <c r="AE47" s="152">
        <v>23</v>
      </c>
      <c r="AF47" s="152">
        <f>AF46+2.8</f>
        <v>75.399999999999977</v>
      </c>
      <c r="AG47" s="152">
        <f>AG46+380</f>
        <v>4040</v>
      </c>
      <c r="AH47" s="152">
        <f>AH46+1.6</f>
        <v>16.800000000000004</v>
      </c>
      <c r="AT47" s="152">
        <v>0.43009799999999998</v>
      </c>
      <c r="AU47" s="152">
        <v>0.22</v>
      </c>
      <c r="AV47" s="152">
        <v>1</v>
      </c>
      <c r="AW47" s="174">
        <v>0.43009799999999998</v>
      </c>
      <c r="AX47" s="174"/>
      <c r="AY47" s="174"/>
      <c r="AZ47" s="174"/>
      <c r="BA47" s="174"/>
      <c r="BB47" s="174"/>
      <c r="BC47" s="174"/>
      <c r="BD47" s="174"/>
      <c r="BE47" s="174"/>
      <c r="BF47" s="174"/>
      <c r="BG47" s="174"/>
      <c r="BH47" s="174"/>
      <c r="BI47" s="174"/>
      <c r="BJ47" s="174"/>
      <c r="BK47" s="174"/>
      <c r="BL47" s="174"/>
      <c r="BM47" s="174"/>
      <c r="BN47" s="174"/>
      <c r="BO47" s="174"/>
      <c r="BP47" s="174"/>
      <c r="BQ47" s="174"/>
      <c r="BR47" s="174"/>
      <c r="BS47" s="174"/>
      <c r="BT47" s="174"/>
      <c r="BU47" s="174"/>
      <c r="BV47" s="174"/>
      <c r="BW47" s="174"/>
      <c r="BX47" s="174"/>
      <c r="BY47" s="174"/>
      <c r="BZ47" s="174"/>
      <c r="CA47" s="174"/>
      <c r="CB47" s="174"/>
      <c r="CC47" s="174"/>
      <c r="CD47" s="174"/>
      <c r="CE47" s="174"/>
      <c r="CF47" s="174"/>
      <c r="CG47" s="174"/>
      <c r="CH47" s="175"/>
    </row>
    <row r="48" spans="1:86" x14ac:dyDescent="0.3">
      <c r="L48" s="196"/>
      <c r="AE48" s="152">
        <v>24</v>
      </c>
      <c r="AF48" s="152">
        <f>AF47+2.8</f>
        <v>78.199999999999974</v>
      </c>
      <c r="AG48" s="152">
        <f>AG47+380</f>
        <v>4420</v>
      </c>
      <c r="AH48" s="152">
        <f>AH47+1.6</f>
        <v>18.400000000000006</v>
      </c>
      <c r="AT48" s="152">
        <v>0.6</v>
      </c>
      <c r="AU48" s="152">
        <v>0.22</v>
      </c>
      <c r="AV48" s="152">
        <v>1</v>
      </c>
      <c r="AW48" s="174">
        <v>0.6</v>
      </c>
      <c r="AX48" s="174"/>
      <c r="AY48" s="174"/>
      <c r="AZ48" s="174"/>
      <c r="BA48" s="174"/>
      <c r="BB48" s="174"/>
      <c r="BC48" s="174"/>
      <c r="BD48" s="174"/>
      <c r="BE48" s="174"/>
      <c r="BF48" s="174"/>
      <c r="BG48" s="174"/>
      <c r="BH48" s="174"/>
      <c r="BI48" s="174"/>
      <c r="BJ48" s="174"/>
      <c r="BK48" s="174"/>
      <c r="BL48" s="174"/>
      <c r="BM48" s="174"/>
      <c r="BN48" s="174"/>
      <c r="BO48" s="174"/>
      <c r="BP48" s="174"/>
      <c r="BQ48" s="174"/>
      <c r="BR48" s="174"/>
      <c r="BS48" s="174"/>
      <c r="BT48" s="174"/>
      <c r="BU48" s="174"/>
      <c r="BV48" s="174"/>
      <c r="BW48" s="174"/>
      <c r="BX48" s="174"/>
      <c r="BY48" s="174"/>
      <c r="BZ48" s="174"/>
      <c r="CA48" s="174"/>
      <c r="CB48" s="174"/>
      <c r="CC48" s="174"/>
      <c r="CD48" s="174"/>
      <c r="CE48" s="174"/>
      <c r="CF48" s="174"/>
      <c r="CG48" s="174"/>
      <c r="CH48" s="175"/>
    </row>
    <row r="49" spans="12:86" x14ac:dyDescent="0.3">
      <c r="L49" s="196"/>
      <c r="AE49" s="152">
        <v>25</v>
      </c>
      <c r="AF49" s="152">
        <f>AF48+2.8</f>
        <v>80.999999999999972</v>
      </c>
      <c r="AG49" s="152">
        <v>4800</v>
      </c>
      <c r="AH49" s="152">
        <f>AH48+1.6</f>
        <v>20.000000000000007</v>
      </c>
      <c r="AT49" s="152">
        <v>1</v>
      </c>
      <c r="AU49" s="152">
        <v>0.4</v>
      </c>
      <c r="AV49" s="152">
        <v>1</v>
      </c>
      <c r="AW49" s="174">
        <v>1</v>
      </c>
      <c r="AX49" s="174"/>
      <c r="AY49" s="174"/>
      <c r="AZ49" s="174"/>
      <c r="BA49" s="174"/>
      <c r="BB49" s="174"/>
      <c r="BC49" s="174"/>
      <c r="BD49" s="174"/>
      <c r="BE49" s="174"/>
      <c r="BF49" s="174"/>
      <c r="BG49" s="174"/>
      <c r="BH49" s="174"/>
      <c r="BI49" s="174"/>
      <c r="BJ49" s="174"/>
      <c r="BK49" s="174"/>
      <c r="BL49" s="174"/>
      <c r="BM49" s="174"/>
      <c r="BN49" s="174"/>
      <c r="BO49" s="174"/>
      <c r="BP49" s="174"/>
      <c r="BQ49" s="174"/>
      <c r="BR49" s="174"/>
      <c r="BS49" s="174"/>
      <c r="BT49" s="174"/>
      <c r="BU49" s="174"/>
      <c r="BV49" s="174"/>
      <c r="BW49" s="174"/>
      <c r="BX49" s="174"/>
      <c r="BY49" s="174"/>
      <c r="BZ49" s="174"/>
      <c r="CA49" s="174"/>
      <c r="CB49" s="174"/>
      <c r="CC49" s="174"/>
      <c r="CD49" s="174"/>
      <c r="CE49" s="174"/>
      <c r="CF49" s="174"/>
      <c r="CG49" s="174"/>
      <c r="CH49" s="175"/>
    </row>
    <row r="50" spans="12:86" x14ac:dyDescent="0.3">
      <c r="L50" s="196"/>
      <c r="AE50" s="152">
        <v>26</v>
      </c>
      <c r="AF50" s="152">
        <f>AF49+3</f>
        <v>83.999999999999972</v>
      </c>
      <c r="AG50" s="152">
        <f>AG49+960</f>
        <v>5760</v>
      </c>
      <c r="AH50" s="152">
        <f>AH49+4</f>
        <v>24.000000000000007</v>
      </c>
      <c r="AT50" s="152">
        <v>1</v>
      </c>
      <c r="AU50" s="152">
        <v>0.83642641576487842</v>
      </c>
      <c r="AV50" s="152">
        <v>0.56000000000000005</v>
      </c>
      <c r="AW50" s="174">
        <v>1</v>
      </c>
      <c r="AX50" s="174"/>
      <c r="AY50" s="174"/>
      <c r="AZ50" s="174"/>
      <c r="BA50" s="174"/>
      <c r="BB50" s="174"/>
      <c r="BC50" s="174"/>
      <c r="BD50" s="174"/>
      <c r="BE50" s="174"/>
      <c r="BF50" s="174"/>
      <c r="BG50" s="174"/>
      <c r="BH50" s="174"/>
      <c r="BI50" s="174"/>
      <c r="BJ50" s="174"/>
      <c r="BK50" s="174"/>
      <c r="BL50" s="174"/>
      <c r="BM50" s="174"/>
      <c r="BN50" s="174"/>
      <c r="BO50" s="174"/>
      <c r="BP50" s="174"/>
      <c r="BQ50" s="174"/>
      <c r="BR50" s="174"/>
      <c r="BS50" s="174"/>
      <c r="BT50" s="174"/>
      <c r="BU50" s="174"/>
      <c r="BV50" s="174"/>
      <c r="BW50" s="174"/>
      <c r="BX50" s="174"/>
      <c r="BY50" s="174"/>
      <c r="BZ50" s="174"/>
      <c r="CA50" s="174"/>
      <c r="CB50" s="174"/>
      <c r="CC50" s="174"/>
      <c r="CD50" s="174"/>
      <c r="CE50" s="174"/>
      <c r="CF50" s="174"/>
      <c r="CG50" s="174"/>
      <c r="CH50" s="175"/>
    </row>
    <row r="51" spans="12:86" x14ac:dyDescent="0.3">
      <c r="L51" s="196"/>
      <c r="AE51" s="152">
        <v>27</v>
      </c>
      <c r="AF51" s="152">
        <f>AF50+3</f>
        <v>86.999999999999972</v>
      </c>
      <c r="AG51" s="152">
        <f>AG50+960</f>
        <v>6720</v>
      </c>
      <c r="AH51" s="152">
        <f>AH50+4</f>
        <v>28.000000000000007</v>
      </c>
      <c r="AT51" s="152">
        <v>1</v>
      </c>
      <c r="AU51" s="152">
        <v>0.67224267972322627</v>
      </c>
      <c r="AV51" s="152">
        <v>1</v>
      </c>
      <c r="AW51" s="174">
        <v>1</v>
      </c>
      <c r="AX51" s="174"/>
      <c r="AY51" s="174"/>
      <c r="AZ51" s="174"/>
      <c r="BA51" s="174"/>
      <c r="BB51" s="174"/>
      <c r="BC51" s="174"/>
      <c r="BD51" s="174"/>
      <c r="BE51" s="174"/>
      <c r="BF51" s="174"/>
      <c r="BG51" s="174"/>
      <c r="BH51" s="174"/>
      <c r="BI51" s="174"/>
      <c r="BJ51" s="174"/>
      <c r="BK51" s="174"/>
      <c r="BL51" s="174"/>
      <c r="BM51" s="174"/>
      <c r="BN51" s="174"/>
      <c r="BO51" s="174"/>
      <c r="BP51" s="174"/>
      <c r="BQ51" s="174"/>
      <c r="BR51" s="174"/>
      <c r="BS51" s="174"/>
      <c r="BT51" s="174"/>
      <c r="BU51" s="174"/>
      <c r="BV51" s="174"/>
      <c r="BW51" s="174"/>
      <c r="BX51" s="174"/>
      <c r="BY51" s="174"/>
      <c r="BZ51" s="174"/>
      <c r="CA51" s="174"/>
      <c r="CB51" s="174"/>
      <c r="CC51" s="174"/>
      <c r="CD51" s="174"/>
      <c r="CE51" s="174"/>
      <c r="CF51" s="174"/>
      <c r="CG51" s="174"/>
      <c r="CH51" s="175"/>
    </row>
    <row r="52" spans="12:86" x14ac:dyDescent="0.3">
      <c r="L52" s="196"/>
      <c r="AE52" s="152">
        <v>28</v>
      </c>
      <c r="AF52" s="152">
        <f>AF51+3</f>
        <v>89.999999999999972</v>
      </c>
      <c r="AG52" s="152">
        <f>AG51+960</f>
        <v>7680</v>
      </c>
      <c r="AH52" s="152">
        <f>AH51+4</f>
        <v>32.000000000000007</v>
      </c>
      <c r="AT52" s="152">
        <v>1</v>
      </c>
      <c r="AU52" s="152">
        <v>0.8220381586558223</v>
      </c>
      <c r="AV52" s="152">
        <v>1</v>
      </c>
      <c r="AW52" s="174">
        <v>1</v>
      </c>
      <c r="AX52" s="174"/>
      <c r="AY52" s="174"/>
      <c r="AZ52" s="174"/>
      <c r="BA52" s="174"/>
      <c r="BB52" s="174"/>
      <c r="BC52" s="174"/>
      <c r="BD52" s="174"/>
      <c r="BE52" s="174"/>
      <c r="BF52" s="174"/>
      <c r="BG52" s="174"/>
      <c r="BH52" s="174"/>
      <c r="BI52" s="174"/>
      <c r="BJ52" s="174"/>
      <c r="BK52" s="174"/>
      <c r="BL52" s="174"/>
      <c r="BM52" s="174"/>
      <c r="BN52" s="174"/>
      <c r="BO52" s="174"/>
      <c r="BP52" s="174"/>
      <c r="BQ52" s="174"/>
      <c r="BR52" s="174"/>
      <c r="BS52" s="174"/>
      <c r="BT52" s="174"/>
      <c r="BU52" s="174"/>
      <c r="BV52" s="174"/>
      <c r="BW52" s="174"/>
      <c r="BX52" s="174"/>
      <c r="BY52" s="174"/>
      <c r="BZ52" s="174"/>
      <c r="CA52" s="174"/>
      <c r="CB52" s="174"/>
      <c r="CC52" s="174"/>
      <c r="CD52" s="174"/>
      <c r="CE52" s="174"/>
      <c r="CF52" s="174"/>
      <c r="CG52" s="174"/>
      <c r="CH52" s="175"/>
    </row>
    <row r="53" spans="12:86" x14ac:dyDescent="0.3">
      <c r="L53" s="196"/>
      <c r="AE53" s="152">
        <v>29</v>
      </c>
      <c r="AF53" s="152">
        <f>AF52+3</f>
        <v>92.999999999999972</v>
      </c>
      <c r="AG53" s="152">
        <f>AG52+960</f>
        <v>8640</v>
      </c>
      <c r="AH53" s="152">
        <f>AH52+4</f>
        <v>36.000000000000007</v>
      </c>
      <c r="AW53" s="174"/>
      <c r="AX53" s="174"/>
      <c r="AY53" s="174"/>
      <c r="AZ53" s="174"/>
      <c r="BA53" s="174"/>
      <c r="BB53" s="174"/>
      <c r="BC53" s="174"/>
      <c r="BD53" s="174"/>
      <c r="BE53" s="174"/>
      <c r="BF53" s="174"/>
      <c r="BG53" s="174"/>
      <c r="BH53" s="174"/>
      <c r="BI53" s="174"/>
      <c r="BJ53" s="174"/>
      <c r="BK53" s="174"/>
      <c r="BL53" s="174"/>
      <c r="BM53" s="174"/>
      <c r="BN53" s="174"/>
      <c r="BO53" s="174"/>
      <c r="BP53" s="174"/>
      <c r="BQ53" s="174"/>
      <c r="BR53" s="174"/>
      <c r="BS53" s="174"/>
      <c r="BT53" s="174"/>
      <c r="BU53" s="174"/>
      <c r="BV53" s="174"/>
      <c r="BW53" s="174"/>
      <c r="BX53" s="174"/>
      <c r="BY53" s="174"/>
      <c r="BZ53" s="174"/>
      <c r="CA53" s="174"/>
      <c r="CB53" s="174"/>
      <c r="CC53" s="174"/>
      <c r="CD53" s="174"/>
      <c r="CE53" s="174"/>
      <c r="CF53" s="174"/>
      <c r="CG53" s="174"/>
      <c r="CH53" s="175"/>
    </row>
    <row r="54" spans="12:86" x14ac:dyDescent="0.3">
      <c r="L54" s="196"/>
      <c r="AE54" s="152">
        <v>30</v>
      </c>
      <c r="AF54" s="152">
        <f>AF53+3</f>
        <v>95.999999999999972</v>
      </c>
      <c r="AG54" s="152">
        <f>AG53+960</f>
        <v>9600</v>
      </c>
      <c r="AH54" s="152">
        <f>AH53+4</f>
        <v>40.000000000000007</v>
      </c>
      <c r="AW54" s="174"/>
      <c r="AX54" s="174"/>
      <c r="AY54" s="174"/>
      <c r="AZ54" s="174"/>
      <c r="BA54" s="174"/>
      <c r="BB54" s="174"/>
      <c r="BC54" s="174"/>
      <c r="BD54" s="174"/>
      <c r="BE54" s="174"/>
      <c r="BF54" s="174"/>
      <c r="BG54" s="174"/>
      <c r="BH54" s="174"/>
      <c r="BI54" s="174"/>
      <c r="BJ54" s="174"/>
      <c r="BK54" s="174"/>
      <c r="BL54" s="174"/>
      <c r="BM54" s="174"/>
      <c r="BN54" s="174"/>
      <c r="BO54" s="174"/>
      <c r="BP54" s="174"/>
      <c r="BQ54" s="174"/>
      <c r="BR54" s="174"/>
      <c r="BS54" s="174"/>
      <c r="BT54" s="174"/>
      <c r="BU54" s="174"/>
      <c r="BV54" s="174"/>
      <c r="BW54" s="174"/>
      <c r="BX54" s="174"/>
      <c r="BY54" s="174"/>
      <c r="BZ54" s="174"/>
      <c r="CA54" s="174"/>
      <c r="CB54" s="174"/>
      <c r="CC54" s="174"/>
      <c r="CD54" s="174"/>
      <c r="CE54" s="174"/>
      <c r="CF54" s="174"/>
      <c r="CG54" s="174"/>
      <c r="CH54" s="175"/>
    </row>
    <row r="55" spans="12:86" x14ac:dyDescent="0.3">
      <c r="L55" s="196"/>
      <c r="AE55" s="152">
        <v>31</v>
      </c>
      <c r="AF55" s="152">
        <f>AF54+3.8</f>
        <v>99.799999999999969</v>
      </c>
      <c r="AG55" s="152">
        <f>AG54+480</f>
        <v>10080</v>
      </c>
      <c r="AH55" s="152">
        <f>AH54+2</f>
        <v>42.000000000000007</v>
      </c>
      <c r="AW55" s="174"/>
      <c r="AX55" s="174"/>
      <c r="AY55" s="174"/>
      <c r="AZ55" s="174"/>
      <c r="BA55" s="174"/>
      <c r="BB55" s="174"/>
      <c r="BC55" s="174"/>
      <c r="BD55" s="174"/>
      <c r="BE55" s="174"/>
      <c r="BF55" s="174"/>
      <c r="BG55" s="174"/>
      <c r="BH55" s="174"/>
      <c r="BI55" s="174"/>
      <c r="BJ55" s="174"/>
      <c r="BK55" s="174"/>
      <c r="BL55" s="174"/>
      <c r="BM55" s="174"/>
      <c r="BN55" s="174"/>
      <c r="BO55" s="174"/>
      <c r="BP55" s="174"/>
      <c r="BQ55" s="174"/>
      <c r="BR55" s="174"/>
      <c r="BS55" s="174"/>
      <c r="BT55" s="174"/>
      <c r="BU55" s="174"/>
      <c r="BV55" s="174"/>
      <c r="BW55" s="174"/>
      <c r="BX55" s="174"/>
      <c r="BY55" s="174"/>
      <c r="BZ55" s="174"/>
      <c r="CA55" s="174"/>
      <c r="CB55" s="174"/>
      <c r="CC55" s="174"/>
      <c r="CD55" s="174"/>
      <c r="CE55" s="174"/>
      <c r="CF55" s="174"/>
      <c r="CG55" s="174"/>
      <c r="CH55" s="175"/>
    </row>
    <row r="56" spans="12:86" x14ac:dyDescent="0.3">
      <c r="L56" s="196"/>
      <c r="AE56" s="152">
        <v>32</v>
      </c>
      <c r="AF56" s="152">
        <f>AF55+3.8</f>
        <v>103.59999999999997</v>
      </c>
      <c r="AG56" s="152">
        <f>AG55+480</f>
        <v>10560</v>
      </c>
      <c r="AH56" s="152">
        <f>AH55+2</f>
        <v>44.000000000000007</v>
      </c>
      <c r="AW56" s="174"/>
      <c r="AX56" s="174"/>
      <c r="AY56" s="174"/>
      <c r="AZ56" s="174"/>
      <c r="BA56" s="174"/>
      <c r="BB56" s="174"/>
      <c r="BC56" s="174"/>
      <c r="BD56" s="174"/>
      <c r="BE56" s="174"/>
      <c r="BF56" s="174"/>
      <c r="BG56" s="174"/>
      <c r="BH56" s="174"/>
      <c r="BI56" s="174"/>
      <c r="BJ56" s="174"/>
      <c r="BK56" s="174"/>
      <c r="BL56" s="174"/>
      <c r="BM56" s="174"/>
      <c r="BN56" s="174"/>
      <c r="BO56" s="174"/>
      <c r="BP56" s="174"/>
      <c r="BQ56" s="174"/>
      <c r="BR56" s="174"/>
      <c r="BS56" s="174"/>
      <c r="BT56" s="174"/>
      <c r="BU56" s="174"/>
      <c r="BV56" s="174"/>
      <c r="BW56" s="174"/>
      <c r="BX56" s="174"/>
      <c r="BY56" s="174"/>
      <c r="BZ56" s="174"/>
      <c r="CA56" s="174"/>
      <c r="CB56" s="174"/>
      <c r="CC56" s="174"/>
      <c r="CD56" s="174"/>
      <c r="CE56" s="174"/>
      <c r="CF56" s="174"/>
      <c r="CG56" s="174"/>
      <c r="CH56" s="175"/>
    </row>
    <row r="57" spans="12:86" x14ac:dyDescent="0.3">
      <c r="L57" s="196"/>
      <c r="AE57" s="152">
        <v>33</v>
      </c>
      <c r="AF57" s="152">
        <f>AF56+3.8</f>
        <v>107.39999999999996</v>
      </c>
      <c r="AG57" s="152">
        <f>AG56+480</f>
        <v>11040</v>
      </c>
      <c r="AH57" s="152">
        <f>AH56+2</f>
        <v>46.000000000000007</v>
      </c>
      <c r="AW57" s="174"/>
      <c r="AX57" s="174"/>
      <c r="AY57" s="174"/>
      <c r="AZ57" s="174"/>
      <c r="BA57" s="174"/>
      <c r="BB57" s="174"/>
      <c r="BC57" s="174"/>
      <c r="BD57" s="174"/>
      <c r="BE57" s="174"/>
      <c r="BF57" s="174"/>
      <c r="BG57" s="174"/>
      <c r="BH57" s="174"/>
      <c r="BI57" s="174"/>
      <c r="BJ57" s="174"/>
      <c r="BK57" s="174"/>
      <c r="BL57" s="174"/>
      <c r="BM57" s="174"/>
      <c r="BN57" s="174"/>
      <c r="BO57" s="174"/>
      <c r="BP57" s="174"/>
      <c r="BQ57" s="174"/>
      <c r="BR57" s="174"/>
      <c r="BS57" s="174"/>
      <c r="BT57" s="174"/>
      <c r="BU57" s="174"/>
      <c r="BV57" s="174"/>
      <c r="BW57" s="174"/>
      <c r="BX57" s="174"/>
      <c r="BY57" s="174"/>
      <c r="BZ57" s="174"/>
      <c r="CA57" s="174"/>
      <c r="CB57" s="174"/>
      <c r="CC57" s="174"/>
      <c r="CD57" s="174"/>
      <c r="CE57" s="174"/>
      <c r="CF57" s="174"/>
      <c r="CG57" s="174"/>
      <c r="CH57" s="175"/>
    </row>
    <row r="58" spans="12:86" x14ac:dyDescent="0.3">
      <c r="L58" s="196"/>
      <c r="AE58" s="152">
        <v>34</v>
      </c>
      <c r="AF58" s="152">
        <f>AF57+3.8</f>
        <v>111.19999999999996</v>
      </c>
      <c r="AG58" s="152">
        <f>AG57+480</f>
        <v>11520</v>
      </c>
      <c r="AH58" s="152">
        <f>AH57+2</f>
        <v>48.000000000000007</v>
      </c>
      <c r="AW58" s="174"/>
      <c r="AX58" s="174"/>
      <c r="AY58" s="174"/>
      <c r="AZ58" s="174"/>
      <c r="BA58" s="174"/>
      <c r="BB58" s="174"/>
      <c r="BC58" s="174"/>
      <c r="BD58" s="174"/>
      <c r="BE58" s="174"/>
      <c r="BF58" s="174"/>
      <c r="BG58" s="174"/>
      <c r="BH58" s="174"/>
      <c r="BI58" s="174"/>
      <c r="BJ58" s="174"/>
      <c r="BK58" s="174"/>
      <c r="BL58" s="174"/>
      <c r="BM58" s="174"/>
      <c r="BN58" s="174"/>
      <c r="BO58" s="174"/>
      <c r="BP58" s="174"/>
      <c r="BQ58" s="174"/>
      <c r="BR58" s="174"/>
      <c r="BS58" s="174"/>
      <c r="BT58" s="174"/>
      <c r="BU58" s="174"/>
      <c r="BV58" s="174"/>
      <c r="BW58" s="174"/>
      <c r="BX58" s="174"/>
      <c r="BY58" s="174"/>
      <c r="BZ58" s="174"/>
      <c r="CA58" s="174"/>
      <c r="CB58" s="174"/>
      <c r="CC58" s="174"/>
      <c r="CD58" s="174"/>
      <c r="CE58" s="174"/>
      <c r="CF58" s="174"/>
      <c r="CG58" s="174"/>
      <c r="CH58" s="175"/>
    </row>
    <row r="59" spans="12:86" x14ac:dyDescent="0.3">
      <c r="L59" s="196"/>
      <c r="AE59" s="152">
        <v>35</v>
      </c>
      <c r="AF59" s="152">
        <f>AF58+3.8</f>
        <v>114.99999999999996</v>
      </c>
      <c r="AG59" s="152">
        <f>AG58+480</f>
        <v>12000</v>
      </c>
      <c r="AH59" s="152">
        <f>AH58+2</f>
        <v>50.000000000000007</v>
      </c>
      <c r="AW59" s="174"/>
      <c r="AX59" s="174"/>
      <c r="AY59" s="174"/>
      <c r="AZ59" s="174"/>
      <c r="BA59" s="174"/>
      <c r="BB59" s="174"/>
      <c r="BC59" s="174"/>
      <c r="BD59" s="174"/>
      <c r="BE59" s="174"/>
      <c r="BF59" s="174"/>
      <c r="BG59" s="174"/>
      <c r="BH59" s="174"/>
      <c r="BI59" s="174"/>
      <c r="BJ59" s="174"/>
      <c r="BK59" s="174"/>
      <c r="BL59" s="174"/>
      <c r="BM59" s="174"/>
      <c r="BN59" s="174"/>
      <c r="BO59" s="174"/>
      <c r="BP59" s="174"/>
      <c r="BQ59" s="174"/>
      <c r="BR59" s="174"/>
      <c r="BS59" s="174"/>
      <c r="BT59" s="174"/>
      <c r="BU59" s="174"/>
      <c r="BV59" s="174"/>
      <c r="BW59" s="174"/>
      <c r="BX59" s="174"/>
      <c r="BY59" s="174"/>
      <c r="BZ59" s="174"/>
      <c r="CA59" s="174"/>
      <c r="CB59" s="174"/>
      <c r="CC59" s="174"/>
      <c r="CD59" s="174"/>
      <c r="CE59" s="174"/>
      <c r="CF59" s="174"/>
      <c r="CG59" s="174"/>
      <c r="CH59" s="175"/>
    </row>
    <row r="60" spans="12:86" x14ac:dyDescent="0.3">
      <c r="L60" s="196"/>
      <c r="AW60" s="174"/>
      <c r="AX60" s="174"/>
      <c r="AY60" s="174"/>
      <c r="AZ60" s="174"/>
      <c r="BA60" s="174"/>
      <c r="BB60" s="174"/>
      <c r="BC60" s="174"/>
      <c r="BD60" s="174"/>
      <c r="BE60" s="174"/>
      <c r="BF60" s="174"/>
      <c r="BG60" s="174"/>
      <c r="BH60" s="174"/>
      <c r="BI60" s="174"/>
      <c r="BJ60" s="174"/>
      <c r="BK60" s="174"/>
      <c r="BL60" s="174"/>
      <c r="BM60" s="174"/>
      <c r="BN60" s="174"/>
      <c r="BO60" s="174"/>
      <c r="BP60" s="174"/>
      <c r="BQ60" s="174"/>
      <c r="BR60" s="174"/>
      <c r="BS60" s="174"/>
      <c r="BT60" s="174"/>
      <c r="BU60" s="174"/>
      <c r="BV60" s="174"/>
      <c r="BW60" s="174"/>
      <c r="BX60" s="174"/>
      <c r="BY60" s="174"/>
      <c r="BZ60" s="174"/>
      <c r="CA60" s="174"/>
      <c r="CB60" s="174"/>
      <c r="CC60" s="174"/>
      <c r="CD60" s="174"/>
      <c r="CE60" s="174"/>
      <c r="CF60" s="174"/>
      <c r="CG60" s="174"/>
      <c r="CH60" s="175"/>
    </row>
    <row r="61" spans="12:86" x14ac:dyDescent="0.3">
      <c r="L61" s="196"/>
      <c r="AW61" s="174"/>
      <c r="AX61" s="174"/>
      <c r="AY61" s="174"/>
      <c r="AZ61" s="174"/>
      <c r="BA61" s="174"/>
      <c r="BB61" s="174"/>
      <c r="BC61" s="174"/>
      <c r="BD61" s="174"/>
      <c r="BE61" s="174"/>
      <c r="BF61" s="174"/>
      <c r="BG61" s="174"/>
      <c r="BH61" s="174"/>
      <c r="BI61" s="174"/>
      <c r="BJ61" s="174"/>
      <c r="BK61" s="174"/>
      <c r="BL61" s="174"/>
      <c r="BM61" s="174"/>
      <c r="BN61" s="174"/>
      <c r="BO61" s="174"/>
      <c r="BP61" s="174"/>
      <c r="BQ61" s="174"/>
      <c r="BR61" s="174"/>
      <c r="BS61" s="174"/>
      <c r="BT61" s="174"/>
      <c r="BU61" s="174"/>
      <c r="BV61" s="174"/>
      <c r="BW61" s="174"/>
      <c r="BX61" s="174"/>
      <c r="BY61" s="174"/>
      <c r="BZ61" s="174"/>
      <c r="CA61" s="174"/>
      <c r="CB61" s="174"/>
      <c r="CC61" s="174"/>
      <c r="CD61" s="174"/>
      <c r="CE61" s="174"/>
      <c r="CF61" s="174"/>
      <c r="CG61" s="174"/>
      <c r="CH61" s="175"/>
    </row>
    <row r="62" spans="12:86" x14ac:dyDescent="0.3">
      <c r="L62" s="196"/>
      <c r="AW62" s="174"/>
      <c r="AX62" s="174"/>
      <c r="AY62" s="174"/>
      <c r="AZ62" s="174"/>
      <c r="BA62" s="174"/>
      <c r="BB62" s="174"/>
      <c r="BC62" s="174"/>
      <c r="BD62" s="174"/>
      <c r="BE62" s="174"/>
      <c r="BF62" s="174"/>
      <c r="BG62" s="174"/>
      <c r="BH62" s="174"/>
      <c r="BI62" s="174"/>
      <c r="BJ62" s="174"/>
      <c r="BK62" s="174"/>
      <c r="BL62" s="174"/>
      <c r="BM62" s="174"/>
      <c r="BN62" s="174"/>
      <c r="BO62" s="174"/>
      <c r="BP62" s="174"/>
      <c r="BQ62" s="174"/>
      <c r="BR62" s="174"/>
      <c r="BS62" s="174"/>
      <c r="BT62" s="174"/>
      <c r="BU62" s="174"/>
      <c r="BV62" s="174"/>
      <c r="BW62" s="174"/>
      <c r="BX62" s="174"/>
      <c r="BY62" s="174"/>
      <c r="BZ62" s="174"/>
      <c r="CA62" s="174"/>
      <c r="CB62" s="174"/>
      <c r="CC62" s="174"/>
      <c r="CD62" s="174"/>
      <c r="CE62" s="174"/>
      <c r="CF62" s="174"/>
      <c r="CG62" s="174"/>
      <c r="CH62" s="175"/>
    </row>
    <row r="63" spans="12:86" x14ac:dyDescent="0.3">
      <c r="L63" s="196"/>
      <c r="AW63" s="174"/>
      <c r="AX63" s="174"/>
      <c r="AY63" s="174"/>
      <c r="AZ63" s="174"/>
      <c r="BA63" s="174"/>
      <c r="BB63" s="174"/>
      <c r="BC63" s="174"/>
      <c r="BD63" s="174"/>
      <c r="BE63" s="174"/>
      <c r="BF63" s="174"/>
      <c r="BG63" s="174"/>
      <c r="BH63" s="174"/>
      <c r="BI63" s="174"/>
      <c r="BJ63" s="174"/>
      <c r="BK63" s="174"/>
      <c r="BL63" s="174"/>
      <c r="BM63" s="174"/>
      <c r="BN63" s="174"/>
      <c r="BO63" s="174"/>
      <c r="BP63" s="174"/>
      <c r="BQ63" s="174"/>
      <c r="BR63" s="174"/>
      <c r="BS63" s="174"/>
      <c r="BT63" s="174"/>
      <c r="BU63" s="174"/>
      <c r="BV63" s="174"/>
      <c r="BW63" s="174"/>
      <c r="BX63" s="174"/>
      <c r="BY63" s="174"/>
      <c r="BZ63" s="174"/>
      <c r="CA63" s="174"/>
      <c r="CB63" s="174"/>
      <c r="CC63" s="174"/>
      <c r="CD63" s="174"/>
      <c r="CE63" s="174"/>
      <c r="CF63" s="174"/>
      <c r="CG63" s="174"/>
      <c r="CH63" s="175"/>
    </row>
    <row r="64" spans="12:86" x14ac:dyDescent="0.3">
      <c r="L64" s="196"/>
      <c r="AW64" s="174"/>
      <c r="AX64" s="174"/>
      <c r="AY64" s="174"/>
      <c r="AZ64" s="174"/>
      <c r="BA64" s="174"/>
      <c r="BB64" s="174"/>
      <c r="BC64" s="174"/>
      <c r="BD64" s="174"/>
      <c r="BE64" s="174"/>
      <c r="BF64" s="174"/>
      <c r="BG64" s="174"/>
      <c r="BH64" s="174"/>
      <c r="BI64" s="174"/>
      <c r="BJ64" s="174"/>
      <c r="BK64" s="174"/>
      <c r="BL64" s="174"/>
      <c r="BM64" s="174"/>
      <c r="BN64" s="174"/>
      <c r="BO64" s="174"/>
      <c r="BP64" s="174"/>
      <c r="BQ64" s="174"/>
      <c r="BR64" s="174"/>
      <c r="BS64" s="174"/>
      <c r="BT64" s="174"/>
      <c r="BU64" s="174"/>
      <c r="BV64" s="174"/>
      <c r="BW64" s="174"/>
      <c r="BX64" s="174"/>
      <c r="BY64" s="174"/>
      <c r="BZ64" s="174"/>
      <c r="CA64" s="174"/>
      <c r="CB64" s="174"/>
      <c r="CC64" s="174"/>
      <c r="CD64" s="174"/>
      <c r="CE64" s="174"/>
      <c r="CF64" s="174"/>
      <c r="CG64" s="174"/>
      <c r="CH64" s="175"/>
    </row>
    <row r="65" spans="12:86" x14ac:dyDescent="0.3">
      <c r="L65" s="196"/>
      <c r="AW65" s="174"/>
      <c r="AX65" s="174"/>
      <c r="AY65" s="174"/>
      <c r="AZ65" s="174"/>
      <c r="BA65" s="174"/>
      <c r="BB65" s="174"/>
      <c r="BC65" s="174"/>
      <c r="BD65" s="174"/>
      <c r="BE65" s="174"/>
      <c r="BF65" s="174"/>
      <c r="BG65" s="174"/>
      <c r="BH65" s="174"/>
      <c r="BI65" s="174"/>
      <c r="BJ65" s="174"/>
      <c r="BK65" s="174"/>
      <c r="BL65" s="174"/>
      <c r="BM65" s="174"/>
      <c r="BN65" s="174"/>
      <c r="BO65" s="174"/>
      <c r="BP65" s="174"/>
      <c r="BQ65" s="174"/>
      <c r="BR65" s="174"/>
      <c r="BS65" s="174"/>
      <c r="BT65" s="174"/>
      <c r="BU65" s="174"/>
      <c r="BV65" s="174"/>
      <c r="BW65" s="174"/>
      <c r="BX65" s="174"/>
      <c r="BY65" s="174"/>
      <c r="BZ65" s="174"/>
      <c r="CA65" s="174"/>
      <c r="CB65" s="174"/>
      <c r="CC65" s="174"/>
      <c r="CD65" s="174"/>
      <c r="CE65" s="174"/>
      <c r="CF65" s="174"/>
      <c r="CG65" s="174"/>
      <c r="CH65" s="175"/>
    </row>
    <row r="66" spans="12:86" x14ac:dyDescent="0.3">
      <c r="L66" s="196"/>
      <c r="AW66" s="174"/>
      <c r="AX66" s="174"/>
      <c r="AY66" s="174"/>
      <c r="AZ66" s="174"/>
      <c r="BA66" s="174"/>
      <c r="BB66" s="174"/>
      <c r="BC66" s="174"/>
      <c r="BD66" s="174"/>
      <c r="BE66" s="174"/>
      <c r="BF66" s="174"/>
      <c r="BG66" s="174"/>
      <c r="BH66" s="174"/>
      <c r="BI66" s="174"/>
      <c r="BJ66" s="174"/>
      <c r="BK66" s="174"/>
      <c r="BL66" s="174"/>
      <c r="BM66" s="174"/>
      <c r="BN66" s="174"/>
      <c r="BO66" s="174"/>
      <c r="BP66" s="174"/>
      <c r="BQ66" s="174"/>
      <c r="BR66" s="174"/>
      <c r="BS66" s="174"/>
      <c r="BT66" s="174"/>
      <c r="BU66" s="174"/>
      <c r="BV66" s="174"/>
      <c r="BW66" s="174"/>
      <c r="BX66" s="174"/>
      <c r="BY66" s="174"/>
      <c r="BZ66" s="174"/>
      <c r="CA66" s="174"/>
      <c r="CB66" s="174"/>
      <c r="CC66" s="174"/>
      <c r="CD66" s="174"/>
      <c r="CE66" s="174"/>
      <c r="CF66" s="174"/>
      <c r="CG66" s="174"/>
      <c r="CH66" s="175"/>
    </row>
    <row r="67" spans="12:86" x14ac:dyDescent="0.3">
      <c r="L67" s="196"/>
      <c r="AW67" s="174"/>
      <c r="AX67" s="174"/>
      <c r="AY67" s="174"/>
      <c r="AZ67" s="174"/>
      <c r="BA67" s="174"/>
      <c r="BB67" s="174"/>
      <c r="BC67" s="174"/>
      <c r="BD67" s="174"/>
      <c r="BE67" s="174"/>
      <c r="BF67" s="174"/>
      <c r="BG67" s="174"/>
      <c r="BH67" s="174"/>
      <c r="BI67" s="174"/>
      <c r="BJ67" s="174"/>
      <c r="BK67" s="174"/>
      <c r="BL67" s="174"/>
      <c r="BM67" s="174"/>
      <c r="BN67" s="174"/>
      <c r="BO67" s="174"/>
      <c r="BP67" s="174"/>
      <c r="BQ67" s="174"/>
      <c r="BR67" s="174"/>
      <c r="BS67" s="174"/>
      <c r="BT67" s="174"/>
      <c r="BU67" s="174"/>
      <c r="BV67" s="174"/>
      <c r="BW67" s="174"/>
      <c r="BX67" s="174"/>
      <c r="BY67" s="174"/>
      <c r="BZ67" s="174"/>
      <c r="CA67" s="174"/>
      <c r="CB67" s="174"/>
      <c r="CC67" s="174"/>
      <c r="CD67" s="174"/>
      <c r="CE67" s="174"/>
      <c r="CF67" s="174"/>
      <c r="CG67" s="174"/>
      <c r="CH67" s="175"/>
    </row>
    <row r="68" spans="12:86" x14ac:dyDescent="0.3">
      <c r="L68" s="196"/>
      <c r="AW68" s="174"/>
      <c r="AX68" s="174"/>
      <c r="AY68" s="174"/>
      <c r="AZ68" s="174"/>
      <c r="BA68" s="174"/>
      <c r="BB68" s="174"/>
      <c r="BC68" s="174"/>
      <c r="BD68" s="174"/>
      <c r="BE68" s="174"/>
      <c r="BF68" s="174"/>
      <c r="BG68" s="174"/>
      <c r="BH68" s="174"/>
      <c r="BI68" s="174"/>
      <c r="BJ68" s="174"/>
      <c r="BK68" s="174"/>
      <c r="BL68" s="174"/>
      <c r="BM68" s="174"/>
      <c r="BN68" s="174"/>
      <c r="BO68" s="174"/>
      <c r="BP68" s="174"/>
      <c r="BQ68" s="174"/>
      <c r="BR68" s="174"/>
      <c r="BS68" s="174"/>
      <c r="BT68" s="174"/>
      <c r="BU68" s="174"/>
      <c r="BV68" s="174"/>
      <c r="BW68" s="174"/>
      <c r="BX68" s="174"/>
      <c r="BY68" s="174"/>
      <c r="BZ68" s="174"/>
      <c r="CA68" s="174"/>
      <c r="CB68" s="174"/>
      <c r="CC68" s="174"/>
      <c r="CD68" s="174"/>
      <c r="CE68" s="174"/>
      <c r="CF68" s="174"/>
      <c r="CG68" s="174"/>
      <c r="CH68" s="175"/>
    </row>
    <row r="69" spans="12:86" x14ac:dyDescent="0.3">
      <c r="L69" s="196"/>
    </row>
    <row r="70" spans="12:86" x14ac:dyDescent="0.3">
      <c r="L70" s="196"/>
    </row>
    <row r="71" spans="12:86" x14ac:dyDescent="0.3">
      <c r="L71" s="196"/>
    </row>
    <row r="72" spans="12:86" x14ac:dyDescent="0.3">
      <c r="L72" s="196"/>
    </row>
    <row r="73" spans="12:86" x14ac:dyDescent="0.3">
      <c r="L73" s="196"/>
    </row>
    <row r="74" spans="12:86" x14ac:dyDescent="0.3">
      <c r="L74" s="196"/>
    </row>
    <row r="75" spans="12:86" x14ac:dyDescent="0.3">
      <c r="L75" s="196"/>
    </row>
    <row r="76" spans="12:86" x14ac:dyDescent="0.3">
      <c r="L76" s="196"/>
    </row>
    <row r="77" spans="12:86" x14ac:dyDescent="0.3">
      <c r="L77" s="196"/>
    </row>
    <row r="78" spans="12:86" x14ac:dyDescent="0.3">
      <c r="L78" s="196"/>
    </row>
    <row r="79" spans="12:86" x14ac:dyDescent="0.3">
      <c r="L79" s="196"/>
    </row>
    <row r="80" spans="12:86" x14ac:dyDescent="0.3">
      <c r="L80" s="196"/>
    </row>
    <row r="81" spans="12:12" x14ac:dyDescent="0.3">
      <c r="L81" s="196"/>
    </row>
    <row r="82" spans="12:12" x14ac:dyDescent="0.3">
      <c r="L82" s="196"/>
    </row>
    <row r="83" spans="12:12" x14ac:dyDescent="0.3">
      <c r="L83" s="196"/>
    </row>
    <row r="84" spans="12:12" x14ac:dyDescent="0.3">
      <c r="L84" s="196"/>
    </row>
    <row r="85" spans="12:12" x14ac:dyDescent="0.3">
      <c r="L85" s="196"/>
    </row>
    <row r="86" spans="12:12" x14ac:dyDescent="0.3">
      <c r="L86" s="196"/>
    </row>
    <row r="87" spans="12:12" x14ac:dyDescent="0.3">
      <c r="L87" s="196"/>
    </row>
    <row r="88" spans="12:12" x14ac:dyDescent="0.3">
      <c r="L88" s="196"/>
    </row>
    <row r="89" spans="12:12" x14ac:dyDescent="0.3">
      <c r="L89" s="196"/>
    </row>
    <row r="90" spans="12:12" x14ac:dyDescent="0.3">
      <c r="L90" s="196"/>
    </row>
    <row r="91" spans="12:12" x14ac:dyDescent="0.3">
      <c r="L91" s="196"/>
    </row>
    <row r="92" spans="12:12" x14ac:dyDescent="0.3">
      <c r="L92" s="196"/>
    </row>
    <row r="93" spans="12:12" x14ac:dyDescent="0.3">
      <c r="L93" s="196"/>
    </row>
    <row r="94" spans="12:12" x14ac:dyDescent="0.3">
      <c r="L94" s="196"/>
    </row>
    <row r="95" spans="12:12" x14ac:dyDescent="0.3">
      <c r="L95" s="196"/>
    </row>
    <row r="96" spans="12:12" x14ac:dyDescent="0.3">
      <c r="L96" s="196"/>
    </row>
    <row r="97" spans="12:12" x14ac:dyDescent="0.3">
      <c r="L97" s="196"/>
    </row>
    <row r="98" spans="12:12" x14ac:dyDescent="0.3">
      <c r="L98" s="196"/>
    </row>
    <row r="99" spans="12:12" x14ac:dyDescent="0.3">
      <c r="L99" s="196"/>
    </row>
    <row r="100" spans="12:12" x14ac:dyDescent="0.3">
      <c r="L100" s="196"/>
    </row>
    <row r="101" spans="12:12" x14ac:dyDescent="0.3">
      <c r="L101" s="196"/>
    </row>
    <row r="102" spans="12:12" x14ac:dyDescent="0.3">
      <c r="L102" s="196"/>
    </row>
    <row r="103" spans="12:12" x14ac:dyDescent="0.3">
      <c r="L103" s="196"/>
    </row>
    <row r="104" spans="12:12" x14ac:dyDescent="0.3">
      <c r="L104" s="196"/>
    </row>
    <row r="105" spans="12:12" x14ac:dyDescent="0.3">
      <c r="L105" s="196"/>
    </row>
    <row r="106" spans="12:12" x14ac:dyDescent="0.3">
      <c r="L106" s="196"/>
    </row>
    <row r="107" spans="12:12" x14ac:dyDescent="0.3">
      <c r="L107" s="196"/>
    </row>
    <row r="108" spans="12:12" x14ac:dyDescent="0.3">
      <c r="L108" s="196"/>
    </row>
    <row r="109" spans="12:12" x14ac:dyDescent="0.3">
      <c r="L109" s="196"/>
    </row>
    <row r="110" spans="12:12" x14ac:dyDescent="0.3">
      <c r="L110" s="196"/>
    </row>
    <row r="111" spans="12:12" x14ac:dyDescent="0.3">
      <c r="L111" s="196"/>
    </row>
    <row r="112" spans="12:12" x14ac:dyDescent="0.3">
      <c r="L112" s="196"/>
    </row>
    <row r="113" spans="12:12" x14ac:dyDescent="0.3">
      <c r="L113" s="196"/>
    </row>
    <row r="114" spans="12:12" x14ac:dyDescent="0.3">
      <c r="L114" s="196"/>
    </row>
    <row r="115" spans="12:12" x14ac:dyDescent="0.3">
      <c r="L115" s="196"/>
    </row>
    <row r="116" spans="12:12" x14ac:dyDescent="0.3">
      <c r="L116" s="196"/>
    </row>
    <row r="117" spans="12:12" x14ac:dyDescent="0.3">
      <c r="L117" s="196"/>
    </row>
    <row r="118" spans="12:12" x14ac:dyDescent="0.3">
      <c r="L118" s="196"/>
    </row>
    <row r="119" spans="12:12" x14ac:dyDescent="0.3">
      <c r="L119" s="196"/>
    </row>
    <row r="120" spans="12:12" x14ac:dyDescent="0.3">
      <c r="L120" s="196"/>
    </row>
    <row r="121" spans="12:12" x14ac:dyDescent="0.3">
      <c r="L121" s="196"/>
    </row>
    <row r="122" spans="12:12" x14ac:dyDescent="0.3">
      <c r="L122" s="196"/>
    </row>
    <row r="123" spans="12:12" x14ac:dyDescent="0.3">
      <c r="L123" s="196"/>
    </row>
    <row r="124" spans="12:12" x14ac:dyDescent="0.3">
      <c r="L124" s="196"/>
    </row>
    <row r="125" spans="12:12" x14ac:dyDescent="0.3">
      <c r="L125" s="196"/>
    </row>
    <row r="126" spans="12:12" x14ac:dyDescent="0.3">
      <c r="L126" s="196"/>
    </row>
    <row r="127" spans="12:12" x14ac:dyDescent="0.3">
      <c r="L127" s="196"/>
    </row>
    <row r="128" spans="12:12" x14ac:dyDescent="0.3">
      <c r="L128" s="196"/>
    </row>
    <row r="129" spans="12:12" x14ac:dyDescent="0.3">
      <c r="L129" s="196"/>
    </row>
    <row r="130" spans="12:12" x14ac:dyDescent="0.3">
      <c r="L130" s="196"/>
    </row>
    <row r="131" spans="12:12" x14ac:dyDescent="0.3">
      <c r="L131" s="196"/>
    </row>
    <row r="132" spans="12:12" x14ac:dyDescent="0.3">
      <c r="L132" s="196"/>
    </row>
    <row r="133" spans="12:12" x14ac:dyDescent="0.3">
      <c r="L133" s="196"/>
    </row>
    <row r="134" spans="12:12" x14ac:dyDescent="0.3">
      <c r="L134" s="196"/>
    </row>
    <row r="135" spans="12:12" x14ac:dyDescent="0.3">
      <c r="L135" s="196"/>
    </row>
    <row r="136" spans="12:12" x14ac:dyDescent="0.3">
      <c r="L136" s="196"/>
    </row>
    <row r="137" spans="12:12" x14ac:dyDescent="0.3">
      <c r="L137" s="196"/>
    </row>
    <row r="138" spans="12:12" x14ac:dyDescent="0.3">
      <c r="L138" s="196"/>
    </row>
    <row r="139" spans="12:12" x14ac:dyDescent="0.3">
      <c r="L139" s="196"/>
    </row>
    <row r="140" spans="12:12" x14ac:dyDescent="0.3">
      <c r="L140" s="196"/>
    </row>
    <row r="141" spans="12:12" x14ac:dyDescent="0.3">
      <c r="L141" s="196"/>
    </row>
    <row r="142" spans="12:12" x14ac:dyDescent="0.3">
      <c r="L142" s="196"/>
    </row>
    <row r="143" spans="12:12" x14ac:dyDescent="0.3">
      <c r="L143" s="196"/>
    </row>
    <row r="144" spans="12:12" x14ac:dyDescent="0.3">
      <c r="L144" s="196"/>
    </row>
    <row r="145" spans="12:12" x14ac:dyDescent="0.3">
      <c r="L145" s="196"/>
    </row>
    <row r="146" spans="12:12" x14ac:dyDescent="0.3">
      <c r="L146" s="196"/>
    </row>
    <row r="147" spans="12:12" x14ac:dyDescent="0.3">
      <c r="L147" s="196"/>
    </row>
    <row r="148" spans="12:12" x14ac:dyDescent="0.3">
      <c r="L148" s="196"/>
    </row>
    <row r="149" spans="12:12" x14ac:dyDescent="0.3">
      <c r="L149" s="196"/>
    </row>
    <row r="150" spans="12:12" x14ac:dyDescent="0.3">
      <c r="L150" s="196"/>
    </row>
    <row r="151" spans="12:12" x14ac:dyDescent="0.3">
      <c r="L151" s="196"/>
    </row>
    <row r="152" spans="12:12" x14ac:dyDescent="0.3">
      <c r="L152" s="196"/>
    </row>
    <row r="153" spans="12:12" x14ac:dyDescent="0.3">
      <c r="L153" s="196"/>
    </row>
    <row r="154" spans="12:12" x14ac:dyDescent="0.3">
      <c r="L154" s="196"/>
    </row>
    <row r="155" spans="12:12" x14ac:dyDescent="0.3">
      <c r="L155" s="196"/>
    </row>
    <row r="156" spans="12:12" x14ac:dyDescent="0.3">
      <c r="L156" s="196"/>
    </row>
    <row r="157" spans="12:12" x14ac:dyDescent="0.3">
      <c r="L157" s="196"/>
    </row>
    <row r="158" spans="12:12" x14ac:dyDescent="0.3">
      <c r="L158" s="196"/>
    </row>
    <row r="159" spans="12:12" x14ac:dyDescent="0.3">
      <c r="L159" s="196"/>
    </row>
    <row r="160" spans="12:12" x14ac:dyDescent="0.3">
      <c r="L160" s="196"/>
    </row>
    <row r="161" spans="12:12" x14ac:dyDescent="0.3">
      <c r="L161" s="196"/>
    </row>
    <row r="162" spans="12:12" x14ac:dyDescent="0.3">
      <c r="L162" s="196"/>
    </row>
    <row r="163" spans="12:12" x14ac:dyDescent="0.3">
      <c r="L163" s="196"/>
    </row>
    <row r="164" spans="12:12" x14ac:dyDescent="0.3">
      <c r="L164" s="196"/>
    </row>
    <row r="165" spans="12:12" x14ac:dyDescent="0.3">
      <c r="L165" s="196"/>
    </row>
    <row r="166" spans="12:12" x14ac:dyDescent="0.3">
      <c r="L166" s="196"/>
    </row>
    <row r="167" spans="12:12" x14ac:dyDescent="0.3">
      <c r="L167" s="196"/>
    </row>
    <row r="168" spans="12:12" x14ac:dyDescent="0.3">
      <c r="L168" s="196"/>
    </row>
    <row r="169" spans="12:12" x14ac:dyDescent="0.3">
      <c r="L169" s="196"/>
    </row>
    <row r="170" spans="12:12" x14ac:dyDescent="0.3">
      <c r="L170" s="196"/>
    </row>
    <row r="171" spans="12:12" x14ac:dyDescent="0.3">
      <c r="L171" s="196"/>
    </row>
    <row r="172" spans="12:12" x14ac:dyDescent="0.3">
      <c r="L172" s="196"/>
    </row>
    <row r="173" spans="12:12" x14ac:dyDescent="0.3">
      <c r="L173" s="196"/>
    </row>
    <row r="174" spans="12:12" x14ac:dyDescent="0.3">
      <c r="L174" s="196"/>
    </row>
    <row r="175" spans="12:12" x14ac:dyDescent="0.3">
      <c r="L175" s="196"/>
    </row>
    <row r="176" spans="12:12" x14ac:dyDescent="0.3">
      <c r="L176" s="196"/>
    </row>
    <row r="177" spans="12:12" x14ac:dyDescent="0.3">
      <c r="L177" s="196"/>
    </row>
    <row r="178" spans="12:12" x14ac:dyDescent="0.3">
      <c r="L178" s="196"/>
    </row>
    <row r="179" spans="12:12" x14ac:dyDescent="0.3">
      <c r="L179" s="196"/>
    </row>
    <row r="180" spans="12:12" x14ac:dyDescent="0.3">
      <c r="L180" s="196"/>
    </row>
    <row r="181" spans="12:12" x14ac:dyDescent="0.3">
      <c r="L181" s="196"/>
    </row>
    <row r="182" spans="12:12" x14ac:dyDescent="0.3">
      <c r="L182" s="196"/>
    </row>
    <row r="183" spans="12:12" x14ac:dyDescent="0.3">
      <c r="L183" s="196"/>
    </row>
    <row r="184" spans="12:12" x14ac:dyDescent="0.3">
      <c r="L184" s="196"/>
    </row>
    <row r="185" spans="12:12" x14ac:dyDescent="0.3">
      <c r="L185" s="196"/>
    </row>
    <row r="186" spans="12:12" x14ac:dyDescent="0.3">
      <c r="L186" s="196"/>
    </row>
    <row r="187" spans="12:12" x14ac:dyDescent="0.3">
      <c r="L187" s="196"/>
    </row>
    <row r="188" spans="12:12" x14ac:dyDescent="0.3">
      <c r="L188" s="196"/>
    </row>
    <row r="189" spans="12:12" x14ac:dyDescent="0.3">
      <c r="L189" s="196"/>
    </row>
    <row r="190" spans="12:12" x14ac:dyDescent="0.3">
      <c r="L190" s="196"/>
    </row>
    <row r="191" spans="12:12" x14ac:dyDescent="0.3">
      <c r="L191" s="196"/>
    </row>
    <row r="192" spans="12:12" x14ac:dyDescent="0.3">
      <c r="L192" s="196"/>
    </row>
    <row r="193" spans="12:12" x14ac:dyDescent="0.3">
      <c r="L193" s="196"/>
    </row>
    <row r="194" spans="12:12" x14ac:dyDescent="0.3">
      <c r="L194" s="196"/>
    </row>
    <row r="195" spans="12:12" x14ac:dyDescent="0.3">
      <c r="L195" s="196"/>
    </row>
    <row r="196" spans="12:12" x14ac:dyDescent="0.3">
      <c r="L196" s="196"/>
    </row>
    <row r="197" spans="12:12" x14ac:dyDescent="0.3">
      <c r="L197" s="196"/>
    </row>
    <row r="198" spans="12:12" x14ac:dyDescent="0.3">
      <c r="L198" s="196"/>
    </row>
    <row r="199" spans="12:12" x14ac:dyDescent="0.3">
      <c r="L199" s="196"/>
    </row>
    <row r="200" spans="12:12" x14ac:dyDescent="0.3">
      <c r="L200" s="196"/>
    </row>
    <row r="201" spans="12:12" x14ac:dyDescent="0.3">
      <c r="L201" s="196"/>
    </row>
    <row r="202" spans="12:12" x14ac:dyDescent="0.3">
      <c r="L202" s="196"/>
    </row>
    <row r="203" spans="12:12" x14ac:dyDescent="0.3">
      <c r="L203" s="196"/>
    </row>
    <row r="204" spans="12:12" x14ac:dyDescent="0.3">
      <c r="L204" s="196"/>
    </row>
    <row r="205" spans="12:12" x14ac:dyDescent="0.3">
      <c r="L205" s="196"/>
    </row>
    <row r="206" spans="12:12" x14ac:dyDescent="0.3">
      <c r="L206" s="196"/>
    </row>
    <row r="207" spans="12:12" x14ac:dyDescent="0.3">
      <c r="L207" s="196"/>
    </row>
    <row r="208" spans="12:12" x14ac:dyDescent="0.3">
      <c r="L208" s="196"/>
    </row>
    <row r="209" spans="12:12" x14ac:dyDescent="0.3">
      <c r="L209" s="196"/>
    </row>
    <row r="210" spans="12:12" x14ac:dyDescent="0.3">
      <c r="L210" s="196"/>
    </row>
    <row r="211" spans="12:12" x14ac:dyDescent="0.3">
      <c r="L211" s="196"/>
    </row>
    <row r="212" spans="12:12" x14ac:dyDescent="0.3">
      <c r="L212" s="196"/>
    </row>
    <row r="213" spans="12:12" x14ac:dyDescent="0.3">
      <c r="L213" s="196"/>
    </row>
    <row r="214" spans="12:12" x14ac:dyDescent="0.3">
      <c r="L214" s="196"/>
    </row>
    <row r="215" spans="12:12" x14ac:dyDescent="0.3">
      <c r="L215" s="196"/>
    </row>
    <row r="216" spans="12:12" x14ac:dyDescent="0.3">
      <c r="L216" s="196"/>
    </row>
    <row r="217" spans="12:12" x14ac:dyDescent="0.3">
      <c r="L217" s="196"/>
    </row>
    <row r="218" spans="12:12" x14ac:dyDescent="0.3">
      <c r="L218" s="196"/>
    </row>
    <row r="219" spans="12:12" x14ac:dyDescent="0.3">
      <c r="L219" s="196"/>
    </row>
    <row r="220" spans="12:12" x14ac:dyDescent="0.3">
      <c r="L220" s="196"/>
    </row>
    <row r="221" spans="12:12" x14ac:dyDescent="0.3">
      <c r="L221" s="196"/>
    </row>
    <row r="222" spans="12:12" x14ac:dyDescent="0.3">
      <c r="L222" s="196"/>
    </row>
    <row r="223" spans="12:12" x14ac:dyDescent="0.3">
      <c r="L223" s="196"/>
    </row>
    <row r="224" spans="12:12" x14ac:dyDescent="0.3">
      <c r="L224" s="196"/>
    </row>
    <row r="225" spans="12:12" x14ac:dyDescent="0.3">
      <c r="L225" s="196"/>
    </row>
    <row r="226" spans="12:12" x14ac:dyDescent="0.3">
      <c r="L226" s="196"/>
    </row>
    <row r="227" spans="12:12" x14ac:dyDescent="0.3">
      <c r="L227" s="196"/>
    </row>
    <row r="228" spans="12:12" x14ac:dyDescent="0.3">
      <c r="L228" s="196"/>
    </row>
    <row r="229" spans="12:12" x14ac:dyDescent="0.3">
      <c r="L229" s="196"/>
    </row>
    <row r="230" spans="12:12" x14ac:dyDescent="0.3">
      <c r="L230" s="196"/>
    </row>
    <row r="231" spans="12:12" x14ac:dyDescent="0.3">
      <c r="L231" s="196"/>
    </row>
    <row r="232" spans="12:12" x14ac:dyDescent="0.3">
      <c r="L232" s="196"/>
    </row>
    <row r="233" spans="12:12" x14ac:dyDescent="0.3">
      <c r="L233" s="196"/>
    </row>
    <row r="234" spans="12:12" x14ac:dyDescent="0.3">
      <c r="L234" s="196"/>
    </row>
    <row r="235" spans="12:12" x14ac:dyDescent="0.3">
      <c r="L235" s="196"/>
    </row>
    <row r="236" spans="12:12" x14ac:dyDescent="0.3">
      <c r="L236" s="196"/>
    </row>
    <row r="237" spans="12:12" x14ac:dyDescent="0.3">
      <c r="L237" s="196"/>
    </row>
    <row r="238" spans="12:12" x14ac:dyDescent="0.3">
      <c r="L238" s="196"/>
    </row>
    <row r="239" spans="12:12" x14ac:dyDescent="0.3">
      <c r="L239" s="196"/>
    </row>
    <row r="240" spans="12:12" x14ac:dyDescent="0.3">
      <c r="L240" s="196"/>
    </row>
    <row r="241" spans="12:12" x14ac:dyDescent="0.3">
      <c r="L241" s="196"/>
    </row>
    <row r="242" spans="12:12" x14ac:dyDescent="0.3">
      <c r="L242" s="196"/>
    </row>
    <row r="243" spans="12:12" x14ac:dyDescent="0.3">
      <c r="L243" s="196"/>
    </row>
    <row r="244" spans="12:12" x14ac:dyDescent="0.3">
      <c r="L244" s="196"/>
    </row>
    <row r="245" spans="12:12" x14ac:dyDescent="0.3">
      <c r="L245" s="196"/>
    </row>
    <row r="246" spans="12:12" x14ac:dyDescent="0.3">
      <c r="L246" s="196"/>
    </row>
    <row r="247" spans="12:12" x14ac:dyDescent="0.3">
      <c r="L247" s="196"/>
    </row>
    <row r="248" spans="12:12" x14ac:dyDescent="0.3">
      <c r="L248" s="196"/>
    </row>
    <row r="249" spans="12:12" x14ac:dyDescent="0.3">
      <c r="L249" s="196"/>
    </row>
    <row r="250" spans="12:12" x14ac:dyDescent="0.3">
      <c r="L250" s="196"/>
    </row>
    <row r="251" spans="12:12" x14ac:dyDescent="0.3">
      <c r="L251" s="196"/>
    </row>
    <row r="252" spans="12:12" x14ac:dyDescent="0.3">
      <c r="L252" s="196"/>
    </row>
    <row r="253" spans="12:12" x14ac:dyDescent="0.3">
      <c r="L253" s="196"/>
    </row>
    <row r="254" spans="12:12" x14ac:dyDescent="0.3">
      <c r="L254" s="196"/>
    </row>
    <row r="255" spans="12:12" x14ac:dyDescent="0.3">
      <c r="L255" s="196"/>
    </row>
  </sheetData>
  <mergeCells count="2">
    <mergeCell ref="R3:S3"/>
    <mergeCell ref="U3:V3"/>
  </mergeCells>
  <conditionalFormatting sqref="AM32:AP36 Q32:Q36 N32:N36">
    <cfRule type="expression" dxfId="183" priority="12">
      <formula>$L32="API sand"</formula>
    </cfRule>
  </conditionalFormatting>
  <conditionalFormatting sqref="R32:S36 AB32:AB35 AJ32:AL36 Z32:Z36 N32:N36">
    <cfRule type="expression" dxfId="182" priority="11">
      <formula>$M32="API sand"</formula>
    </cfRule>
  </conditionalFormatting>
  <conditionalFormatting sqref="R32:T36 Z32:AB35 AK32:AL36 N32:N36">
    <cfRule type="expression" dxfId="181" priority="10">
      <formula>$M32="API clay"</formula>
    </cfRule>
  </conditionalFormatting>
  <conditionalFormatting sqref="U32:W36 AM32:AP36 N32:P36">
    <cfRule type="expression" dxfId="180" priority="7">
      <formula>$L32="Stiff clay w/o free water"</formula>
    </cfRule>
    <cfRule type="expression" dxfId="179" priority="9">
      <formula>$L32="API clay"</formula>
    </cfRule>
  </conditionalFormatting>
  <conditionalFormatting sqref="U32:Y36 AM32:AP36 N32:P36">
    <cfRule type="expression" dxfId="178" priority="8">
      <formula>$L32="Kirsch soft clay"</formula>
    </cfRule>
  </conditionalFormatting>
  <conditionalFormatting sqref="U32:Y36 AM32:AP36 N32:P36">
    <cfRule type="expression" dxfId="177" priority="6">
      <formula>$L32="Kirsch stiff clay"</formula>
    </cfRule>
  </conditionalFormatting>
  <conditionalFormatting sqref="AM32:AP36 Q32:Q36 X32:Y36 N32:N36">
    <cfRule type="expression" dxfId="176" priority="5">
      <formula>$L32="Kirsch sand"</formula>
    </cfRule>
  </conditionalFormatting>
  <conditionalFormatting sqref="AC32:AD36 AI32:AI36 AM32:AP36 N32:N36">
    <cfRule type="expression" dxfId="175" priority="4">
      <formula>$L32="Modified Weak rock"</formula>
    </cfRule>
  </conditionalFormatting>
  <conditionalFormatting sqref="AM32:AP36 N32:P36 U32:V36">
    <cfRule type="expression" dxfId="174" priority="3">
      <formula>$L32="Reese stiff clay"</formula>
    </cfRule>
  </conditionalFormatting>
  <conditionalFormatting sqref="AB36">
    <cfRule type="expression" dxfId="173" priority="2">
      <formula>$M36="API sand"</formula>
    </cfRule>
  </conditionalFormatting>
  <conditionalFormatting sqref="Z36:AB36">
    <cfRule type="expression" dxfId="172" priority="1">
      <formula>$M36="API clay"</formula>
    </cfRule>
  </conditionalFormatting>
  <conditionalFormatting sqref="AE37:AH37">
    <cfRule type="expression" dxfId="171" priority="13">
      <formula>#REF!="Modified Weak rock"</formula>
    </cfRule>
  </conditionalFormatting>
  <dataValidations count="3">
    <dataValidation showInputMessage="1" showErrorMessage="1" sqref="L6:M31" xr:uid="{2E435804-94E7-4832-BCFA-7EBF417E3A8B}"/>
    <dataValidation type="list" showInputMessage="1" showErrorMessage="1" sqref="L32:L255" xr:uid="{69C57A77-579D-407D-A983-42C6F61D9D50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32:M36" xr:uid="{0C479E92-A354-4489-BE55-1B21AC70D13C}">
      <formula1>"',API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1BE14-B20B-4DDC-B324-3C52E4B51EBB}">
  <sheetPr>
    <tabColor rgb="FF00B050"/>
  </sheetPr>
  <dimension ref="A1:CH255"/>
  <sheetViews>
    <sheetView topLeftCell="A4" zoomScale="55" zoomScaleNormal="55" workbookViewId="0">
      <selection activeCell="B11" sqref="B11"/>
    </sheetView>
  </sheetViews>
  <sheetFormatPr defaultColWidth="9.33203125" defaultRowHeight="14.4" x14ac:dyDescent="0.3"/>
  <cols>
    <col min="1" max="1" width="18" style="152" bestFit="1" customWidth="1"/>
    <col min="2" max="2" width="13.6640625" style="152" customWidth="1"/>
    <col min="3" max="3" width="13.5546875" style="152" customWidth="1"/>
    <col min="4" max="5" width="14" style="152" customWidth="1"/>
    <col min="6" max="6" width="13" style="152" bestFit="1" customWidth="1"/>
    <col min="7" max="7" width="13.5546875" style="152" customWidth="1"/>
    <col min="8" max="8" width="11" style="152" bestFit="1" customWidth="1"/>
    <col min="9" max="9" width="15.6640625" style="152" bestFit="1" customWidth="1"/>
    <col min="10" max="10" width="10.33203125" style="152" customWidth="1"/>
    <col min="11" max="11" width="11.5546875" style="152" bestFit="1" customWidth="1"/>
    <col min="12" max="12" width="22.5546875" style="152" customWidth="1"/>
    <col min="13" max="13" width="11.6640625" style="152" bestFit="1" customWidth="1"/>
    <col min="14" max="14" width="11" style="152" bestFit="1" customWidth="1"/>
    <col min="15" max="15" width="9.33203125" style="152" customWidth="1"/>
    <col min="16" max="16" width="10.5546875" style="152" customWidth="1"/>
    <col min="17" max="18" width="9.5546875" style="152" bestFit="1" customWidth="1"/>
    <col min="19" max="20" width="6.5546875" style="152" customWidth="1"/>
    <col min="21" max="21" width="13.33203125" style="152" customWidth="1"/>
    <col min="22" max="22" width="19.44140625" style="152" customWidth="1"/>
    <col min="23" max="23" width="6.5546875" style="152" customWidth="1"/>
    <col min="24" max="24" width="11.6640625" style="152" customWidth="1"/>
    <col min="25" max="25" width="8.44140625" style="152" bestFit="1" customWidth="1"/>
    <col min="26" max="26" width="11.6640625" style="152" customWidth="1"/>
    <col min="27" max="27" width="11" style="152" bestFit="1" customWidth="1"/>
    <col min="28" max="28" width="10.5546875" style="152" customWidth="1"/>
    <col min="29" max="29" width="14.6640625" style="152" customWidth="1"/>
    <col min="30" max="30" width="11.6640625" style="152" customWidth="1"/>
    <col min="31" max="31" width="10.33203125" style="152" customWidth="1"/>
    <col min="32" max="32" width="8.33203125" style="152" customWidth="1"/>
    <col min="33" max="33" width="13.6640625" style="152" customWidth="1"/>
    <col min="34" max="34" width="8.44140625" style="152" customWidth="1"/>
    <col min="35" max="35" width="7.6640625" style="152" customWidth="1"/>
    <col min="36" max="36" width="8.5546875" style="152" customWidth="1"/>
    <col min="37" max="37" width="11.33203125" style="152" bestFit="1" customWidth="1"/>
    <col min="38" max="38" width="11.44140625" style="152" bestFit="1" customWidth="1"/>
    <col min="39" max="39" width="11.6640625" style="152" bestFit="1" customWidth="1"/>
    <col min="40" max="40" width="11.5546875" style="152" bestFit="1" customWidth="1"/>
    <col min="41" max="42" width="11.5546875" style="152" customWidth="1"/>
    <col min="43" max="16384" width="9.33203125" style="152"/>
  </cols>
  <sheetData>
    <row r="1" spans="1:86" x14ac:dyDescent="0.3">
      <c r="A1" s="151" t="str">
        <f ca="1">TRIM(MID(CELL("filename",A1),FIND("]",CELL("filename",A1),1)+1,255))</f>
        <v>U05_AYBR_GHS_L42</v>
      </c>
      <c r="D1" s="151"/>
    </row>
    <row r="3" spans="1:86" s="153" customFormat="1" ht="45" customHeight="1" x14ac:dyDescent="0.3">
      <c r="F3" s="154" t="s">
        <v>37</v>
      </c>
      <c r="J3" s="155" t="s">
        <v>22</v>
      </c>
      <c r="Q3" s="202"/>
      <c r="R3" s="237"/>
      <c r="S3" s="237"/>
      <c r="T3" s="202"/>
      <c r="U3" s="237"/>
      <c r="V3" s="237"/>
      <c r="W3" s="202"/>
      <c r="X3" s="157"/>
      <c r="Y3" s="202"/>
      <c r="Z3" s="202"/>
      <c r="AA3" s="202"/>
      <c r="AB3" s="202"/>
      <c r="AC3" s="157"/>
      <c r="AD3" s="158"/>
      <c r="AE3" s="158"/>
      <c r="AF3" s="158"/>
      <c r="AG3" s="158"/>
      <c r="AH3" s="158"/>
      <c r="AI3" s="158"/>
      <c r="AJ3" s="202"/>
      <c r="AK3" s="202"/>
      <c r="AL3" s="202"/>
      <c r="AM3" s="202"/>
      <c r="AN3" s="202"/>
      <c r="AO3" s="202"/>
      <c r="AP3" s="202"/>
      <c r="AW3" s="153" t="s">
        <v>491</v>
      </c>
    </row>
    <row r="4" spans="1:86" x14ac:dyDescent="0.3">
      <c r="A4" s="159" t="s">
        <v>54</v>
      </c>
      <c r="B4" s="152">
        <f>COUNTIF(J:J,"&gt;0")</f>
        <v>14</v>
      </c>
      <c r="C4" s="160" t="s">
        <v>402</v>
      </c>
      <c r="D4" s="161"/>
      <c r="F4" s="152" t="s">
        <v>38</v>
      </c>
      <c r="G4" s="162">
        <v>0</v>
      </c>
      <c r="H4" s="160" t="s">
        <v>28</v>
      </c>
      <c r="I4" s="152" t="s">
        <v>492</v>
      </c>
      <c r="J4" s="161" t="s">
        <v>0</v>
      </c>
      <c r="K4" s="161" t="s">
        <v>3</v>
      </c>
      <c r="L4" s="161" t="s">
        <v>1</v>
      </c>
      <c r="M4" s="161" t="s">
        <v>2</v>
      </c>
      <c r="N4" s="161" t="s">
        <v>6</v>
      </c>
      <c r="O4" s="161" t="s">
        <v>4</v>
      </c>
      <c r="P4" s="161" t="s">
        <v>5</v>
      </c>
      <c r="Q4" s="161" t="s">
        <v>7</v>
      </c>
      <c r="R4" s="161" t="s">
        <v>13</v>
      </c>
      <c r="S4" s="161" t="s">
        <v>65</v>
      </c>
      <c r="T4" s="161" t="s">
        <v>14</v>
      </c>
      <c r="U4" s="161" t="s">
        <v>8</v>
      </c>
      <c r="V4" s="161" t="s">
        <v>9</v>
      </c>
      <c r="W4" s="161" t="s">
        <v>10</v>
      </c>
      <c r="X4" s="161" t="s">
        <v>67</v>
      </c>
      <c r="Y4" s="161" t="s">
        <v>71</v>
      </c>
      <c r="Z4" s="161" t="s">
        <v>15</v>
      </c>
      <c r="AA4" s="161" t="s">
        <v>16</v>
      </c>
      <c r="AB4" s="161" t="s">
        <v>17</v>
      </c>
      <c r="AC4" s="161" t="s">
        <v>11</v>
      </c>
      <c r="AD4" s="161" t="s">
        <v>12</v>
      </c>
      <c r="AE4" s="161" t="s">
        <v>18</v>
      </c>
      <c r="AF4" s="161" t="s">
        <v>19</v>
      </c>
      <c r="AG4" s="161" t="s">
        <v>408</v>
      </c>
      <c r="AH4" s="161" t="s">
        <v>20</v>
      </c>
      <c r="AI4" s="161" t="s">
        <v>21</v>
      </c>
      <c r="AJ4" s="161" t="s">
        <v>59</v>
      </c>
      <c r="AK4" s="161" t="s">
        <v>64</v>
      </c>
      <c r="AL4" s="161" t="s">
        <v>68</v>
      </c>
      <c r="AM4" s="161" t="s">
        <v>69</v>
      </c>
      <c r="AN4" s="161" t="s">
        <v>70</v>
      </c>
      <c r="AO4" s="161" t="s">
        <v>407</v>
      </c>
      <c r="AP4" s="161" t="s">
        <v>406</v>
      </c>
      <c r="AQ4" s="163" t="s">
        <v>405</v>
      </c>
      <c r="AR4" s="161" t="s">
        <v>404</v>
      </c>
      <c r="AS4" s="152" t="s">
        <v>403</v>
      </c>
      <c r="AT4" s="152" t="s">
        <v>1810</v>
      </c>
    </row>
    <row r="5" spans="1:86" ht="93.6" x14ac:dyDescent="0.3">
      <c r="A5" s="152" t="s">
        <v>55</v>
      </c>
      <c r="B5" s="152">
        <f ca="1">COUNTIF(A:A,"&gt;0")</f>
        <v>1</v>
      </c>
      <c r="C5" s="160" t="s">
        <v>402</v>
      </c>
      <c r="F5" s="152" t="s">
        <v>39</v>
      </c>
      <c r="G5" s="162">
        <v>0</v>
      </c>
      <c r="H5" s="160" t="s">
        <v>28</v>
      </c>
      <c r="J5" s="164" t="s">
        <v>36</v>
      </c>
      <c r="K5" s="164" t="s">
        <v>29</v>
      </c>
      <c r="L5" s="164" t="s">
        <v>30</v>
      </c>
      <c r="M5" s="164" t="s">
        <v>30</v>
      </c>
      <c r="N5" s="164" t="s">
        <v>31</v>
      </c>
      <c r="O5" s="164" t="s">
        <v>32</v>
      </c>
      <c r="P5" s="164" t="s">
        <v>34</v>
      </c>
      <c r="Q5" s="164" t="s">
        <v>35</v>
      </c>
      <c r="R5" s="164" t="s">
        <v>35</v>
      </c>
      <c r="S5" s="164" t="s">
        <v>33</v>
      </c>
      <c r="T5" s="164" t="s">
        <v>32</v>
      </c>
      <c r="U5" s="164" t="s">
        <v>33</v>
      </c>
      <c r="V5" s="164" t="s">
        <v>401</v>
      </c>
      <c r="W5" s="164" t="s">
        <v>33</v>
      </c>
      <c r="X5" s="164" t="s">
        <v>32</v>
      </c>
      <c r="Y5" s="164" t="s">
        <v>34</v>
      </c>
      <c r="Z5" s="164" t="s">
        <v>32</v>
      </c>
      <c r="AA5" s="164" t="s">
        <v>33</v>
      </c>
      <c r="AB5" s="164" t="s">
        <v>32</v>
      </c>
      <c r="AC5" s="164" t="s">
        <v>32</v>
      </c>
      <c r="AD5" s="164" t="s">
        <v>34</v>
      </c>
      <c r="AE5" s="164" t="s">
        <v>33</v>
      </c>
      <c r="AF5" s="164" t="s">
        <v>32</v>
      </c>
      <c r="AG5" s="164" t="s">
        <v>34</v>
      </c>
      <c r="AH5" s="164" t="s">
        <v>33</v>
      </c>
      <c r="AI5" s="164" t="s">
        <v>33</v>
      </c>
      <c r="AJ5" s="164" t="s">
        <v>33</v>
      </c>
      <c r="AK5" s="164" t="s">
        <v>33</v>
      </c>
      <c r="AL5" s="164" t="s">
        <v>33</v>
      </c>
      <c r="AM5" s="164" t="s">
        <v>33</v>
      </c>
      <c r="AN5" s="164" t="s">
        <v>33</v>
      </c>
      <c r="AO5" s="164" t="s">
        <v>33</v>
      </c>
      <c r="AP5" s="164" t="s">
        <v>33</v>
      </c>
      <c r="AQ5" s="164" t="s">
        <v>400</v>
      </c>
      <c r="AR5" s="164" t="s">
        <v>399</v>
      </c>
      <c r="AW5" s="165" t="s">
        <v>493</v>
      </c>
      <c r="AX5" s="165" t="s">
        <v>494</v>
      </c>
      <c r="AY5" s="165" t="s">
        <v>495</v>
      </c>
      <c r="AZ5" s="165" t="s">
        <v>496</v>
      </c>
      <c r="BA5" s="165" t="s">
        <v>497</v>
      </c>
      <c r="BB5" s="165" t="s">
        <v>498</v>
      </c>
      <c r="BC5" s="165" t="s">
        <v>499</v>
      </c>
      <c r="BD5" s="165" t="s">
        <v>500</v>
      </c>
      <c r="BE5" s="165" t="s">
        <v>501</v>
      </c>
      <c r="BF5" s="165" t="s">
        <v>502</v>
      </c>
      <c r="BG5" s="165" t="s">
        <v>503</v>
      </c>
      <c r="BH5" s="165" t="s">
        <v>504</v>
      </c>
      <c r="BI5" s="165" t="s">
        <v>505</v>
      </c>
      <c r="BJ5" s="165" t="s">
        <v>506</v>
      </c>
      <c r="BK5" s="165" t="s">
        <v>507</v>
      </c>
      <c r="BL5" s="165" t="s">
        <v>508</v>
      </c>
      <c r="BM5" s="165" t="s">
        <v>509</v>
      </c>
      <c r="BN5" s="165" t="s">
        <v>510</v>
      </c>
      <c r="BO5" s="165" t="s">
        <v>511</v>
      </c>
      <c r="BP5" s="165" t="s">
        <v>512</v>
      </c>
      <c r="BQ5" s="165" t="s">
        <v>513</v>
      </c>
      <c r="BR5" s="165" t="s">
        <v>514</v>
      </c>
      <c r="BS5" s="165" t="s">
        <v>515</v>
      </c>
      <c r="BT5" s="165" t="s">
        <v>516</v>
      </c>
      <c r="BU5" s="165" t="s">
        <v>517</v>
      </c>
      <c r="BV5" s="165" t="s">
        <v>518</v>
      </c>
      <c r="BW5" s="165" t="s">
        <v>519</v>
      </c>
      <c r="BX5" s="165" t="s">
        <v>520</v>
      </c>
      <c r="BY5" s="165" t="s">
        <v>521</v>
      </c>
      <c r="BZ5" s="165" t="s">
        <v>522</v>
      </c>
      <c r="CA5" s="165" t="s">
        <v>523</v>
      </c>
      <c r="CB5" s="165" t="s">
        <v>524</v>
      </c>
      <c r="CC5" s="165" t="s">
        <v>525</v>
      </c>
      <c r="CD5" s="165" t="s">
        <v>526</v>
      </c>
      <c r="CE5" s="165" t="s">
        <v>527</v>
      </c>
      <c r="CF5" s="165" t="s">
        <v>528</v>
      </c>
      <c r="CG5" s="165" t="s">
        <v>529</v>
      </c>
      <c r="CH5" s="165" t="s">
        <v>530</v>
      </c>
    </row>
    <row r="6" spans="1:86" x14ac:dyDescent="0.3">
      <c r="C6" s="160"/>
      <c r="F6" s="152" t="s">
        <v>60</v>
      </c>
      <c r="G6" s="166"/>
      <c r="H6" s="160" t="s">
        <v>28</v>
      </c>
      <c r="I6" s="152" t="str">
        <f t="shared" ref="I6:I19" ca="1" si="0">IF(OFFSET($AX$6,(ROW()-6)*2,0)=0,"",OFFSET($AX$6,(ROW()-6)*2,0))</f>
        <v>SS1</v>
      </c>
      <c r="J6" s="167">
        <f>1</f>
        <v>1</v>
      </c>
      <c r="K6" s="168">
        <v>0</v>
      </c>
      <c r="L6" s="169" t="s">
        <v>1781</v>
      </c>
      <c r="M6" s="67" t="s">
        <v>57</v>
      </c>
      <c r="N6" s="167">
        <v>9.6000000000000014</v>
      </c>
      <c r="O6" s="170">
        <v>0</v>
      </c>
      <c r="P6" s="170">
        <v>0</v>
      </c>
      <c r="Q6" s="167">
        <v>39</v>
      </c>
      <c r="R6" s="167">
        <v>34</v>
      </c>
      <c r="S6" s="167">
        <v>0.3</v>
      </c>
      <c r="T6" s="167">
        <v>0</v>
      </c>
      <c r="U6" s="171">
        <v>0</v>
      </c>
      <c r="V6" s="171">
        <v>0</v>
      </c>
      <c r="W6" s="167">
        <v>0.5</v>
      </c>
      <c r="X6" s="167">
        <v>19400</v>
      </c>
      <c r="Y6" s="167">
        <v>0</v>
      </c>
      <c r="Z6" s="167">
        <v>111.19999999999996</v>
      </c>
      <c r="AA6" s="167">
        <v>1</v>
      </c>
      <c r="AB6" s="167">
        <v>11520</v>
      </c>
      <c r="AC6" s="170">
        <v>2000</v>
      </c>
      <c r="AD6" s="172">
        <v>57000</v>
      </c>
      <c r="AE6" s="170">
        <v>0.3</v>
      </c>
      <c r="AF6" s="170">
        <v>0</v>
      </c>
      <c r="AG6" s="170">
        <v>0</v>
      </c>
      <c r="AH6" s="170">
        <v>0</v>
      </c>
      <c r="AI6" s="170">
        <v>0</v>
      </c>
      <c r="AJ6" s="167">
        <v>48.000000000000007</v>
      </c>
      <c r="AK6" s="167">
        <v>1</v>
      </c>
      <c r="AL6" s="167">
        <v>1</v>
      </c>
      <c r="AM6" s="167">
        <v>1</v>
      </c>
      <c r="AN6" s="167">
        <v>1</v>
      </c>
      <c r="AO6" s="167">
        <v>1</v>
      </c>
      <c r="AP6" s="167">
        <v>1</v>
      </c>
      <c r="AQ6" s="167">
        <v>0</v>
      </c>
      <c r="AR6" s="167">
        <v>100</v>
      </c>
      <c r="AS6" s="204">
        <v>0.45</v>
      </c>
      <c r="AW6" s="174">
        <v>0</v>
      </c>
      <c r="AX6" s="174" t="s">
        <v>533</v>
      </c>
      <c r="AY6" s="174">
        <v>24</v>
      </c>
      <c r="AZ6" s="174">
        <v>19.600000000000001</v>
      </c>
      <c r="BA6" s="174"/>
      <c r="BB6" s="174">
        <v>3</v>
      </c>
      <c r="BC6" s="174"/>
      <c r="BD6" s="174"/>
      <c r="BE6" s="174">
        <v>0</v>
      </c>
      <c r="BF6" s="174">
        <v>0</v>
      </c>
      <c r="BG6" s="174">
        <v>0</v>
      </c>
      <c r="BH6" s="174">
        <v>0</v>
      </c>
      <c r="BI6" s="174">
        <v>0</v>
      </c>
      <c r="BJ6" s="174">
        <v>0.01</v>
      </c>
      <c r="BK6" s="174">
        <v>0.01</v>
      </c>
      <c r="BL6" s="174">
        <v>0.01</v>
      </c>
      <c r="BM6" s="174">
        <v>0.01</v>
      </c>
      <c r="BN6" s="174">
        <v>0.01</v>
      </c>
      <c r="BO6" s="174"/>
      <c r="BP6" s="174"/>
      <c r="BQ6" s="174"/>
      <c r="BR6" s="174"/>
      <c r="BS6" s="174"/>
      <c r="BT6" s="174">
        <v>100</v>
      </c>
      <c r="BU6" s="174">
        <v>30</v>
      </c>
      <c r="BV6" s="174">
        <v>39</v>
      </c>
      <c r="BW6" s="174">
        <v>44</v>
      </c>
      <c r="BX6" s="174">
        <v>47</v>
      </c>
      <c r="BY6" s="174">
        <v>47</v>
      </c>
      <c r="BZ6" s="174">
        <v>0</v>
      </c>
      <c r="CA6" s="174">
        <v>0</v>
      </c>
      <c r="CB6" s="174">
        <v>2</v>
      </c>
      <c r="CC6" s="174">
        <v>8</v>
      </c>
      <c r="CD6" s="174">
        <v>20</v>
      </c>
      <c r="CE6" s="174">
        <v>19.399999999999999</v>
      </c>
      <c r="CF6" s="174">
        <v>1</v>
      </c>
      <c r="CG6" s="174">
        <v>0.3</v>
      </c>
      <c r="CH6" s="175">
        <v>3.0431480019541849E-3</v>
      </c>
    </row>
    <row r="7" spans="1:86" x14ac:dyDescent="0.3">
      <c r="A7" s="176" t="s">
        <v>23</v>
      </c>
      <c r="C7" s="160"/>
      <c r="F7" s="177" t="s">
        <v>44</v>
      </c>
      <c r="G7" s="178"/>
      <c r="H7" s="158"/>
      <c r="I7" s="152" t="str">
        <f t="shared" ca="1" si="0"/>
        <v>SS1</v>
      </c>
      <c r="J7" s="167">
        <v>2</v>
      </c>
      <c r="K7" s="168">
        <f ca="1">IF(OFFSET($AW$6,(ROW()-6)*2,0)=0,"",-OFFSET($AW$6,(ROW()-6)*2,0))</f>
        <v>-1</v>
      </c>
      <c r="L7" s="169" t="s">
        <v>1787</v>
      </c>
      <c r="M7" s="67" t="s">
        <v>57</v>
      </c>
      <c r="N7" s="167">
        <v>9.6000000000000014</v>
      </c>
      <c r="O7" s="170">
        <v>0</v>
      </c>
      <c r="P7" s="170">
        <v>0</v>
      </c>
      <c r="Q7" s="167">
        <v>41</v>
      </c>
      <c r="R7" s="167">
        <v>36</v>
      </c>
      <c r="S7" s="167">
        <v>0.3</v>
      </c>
      <c r="T7" s="167">
        <v>0</v>
      </c>
      <c r="U7" s="171">
        <v>0</v>
      </c>
      <c r="V7" s="171">
        <v>0</v>
      </c>
      <c r="W7" s="167">
        <v>0.5</v>
      </c>
      <c r="X7" s="167">
        <v>48200</v>
      </c>
      <c r="Y7" s="167">
        <v>0</v>
      </c>
      <c r="Z7" s="167">
        <v>114.99999999999996</v>
      </c>
      <c r="AA7" s="167">
        <v>1</v>
      </c>
      <c r="AB7" s="167">
        <v>12000</v>
      </c>
      <c r="AC7" s="170">
        <v>56000</v>
      </c>
      <c r="AD7" s="172">
        <v>35000</v>
      </c>
      <c r="AE7" s="170">
        <v>0.3</v>
      </c>
      <c r="AF7" s="170">
        <v>0</v>
      </c>
      <c r="AG7" s="170">
        <v>0</v>
      </c>
      <c r="AH7" s="170">
        <v>0</v>
      </c>
      <c r="AI7" s="170">
        <v>0</v>
      </c>
      <c r="AJ7" s="167">
        <v>50.000000000000007</v>
      </c>
      <c r="AK7" s="167">
        <v>1</v>
      </c>
      <c r="AL7" s="167">
        <v>1</v>
      </c>
      <c r="AM7" s="167">
        <v>1</v>
      </c>
      <c r="AN7" s="167">
        <v>1</v>
      </c>
      <c r="AO7" s="167">
        <v>1</v>
      </c>
      <c r="AP7" s="167">
        <v>1</v>
      </c>
      <c r="AQ7" s="167">
        <v>0</v>
      </c>
      <c r="AR7" s="167">
        <v>100</v>
      </c>
      <c r="AS7" s="204">
        <v>0.45</v>
      </c>
      <c r="AW7" s="174">
        <v>1</v>
      </c>
      <c r="AX7" s="174" t="s">
        <v>533</v>
      </c>
      <c r="AY7" s="174">
        <v>24</v>
      </c>
      <c r="AZ7" s="174">
        <v>19.600000000000001</v>
      </c>
      <c r="BA7" s="174"/>
      <c r="BB7" s="174">
        <v>3</v>
      </c>
      <c r="BC7" s="174"/>
      <c r="BD7" s="174"/>
      <c r="BE7" s="174">
        <v>11.1</v>
      </c>
      <c r="BF7" s="174">
        <v>11.8</v>
      </c>
      <c r="BG7" s="174">
        <v>12.3</v>
      </c>
      <c r="BH7" s="174">
        <v>12.7</v>
      </c>
      <c r="BI7" s="174">
        <v>13.4</v>
      </c>
      <c r="BJ7" s="174">
        <v>4.5900000000000003E-2</v>
      </c>
      <c r="BK7" s="174">
        <v>4.9099999999999998E-2</v>
      </c>
      <c r="BL7" s="174">
        <v>5.1299999999999998E-2</v>
      </c>
      <c r="BM7" s="174">
        <v>5.3600000000000002E-2</v>
      </c>
      <c r="BN7" s="174">
        <v>5.6300000000000003E-2</v>
      </c>
      <c r="BO7" s="174"/>
      <c r="BP7" s="174"/>
      <c r="BQ7" s="174"/>
      <c r="BR7" s="174"/>
      <c r="BS7" s="174"/>
      <c r="BT7" s="174">
        <v>100</v>
      </c>
      <c r="BU7" s="174">
        <v>30</v>
      </c>
      <c r="BV7" s="174">
        <v>39</v>
      </c>
      <c r="BW7" s="174">
        <v>44</v>
      </c>
      <c r="BX7" s="174">
        <v>47</v>
      </c>
      <c r="BY7" s="174">
        <v>47</v>
      </c>
      <c r="BZ7" s="174">
        <v>46</v>
      </c>
      <c r="CA7" s="174">
        <v>53</v>
      </c>
      <c r="CB7" s="174">
        <v>59</v>
      </c>
      <c r="CC7" s="174">
        <v>65</v>
      </c>
      <c r="CD7" s="174">
        <v>78</v>
      </c>
      <c r="CE7" s="174">
        <v>19.399999999999999</v>
      </c>
      <c r="CF7" s="174">
        <v>1</v>
      </c>
      <c r="CG7" s="174">
        <v>0.3</v>
      </c>
      <c r="CH7" s="175">
        <v>3.0431480019541849E-3</v>
      </c>
    </row>
    <row r="8" spans="1:86" x14ac:dyDescent="0.3">
      <c r="A8" s="152" t="s">
        <v>24</v>
      </c>
      <c r="B8" s="162">
        <v>0</v>
      </c>
      <c r="C8" s="160" t="s">
        <v>398</v>
      </c>
      <c r="F8" s="152" t="s">
        <v>45</v>
      </c>
      <c r="G8" s="179">
        <v>32216.600769230768</v>
      </c>
      <c r="H8" s="160" t="s">
        <v>48</v>
      </c>
      <c r="I8" s="152" t="str">
        <f t="shared" ca="1" si="0"/>
        <v>SS1</v>
      </c>
      <c r="J8" s="167">
        <v>3</v>
      </c>
      <c r="K8" s="168">
        <f t="shared" ref="K8:K19" ca="1" si="1">IF(OFFSET($AW$6,(ROW()-6)*2,0)=0,"",-OFFSET($AW$6,(ROW()-6)*2,0))</f>
        <v>-1.8</v>
      </c>
      <c r="L8" s="169" t="s">
        <v>1788</v>
      </c>
      <c r="M8" s="67" t="s">
        <v>57</v>
      </c>
      <c r="N8" s="167">
        <v>9.6000000000000014</v>
      </c>
      <c r="O8" s="170">
        <v>0</v>
      </c>
      <c r="P8" s="170">
        <v>0</v>
      </c>
      <c r="Q8" s="167">
        <v>40</v>
      </c>
      <c r="R8" s="167">
        <v>35</v>
      </c>
      <c r="S8" s="167">
        <v>0.3</v>
      </c>
      <c r="T8" s="167">
        <v>0</v>
      </c>
      <c r="U8" s="171">
        <v>0</v>
      </c>
      <c r="V8" s="171">
        <v>0</v>
      </c>
      <c r="W8" s="167">
        <v>0.5</v>
      </c>
      <c r="X8" s="167">
        <v>48200</v>
      </c>
      <c r="Y8" s="167">
        <v>0</v>
      </c>
      <c r="Z8" s="167">
        <v>114.99999999999996</v>
      </c>
      <c r="AA8" s="167">
        <v>1</v>
      </c>
      <c r="AB8" s="167">
        <v>12000</v>
      </c>
      <c r="AC8" s="170">
        <v>86000</v>
      </c>
      <c r="AD8" s="172">
        <v>15833.333333333334</v>
      </c>
      <c r="AE8" s="170">
        <v>0.3</v>
      </c>
      <c r="AF8" s="170">
        <v>0</v>
      </c>
      <c r="AG8" s="170">
        <v>0</v>
      </c>
      <c r="AH8" s="170">
        <v>0</v>
      </c>
      <c r="AI8" s="170">
        <v>0</v>
      </c>
      <c r="AJ8" s="167">
        <v>50.000000000000007</v>
      </c>
      <c r="AK8" s="167">
        <v>1</v>
      </c>
      <c r="AL8" s="167">
        <v>1</v>
      </c>
      <c r="AM8" s="167">
        <v>1</v>
      </c>
      <c r="AN8" s="167">
        <v>1</v>
      </c>
      <c r="AO8" s="167">
        <v>1</v>
      </c>
      <c r="AP8" s="167">
        <v>1</v>
      </c>
      <c r="AQ8" s="167">
        <v>0</v>
      </c>
      <c r="AR8" s="167">
        <v>100</v>
      </c>
      <c r="AS8" s="204">
        <v>0.45</v>
      </c>
      <c r="AW8" s="174">
        <v>1</v>
      </c>
      <c r="AX8" s="174" t="s">
        <v>533</v>
      </c>
      <c r="AY8" s="174">
        <v>24</v>
      </c>
      <c r="AZ8" s="174">
        <v>19.600000000000001</v>
      </c>
      <c r="BA8" s="174"/>
      <c r="BB8" s="174">
        <v>3</v>
      </c>
      <c r="BC8" s="174"/>
      <c r="BD8" s="174"/>
      <c r="BE8" s="174">
        <v>8.1</v>
      </c>
      <c r="BF8" s="174">
        <v>9.8000000000000007</v>
      </c>
      <c r="BG8" s="174">
        <v>11</v>
      </c>
      <c r="BH8" s="174">
        <v>12.2</v>
      </c>
      <c r="BI8" s="174">
        <v>13.9</v>
      </c>
      <c r="BJ8" s="174">
        <v>4.4999999999999998E-2</v>
      </c>
      <c r="BK8" s="174">
        <v>5.2200000000000003E-2</v>
      </c>
      <c r="BL8" s="174">
        <v>5.7000000000000002E-2</v>
      </c>
      <c r="BM8" s="174">
        <v>6.1899999999999997E-2</v>
      </c>
      <c r="BN8" s="174">
        <v>6.9099999999999995E-2</v>
      </c>
      <c r="BO8" s="174"/>
      <c r="BP8" s="174"/>
      <c r="BQ8" s="174"/>
      <c r="BR8" s="174"/>
      <c r="BS8" s="174"/>
      <c r="BT8" s="174">
        <v>100</v>
      </c>
      <c r="BU8" s="174">
        <v>32</v>
      </c>
      <c r="BV8" s="174">
        <v>41</v>
      </c>
      <c r="BW8" s="174">
        <v>46</v>
      </c>
      <c r="BX8" s="174">
        <v>47</v>
      </c>
      <c r="BY8" s="174">
        <v>47</v>
      </c>
      <c r="BZ8" s="174">
        <v>27</v>
      </c>
      <c r="CA8" s="174">
        <v>43</v>
      </c>
      <c r="CB8" s="174">
        <v>56</v>
      </c>
      <c r="CC8" s="174">
        <v>69</v>
      </c>
      <c r="CD8" s="174">
        <v>98</v>
      </c>
      <c r="CE8" s="174">
        <v>48.2</v>
      </c>
      <c r="CF8" s="174">
        <v>1</v>
      </c>
      <c r="CG8" s="174">
        <v>0.3</v>
      </c>
      <c r="CH8" s="175">
        <v>3.841573861007897E-3</v>
      </c>
    </row>
    <row r="9" spans="1:86" x14ac:dyDescent="0.3">
      <c r="A9" s="152" t="s">
        <v>61</v>
      </c>
      <c r="B9" s="166">
        <v>42</v>
      </c>
      <c r="C9" s="160" t="s">
        <v>28</v>
      </c>
      <c r="D9" s="162">
        <v>32216.600769230768</v>
      </c>
      <c r="F9" s="152" t="s">
        <v>72</v>
      </c>
      <c r="G9" s="180">
        <v>-1288286.5538461499</v>
      </c>
      <c r="H9" s="160" t="s">
        <v>49</v>
      </c>
      <c r="I9" s="152" t="s">
        <v>1811</v>
      </c>
      <c r="J9" s="167">
        <v>4</v>
      </c>
      <c r="K9" s="168">
        <f t="shared" ca="1" si="1"/>
        <v>-3</v>
      </c>
      <c r="L9" s="169" t="s">
        <v>1789</v>
      </c>
      <c r="M9" s="67" t="s">
        <v>57</v>
      </c>
      <c r="N9" s="167">
        <v>8.6999999999999993</v>
      </c>
      <c r="O9" s="170">
        <v>0</v>
      </c>
      <c r="P9" s="170">
        <v>0</v>
      </c>
      <c r="Q9" s="167">
        <v>38</v>
      </c>
      <c r="R9" s="167">
        <v>33</v>
      </c>
      <c r="S9" s="167">
        <v>1.3</v>
      </c>
      <c r="T9" s="167">
        <v>0</v>
      </c>
      <c r="U9" s="171">
        <v>0</v>
      </c>
      <c r="V9" s="171">
        <v>0</v>
      </c>
      <c r="W9" s="167">
        <v>0.5</v>
      </c>
      <c r="X9" s="167">
        <v>30800</v>
      </c>
      <c r="Y9" s="167">
        <v>0</v>
      </c>
      <c r="Z9" s="167">
        <v>107.39999999999996</v>
      </c>
      <c r="AA9" s="167">
        <v>1</v>
      </c>
      <c r="AB9" s="167">
        <v>11040</v>
      </c>
      <c r="AC9" s="170">
        <v>107000</v>
      </c>
      <c r="AD9" s="172">
        <v>7499.9999999999991</v>
      </c>
      <c r="AE9" s="170">
        <v>0.3</v>
      </c>
      <c r="AF9" s="170">
        <v>0</v>
      </c>
      <c r="AG9" s="170">
        <v>0</v>
      </c>
      <c r="AH9" s="170">
        <v>0</v>
      </c>
      <c r="AI9" s="170">
        <v>0</v>
      </c>
      <c r="AJ9" s="167">
        <v>46.000000000000007</v>
      </c>
      <c r="AK9" s="167">
        <v>1</v>
      </c>
      <c r="AL9" s="167">
        <v>1</v>
      </c>
      <c r="AM9" s="167">
        <v>1</v>
      </c>
      <c r="AN9" s="167">
        <v>1</v>
      </c>
      <c r="AO9" s="167">
        <v>1</v>
      </c>
      <c r="AP9" s="167">
        <v>1</v>
      </c>
      <c r="AQ9" s="167">
        <v>0</v>
      </c>
      <c r="AR9" s="167">
        <v>78</v>
      </c>
      <c r="AS9" s="204">
        <v>0.22</v>
      </c>
      <c r="AW9" s="174">
        <v>1.8</v>
      </c>
      <c r="AX9" s="174" t="s">
        <v>533</v>
      </c>
      <c r="AY9" s="174">
        <v>24</v>
      </c>
      <c r="AZ9" s="174">
        <v>19.600000000000001</v>
      </c>
      <c r="BA9" s="174"/>
      <c r="BB9" s="174">
        <v>3</v>
      </c>
      <c r="BC9" s="174"/>
      <c r="BD9" s="174"/>
      <c r="BE9" s="174">
        <v>14.2</v>
      </c>
      <c r="BF9" s="174">
        <v>15.9</v>
      </c>
      <c r="BG9" s="174">
        <v>17.100000000000001</v>
      </c>
      <c r="BH9" s="174">
        <v>18.3</v>
      </c>
      <c r="BI9" s="174">
        <v>20</v>
      </c>
      <c r="BJ9" s="174">
        <v>5.0500000000000003E-2</v>
      </c>
      <c r="BK9" s="174">
        <v>5.7700000000000001E-2</v>
      </c>
      <c r="BL9" s="174">
        <v>6.25E-2</v>
      </c>
      <c r="BM9" s="174">
        <v>6.7400000000000002E-2</v>
      </c>
      <c r="BN9" s="174">
        <v>7.4499999999999997E-2</v>
      </c>
      <c r="BO9" s="174"/>
      <c r="BP9" s="174"/>
      <c r="BQ9" s="174"/>
      <c r="BR9" s="174"/>
      <c r="BS9" s="174"/>
      <c r="BT9" s="174">
        <v>100</v>
      </c>
      <c r="BU9" s="174">
        <v>32</v>
      </c>
      <c r="BV9" s="174">
        <v>41</v>
      </c>
      <c r="BW9" s="174">
        <v>46</v>
      </c>
      <c r="BX9" s="174">
        <v>47</v>
      </c>
      <c r="BY9" s="174">
        <v>47</v>
      </c>
      <c r="BZ9" s="174">
        <v>56</v>
      </c>
      <c r="CA9" s="174">
        <v>71</v>
      </c>
      <c r="CB9" s="174">
        <v>84</v>
      </c>
      <c r="CC9" s="174">
        <v>98</v>
      </c>
      <c r="CD9" s="174">
        <v>126</v>
      </c>
      <c r="CE9" s="174">
        <v>48.2</v>
      </c>
      <c r="CF9" s="174">
        <v>1</v>
      </c>
      <c r="CG9" s="174">
        <v>0.3</v>
      </c>
      <c r="CH9" s="175">
        <v>3.841573861007897E-3</v>
      </c>
    </row>
    <row r="10" spans="1:86" s="178" customFormat="1" x14ac:dyDescent="0.3">
      <c r="A10" s="152" t="s">
        <v>62</v>
      </c>
      <c r="B10" s="181">
        <v>42</v>
      </c>
      <c r="C10" s="160" t="s">
        <v>28</v>
      </c>
      <c r="D10" s="182">
        <v>-1288286.5538461499</v>
      </c>
      <c r="F10" s="152" t="s">
        <v>46</v>
      </c>
      <c r="G10" s="179">
        <v>26855.180923076921</v>
      </c>
      <c r="H10" s="160" t="s">
        <v>48</v>
      </c>
      <c r="I10" s="152" t="s">
        <v>1811</v>
      </c>
      <c r="J10" s="167">
        <v>5</v>
      </c>
      <c r="K10" s="168">
        <f t="shared" ca="1" si="1"/>
        <v>-4.2</v>
      </c>
      <c r="L10" s="169" t="s">
        <v>1790</v>
      </c>
      <c r="M10" s="67" t="s">
        <v>57</v>
      </c>
      <c r="N10" s="167">
        <v>8.6999999999999993</v>
      </c>
      <c r="O10" s="170">
        <v>0</v>
      </c>
      <c r="P10" s="170">
        <v>0</v>
      </c>
      <c r="Q10" s="167">
        <v>38</v>
      </c>
      <c r="R10" s="167">
        <v>33</v>
      </c>
      <c r="S10" s="167">
        <v>1.2</v>
      </c>
      <c r="T10" s="167">
        <v>0</v>
      </c>
      <c r="U10" s="171">
        <v>0</v>
      </c>
      <c r="V10" s="171">
        <v>0</v>
      </c>
      <c r="W10" s="167">
        <v>0.5</v>
      </c>
      <c r="X10" s="167">
        <v>35100</v>
      </c>
      <c r="Y10" s="167">
        <v>0</v>
      </c>
      <c r="Z10" s="167">
        <v>107.39999999999996</v>
      </c>
      <c r="AA10" s="167">
        <v>1</v>
      </c>
      <c r="AB10" s="167">
        <v>11040</v>
      </c>
      <c r="AC10" s="170">
        <v>114000</v>
      </c>
      <c r="AD10" s="172">
        <v>32499.999999999993</v>
      </c>
      <c r="AE10" s="170">
        <v>0.3</v>
      </c>
      <c r="AF10" s="170">
        <v>0</v>
      </c>
      <c r="AG10" s="170">
        <v>0</v>
      </c>
      <c r="AH10" s="170">
        <v>0</v>
      </c>
      <c r="AI10" s="170">
        <v>0</v>
      </c>
      <c r="AJ10" s="167">
        <v>46.000000000000007</v>
      </c>
      <c r="AK10" s="167">
        <v>1</v>
      </c>
      <c r="AL10" s="167">
        <v>1</v>
      </c>
      <c r="AM10" s="167">
        <v>1</v>
      </c>
      <c r="AN10" s="167">
        <v>1</v>
      </c>
      <c r="AO10" s="167">
        <v>1</v>
      </c>
      <c r="AP10" s="167">
        <v>1</v>
      </c>
      <c r="AQ10" s="167">
        <v>0</v>
      </c>
      <c r="AR10" s="167">
        <v>80</v>
      </c>
      <c r="AS10" s="204">
        <v>0.22</v>
      </c>
      <c r="AW10" s="174">
        <v>1.8</v>
      </c>
      <c r="AX10" s="174" t="s">
        <v>533</v>
      </c>
      <c r="AY10" s="174">
        <v>24</v>
      </c>
      <c r="AZ10" s="174">
        <v>19.600000000000001</v>
      </c>
      <c r="BA10" s="174"/>
      <c r="BB10" s="174">
        <v>3</v>
      </c>
      <c r="BC10" s="174"/>
      <c r="BD10" s="174"/>
      <c r="BE10" s="174">
        <v>14.4</v>
      </c>
      <c r="BF10" s="174">
        <v>16.600000000000001</v>
      </c>
      <c r="BG10" s="174">
        <v>18.2</v>
      </c>
      <c r="BH10" s="174">
        <v>19.8</v>
      </c>
      <c r="BI10" s="174">
        <v>21.3</v>
      </c>
      <c r="BJ10" s="174">
        <v>6.1499999999999999E-2</v>
      </c>
      <c r="BK10" s="174">
        <v>6.9400000000000003E-2</v>
      </c>
      <c r="BL10" s="174">
        <v>7.4800000000000005E-2</v>
      </c>
      <c r="BM10" s="174">
        <v>8.0100000000000005E-2</v>
      </c>
      <c r="BN10" s="174">
        <v>8.8800000000000004E-2</v>
      </c>
      <c r="BO10" s="174"/>
      <c r="BP10" s="174"/>
      <c r="BQ10" s="174"/>
      <c r="BR10" s="174"/>
      <c r="BS10" s="174"/>
      <c r="BT10" s="174">
        <v>100</v>
      </c>
      <c r="BU10" s="174">
        <v>31</v>
      </c>
      <c r="BV10" s="174">
        <v>40</v>
      </c>
      <c r="BW10" s="174">
        <v>45</v>
      </c>
      <c r="BX10" s="174">
        <v>47</v>
      </c>
      <c r="BY10" s="174">
        <v>47</v>
      </c>
      <c r="BZ10" s="174">
        <v>47</v>
      </c>
      <c r="CA10" s="174">
        <v>68</v>
      </c>
      <c r="CB10" s="174">
        <v>86</v>
      </c>
      <c r="CC10" s="174">
        <v>103</v>
      </c>
      <c r="CD10" s="174">
        <v>142</v>
      </c>
      <c r="CE10" s="174">
        <v>48.2</v>
      </c>
      <c r="CF10" s="174">
        <v>1</v>
      </c>
      <c r="CG10" s="174">
        <v>0.3</v>
      </c>
      <c r="CH10" s="175">
        <v>1.6301967222633309E-3</v>
      </c>
    </row>
    <row r="11" spans="1:86" x14ac:dyDescent="0.3">
      <c r="A11" s="152" t="s">
        <v>63</v>
      </c>
      <c r="B11" s="162">
        <v>1</v>
      </c>
      <c r="C11" s="160" t="s">
        <v>28</v>
      </c>
      <c r="D11" s="152">
        <v>26855.180923076921</v>
      </c>
      <c r="F11" s="152" t="s">
        <v>47</v>
      </c>
      <c r="G11" s="179">
        <v>0</v>
      </c>
      <c r="H11" s="160" t="s">
        <v>48</v>
      </c>
      <c r="I11" s="152" t="s">
        <v>1811</v>
      </c>
      <c r="J11" s="167">
        <v>6</v>
      </c>
      <c r="K11" s="168">
        <f t="shared" ca="1" si="1"/>
        <v>-5.4</v>
      </c>
      <c r="L11" s="169" t="s">
        <v>1791</v>
      </c>
      <c r="M11" s="67" t="s">
        <v>57</v>
      </c>
      <c r="N11" s="167">
        <v>10</v>
      </c>
      <c r="O11" s="170">
        <v>0</v>
      </c>
      <c r="P11" s="170">
        <v>0</v>
      </c>
      <c r="Q11" s="167">
        <v>31</v>
      </c>
      <c r="R11" s="167">
        <v>26</v>
      </c>
      <c r="S11" s="167">
        <v>1</v>
      </c>
      <c r="T11" s="167">
        <v>0</v>
      </c>
      <c r="U11" s="171">
        <v>0</v>
      </c>
      <c r="V11" s="171">
        <v>0</v>
      </c>
      <c r="W11" s="167">
        <v>0.5</v>
      </c>
      <c r="X11" s="167">
        <v>33200</v>
      </c>
      <c r="Y11" s="167">
        <v>0</v>
      </c>
      <c r="Z11" s="167">
        <v>83.999999999999972</v>
      </c>
      <c r="AA11" s="167">
        <v>1</v>
      </c>
      <c r="AB11" s="167">
        <v>5760</v>
      </c>
      <c r="AC11" s="170">
        <v>151000</v>
      </c>
      <c r="AD11" s="172">
        <v>7586.2068965517237</v>
      </c>
      <c r="AE11" s="170">
        <v>0.3</v>
      </c>
      <c r="AF11" s="170">
        <v>0</v>
      </c>
      <c r="AG11" s="170">
        <v>0</v>
      </c>
      <c r="AH11" s="170">
        <v>0</v>
      </c>
      <c r="AI11" s="170">
        <v>0</v>
      </c>
      <c r="AJ11" s="167">
        <v>24.000000000000007</v>
      </c>
      <c r="AK11" s="167">
        <v>1</v>
      </c>
      <c r="AL11" s="167">
        <v>1</v>
      </c>
      <c r="AM11" s="167">
        <v>1</v>
      </c>
      <c r="AN11" s="167">
        <v>1</v>
      </c>
      <c r="AO11" s="167">
        <v>1</v>
      </c>
      <c r="AP11" s="167">
        <v>1</v>
      </c>
      <c r="AQ11" s="167">
        <v>0</v>
      </c>
      <c r="AR11" s="167">
        <v>72</v>
      </c>
      <c r="AS11" s="204">
        <v>0.22</v>
      </c>
      <c r="AW11" s="174">
        <v>3</v>
      </c>
      <c r="AX11" s="174" t="s">
        <v>533</v>
      </c>
      <c r="AY11" s="174">
        <v>24</v>
      </c>
      <c r="AZ11" s="174">
        <v>19.600000000000001</v>
      </c>
      <c r="BA11" s="174"/>
      <c r="BB11" s="174">
        <v>3</v>
      </c>
      <c r="BC11" s="174"/>
      <c r="BD11" s="174"/>
      <c r="BE11" s="174">
        <v>8.6999999999999993</v>
      </c>
      <c r="BF11" s="174">
        <v>11</v>
      </c>
      <c r="BG11" s="174">
        <v>12.6</v>
      </c>
      <c r="BH11" s="174">
        <v>14.2</v>
      </c>
      <c r="BI11" s="174">
        <v>15.7</v>
      </c>
      <c r="BJ11" s="174">
        <v>4.4499999999999998E-2</v>
      </c>
      <c r="BK11" s="174">
        <v>5.2499999999999998E-2</v>
      </c>
      <c r="BL11" s="174">
        <v>5.7799999999999997E-2</v>
      </c>
      <c r="BM11" s="174">
        <v>6.3200000000000006E-2</v>
      </c>
      <c r="BN11" s="174">
        <v>7.1800000000000003E-2</v>
      </c>
      <c r="BO11" s="174"/>
      <c r="BP11" s="174"/>
      <c r="BQ11" s="174"/>
      <c r="BR11" s="174"/>
      <c r="BS11" s="174"/>
      <c r="BT11" s="174">
        <v>100</v>
      </c>
      <c r="BU11" s="174">
        <v>31</v>
      </c>
      <c r="BV11" s="174">
        <v>40</v>
      </c>
      <c r="BW11" s="174">
        <v>45</v>
      </c>
      <c r="BX11" s="174">
        <v>47</v>
      </c>
      <c r="BY11" s="174">
        <v>47</v>
      </c>
      <c r="BZ11" s="174">
        <v>66</v>
      </c>
      <c r="CA11" s="174">
        <v>87</v>
      </c>
      <c r="CB11" s="174">
        <v>105</v>
      </c>
      <c r="CC11" s="174">
        <v>123</v>
      </c>
      <c r="CD11" s="174">
        <v>162</v>
      </c>
      <c r="CE11" s="174">
        <v>48.2</v>
      </c>
      <c r="CF11" s="174">
        <v>1</v>
      </c>
      <c r="CG11" s="174">
        <v>0.3</v>
      </c>
      <c r="CH11" s="175">
        <v>1.6301967222633309E-3</v>
      </c>
    </row>
    <row r="12" spans="1:86" x14ac:dyDescent="0.3">
      <c r="A12" s="152" t="s">
        <v>66</v>
      </c>
      <c r="B12" s="166">
        <v>9.9</v>
      </c>
      <c r="C12" s="160" t="s">
        <v>28</v>
      </c>
      <c r="D12" s="152">
        <v>0</v>
      </c>
      <c r="E12" s="183"/>
      <c r="F12" s="178" t="s">
        <v>73</v>
      </c>
      <c r="G12" s="179">
        <v>1438.757000000001</v>
      </c>
      <c r="H12" s="160" t="s">
        <v>48</v>
      </c>
      <c r="I12" s="152" t="s">
        <v>1811</v>
      </c>
      <c r="J12" s="167">
        <v>7</v>
      </c>
      <c r="K12" s="168">
        <f t="shared" ca="1" si="1"/>
        <v>-8.3000000000000007</v>
      </c>
      <c r="L12" s="169" t="s">
        <v>1792</v>
      </c>
      <c r="M12" s="67" t="s">
        <v>57</v>
      </c>
      <c r="N12" s="167">
        <v>10</v>
      </c>
      <c r="O12" s="170">
        <v>0</v>
      </c>
      <c r="P12" s="170">
        <v>0</v>
      </c>
      <c r="Q12" s="167">
        <v>32</v>
      </c>
      <c r="R12" s="167">
        <v>27</v>
      </c>
      <c r="S12" s="167">
        <v>1.1000000000000001</v>
      </c>
      <c r="T12" s="167">
        <v>0</v>
      </c>
      <c r="U12" s="171">
        <v>0</v>
      </c>
      <c r="V12" s="171">
        <v>0</v>
      </c>
      <c r="W12" s="167">
        <v>0.5</v>
      </c>
      <c r="X12" s="167">
        <v>52900</v>
      </c>
      <c r="Y12" s="167">
        <v>0</v>
      </c>
      <c r="Z12" s="167">
        <v>86.999999999999972</v>
      </c>
      <c r="AA12" s="167">
        <v>1</v>
      </c>
      <c r="AB12" s="167">
        <v>6720</v>
      </c>
      <c r="AC12" s="170">
        <v>170000</v>
      </c>
      <c r="AD12" s="172">
        <v>69473.684210526379</v>
      </c>
      <c r="AE12" s="170">
        <v>0.3</v>
      </c>
      <c r="AF12" s="170">
        <v>0</v>
      </c>
      <c r="AG12" s="170">
        <v>0</v>
      </c>
      <c r="AH12" s="170">
        <v>0</v>
      </c>
      <c r="AI12" s="170">
        <v>0</v>
      </c>
      <c r="AJ12" s="167">
        <v>28.000000000000007</v>
      </c>
      <c r="AK12" s="167">
        <v>1</v>
      </c>
      <c r="AL12" s="167">
        <v>1</v>
      </c>
      <c r="AM12" s="167">
        <v>1</v>
      </c>
      <c r="AN12" s="167">
        <v>1</v>
      </c>
      <c r="AO12" s="167">
        <v>1</v>
      </c>
      <c r="AP12" s="167">
        <v>1</v>
      </c>
      <c r="AQ12" s="167">
        <v>0</v>
      </c>
      <c r="AR12" s="167">
        <v>85</v>
      </c>
      <c r="AS12" s="204">
        <v>0.22</v>
      </c>
      <c r="AW12" s="174">
        <v>3</v>
      </c>
      <c r="AX12" s="174" t="s">
        <v>902</v>
      </c>
      <c r="AY12" s="174">
        <v>29</v>
      </c>
      <c r="AZ12" s="174">
        <v>18.7</v>
      </c>
      <c r="BA12" s="174"/>
      <c r="BB12" s="174">
        <v>11</v>
      </c>
      <c r="BC12" s="174"/>
      <c r="BD12" s="174"/>
      <c r="BE12" s="174">
        <v>11.9</v>
      </c>
      <c r="BF12" s="174">
        <v>13.4</v>
      </c>
      <c r="BG12" s="174">
        <v>14.4</v>
      </c>
      <c r="BH12" s="174">
        <v>15.4</v>
      </c>
      <c r="BI12" s="174">
        <v>16.899999999999999</v>
      </c>
      <c r="BJ12" s="174">
        <v>5.0999999999999997E-2</v>
      </c>
      <c r="BK12" s="174">
        <v>5.6000000000000001E-2</v>
      </c>
      <c r="BL12" s="174">
        <v>5.9400000000000001E-2</v>
      </c>
      <c r="BM12" s="174">
        <v>6.2799999999999995E-2</v>
      </c>
      <c r="BN12" s="174">
        <v>7.0300000000000001E-2</v>
      </c>
      <c r="BO12" s="174"/>
      <c r="BP12" s="174"/>
      <c r="BQ12" s="174"/>
      <c r="BR12" s="174"/>
      <c r="BS12" s="174"/>
      <c r="BT12" s="174">
        <v>78</v>
      </c>
      <c r="BU12" s="174">
        <v>30</v>
      </c>
      <c r="BV12" s="174">
        <v>38</v>
      </c>
      <c r="BW12" s="174">
        <v>43</v>
      </c>
      <c r="BX12" s="174">
        <v>47</v>
      </c>
      <c r="BY12" s="174">
        <v>47</v>
      </c>
      <c r="BZ12" s="174">
        <v>62</v>
      </c>
      <c r="CA12" s="174">
        <v>86</v>
      </c>
      <c r="CB12" s="174">
        <v>107</v>
      </c>
      <c r="CC12" s="174">
        <v>127</v>
      </c>
      <c r="CD12" s="174">
        <v>173</v>
      </c>
      <c r="CE12" s="174">
        <v>30.8</v>
      </c>
      <c r="CF12" s="174">
        <v>8.1</v>
      </c>
      <c r="CG12" s="174">
        <v>1.3</v>
      </c>
      <c r="CH12" s="175">
        <v>8.1696235902278087E-4</v>
      </c>
    </row>
    <row r="13" spans="1:86" x14ac:dyDescent="0.3">
      <c r="A13" s="152" t="s">
        <v>40</v>
      </c>
      <c r="B13" s="162">
        <v>78</v>
      </c>
      <c r="C13" s="160" t="s">
        <v>397</v>
      </c>
      <c r="D13" s="152">
        <v>1438.757000000001</v>
      </c>
      <c r="E13" s="183"/>
      <c r="F13" s="176" t="s">
        <v>50</v>
      </c>
      <c r="I13" s="152" t="str">
        <f t="shared" ca="1" si="0"/>
        <v>PC1</v>
      </c>
      <c r="J13" s="167">
        <v>8</v>
      </c>
      <c r="K13" s="168">
        <f t="shared" ca="1" si="1"/>
        <v>-9.25</v>
      </c>
      <c r="L13" s="169" t="s">
        <v>1793</v>
      </c>
      <c r="M13" s="67" t="s">
        <v>57</v>
      </c>
      <c r="N13" s="167">
        <v>9.5</v>
      </c>
      <c r="O13" s="170">
        <v>0</v>
      </c>
      <c r="P13" s="170">
        <v>0</v>
      </c>
      <c r="Q13" s="167">
        <v>32</v>
      </c>
      <c r="R13" s="167">
        <v>27</v>
      </c>
      <c r="S13" s="167">
        <v>1.1000000000000001</v>
      </c>
      <c r="T13" s="167">
        <v>0</v>
      </c>
      <c r="U13" s="171">
        <v>0</v>
      </c>
      <c r="V13" s="171">
        <v>0</v>
      </c>
      <c r="W13" s="167">
        <v>0.5</v>
      </c>
      <c r="X13" s="167">
        <v>70000</v>
      </c>
      <c r="Y13" s="167">
        <v>0</v>
      </c>
      <c r="Z13" s="167">
        <v>86.999999999999972</v>
      </c>
      <c r="AA13" s="167">
        <v>1</v>
      </c>
      <c r="AB13" s="167">
        <v>6720</v>
      </c>
      <c r="AC13" s="170">
        <v>233000</v>
      </c>
      <c r="AD13" s="172">
        <v>9600</v>
      </c>
      <c r="AE13" s="170">
        <v>0.3</v>
      </c>
      <c r="AF13" s="170">
        <v>0</v>
      </c>
      <c r="AG13" s="170">
        <v>0</v>
      </c>
      <c r="AH13" s="170">
        <v>0</v>
      </c>
      <c r="AI13" s="170">
        <v>0</v>
      </c>
      <c r="AJ13" s="167">
        <v>28.000000000000007</v>
      </c>
      <c r="AK13" s="167">
        <v>1</v>
      </c>
      <c r="AL13" s="167">
        <v>1</v>
      </c>
      <c r="AM13" s="167">
        <v>1</v>
      </c>
      <c r="AN13" s="167">
        <v>1</v>
      </c>
      <c r="AO13" s="167">
        <v>1</v>
      </c>
      <c r="AP13" s="167">
        <v>1</v>
      </c>
      <c r="AQ13" s="167">
        <v>0</v>
      </c>
      <c r="AR13" s="167">
        <v>93</v>
      </c>
      <c r="AS13" s="204">
        <v>0.22</v>
      </c>
      <c r="AW13" s="174">
        <v>4.2</v>
      </c>
      <c r="AX13" s="174" t="s">
        <v>902</v>
      </c>
      <c r="AY13" s="174">
        <v>29</v>
      </c>
      <c r="AZ13" s="174">
        <v>18.7</v>
      </c>
      <c r="BA13" s="174"/>
      <c r="BB13" s="174">
        <v>11</v>
      </c>
      <c r="BC13" s="174"/>
      <c r="BD13" s="174"/>
      <c r="BE13" s="174">
        <v>7.5</v>
      </c>
      <c r="BF13" s="174">
        <v>9</v>
      </c>
      <c r="BG13" s="174">
        <v>10</v>
      </c>
      <c r="BH13" s="174">
        <v>11</v>
      </c>
      <c r="BI13" s="174">
        <v>12.5</v>
      </c>
      <c r="BJ13" s="174">
        <v>1.6400000000000001E-2</v>
      </c>
      <c r="BK13" s="174">
        <v>2.1399999999999999E-2</v>
      </c>
      <c r="BL13" s="174">
        <v>2.4899999999999999E-2</v>
      </c>
      <c r="BM13" s="174">
        <v>2.8299999999999999E-2</v>
      </c>
      <c r="BN13" s="174">
        <v>3.5700000000000003E-2</v>
      </c>
      <c r="BO13" s="174"/>
      <c r="BP13" s="174"/>
      <c r="BQ13" s="174"/>
      <c r="BR13" s="174"/>
      <c r="BS13" s="174"/>
      <c r="BT13" s="174">
        <v>78</v>
      </c>
      <c r="BU13" s="174">
        <v>30</v>
      </c>
      <c r="BV13" s="174">
        <v>38</v>
      </c>
      <c r="BW13" s="174">
        <v>43</v>
      </c>
      <c r="BX13" s="174">
        <v>47</v>
      </c>
      <c r="BY13" s="174">
        <v>47</v>
      </c>
      <c r="BZ13" s="174">
        <v>71</v>
      </c>
      <c r="CA13" s="174">
        <v>95</v>
      </c>
      <c r="CB13" s="174">
        <v>116</v>
      </c>
      <c r="CC13" s="174">
        <v>137</v>
      </c>
      <c r="CD13" s="174">
        <v>182</v>
      </c>
      <c r="CE13" s="174">
        <v>30.8</v>
      </c>
      <c r="CF13" s="174">
        <v>8.1</v>
      </c>
      <c r="CG13" s="174">
        <v>1.3</v>
      </c>
      <c r="CH13" s="175">
        <v>8.1696235902278087E-4</v>
      </c>
    </row>
    <row r="14" spans="1:86" x14ac:dyDescent="0.3">
      <c r="A14" s="152" t="s">
        <v>41</v>
      </c>
      <c r="B14" s="183">
        <v>355000</v>
      </c>
      <c r="C14" s="160" t="s">
        <v>396</v>
      </c>
      <c r="F14" s="152" t="s">
        <v>51</v>
      </c>
      <c r="G14" s="184" t="s">
        <v>52</v>
      </c>
      <c r="H14" s="160" t="s">
        <v>56</v>
      </c>
      <c r="I14" s="152" t="str">
        <f t="shared" ca="1" si="0"/>
        <v>PC1</v>
      </c>
      <c r="J14" s="167">
        <v>9</v>
      </c>
      <c r="K14" s="168">
        <f t="shared" ca="1" si="1"/>
        <v>-10.5</v>
      </c>
      <c r="L14" s="169" t="s">
        <v>1794</v>
      </c>
      <c r="M14" s="67" t="s">
        <v>57</v>
      </c>
      <c r="N14" s="167">
        <v>9.5</v>
      </c>
      <c r="O14" s="170">
        <v>0</v>
      </c>
      <c r="P14" s="170">
        <v>0</v>
      </c>
      <c r="Q14" s="167">
        <v>34</v>
      </c>
      <c r="R14" s="167">
        <v>29</v>
      </c>
      <c r="S14" s="167">
        <v>1.3</v>
      </c>
      <c r="T14" s="167">
        <v>0</v>
      </c>
      <c r="U14" s="171">
        <v>0</v>
      </c>
      <c r="V14" s="171">
        <v>0</v>
      </c>
      <c r="W14" s="167">
        <v>0.5</v>
      </c>
      <c r="X14" s="167">
        <v>125000</v>
      </c>
      <c r="Y14" s="167">
        <v>0</v>
      </c>
      <c r="Z14" s="167">
        <v>92.999999999999972</v>
      </c>
      <c r="AA14" s="167">
        <v>1</v>
      </c>
      <c r="AB14" s="167">
        <v>8640</v>
      </c>
      <c r="AC14" s="170">
        <v>259000</v>
      </c>
      <c r="AD14" s="172">
        <v>44666.666666666664</v>
      </c>
      <c r="AE14" s="170">
        <v>0.3</v>
      </c>
      <c r="AF14" s="170">
        <v>0</v>
      </c>
      <c r="AG14" s="170">
        <v>0</v>
      </c>
      <c r="AH14" s="170">
        <v>0</v>
      </c>
      <c r="AI14" s="170">
        <v>0</v>
      </c>
      <c r="AJ14" s="167">
        <v>36.000000000000007</v>
      </c>
      <c r="AK14" s="167">
        <v>1</v>
      </c>
      <c r="AL14" s="167">
        <v>1</v>
      </c>
      <c r="AM14" s="167">
        <v>1</v>
      </c>
      <c r="AN14" s="167">
        <v>1</v>
      </c>
      <c r="AO14" s="167">
        <v>1</v>
      </c>
      <c r="AP14" s="167">
        <v>1</v>
      </c>
      <c r="AQ14" s="167">
        <v>0</v>
      </c>
      <c r="AR14" s="167">
        <v>100</v>
      </c>
      <c r="AS14" s="204">
        <v>0.22</v>
      </c>
      <c r="AW14" s="174">
        <v>4.2</v>
      </c>
      <c r="AX14" s="174" t="s">
        <v>902</v>
      </c>
      <c r="AY14" s="174">
        <v>29</v>
      </c>
      <c r="AZ14" s="174">
        <v>18.7</v>
      </c>
      <c r="BA14" s="174"/>
      <c r="BB14" s="174">
        <v>11</v>
      </c>
      <c r="BC14" s="174"/>
      <c r="BD14" s="174"/>
      <c r="BE14" s="174">
        <v>6.6</v>
      </c>
      <c r="BF14" s="174">
        <v>8.1999999999999993</v>
      </c>
      <c r="BG14" s="174">
        <v>9.4</v>
      </c>
      <c r="BH14" s="174">
        <v>10.5</v>
      </c>
      <c r="BI14" s="174">
        <v>12.1</v>
      </c>
      <c r="BJ14" s="174">
        <v>2.3699999999999999E-2</v>
      </c>
      <c r="BK14" s="174">
        <v>2.9000000000000001E-2</v>
      </c>
      <c r="BL14" s="174">
        <v>3.2599999999999997E-2</v>
      </c>
      <c r="BM14" s="174">
        <v>3.6200000000000003E-2</v>
      </c>
      <c r="BN14" s="174">
        <v>4.3099999999999999E-2</v>
      </c>
      <c r="BO14" s="174"/>
      <c r="BP14" s="174"/>
      <c r="BQ14" s="174"/>
      <c r="BR14" s="174"/>
      <c r="BS14" s="174"/>
      <c r="BT14" s="174">
        <v>80</v>
      </c>
      <c r="BU14" s="174">
        <v>30</v>
      </c>
      <c r="BV14" s="174">
        <v>38</v>
      </c>
      <c r="BW14" s="174">
        <v>43</v>
      </c>
      <c r="BX14" s="174">
        <v>47</v>
      </c>
      <c r="BY14" s="174">
        <v>47</v>
      </c>
      <c r="BZ14" s="174">
        <v>60</v>
      </c>
      <c r="CA14" s="174">
        <v>90</v>
      </c>
      <c r="CB14" s="174">
        <v>114</v>
      </c>
      <c r="CC14" s="174">
        <v>139</v>
      </c>
      <c r="CD14" s="174">
        <v>194</v>
      </c>
      <c r="CE14" s="174">
        <v>35.1</v>
      </c>
      <c r="CF14" s="174">
        <v>6.9</v>
      </c>
      <c r="CG14" s="174">
        <v>1.2</v>
      </c>
      <c r="CH14" s="175">
        <v>5.4384949624882036E-4</v>
      </c>
    </row>
    <row r="15" spans="1:86" x14ac:dyDescent="0.3">
      <c r="A15" s="152" t="s">
        <v>42</v>
      </c>
      <c r="B15" s="185">
        <v>207000000</v>
      </c>
      <c r="C15" s="160" t="s">
        <v>396</v>
      </c>
      <c r="I15" s="152" t="str">
        <f t="shared" ca="1" si="0"/>
        <v>PC1</v>
      </c>
      <c r="J15" s="167">
        <v>10</v>
      </c>
      <c r="K15" s="168">
        <f t="shared" ca="1" si="1"/>
        <v>-12</v>
      </c>
      <c r="L15" s="169" t="s">
        <v>1782</v>
      </c>
      <c r="M15" s="67" t="s">
        <v>57</v>
      </c>
      <c r="N15" s="167">
        <v>9.5</v>
      </c>
      <c r="O15" s="170">
        <v>0</v>
      </c>
      <c r="P15" s="170">
        <v>0</v>
      </c>
      <c r="Q15" s="167">
        <v>32</v>
      </c>
      <c r="R15" s="167">
        <v>27</v>
      </c>
      <c r="S15" s="167">
        <v>1</v>
      </c>
      <c r="T15" s="167">
        <v>0</v>
      </c>
      <c r="U15" s="171">
        <v>0</v>
      </c>
      <c r="V15" s="171">
        <v>0</v>
      </c>
      <c r="W15" s="167">
        <v>0.5</v>
      </c>
      <c r="X15" s="167">
        <v>83600</v>
      </c>
      <c r="Y15" s="167">
        <v>0</v>
      </c>
      <c r="Z15" s="167">
        <v>86.999999999999972</v>
      </c>
      <c r="AA15" s="167">
        <v>1</v>
      </c>
      <c r="AB15" s="167">
        <v>6720</v>
      </c>
      <c r="AC15" s="170">
        <v>311000</v>
      </c>
      <c r="AD15" s="172">
        <v>-6904.7619047619064</v>
      </c>
      <c r="AE15" s="170">
        <v>0.3</v>
      </c>
      <c r="AF15" s="170">
        <v>0</v>
      </c>
      <c r="AG15" s="170">
        <v>0</v>
      </c>
      <c r="AH15" s="170">
        <v>0</v>
      </c>
      <c r="AI15" s="170">
        <v>0</v>
      </c>
      <c r="AJ15" s="167">
        <v>28.000000000000007</v>
      </c>
      <c r="AK15" s="167">
        <v>1</v>
      </c>
      <c r="AL15" s="167">
        <v>1</v>
      </c>
      <c r="AM15" s="167">
        <v>1</v>
      </c>
      <c r="AN15" s="167">
        <v>1</v>
      </c>
      <c r="AO15" s="167">
        <v>1</v>
      </c>
      <c r="AP15" s="167">
        <v>1</v>
      </c>
      <c r="AQ15" s="167">
        <v>0</v>
      </c>
      <c r="AR15" s="167">
        <v>95</v>
      </c>
      <c r="AS15" s="204">
        <v>0.22</v>
      </c>
      <c r="AW15" s="174">
        <v>5.4</v>
      </c>
      <c r="AX15" s="174" t="s">
        <v>902</v>
      </c>
      <c r="AY15" s="174">
        <v>29</v>
      </c>
      <c r="AZ15" s="174">
        <v>18.7</v>
      </c>
      <c r="BA15" s="174"/>
      <c r="BB15" s="174">
        <v>11</v>
      </c>
      <c r="BC15" s="174"/>
      <c r="BD15" s="174"/>
      <c r="BE15" s="174">
        <v>14.7</v>
      </c>
      <c r="BF15" s="174">
        <v>16.3</v>
      </c>
      <c r="BG15" s="174">
        <v>17.5</v>
      </c>
      <c r="BH15" s="174">
        <v>18.600000000000001</v>
      </c>
      <c r="BI15" s="174">
        <v>20.2</v>
      </c>
      <c r="BJ15" s="174">
        <v>4.7100000000000003E-2</v>
      </c>
      <c r="BK15" s="174">
        <v>5.2400000000000002E-2</v>
      </c>
      <c r="BL15" s="174">
        <v>5.6000000000000001E-2</v>
      </c>
      <c r="BM15" s="174">
        <v>5.96E-2</v>
      </c>
      <c r="BN15" s="174">
        <v>6.6500000000000004E-2</v>
      </c>
      <c r="BO15" s="174"/>
      <c r="BP15" s="174"/>
      <c r="BQ15" s="174"/>
      <c r="BR15" s="174"/>
      <c r="BS15" s="174"/>
      <c r="BT15" s="174">
        <v>80</v>
      </c>
      <c r="BU15" s="174">
        <v>30</v>
      </c>
      <c r="BV15" s="174">
        <v>38</v>
      </c>
      <c r="BW15" s="174">
        <v>43</v>
      </c>
      <c r="BX15" s="174">
        <v>47</v>
      </c>
      <c r="BY15" s="174">
        <v>47</v>
      </c>
      <c r="BZ15" s="174">
        <v>99</v>
      </c>
      <c r="CA15" s="174">
        <v>128</v>
      </c>
      <c r="CB15" s="174">
        <v>153</v>
      </c>
      <c r="CC15" s="174">
        <v>178</v>
      </c>
      <c r="CD15" s="174">
        <v>233</v>
      </c>
      <c r="CE15" s="174">
        <v>35.1</v>
      </c>
      <c r="CF15" s="174">
        <v>6.9</v>
      </c>
      <c r="CG15" s="174">
        <v>1.2</v>
      </c>
      <c r="CH15" s="175">
        <v>5.4384949624882036E-4</v>
      </c>
    </row>
    <row r="16" spans="1:86" x14ac:dyDescent="0.3">
      <c r="A16" s="152" t="s">
        <v>43</v>
      </c>
      <c r="B16" s="185">
        <v>79000000</v>
      </c>
      <c r="C16" s="160" t="s">
        <v>396</v>
      </c>
      <c r="D16" s="186">
        <v>14522.326951276294</v>
      </c>
      <c r="E16" s="187"/>
      <c r="I16" s="152" t="str">
        <f t="shared" ca="1" si="0"/>
        <v>PM2</v>
      </c>
      <c r="J16" s="167">
        <v>11</v>
      </c>
      <c r="K16" s="168">
        <f t="shared" ca="1" si="1"/>
        <v>-16.2</v>
      </c>
      <c r="L16" s="169" t="s">
        <v>1783</v>
      </c>
      <c r="M16" s="67" t="s">
        <v>58</v>
      </c>
      <c r="N16" s="167">
        <v>8.3999999999999986</v>
      </c>
      <c r="O16" s="170">
        <v>153</v>
      </c>
      <c r="P16" s="170">
        <v>1.7482517482517481</v>
      </c>
      <c r="Q16" s="167">
        <v>0</v>
      </c>
      <c r="R16" s="167" t="e">
        <v>#N/A</v>
      </c>
      <c r="S16" s="167">
        <v>0.9</v>
      </c>
      <c r="T16" s="167">
        <v>0</v>
      </c>
      <c r="U16" s="171">
        <v>1.9E-2</v>
      </c>
      <c r="V16" s="171">
        <v>0</v>
      </c>
      <c r="W16" s="167">
        <v>0.5</v>
      </c>
      <c r="X16" s="167">
        <v>15200</v>
      </c>
      <c r="Y16" s="167">
        <v>0</v>
      </c>
      <c r="Z16" s="167" t="e">
        <v>#N/A</v>
      </c>
      <c r="AA16" s="167">
        <v>1</v>
      </c>
      <c r="AB16" s="167" t="e">
        <v>#N/A</v>
      </c>
      <c r="AC16" s="170">
        <v>74000</v>
      </c>
      <c r="AD16" s="172">
        <v>1188.8111888111887</v>
      </c>
      <c r="AE16" s="170">
        <v>0.3</v>
      </c>
      <c r="AF16" s="170">
        <v>0</v>
      </c>
      <c r="AG16" s="170">
        <v>0</v>
      </c>
      <c r="AH16" s="170">
        <v>0</v>
      </c>
      <c r="AI16" s="170">
        <v>0</v>
      </c>
      <c r="AJ16" s="167" t="e">
        <v>#N/A</v>
      </c>
      <c r="AK16" s="167">
        <v>1</v>
      </c>
      <c r="AL16" s="167">
        <v>1</v>
      </c>
      <c r="AM16" s="167">
        <v>1</v>
      </c>
      <c r="AN16" s="167">
        <v>1</v>
      </c>
      <c r="AO16" s="167">
        <v>1</v>
      </c>
      <c r="AP16" s="167">
        <v>1</v>
      </c>
      <c r="AQ16" s="167">
        <v>0</v>
      </c>
      <c r="AR16" s="167">
        <v>0</v>
      </c>
      <c r="AS16" s="204">
        <v>0.4</v>
      </c>
      <c r="AW16" s="174">
        <v>5.4</v>
      </c>
      <c r="AX16" s="174" t="s">
        <v>902</v>
      </c>
      <c r="AY16" s="174">
        <v>23</v>
      </c>
      <c r="AZ16" s="174">
        <v>20</v>
      </c>
      <c r="BA16" s="174"/>
      <c r="BB16" s="174">
        <v>12</v>
      </c>
      <c r="BC16" s="174"/>
      <c r="BD16" s="174"/>
      <c r="BE16" s="174">
        <v>13.7</v>
      </c>
      <c r="BF16" s="174">
        <v>15.4</v>
      </c>
      <c r="BG16" s="174">
        <v>16.600000000000001</v>
      </c>
      <c r="BH16" s="174">
        <v>17.8</v>
      </c>
      <c r="BI16" s="174">
        <v>19.399999999999999</v>
      </c>
      <c r="BJ16" s="174">
        <v>3.5700000000000003E-2</v>
      </c>
      <c r="BK16" s="174">
        <v>4.2200000000000001E-2</v>
      </c>
      <c r="BL16" s="174">
        <v>4.65E-2</v>
      </c>
      <c r="BM16" s="174">
        <v>5.0799999999999998E-2</v>
      </c>
      <c r="BN16" s="174">
        <v>5.7299999999999997E-2</v>
      </c>
      <c r="BO16" s="174"/>
      <c r="BP16" s="174"/>
      <c r="BQ16" s="174"/>
      <c r="BR16" s="174"/>
      <c r="BS16" s="174"/>
      <c r="BT16" s="174">
        <v>72</v>
      </c>
      <c r="BU16" s="174">
        <v>29</v>
      </c>
      <c r="BV16" s="174">
        <v>31</v>
      </c>
      <c r="BW16" s="174">
        <v>35</v>
      </c>
      <c r="BX16" s="174">
        <v>38</v>
      </c>
      <c r="BY16" s="174">
        <v>45</v>
      </c>
      <c r="BZ16" s="174">
        <v>86</v>
      </c>
      <c r="CA16" s="174">
        <v>121</v>
      </c>
      <c r="CB16" s="174">
        <v>151</v>
      </c>
      <c r="CC16" s="174">
        <v>181</v>
      </c>
      <c r="CD16" s="174">
        <v>248</v>
      </c>
      <c r="CE16" s="174">
        <v>33.200000000000003</v>
      </c>
      <c r="CF16" s="174">
        <v>4.5</v>
      </c>
      <c r="CG16" s="174">
        <v>1</v>
      </c>
      <c r="CH16" s="175">
        <v>1.4763976822903559E-4</v>
      </c>
    </row>
    <row r="17" spans="1:86" s="178" customFormat="1" x14ac:dyDescent="0.3">
      <c r="A17" s="152" t="s">
        <v>74</v>
      </c>
      <c r="B17" s="162">
        <v>0.53</v>
      </c>
      <c r="C17" s="160"/>
      <c r="D17" s="190">
        <v>-645070.59638344217</v>
      </c>
      <c r="E17" s="164"/>
      <c r="I17" s="152" t="str">
        <f t="shared" ca="1" si="0"/>
        <v>PM3</v>
      </c>
      <c r="J17" s="167">
        <v>12</v>
      </c>
      <c r="K17" s="168">
        <f t="shared" ca="1" si="1"/>
        <v>-30.5</v>
      </c>
      <c r="L17" s="169" t="s">
        <v>1784</v>
      </c>
      <c r="M17" s="67" t="s">
        <v>57</v>
      </c>
      <c r="N17" s="167">
        <v>8</v>
      </c>
      <c r="O17" s="170">
        <v>0</v>
      </c>
      <c r="P17" s="170">
        <v>0</v>
      </c>
      <c r="Q17" s="167">
        <v>30</v>
      </c>
      <c r="R17" s="167">
        <v>25</v>
      </c>
      <c r="S17" s="167">
        <v>0.9</v>
      </c>
      <c r="T17" s="167">
        <v>0</v>
      </c>
      <c r="U17" s="171">
        <v>0</v>
      </c>
      <c r="V17" s="171">
        <v>0</v>
      </c>
      <c r="W17" s="167">
        <v>0.5</v>
      </c>
      <c r="X17" s="167">
        <v>28700</v>
      </c>
      <c r="Y17" s="167">
        <v>0</v>
      </c>
      <c r="Z17" s="167">
        <v>80.999999999999972</v>
      </c>
      <c r="AA17" s="167">
        <v>1</v>
      </c>
      <c r="AB17" s="167">
        <v>4800</v>
      </c>
      <c r="AC17" s="170">
        <v>316000</v>
      </c>
      <c r="AD17" s="172">
        <v>10000.000000000013</v>
      </c>
      <c r="AE17" s="170">
        <v>0.3</v>
      </c>
      <c r="AF17" s="170">
        <v>0</v>
      </c>
      <c r="AG17" s="170">
        <v>0</v>
      </c>
      <c r="AH17" s="170">
        <v>0</v>
      </c>
      <c r="AI17" s="170">
        <v>0</v>
      </c>
      <c r="AJ17" s="167">
        <v>20.000000000000007</v>
      </c>
      <c r="AK17" s="167">
        <v>1</v>
      </c>
      <c r="AL17" s="167">
        <v>1</v>
      </c>
      <c r="AM17" s="167">
        <v>1</v>
      </c>
      <c r="AN17" s="167">
        <v>1</v>
      </c>
      <c r="AO17" s="167">
        <v>1</v>
      </c>
      <c r="AP17" s="167">
        <v>1</v>
      </c>
      <c r="AQ17" s="167">
        <v>0</v>
      </c>
      <c r="AR17" s="167">
        <v>79</v>
      </c>
      <c r="AS17" s="204">
        <v>0.83642641576487842</v>
      </c>
      <c r="AW17" s="174">
        <v>8.3000000000000007</v>
      </c>
      <c r="AX17" s="174" t="s">
        <v>902</v>
      </c>
      <c r="AY17" s="174">
        <v>23</v>
      </c>
      <c r="AZ17" s="174">
        <v>20</v>
      </c>
      <c r="BA17" s="174"/>
      <c r="BB17" s="174">
        <v>12</v>
      </c>
      <c r="BC17" s="174"/>
      <c r="BD17" s="174"/>
      <c r="BE17" s="174">
        <v>8.5</v>
      </c>
      <c r="BF17" s="174">
        <v>10.199999999999999</v>
      </c>
      <c r="BG17" s="174">
        <v>11.4</v>
      </c>
      <c r="BH17" s="174">
        <v>12.5</v>
      </c>
      <c r="BI17" s="174">
        <v>14.2</v>
      </c>
      <c r="BJ17" s="174">
        <v>0.05</v>
      </c>
      <c r="BK17" s="174">
        <v>5.6399999999999999E-2</v>
      </c>
      <c r="BL17" s="174">
        <v>6.08E-2</v>
      </c>
      <c r="BM17" s="174">
        <v>6.5100000000000005E-2</v>
      </c>
      <c r="BN17" s="174">
        <v>7.1599999999999997E-2</v>
      </c>
      <c r="BO17" s="174"/>
      <c r="BP17" s="174"/>
      <c r="BQ17" s="174"/>
      <c r="BR17" s="174"/>
      <c r="BS17" s="174"/>
      <c r="BT17" s="174">
        <v>72</v>
      </c>
      <c r="BU17" s="174">
        <v>29</v>
      </c>
      <c r="BV17" s="174">
        <v>31</v>
      </c>
      <c r="BW17" s="174">
        <v>35</v>
      </c>
      <c r="BX17" s="174">
        <v>38</v>
      </c>
      <c r="BY17" s="174">
        <v>45</v>
      </c>
      <c r="BZ17" s="174">
        <v>107</v>
      </c>
      <c r="CA17" s="174">
        <v>143</v>
      </c>
      <c r="CB17" s="174">
        <v>173</v>
      </c>
      <c r="CC17" s="174">
        <v>203</v>
      </c>
      <c r="CD17" s="174">
        <v>269</v>
      </c>
      <c r="CE17" s="174">
        <v>33.200000000000003</v>
      </c>
      <c r="CF17" s="174">
        <v>4.5</v>
      </c>
      <c r="CG17" s="174">
        <v>1</v>
      </c>
      <c r="CH17" s="175">
        <v>1.4763976822903559E-4</v>
      </c>
    </row>
    <row r="18" spans="1:86" x14ac:dyDescent="0.3">
      <c r="A18" s="153" t="s">
        <v>25</v>
      </c>
      <c r="B18" s="153" t="s">
        <v>26</v>
      </c>
      <c r="C18" s="153" t="s">
        <v>27</v>
      </c>
      <c r="D18" s="191">
        <v>29589.367332108995</v>
      </c>
      <c r="E18" s="192"/>
      <c r="I18" s="152" t="str">
        <f t="shared" ca="1" si="0"/>
        <v>PM3</v>
      </c>
      <c r="J18" s="167">
        <v>13</v>
      </c>
      <c r="K18" s="168">
        <f t="shared" ca="1" si="1"/>
        <v>-32.799999999999997</v>
      </c>
      <c r="L18" s="169" t="s">
        <v>1785</v>
      </c>
      <c r="M18" s="67" t="s">
        <v>57</v>
      </c>
      <c r="N18" s="167">
        <v>8</v>
      </c>
      <c r="O18" s="170">
        <v>0</v>
      </c>
      <c r="P18" s="170">
        <v>0</v>
      </c>
      <c r="Q18" s="167">
        <v>29</v>
      </c>
      <c r="R18" s="167">
        <v>24</v>
      </c>
      <c r="S18" s="167">
        <v>0.5</v>
      </c>
      <c r="T18" s="167">
        <v>0</v>
      </c>
      <c r="U18" s="171">
        <v>0</v>
      </c>
      <c r="V18" s="171">
        <v>0</v>
      </c>
      <c r="W18" s="167">
        <v>0.5</v>
      </c>
      <c r="X18" s="167">
        <v>14400</v>
      </c>
      <c r="Y18" s="167">
        <v>0</v>
      </c>
      <c r="Z18" s="167">
        <v>78.199999999999974</v>
      </c>
      <c r="AA18" s="167">
        <v>1</v>
      </c>
      <c r="AB18" s="167">
        <v>4420</v>
      </c>
      <c r="AC18" s="170">
        <v>269000</v>
      </c>
      <c r="AD18" s="172">
        <v>2187.4999999999982</v>
      </c>
      <c r="AE18" s="170">
        <v>0.3</v>
      </c>
      <c r="AF18" s="170">
        <v>0</v>
      </c>
      <c r="AG18" s="170">
        <v>0</v>
      </c>
      <c r="AH18" s="170">
        <v>0</v>
      </c>
      <c r="AI18" s="170">
        <v>0</v>
      </c>
      <c r="AJ18" s="167">
        <v>18.400000000000006</v>
      </c>
      <c r="AK18" s="167">
        <v>1</v>
      </c>
      <c r="AL18" s="167">
        <v>1</v>
      </c>
      <c r="AM18" s="167">
        <v>1</v>
      </c>
      <c r="AN18" s="167">
        <v>1</v>
      </c>
      <c r="AO18" s="167">
        <v>1</v>
      </c>
      <c r="AP18" s="167">
        <v>1</v>
      </c>
      <c r="AQ18" s="167">
        <v>0</v>
      </c>
      <c r="AR18" s="167">
        <v>56</v>
      </c>
      <c r="AS18" s="204">
        <v>0.67224267972322627</v>
      </c>
      <c r="AW18" s="174">
        <v>8.3000000000000007</v>
      </c>
      <c r="AX18" s="174" t="s">
        <v>902</v>
      </c>
      <c r="AY18" s="174">
        <v>23</v>
      </c>
      <c r="AZ18" s="174">
        <v>20</v>
      </c>
      <c r="BA18" s="174"/>
      <c r="BB18" s="174">
        <v>12</v>
      </c>
      <c r="BC18" s="174"/>
      <c r="BD18" s="174"/>
      <c r="BE18" s="174">
        <v>6.3</v>
      </c>
      <c r="BF18" s="174">
        <v>8.6999999999999993</v>
      </c>
      <c r="BG18" s="174">
        <v>10.3</v>
      </c>
      <c r="BH18" s="174">
        <v>12</v>
      </c>
      <c r="BI18" s="174">
        <v>14.4</v>
      </c>
      <c r="BJ18" s="174">
        <v>5.8900000000000001E-2</v>
      </c>
      <c r="BK18" s="174">
        <v>7.2300000000000003E-2</v>
      </c>
      <c r="BL18" s="174">
        <v>8.1199999999999994E-2</v>
      </c>
      <c r="BM18" s="174">
        <v>9.0200000000000002E-2</v>
      </c>
      <c r="BN18" s="174">
        <v>0.1027</v>
      </c>
      <c r="BO18" s="174"/>
      <c r="BP18" s="174"/>
      <c r="BQ18" s="174"/>
      <c r="BR18" s="174"/>
      <c r="BS18" s="174"/>
      <c r="BT18" s="174">
        <v>85</v>
      </c>
      <c r="BU18" s="174">
        <v>29</v>
      </c>
      <c r="BV18" s="174">
        <v>32</v>
      </c>
      <c r="BW18" s="174">
        <v>36</v>
      </c>
      <c r="BX18" s="174">
        <v>40</v>
      </c>
      <c r="BY18" s="174">
        <v>47</v>
      </c>
      <c r="BZ18" s="174">
        <v>88</v>
      </c>
      <c r="CA18" s="174">
        <v>133</v>
      </c>
      <c r="CB18" s="174">
        <v>170</v>
      </c>
      <c r="CC18" s="174">
        <v>207</v>
      </c>
      <c r="CD18" s="174">
        <v>291</v>
      </c>
      <c r="CE18" s="174">
        <v>52.9</v>
      </c>
      <c r="CF18" s="174">
        <v>5</v>
      </c>
      <c r="CG18" s="174">
        <v>1.1000000000000001</v>
      </c>
      <c r="CH18" s="175">
        <v>1.961188245225343E-4</v>
      </c>
    </row>
    <row r="19" spans="1:86" x14ac:dyDescent="0.3">
      <c r="A19" s="164" t="s">
        <v>36</v>
      </c>
      <c r="B19" s="164" t="s">
        <v>29</v>
      </c>
      <c r="C19" s="164" t="s">
        <v>53</v>
      </c>
      <c r="D19" s="161">
        <v>0</v>
      </c>
      <c r="E19" s="153"/>
      <c r="I19" s="152" t="str">
        <f t="shared" ca="1" si="0"/>
        <v>PM3</v>
      </c>
      <c r="J19" s="167">
        <v>14</v>
      </c>
      <c r="K19" s="168">
        <f t="shared" ca="1" si="1"/>
        <v>-36</v>
      </c>
      <c r="L19" s="169" t="s">
        <v>1786</v>
      </c>
      <c r="M19" s="67" t="s">
        <v>57</v>
      </c>
      <c r="N19" s="167">
        <v>8</v>
      </c>
      <c r="O19" s="170">
        <v>0</v>
      </c>
      <c r="P19" s="170">
        <v>0</v>
      </c>
      <c r="Q19" s="167">
        <v>30</v>
      </c>
      <c r="R19" s="167">
        <v>25</v>
      </c>
      <c r="S19" s="167">
        <v>0.8</v>
      </c>
      <c r="T19" s="167">
        <v>0</v>
      </c>
      <c r="U19" s="171">
        <v>0</v>
      </c>
      <c r="V19" s="171">
        <v>0</v>
      </c>
      <c r="W19" s="167">
        <v>0.5</v>
      </c>
      <c r="X19" s="167">
        <v>31300</v>
      </c>
      <c r="Y19" s="167">
        <v>0</v>
      </c>
      <c r="Z19" s="167">
        <v>80.999999999999972</v>
      </c>
      <c r="AA19" s="167">
        <v>1</v>
      </c>
      <c r="AB19" s="167">
        <v>4800</v>
      </c>
      <c r="AC19" s="170">
        <v>385000</v>
      </c>
      <c r="AD19" s="172">
        <v>0</v>
      </c>
      <c r="AE19" s="170">
        <v>0.3</v>
      </c>
      <c r="AF19" s="170">
        <v>0</v>
      </c>
      <c r="AG19" s="170">
        <v>0</v>
      </c>
      <c r="AH19" s="170">
        <v>0</v>
      </c>
      <c r="AI19" s="170">
        <v>0</v>
      </c>
      <c r="AJ19" s="167">
        <v>20.000000000000007</v>
      </c>
      <c r="AK19" s="167">
        <v>1</v>
      </c>
      <c r="AL19" s="167">
        <v>1</v>
      </c>
      <c r="AM19" s="167">
        <v>1</v>
      </c>
      <c r="AN19" s="167">
        <v>1</v>
      </c>
      <c r="AO19" s="167">
        <v>1</v>
      </c>
      <c r="AP19" s="167">
        <v>1</v>
      </c>
      <c r="AQ19" s="167">
        <v>0</v>
      </c>
      <c r="AR19" s="167">
        <v>78</v>
      </c>
      <c r="AS19" s="204">
        <v>0.8220381586558223</v>
      </c>
      <c r="AW19" s="174">
        <v>9.25</v>
      </c>
      <c r="AX19" s="174" t="s">
        <v>902</v>
      </c>
      <c r="AY19" s="174">
        <v>23</v>
      </c>
      <c r="AZ19" s="174">
        <v>20</v>
      </c>
      <c r="BA19" s="174"/>
      <c r="BB19" s="174">
        <v>12</v>
      </c>
      <c r="BC19" s="174"/>
      <c r="BD19" s="174"/>
      <c r="BE19" s="174">
        <v>25.3</v>
      </c>
      <c r="BF19" s="174">
        <v>27.7</v>
      </c>
      <c r="BG19" s="174">
        <v>29.4</v>
      </c>
      <c r="BH19" s="174">
        <v>31</v>
      </c>
      <c r="BI19" s="174">
        <v>33.4</v>
      </c>
      <c r="BJ19" s="174">
        <v>0.1105</v>
      </c>
      <c r="BK19" s="174">
        <v>0.12379999999999999</v>
      </c>
      <c r="BL19" s="174">
        <v>0.1328</v>
      </c>
      <c r="BM19" s="174">
        <v>0.14169999999999999</v>
      </c>
      <c r="BN19" s="174">
        <v>0.15429999999999999</v>
      </c>
      <c r="BO19" s="174"/>
      <c r="BP19" s="174"/>
      <c r="BQ19" s="174"/>
      <c r="BR19" s="174"/>
      <c r="BS19" s="174"/>
      <c r="BT19" s="174">
        <v>85</v>
      </c>
      <c r="BU19" s="174">
        <v>29</v>
      </c>
      <c r="BV19" s="174">
        <v>32</v>
      </c>
      <c r="BW19" s="174">
        <v>36</v>
      </c>
      <c r="BX19" s="174">
        <v>40</v>
      </c>
      <c r="BY19" s="174">
        <v>47</v>
      </c>
      <c r="BZ19" s="174">
        <v>154</v>
      </c>
      <c r="CA19" s="174">
        <v>199</v>
      </c>
      <c r="CB19" s="174">
        <v>236</v>
      </c>
      <c r="CC19" s="174">
        <v>273</v>
      </c>
      <c r="CD19" s="174">
        <v>357</v>
      </c>
      <c r="CE19" s="174">
        <v>52.9</v>
      </c>
      <c r="CF19" s="174">
        <v>5</v>
      </c>
      <c r="CG19" s="174">
        <v>1.1000000000000001</v>
      </c>
      <c r="CH19" s="175">
        <v>1.961188245225343E-4</v>
      </c>
    </row>
    <row r="20" spans="1:86" x14ac:dyDescent="0.3">
      <c r="A20" s="192">
        <v>1</v>
      </c>
      <c r="B20" s="192">
        <v>0</v>
      </c>
      <c r="C20" s="193">
        <v>0.09</v>
      </c>
      <c r="D20" s="194">
        <v>2693.7272520161182</v>
      </c>
      <c r="J20" s="167"/>
      <c r="K20" s="168"/>
      <c r="L20" s="169"/>
      <c r="M20" s="67"/>
      <c r="N20" s="167"/>
      <c r="O20" s="170"/>
      <c r="P20" s="170"/>
      <c r="Q20" s="167"/>
      <c r="R20" s="167"/>
      <c r="S20" s="167"/>
      <c r="T20" s="167"/>
      <c r="U20" s="171"/>
      <c r="V20" s="171"/>
      <c r="W20" s="167"/>
      <c r="X20" s="167"/>
      <c r="Y20" s="167"/>
      <c r="Z20" s="167"/>
      <c r="AA20" s="167"/>
      <c r="AB20" s="167"/>
      <c r="AC20" s="170"/>
      <c r="AD20" s="170"/>
      <c r="AE20" s="170"/>
      <c r="AF20" s="170"/>
      <c r="AG20" s="170"/>
      <c r="AH20" s="170"/>
      <c r="AI20" s="170"/>
      <c r="AJ20" s="167"/>
      <c r="AK20" s="167"/>
      <c r="AL20" s="167"/>
      <c r="AM20" s="167"/>
      <c r="AN20" s="167"/>
      <c r="AO20" s="167"/>
      <c r="AP20" s="167"/>
      <c r="AQ20" s="167"/>
      <c r="AR20" s="167"/>
      <c r="AW20" s="174">
        <v>9.25</v>
      </c>
      <c r="AX20" s="174" t="s">
        <v>902</v>
      </c>
      <c r="AY20" s="174">
        <v>25</v>
      </c>
      <c r="AZ20" s="174">
        <v>19.5</v>
      </c>
      <c r="BA20" s="174"/>
      <c r="BB20" s="174">
        <v>12</v>
      </c>
      <c r="BC20" s="174"/>
      <c r="BD20" s="174"/>
      <c r="BE20" s="174">
        <v>24.3</v>
      </c>
      <c r="BF20" s="174">
        <v>27.8</v>
      </c>
      <c r="BG20" s="174">
        <v>30.2</v>
      </c>
      <c r="BH20" s="174">
        <v>32.5</v>
      </c>
      <c r="BI20" s="174">
        <v>36</v>
      </c>
      <c r="BJ20" s="174">
        <v>9.8000000000000004E-2</v>
      </c>
      <c r="BK20" s="174">
        <v>0.11700000000000001</v>
      </c>
      <c r="BL20" s="174">
        <v>0.12970000000000001</v>
      </c>
      <c r="BM20" s="174">
        <v>0.1424</v>
      </c>
      <c r="BN20" s="174">
        <v>0.15659999999999999</v>
      </c>
      <c r="BO20" s="174"/>
      <c r="BP20" s="174"/>
      <c r="BQ20" s="174"/>
      <c r="BR20" s="174"/>
      <c r="BS20" s="174"/>
      <c r="BT20" s="174">
        <v>93</v>
      </c>
      <c r="BU20" s="174">
        <v>29</v>
      </c>
      <c r="BV20" s="174">
        <v>32</v>
      </c>
      <c r="BW20" s="174">
        <v>37</v>
      </c>
      <c r="BX20" s="174">
        <v>41</v>
      </c>
      <c r="BY20" s="174">
        <v>47</v>
      </c>
      <c r="BZ20" s="174">
        <v>137</v>
      </c>
      <c r="CA20" s="174">
        <v>189</v>
      </c>
      <c r="CB20" s="174">
        <v>233</v>
      </c>
      <c r="CC20" s="174">
        <v>277</v>
      </c>
      <c r="CD20" s="174">
        <v>375</v>
      </c>
      <c r="CE20" s="174">
        <v>70</v>
      </c>
      <c r="CF20" s="174">
        <v>5.6</v>
      </c>
      <c r="CG20" s="174">
        <v>1.1000000000000001</v>
      </c>
      <c r="CH20" s="175">
        <v>3.0196603832630239E-4</v>
      </c>
    </row>
    <row r="21" spans="1:86" x14ac:dyDescent="0.3">
      <c r="A21" s="192"/>
      <c r="B21" s="192"/>
      <c r="D21" s="161"/>
      <c r="J21" s="167"/>
      <c r="K21" s="168"/>
      <c r="L21" s="169"/>
      <c r="M21" s="67"/>
      <c r="N21" s="167"/>
      <c r="O21" s="170"/>
      <c r="P21" s="170"/>
      <c r="Q21" s="167"/>
      <c r="R21" s="167"/>
      <c r="S21" s="167"/>
      <c r="T21" s="167"/>
      <c r="U21" s="171"/>
      <c r="V21" s="171"/>
      <c r="W21" s="167"/>
      <c r="X21" s="167"/>
      <c r="Y21" s="167"/>
      <c r="Z21" s="167"/>
      <c r="AA21" s="167"/>
      <c r="AB21" s="167"/>
      <c r="AC21" s="170"/>
      <c r="AD21" s="170"/>
      <c r="AE21" s="170"/>
      <c r="AF21" s="170"/>
      <c r="AG21" s="170"/>
      <c r="AH21" s="170"/>
      <c r="AI21" s="170"/>
      <c r="AJ21" s="167"/>
      <c r="AK21" s="167"/>
      <c r="AL21" s="167"/>
      <c r="AM21" s="167"/>
      <c r="AN21" s="167"/>
      <c r="AO21" s="167"/>
      <c r="AP21" s="167"/>
      <c r="AQ21" s="167"/>
      <c r="AR21" s="167"/>
      <c r="AW21" s="174">
        <v>10.5</v>
      </c>
      <c r="AX21" s="174" t="s">
        <v>902</v>
      </c>
      <c r="AY21" s="174">
        <v>25</v>
      </c>
      <c r="AZ21" s="174">
        <v>19.5</v>
      </c>
      <c r="BA21" s="174"/>
      <c r="BB21" s="174">
        <v>12</v>
      </c>
      <c r="BC21" s="174"/>
      <c r="BD21" s="174"/>
      <c r="BE21" s="174">
        <v>22.1</v>
      </c>
      <c r="BF21" s="174">
        <v>25.6</v>
      </c>
      <c r="BG21" s="174">
        <v>28</v>
      </c>
      <c r="BH21" s="174">
        <v>30.4</v>
      </c>
      <c r="BI21" s="174">
        <v>33.9</v>
      </c>
      <c r="BJ21" s="174">
        <v>0.10730000000000001</v>
      </c>
      <c r="BK21" s="174">
        <v>0.12620000000000001</v>
      </c>
      <c r="BL21" s="174">
        <v>0.1389</v>
      </c>
      <c r="BM21" s="174">
        <v>0.15160000000000001</v>
      </c>
      <c r="BN21" s="174">
        <v>0.16589999999999999</v>
      </c>
      <c r="BO21" s="174"/>
      <c r="BP21" s="174"/>
      <c r="BQ21" s="174"/>
      <c r="BR21" s="174"/>
      <c r="BS21" s="174"/>
      <c r="BT21" s="174">
        <v>93</v>
      </c>
      <c r="BU21" s="174">
        <v>29</v>
      </c>
      <c r="BV21" s="174">
        <v>32</v>
      </c>
      <c r="BW21" s="174">
        <v>37</v>
      </c>
      <c r="BX21" s="174">
        <v>41</v>
      </c>
      <c r="BY21" s="174">
        <v>47</v>
      </c>
      <c r="BZ21" s="174">
        <v>149</v>
      </c>
      <c r="CA21" s="174">
        <v>201</v>
      </c>
      <c r="CB21" s="174">
        <v>245</v>
      </c>
      <c r="CC21" s="174">
        <v>289</v>
      </c>
      <c r="CD21" s="174">
        <v>387</v>
      </c>
      <c r="CE21" s="174">
        <v>70</v>
      </c>
      <c r="CF21" s="174">
        <v>5.6</v>
      </c>
      <c r="CG21" s="174">
        <v>1.1000000000000001</v>
      </c>
      <c r="CH21" s="175">
        <v>3.0196603832630239E-4</v>
      </c>
    </row>
    <row r="22" spans="1:86" x14ac:dyDescent="0.3">
      <c r="A22" s="192"/>
      <c r="B22" s="192"/>
      <c r="D22" s="153"/>
      <c r="J22" s="167"/>
      <c r="K22" s="168"/>
      <c r="L22" s="169"/>
      <c r="M22" s="67"/>
      <c r="N22" s="167"/>
      <c r="O22" s="170"/>
      <c r="P22" s="170"/>
      <c r="Q22" s="167"/>
      <c r="R22" s="167"/>
      <c r="S22" s="167"/>
      <c r="T22" s="167"/>
      <c r="U22" s="171"/>
      <c r="V22" s="171"/>
      <c r="W22" s="167"/>
      <c r="X22" s="167"/>
      <c r="Y22" s="167"/>
      <c r="Z22" s="167"/>
      <c r="AA22" s="167"/>
      <c r="AB22" s="167"/>
      <c r="AC22" s="170"/>
      <c r="AD22" s="170"/>
      <c r="AE22" s="170"/>
      <c r="AF22" s="170"/>
      <c r="AG22" s="170"/>
      <c r="AH22" s="170"/>
      <c r="AI22" s="170"/>
      <c r="AJ22" s="167"/>
      <c r="AK22" s="167"/>
      <c r="AL22" s="167"/>
      <c r="AM22" s="167"/>
      <c r="AN22" s="167"/>
      <c r="AO22" s="167"/>
      <c r="AP22" s="167"/>
      <c r="AQ22" s="167"/>
      <c r="AR22" s="167"/>
      <c r="AW22" s="174">
        <v>10.5</v>
      </c>
      <c r="AX22" s="174" t="s">
        <v>902</v>
      </c>
      <c r="AY22" s="174">
        <v>25</v>
      </c>
      <c r="AZ22" s="174">
        <v>19.5</v>
      </c>
      <c r="BA22" s="174"/>
      <c r="BB22" s="174">
        <v>12</v>
      </c>
      <c r="BC22" s="174"/>
      <c r="BD22" s="174"/>
      <c r="BE22" s="174">
        <v>23.8</v>
      </c>
      <c r="BF22" s="174">
        <v>29.8</v>
      </c>
      <c r="BG22" s="174">
        <v>33.799999999999997</v>
      </c>
      <c r="BH22" s="174">
        <v>37.9</v>
      </c>
      <c r="BI22" s="174">
        <v>43.9</v>
      </c>
      <c r="BJ22" s="174">
        <v>0.11650000000000001</v>
      </c>
      <c r="BK22" s="174">
        <v>0.1404</v>
      </c>
      <c r="BL22" s="174">
        <v>0.15629999999999999</v>
      </c>
      <c r="BM22" s="174">
        <v>0.17230000000000001</v>
      </c>
      <c r="BN22" s="174">
        <v>0.1961</v>
      </c>
      <c r="BO22" s="174"/>
      <c r="BP22" s="174"/>
      <c r="BQ22" s="174"/>
      <c r="BR22" s="174"/>
      <c r="BS22" s="174"/>
      <c r="BT22" s="174">
        <v>100</v>
      </c>
      <c r="BU22" s="174">
        <v>29</v>
      </c>
      <c r="BV22" s="174">
        <v>34</v>
      </c>
      <c r="BW22" s="174">
        <v>38</v>
      </c>
      <c r="BX22" s="174">
        <v>43</v>
      </c>
      <c r="BY22" s="174">
        <v>47</v>
      </c>
      <c r="BZ22" s="174">
        <v>142</v>
      </c>
      <c r="CA22" s="174">
        <v>214</v>
      </c>
      <c r="CB22" s="174">
        <v>259</v>
      </c>
      <c r="CC22" s="174">
        <v>305</v>
      </c>
      <c r="CD22" s="174">
        <v>408</v>
      </c>
      <c r="CE22" s="174">
        <v>125</v>
      </c>
      <c r="CF22" s="174">
        <v>7.3</v>
      </c>
      <c r="CG22" s="174">
        <v>1.3</v>
      </c>
      <c r="CH22" s="175">
        <v>1.116120469669757E-3</v>
      </c>
    </row>
    <row r="23" spans="1:86" x14ac:dyDescent="0.3">
      <c r="A23" s="192"/>
      <c r="B23" s="192"/>
      <c r="D23" s="195">
        <v>19605.141384222999</v>
      </c>
      <c r="J23" s="167"/>
      <c r="K23" s="168"/>
      <c r="L23" s="169"/>
      <c r="M23" s="67"/>
      <c r="N23" s="167"/>
      <c r="O23" s="170"/>
      <c r="P23" s="170"/>
      <c r="Q23" s="167"/>
      <c r="R23" s="167"/>
      <c r="S23" s="167"/>
      <c r="T23" s="167"/>
      <c r="U23" s="171"/>
      <c r="V23" s="171"/>
      <c r="W23" s="167"/>
      <c r="X23" s="167"/>
      <c r="Y23" s="167"/>
      <c r="Z23" s="167"/>
      <c r="AA23" s="167"/>
      <c r="AB23" s="167"/>
      <c r="AC23" s="170"/>
      <c r="AD23" s="170"/>
      <c r="AE23" s="170"/>
      <c r="AF23" s="170"/>
      <c r="AG23" s="170"/>
      <c r="AH23" s="170"/>
      <c r="AI23" s="170"/>
      <c r="AJ23" s="167"/>
      <c r="AK23" s="167"/>
      <c r="AL23" s="167"/>
      <c r="AM23" s="167"/>
      <c r="AN23" s="167"/>
      <c r="AO23" s="167"/>
      <c r="AP23" s="167"/>
      <c r="AQ23" s="167"/>
      <c r="AR23" s="167"/>
      <c r="AW23" s="174">
        <v>12</v>
      </c>
      <c r="AX23" s="174" t="s">
        <v>902</v>
      </c>
      <c r="AY23" s="174">
        <v>25</v>
      </c>
      <c r="AZ23" s="174">
        <v>19.5</v>
      </c>
      <c r="BA23" s="174"/>
      <c r="BB23" s="174">
        <v>12</v>
      </c>
      <c r="BC23" s="174"/>
      <c r="BD23" s="174"/>
      <c r="BE23" s="174">
        <v>55.7</v>
      </c>
      <c r="BF23" s="174">
        <v>61.7</v>
      </c>
      <c r="BG23" s="174">
        <v>65.8</v>
      </c>
      <c r="BH23" s="174">
        <v>69.8</v>
      </c>
      <c r="BI23" s="174">
        <v>75.8</v>
      </c>
      <c r="BJ23" s="174">
        <v>0.20080000000000001</v>
      </c>
      <c r="BK23" s="174">
        <v>0.22459999999999999</v>
      </c>
      <c r="BL23" s="174">
        <v>0.24060000000000001</v>
      </c>
      <c r="BM23" s="174">
        <v>0.25650000000000001</v>
      </c>
      <c r="BN23" s="174">
        <v>0.28039999999999998</v>
      </c>
      <c r="BO23" s="174"/>
      <c r="BP23" s="174"/>
      <c r="BQ23" s="174"/>
      <c r="BR23" s="174"/>
      <c r="BS23" s="174"/>
      <c r="BT23" s="174">
        <v>100</v>
      </c>
      <c r="BU23" s="174">
        <v>29</v>
      </c>
      <c r="BV23" s="174">
        <v>34</v>
      </c>
      <c r="BW23" s="174">
        <v>38</v>
      </c>
      <c r="BX23" s="174">
        <v>43</v>
      </c>
      <c r="BY23" s="174">
        <v>47</v>
      </c>
      <c r="BZ23" s="174">
        <v>209</v>
      </c>
      <c r="CA23" s="174">
        <v>281</v>
      </c>
      <c r="CB23" s="174">
        <v>326</v>
      </c>
      <c r="CC23" s="174">
        <v>372</v>
      </c>
      <c r="CD23" s="174">
        <v>475</v>
      </c>
      <c r="CE23" s="174">
        <v>125</v>
      </c>
      <c r="CF23" s="174">
        <v>7.3</v>
      </c>
      <c r="CG23" s="174">
        <v>1.3</v>
      </c>
      <c r="CH23" s="175">
        <v>1.116120469669757E-3</v>
      </c>
    </row>
    <row r="24" spans="1:86" x14ac:dyDescent="0.3">
      <c r="A24" s="192"/>
      <c r="B24" s="192"/>
      <c r="D24" s="195">
        <v>-870845.30511764705</v>
      </c>
      <c r="J24" s="167"/>
      <c r="K24" s="168"/>
      <c r="L24" s="169"/>
      <c r="M24" s="67"/>
      <c r="N24" s="167"/>
      <c r="O24" s="170"/>
      <c r="P24" s="170"/>
      <c r="Q24" s="167"/>
      <c r="R24" s="167"/>
      <c r="S24" s="167"/>
      <c r="T24" s="167"/>
      <c r="U24" s="171"/>
      <c r="V24" s="171"/>
      <c r="W24" s="167"/>
      <c r="X24" s="167"/>
      <c r="Y24" s="167"/>
      <c r="Z24" s="167"/>
      <c r="AA24" s="167"/>
      <c r="AB24" s="167"/>
      <c r="AC24" s="170"/>
      <c r="AD24" s="170"/>
      <c r="AE24" s="170"/>
      <c r="AF24" s="170"/>
      <c r="AG24" s="170"/>
      <c r="AH24" s="170"/>
      <c r="AI24" s="170"/>
      <c r="AJ24" s="167"/>
      <c r="AK24" s="167"/>
      <c r="AL24" s="167"/>
      <c r="AM24" s="167"/>
      <c r="AN24" s="167"/>
      <c r="AO24" s="167"/>
      <c r="AP24" s="167"/>
      <c r="AQ24" s="167"/>
      <c r="AR24" s="167"/>
      <c r="AW24" s="174">
        <v>12</v>
      </c>
      <c r="AX24" s="174" t="s">
        <v>902</v>
      </c>
      <c r="AY24" s="174">
        <v>25</v>
      </c>
      <c r="AZ24" s="174">
        <v>19.5</v>
      </c>
      <c r="BA24" s="174"/>
      <c r="BB24" s="174">
        <v>12</v>
      </c>
      <c r="BC24" s="174"/>
      <c r="BD24" s="174"/>
      <c r="BE24" s="174">
        <v>38.700000000000003</v>
      </c>
      <c r="BF24" s="174">
        <v>44.7</v>
      </c>
      <c r="BG24" s="174">
        <v>48.7</v>
      </c>
      <c r="BH24" s="174">
        <v>52.7</v>
      </c>
      <c r="BI24" s="174">
        <v>57.7</v>
      </c>
      <c r="BJ24" s="174">
        <v>0.1285</v>
      </c>
      <c r="BK24" s="174">
        <v>0.15859999999999999</v>
      </c>
      <c r="BL24" s="174">
        <v>0.1787</v>
      </c>
      <c r="BM24" s="174">
        <v>0.1988</v>
      </c>
      <c r="BN24" s="174">
        <v>0.25319999999999998</v>
      </c>
      <c r="BO24" s="174"/>
      <c r="BP24" s="174"/>
      <c r="BQ24" s="174"/>
      <c r="BR24" s="174"/>
      <c r="BS24" s="174"/>
      <c r="BT24" s="174">
        <v>95</v>
      </c>
      <c r="BU24" s="174">
        <v>29</v>
      </c>
      <c r="BV24" s="174">
        <v>32</v>
      </c>
      <c r="BW24" s="174">
        <v>36</v>
      </c>
      <c r="BX24" s="174">
        <v>41</v>
      </c>
      <c r="BY24" s="174">
        <v>47</v>
      </c>
      <c r="BZ24" s="174">
        <v>192</v>
      </c>
      <c r="CA24" s="174">
        <v>265</v>
      </c>
      <c r="CB24" s="174">
        <v>311</v>
      </c>
      <c r="CC24" s="174">
        <v>357</v>
      </c>
      <c r="CD24" s="174">
        <v>461</v>
      </c>
      <c r="CE24" s="174">
        <v>83.6</v>
      </c>
      <c r="CF24" s="174">
        <v>4.3</v>
      </c>
      <c r="CG24" s="174">
        <v>1</v>
      </c>
      <c r="CH24" s="175">
        <v>2.9669100809277728E-4</v>
      </c>
    </row>
    <row r="25" spans="1:86" x14ac:dyDescent="0.3">
      <c r="A25" s="192"/>
      <c r="B25" s="192"/>
      <c r="D25" s="195">
        <v>32548.304065319899</v>
      </c>
      <c r="J25" s="167"/>
      <c r="K25" s="168"/>
      <c r="L25" s="169"/>
      <c r="M25" s="67"/>
      <c r="N25" s="167"/>
      <c r="O25" s="170"/>
      <c r="P25" s="170"/>
      <c r="Q25" s="167"/>
      <c r="R25" s="167"/>
      <c r="S25" s="167"/>
      <c r="T25" s="167"/>
      <c r="U25" s="171"/>
      <c r="V25" s="171"/>
      <c r="W25" s="167"/>
      <c r="X25" s="167"/>
      <c r="Y25" s="167"/>
      <c r="Z25" s="167"/>
      <c r="AA25" s="167"/>
      <c r="AB25" s="167"/>
      <c r="AC25" s="170"/>
      <c r="AD25" s="170"/>
      <c r="AE25" s="170"/>
      <c r="AF25" s="170"/>
      <c r="AG25" s="170"/>
      <c r="AH25" s="170"/>
      <c r="AI25" s="170"/>
      <c r="AJ25" s="167"/>
      <c r="AK25" s="167"/>
      <c r="AL25" s="167"/>
      <c r="AM25" s="167"/>
      <c r="AN25" s="167"/>
      <c r="AO25" s="167"/>
      <c r="AP25" s="167"/>
      <c r="AQ25" s="167"/>
      <c r="AR25" s="167"/>
      <c r="AW25" s="174">
        <v>16.2</v>
      </c>
      <c r="AX25" s="174" t="s">
        <v>902</v>
      </c>
      <c r="AY25" s="174">
        <v>25</v>
      </c>
      <c r="AZ25" s="174">
        <v>19.5</v>
      </c>
      <c r="BA25" s="174"/>
      <c r="BB25" s="174">
        <v>12</v>
      </c>
      <c r="BC25" s="174"/>
      <c r="BD25" s="174"/>
      <c r="BE25" s="174">
        <v>8</v>
      </c>
      <c r="BF25" s="174">
        <v>13.9</v>
      </c>
      <c r="BG25" s="174">
        <v>17.899999999999999</v>
      </c>
      <c r="BH25" s="174">
        <v>21.9</v>
      </c>
      <c r="BI25" s="174">
        <v>26.9</v>
      </c>
      <c r="BJ25" s="174">
        <v>2.1600000000000001E-2</v>
      </c>
      <c r="BK25" s="174">
        <v>5.1700000000000003E-2</v>
      </c>
      <c r="BL25" s="174">
        <v>7.1800000000000003E-2</v>
      </c>
      <c r="BM25" s="174">
        <v>9.1899999999999996E-2</v>
      </c>
      <c r="BN25" s="174">
        <v>0.14630000000000001</v>
      </c>
      <c r="BO25" s="174"/>
      <c r="BP25" s="174"/>
      <c r="BQ25" s="174"/>
      <c r="BR25" s="174"/>
      <c r="BS25" s="174"/>
      <c r="BT25" s="174">
        <v>95</v>
      </c>
      <c r="BU25" s="174">
        <v>29</v>
      </c>
      <c r="BV25" s="174">
        <v>32</v>
      </c>
      <c r="BW25" s="174">
        <v>36</v>
      </c>
      <c r="BX25" s="174">
        <v>41</v>
      </c>
      <c r="BY25" s="174">
        <v>47</v>
      </c>
      <c r="BZ25" s="174">
        <v>163</v>
      </c>
      <c r="CA25" s="174">
        <v>236</v>
      </c>
      <c r="CB25" s="174">
        <v>282</v>
      </c>
      <c r="CC25" s="174">
        <v>328</v>
      </c>
      <c r="CD25" s="174">
        <v>432</v>
      </c>
      <c r="CE25" s="174">
        <v>83.6</v>
      </c>
      <c r="CF25" s="174">
        <v>4.3</v>
      </c>
      <c r="CG25" s="174">
        <v>1</v>
      </c>
      <c r="CH25" s="175">
        <v>2.9669100809277728E-4</v>
      </c>
    </row>
    <row r="26" spans="1:86" x14ac:dyDescent="0.3">
      <c r="A26" s="192"/>
      <c r="B26" s="192"/>
      <c r="D26" s="153">
        <v>0</v>
      </c>
      <c r="J26" s="167"/>
      <c r="K26" s="168"/>
      <c r="L26" s="169"/>
      <c r="M26" s="67"/>
      <c r="N26" s="167"/>
      <c r="O26" s="170"/>
      <c r="P26" s="170"/>
      <c r="Q26" s="167"/>
      <c r="R26" s="167"/>
      <c r="S26" s="167"/>
      <c r="T26" s="167"/>
      <c r="U26" s="171"/>
      <c r="V26" s="171"/>
      <c r="W26" s="167"/>
      <c r="X26" s="167"/>
      <c r="Y26" s="167"/>
      <c r="Z26" s="167"/>
      <c r="AA26" s="167"/>
      <c r="AB26" s="167"/>
      <c r="AC26" s="170"/>
      <c r="AD26" s="170"/>
      <c r="AE26" s="170"/>
      <c r="AF26" s="170"/>
      <c r="AG26" s="170"/>
      <c r="AH26" s="170"/>
      <c r="AI26" s="170"/>
      <c r="AJ26" s="167"/>
      <c r="AK26" s="167"/>
      <c r="AL26" s="167"/>
      <c r="AM26" s="167"/>
      <c r="AN26" s="167"/>
      <c r="AO26" s="167"/>
      <c r="AP26" s="167"/>
      <c r="AQ26" s="167"/>
      <c r="AR26" s="167"/>
      <c r="AW26" s="174">
        <v>16.2</v>
      </c>
      <c r="AX26" s="174" t="s">
        <v>544</v>
      </c>
      <c r="AY26" s="174">
        <v>35</v>
      </c>
      <c r="AZ26" s="174">
        <v>18.399999999999999</v>
      </c>
      <c r="BA26" s="174">
        <v>22</v>
      </c>
      <c r="BB26" s="174">
        <v>84</v>
      </c>
      <c r="BC26" s="174">
        <v>7</v>
      </c>
      <c r="BD26" s="174">
        <v>1.9</v>
      </c>
      <c r="BE26" s="174">
        <v>2.7</v>
      </c>
      <c r="BF26" s="174">
        <v>3.2</v>
      </c>
      <c r="BG26" s="174">
        <v>3.6</v>
      </c>
      <c r="BH26" s="174">
        <v>3.9</v>
      </c>
      <c r="BI26" s="174">
        <v>5.6</v>
      </c>
      <c r="BJ26" s="174">
        <v>4.4900000000000002E-2</v>
      </c>
      <c r="BK26" s="174">
        <v>5.79E-2</v>
      </c>
      <c r="BL26" s="174">
        <v>6.6600000000000006E-2</v>
      </c>
      <c r="BM26" s="174">
        <v>7.5399999999999995E-2</v>
      </c>
      <c r="BN26" s="174">
        <v>0.1138</v>
      </c>
      <c r="BO26" s="174">
        <v>102</v>
      </c>
      <c r="BP26" s="174">
        <v>153</v>
      </c>
      <c r="BQ26" s="174">
        <v>179</v>
      </c>
      <c r="BR26" s="174">
        <v>208</v>
      </c>
      <c r="BS26" s="174">
        <v>337</v>
      </c>
      <c r="BT26" s="174"/>
      <c r="BU26" s="174"/>
      <c r="BV26" s="174"/>
      <c r="BW26" s="174"/>
      <c r="BX26" s="174"/>
      <c r="BY26" s="174"/>
      <c r="BZ26" s="174">
        <v>60</v>
      </c>
      <c r="CA26" s="174">
        <v>60</v>
      </c>
      <c r="CB26" s="174">
        <v>74</v>
      </c>
      <c r="CC26" s="174">
        <v>95</v>
      </c>
      <c r="CD26" s="174">
        <v>163</v>
      </c>
      <c r="CE26" s="174">
        <v>15.2</v>
      </c>
      <c r="CF26" s="174">
        <v>5.5</v>
      </c>
      <c r="CG26" s="174">
        <v>0.9</v>
      </c>
      <c r="CH26" s="175">
        <v>3.4518326692651089E-10</v>
      </c>
    </row>
    <row r="27" spans="1:86" x14ac:dyDescent="0.3">
      <c r="A27" s="192"/>
      <c r="B27" s="192"/>
      <c r="D27" s="195">
        <v>3636.5317902217598</v>
      </c>
      <c r="J27" s="167"/>
      <c r="K27" s="168"/>
      <c r="L27" s="169"/>
      <c r="M27" s="67"/>
      <c r="N27" s="167"/>
      <c r="O27" s="170"/>
      <c r="P27" s="170"/>
      <c r="Q27" s="167"/>
      <c r="R27" s="167"/>
      <c r="S27" s="167"/>
      <c r="T27" s="167"/>
      <c r="U27" s="171"/>
      <c r="V27" s="171"/>
      <c r="W27" s="167"/>
      <c r="X27" s="167"/>
      <c r="Y27" s="167"/>
      <c r="Z27" s="167"/>
      <c r="AA27" s="167"/>
      <c r="AB27" s="167"/>
      <c r="AC27" s="170"/>
      <c r="AD27" s="170"/>
      <c r="AE27" s="170"/>
      <c r="AF27" s="170"/>
      <c r="AG27" s="170"/>
      <c r="AH27" s="170"/>
      <c r="AI27" s="170"/>
      <c r="AJ27" s="167"/>
      <c r="AK27" s="167"/>
      <c r="AL27" s="167"/>
      <c r="AM27" s="167"/>
      <c r="AN27" s="167"/>
      <c r="AO27" s="167"/>
      <c r="AP27" s="167"/>
      <c r="AQ27" s="167"/>
      <c r="AR27" s="167"/>
      <c r="AW27" s="174">
        <v>30.5</v>
      </c>
      <c r="AX27" s="174" t="s">
        <v>544</v>
      </c>
      <c r="AY27" s="174">
        <v>35</v>
      </c>
      <c r="AZ27" s="174">
        <v>18.399999999999999</v>
      </c>
      <c r="BA27" s="174">
        <v>22</v>
      </c>
      <c r="BB27" s="174">
        <v>84</v>
      </c>
      <c r="BC27" s="174">
        <v>7</v>
      </c>
      <c r="BD27" s="174">
        <v>1.9</v>
      </c>
      <c r="BE27" s="174">
        <v>3.4</v>
      </c>
      <c r="BF27" s="174">
        <v>3.9</v>
      </c>
      <c r="BG27" s="174">
        <v>4.3</v>
      </c>
      <c r="BH27" s="174">
        <v>4.5999999999999996</v>
      </c>
      <c r="BI27" s="174">
        <v>6.4</v>
      </c>
      <c r="BJ27" s="174">
        <v>4.0399999999999998E-2</v>
      </c>
      <c r="BK27" s="174">
        <v>5.3400000000000003E-2</v>
      </c>
      <c r="BL27" s="174">
        <v>6.2199999999999998E-2</v>
      </c>
      <c r="BM27" s="174">
        <v>7.0900000000000005E-2</v>
      </c>
      <c r="BN27" s="174">
        <v>0.10929999999999999</v>
      </c>
      <c r="BO27" s="174">
        <v>128</v>
      </c>
      <c r="BP27" s="174">
        <v>178</v>
      </c>
      <c r="BQ27" s="174">
        <v>205</v>
      </c>
      <c r="BR27" s="174">
        <v>233</v>
      </c>
      <c r="BS27" s="174">
        <v>363</v>
      </c>
      <c r="BT27" s="174"/>
      <c r="BU27" s="174"/>
      <c r="BV27" s="174"/>
      <c r="BW27" s="174"/>
      <c r="BX27" s="174"/>
      <c r="BY27" s="174"/>
      <c r="BZ27" s="174">
        <v>82</v>
      </c>
      <c r="CA27" s="174">
        <v>82</v>
      </c>
      <c r="CB27" s="174">
        <v>91</v>
      </c>
      <c r="CC27" s="174">
        <v>112</v>
      </c>
      <c r="CD27" s="174">
        <v>180</v>
      </c>
      <c r="CE27" s="174">
        <v>15.2</v>
      </c>
      <c r="CF27" s="174">
        <v>5.5</v>
      </c>
      <c r="CG27" s="174">
        <v>0.9</v>
      </c>
      <c r="CH27" s="175">
        <v>3.4518326692651089E-10</v>
      </c>
    </row>
    <row r="28" spans="1:86" x14ac:dyDescent="0.3">
      <c r="A28" s="192"/>
      <c r="B28" s="192"/>
      <c r="D28" s="153"/>
      <c r="J28" s="167"/>
      <c r="K28" s="168"/>
      <c r="L28" s="169"/>
      <c r="M28" s="67"/>
      <c r="N28" s="167"/>
      <c r="O28" s="170"/>
      <c r="P28" s="170"/>
      <c r="Q28" s="167"/>
      <c r="R28" s="167"/>
      <c r="S28" s="167"/>
      <c r="T28" s="167"/>
      <c r="U28" s="171"/>
      <c r="V28" s="171"/>
      <c r="W28" s="167"/>
      <c r="X28" s="167"/>
      <c r="Y28" s="167"/>
      <c r="Z28" s="167"/>
      <c r="AA28" s="167"/>
      <c r="AB28" s="167"/>
      <c r="AC28" s="170"/>
      <c r="AD28" s="170"/>
      <c r="AE28" s="170"/>
      <c r="AF28" s="170"/>
      <c r="AG28" s="170"/>
      <c r="AH28" s="170"/>
      <c r="AI28" s="170"/>
      <c r="AJ28" s="167"/>
      <c r="AK28" s="167"/>
      <c r="AL28" s="167"/>
      <c r="AM28" s="167"/>
      <c r="AN28" s="167"/>
      <c r="AO28" s="167"/>
      <c r="AP28" s="167"/>
      <c r="AQ28" s="167"/>
      <c r="AR28" s="167"/>
      <c r="AW28" s="174">
        <v>30.5</v>
      </c>
      <c r="AX28" s="174" t="s">
        <v>1812</v>
      </c>
      <c r="AY28" s="174">
        <v>37</v>
      </c>
      <c r="AZ28" s="174">
        <v>18</v>
      </c>
      <c r="BA28" s="174"/>
      <c r="BB28" s="174">
        <v>43</v>
      </c>
      <c r="BC28" s="174"/>
      <c r="BD28" s="174"/>
      <c r="BE28" s="174">
        <v>16</v>
      </c>
      <c r="BF28" s="174">
        <v>19.5</v>
      </c>
      <c r="BG28" s="174">
        <v>21.9</v>
      </c>
      <c r="BH28" s="174">
        <v>24.2</v>
      </c>
      <c r="BI28" s="174">
        <v>35.1</v>
      </c>
      <c r="BJ28" s="174">
        <v>0.12189999999999999</v>
      </c>
      <c r="BK28" s="174">
        <v>0.1376</v>
      </c>
      <c r="BL28" s="174">
        <v>0.14810000000000001</v>
      </c>
      <c r="BM28" s="174">
        <v>0.15859999999999999</v>
      </c>
      <c r="BN28" s="174">
        <v>0.19400000000000001</v>
      </c>
      <c r="BO28" s="174"/>
      <c r="BP28" s="174"/>
      <c r="BQ28" s="174"/>
      <c r="BR28" s="174"/>
      <c r="BS28" s="174"/>
      <c r="BT28" s="174">
        <v>79</v>
      </c>
      <c r="BU28" s="174">
        <v>29</v>
      </c>
      <c r="BV28" s="174">
        <v>30</v>
      </c>
      <c r="BW28" s="174">
        <v>34</v>
      </c>
      <c r="BX28" s="174">
        <v>38</v>
      </c>
      <c r="BY28" s="174">
        <v>45</v>
      </c>
      <c r="BZ28" s="174">
        <v>184</v>
      </c>
      <c r="CA28" s="174">
        <v>226</v>
      </c>
      <c r="CB28" s="174">
        <v>316</v>
      </c>
      <c r="CC28" s="174">
        <v>405</v>
      </c>
      <c r="CD28" s="174">
        <v>613</v>
      </c>
      <c r="CE28" s="174">
        <v>28.7</v>
      </c>
      <c r="CF28" s="174">
        <v>3.4</v>
      </c>
      <c r="CG28" s="174">
        <v>0.9</v>
      </c>
      <c r="CH28" s="175">
        <v>7.1884075454901206E-6</v>
      </c>
    </row>
    <row r="29" spans="1:86" x14ac:dyDescent="0.3">
      <c r="A29" s="192"/>
      <c r="B29" s="192"/>
      <c r="D29" s="153"/>
      <c r="J29" s="167"/>
      <c r="K29" s="168"/>
      <c r="L29" s="169"/>
      <c r="M29" s="67"/>
      <c r="N29" s="167"/>
      <c r="O29" s="170"/>
      <c r="P29" s="170"/>
      <c r="Q29" s="167"/>
      <c r="R29" s="167"/>
      <c r="S29" s="167"/>
      <c r="T29" s="167"/>
      <c r="U29" s="171"/>
      <c r="V29" s="171"/>
      <c r="W29" s="167"/>
      <c r="X29" s="167"/>
      <c r="Y29" s="167"/>
      <c r="Z29" s="167"/>
      <c r="AA29" s="167"/>
      <c r="AB29" s="167"/>
      <c r="AC29" s="170"/>
      <c r="AD29" s="170"/>
      <c r="AE29" s="170"/>
      <c r="AF29" s="170"/>
      <c r="AG29" s="170"/>
      <c r="AH29" s="170"/>
      <c r="AI29" s="170"/>
      <c r="AJ29" s="167"/>
      <c r="AK29" s="167"/>
      <c r="AL29" s="167"/>
      <c r="AM29" s="167"/>
      <c r="AN29" s="167"/>
      <c r="AO29" s="167"/>
      <c r="AP29" s="167"/>
      <c r="AQ29" s="167"/>
      <c r="AR29" s="167"/>
      <c r="AW29" s="174">
        <v>32.799999999999997</v>
      </c>
      <c r="AX29" s="174" t="s">
        <v>1812</v>
      </c>
      <c r="AY29" s="174">
        <v>37</v>
      </c>
      <c r="AZ29" s="174">
        <v>18</v>
      </c>
      <c r="BA29" s="174"/>
      <c r="BB29" s="174">
        <v>43</v>
      </c>
      <c r="BC29" s="174"/>
      <c r="BD29" s="174"/>
      <c r="BE29" s="174">
        <v>11.5</v>
      </c>
      <c r="BF29" s="174">
        <v>15</v>
      </c>
      <c r="BG29" s="174">
        <v>17.3</v>
      </c>
      <c r="BH29" s="174">
        <v>19.7</v>
      </c>
      <c r="BI29" s="174">
        <v>30.6</v>
      </c>
      <c r="BJ29" s="174">
        <v>5.7799999999999997E-2</v>
      </c>
      <c r="BK29" s="174">
        <v>7.3499999999999996E-2</v>
      </c>
      <c r="BL29" s="174">
        <v>8.4000000000000005E-2</v>
      </c>
      <c r="BM29" s="174">
        <v>9.4500000000000001E-2</v>
      </c>
      <c r="BN29" s="174">
        <v>0.1298</v>
      </c>
      <c r="BO29" s="174"/>
      <c r="BP29" s="174"/>
      <c r="BQ29" s="174"/>
      <c r="BR29" s="174"/>
      <c r="BS29" s="174"/>
      <c r="BT29" s="174">
        <v>79</v>
      </c>
      <c r="BU29" s="174">
        <v>29</v>
      </c>
      <c r="BV29" s="174">
        <v>30</v>
      </c>
      <c r="BW29" s="174">
        <v>34</v>
      </c>
      <c r="BX29" s="174">
        <v>38</v>
      </c>
      <c r="BY29" s="174">
        <v>45</v>
      </c>
      <c r="BZ29" s="174">
        <v>208</v>
      </c>
      <c r="CA29" s="174">
        <v>250</v>
      </c>
      <c r="CB29" s="174">
        <v>339</v>
      </c>
      <c r="CC29" s="174">
        <v>429</v>
      </c>
      <c r="CD29" s="174">
        <v>637</v>
      </c>
      <c r="CE29" s="174">
        <v>28.7</v>
      </c>
      <c r="CF29" s="174">
        <v>3.4</v>
      </c>
      <c r="CG29" s="174">
        <v>0.9</v>
      </c>
      <c r="CH29" s="175">
        <v>7.1884075454901206E-6</v>
      </c>
    </row>
    <row r="30" spans="1:86" x14ac:dyDescent="0.3">
      <c r="A30" s="192"/>
      <c r="B30" s="192"/>
      <c r="D30" s="153"/>
      <c r="J30" s="167"/>
      <c r="K30" s="168"/>
      <c r="L30" s="169"/>
      <c r="M30" s="67"/>
      <c r="N30" s="167"/>
      <c r="O30" s="170"/>
      <c r="P30" s="170"/>
      <c r="Q30" s="167"/>
      <c r="R30" s="167"/>
      <c r="S30" s="167"/>
      <c r="T30" s="167"/>
      <c r="U30" s="171"/>
      <c r="V30" s="171"/>
      <c r="W30" s="167"/>
      <c r="X30" s="167"/>
      <c r="Y30" s="167"/>
      <c r="Z30" s="167"/>
      <c r="AA30" s="167"/>
      <c r="AB30" s="167"/>
      <c r="AC30" s="170"/>
      <c r="AD30" s="170"/>
      <c r="AE30" s="170"/>
      <c r="AF30" s="170"/>
      <c r="AG30" s="170"/>
      <c r="AH30" s="170"/>
      <c r="AI30" s="170"/>
      <c r="AJ30" s="167"/>
      <c r="AK30" s="167"/>
      <c r="AL30" s="167"/>
      <c r="AM30" s="167"/>
      <c r="AN30" s="167"/>
      <c r="AO30" s="167"/>
      <c r="AP30" s="167"/>
      <c r="AQ30" s="167"/>
      <c r="AR30" s="167"/>
      <c r="AW30" s="174">
        <v>32.799999999999997</v>
      </c>
      <c r="AX30" s="174" t="s">
        <v>1812</v>
      </c>
      <c r="AY30" s="174">
        <v>37</v>
      </c>
      <c r="AZ30" s="174">
        <v>18</v>
      </c>
      <c r="BA30" s="174"/>
      <c r="BB30" s="174">
        <v>43</v>
      </c>
      <c r="BC30" s="174"/>
      <c r="BD30" s="174"/>
      <c r="BE30" s="174">
        <v>5.6</v>
      </c>
      <c r="BF30" s="174">
        <v>7.6</v>
      </c>
      <c r="BG30" s="174">
        <v>9</v>
      </c>
      <c r="BH30" s="174">
        <v>10.3</v>
      </c>
      <c r="BI30" s="174">
        <v>25.2</v>
      </c>
      <c r="BJ30" s="174">
        <v>9.01E-2</v>
      </c>
      <c r="BK30" s="174">
        <v>0.1221</v>
      </c>
      <c r="BL30" s="174">
        <v>0.14360000000000001</v>
      </c>
      <c r="BM30" s="174">
        <v>0.16500000000000001</v>
      </c>
      <c r="BN30" s="174">
        <v>0.32019999999999998</v>
      </c>
      <c r="BO30" s="174"/>
      <c r="BP30" s="174"/>
      <c r="BQ30" s="174"/>
      <c r="BR30" s="174"/>
      <c r="BS30" s="174"/>
      <c r="BT30" s="174">
        <v>56</v>
      </c>
      <c r="BU30" s="174">
        <v>29</v>
      </c>
      <c r="BV30" s="174">
        <v>29</v>
      </c>
      <c r="BW30" s="174">
        <v>30</v>
      </c>
      <c r="BX30" s="174">
        <v>34</v>
      </c>
      <c r="BY30" s="174">
        <v>40</v>
      </c>
      <c r="BZ30" s="174">
        <v>159</v>
      </c>
      <c r="CA30" s="174">
        <v>178</v>
      </c>
      <c r="CB30" s="174">
        <v>269</v>
      </c>
      <c r="CC30" s="174">
        <v>360</v>
      </c>
      <c r="CD30" s="174">
        <v>585</v>
      </c>
      <c r="CE30" s="174">
        <v>14.4</v>
      </c>
      <c r="CF30" s="174">
        <v>1</v>
      </c>
      <c r="CG30" s="174">
        <v>0.5</v>
      </c>
      <c r="CH30" s="175">
        <v>2.2782399620004218E-8</v>
      </c>
    </row>
    <row r="31" spans="1:86" x14ac:dyDescent="0.3">
      <c r="A31" s="192"/>
      <c r="B31" s="192"/>
      <c r="D31" s="153"/>
      <c r="J31" s="167"/>
      <c r="K31" s="168"/>
      <c r="L31" s="169"/>
      <c r="M31" s="67"/>
      <c r="N31" s="167"/>
      <c r="O31" s="170"/>
      <c r="P31" s="170"/>
      <c r="Q31" s="167"/>
      <c r="R31" s="167"/>
      <c r="S31" s="167"/>
      <c r="T31" s="167"/>
      <c r="U31" s="171"/>
      <c r="V31" s="171"/>
      <c r="W31" s="167"/>
      <c r="X31" s="167"/>
      <c r="Y31" s="167"/>
      <c r="Z31" s="167"/>
      <c r="AA31" s="167"/>
      <c r="AB31" s="167"/>
      <c r="AC31" s="170"/>
      <c r="AD31" s="170"/>
      <c r="AE31" s="170"/>
      <c r="AF31" s="170"/>
      <c r="AG31" s="170"/>
      <c r="AH31" s="170"/>
      <c r="AI31" s="170"/>
      <c r="AJ31" s="167"/>
      <c r="AK31" s="167"/>
      <c r="AL31" s="167"/>
      <c r="AM31" s="167"/>
      <c r="AN31" s="167"/>
      <c r="AO31" s="167"/>
      <c r="AP31" s="167"/>
      <c r="AQ31" s="167"/>
      <c r="AR31" s="167"/>
      <c r="AW31" s="174">
        <v>36</v>
      </c>
      <c r="AX31" s="174" t="s">
        <v>1812</v>
      </c>
      <c r="AY31" s="174">
        <v>37</v>
      </c>
      <c r="AZ31" s="174">
        <v>18</v>
      </c>
      <c r="BA31" s="174"/>
      <c r="BB31" s="174">
        <v>43</v>
      </c>
      <c r="BC31" s="174"/>
      <c r="BD31" s="174"/>
      <c r="BE31" s="174">
        <v>4.3</v>
      </c>
      <c r="BF31" s="174">
        <v>6.3</v>
      </c>
      <c r="BG31" s="174">
        <v>7.7</v>
      </c>
      <c r="BH31" s="174">
        <v>9.1</v>
      </c>
      <c r="BI31" s="174">
        <v>23.9</v>
      </c>
      <c r="BJ31" s="174">
        <v>7.0300000000000001E-2</v>
      </c>
      <c r="BK31" s="174">
        <v>0.1024</v>
      </c>
      <c r="BL31" s="174">
        <v>0.12379999999999999</v>
      </c>
      <c r="BM31" s="174">
        <v>0.14530000000000001</v>
      </c>
      <c r="BN31" s="174">
        <v>0.30049999999999999</v>
      </c>
      <c r="BO31" s="174"/>
      <c r="BP31" s="174"/>
      <c r="BQ31" s="174"/>
      <c r="BR31" s="174"/>
      <c r="BS31" s="174"/>
      <c r="BT31" s="174">
        <v>56</v>
      </c>
      <c r="BU31" s="174">
        <v>29</v>
      </c>
      <c r="BV31" s="174">
        <v>29</v>
      </c>
      <c r="BW31" s="174">
        <v>30</v>
      </c>
      <c r="BX31" s="174">
        <v>34</v>
      </c>
      <c r="BY31" s="174">
        <v>40</v>
      </c>
      <c r="BZ31" s="174">
        <v>167</v>
      </c>
      <c r="CA31" s="174">
        <v>185</v>
      </c>
      <c r="CB31" s="174">
        <v>276</v>
      </c>
      <c r="CC31" s="174">
        <v>367</v>
      </c>
      <c r="CD31" s="174">
        <v>592</v>
      </c>
      <c r="CE31" s="174">
        <v>14.4</v>
      </c>
      <c r="CF31" s="174">
        <v>1</v>
      </c>
      <c r="CG31" s="174">
        <v>0.5</v>
      </c>
      <c r="CH31" s="175">
        <v>2.2782399620004218E-8</v>
      </c>
    </row>
    <row r="32" spans="1:86" x14ac:dyDescent="0.3">
      <c r="A32" s="192"/>
      <c r="B32" s="192"/>
      <c r="D32" s="153"/>
      <c r="L32" s="196"/>
      <c r="M32" s="196" t="s">
        <v>395</v>
      </c>
      <c r="N32" s="167"/>
      <c r="O32" s="170"/>
      <c r="P32" s="167"/>
      <c r="Q32" s="167"/>
      <c r="R32" s="19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I32" s="167"/>
      <c r="AJ32" s="167"/>
      <c r="AK32" s="167"/>
      <c r="AL32" s="167"/>
      <c r="AM32" s="167"/>
      <c r="AN32" s="167"/>
      <c r="AO32" s="167"/>
      <c r="AP32" s="167"/>
      <c r="AW32" s="174">
        <v>36</v>
      </c>
      <c r="AX32" s="174" t="s">
        <v>1812</v>
      </c>
      <c r="AY32" s="174">
        <v>37</v>
      </c>
      <c r="AZ32" s="174">
        <v>18</v>
      </c>
      <c r="BA32" s="174"/>
      <c r="BB32" s="174">
        <v>43</v>
      </c>
      <c r="BC32" s="174"/>
      <c r="BD32" s="174"/>
      <c r="BE32" s="174">
        <v>14</v>
      </c>
      <c r="BF32" s="174">
        <v>19.600000000000001</v>
      </c>
      <c r="BG32" s="174">
        <v>23.4</v>
      </c>
      <c r="BH32" s="174">
        <v>27.2</v>
      </c>
      <c r="BI32" s="174">
        <v>44.4</v>
      </c>
      <c r="BJ32" s="174">
        <v>0.1754</v>
      </c>
      <c r="BK32" s="174">
        <v>0.2455</v>
      </c>
      <c r="BL32" s="174">
        <v>0.29239999999999999</v>
      </c>
      <c r="BM32" s="174">
        <v>0.3392</v>
      </c>
      <c r="BN32" s="174">
        <v>0.50439999999999996</v>
      </c>
      <c r="BO32" s="174"/>
      <c r="BP32" s="174"/>
      <c r="BQ32" s="174"/>
      <c r="BR32" s="174"/>
      <c r="BS32" s="174"/>
      <c r="BT32" s="174">
        <v>78</v>
      </c>
      <c r="BU32" s="174">
        <v>29</v>
      </c>
      <c r="BV32" s="174">
        <v>30</v>
      </c>
      <c r="BW32" s="174">
        <v>34</v>
      </c>
      <c r="BX32" s="174">
        <v>38</v>
      </c>
      <c r="BY32" s="174">
        <v>44</v>
      </c>
      <c r="BZ32" s="174">
        <v>231</v>
      </c>
      <c r="CA32" s="174">
        <v>294</v>
      </c>
      <c r="CB32" s="174">
        <v>385</v>
      </c>
      <c r="CC32" s="174">
        <v>477</v>
      </c>
      <c r="CD32" s="174">
        <v>698</v>
      </c>
      <c r="CE32" s="174">
        <v>31.3</v>
      </c>
      <c r="CF32" s="174">
        <v>2.8</v>
      </c>
      <c r="CG32" s="174">
        <v>0.8</v>
      </c>
      <c r="CH32" s="175">
        <v>2.3896708709136542E-7</v>
      </c>
    </row>
    <row r="33" spans="1:86" x14ac:dyDescent="0.3">
      <c r="A33" s="192"/>
      <c r="B33" s="192"/>
      <c r="D33" s="153"/>
      <c r="E33" s="152" t="s">
        <v>554</v>
      </c>
      <c r="L33" s="196"/>
      <c r="M33" s="196" t="s">
        <v>395</v>
      </c>
      <c r="N33" s="167"/>
      <c r="O33" s="170"/>
      <c r="P33" s="167"/>
      <c r="Q33" s="167"/>
      <c r="R33" s="197"/>
      <c r="S33" s="167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I33" s="167"/>
      <c r="AJ33" s="167"/>
      <c r="AK33" s="167"/>
      <c r="AL33" s="167"/>
      <c r="AM33" s="167"/>
      <c r="AN33" s="167"/>
      <c r="AO33" s="167"/>
      <c r="AP33" s="167"/>
      <c r="AW33" s="174">
        <v>50</v>
      </c>
      <c r="AX33" s="174" t="s">
        <v>1812</v>
      </c>
      <c r="AY33" s="174">
        <v>37</v>
      </c>
      <c r="AZ33" s="174">
        <v>18</v>
      </c>
      <c r="BA33" s="174"/>
      <c r="BB33" s="174">
        <v>43</v>
      </c>
      <c r="BC33" s="174"/>
      <c r="BD33" s="174"/>
      <c r="BE33" s="174">
        <v>14</v>
      </c>
      <c r="BF33" s="174">
        <v>19.600000000000001</v>
      </c>
      <c r="BG33" s="174">
        <v>23.4</v>
      </c>
      <c r="BH33" s="174">
        <v>27.2</v>
      </c>
      <c r="BI33" s="174">
        <v>44.4</v>
      </c>
      <c r="BJ33" s="174">
        <v>0.1754</v>
      </c>
      <c r="BK33" s="174">
        <v>0.2455</v>
      </c>
      <c r="BL33" s="174">
        <v>0.29239999999999999</v>
      </c>
      <c r="BM33" s="174">
        <v>0.3392</v>
      </c>
      <c r="BN33" s="174">
        <v>0.50439999999999996</v>
      </c>
      <c r="BO33" s="174"/>
      <c r="BP33" s="174"/>
      <c r="BQ33" s="174"/>
      <c r="BR33" s="174"/>
      <c r="BS33" s="174"/>
      <c r="BT33" s="174">
        <v>78</v>
      </c>
      <c r="BU33" s="174">
        <v>29</v>
      </c>
      <c r="BV33" s="174">
        <v>30</v>
      </c>
      <c r="BW33" s="174">
        <v>34</v>
      </c>
      <c r="BX33" s="174">
        <v>38</v>
      </c>
      <c r="BY33" s="174">
        <v>44</v>
      </c>
      <c r="BZ33" s="174">
        <v>231</v>
      </c>
      <c r="CA33" s="174">
        <v>294</v>
      </c>
      <c r="CB33" s="174">
        <v>385</v>
      </c>
      <c r="CC33" s="174">
        <v>477</v>
      </c>
      <c r="CD33" s="174">
        <v>698</v>
      </c>
      <c r="CE33" s="174">
        <v>31.3</v>
      </c>
      <c r="CF33" s="174">
        <v>2.8</v>
      </c>
      <c r="CG33" s="174">
        <v>0.8</v>
      </c>
      <c r="CH33" s="175">
        <v>2.3896708709136542E-7</v>
      </c>
    </row>
    <row r="34" spans="1:86" x14ac:dyDescent="0.3">
      <c r="E34" s="152" t="s">
        <v>554</v>
      </c>
      <c r="L34" s="196"/>
      <c r="M34" s="196" t="s">
        <v>395</v>
      </c>
      <c r="N34" s="167"/>
      <c r="O34" s="170"/>
      <c r="P34" s="167"/>
      <c r="Q34" s="167"/>
      <c r="R34" s="197"/>
      <c r="S34" s="167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I34" s="167"/>
      <c r="AJ34" s="167"/>
      <c r="AK34" s="167"/>
      <c r="AL34" s="167"/>
      <c r="AM34" s="167"/>
      <c r="AN34" s="167"/>
      <c r="AO34" s="167"/>
      <c r="AP34" s="167"/>
      <c r="AW34" s="174"/>
      <c r="AX34" s="174"/>
      <c r="AY34" s="174"/>
      <c r="AZ34" s="174"/>
      <c r="BA34" s="174"/>
      <c r="BB34" s="174"/>
      <c r="BC34" s="174"/>
      <c r="BD34" s="174"/>
      <c r="BE34" s="174"/>
      <c r="BF34" s="174"/>
      <c r="BG34" s="174"/>
      <c r="BH34" s="174"/>
      <c r="BI34" s="174"/>
      <c r="BJ34" s="174"/>
      <c r="BK34" s="174"/>
      <c r="BL34" s="174"/>
      <c r="BM34" s="174"/>
      <c r="BN34" s="174"/>
      <c r="BO34" s="174"/>
      <c r="BP34" s="174"/>
      <c r="BQ34" s="174"/>
      <c r="BR34" s="174"/>
      <c r="BS34" s="174"/>
      <c r="BT34" s="174"/>
      <c r="BU34" s="174"/>
      <c r="BV34" s="174"/>
      <c r="BW34" s="174"/>
      <c r="BX34" s="174"/>
      <c r="BY34" s="174"/>
      <c r="BZ34" s="174"/>
      <c r="CA34" s="174"/>
      <c r="CB34" s="174"/>
      <c r="CC34" s="174"/>
      <c r="CD34" s="174"/>
      <c r="CE34" s="174"/>
      <c r="CF34" s="174"/>
      <c r="CG34" s="174"/>
      <c r="CH34" s="175"/>
    </row>
    <row r="35" spans="1:86" x14ac:dyDescent="0.3">
      <c r="E35" s="152" t="s">
        <v>554</v>
      </c>
      <c r="L35" s="196"/>
      <c r="M35" s="196" t="s">
        <v>395</v>
      </c>
      <c r="N35" s="167"/>
      <c r="O35" s="170"/>
      <c r="P35" s="167"/>
      <c r="Q35" s="167"/>
      <c r="R35" s="197"/>
      <c r="S35" s="167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I35" s="167"/>
      <c r="AJ35" s="167"/>
      <c r="AK35" s="167"/>
      <c r="AL35" s="167"/>
      <c r="AM35" s="167"/>
      <c r="AN35" s="167"/>
      <c r="AO35" s="167"/>
      <c r="AP35" s="167"/>
      <c r="AW35" s="174"/>
      <c r="AX35" s="174"/>
      <c r="AY35" s="174"/>
      <c r="AZ35" s="174"/>
      <c r="BA35" s="174"/>
      <c r="BB35" s="174"/>
      <c r="BC35" s="174"/>
      <c r="BD35" s="174"/>
      <c r="BE35" s="174"/>
      <c r="BF35" s="174"/>
      <c r="BG35" s="174"/>
      <c r="BH35" s="174"/>
      <c r="BI35" s="174"/>
      <c r="BJ35" s="174"/>
      <c r="BK35" s="174"/>
      <c r="BL35" s="174"/>
      <c r="BM35" s="174"/>
      <c r="BN35" s="174"/>
      <c r="BO35" s="174"/>
      <c r="BP35" s="174"/>
      <c r="BQ35" s="174"/>
      <c r="BR35" s="174"/>
      <c r="BS35" s="174"/>
      <c r="BT35" s="174"/>
      <c r="BU35" s="174"/>
      <c r="BV35" s="174"/>
      <c r="BW35" s="174"/>
      <c r="BX35" s="174"/>
      <c r="BY35" s="174"/>
      <c r="BZ35" s="174"/>
      <c r="CA35" s="174"/>
      <c r="CB35" s="174"/>
      <c r="CC35" s="174"/>
      <c r="CD35" s="174"/>
      <c r="CE35" s="174"/>
      <c r="CF35" s="174"/>
      <c r="CG35" s="174"/>
      <c r="CH35" s="175"/>
    </row>
    <row r="36" spans="1:86" x14ac:dyDescent="0.3">
      <c r="E36" s="152" t="s">
        <v>1131</v>
      </c>
      <c r="L36" s="196"/>
      <c r="M36" s="196" t="s">
        <v>395</v>
      </c>
      <c r="N36" s="167"/>
      <c r="O36" s="170"/>
      <c r="P36" s="167"/>
      <c r="Q36" s="167"/>
      <c r="R36" s="19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I36" s="167"/>
      <c r="AJ36" s="167"/>
      <c r="AK36" s="167"/>
      <c r="AL36" s="167"/>
      <c r="AM36" s="167"/>
      <c r="AN36" s="167"/>
      <c r="AO36" s="167"/>
      <c r="AP36" s="167"/>
      <c r="AW36" s="174"/>
      <c r="AX36" s="174"/>
      <c r="AY36" s="174"/>
      <c r="AZ36" s="174"/>
      <c r="BA36" s="174"/>
      <c r="BB36" s="174"/>
      <c r="BC36" s="174"/>
      <c r="BD36" s="174"/>
      <c r="BE36" s="174"/>
      <c r="BF36" s="174"/>
      <c r="BG36" s="174"/>
      <c r="BH36" s="174"/>
      <c r="BI36" s="174"/>
      <c r="BJ36" s="174"/>
      <c r="BK36" s="174"/>
      <c r="BL36" s="174"/>
      <c r="BM36" s="174"/>
      <c r="BN36" s="174"/>
      <c r="BO36" s="174"/>
      <c r="BP36" s="174"/>
      <c r="BQ36" s="174"/>
      <c r="BR36" s="174"/>
      <c r="BS36" s="174"/>
      <c r="BT36" s="174"/>
      <c r="BU36" s="174"/>
      <c r="BV36" s="174"/>
      <c r="BW36" s="174"/>
      <c r="BX36" s="174"/>
      <c r="BY36" s="174"/>
      <c r="BZ36" s="174"/>
      <c r="CA36" s="174"/>
      <c r="CB36" s="174"/>
      <c r="CC36" s="174"/>
      <c r="CD36" s="174"/>
      <c r="CE36" s="174"/>
      <c r="CF36" s="174"/>
      <c r="CG36" s="174"/>
      <c r="CH36" s="175"/>
    </row>
    <row r="37" spans="1:86" x14ac:dyDescent="0.3">
      <c r="E37" s="152" t="s">
        <v>1134</v>
      </c>
      <c r="L37" s="196"/>
      <c r="AE37" s="167"/>
      <c r="AF37" s="167" t="s">
        <v>394</v>
      </c>
      <c r="AG37" s="167" t="s">
        <v>393</v>
      </c>
      <c r="AH37" s="167" t="s">
        <v>59</v>
      </c>
      <c r="AW37" s="174"/>
      <c r="AX37" s="174"/>
      <c r="AY37" s="174"/>
      <c r="AZ37" s="174"/>
      <c r="BA37" s="174"/>
      <c r="BB37" s="174"/>
      <c r="BC37" s="174"/>
      <c r="BD37" s="174"/>
      <c r="BE37" s="174"/>
      <c r="BF37" s="174"/>
      <c r="BG37" s="174"/>
      <c r="BH37" s="174"/>
      <c r="BI37" s="174"/>
      <c r="BJ37" s="174"/>
      <c r="BK37" s="174"/>
      <c r="BL37" s="174"/>
      <c r="BM37" s="174"/>
      <c r="BN37" s="174"/>
      <c r="BO37" s="174"/>
      <c r="BP37" s="174"/>
      <c r="BQ37" s="174"/>
      <c r="BR37" s="174"/>
      <c r="BS37" s="174"/>
      <c r="BT37" s="174"/>
      <c r="BU37" s="174"/>
      <c r="BV37" s="174"/>
      <c r="BW37" s="174"/>
      <c r="BX37" s="174"/>
      <c r="BY37" s="174"/>
      <c r="BZ37" s="174"/>
      <c r="CA37" s="174"/>
      <c r="CB37" s="174"/>
      <c r="CC37" s="174"/>
      <c r="CD37" s="174"/>
      <c r="CE37" s="174"/>
      <c r="CF37" s="174"/>
      <c r="CG37" s="174"/>
      <c r="CH37" s="175"/>
    </row>
    <row r="38" spans="1:86" x14ac:dyDescent="0.3">
      <c r="E38" s="152" t="s">
        <v>1125</v>
      </c>
      <c r="L38" s="196"/>
      <c r="AE38" s="152" t="s">
        <v>392</v>
      </c>
      <c r="AF38" s="152" t="s">
        <v>391</v>
      </c>
      <c r="AG38" s="152" t="s">
        <v>390</v>
      </c>
      <c r="AW38" s="174"/>
      <c r="AX38" s="174"/>
      <c r="AY38" s="174"/>
      <c r="AZ38" s="174"/>
      <c r="BA38" s="174"/>
      <c r="BB38" s="174"/>
      <c r="BC38" s="174"/>
      <c r="BD38" s="174"/>
      <c r="BE38" s="174"/>
      <c r="BF38" s="174"/>
      <c r="BG38" s="174"/>
      <c r="BH38" s="174"/>
      <c r="BI38" s="174"/>
      <c r="BJ38" s="174"/>
      <c r="BK38" s="174"/>
      <c r="BL38" s="174"/>
      <c r="BM38" s="174"/>
      <c r="BN38" s="174"/>
      <c r="BO38" s="174"/>
      <c r="BP38" s="174"/>
      <c r="BQ38" s="174"/>
      <c r="BR38" s="174"/>
      <c r="BS38" s="174"/>
      <c r="BT38" s="174"/>
      <c r="BU38" s="174"/>
      <c r="BV38" s="174"/>
      <c r="BW38" s="174"/>
      <c r="BX38" s="174"/>
      <c r="BY38" s="174"/>
      <c r="BZ38" s="174"/>
      <c r="CA38" s="174"/>
      <c r="CB38" s="174"/>
      <c r="CC38" s="174"/>
      <c r="CD38" s="174"/>
      <c r="CE38" s="174"/>
      <c r="CF38" s="174"/>
      <c r="CG38" s="174"/>
      <c r="CH38" s="175"/>
    </row>
    <row r="39" spans="1:86" x14ac:dyDescent="0.3">
      <c r="E39" s="152" t="s">
        <v>1139</v>
      </c>
      <c r="L39" s="196"/>
      <c r="AE39" s="152">
        <v>15</v>
      </c>
      <c r="AF39" s="152">
        <v>48</v>
      </c>
      <c r="AG39" s="152">
        <v>1900</v>
      </c>
      <c r="AH39" s="152">
        <v>8</v>
      </c>
      <c r="AW39" s="174"/>
      <c r="AX39" s="174"/>
      <c r="AY39" s="174"/>
      <c r="AZ39" s="174"/>
      <c r="BA39" s="174"/>
      <c r="BB39" s="174"/>
      <c r="BC39" s="174"/>
      <c r="BD39" s="174"/>
      <c r="BE39" s="174"/>
      <c r="BF39" s="174"/>
      <c r="BG39" s="174"/>
      <c r="BH39" s="174"/>
      <c r="BI39" s="174"/>
      <c r="BJ39" s="174"/>
      <c r="BK39" s="174"/>
      <c r="BL39" s="174"/>
      <c r="BM39" s="174"/>
      <c r="BN39" s="174"/>
      <c r="BO39" s="174"/>
      <c r="BP39" s="174"/>
      <c r="BQ39" s="174"/>
      <c r="BR39" s="174"/>
      <c r="BS39" s="174"/>
      <c r="BT39" s="174"/>
      <c r="BU39" s="174"/>
      <c r="BV39" s="174"/>
      <c r="BW39" s="174"/>
      <c r="BX39" s="174"/>
      <c r="BY39" s="174"/>
      <c r="BZ39" s="174"/>
      <c r="CA39" s="174"/>
      <c r="CB39" s="174"/>
      <c r="CC39" s="174"/>
      <c r="CD39" s="174"/>
      <c r="CE39" s="174"/>
      <c r="CF39" s="174"/>
      <c r="CG39" s="174"/>
      <c r="CH39" s="175"/>
    </row>
    <row r="40" spans="1:86" x14ac:dyDescent="0.3">
      <c r="E40" s="152" t="s">
        <v>1048</v>
      </c>
      <c r="L40" s="196"/>
      <c r="AE40" s="152">
        <v>16</v>
      </c>
      <c r="AF40" s="152">
        <f>AF39+3.8</f>
        <v>51.8</v>
      </c>
      <c r="AG40" s="152">
        <f>AG39+200</f>
        <v>2100</v>
      </c>
      <c r="AH40" s="152">
        <f>AH39+0.8</f>
        <v>8.8000000000000007</v>
      </c>
      <c r="AW40" s="174"/>
      <c r="AX40" s="174"/>
      <c r="AY40" s="174"/>
      <c r="AZ40" s="174"/>
      <c r="BA40" s="174"/>
      <c r="BB40" s="174"/>
      <c r="BC40" s="174"/>
      <c r="BD40" s="174"/>
      <c r="BE40" s="174"/>
      <c r="BF40" s="174"/>
      <c r="BG40" s="174"/>
      <c r="BH40" s="174"/>
      <c r="BI40" s="174"/>
      <c r="BJ40" s="174"/>
      <c r="BK40" s="174"/>
      <c r="BL40" s="174"/>
      <c r="BM40" s="174"/>
      <c r="BN40" s="174"/>
      <c r="BO40" s="174"/>
      <c r="BP40" s="174"/>
      <c r="BQ40" s="174"/>
      <c r="BR40" s="174"/>
      <c r="BS40" s="174"/>
      <c r="BT40" s="174"/>
      <c r="BU40" s="174"/>
      <c r="BV40" s="174"/>
      <c r="BW40" s="174"/>
      <c r="BX40" s="174"/>
      <c r="BY40" s="174"/>
      <c r="BZ40" s="174"/>
      <c r="CA40" s="174"/>
      <c r="CB40" s="174"/>
      <c r="CC40" s="174"/>
      <c r="CD40" s="174"/>
      <c r="CE40" s="174"/>
      <c r="CF40" s="174"/>
      <c r="CG40" s="174"/>
      <c r="CH40" s="175"/>
    </row>
    <row r="41" spans="1:86" x14ac:dyDescent="0.3">
      <c r="E41" s="152" t="s">
        <v>957</v>
      </c>
      <c r="L41" s="196"/>
      <c r="AE41" s="152">
        <v>17</v>
      </c>
      <c r="AF41" s="152">
        <f>AF40+3.8</f>
        <v>55.599999999999994</v>
      </c>
      <c r="AG41" s="152">
        <f>AG40+200</f>
        <v>2300</v>
      </c>
      <c r="AH41" s="152">
        <f>AH40+0.8</f>
        <v>9.6000000000000014</v>
      </c>
      <c r="AW41" s="174"/>
      <c r="AX41" s="174"/>
      <c r="AY41" s="174"/>
      <c r="AZ41" s="174"/>
      <c r="BA41" s="174"/>
      <c r="BB41" s="174"/>
      <c r="BC41" s="174"/>
      <c r="BD41" s="174"/>
      <c r="BE41" s="174"/>
      <c r="BF41" s="174"/>
      <c r="BG41" s="174"/>
      <c r="BH41" s="174"/>
      <c r="BI41" s="174"/>
      <c r="BJ41" s="174"/>
      <c r="BK41" s="174"/>
      <c r="BL41" s="174"/>
      <c r="BM41" s="174"/>
      <c r="BN41" s="174"/>
      <c r="BO41" s="174"/>
      <c r="BP41" s="174"/>
      <c r="BQ41" s="174"/>
      <c r="BR41" s="174"/>
      <c r="BS41" s="174"/>
      <c r="BT41" s="174"/>
      <c r="BU41" s="174"/>
      <c r="BV41" s="174"/>
      <c r="BW41" s="174"/>
      <c r="BX41" s="174"/>
      <c r="BY41" s="174"/>
      <c r="BZ41" s="174"/>
      <c r="CA41" s="174"/>
      <c r="CB41" s="174"/>
      <c r="CC41" s="174"/>
      <c r="CD41" s="174"/>
      <c r="CE41" s="174"/>
      <c r="CF41" s="174"/>
      <c r="CG41" s="174"/>
      <c r="CH41" s="175"/>
    </row>
    <row r="42" spans="1:86" x14ac:dyDescent="0.3">
      <c r="E42" s="152" t="s">
        <v>1050</v>
      </c>
      <c r="L42" s="196"/>
      <c r="AE42" s="152">
        <v>18</v>
      </c>
      <c r="AF42" s="152">
        <f>AF41+3.8</f>
        <v>59.399999999999991</v>
      </c>
      <c r="AG42" s="152">
        <f>AG41+200</f>
        <v>2500</v>
      </c>
      <c r="AH42" s="152">
        <f>AH41+0.8</f>
        <v>10.400000000000002</v>
      </c>
      <c r="AW42" s="174"/>
      <c r="AX42" s="174"/>
      <c r="AY42" s="174"/>
      <c r="AZ42" s="174"/>
      <c r="BA42" s="174"/>
      <c r="BB42" s="174"/>
      <c r="BC42" s="174"/>
      <c r="BD42" s="174"/>
      <c r="BE42" s="174"/>
      <c r="BF42" s="174"/>
      <c r="BG42" s="174"/>
      <c r="BH42" s="174"/>
      <c r="BI42" s="174"/>
      <c r="BJ42" s="174"/>
      <c r="BK42" s="174"/>
      <c r="BL42" s="174"/>
      <c r="BM42" s="174"/>
      <c r="BN42" s="174"/>
      <c r="BO42" s="174"/>
      <c r="BP42" s="174"/>
      <c r="BQ42" s="174"/>
      <c r="BR42" s="174"/>
      <c r="BS42" s="174"/>
      <c r="BT42" s="174"/>
      <c r="BU42" s="174"/>
      <c r="BV42" s="174"/>
      <c r="BW42" s="174"/>
      <c r="BX42" s="174"/>
      <c r="BY42" s="174"/>
      <c r="BZ42" s="174"/>
      <c r="CA42" s="174"/>
      <c r="CB42" s="174"/>
      <c r="CC42" s="174"/>
      <c r="CD42" s="174"/>
      <c r="CE42" s="174"/>
      <c r="CF42" s="174"/>
      <c r="CG42" s="174"/>
      <c r="CH42" s="175"/>
    </row>
    <row r="43" spans="1:86" x14ac:dyDescent="0.3">
      <c r="E43" s="152" t="s">
        <v>558</v>
      </c>
      <c r="L43" s="196"/>
      <c r="AE43" s="152">
        <v>19</v>
      </c>
      <c r="AF43" s="152">
        <f>AF42+3.8</f>
        <v>63.199999999999989</v>
      </c>
      <c r="AG43" s="152">
        <f>AG42+200</f>
        <v>2700</v>
      </c>
      <c r="AH43" s="152">
        <f>AH42+0.8</f>
        <v>11.200000000000003</v>
      </c>
      <c r="AW43" s="174"/>
      <c r="AX43" s="174"/>
      <c r="AY43" s="174"/>
      <c r="AZ43" s="174"/>
      <c r="BA43" s="174"/>
      <c r="BB43" s="174"/>
      <c r="BC43" s="174"/>
      <c r="BD43" s="174"/>
      <c r="BE43" s="174"/>
      <c r="BF43" s="174"/>
      <c r="BG43" s="174"/>
      <c r="BH43" s="174"/>
      <c r="BI43" s="174"/>
      <c r="BJ43" s="174"/>
      <c r="BK43" s="174"/>
      <c r="BL43" s="174"/>
      <c r="BM43" s="174"/>
      <c r="BN43" s="174"/>
      <c r="BO43" s="174"/>
      <c r="BP43" s="174"/>
      <c r="BQ43" s="174"/>
      <c r="BR43" s="174"/>
      <c r="BS43" s="174"/>
      <c r="BT43" s="174"/>
      <c r="BU43" s="174"/>
      <c r="BV43" s="174"/>
      <c r="BW43" s="174"/>
      <c r="BX43" s="174"/>
      <c r="BY43" s="174"/>
      <c r="BZ43" s="174"/>
      <c r="CA43" s="174"/>
      <c r="CB43" s="174"/>
      <c r="CC43" s="174"/>
      <c r="CD43" s="174"/>
      <c r="CE43" s="174"/>
      <c r="CF43" s="174"/>
      <c r="CG43" s="174"/>
      <c r="CH43" s="175"/>
    </row>
    <row r="44" spans="1:86" x14ac:dyDescent="0.3">
      <c r="E44" s="152" t="s">
        <v>1432</v>
      </c>
      <c r="L44" s="196"/>
      <c r="AE44" s="152">
        <v>20</v>
      </c>
      <c r="AF44" s="152">
        <f>AF43+3.8</f>
        <v>66.999999999999986</v>
      </c>
      <c r="AG44" s="152">
        <f>AG43+200</f>
        <v>2900</v>
      </c>
      <c r="AH44" s="152">
        <f>AH43+0.8</f>
        <v>12.000000000000004</v>
      </c>
      <c r="AW44" s="174"/>
      <c r="AX44" s="174"/>
      <c r="AY44" s="174"/>
      <c r="AZ44" s="174"/>
      <c r="BA44" s="174"/>
      <c r="BB44" s="174"/>
      <c r="BC44" s="174"/>
      <c r="BD44" s="174"/>
      <c r="BE44" s="174"/>
      <c r="BF44" s="174"/>
      <c r="BG44" s="174"/>
      <c r="BH44" s="174"/>
      <c r="BI44" s="174"/>
      <c r="BJ44" s="174"/>
      <c r="BK44" s="174"/>
      <c r="BL44" s="174"/>
      <c r="BM44" s="174"/>
      <c r="BN44" s="174"/>
      <c r="BO44" s="174"/>
      <c r="BP44" s="174"/>
      <c r="BQ44" s="174"/>
      <c r="BR44" s="174"/>
      <c r="BS44" s="174"/>
      <c r="BT44" s="174"/>
      <c r="BU44" s="174"/>
      <c r="BV44" s="174"/>
      <c r="BW44" s="174"/>
      <c r="BX44" s="174"/>
      <c r="BY44" s="174"/>
      <c r="BZ44" s="174"/>
      <c r="CA44" s="174"/>
      <c r="CB44" s="174"/>
      <c r="CC44" s="174"/>
      <c r="CD44" s="174"/>
      <c r="CE44" s="174"/>
      <c r="CF44" s="174"/>
      <c r="CG44" s="174"/>
      <c r="CH44" s="175"/>
    </row>
    <row r="45" spans="1:86" x14ac:dyDescent="0.3">
      <c r="E45" s="152" t="s">
        <v>1407</v>
      </c>
      <c r="L45" s="196"/>
      <c r="AE45" s="152">
        <v>21</v>
      </c>
      <c r="AF45" s="152">
        <f>AF44+2.8</f>
        <v>69.799999999999983</v>
      </c>
      <c r="AG45" s="152">
        <f>AG44+380</f>
        <v>3280</v>
      </c>
      <c r="AH45" s="152">
        <f>AH44+1.6</f>
        <v>13.600000000000003</v>
      </c>
      <c r="AW45" s="174"/>
      <c r="AX45" s="174"/>
      <c r="AY45" s="174"/>
      <c r="AZ45" s="174"/>
      <c r="BA45" s="174"/>
      <c r="BB45" s="174"/>
      <c r="BC45" s="174"/>
      <c r="BD45" s="174"/>
      <c r="BE45" s="174"/>
      <c r="BF45" s="174"/>
      <c r="BG45" s="174"/>
      <c r="BH45" s="174"/>
      <c r="BI45" s="174"/>
      <c r="BJ45" s="174"/>
      <c r="BK45" s="174"/>
      <c r="BL45" s="174"/>
      <c r="BM45" s="174"/>
      <c r="BN45" s="174"/>
      <c r="BO45" s="174"/>
      <c r="BP45" s="174"/>
      <c r="BQ45" s="174"/>
      <c r="BR45" s="174"/>
      <c r="BS45" s="174"/>
      <c r="BT45" s="174"/>
      <c r="BU45" s="174"/>
      <c r="BV45" s="174"/>
      <c r="BW45" s="174"/>
      <c r="BX45" s="174"/>
      <c r="BY45" s="174"/>
      <c r="BZ45" s="174"/>
      <c r="CA45" s="174"/>
      <c r="CB45" s="174"/>
      <c r="CC45" s="174"/>
      <c r="CD45" s="174"/>
      <c r="CE45" s="174"/>
      <c r="CF45" s="174"/>
      <c r="CG45" s="174"/>
      <c r="CH45" s="175"/>
    </row>
    <row r="46" spans="1:86" x14ac:dyDescent="0.3">
      <c r="E46" s="152" t="s">
        <v>1431</v>
      </c>
      <c r="L46" s="196"/>
      <c r="AE46" s="152">
        <v>22</v>
      </c>
      <c r="AF46" s="152">
        <f>AF45+2.8</f>
        <v>72.59999999999998</v>
      </c>
      <c r="AG46" s="152">
        <f>AG45+380</f>
        <v>3660</v>
      </c>
      <c r="AH46" s="152">
        <f>AH45+1.6</f>
        <v>15.200000000000003</v>
      </c>
      <c r="AW46" s="174"/>
      <c r="AX46" s="174"/>
      <c r="AY46" s="174"/>
      <c r="AZ46" s="174"/>
      <c r="BA46" s="174"/>
      <c r="BB46" s="174"/>
      <c r="BC46" s="174"/>
      <c r="BD46" s="174"/>
      <c r="BE46" s="174"/>
      <c r="BF46" s="174"/>
      <c r="BG46" s="174"/>
      <c r="BH46" s="174"/>
      <c r="BI46" s="174"/>
      <c r="BJ46" s="174"/>
      <c r="BK46" s="174"/>
      <c r="BL46" s="174"/>
      <c r="BM46" s="174"/>
      <c r="BN46" s="174"/>
      <c r="BO46" s="174"/>
      <c r="BP46" s="174"/>
      <c r="BQ46" s="174"/>
      <c r="BR46" s="174"/>
      <c r="BS46" s="174"/>
      <c r="BT46" s="174"/>
      <c r="BU46" s="174"/>
      <c r="BV46" s="174"/>
      <c r="BW46" s="174"/>
      <c r="BX46" s="174"/>
      <c r="BY46" s="174"/>
      <c r="BZ46" s="174"/>
      <c r="CA46" s="174"/>
      <c r="CB46" s="174"/>
      <c r="CC46" s="174"/>
      <c r="CD46" s="174"/>
      <c r="CE46" s="174"/>
      <c r="CF46" s="174"/>
      <c r="CG46" s="174"/>
      <c r="CH46" s="175"/>
    </row>
    <row r="47" spans="1:86" x14ac:dyDescent="0.3">
      <c r="L47" s="196"/>
      <c r="AE47" s="152">
        <v>23</v>
      </c>
      <c r="AF47" s="152">
        <f>AF46+2.8</f>
        <v>75.399999999999977</v>
      </c>
      <c r="AG47" s="152">
        <f>AG46+380</f>
        <v>4040</v>
      </c>
      <c r="AH47" s="152">
        <f>AH46+1.6</f>
        <v>16.800000000000004</v>
      </c>
      <c r="AW47" s="174"/>
      <c r="AX47" s="174"/>
      <c r="AY47" s="174"/>
      <c r="AZ47" s="174"/>
      <c r="BA47" s="174"/>
      <c r="BB47" s="174"/>
      <c r="BC47" s="174"/>
      <c r="BD47" s="174"/>
      <c r="BE47" s="174"/>
      <c r="BF47" s="174"/>
      <c r="BG47" s="174"/>
      <c r="BH47" s="174"/>
      <c r="BI47" s="174"/>
      <c r="BJ47" s="174"/>
      <c r="BK47" s="174"/>
      <c r="BL47" s="174"/>
      <c r="BM47" s="174"/>
      <c r="BN47" s="174"/>
      <c r="BO47" s="174"/>
      <c r="BP47" s="174"/>
      <c r="BQ47" s="174"/>
      <c r="BR47" s="174"/>
      <c r="BS47" s="174"/>
      <c r="BT47" s="174"/>
      <c r="BU47" s="174"/>
      <c r="BV47" s="174"/>
      <c r="BW47" s="174"/>
      <c r="BX47" s="174"/>
      <c r="BY47" s="174"/>
      <c r="BZ47" s="174"/>
      <c r="CA47" s="174"/>
      <c r="CB47" s="174"/>
      <c r="CC47" s="174"/>
      <c r="CD47" s="174"/>
      <c r="CE47" s="174"/>
      <c r="CF47" s="174"/>
      <c r="CG47" s="174"/>
      <c r="CH47" s="175"/>
    </row>
    <row r="48" spans="1:86" x14ac:dyDescent="0.3">
      <c r="L48" s="196"/>
      <c r="AE48" s="152">
        <v>24</v>
      </c>
      <c r="AF48" s="152">
        <f>AF47+2.8</f>
        <v>78.199999999999974</v>
      </c>
      <c r="AG48" s="152">
        <f>AG47+380</f>
        <v>4420</v>
      </c>
      <c r="AH48" s="152">
        <f>AH47+1.6</f>
        <v>18.400000000000006</v>
      </c>
      <c r="AW48" s="174"/>
      <c r="AX48" s="174"/>
      <c r="AY48" s="174"/>
      <c r="AZ48" s="174"/>
      <c r="BA48" s="174"/>
      <c r="BB48" s="174"/>
      <c r="BC48" s="174"/>
      <c r="BD48" s="174"/>
      <c r="BE48" s="174"/>
      <c r="BF48" s="174"/>
      <c r="BG48" s="174"/>
      <c r="BH48" s="174"/>
      <c r="BI48" s="174"/>
      <c r="BJ48" s="174"/>
      <c r="BK48" s="174"/>
      <c r="BL48" s="174"/>
      <c r="BM48" s="174"/>
      <c r="BN48" s="174"/>
      <c r="BO48" s="174"/>
      <c r="BP48" s="174"/>
      <c r="BQ48" s="174"/>
      <c r="BR48" s="174"/>
      <c r="BS48" s="174"/>
      <c r="BT48" s="174"/>
      <c r="BU48" s="174"/>
      <c r="BV48" s="174"/>
      <c r="BW48" s="174"/>
      <c r="BX48" s="174"/>
      <c r="BY48" s="174"/>
      <c r="BZ48" s="174"/>
      <c r="CA48" s="174"/>
      <c r="CB48" s="174"/>
      <c r="CC48" s="174"/>
      <c r="CD48" s="174"/>
      <c r="CE48" s="174"/>
      <c r="CF48" s="174"/>
      <c r="CG48" s="174"/>
      <c r="CH48" s="175"/>
    </row>
    <row r="49" spans="12:86" x14ac:dyDescent="0.3">
      <c r="L49" s="196"/>
      <c r="AE49" s="152">
        <v>25</v>
      </c>
      <c r="AF49" s="152">
        <f>AF48+2.8</f>
        <v>80.999999999999972</v>
      </c>
      <c r="AG49" s="152">
        <v>4800</v>
      </c>
      <c r="AH49" s="152">
        <f>AH48+1.6</f>
        <v>20.000000000000007</v>
      </c>
      <c r="AW49" s="174"/>
      <c r="AX49" s="174"/>
      <c r="AY49" s="174"/>
      <c r="AZ49" s="174"/>
      <c r="BA49" s="174"/>
      <c r="BB49" s="174"/>
      <c r="BC49" s="174"/>
      <c r="BD49" s="174"/>
      <c r="BE49" s="174"/>
      <c r="BF49" s="174"/>
      <c r="BG49" s="174"/>
      <c r="BH49" s="174"/>
      <c r="BI49" s="174"/>
      <c r="BJ49" s="174"/>
      <c r="BK49" s="174"/>
      <c r="BL49" s="174"/>
      <c r="BM49" s="174"/>
      <c r="BN49" s="174"/>
      <c r="BO49" s="174"/>
      <c r="BP49" s="174"/>
      <c r="BQ49" s="174"/>
      <c r="BR49" s="174"/>
      <c r="BS49" s="174"/>
      <c r="BT49" s="174"/>
      <c r="BU49" s="174"/>
      <c r="BV49" s="174"/>
      <c r="BW49" s="174"/>
      <c r="BX49" s="174"/>
      <c r="BY49" s="174"/>
      <c r="BZ49" s="174"/>
      <c r="CA49" s="174"/>
      <c r="CB49" s="174"/>
      <c r="CC49" s="174"/>
      <c r="CD49" s="174"/>
      <c r="CE49" s="174"/>
      <c r="CF49" s="174"/>
      <c r="CG49" s="174"/>
      <c r="CH49" s="175"/>
    </row>
    <row r="50" spans="12:86" x14ac:dyDescent="0.3">
      <c r="L50" s="196"/>
      <c r="AE50" s="152">
        <v>26</v>
      </c>
      <c r="AF50" s="152">
        <f>AF49+3</f>
        <v>83.999999999999972</v>
      </c>
      <c r="AG50" s="152">
        <f>AG49+960</f>
        <v>5760</v>
      </c>
      <c r="AH50" s="152">
        <f>AH49+4</f>
        <v>24.000000000000007</v>
      </c>
      <c r="AW50" s="174"/>
      <c r="AX50" s="174"/>
      <c r="AY50" s="174"/>
      <c r="AZ50" s="174"/>
      <c r="BA50" s="174"/>
      <c r="BB50" s="174"/>
      <c r="BC50" s="174"/>
      <c r="BD50" s="174"/>
      <c r="BE50" s="174"/>
      <c r="BF50" s="174"/>
      <c r="BG50" s="174"/>
      <c r="BH50" s="174"/>
      <c r="BI50" s="174"/>
      <c r="BJ50" s="174"/>
      <c r="BK50" s="174"/>
      <c r="BL50" s="174"/>
      <c r="BM50" s="174"/>
      <c r="BN50" s="174"/>
      <c r="BO50" s="174"/>
      <c r="BP50" s="174"/>
      <c r="BQ50" s="174"/>
      <c r="BR50" s="174"/>
      <c r="BS50" s="174"/>
      <c r="BT50" s="174"/>
      <c r="BU50" s="174"/>
      <c r="BV50" s="174"/>
      <c r="BW50" s="174"/>
      <c r="BX50" s="174"/>
      <c r="BY50" s="174"/>
      <c r="BZ50" s="174"/>
      <c r="CA50" s="174"/>
      <c r="CB50" s="174"/>
      <c r="CC50" s="174"/>
      <c r="CD50" s="174"/>
      <c r="CE50" s="174"/>
      <c r="CF50" s="174"/>
      <c r="CG50" s="174"/>
      <c r="CH50" s="175"/>
    </row>
    <row r="51" spans="12:86" x14ac:dyDescent="0.3">
      <c r="L51" s="196"/>
      <c r="AE51" s="152">
        <v>27</v>
      </c>
      <c r="AF51" s="152">
        <f>AF50+3</f>
        <v>86.999999999999972</v>
      </c>
      <c r="AG51" s="152">
        <f>AG50+960</f>
        <v>6720</v>
      </c>
      <c r="AH51" s="152">
        <f>AH50+4</f>
        <v>28.000000000000007</v>
      </c>
      <c r="AW51" s="174"/>
      <c r="AX51" s="174"/>
      <c r="AY51" s="174"/>
      <c r="AZ51" s="174"/>
      <c r="BA51" s="174"/>
      <c r="BB51" s="174"/>
      <c r="BC51" s="174"/>
      <c r="BD51" s="174"/>
      <c r="BE51" s="174"/>
      <c r="BF51" s="174"/>
      <c r="BG51" s="174"/>
      <c r="BH51" s="174"/>
      <c r="BI51" s="174"/>
      <c r="BJ51" s="174"/>
      <c r="BK51" s="174"/>
      <c r="BL51" s="174"/>
      <c r="BM51" s="174"/>
      <c r="BN51" s="174"/>
      <c r="BO51" s="174"/>
      <c r="BP51" s="174"/>
      <c r="BQ51" s="174"/>
      <c r="BR51" s="174"/>
      <c r="BS51" s="174"/>
      <c r="BT51" s="174"/>
      <c r="BU51" s="174"/>
      <c r="BV51" s="174"/>
      <c r="BW51" s="174"/>
      <c r="BX51" s="174"/>
      <c r="BY51" s="174"/>
      <c r="BZ51" s="174"/>
      <c r="CA51" s="174"/>
      <c r="CB51" s="174"/>
      <c r="CC51" s="174"/>
      <c r="CD51" s="174"/>
      <c r="CE51" s="174"/>
      <c r="CF51" s="174"/>
      <c r="CG51" s="174"/>
      <c r="CH51" s="175"/>
    </row>
    <row r="52" spans="12:86" x14ac:dyDescent="0.3">
      <c r="L52" s="196"/>
      <c r="AE52" s="152">
        <v>28</v>
      </c>
      <c r="AF52" s="152">
        <f>AF51+3</f>
        <v>89.999999999999972</v>
      </c>
      <c r="AG52" s="152">
        <f>AG51+960</f>
        <v>7680</v>
      </c>
      <c r="AH52" s="152">
        <f>AH51+4</f>
        <v>32.000000000000007</v>
      </c>
      <c r="AW52" s="174"/>
      <c r="AX52" s="174"/>
      <c r="AY52" s="174"/>
      <c r="AZ52" s="174"/>
      <c r="BA52" s="174"/>
      <c r="BB52" s="174"/>
      <c r="BC52" s="174"/>
      <c r="BD52" s="174"/>
      <c r="BE52" s="174"/>
      <c r="BF52" s="174"/>
      <c r="BG52" s="174"/>
      <c r="BH52" s="174"/>
      <c r="BI52" s="174"/>
      <c r="BJ52" s="174"/>
      <c r="BK52" s="174"/>
      <c r="BL52" s="174"/>
      <c r="BM52" s="174"/>
      <c r="BN52" s="174"/>
      <c r="BO52" s="174"/>
      <c r="BP52" s="174"/>
      <c r="BQ52" s="174"/>
      <c r="BR52" s="174"/>
      <c r="BS52" s="174"/>
      <c r="BT52" s="174"/>
      <c r="BU52" s="174"/>
      <c r="BV52" s="174"/>
      <c r="BW52" s="174"/>
      <c r="BX52" s="174"/>
      <c r="BY52" s="174"/>
      <c r="BZ52" s="174"/>
      <c r="CA52" s="174"/>
      <c r="CB52" s="174"/>
      <c r="CC52" s="174"/>
      <c r="CD52" s="174"/>
      <c r="CE52" s="174"/>
      <c r="CF52" s="174"/>
      <c r="CG52" s="174"/>
      <c r="CH52" s="175"/>
    </row>
    <row r="53" spans="12:86" x14ac:dyDescent="0.3">
      <c r="L53" s="196"/>
      <c r="AE53" s="152">
        <v>29</v>
      </c>
      <c r="AF53" s="152">
        <f>AF52+3</f>
        <v>92.999999999999972</v>
      </c>
      <c r="AG53" s="152">
        <f>AG52+960</f>
        <v>8640</v>
      </c>
      <c r="AH53" s="152">
        <f>AH52+4</f>
        <v>36.000000000000007</v>
      </c>
      <c r="AW53" s="174"/>
      <c r="AX53" s="174"/>
      <c r="AY53" s="174"/>
      <c r="AZ53" s="174"/>
      <c r="BA53" s="174"/>
      <c r="BB53" s="174"/>
      <c r="BC53" s="174"/>
      <c r="BD53" s="174"/>
      <c r="BE53" s="174"/>
      <c r="BF53" s="174"/>
      <c r="BG53" s="174"/>
      <c r="BH53" s="174"/>
      <c r="BI53" s="174"/>
      <c r="BJ53" s="174"/>
      <c r="BK53" s="174"/>
      <c r="BL53" s="174"/>
      <c r="BM53" s="174"/>
      <c r="BN53" s="174"/>
      <c r="BO53" s="174"/>
      <c r="BP53" s="174"/>
      <c r="BQ53" s="174"/>
      <c r="BR53" s="174"/>
      <c r="BS53" s="174"/>
      <c r="BT53" s="174"/>
      <c r="BU53" s="174"/>
      <c r="BV53" s="174"/>
      <c r="BW53" s="174"/>
      <c r="BX53" s="174"/>
      <c r="BY53" s="174"/>
      <c r="BZ53" s="174"/>
      <c r="CA53" s="174"/>
      <c r="CB53" s="174"/>
      <c r="CC53" s="174"/>
      <c r="CD53" s="174"/>
      <c r="CE53" s="174"/>
      <c r="CF53" s="174"/>
      <c r="CG53" s="174"/>
      <c r="CH53" s="175"/>
    </row>
    <row r="54" spans="12:86" x14ac:dyDescent="0.3">
      <c r="L54" s="196"/>
      <c r="AE54" s="152">
        <v>30</v>
      </c>
      <c r="AF54" s="152">
        <f>AF53+3</f>
        <v>95.999999999999972</v>
      </c>
      <c r="AG54" s="152">
        <f>AG53+960</f>
        <v>9600</v>
      </c>
      <c r="AH54" s="152">
        <f>AH53+4</f>
        <v>40.000000000000007</v>
      </c>
      <c r="AW54" s="174"/>
      <c r="AX54" s="174"/>
      <c r="AY54" s="174"/>
      <c r="AZ54" s="174"/>
      <c r="BA54" s="174"/>
      <c r="BB54" s="174"/>
      <c r="BC54" s="174"/>
      <c r="BD54" s="174"/>
      <c r="BE54" s="174"/>
      <c r="BF54" s="174"/>
      <c r="BG54" s="174"/>
      <c r="BH54" s="174"/>
      <c r="BI54" s="174"/>
      <c r="BJ54" s="174"/>
      <c r="BK54" s="174"/>
      <c r="BL54" s="174"/>
      <c r="BM54" s="174"/>
      <c r="BN54" s="174"/>
      <c r="BO54" s="174"/>
      <c r="BP54" s="174"/>
      <c r="BQ54" s="174"/>
      <c r="BR54" s="174"/>
      <c r="BS54" s="174"/>
      <c r="BT54" s="174"/>
      <c r="BU54" s="174"/>
      <c r="BV54" s="174"/>
      <c r="BW54" s="174"/>
      <c r="BX54" s="174"/>
      <c r="BY54" s="174"/>
      <c r="BZ54" s="174"/>
      <c r="CA54" s="174"/>
      <c r="CB54" s="174"/>
      <c r="CC54" s="174"/>
      <c r="CD54" s="174"/>
      <c r="CE54" s="174"/>
      <c r="CF54" s="174"/>
      <c r="CG54" s="174"/>
      <c r="CH54" s="175"/>
    </row>
    <row r="55" spans="12:86" x14ac:dyDescent="0.3">
      <c r="L55" s="196"/>
      <c r="AE55" s="152">
        <v>31</v>
      </c>
      <c r="AF55" s="152">
        <f>AF54+3.8</f>
        <v>99.799999999999969</v>
      </c>
      <c r="AG55" s="152">
        <f>AG54+480</f>
        <v>10080</v>
      </c>
      <c r="AH55" s="152">
        <f>AH54+2</f>
        <v>42.000000000000007</v>
      </c>
      <c r="AW55" s="174"/>
      <c r="AX55" s="174"/>
      <c r="AY55" s="174"/>
      <c r="AZ55" s="174"/>
      <c r="BA55" s="174"/>
      <c r="BB55" s="174"/>
      <c r="BC55" s="174"/>
      <c r="BD55" s="174"/>
      <c r="BE55" s="174"/>
      <c r="BF55" s="174"/>
      <c r="BG55" s="174"/>
      <c r="BH55" s="174"/>
      <c r="BI55" s="174"/>
      <c r="BJ55" s="174"/>
      <c r="BK55" s="174"/>
      <c r="BL55" s="174"/>
      <c r="BM55" s="174"/>
      <c r="BN55" s="174"/>
      <c r="BO55" s="174"/>
      <c r="BP55" s="174"/>
      <c r="BQ55" s="174"/>
      <c r="BR55" s="174"/>
      <c r="BS55" s="174"/>
      <c r="BT55" s="174"/>
      <c r="BU55" s="174"/>
      <c r="BV55" s="174"/>
      <c r="BW55" s="174"/>
      <c r="BX55" s="174"/>
      <c r="BY55" s="174"/>
      <c r="BZ55" s="174"/>
      <c r="CA55" s="174"/>
      <c r="CB55" s="174"/>
      <c r="CC55" s="174"/>
      <c r="CD55" s="174"/>
      <c r="CE55" s="174"/>
      <c r="CF55" s="174"/>
      <c r="CG55" s="174"/>
      <c r="CH55" s="175"/>
    </row>
    <row r="56" spans="12:86" x14ac:dyDescent="0.3">
      <c r="L56" s="196"/>
      <c r="AE56" s="152">
        <v>32</v>
      </c>
      <c r="AF56" s="152">
        <f>AF55+3.8</f>
        <v>103.59999999999997</v>
      </c>
      <c r="AG56" s="152">
        <f>AG55+480</f>
        <v>10560</v>
      </c>
      <c r="AH56" s="152">
        <f>AH55+2</f>
        <v>44.000000000000007</v>
      </c>
      <c r="AW56" s="174"/>
      <c r="AX56" s="174"/>
      <c r="AY56" s="174"/>
      <c r="AZ56" s="174"/>
      <c r="BA56" s="174"/>
      <c r="BB56" s="174"/>
      <c r="BC56" s="174"/>
      <c r="BD56" s="174"/>
      <c r="BE56" s="174"/>
      <c r="BF56" s="174"/>
      <c r="BG56" s="174"/>
      <c r="BH56" s="174"/>
      <c r="BI56" s="174"/>
      <c r="BJ56" s="174"/>
      <c r="BK56" s="174"/>
      <c r="BL56" s="174"/>
      <c r="BM56" s="174"/>
      <c r="BN56" s="174"/>
      <c r="BO56" s="174"/>
      <c r="BP56" s="174"/>
      <c r="BQ56" s="174"/>
      <c r="BR56" s="174"/>
      <c r="BS56" s="174"/>
      <c r="BT56" s="174"/>
      <c r="BU56" s="174"/>
      <c r="BV56" s="174"/>
      <c r="BW56" s="174"/>
      <c r="BX56" s="174"/>
      <c r="BY56" s="174"/>
      <c r="BZ56" s="174"/>
      <c r="CA56" s="174"/>
      <c r="CB56" s="174"/>
      <c r="CC56" s="174"/>
      <c r="CD56" s="174"/>
      <c r="CE56" s="174"/>
      <c r="CF56" s="174"/>
      <c r="CG56" s="174"/>
      <c r="CH56" s="175"/>
    </row>
    <row r="57" spans="12:86" x14ac:dyDescent="0.3">
      <c r="L57" s="196"/>
      <c r="AE57" s="152">
        <v>33</v>
      </c>
      <c r="AF57" s="152">
        <f>AF56+3.8</f>
        <v>107.39999999999996</v>
      </c>
      <c r="AG57" s="152">
        <f>AG56+480</f>
        <v>11040</v>
      </c>
      <c r="AH57" s="152">
        <f>AH56+2</f>
        <v>46.000000000000007</v>
      </c>
      <c r="AW57" s="174"/>
      <c r="AX57" s="174"/>
      <c r="AY57" s="174"/>
      <c r="AZ57" s="174"/>
      <c r="BA57" s="174"/>
      <c r="BB57" s="174"/>
      <c r="BC57" s="174"/>
      <c r="BD57" s="174"/>
      <c r="BE57" s="174"/>
      <c r="BF57" s="174"/>
      <c r="BG57" s="174"/>
      <c r="BH57" s="174"/>
      <c r="BI57" s="174"/>
      <c r="BJ57" s="174"/>
      <c r="BK57" s="174"/>
      <c r="BL57" s="174"/>
      <c r="BM57" s="174"/>
      <c r="BN57" s="174"/>
      <c r="BO57" s="174"/>
      <c r="BP57" s="174"/>
      <c r="BQ57" s="174"/>
      <c r="BR57" s="174"/>
      <c r="BS57" s="174"/>
      <c r="BT57" s="174"/>
      <c r="BU57" s="174"/>
      <c r="BV57" s="174"/>
      <c r="BW57" s="174"/>
      <c r="BX57" s="174"/>
      <c r="BY57" s="174"/>
      <c r="BZ57" s="174"/>
      <c r="CA57" s="174"/>
      <c r="CB57" s="174"/>
      <c r="CC57" s="174"/>
      <c r="CD57" s="174"/>
      <c r="CE57" s="174"/>
      <c r="CF57" s="174"/>
      <c r="CG57" s="174"/>
      <c r="CH57" s="175"/>
    </row>
    <row r="58" spans="12:86" x14ac:dyDescent="0.3">
      <c r="L58" s="196"/>
      <c r="AE58" s="152">
        <v>34</v>
      </c>
      <c r="AF58" s="152">
        <f>AF57+3.8</f>
        <v>111.19999999999996</v>
      </c>
      <c r="AG58" s="152">
        <f>AG57+480</f>
        <v>11520</v>
      </c>
      <c r="AH58" s="152">
        <f>AH57+2</f>
        <v>48.000000000000007</v>
      </c>
      <c r="AW58" s="174"/>
      <c r="AX58" s="174"/>
      <c r="AY58" s="174"/>
      <c r="AZ58" s="174"/>
      <c r="BA58" s="174"/>
      <c r="BB58" s="174"/>
      <c r="BC58" s="174"/>
      <c r="BD58" s="174"/>
      <c r="BE58" s="174"/>
      <c r="BF58" s="174"/>
      <c r="BG58" s="174"/>
      <c r="BH58" s="174"/>
      <c r="BI58" s="174"/>
      <c r="BJ58" s="174"/>
      <c r="BK58" s="174"/>
      <c r="BL58" s="174"/>
      <c r="BM58" s="174"/>
      <c r="BN58" s="174"/>
      <c r="BO58" s="174"/>
      <c r="BP58" s="174"/>
      <c r="BQ58" s="174"/>
      <c r="BR58" s="174"/>
      <c r="BS58" s="174"/>
      <c r="BT58" s="174"/>
      <c r="BU58" s="174"/>
      <c r="BV58" s="174"/>
      <c r="BW58" s="174"/>
      <c r="BX58" s="174"/>
      <c r="BY58" s="174"/>
      <c r="BZ58" s="174"/>
      <c r="CA58" s="174"/>
      <c r="CB58" s="174"/>
      <c r="CC58" s="174"/>
      <c r="CD58" s="174"/>
      <c r="CE58" s="174"/>
      <c r="CF58" s="174"/>
      <c r="CG58" s="174"/>
      <c r="CH58" s="175"/>
    </row>
    <row r="59" spans="12:86" x14ac:dyDescent="0.3">
      <c r="L59" s="196"/>
      <c r="AE59" s="152">
        <v>35</v>
      </c>
      <c r="AF59" s="152">
        <f>AF58+3.8</f>
        <v>114.99999999999996</v>
      </c>
      <c r="AG59" s="152">
        <f>AG58+480</f>
        <v>12000</v>
      </c>
      <c r="AH59" s="152">
        <f>AH58+2</f>
        <v>50.000000000000007</v>
      </c>
      <c r="AW59" s="174"/>
      <c r="AX59" s="174"/>
      <c r="AY59" s="174"/>
      <c r="AZ59" s="174"/>
      <c r="BA59" s="174"/>
      <c r="BB59" s="174"/>
      <c r="BC59" s="174"/>
      <c r="BD59" s="174"/>
      <c r="BE59" s="174"/>
      <c r="BF59" s="174"/>
      <c r="BG59" s="174"/>
      <c r="BH59" s="174"/>
      <c r="BI59" s="174"/>
      <c r="BJ59" s="174"/>
      <c r="BK59" s="174"/>
      <c r="BL59" s="174"/>
      <c r="BM59" s="174"/>
      <c r="BN59" s="174"/>
      <c r="BO59" s="174"/>
      <c r="BP59" s="174"/>
      <c r="BQ59" s="174"/>
      <c r="BR59" s="174"/>
      <c r="BS59" s="174"/>
      <c r="BT59" s="174"/>
      <c r="BU59" s="174"/>
      <c r="BV59" s="174"/>
      <c r="BW59" s="174"/>
      <c r="BX59" s="174"/>
      <c r="BY59" s="174"/>
      <c r="BZ59" s="174"/>
      <c r="CA59" s="174"/>
      <c r="CB59" s="174"/>
      <c r="CC59" s="174"/>
      <c r="CD59" s="174"/>
      <c r="CE59" s="174"/>
      <c r="CF59" s="174"/>
      <c r="CG59" s="174"/>
      <c r="CH59" s="175"/>
    </row>
    <row r="60" spans="12:86" x14ac:dyDescent="0.3">
      <c r="L60" s="196"/>
      <c r="AW60" s="174"/>
      <c r="AX60" s="174"/>
      <c r="AY60" s="174"/>
      <c r="AZ60" s="174"/>
      <c r="BA60" s="174"/>
      <c r="BB60" s="174"/>
      <c r="BC60" s="174"/>
      <c r="BD60" s="174"/>
      <c r="BE60" s="174"/>
      <c r="BF60" s="174"/>
      <c r="BG60" s="174"/>
      <c r="BH60" s="174"/>
      <c r="BI60" s="174"/>
      <c r="BJ60" s="174"/>
      <c r="BK60" s="174"/>
      <c r="BL60" s="174"/>
      <c r="BM60" s="174"/>
      <c r="BN60" s="174"/>
      <c r="BO60" s="174"/>
      <c r="BP60" s="174"/>
      <c r="BQ60" s="174"/>
      <c r="BR60" s="174"/>
      <c r="BS60" s="174"/>
      <c r="BT60" s="174"/>
      <c r="BU60" s="174"/>
      <c r="BV60" s="174"/>
      <c r="BW60" s="174"/>
      <c r="BX60" s="174"/>
      <c r="BY60" s="174"/>
      <c r="BZ60" s="174"/>
      <c r="CA60" s="174"/>
      <c r="CB60" s="174"/>
      <c r="CC60" s="174"/>
      <c r="CD60" s="174"/>
      <c r="CE60" s="174"/>
      <c r="CF60" s="174"/>
      <c r="CG60" s="174"/>
      <c r="CH60" s="175"/>
    </row>
    <row r="61" spans="12:86" x14ac:dyDescent="0.3">
      <c r="L61" s="196"/>
      <c r="AW61" s="174"/>
      <c r="AX61" s="174"/>
      <c r="AY61" s="174"/>
      <c r="AZ61" s="174"/>
      <c r="BA61" s="174"/>
      <c r="BB61" s="174"/>
      <c r="BC61" s="174"/>
      <c r="BD61" s="174"/>
      <c r="BE61" s="174"/>
      <c r="BF61" s="174"/>
      <c r="BG61" s="174"/>
      <c r="BH61" s="174"/>
      <c r="BI61" s="174"/>
      <c r="BJ61" s="174"/>
      <c r="BK61" s="174"/>
      <c r="BL61" s="174"/>
      <c r="BM61" s="174"/>
      <c r="BN61" s="174"/>
      <c r="BO61" s="174"/>
      <c r="BP61" s="174"/>
      <c r="BQ61" s="174"/>
      <c r="BR61" s="174"/>
      <c r="BS61" s="174"/>
      <c r="BT61" s="174"/>
      <c r="BU61" s="174"/>
      <c r="BV61" s="174"/>
      <c r="BW61" s="174"/>
      <c r="BX61" s="174"/>
      <c r="BY61" s="174"/>
      <c r="BZ61" s="174"/>
      <c r="CA61" s="174"/>
      <c r="CB61" s="174"/>
      <c r="CC61" s="174"/>
      <c r="CD61" s="174"/>
      <c r="CE61" s="174"/>
      <c r="CF61" s="174"/>
      <c r="CG61" s="174"/>
      <c r="CH61" s="175"/>
    </row>
    <row r="62" spans="12:86" x14ac:dyDescent="0.3">
      <c r="L62" s="196"/>
      <c r="AW62" s="174"/>
      <c r="AX62" s="174"/>
      <c r="AY62" s="174"/>
      <c r="AZ62" s="174"/>
      <c r="BA62" s="174"/>
      <c r="BB62" s="174"/>
      <c r="BC62" s="174"/>
      <c r="BD62" s="174"/>
      <c r="BE62" s="174"/>
      <c r="BF62" s="174"/>
      <c r="BG62" s="174"/>
      <c r="BH62" s="174"/>
      <c r="BI62" s="174"/>
      <c r="BJ62" s="174"/>
      <c r="BK62" s="174"/>
      <c r="BL62" s="174"/>
      <c r="BM62" s="174"/>
      <c r="BN62" s="174"/>
      <c r="BO62" s="174"/>
      <c r="BP62" s="174"/>
      <c r="BQ62" s="174"/>
      <c r="BR62" s="174"/>
      <c r="BS62" s="174"/>
      <c r="BT62" s="174"/>
      <c r="BU62" s="174"/>
      <c r="BV62" s="174"/>
      <c r="BW62" s="174"/>
      <c r="BX62" s="174"/>
      <c r="BY62" s="174"/>
      <c r="BZ62" s="174"/>
      <c r="CA62" s="174"/>
      <c r="CB62" s="174"/>
      <c r="CC62" s="174"/>
      <c r="CD62" s="174"/>
      <c r="CE62" s="174"/>
      <c r="CF62" s="174"/>
      <c r="CG62" s="174"/>
      <c r="CH62" s="175"/>
    </row>
    <row r="63" spans="12:86" x14ac:dyDescent="0.3">
      <c r="L63" s="196"/>
      <c r="AW63" s="174"/>
      <c r="AX63" s="174"/>
      <c r="AY63" s="174"/>
      <c r="AZ63" s="174"/>
      <c r="BA63" s="174"/>
      <c r="BB63" s="174"/>
      <c r="BC63" s="174"/>
      <c r="BD63" s="174"/>
      <c r="BE63" s="174"/>
      <c r="BF63" s="174"/>
      <c r="BG63" s="174"/>
      <c r="BH63" s="174"/>
      <c r="BI63" s="174"/>
      <c r="BJ63" s="174"/>
      <c r="BK63" s="174"/>
      <c r="BL63" s="174"/>
      <c r="BM63" s="174"/>
      <c r="BN63" s="174"/>
      <c r="BO63" s="174"/>
      <c r="BP63" s="174"/>
      <c r="BQ63" s="174"/>
      <c r="BR63" s="174"/>
      <c r="BS63" s="174"/>
      <c r="BT63" s="174"/>
      <c r="BU63" s="174"/>
      <c r="BV63" s="174"/>
      <c r="BW63" s="174"/>
      <c r="BX63" s="174"/>
      <c r="BY63" s="174"/>
      <c r="BZ63" s="174"/>
      <c r="CA63" s="174"/>
      <c r="CB63" s="174"/>
      <c r="CC63" s="174"/>
      <c r="CD63" s="174"/>
      <c r="CE63" s="174"/>
      <c r="CF63" s="174"/>
      <c r="CG63" s="174"/>
      <c r="CH63" s="175"/>
    </row>
    <row r="64" spans="12:86" x14ac:dyDescent="0.3">
      <c r="L64" s="196"/>
      <c r="AW64" s="174"/>
      <c r="AX64" s="174"/>
      <c r="AY64" s="174"/>
      <c r="AZ64" s="174"/>
      <c r="BA64" s="174"/>
      <c r="BB64" s="174"/>
      <c r="BC64" s="174"/>
      <c r="BD64" s="174"/>
      <c r="BE64" s="174"/>
      <c r="BF64" s="174"/>
      <c r="BG64" s="174"/>
      <c r="BH64" s="174"/>
      <c r="BI64" s="174"/>
      <c r="BJ64" s="174"/>
      <c r="BK64" s="174"/>
      <c r="BL64" s="174"/>
      <c r="BM64" s="174"/>
      <c r="BN64" s="174"/>
      <c r="BO64" s="174"/>
      <c r="BP64" s="174"/>
      <c r="BQ64" s="174"/>
      <c r="BR64" s="174"/>
      <c r="BS64" s="174"/>
      <c r="BT64" s="174"/>
      <c r="BU64" s="174"/>
      <c r="BV64" s="174"/>
      <c r="BW64" s="174"/>
      <c r="BX64" s="174"/>
      <c r="BY64" s="174"/>
      <c r="BZ64" s="174"/>
      <c r="CA64" s="174"/>
      <c r="CB64" s="174"/>
      <c r="CC64" s="174"/>
      <c r="CD64" s="174"/>
      <c r="CE64" s="174"/>
      <c r="CF64" s="174"/>
      <c r="CG64" s="174"/>
      <c r="CH64" s="175"/>
    </row>
    <row r="65" spans="12:86" x14ac:dyDescent="0.3">
      <c r="L65" s="196"/>
      <c r="AW65" s="174"/>
      <c r="AX65" s="174"/>
      <c r="AY65" s="174"/>
      <c r="AZ65" s="174"/>
      <c r="BA65" s="174"/>
      <c r="BB65" s="174"/>
      <c r="BC65" s="174"/>
      <c r="BD65" s="174"/>
      <c r="BE65" s="174"/>
      <c r="BF65" s="174"/>
      <c r="BG65" s="174"/>
      <c r="BH65" s="174"/>
      <c r="BI65" s="174"/>
      <c r="BJ65" s="174"/>
      <c r="BK65" s="174"/>
      <c r="BL65" s="174"/>
      <c r="BM65" s="174"/>
      <c r="BN65" s="174"/>
      <c r="BO65" s="174"/>
      <c r="BP65" s="174"/>
      <c r="BQ65" s="174"/>
      <c r="BR65" s="174"/>
      <c r="BS65" s="174"/>
      <c r="BT65" s="174"/>
      <c r="BU65" s="174"/>
      <c r="BV65" s="174"/>
      <c r="BW65" s="174"/>
      <c r="BX65" s="174"/>
      <c r="BY65" s="174"/>
      <c r="BZ65" s="174"/>
      <c r="CA65" s="174"/>
      <c r="CB65" s="174"/>
      <c r="CC65" s="174"/>
      <c r="CD65" s="174"/>
      <c r="CE65" s="174"/>
      <c r="CF65" s="174"/>
      <c r="CG65" s="174"/>
      <c r="CH65" s="175"/>
    </row>
    <row r="66" spans="12:86" x14ac:dyDescent="0.3">
      <c r="L66" s="196"/>
      <c r="AW66" s="174"/>
      <c r="AX66" s="174"/>
      <c r="AY66" s="174"/>
      <c r="AZ66" s="174"/>
      <c r="BA66" s="174"/>
      <c r="BB66" s="174"/>
      <c r="BC66" s="174"/>
      <c r="BD66" s="174"/>
      <c r="BE66" s="174"/>
      <c r="BF66" s="174"/>
      <c r="BG66" s="174"/>
      <c r="BH66" s="174"/>
      <c r="BI66" s="174"/>
      <c r="BJ66" s="174"/>
      <c r="BK66" s="174"/>
      <c r="BL66" s="174"/>
      <c r="BM66" s="174"/>
      <c r="BN66" s="174"/>
      <c r="BO66" s="174"/>
      <c r="BP66" s="174"/>
      <c r="BQ66" s="174"/>
      <c r="BR66" s="174"/>
      <c r="BS66" s="174"/>
      <c r="BT66" s="174"/>
      <c r="BU66" s="174"/>
      <c r="BV66" s="174"/>
      <c r="BW66" s="174"/>
      <c r="BX66" s="174"/>
      <c r="BY66" s="174"/>
      <c r="BZ66" s="174"/>
      <c r="CA66" s="174"/>
      <c r="CB66" s="174"/>
      <c r="CC66" s="174"/>
      <c r="CD66" s="174"/>
      <c r="CE66" s="174"/>
      <c r="CF66" s="174"/>
      <c r="CG66" s="174"/>
      <c r="CH66" s="175"/>
    </row>
    <row r="67" spans="12:86" x14ac:dyDescent="0.3">
      <c r="L67" s="196"/>
      <c r="AW67" s="174"/>
      <c r="AX67" s="174"/>
      <c r="AY67" s="174"/>
      <c r="AZ67" s="174"/>
      <c r="BA67" s="174"/>
      <c r="BB67" s="174"/>
      <c r="BC67" s="174"/>
      <c r="BD67" s="174"/>
      <c r="BE67" s="174"/>
      <c r="BF67" s="174"/>
      <c r="BG67" s="174"/>
      <c r="BH67" s="174"/>
      <c r="BI67" s="174"/>
      <c r="BJ67" s="174"/>
      <c r="BK67" s="174"/>
      <c r="BL67" s="174"/>
      <c r="BM67" s="174"/>
      <c r="BN67" s="174"/>
      <c r="BO67" s="174"/>
      <c r="BP67" s="174"/>
      <c r="BQ67" s="174"/>
      <c r="BR67" s="174"/>
      <c r="BS67" s="174"/>
      <c r="BT67" s="174"/>
      <c r="BU67" s="174"/>
      <c r="BV67" s="174"/>
      <c r="BW67" s="174"/>
      <c r="BX67" s="174"/>
      <c r="BY67" s="174"/>
      <c r="BZ67" s="174"/>
      <c r="CA67" s="174"/>
      <c r="CB67" s="174"/>
      <c r="CC67" s="174"/>
      <c r="CD67" s="174"/>
      <c r="CE67" s="174"/>
      <c r="CF67" s="174"/>
      <c r="CG67" s="174"/>
      <c r="CH67" s="175"/>
    </row>
    <row r="68" spans="12:86" x14ac:dyDescent="0.3">
      <c r="L68" s="196"/>
      <c r="AW68" s="174"/>
      <c r="AX68" s="174"/>
      <c r="AY68" s="174"/>
      <c r="AZ68" s="174"/>
      <c r="BA68" s="174"/>
      <c r="BB68" s="174"/>
      <c r="BC68" s="174"/>
      <c r="BD68" s="174"/>
      <c r="BE68" s="174"/>
      <c r="BF68" s="174"/>
      <c r="BG68" s="174"/>
      <c r="BH68" s="174"/>
      <c r="BI68" s="174"/>
      <c r="BJ68" s="174"/>
      <c r="BK68" s="174"/>
      <c r="BL68" s="174"/>
      <c r="BM68" s="174"/>
      <c r="BN68" s="174"/>
      <c r="BO68" s="174"/>
      <c r="BP68" s="174"/>
      <c r="BQ68" s="174"/>
      <c r="BR68" s="174"/>
      <c r="BS68" s="174"/>
      <c r="BT68" s="174"/>
      <c r="BU68" s="174"/>
      <c r="BV68" s="174"/>
      <c r="BW68" s="174"/>
      <c r="BX68" s="174"/>
      <c r="BY68" s="174"/>
      <c r="BZ68" s="174"/>
      <c r="CA68" s="174"/>
      <c r="CB68" s="174"/>
      <c r="CC68" s="174"/>
      <c r="CD68" s="174"/>
      <c r="CE68" s="174"/>
      <c r="CF68" s="174"/>
      <c r="CG68" s="174"/>
      <c r="CH68" s="175"/>
    </row>
    <row r="69" spans="12:86" x14ac:dyDescent="0.3">
      <c r="L69" s="196"/>
    </row>
    <row r="70" spans="12:86" x14ac:dyDescent="0.3">
      <c r="L70" s="196"/>
    </row>
    <row r="71" spans="12:86" x14ac:dyDescent="0.3">
      <c r="L71" s="196"/>
    </row>
    <row r="72" spans="12:86" x14ac:dyDescent="0.3">
      <c r="L72" s="196"/>
    </row>
    <row r="73" spans="12:86" x14ac:dyDescent="0.3">
      <c r="L73" s="196"/>
    </row>
    <row r="74" spans="12:86" x14ac:dyDescent="0.3">
      <c r="L74" s="196"/>
    </row>
    <row r="75" spans="12:86" x14ac:dyDescent="0.3">
      <c r="L75" s="196"/>
    </row>
    <row r="76" spans="12:86" x14ac:dyDescent="0.3">
      <c r="L76" s="196"/>
    </row>
    <row r="77" spans="12:86" x14ac:dyDescent="0.3">
      <c r="L77" s="196"/>
    </row>
    <row r="78" spans="12:86" x14ac:dyDescent="0.3">
      <c r="L78" s="196"/>
    </row>
    <row r="79" spans="12:86" x14ac:dyDescent="0.3">
      <c r="L79" s="196"/>
    </row>
    <row r="80" spans="12:86" x14ac:dyDescent="0.3">
      <c r="L80" s="196"/>
    </row>
    <row r="81" spans="12:12" x14ac:dyDescent="0.3">
      <c r="L81" s="196"/>
    </row>
    <row r="82" spans="12:12" x14ac:dyDescent="0.3">
      <c r="L82" s="196"/>
    </row>
    <row r="83" spans="12:12" x14ac:dyDescent="0.3">
      <c r="L83" s="196"/>
    </row>
    <row r="84" spans="12:12" x14ac:dyDescent="0.3">
      <c r="L84" s="196"/>
    </row>
    <row r="85" spans="12:12" x14ac:dyDescent="0.3">
      <c r="L85" s="196"/>
    </row>
    <row r="86" spans="12:12" x14ac:dyDescent="0.3">
      <c r="L86" s="196"/>
    </row>
    <row r="87" spans="12:12" x14ac:dyDescent="0.3">
      <c r="L87" s="196"/>
    </row>
    <row r="88" spans="12:12" x14ac:dyDescent="0.3">
      <c r="L88" s="196"/>
    </row>
    <row r="89" spans="12:12" x14ac:dyDescent="0.3">
      <c r="L89" s="196"/>
    </row>
    <row r="90" spans="12:12" x14ac:dyDescent="0.3">
      <c r="L90" s="196"/>
    </row>
    <row r="91" spans="12:12" x14ac:dyDescent="0.3">
      <c r="L91" s="196"/>
    </row>
    <row r="92" spans="12:12" x14ac:dyDescent="0.3">
      <c r="L92" s="196"/>
    </row>
    <row r="93" spans="12:12" x14ac:dyDescent="0.3">
      <c r="L93" s="196"/>
    </row>
    <row r="94" spans="12:12" x14ac:dyDescent="0.3">
      <c r="L94" s="196"/>
    </row>
    <row r="95" spans="12:12" x14ac:dyDescent="0.3">
      <c r="L95" s="196"/>
    </row>
    <row r="96" spans="12:12" x14ac:dyDescent="0.3">
      <c r="L96" s="196"/>
    </row>
    <row r="97" spans="12:12" x14ac:dyDescent="0.3">
      <c r="L97" s="196"/>
    </row>
    <row r="98" spans="12:12" x14ac:dyDescent="0.3">
      <c r="L98" s="196"/>
    </row>
    <row r="99" spans="12:12" x14ac:dyDescent="0.3">
      <c r="L99" s="196"/>
    </row>
    <row r="100" spans="12:12" x14ac:dyDescent="0.3">
      <c r="L100" s="196"/>
    </row>
    <row r="101" spans="12:12" x14ac:dyDescent="0.3">
      <c r="L101" s="196"/>
    </row>
    <row r="102" spans="12:12" x14ac:dyDescent="0.3">
      <c r="L102" s="196"/>
    </row>
    <row r="103" spans="12:12" x14ac:dyDescent="0.3">
      <c r="L103" s="196"/>
    </row>
    <row r="104" spans="12:12" x14ac:dyDescent="0.3">
      <c r="L104" s="196"/>
    </row>
    <row r="105" spans="12:12" x14ac:dyDescent="0.3">
      <c r="L105" s="196"/>
    </row>
    <row r="106" spans="12:12" x14ac:dyDescent="0.3">
      <c r="L106" s="196"/>
    </row>
    <row r="107" spans="12:12" x14ac:dyDescent="0.3">
      <c r="L107" s="196"/>
    </row>
    <row r="108" spans="12:12" x14ac:dyDescent="0.3">
      <c r="L108" s="196"/>
    </row>
    <row r="109" spans="12:12" x14ac:dyDescent="0.3">
      <c r="L109" s="196"/>
    </row>
    <row r="110" spans="12:12" x14ac:dyDescent="0.3">
      <c r="L110" s="196"/>
    </row>
    <row r="111" spans="12:12" x14ac:dyDescent="0.3">
      <c r="L111" s="196"/>
    </row>
    <row r="112" spans="12:12" x14ac:dyDescent="0.3">
      <c r="L112" s="196"/>
    </row>
    <row r="113" spans="12:12" x14ac:dyDescent="0.3">
      <c r="L113" s="196"/>
    </row>
    <row r="114" spans="12:12" x14ac:dyDescent="0.3">
      <c r="L114" s="196"/>
    </row>
    <row r="115" spans="12:12" x14ac:dyDescent="0.3">
      <c r="L115" s="196"/>
    </row>
    <row r="116" spans="12:12" x14ac:dyDescent="0.3">
      <c r="L116" s="196"/>
    </row>
    <row r="117" spans="12:12" x14ac:dyDescent="0.3">
      <c r="L117" s="196"/>
    </row>
    <row r="118" spans="12:12" x14ac:dyDescent="0.3">
      <c r="L118" s="196"/>
    </row>
    <row r="119" spans="12:12" x14ac:dyDescent="0.3">
      <c r="L119" s="196"/>
    </row>
    <row r="120" spans="12:12" x14ac:dyDescent="0.3">
      <c r="L120" s="196"/>
    </row>
    <row r="121" spans="12:12" x14ac:dyDescent="0.3">
      <c r="L121" s="196"/>
    </row>
    <row r="122" spans="12:12" x14ac:dyDescent="0.3">
      <c r="L122" s="196"/>
    </row>
    <row r="123" spans="12:12" x14ac:dyDescent="0.3">
      <c r="L123" s="196"/>
    </row>
    <row r="124" spans="12:12" x14ac:dyDescent="0.3">
      <c r="L124" s="196"/>
    </row>
    <row r="125" spans="12:12" x14ac:dyDescent="0.3">
      <c r="L125" s="196"/>
    </row>
    <row r="126" spans="12:12" x14ac:dyDescent="0.3">
      <c r="L126" s="196"/>
    </row>
    <row r="127" spans="12:12" x14ac:dyDescent="0.3">
      <c r="L127" s="196"/>
    </row>
    <row r="128" spans="12:12" x14ac:dyDescent="0.3">
      <c r="L128" s="196"/>
    </row>
    <row r="129" spans="12:12" x14ac:dyDescent="0.3">
      <c r="L129" s="196"/>
    </row>
    <row r="130" spans="12:12" x14ac:dyDescent="0.3">
      <c r="L130" s="196"/>
    </row>
    <row r="131" spans="12:12" x14ac:dyDescent="0.3">
      <c r="L131" s="196"/>
    </row>
    <row r="132" spans="12:12" x14ac:dyDescent="0.3">
      <c r="L132" s="196"/>
    </row>
    <row r="133" spans="12:12" x14ac:dyDescent="0.3">
      <c r="L133" s="196"/>
    </row>
    <row r="134" spans="12:12" x14ac:dyDescent="0.3">
      <c r="L134" s="196"/>
    </row>
    <row r="135" spans="12:12" x14ac:dyDescent="0.3">
      <c r="L135" s="196"/>
    </row>
    <row r="136" spans="12:12" x14ac:dyDescent="0.3">
      <c r="L136" s="196"/>
    </row>
    <row r="137" spans="12:12" x14ac:dyDescent="0.3">
      <c r="L137" s="196"/>
    </row>
    <row r="138" spans="12:12" x14ac:dyDescent="0.3">
      <c r="L138" s="196"/>
    </row>
    <row r="139" spans="12:12" x14ac:dyDescent="0.3">
      <c r="L139" s="196"/>
    </row>
    <row r="140" spans="12:12" x14ac:dyDescent="0.3">
      <c r="L140" s="196"/>
    </row>
    <row r="141" spans="12:12" x14ac:dyDescent="0.3">
      <c r="L141" s="196"/>
    </row>
    <row r="142" spans="12:12" x14ac:dyDescent="0.3">
      <c r="L142" s="196"/>
    </row>
    <row r="143" spans="12:12" x14ac:dyDescent="0.3">
      <c r="L143" s="196"/>
    </row>
    <row r="144" spans="12:12" x14ac:dyDescent="0.3">
      <c r="L144" s="196"/>
    </row>
    <row r="145" spans="12:12" x14ac:dyDescent="0.3">
      <c r="L145" s="196"/>
    </row>
    <row r="146" spans="12:12" x14ac:dyDescent="0.3">
      <c r="L146" s="196"/>
    </row>
    <row r="147" spans="12:12" x14ac:dyDescent="0.3">
      <c r="L147" s="196"/>
    </row>
    <row r="148" spans="12:12" x14ac:dyDescent="0.3">
      <c r="L148" s="196"/>
    </row>
    <row r="149" spans="12:12" x14ac:dyDescent="0.3">
      <c r="L149" s="196"/>
    </row>
    <row r="150" spans="12:12" x14ac:dyDescent="0.3">
      <c r="L150" s="196"/>
    </row>
    <row r="151" spans="12:12" x14ac:dyDescent="0.3">
      <c r="L151" s="196"/>
    </row>
    <row r="152" spans="12:12" x14ac:dyDescent="0.3">
      <c r="L152" s="196"/>
    </row>
    <row r="153" spans="12:12" x14ac:dyDescent="0.3">
      <c r="L153" s="196"/>
    </row>
    <row r="154" spans="12:12" x14ac:dyDescent="0.3">
      <c r="L154" s="196"/>
    </row>
    <row r="155" spans="12:12" x14ac:dyDescent="0.3">
      <c r="L155" s="196"/>
    </row>
    <row r="156" spans="12:12" x14ac:dyDescent="0.3">
      <c r="L156" s="196"/>
    </row>
    <row r="157" spans="12:12" x14ac:dyDescent="0.3">
      <c r="L157" s="196"/>
    </row>
    <row r="158" spans="12:12" x14ac:dyDescent="0.3">
      <c r="L158" s="196"/>
    </row>
    <row r="159" spans="12:12" x14ac:dyDescent="0.3">
      <c r="L159" s="196"/>
    </row>
    <row r="160" spans="12:12" x14ac:dyDescent="0.3">
      <c r="L160" s="196"/>
    </row>
    <row r="161" spans="12:12" x14ac:dyDescent="0.3">
      <c r="L161" s="196"/>
    </row>
    <row r="162" spans="12:12" x14ac:dyDescent="0.3">
      <c r="L162" s="196"/>
    </row>
    <row r="163" spans="12:12" x14ac:dyDescent="0.3">
      <c r="L163" s="196"/>
    </row>
    <row r="164" spans="12:12" x14ac:dyDescent="0.3">
      <c r="L164" s="196"/>
    </row>
    <row r="165" spans="12:12" x14ac:dyDescent="0.3">
      <c r="L165" s="196"/>
    </row>
    <row r="166" spans="12:12" x14ac:dyDescent="0.3">
      <c r="L166" s="196"/>
    </row>
    <row r="167" spans="12:12" x14ac:dyDescent="0.3">
      <c r="L167" s="196"/>
    </row>
    <row r="168" spans="12:12" x14ac:dyDescent="0.3">
      <c r="L168" s="196"/>
    </row>
    <row r="169" spans="12:12" x14ac:dyDescent="0.3">
      <c r="L169" s="196"/>
    </row>
    <row r="170" spans="12:12" x14ac:dyDescent="0.3">
      <c r="L170" s="196"/>
    </row>
    <row r="171" spans="12:12" x14ac:dyDescent="0.3">
      <c r="L171" s="196"/>
    </row>
    <row r="172" spans="12:12" x14ac:dyDescent="0.3">
      <c r="L172" s="196"/>
    </row>
    <row r="173" spans="12:12" x14ac:dyDescent="0.3">
      <c r="L173" s="196"/>
    </row>
    <row r="174" spans="12:12" x14ac:dyDescent="0.3">
      <c r="L174" s="196"/>
    </row>
    <row r="175" spans="12:12" x14ac:dyDescent="0.3">
      <c r="L175" s="196"/>
    </row>
    <row r="176" spans="12:12" x14ac:dyDescent="0.3">
      <c r="L176" s="196"/>
    </row>
    <row r="177" spans="12:12" x14ac:dyDescent="0.3">
      <c r="L177" s="196"/>
    </row>
    <row r="178" spans="12:12" x14ac:dyDescent="0.3">
      <c r="L178" s="196"/>
    </row>
    <row r="179" spans="12:12" x14ac:dyDescent="0.3">
      <c r="L179" s="196"/>
    </row>
    <row r="180" spans="12:12" x14ac:dyDescent="0.3">
      <c r="L180" s="196"/>
    </row>
    <row r="181" spans="12:12" x14ac:dyDescent="0.3">
      <c r="L181" s="196"/>
    </row>
    <row r="182" spans="12:12" x14ac:dyDescent="0.3">
      <c r="L182" s="196"/>
    </row>
    <row r="183" spans="12:12" x14ac:dyDescent="0.3">
      <c r="L183" s="196"/>
    </row>
    <row r="184" spans="12:12" x14ac:dyDescent="0.3">
      <c r="L184" s="196"/>
    </row>
    <row r="185" spans="12:12" x14ac:dyDescent="0.3">
      <c r="L185" s="196"/>
    </row>
    <row r="186" spans="12:12" x14ac:dyDescent="0.3">
      <c r="L186" s="196"/>
    </row>
    <row r="187" spans="12:12" x14ac:dyDescent="0.3">
      <c r="L187" s="196"/>
    </row>
    <row r="188" spans="12:12" x14ac:dyDescent="0.3">
      <c r="L188" s="196"/>
    </row>
    <row r="189" spans="12:12" x14ac:dyDescent="0.3">
      <c r="L189" s="196"/>
    </row>
    <row r="190" spans="12:12" x14ac:dyDescent="0.3">
      <c r="L190" s="196"/>
    </row>
    <row r="191" spans="12:12" x14ac:dyDescent="0.3">
      <c r="L191" s="196"/>
    </row>
    <row r="192" spans="12:12" x14ac:dyDescent="0.3">
      <c r="L192" s="196"/>
    </row>
    <row r="193" spans="12:12" x14ac:dyDescent="0.3">
      <c r="L193" s="196"/>
    </row>
    <row r="194" spans="12:12" x14ac:dyDescent="0.3">
      <c r="L194" s="196"/>
    </row>
    <row r="195" spans="12:12" x14ac:dyDescent="0.3">
      <c r="L195" s="196"/>
    </row>
    <row r="196" spans="12:12" x14ac:dyDescent="0.3">
      <c r="L196" s="196"/>
    </row>
    <row r="197" spans="12:12" x14ac:dyDescent="0.3">
      <c r="L197" s="196"/>
    </row>
    <row r="198" spans="12:12" x14ac:dyDescent="0.3">
      <c r="L198" s="196"/>
    </row>
    <row r="199" spans="12:12" x14ac:dyDescent="0.3">
      <c r="L199" s="196"/>
    </row>
    <row r="200" spans="12:12" x14ac:dyDescent="0.3">
      <c r="L200" s="196"/>
    </row>
    <row r="201" spans="12:12" x14ac:dyDescent="0.3">
      <c r="L201" s="196"/>
    </row>
    <row r="202" spans="12:12" x14ac:dyDescent="0.3">
      <c r="L202" s="196"/>
    </row>
    <row r="203" spans="12:12" x14ac:dyDescent="0.3">
      <c r="L203" s="196"/>
    </row>
    <row r="204" spans="12:12" x14ac:dyDescent="0.3">
      <c r="L204" s="196"/>
    </row>
    <row r="205" spans="12:12" x14ac:dyDescent="0.3">
      <c r="L205" s="196"/>
    </row>
    <row r="206" spans="12:12" x14ac:dyDescent="0.3">
      <c r="L206" s="196"/>
    </row>
    <row r="207" spans="12:12" x14ac:dyDescent="0.3">
      <c r="L207" s="196"/>
    </row>
    <row r="208" spans="12:12" x14ac:dyDescent="0.3">
      <c r="L208" s="196"/>
    </row>
    <row r="209" spans="12:12" x14ac:dyDescent="0.3">
      <c r="L209" s="196"/>
    </row>
    <row r="210" spans="12:12" x14ac:dyDescent="0.3">
      <c r="L210" s="196"/>
    </row>
    <row r="211" spans="12:12" x14ac:dyDescent="0.3">
      <c r="L211" s="196"/>
    </row>
    <row r="212" spans="12:12" x14ac:dyDescent="0.3">
      <c r="L212" s="196"/>
    </row>
    <row r="213" spans="12:12" x14ac:dyDescent="0.3">
      <c r="L213" s="196"/>
    </row>
    <row r="214" spans="12:12" x14ac:dyDescent="0.3">
      <c r="L214" s="196"/>
    </row>
    <row r="215" spans="12:12" x14ac:dyDescent="0.3">
      <c r="L215" s="196"/>
    </row>
    <row r="216" spans="12:12" x14ac:dyDescent="0.3">
      <c r="L216" s="196"/>
    </row>
    <row r="217" spans="12:12" x14ac:dyDescent="0.3">
      <c r="L217" s="196"/>
    </row>
    <row r="218" spans="12:12" x14ac:dyDescent="0.3">
      <c r="L218" s="196"/>
    </row>
    <row r="219" spans="12:12" x14ac:dyDescent="0.3">
      <c r="L219" s="196"/>
    </row>
    <row r="220" spans="12:12" x14ac:dyDescent="0.3">
      <c r="L220" s="196"/>
    </row>
    <row r="221" spans="12:12" x14ac:dyDescent="0.3">
      <c r="L221" s="196"/>
    </row>
    <row r="222" spans="12:12" x14ac:dyDescent="0.3">
      <c r="L222" s="196"/>
    </row>
    <row r="223" spans="12:12" x14ac:dyDescent="0.3">
      <c r="L223" s="196"/>
    </row>
    <row r="224" spans="12:12" x14ac:dyDescent="0.3">
      <c r="L224" s="196"/>
    </row>
    <row r="225" spans="12:12" x14ac:dyDescent="0.3">
      <c r="L225" s="196"/>
    </row>
    <row r="226" spans="12:12" x14ac:dyDescent="0.3">
      <c r="L226" s="196"/>
    </row>
    <row r="227" spans="12:12" x14ac:dyDescent="0.3">
      <c r="L227" s="196"/>
    </row>
    <row r="228" spans="12:12" x14ac:dyDescent="0.3">
      <c r="L228" s="196"/>
    </row>
    <row r="229" spans="12:12" x14ac:dyDescent="0.3">
      <c r="L229" s="196"/>
    </row>
    <row r="230" spans="12:12" x14ac:dyDescent="0.3">
      <c r="L230" s="196"/>
    </row>
    <row r="231" spans="12:12" x14ac:dyDescent="0.3">
      <c r="L231" s="196"/>
    </row>
    <row r="232" spans="12:12" x14ac:dyDescent="0.3">
      <c r="L232" s="196"/>
    </row>
    <row r="233" spans="12:12" x14ac:dyDescent="0.3">
      <c r="L233" s="196"/>
    </row>
    <row r="234" spans="12:12" x14ac:dyDescent="0.3">
      <c r="L234" s="196"/>
    </row>
    <row r="235" spans="12:12" x14ac:dyDescent="0.3">
      <c r="L235" s="196"/>
    </row>
    <row r="236" spans="12:12" x14ac:dyDescent="0.3">
      <c r="L236" s="196"/>
    </row>
    <row r="237" spans="12:12" x14ac:dyDescent="0.3">
      <c r="L237" s="196"/>
    </row>
    <row r="238" spans="12:12" x14ac:dyDescent="0.3">
      <c r="L238" s="196"/>
    </row>
    <row r="239" spans="12:12" x14ac:dyDescent="0.3">
      <c r="L239" s="196"/>
    </row>
    <row r="240" spans="12:12" x14ac:dyDescent="0.3">
      <c r="L240" s="196"/>
    </row>
    <row r="241" spans="12:12" x14ac:dyDescent="0.3">
      <c r="L241" s="196"/>
    </row>
    <row r="242" spans="12:12" x14ac:dyDescent="0.3">
      <c r="L242" s="196"/>
    </row>
    <row r="243" spans="12:12" x14ac:dyDescent="0.3">
      <c r="L243" s="196"/>
    </row>
    <row r="244" spans="12:12" x14ac:dyDescent="0.3">
      <c r="L244" s="196"/>
    </row>
    <row r="245" spans="12:12" x14ac:dyDescent="0.3">
      <c r="L245" s="196"/>
    </row>
    <row r="246" spans="12:12" x14ac:dyDescent="0.3">
      <c r="L246" s="196"/>
    </row>
    <row r="247" spans="12:12" x14ac:dyDescent="0.3">
      <c r="L247" s="196"/>
    </row>
    <row r="248" spans="12:12" x14ac:dyDescent="0.3">
      <c r="L248" s="196"/>
    </row>
    <row r="249" spans="12:12" x14ac:dyDescent="0.3">
      <c r="L249" s="196"/>
    </row>
    <row r="250" spans="12:12" x14ac:dyDescent="0.3">
      <c r="L250" s="196"/>
    </row>
    <row r="251" spans="12:12" x14ac:dyDescent="0.3">
      <c r="L251" s="196"/>
    </row>
    <row r="252" spans="12:12" x14ac:dyDescent="0.3">
      <c r="L252" s="196"/>
    </row>
    <row r="253" spans="12:12" x14ac:dyDescent="0.3">
      <c r="L253" s="196"/>
    </row>
    <row r="254" spans="12:12" x14ac:dyDescent="0.3">
      <c r="L254" s="196"/>
    </row>
    <row r="255" spans="12:12" x14ac:dyDescent="0.3">
      <c r="L255" s="196"/>
    </row>
  </sheetData>
  <mergeCells count="2">
    <mergeCell ref="R3:S3"/>
    <mergeCell ref="U3:V3"/>
  </mergeCells>
  <conditionalFormatting sqref="AM32:AP36 Q32:Q36 N32:N36">
    <cfRule type="expression" dxfId="170" priority="12">
      <formula>$L32="API sand"</formula>
    </cfRule>
  </conditionalFormatting>
  <conditionalFormatting sqref="R32:S36 AB32:AB35 AJ32:AL36 Z32:Z36 N32:N36">
    <cfRule type="expression" dxfId="169" priority="11">
      <formula>$M32="API sand"</formula>
    </cfRule>
  </conditionalFormatting>
  <conditionalFormatting sqref="R32:T36 Z32:AB35 AK32:AL36 N32:N36">
    <cfRule type="expression" dxfId="168" priority="10">
      <formula>$M32="API clay"</formula>
    </cfRule>
  </conditionalFormatting>
  <conditionalFormatting sqref="U32:W36 AM32:AP36 N32:P36">
    <cfRule type="expression" dxfId="167" priority="7">
      <formula>$L32="Stiff clay w/o free water"</formula>
    </cfRule>
    <cfRule type="expression" dxfId="166" priority="9">
      <formula>$L32="API clay"</formula>
    </cfRule>
  </conditionalFormatting>
  <conditionalFormatting sqref="U32:Y36 AM32:AP36 N32:P36">
    <cfRule type="expression" dxfId="165" priority="8">
      <formula>$L32="Kirsch soft clay"</formula>
    </cfRule>
  </conditionalFormatting>
  <conditionalFormatting sqref="U32:Y36 AM32:AP36 N32:P36">
    <cfRule type="expression" dxfId="164" priority="6">
      <formula>$L32="Kirsch stiff clay"</formula>
    </cfRule>
  </conditionalFormatting>
  <conditionalFormatting sqref="AM32:AP36 Q32:Q36 X32:Y36 N32:N36">
    <cfRule type="expression" dxfId="163" priority="5">
      <formula>$L32="Kirsch sand"</formula>
    </cfRule>
  </conditionalFormatting>
  <conditionalFormatting sqref="AC32:AD36 AI32:AI36 AM32:AP36 N32:N36">
    <cfRule type="expression" dxfId="162" priority="4">
      <formula>$L32="Modified Weak rock"</formula>
    </cfRule>
  </conditionalFormatting>
  <conditionalFormatting sqref="AM32:AP36 N32:P36 U32:V36">
    <cfRule type="expression" dxfId="161" priority="3">
      <formula>$L32="Reese stiff clay"</formula>
    </cfRule>
  </conditionalFormatting>
  <conditionalFormatting sqref="AB36">
    <cfRule type="expression" dxfId="160" priority="2">
      <formula>$M36="API sand"</formula>
    </cfRule>
  </conditionalFormatting>
  <conditionalFormatting sqref="Z36:AB36">
    <cfRule type="expression" dxfId="159" priority="1">
      <formula>$M36="API clay"</formula>
    </cfRule>
  </conditionalFormatting>
  <conditionalFormatting sqref="AE37:AH37">
    <cfRule type="expression" dxfId="158" priority="13">
      <formula>#REF!="Modified Weak rock"</formula>
    </cfRule>
  </conditionalFormatting>
  <dataValidations count="3">
    <dataValidation type="list" showInputMessage="1" showErrorMessage="1" sqref="M32:M36" xr:uid="{5C0ED6D0-780B-48D1-8E9E-FE30CD70EE58}">
      <formula1>"',API sand,API clay"</formula1>
    </dataValidation>
    <dataValidation type="list" showInputMessage="1" showErrorMessage="1" sqref="L32:L255" xr:uid="{31898D28-EB63-49AC-9925-06CBC8BA0B92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L6:M31" xr:uid="{585FA95D-FACB-41D3-96C2-833D5EAE0FC3}"/>
  </dataValidations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4F1EE-4D66-4DF1-956C-D05BFF5C42F6}">
  <sheetPr>
    <tabColor rgb="FF7030A0"/>
  </sheetPr>
  <dimension ref="A1:CH255"/>
  <sheetViews>
    <sheetView topLeftCell="AD1" zoomScaleNormal="100" workbookViewId="0">
      <selection activeCell="AS6" sqref="AS6:AS21"/>
    </sheetView>
  </sheetViews>
  <sheetFormatPr defaultColWidth="9.33203125" defaultRowHeight="14.4" x14ac:dyDescent="0.3"/>
  <cols>
    <col min="1" max="1" width="18" style="152" bestFit="1" customWidth="1"/>
    <col min="2" max="2" width="13.6640625" style="152" customWidth="1"/>
    <col min="3" max="3" width="13.5546875" style="152" customWidth="1"/>
    <col min="4" max="5" width="14" style="152" customWidth="1"/>
    <col min="6" max="6" width="13" style="152" bestFit="1" customWidth="1"/>
    <col min="7" max="7" width="13.5546875" style="152" customWidth="1"/>
    <col min="8" max="8" width="11" style="152" bestFit="1" customWidth="1"/>
    <col min="9" max="9" width="15.6640625" style="152" bestFit="1" customWidth="1"/>
    <col min="10" max="10" width="10.33203125" style="152" customWidth="1"/>
    <col min="11" max="11" width="11.5546875" style="152" bestFit="1" customWidth="1"/>
    <col min="12" max="12" width="31.44140625" style="152" customWidth="1"/>
    <col min="13" max="13" width="11.6640625" style="152" bestFit="1" customWidth="1"/>
    <col min="14" max="14" width="11" style="152" bestFit="1" customWidth="1"/>
    <col min="15" max="15" width="9.33203125" style="152" customWidth="1"/>
    <col min="16" max="16" width="10.5546875" style="152" customWidth="1"/>
    <col min="17" max="18" width="9.5546875" style="152" bestFit="1" customWidth="1"/>
    <col min="19" max="20" width="6.5546875" style="152" customWidth="1"/>
    <col min="21" max="21" width="13.33203125" style="152" customWidth="1"/>
    <col min="22" max="22" width="19.44140625" style="152" customWidth="1"/>
    <col min="23" max="23" width="6.5546875" style="152" customWidth="1"/>
    <col min="24" max="24" width="11.6640625" style="152" customWidth="1"/>
    <col min="25" max="25" width="8.44140625" style="152" bestFit="1" customWidth="1"/>
    <col min="26" max="26" width="11.6640625" style="152" customWidth="1"/>
    <col min="27" max="27" width="11" style="152" bestFit="1" customWidth="1"/>
    <col min="28" max="28" width="10.5546875" style="152" customWidth="1"/>
    <col min="29" max="29" width="14.6640625" style="152" customWidth="1"/>
    <col min="30" max="30" width="11.6640625" style="152" customWidth="1"/>
    <col min="31" max="31" width="10.33203125" style="152" customWidth="1"/>
    <col min="32" max="32" width="8.33203125" style="152" customWidth="1"/>
    <col min="33" max="33" width="13.6640625" style="152" customWidth="1"/>
    <col min="34" max="34" width="8.44140625" style="152" customWidth="1"/>
    <col min="35" max="35" width="7.6640625" style="152" customWidth="1"/>
    <col min="36" max="36" width="8.5546875" style="152" customWidth="1"/>
    <col min="37" max="37" width="11.33203125" style="152" bestFit="1" customWidth="1"/>
    <col min="38" max="38" width="11.44140625" style="152" bestFit="1" customWidth="1"/>
    <col min="39" max="39" width="11.6640625" style="152" bestFit="1" customWidth="1"/>
    <col min="40" max="40" width="11.5546875" style="152" bestFit="1" customWidth="1"/>
    <col min="41" max="42" width="11.5546875" style="152" customWidth="1"/>
    <col min="43" max="44" width="9.33203125" style="152"/>
    <col min="45" max="45" width="15.5546875" style="152" bestFit="1" customWidth="1"/>
    <col min="46" max="46" width="25.6640625" style="152" bestFit="1" customWidth="1"/>
    <col min="47" max="16384" width="9.33203125" style="152"/>
  </cols>
  <sheetData>
    <row r="1" spans="1:86" x14ac:dyDescent="0.3">
      <c r="A1" s="151" t="str">
        <f ca="1">TRIM(MID(CELL("filename",A1),FIND("]",CELL("filename",A1),1)+1,255))</f>
        <v>D2_34_2</v>
      </c>
      <c r="D1" s="151"/>
    </row>
    <row r="3" spans="1:86" s="153" customFormat="1" ht="45" customHeight="1" x14ac:dyDescent="0.3">
      <c r="F3" s="154" t="s">
        <v>37</v>
      </c>
      <c r="J3" s="155" t="s">
        <v>22</v>
      </c>
      <c r="Q3" s="201"/>
      <c r="R3" s="237"/>
      <c r="S3" s="237"/>
      <c r="T3" s="201"/>
      <c r="U3" s="237"/>
      <c r="V3" s="237"/>
      <c r="W3" s="201"/>
      <c r="X3" s="157"/>
      <c r="Y3" s="201"/>
      <c r="Z3" s="201"/>
      <c r="AA3" s="201"/>
      <c r="AB3" s="201"/>
      <c r="AC3" s="157"/>
      <c r="AD3" s="158"/>
      <c r="AE3" s="158"/>
      <c r="AF3" s="158"/>
      <c r="AG3" s="158"/>
      <c r="AH3" s="158"/>
      <c r="AI3" s="158"/>
      <c r="AJ3" s="201"/>
      <c r="AK3" s="201"/>
      <c r="AL3" s="201"/>
      <c r="AM3" s="201"/>
      <c r="AN3" s="201"/>
      <c r="AO3" s="201"/>
      <c r="AP3" s="201"/>
      <c r="AW3" s="153" t="s">
        <v>491</v>
      </c>
    </row>
    <row r="4" spans="1:86" x14ac:dyDescent="0.3">
      <c r="A4" s="159" t="s">
        <v>54</v>
      </c>
      <c r="B4" s="152">
        <f>COUNTIF(J:J,"&gt;0")</f>
        <v>23</v>
      </c>
      <c r="C4" s="160" t="s">
        <v>402</v>
      </c>
      <c r="D4" s="161"/>
      <c r="F4" s="152" t="s">
        <v>38</v>
      </c>
      <c r="G4" s="162">
        <v>0</v>
      </c>
      <c r="H4" s="160" t="s">
        <v>28</v>
      </c>
      <c r="I4" s="152" t="s">
        <v>492</v>
      </c>
      <c r="J4" s="161" t="s">
        <v>0</v>
      </c>
      <c r="K4" s="161" t="s">
        <v>3</v>
      </c>
      <c r="L4" s="161" t="s">
        <v>1</v>
      </c>
      <c r="M4" s="161" t="s">
        <v>2</v>
      </c>
      <c r="N4" s="161" t="s">
        <v>6</v>
      </c>
      <c r="O4" s="161" t="s">
        <v>4</v>
      </c>
      <c r="P4" s="161" t="s">
        <v>5</v>
      </c>
      <c r="Q4" s="161" t="s">
        <v>7</v>
      </c>
      <c r="R4" s="161" t="s">
        <v>13</v>
      </c>
      <c r="S4" s="161" t="s">
        <v>65</v>
      </c>
      <c r="T4" s="161" t="s">
        <v>14</v>
      </c>
      <c r="U4" s="161" t="s">
        <v>8</v>
      </c>
      <c r="V4" s="161" t="s">
        <v>9</v>
      </c>
      <c r="W4" s="161" t="s">
        <v>10</v>
      </c>
      <c r="X4" s="161" t="s">
        <v>67</v>
      </c>
      <c r="Y4" s="161" t="s">
        <v>71</v>
      </c>
      <c r="Z4" s="161" t="s">
        <v>15</v>
      </c>
      <c r="AA4" s="161" t="s">
        <v>16</v>
      </c>
      <c r="AB4" s="161" t="s">
        <v>17</v>
      </c>
      <c r="AC4" s="161" t="s">
        <v>11</v>
      </c>
      <c r="AD4" s="161" t="s">
        <v>12</v>
      </c>
      <c r="AE4" s="161" t="s">
        <v>18</v>
      </c>
      <c r="AF4" s="161" t="s">
        <v>19</v>
      </c>
      <c r="AG4" s="161" t="s">
        <v>408</v>
      </c>
      <c r="AH4" s="161" t="s">
        <v>20</v>
      </c>
      <c r="AI4" s="161" t="s">
        <v>21</v>
      </c>
      <c r="AJ4" s="161" t="s">
        <v>59</v>
      </c>
      <c r="AK4" s="161" t="s">
        <v>64</v>
      </c>
      <c r="AL4" s="161" t="s">
        <v>68</v>
      </c>
      <c r="AM4" s="161" t="s">
        <v>69</v>
      </c>
      <c r="AN4" s="161" t="s">
        <v>70</v>
      </c>
      <c r="AO4" s="161" t="s">
        <v>407</v>
      </c>
      <c r="AP4" s="161" t="s">
        <v>406</v>
      </c>
      <c r="AQ4" s="163" t="s">
        <v>405</v>
      </c>
      <c r="AR4" s="161" t="s">
        <v>404</v>
      </c>
      <c r="AS4" s="152" t="s">
        <v>403</v>
      </c>
      <c r="AT4" s="66" t="s">
        <v>487</v>
      </c>
      <c r="AU4" s="66" t="s">
        <v>480</v>
      </c>
      <c r="AV4" s="66" t="s">
        <v>488</v>
      </c>
    </row>
    <row r="5" spans="1:86" ht="92.4" x14ac:dyDescent="0.3">
      <c r="A5" s="152" t="s">
        <v>55</v>
      </c>
      <c r="B5" s="152">
        <f ca="1">COUNTIF(A:A,"&gt;0")</f>
        <v>1</v>
      </c>
      <c r="C5" s="160" t="s">
        <v>402</v>
      </c>
      <c r="F5" s="152" t="s">
        <v>39</v>
      </c>
      <c r="G5" s="162">
        <v>0</v>
      </c>
      <c r="H5" s="160" t="s">
        <v>28</v>
      </c>
      <c r="J5" s="164" t="s">
        <v>36</v>
      </c>
      <c r="K5" s="164" t="s">
        <v>29</v>
      </c>
      <c r="L5" s="164" t="s">
        <v>30</v>
      </c>
      <c r="M5" s="164" t="s">
        <v>30</v>
      </c>
      <c r="N5" s="164" t="s">
        <v>31</v>
      </c>
      <c r="O5" s="164" t="s">
        <v>32</v>
      </c>
      <c r="P5" s="164" t="s">
        <v>34</v>
      </c>
      <c r="Q5" s="164" t="s">
        <v>35</v>
      </c>
      <c r="R5" s="164" t="s">
        <v>35</v>
      </c>
      <c r="S5" s="164" t="s">
        <v>33</v>
      </c>
      <c r="T5" s="164" t="s">
        <v>32</v>
      </c>
      <c r="U5" s="164" t="s">
        <v>33</v>
      </c>
      <c r="V5" s="164" t="s">
        <v>401</v>
      </c>
      <c r="W5" s="164" t="s">
        <v>33</v>
      </c>
      <c r="X5" s="164" t="s">
        <v>32</v>
      </c>
      <c r="Y5" s="164" t="s">
        <v>34</v>
      </c>
      <c r="Z5" s="164" t="s">
        <v>32</v>
      </c>
      <c r="AA5" s="164" t="s">
        <v>33</v>
      </c>
      <c r="AB5" s="164" t="s">
        <v>32</v>
      </c>
      <c r="AC5" s="164" t="s">
        <v>32</v>
      </c>
      <c r="AD5" s="164" t="s">
        <v>34</v>
      </c>
      <c r="AE5" s="164" t="s">
        <v>33</v>
      </c>
      <c r="AF5" s="164" t="s">
        <v>32</v>
      </c>
      <c r="AG5" s="164" t="s">
        <v>34</v>
      </c>
      <c r="AH5" s="164" t="s">
        <v>33</v>
      </c>
      <c r="AI5" s="164" t="s">
        <v>33</v>
      </c>
      <c r="AJ5" s="164" t="s">
        <v>33</v>
      </c>
      <c r="AK5" s="164" t="s">
        <v>33</v>
      </c>
      <c r="AL5" s="164" t="s">
        <v>33</v>
      </c>
      <c r="AM5" s="164" t="s">
        <v>33</v>
      </c>
      <c r="AN5" s="164" t="s">
        <v>33</v>
      </c>
      <c r="AO5" s="164" t="s">
        <v>33</v>
      </c>
      <c r="AP5" s="164" t="s">
        <v>33</v>
      </c>
      <c r="AQ5" s="164" t="s">
        <v>400</v>
      </c>
      <c r="AR5" s="164" t="s">
        <v>399</v>
      </c>
      <c r="AW5" s="165" t="s">
        <v>493</v>
      </c>
      <c r="AX5" s="165" t="s">
        <v>494</v>
      </c>
      <c r="AY5" s="165" t="s">
        <v>495</v>
      </c>
      <c r="AZ5" s="165" t="s">
        <v>496</v>
      </c>
      <c r="BA5" s="165" t="s">
        <v>497</v>
      </c>
      <c r="BB5" s="165" t="s">
        <v>498</v>
      </c>
      <c r="BC5" s="165" t="s">
        <v>499</v>
      </c>
      <c r="BD5" s="165" t="s">
        <v>500</v>
      </c>
      <c r="BE5" s="165" t="s">
        <v>501</v>
      </c>
      <c r="BF5" s="165" t="s">
        <v>502</v>
      </c>
      <c r="BG5" s="165" t="s">
        <v>503</v>
      </c>
      <c r="BH5" s="165" t="s">
        <v>504</v>
      </c>
      <c r="BI5" s="165" t="s">
        <v>505</v>
      </c>
      <c r="BJ5" s="165" t="s">
        <v>506</v>
      </c>
      <c r="BK5" s="165" t="s">
        <v>507</v>
      </c>
      <c r="BL5" s="165" t="s">
        <v>508</v>
      </c>
      <c r="BM5" s="165" t="s">
        <v>509</v>
      </c>
      <c r="BN5" s="165" t="s">
        <v>510</v>
      </c>
      <c r="BO5" s="165" t="s">
        <v>511</v>
      </c>
      <c r="BP5" s="165" t="s">
        <v>512</v>
      </c>
      <c r="BQ5" s="165" t="s">
        <v>513</v>
      </c>
      <c r="BR5" s="165" t="s">
        <v>514</v>
      </c>
      <c r="BS5" s="165" t="s">
        <v>515</v>
      </c>
      <c r="BT5" s="165" t="s">
        <v>516</v>
      </c>
      <c r="BU5" s="165" t="s">
        <v>517</v>
      </c>
      <c r="BV5" s="165" t="s">
        <v>518</v>
      </c>
      <c r="BW5" s="165" t="s">
        <v>519</v>
      </c>
      <c r="BX5" s="165" t="s">
        <v>520</v>
      </c>
      <c r="BY5" s="165" t="s">
        <v>521</v>
      </c>
      <c r="BZ5" s="165" t="s">
        <v>522</v>
      </c>
      <c r="CA5" s="165" t="s">
        <v>523</v>
      </c>
      <c r="CB5" s="165" t="s">
        <v>524</v>
      </c>
      <c r="CC5" s="165" t="s">
        <v>525</v>
      </c>
      <c r="CD5" s="165" t="s">
        <v>526</v>
      </c>
      <c r="CE5" s="165" t="s">
        <v>527</v>
      </c>
      <c r="CF5" s="165" t="s">
        <v>528</v>
      </c>
      <c r="CG5" s="165" t="s">
        <v>529</v>
      </c>
      <c r="CH5" s="165" t="s">
        <v>530</v>
      </c>
    </row>
    <row r="6" spans="1:86" x14ac:dyDescent="0.3">
      <c r="C6" s="160"/>
      <c r="F6" s="152" t="s">
        <v>60</v>
      </c>
      <c r="G6" s="166"/>
      <c r="H6" s="160" t="s">
        <v>28</v>
      </c>
      <c r="I6" s="152" t="s">
        <v>533</v>
      </c>
      <c r="J6" s="167">
        <v>1</v>
      </c>
      <c r="K6" s="168">
        <v>0</v>
      </c>
      <c r="L6" s="169" t="s">
        <v>531</v>
      </c>
      <c r="M6" s="67" t="s">
        <v>57</v>
      </c>
      <c r="N6" s="167">
        <v>9.6000000000000014</v>
      </c>
      <c r="O6" s="170">
        <v>0</v>
      </c>
      <c r="P6" s="170">
        <v>0</v>
      </c>
      <c r="Q6" s="167">
        <v>39</v>
      </c>
      <c r="R6" s="167">
        <v>34</v>
      </c>
      <c r="S6" s="167">
        <v>0.3</v>
      </c>
      <c r="T6" s="167">
        <v>0</v>
      </c>
      <c r="U6" s="171">
        <v>0</v>
      </c>
      <c r="V6" s="171">
        <v>0</v>
      </c>
      <c r="W6" s="167">
        <v>0</v>
      </c>
      <c r="X6" s="167">
        <v>22700</v>
      </c>
      <c r="Y6" s="167">
        <v>0</v>
      </c>
      <c r="Z6" s="167">
        <v>111.19999999999996</v>
      </c>
      <c r="AA6" s="167">
        <v>1</v>
      </c>
      <c r="AB6" s="167">
        <v>11520</v>
      </c>
      <c r="AC6" s="170">
        <v>2000</v>
      </c>
      <c r="AD6" s="172">
        <v>62222.222222222219</v>
      </c>
      <c r="AE6" s="170">
        <v>0.3</v>
      </c>
      <c r="AF6" s="170">
        <v>0</v>
      </c>
      <c r="AG6" s="170">
        <v>0</v>
      </c>
      <c r="AH6" s="170">
        <v>0</v>
      </c>
      <c r="AI6" s="170">
        <v>0</v>
      </c>
      <c r="AJ6" s="167">
        <v>48.000000000000007</v>
      </c>
      <c r="AK6" s="167">
        <v>1</v>
      </c>
      <c r="AL6" s="167">
        <v>1</v>
      </c>
      <c r="AM6" s="167">
        <v>1</v>
      </c>
      <c r="AN6" s="167">
        <v>1</v>
      </c>
      <c r="AO6" s="167">
        <v>1</v>
      </c>
      <c r="AP6" s="167">
        <v>1</v>
      </c>
      <c r="AQ6" s="167">
        <v>0</v>
      </c>
      <c r="AR6" s="167">
        <v>100</v>
      </c>
      <c r="AS6" s="173">
        <v>0.24719099999999999</v>
      </c>
      <c r="AT6" s="152" t="s">
        <v>532</v>
      </c>
      <c r="AU6" s="152">
        <v>9.1999999999999993</v>
      </c>
      <c r="AV6" s="152">
        <v>0.12</v>
      </c>
      <c r="AW6" s="174">
        <v>0</v>
      </c>
      <c r="AX6" s="174" t="s">
        <v>533</v>
      </c>
      <c r="AY6" s="174">
        <v>24</v>
      </c>
      <c r="AZ6" s="174">
        <v>19.600000000000001</v>
      </c>
      <c r="BA6" s="174"/>
      <c r="BB6" s="174">
        <v>3</v>
      </c>
      <c r="BC6" s="174"/>
      <c r="BD6" s="174"/>
      <c r="BE6" s="174">
        <v>0</v>
      </c>
      <c r="BF6" s="174">
        <v>0</v>
      </c>
      <c r="BG6" s="174">
        <v>0</v>
      </c>
      <c r="BH6" s="174">
        <v>0</v>
      </c>
      <c r="BI6" s="174">
        <v>0</v>
      </c>
      <c r="BJ6" s="174">
        <v>0.01</v>
      </c>
      <c r="BK6" s="174">
        <v>0.01</v>
      </c>
      <c r="BL6" s="174">
        <v>0.01</v>
      </c>
      <c r="BM6" s="174">
        <v>0.01</v>
      </c>
      <c r="BN6" s="174">
        <v>0.01</v>
      </c>
      <c r="BO6" s="174"/>
      <c r="BP6" s="174"/>
      <c r="BQ6" s="174"/>
      <c r="BR6" s="174"/>
      <c r="BS6" s="174"/>
      <c r="BT6" s="174">
        <v>100</v>
      </c>
      <c r="BU6" s="174">
        <v>31</v>
      </c>
      <c r="BV6" s="174">
        <v>39</v>
      </c>
      <c r="BW6" s="174">
        <v>44</v>
      </c>
      <c r="BX6" s="174">
        <v>47</v>
      </c>
      <c r="BY6" s="174">
        <v>47</v>
      </c>
      <c r="BZ6" s="174">
        <v>0</v>
      </c>
      <c r="CA6" s="174">
        <v>0</v>
      </c>
      <c r="CB6" s="174">
        <v>2</v>
      </c>
      <c r="CC6" s="174">
        <v>8</v>
      </c>
      <c r="CD6" s="174">
        <v>21</v>
      </c>
      <c r="CE6" s="174">
        <v>22.7</v>
      </c>
      <c r="CF6" s="174">
        <v>1</v>
      </c>
      <c r="CG6" s="174">
        <v>0.3</v>
      </c>
      <c r="CH6" s="175">
        <v>3.650010417479681E-3</v>
      </c>
    </row>
    <row r="7" spans="1:86" x14ac:dyDescent="0.3">
      <c r="A7" s="176" t="s">
        <v>23</v>
      </c>
      <c r="C7" s="160"/>
      <c r="F7" s="177" t="s">
        <v>44</v>
      </c>
      <c r="G7" s="178"/>
      <c r="H7" s="158"/>
      <c r="I7" s="152" t="s">
        <v>533</v>
      </c>
      <c r="J7" s="167">
        <v>2</v>
      </c>
      <c r="K7" s="168">
        <v>-0.9</v>
      </c>
      <c r="L7" s="169" t="s">
        <v>534</v>
      </c>
      <c r="M7" s="67" t="s">
        <v>57</v>
      </c>
      <c r="N7" s="167">
        <v>9.6000000000000014</v>
      </c>
      <c r="O7" s="170">
        <v>0</v>
      </c>
      <c r="P7" s="170">
        <v>0</v>
      </c>
      <c r="Q7" s="167">
        <v>39</v>
      </c>
      <c r="R7" s="167">
        <v>34</v>
      </c>
      <c r="S7" s="167">
        <v>0.3</v>
      </c>
      <c r="T7" s="167">
        <v>0</v>
      </c>
      <c r="U7" s="171">
        <v>0</v>
      </c>
      <c r="V7" s="171">
        <v>0</v>
      </c>
      <c r="W7" s="167">
        <v>0</v>
      </c>
      <c r="X7" s="167">
        <v>37000</v>
      </c>
      <c r="Y7" s="167">
        <v>0</v>
      </c>
      <c r="Z7" s="167">
        <v>111.19999999999996</v>
      </c>
      <c r="AA7" s="167">
        <v>1</v>
      </c>
      <c r="AB7" s="167">
        <v>11520</v>
      </c>
      <c r="AC7" s="170">
        <v>58000</v>
      </c>
      <c r="AD7" s="172">
        <v>5000</v>
      </c>
      <c r="AE7" s="170">
        <v>0.3</v>
      </c>
      <c r="AF7" s="170">
        <v>0</v>
      </c>
      <c r="AG7" s="170">
        <v>0</v>
      </c>
      <c r="AH7" s="170">
        <v>0</v>
      </c>
      <c r="AI7" s="170">
        <v>0</v>
      </c>
      <c r="AJ7" s="167">
        <v>48.000000000000007</v>
      </c>
      <c r="AK7" s="167">
        <v>1</v>
      </c>
      <c r="AL7" s="167">
        <v>1</v>
      </c>
      <c r="AM7" s="167">
        <v>1</v>
      </c>
      <c r="AN7" s="167">
        <v>1</v>
      </c>
      <c r="AO7" s="167">
        <v>1</v>
      </c>
      <c r="AP7" s="167">
        <v>1</v>
      </c>
      <c r="AQ7" s="167">
        <v>0</v>
      </c>
      <c r="AR7" s="167">
        <v>96</v>
      </c>
      <c r="AS7" s="173">
        <v>0.35135100000000002</v>
      </c>
      <c r="AT7" s="152" t="s">
        <v>535</v>
      </c>
      <c r="AU7" s="152">
        <v>9.1999999999999993</v>
      </c>
      <c r="AV7" s="152">
        <v>0.11</v>
      </c>
      <c r="AW7" s="174">
        <v>0.9</v>
      </c>
      <c r="AX7" s="174" t="s">
        <v>533</v>
      </c>
      <c r="AY7" s="174">
        <v>24</v>
      </c>
      <c r="AZ7" s="174">
        <v>19.600000000000001</v>
      </c>
      <c r="BA7" s="174"/>
      <c r="BB7" s="174">
        <v>3</v>
      </c>
      <c r="BC7" s="174"/>
      <c r="BD7" s="174"/>
      <c r="BE7" s="174">
        <v>12</v>
      </c>
      <c r="BF7" s="174">
        <v>12.7</v>
      </c>
      <c r="BG7" s="174">
        <v>13.2</v>
      </c>
      <c r="BH7" s="174">
        <v>13.7</v>
      </c>
      <c r="BI7" s="174">
        <v>14.4</v>
      </c>
      <c r="BJ7" s="174">
        <v>4.9399999999999999E-2</v>
      </c>
      <c r="BK7" s="174">
        <v>5.2600000000000001E-2</v>
      </c>
      <c r="BL7" s="174">
        <v>5.4800000000000001E-2</v>
      </c>
      <c r="BM7" s="174">
        <v>5.7000000000000002E-2</v>
      </c>
      <c r="BN7" s="174">
        <v>6.0199999999999997E-2</v>
      </c>
      <c r="BO7" s="174"/>
      <c r="BP7" s="174"/>
      <c r="BQ7" s="174"/>
      <c r="BR7" s="174"/>
      <c r="BS7" s="174"/>
      <c r="BT7" s="174">
        <v>100</v>
      </c>
      <c r="BU7" s="174">
        <v>31</v>
      </c>
      <c r="BV7" s="174">
        <v>39</v>
      </c>
      <c r="BW7" s="174">
        <v>44</v>
      </c>
      <c r="BX7" s="174">
        <v>47</v>
      </c>
      <c r="BY7" s="174">
        <v>47</v>
      </c>
      <c r="BZ7" s="174">
        <v>45</v>
      </c>
      <c r="CA7" s="174">
        <v>52</v>
      </c>
      <c r="CB7" s="174">
        <v>58</v>
      </c>
      <c r="CC7" s="174">
        <v>64</v>
      </c>
      <c r="CD7" s="174">
        <v>76</v>
      </c>
      <c r="CE7" s="174">
        <v>22.7</v>
      </c>
      <c r="CF7" s="174">
        <v>1</v>
      </c>
      <c r="CG7" s="174">
        <v>0.3</v>
      </c>
      <c r="CH7" s="175">
        <v>3.650010417479681E-3</v>
      </c>
    </row>
    <row r="8" spans="1:86" x14ac:dyDescent="0.3">
      <c r="A8" s="152" t="s">
        <v>24</v>
      </c>
      <c r="B8" s="162">
        <v>0</v>
      </c>
      <c r="C8" s="160" t="s">
        <v>398</v>
      </c>
      <c r="F8" s="152" t="s">
        <v>45</v>
      </c>
      <c r="G8" s="179">
        <v>11640.460886670813</v>
      </c>
      <c r="H8" s="160" t="s">
        <v>48</v>
      </c>
      <c r="I8" s="152" t="s">
        <v>540</v>
      </c>
      <c r="J8" s="167">
        <v>3</v>
      </c>
      <c r="K8" s="168">
        <v>-1.7</v>
      </c>
      <c r="L8" s="169" t="s">
        <v>536</v>
      </c>
      <c r="M8" s="67" t="s">
        <v>57</v>
      </c>
      <c r="N8" s="167">
        <v>10.100000000000001</v>
      </c>
      <c r="O8" s="170">
        <v>0</v>
      </c>
      <c r="P8" s="170">
        <v>0</v>
      </c>
      <c r="Q8" s="167">
        <v>29</v>
      </c>
      <c r="R8" s="167">
        <v>24</v>
      </c>
      <c r="S8" s="167">
        <v>1.6</v>
      </c>
      <c r="T8" s="167">
        <v>0</v>
      </c>
      <c r="U8" s="171">
        <v>0</v>
      </c>
      <c r="V8" s="171">
        <v>0</v>
      </c>
      <c r="W8" s="167">
        <v>0</v>
      </c>
      <c r="X8" s="167">
        <v>4400</v>
      </c>
      <c r="Y8" s="167">
        <v>0</v>
      </c>
      <c r="Z8" s="167">
        <v>78.199999999999974</v>
      </c>
      <c r="AA8" s="167">
        <v>1</v>
      </c>
      <c r="AB8" s="167">
        <v>4420</v>
      </c>
      <c r="AC8" s="170">
        <v>59000</v>
      </c>
      <c r="AD8" s="172">
        <v>-5555.5555555555547</v>
      </c>
      <c r="AE8" s="170">
        <v>0.3</v>
      </c>
      <c r="AF8" s="170">
        <v>0</v>
      </c>
      <c r="AG8" s="170">
        <v>0</v>
      </c>
      <c r="AH8" s="170">
        <v>0</v>
      </c>
      <c r="AI8" s="170">
        <v>0</v>
      </c>
      <c r="AJ8" s="167">
        <v>18.400000000000006</v>
      </c>
      <c r="AK8" s="167">
        <v>1</v>
      </c>
      <c r="AL8" s="167">
        <v>1</v>
      </c>
      <c r="AM8" s="167">
        <v>1</v>
      </c>
      <c r="AN8" s="167">
        <v>1</v>
      </c>
      <c r="AO8" s="167">
        <v>1</v>
      </c>
      <c r="AP8" s="167">
        <v>1</v>
      </c>
      <c r="AQ8" s="167">
        <v>0</v>
      </c>
      <c r="AR8" s="167">
        <v>46</v>
      </c>
      <c r="AS8" s="173">
        <v>0.58904100000000004</v>
      </c>
      <c r="AT8" s="152" t="s">
        <v>537</v>
      </c>
      <c r="AU8" s="152">
        <v>9.1999999999999993</v>
      </c>
      <c r="AV8" s="152">
        <v>0.2</v>
      </c>
      <c r="AW8" s="174">
        <v>0.9</v>
      </c>
      <c r="AX8" s="174" t="s">
        <v>533</v>
      </c>
      <c r="AY8" s="174">
        <v>24</v>
      </c>
      <c r="AZ8" s="174">
        <v>19.600000000000001</v>
      </c>
      <c r="BA8" s="174"/>
      <c r="BB8" s="174">
        <v>3</v>
      </c>
      <c r="BC8" s="174"/>
      <c r="BD8" s="174"/>
      <c r="BE8" s="174">
        <v>11.7</v>
      </c>
      <c r="BF8" s="174">
        <v>12.8</v>
      </c>
      <c r="BG8" s="174">
        <v>13.6</v>
      </c>
      <c r="BH8" s="174">
        <v>14.4</v>
      </c>
      <c r="BI8" s="174">
        <v>15.5</v>
      </c>
      <c r="BJ8" s="174">
        <v>4.5199999999999997E-2</v>
      </c>
      <c r="BK8" s="174">
        <v>4.9700000000000001E-2</v>
      </c>
      <c r="BL8" s="174">
        <v>5.28E-2</v>
      </c>
      <c r="BM8" s="174">
        <v>5.5899999999999998E-2</v>
      </c>
      <c r="BN8" s="174">
        <v>6.0400000000000002E-2</v>
      </c>
      <c r="BO8" s="174"/>
      <c r="BP8" s="174"/>
      <c r="BQ8" s="174"/>
      <c r="BR8" s="174"/>
      <c r="BS8" s="174"/>
      <c r="BT8" s="174">
        <v>96</v>
      </c>
      <c r="BU8" s="174">
        <v>30</v>
      </c>
      <c r="BV8" s="174">
        <v>39</v>
      </c>
      <c r="BW8" s="174">
        <v>44</v>
      </c>
      <c r="BX8" s="174">
        <v>47</v>
      </c>
      <c r="BY8" s="174">
        <v>47</v>
      </c>
      <c r="BZ8" s="174">
        <v>33</v>
      </c>
      <c r="CA8" s="174">
        <v>46</v>
      </c>
      <c r="CB8" s="174">
        <v>58</v>
      </c>
      <c r="CC8" s="174">
        <v>69</v>
      </c>
      <c r="CD8" s="174">
        <v>94</v>
      </c>
      <c r="CE8" s="174">
        <v>37</v>
      </c>
      <c r="CF8" s="174">
        <v>1</v>
      </c>
      <c r="CG8" s="174">
        <v>0.3</v>
      </c>
      <c r="CH8" s="175">
        <v>3.1356976958693268E-3</v>
      </c>
    </row>
    <row r="9" spans="1:86" x14ac:dyDescent="0.3">
      <c r="A9" s="152" t="s">
        <v>61</v>
      </c>
      <c r="B9" s="166">
        <v>34</v>
      </c>
      <c r="C9" s="160" t="s">
        <v>28</v>
      </c>
      <c r="D9" s="162">
        <v>31880.742314246338</v>
      </c>
      <c r="F9" s="152" t="s">
        <v>72</v>
      </c>
      <c r="G9" s="180">
        <v>-552772.83884647035</v>
      </c>
      <c r="H9" s="160" t="s">
        <v>49</v>
      </c>
      <c r="I9" s="152" t="s">
        <v>544</v>
      </c>
      <c r="J9" s="167">
        <v>4</v>
      </c>
      <c r="K9" s="168">
        <v>-2.6</v>
      </c>
      <c r="L9" s="169" t="s">
        <v>538</v>
      </c>
      <c r="M9" s="67" t="s">
        <v>58</v>
      </c>
      <c r="N9" s="167">
        <v>8.8999999999999986</v>
      </c>
      <c r="O9" s="170">
        <v>27</v>
      </c>
      <c r="P9" s="170">
        <v>37.500000000000007</v>
      </c>
      <c r="Q9" s="167">
        <v>0</v>
      </c>
      <c r="R9" s="167" t="e">
        <v>#N/A</v>
      </c>
      <c r="S9" s="167">
        <v>1.3</v>
      </c>
      <c r="T9" s="167">
        <v>0</v>
      </c>
      <c r="U9" s="171">
        <v>1.9E-2</v>
      </c>
      <c r="V9" s="171">
        <v>0</v>
      </c>
      <c r="W9" s="167">
        <v>0.5</v>
      </c>
      <c r="X9" s="167">
        <v>3200</v>
      </c>
      <c r="Y9" s="167">
        <v>0</v>
      </c>
      <c r="Z9" s="167" t="e">
        <v>#N/A</v>
      </c>
      <c r="AA9" s="167">
        <v>1</v>
      </c>
      <c r="AB9" s="167" t="e">
        <v>#N/A</v>
      </c>
      <c r="AC9" s="170">
        <v>27000</v>
      </c>
      <c r="AD9" s="172">
        <v>5000.0000000000009</v>
      </c>
      <c r="AE9" s="170">
        <v>0.3</v>
      </c>
      <c r="AF9" s="170">
        <v>0</v>
      </c>
      <c r="AG9" s="170">
        <v>0</v>
      </c>
      <c r="AH9" s="170">
        <v>0</v>
      </c>
      <c r="AI9" s="170">
        <v>0</v>
      </c>
      <c r="AJ9" s="167" t="e">
        <v>#N/A</v>
      </c>
      <c r="AK9" s="167">
        <v>1</v>
      </c>
      <c r="AL9" s="167">
        <v>1</v>
      </c>
      <c r="AM9" s="167">
        <v>1</v>
      </c>
      <c r="AN9" s="167">
        <v>1</v>
      </c>
      <c r="AO9" s="167">
        <v>1</v>
      </c>
      <c r="AP9" s="167">
        <v>1</v>
      </c>
      <c r="AQ9" s="167">
        <v>0</v>
      </c>
      <c r="AR9" s="167">
        <v>0</v>
      </c>
      <c r="AS9" s="173">
        <v>0.35135100000000002</v>
      </c>
      <c r="AT9" s="152" t="s">
        <v>535</v>
      </c>
      <c r="AU9" s="152">
        <v>9.1999999999999993</v>
      </c>
      <c r="AV9" s="152">
        <v>0.11</v>
      </c>
      <c r="AW9" s="174">
        <v>1.7</v>
      </c>
      <c r="AX9" s="174" t="s">
        <v>533</v>
      </c>
      <c r="AY9" s="174">
        <v>24</v>
      </c>
      <c r="AZ9" s="174">
        <v>19.600000000000001</v>
      </c>
      <c r="BA9" s="174"/>
      <c r="BB9" s="174">
        <v>3</v>
      </c>
      <c r="BC9" s="174"/>
      <c r="BD9" s="174"/>
      <c r="BE9" s="174">
        <v>2.9</v>
      </c>
      <c r="BF9" s="174">
        <v>4</v>
      </c>
      <c r="BG9" s="174">
        <v>4.8</v>
      </c>
      <c r="BH9" s="174">
        <v>5.6</v>
      </c>
      <c r="BI9" s="174">
        <v>6.7</v>
      </c>
      <c r="BJ9" s="174">
        <v>1.5699999999999999E-2</v>
      </c>
      <c r="BK9" s="174">
        <v>2.0199999999999999E-2</v>
      </c>
      <c r="BL9" s="174">
        <v>2.3300000000000001E-2</v>
      </c>
      <c r="BM9" s="174">
        <v>2.64E-2</v>
      </c>
      <c r="BN9" s="174">
        <v>3.09E-2</v>
      </c>
      <c r="BO9" s="174"/>
      <c r="BP9" s="174"/>
      <c r="BQ9" s="174"/>
      <c r="BR9" s="174"/>
      <c r="BS9" s="174"/>
      <c r="BT9" s="174">
        <v>96</v>
      </c>
      <c r="BU9" s="174">
        <v>30</v>
      </c>
      <c r="BV9" s="174">
        <v>39</v>
      </c>
      <c r="BW9" s="174">
        <v>44</v>
      </c>
      <c r="BX9" s="174">
        <v>47</v>
      </c>
      <c r="BY9" s="174">
        <v>47</v>
      </c>
      <c r="BZ9" s="174">
        <v>37</v>
      </c>
      <c r="CA9" s="174">
        <v>50</v>
      </c>
      <c r="CB9" s="174">
        <v>62</v>
      </c>
      <c r="CC9" s="174">
        <v>73</v>
      </c>
      <c r="CD9" s="174">
        <v>98</v>
      </c>
      <c r="CE9" s="174">
        <v>37</v>
      </c>
      <c r="CF9" s="174">
        <v>1</v>
      </c>
      <c r="CG9" s="174">
        <v>0.3</v>
      </c>
      <c r="CH9" s="175">
        <v>3.1356976958693268E-3</v>
      </c>
    </row>
    <row r="10" spans="1:86" s="178" customFormat="1" x14ac:dyDescent="0.3">
      <c r="A10" s="152" t="s">
        <v>62</v>
      </c>
      <c r="B10" s="181">
        <v>34</v>
      </c>
      <c r="C10" s="160" t="s">
        <v>28</v>
      </c>
      <c r="D10" s="182">
        <v>-1034274.5392807919</v>
      </c>
      <c r="F10" s="152" t="s">
        <v>46</v>
      </c>
      <c r="G10" s="179">
        <v>29121.297723129272</v>
      </c>
      <c r="H10" s="160" t="s">
        <v>48</v>
      </c>
      <c r="I10" s="152" t="s">
        <v>544</v>
      </c>
      <c r="J10" s="167">
        <v>5</v>
      </c>
      <c r="K10" s="168">
        <v>-3</v>
      </c>
      <c r="L10" s="169" t="s">
        <v>539</v>
      </c>
      <c r="M10" s="67" t="s">
        <v>58</v>
      </c>
      <c r="N10" s="167">
        <v>8.8999999999999986</v>
      </c>
      <c r="O10" s="170">
        <v>38</v>
      </c>
      <c r="P10" s="170">
        <v>195.00000000000006</v>
      </c>
      <c r="Q10" s="167">
        <v>0</v>
      </c>
      <c r="R10" s="167" t="e">
        <v>#N/A</v>
      </c>
      <c r="S10" s="167">
        <v>2.2999999999999998</v>
      </c>
      <c r="T10" s="167">
        <v>0</v>
      </c>
      <c r="U10" s="171">
        <v>1.9E-2</v>
      </c>
      <c r="V10" s="171">
        <v>0</v>
      </c>
      <c r="W10" s="167">
        <v>0.5</v>
      </c>
      <c r="X10" s="167">
        <v>8500</v>
      </c>
      <c r="Y10" s="167">
        <v>0</v>
      </c>
      <c r="Z10" s="167" t="e">
        <v>#N/A</v>
      </c>
      <c r="AA10" s="167">
        <v>1</v>
      </c>
      <c r="AB10" s="167" t="e">
        <v>#N/A</v>
      </c>
      <c r="AC10" s="170">
        <v>36000</v>
      </c>
      <c r="AD10" s="172">
        <v>27500.000000000007</v>
      </c>
      <c r="AE10" s="170">
        <v>0.3</v>
      </c>
      <c r="AF10" s="170">
        <v>0</v>
      </c>
      <c r="AG10" s="170">
        <v>0</v>
      </c>
      <c r="AH10" s="170">
        <v>0</v>
      </c>
      <c r="AI10" s="170">
        <v>0</v>
      </c>
      <c r="AJ10" s="167" t="e">
        <v>#N/A</v>
      </c>
      <c r="AK10" s="167">
        <v>1</v>
      </c>
      <c r="AL10" s="167">
        <v>1</v>
      </c>
      <c r="AM10" s="167">
        <v>1</v>
      </c>
      <c r="AN10" s="167">
        <v>1</v>
      </c>
      <c r="AO10" s="167">
        <v>1</v>
      </c>
      <c r="AP10" s="167">
        <v>1</v>
      </c>
      <c r="AQ10" s="167">
        <v>0</v>
      </c>
      <c r="AR10" s="167">
        <v>0</v>
      </c>
      <c r="AS10" s="173">
        <v>0.37837799999999999</v>
      </c>
      <c r="AT10" s="178" t="s">
        <v>535</v>
      </c>
      <c r="AU10" s="152">
        <v>9.1999999999999993</v>
      </c>
      <c r="AV10" s="178">
        <v>0.11</v>
      </c>
      <c r="AW10" s="174">
        <v>1.7</v>
      </c>
      <c r="AX10" s="174" t="s">
        <v>540</v>
      </c>
      <c r="AY10" s="174">
        <v>24</v>
      </c>
      <c r="AZ10" s="174">
        <v>20.100000000000001</v>
      </c>
      <c r="BA10" s="174"/>
      <c r="BB10" s="174">
        <v>17</v>
      </c>
      <c r="BC10" s="174"/>
      <c r="BD10" s="174"/>
      <c r="BE10" s="174">
        <v>4.8</v>
      </c>
      <c r="BF10" s="174">
        <v>5.2</v>
      </c>
      <c r="BG10" s="174">
        <v>5.5</v>
      </c>
      <c r="BH10" s="174">
        <v>5.8</v>
      </c>
      <c r="BI10" s="174">
        <v>6.2</v>
      </c>
      <c r="BJ10" s="174">
        <v>2.53E-2</v>
      </c>
      <c r="BK10" s="174">
        <v>2.8299999999999999E-2</v>
      </c>
      <c r="BL10" s="174">
        <v>3.04E-2</v>
      </c>
      <c r="BM10" s="174">
        <v>3.2500000000000001E-2</v>
      </c>
      <c r="BN10" s="174">
        <v>3.5299999999999998E-2</v>
      </c>
      <c r="BO10" s="174"/>
      <c r="BP10" s="174"/>
      <c r="BQ10" s="174"/>
      <c r="BR10" s="174"/>
      <c r="BS10" s="174"/>
      <c r="BT10" s="174">
        <v>46</v>
      </c>
      <c r="BU10" s="174">
        <v>29</v>
      </c>
      <c r="BV10" s="174">
        <v>29</v>
      </c>
      <c r="BW10" s="174">
        <v>32</v>
      </c>
      <c r="BX10" s="174">
        <v>36</v>
      </c>
      <c r="BY10" s="174">
        <v>42</v>
      </c>
      <c r="BZ10" s="174">
        <v>36</v>
      </c>
      <c r="CA10" s="174">
        <v>38</v>
      </c>
      <c r="CB10" s="174">
        <v>59</v>
      </c>
      <c r="CC10" s="174">
        <v>80</v>
      </c>
      <c r="CD10" s="174">
        <v>127</v>
      </c>
      <c r="CE10" s="174">
        <v>4.4000000000000004</v>
      </c>
      <c r="CF10" s="174">
        <v>10.199999999999999</v>
      </c>
      <c r="CG10" s="174">
        <v>1.6</v>
      </c>
      <c r="CH10" s="175">
        <v>3.1298692752097471E-5</v>
      </c>
    </row>
    <row r="11" spans="1:86" x14ac:dyDescent="0.3">
      <c r="A11" s="152" t="s">
        <v>63</v>
      </c>
      <c r="B11" s="162">
        <v>1</v>
      </c>
      <c r="C11" s="160" t="s">
        <v>28</v>
      </c>
      <c r="D11" s="152">
        <v>24726.251557448941</v>
      </c>
      <c r="F11" s="152" t="s">
        <v>47</v>
      </c>
      <c r="G11" s="179">
        <v>0</v>
      </c>
      <c r="H11" s="160" t="s">
        <v>48</v>
      </c>
      <c r="I11" s="152" t="s">
        <v>540</v>
      </c>
      <c r="J11" s="167">
        <v>6</v>
      </c>
      <c r="K11" s="168">
        <v>-3.4</v>
      </c>
      <c r="L11" s="169" t="s">
        <v>541</v>
      </c>
      <c r="M11" s="67" t="s">
        <v>57</v>
      </c>
      <c r="N11" s="167">
        <v>9.8999999999999986</v>
      </c>
      <c r="O11" s="170">
        <v>0</v>
      </c>
      <c r="P11" s="170">
        <v>0</v>
      </c>
      <c r="Q11" s="167">
        <v>30</v>
      </c>
      <c r="R11" s="167">
        <v>25</v>
      </c>
      <c r="S11" s="167">
        <v>1.3</v>
      </c>
      <c r="T11" s="167">
        <v>0</v>
      </c>
      <c r="U11" s="171">
        <v>0</v>
      </c>
      <c r="V11" s="171">
        <v>0</v>
      </c>
      <c r="W11" s="167">
        <v>0</v>
      </c>
      <c r="X11" s="167">
        <v>12900</v>
      </c>
      <c r="Y11" s="167">
        <v>0</v>
      </c>
      <c r="Z11" s="167">
        <v>80.999999999999972</v>
      </c>
      <c r="AA11" s="167">
        <v>1</v>
      </c>
      <c r="AB11" s="167">
        <v>4800</v>
      </c>
      <c r="AC11" s="170">
        <v>87000</v>
      </c>
      <c r="AD11" s="172">
        <v>14393.939393939398</v>
      </c>
      <c r="AE11" s="170">
        <v>0.3</v>
      </c>
      <c r="AF11" s="170">
        <v>0</v>
      </c>
      <c r="AG11" s="170">
        <v>0</v>
      </c>
      <c r="AH11" s="170">
        <v>0</v>
      </c>
      <c r="AI11" s="170">
        <v>0</v>
      </c>
      <c r="AJ11" s="167">
        <v>20.000000000000007</v>
      </c>
      <c r="AK11" s="167">
        <v>1</v>
      </c>
      <c r="AL11" s="167">
        <v>1</v>
      </c>
      <c r="AM11" s="167">
        <v>1</v>
      </c>
      <c r="AN11" s="167">
        <v>1</v>
      </c>
      <c r="AO11" s="167">
        <v>1</v>
      </c>
      <c r="AP11" s="167">
        <v>1</v>
      </c>
      <c r="AQ11" s="167">
        <v>0</v>
      </c>
      <c r="AR11" s="167">
        <v>63</v>
      </c>
      <c r="AS11" s="173">
        <v>0.40540500000000002</v>
      </c>
      <c r="AT11" s="152" t="s">
        <v>535</v>
      </c>
      <c r="AU11" s="152">
        <v>9.1999999999999993</v>
      </c>
      <c r="AV11" s="152">
        <v>0.11</v>
      </c>
      <c r="AW11" s="174">
        <v>2.6</v>
      </c>
      <c r="AX11" s="174" t="s">
        <v>540</v>
      </c>
      <c r="AY11" s="174">
        <v>24</v>
      </c>
      <c r="AZ11" s="174">
        <v>20.100000000000001</v>
      </c>
      <c r="BA11" s="174"/>
      <c r="BB11" s="174">
        <v>17</v>
      </c>
      <c r="BC11" s="174"/>
      <c r="BD11" s="174"/>
      <c r="BE11" s="174">
        <v>0.6</v>
      </c>
      <c r="BF11" s="174">
        <v>1</v>
      </c>
      <c r="BG11" s="174">
        <v>1.3</v>
      </c>
      <c r="BH11" s="174">
        <v>1.6</v>
      </c>
      <c r="BI11" s="174">
        <v>2</v>
      </c>
      <c r="BJ11" s="174">
        <v>1.3100000000000001E-2</v>
      </c>
      <c r="BK11" s="174">
        <v>1.61E-2</v>
      </c>
      <c r="BL11" s="174">
        <v>1.8200000000000001E-2</v>
      </c>
      <c r="BM11" s="174">
        <v>2.0199999999999999E-2</v>
      </c>
      <c r="BN11" s="174">
        <v>2.3099999999999999E-2</v>
      </c>
      <c r="BO11" s="174"/>
      <c r="BP11" s="174"/>
      <c r="BQ11" s="174"/>
      <c r="BR11" s="174"/>
      <c r="BS11" s="174"/>
      <c r="BT11" s="174">
        <v>46</v>
      </c>
      <c r="BU11" s="174">
        <v>29</v>
      </c>
      <c r="BV11" s="174">
        <v>29</v>
      </c>
      <c r="BW11" s="174">
        <v>32</v>
      </c>
      <c r="BX11" s="174">
        <v>36</v>
      </c>
      <c r="BY11" s="174">
        <v>42</v>
      </c>
      <c r="BZ11" s="174">
        <v>31</v>
      </c>
      <c r="CA11" s="174">
        <v>33</v>
      </c>
      <c r="CB11" s="174">
        <v>54</v>
      </c>
      <c r="CC11" s="174">
        <v>75</v>
      </c>
      <c r="CD11" s="174">
        <v>122</v>
      </c>
      <c r="CE11" s="174">
        <v>4.4000000000000004</v>
      </c>
      <c r="CF11" s="174">
        <v>10.199999999999999</v>
      </c>
      <c r="CG11" s="174">
        <v>1.6</v>
      </c>
      <c r="CH11" s="175">
        <v>3.1298692752097471E-5</v>
      </c>
    </row>
    <row r="12" spans="1:86" x14ac:dyDescent="0.3">
      <c r="A12" s="152" t="s">
        <v>66</v>
      </c>
      <c r="B12" s="166">
        <v>9</v>
      </c>
      <c r="C12" s="160" t="s">
        <v>28</v>
      </c>
      <c r="D12" s="152">
        <v>0</v>
      </c>
      <c r="E12" s="183"/>
      <c r="F12" s="178" t="s">
        <v>73</v>
      </c>
      <c r="G12" s="179">
        <v>2891.7203797290813</v>
      </c>
      <c r="H12" s="160" t="s">
        <v>48</v>
      </c>
      <c r="I12" s="152" t="s">
        <v>540</v>
      </c>
      <c r="J12" s="167">
        <v>7</v>
      </c>
      <c r="K12" s="168">
        <v>-4.4000000000000004</v>
      </c>
      <c r="L12" s="169" t="s">
        <v>541</v>
      </c>
      <c r="M12" s="67" t="s">
        <v>57</v>
      </c>
      <c r="N12" s="167">
        <v>9.8999999999999986</v>
      </c>
      <c r="O12" s="170">
        <v>0</v>
      </c>
      <c r="P12" s="170">
        <v>0</v>
      </c>
      <c r="Q12" s="167">
        <v>30</v>
      </c>
      <c r="R12" s="167">
        <v>25</v>
      </c>
      <c r="S12" s="167">
        <v>1.3</v>
      </c>
      <c r="T12" s="167">
        <v>0</v>
      </c>
      <c r="U12" s="171">
        <v>0</v>
      </c>
      <c r="V12" s="171">
        <v>0</v>
      </c>
      <c r="W12" s="167">
        <v>0</v>
      </c>
      <c r="X12" s="167">
        <v>12900</v>
      </c>
      <c r="Y12" s="167">
        <v>0</v>
      </c>
      <c r="Z12" s="167">
        <v>80.999999999999972</v>
      </c>
      <c r="AA12" s="167">
        <v>1</v>
      </c>
      <c r="AB12" s="167">
        <v>4800</v>
      </c>
      <c r="AC12" s="170">
        <v>101393.93939393941</v>
      </c>
      <c r="AD12" s="172">
        <v>14393.93939393939</v>
      </c>
      <c r="AE12" s="170">
        <v>0.3</v>
      </c>
      <c r="AF12" s="170">
        <v>0</v>
      </c>
      <c r="AG12" s="170">
        <v>0</v>
      </c>
      <c r="AH12" s="170">
        <v>0</v>
      </c>
      <c r="AI12" s="170">
        <v>0</v>
      </c>
      <c r="AJ12" s="167">
        <v>20.000000000000007</v>
      </c>
      <c r="AK12" s="167">
        <v>1</v>
      </c>
      <c r="AL12" s="167">
        <v>1</v>
      </c>
      <c r="AM12" s="167">
        <v>1</v>
      </c>
      <c r="AN12" s="167">
        <v>1</v>
      </c>
      <c r="AO12" s="167">
        <v>1</v>
      </c>
      <c r="AP12" s="167">
        <v>1</v>
      </c>
      <c r="AQ12" s="167">
        <v>0</v>
      </c>
      <c r="AR12" s="167">
        <v>63</v>
      </c>
      <c r="AS12" s="173">
        <v>0.40540500000000002</v>
      </c>
      <c r="AT12" s="152" t="s">
        <v>543</v>
      </c>
      <c r="AU12" s="152">
        <v>9.1999999999999993</v>
      </c>
      <c r="AV12" s="152">
        <v>0.41</v>
      </c>
      <c r="AW12" s="174">
        <v>2.6</v>
      </c>
      <c r="AX12" s="174" t="s">
        <v>544</v>
      </c>
      <c r="AY12" s="174">
        <v>33</v>
      </c>
      <c r="AZ12" s="174">
        <v>18.899999999999999</v>
      </c>
      <c r="BA12" s="174">
        <v>24</v>
      </c>
      <c r="BB12" s="174">
        <v>38</v>
      </c>
      <c r="BC12" s="174">
        <v>4</v>
      </c>
      <c r="BD12" s="174">
        <v>1.9</v>
      </c>
      <c r="BE12" s="174">
        <v>0.4</v>
      </c>
      <c r="BF12" s="174">
        <v>0.5</v>
      </c>
      <c r="BG12" s="174">
        <v>0.6</v>
      </c>
      <c r="BH12" s="174">
        <v>0.8</v>
      </c>
      <c r="BI12" s="174">
        <v>0.9</v>
      </c>
      <c r="BJ12" s="174">
        <v>0.01</v>
      </c>
      <c r="BK12" s="174">
        <v>0.01</v>
      </c>
      <c r="BL12" s="174">
        <v>1.0800000000000001E-2</v>
      </c>
      <c r="BM12" s="174">
        <v>1.26E-2</v>
      </c>
      <c r="BN12" s="174">
        <v>4.1399999999999999E-2</v>
      </c>
      <c r="BO12" s="174">
        <v>16</v>
      </c>
      <c r="BP12" s="174">
        <v>27</v>
      </c>
      <c r="BQ12" s="174">
        <v>32</v>
      </c>
      <c r="BR12" s="174">
        <v>39</v>
      </c>
      <c r="BS12" s="174">
        <v>57</v>
      </c>
      <c r="BT12" s="174"/>
      <c r="BU12" s="174"/>
      <c r="BV12" s="174"/>
      <c r="BW12" s="174"/>
      <c r="BX12" s="174"/>
      <c r="BY12" s="174"/>
      <c r="BZ12" s="174">
        <v>27</v>
      </c>
      <c r="CA12" s="174">
        <v>27</v>
      </c>
      <c r="CB12" s="174">
        <v>27</v>
      </c>
      <c r="CC12" s="174">
        <v>28</v>
      </c>
      <c r="CD12" s="174">
        <v>28</v>
      </c>
      <c r="CE12" s="174">
        <v>3.2</v>
      </c>
      <c r="CF12" s="174">
        <v>9.6</v>
      </c>
      <c r="CG12" s="174">
        <v>1.3</v>
      </c>
      <c r="CH12" s="175">
        <v>2.0327452023345781E-9</v>
      </c>
    </row>
    <row r="13" spans="1:86" x14ac:dyDescent="0.3">
      <c r="A13" s="152" t="s">
        <v>40</v>
      </c>
      <c r="B13" s="162">
        <v>78</v>
      </c>
      <c r="C13" s="160" t="s">
        <v>397</v>
      </c>
      <c r="D13" s="152">
        <v>5239.6506589399823</v>
      </c>
      <c r="E13" s="183"/>
      <c r="F13" s="176" t="s">
        <v>50</v>
      </c>
      <c r="I13" s="152" t="s">
        <v>540</v>
      </c>
      <c r="J13" s="167">
        <v>8</v>
      </c>
      <c r="K13" s="168">
        <v>-6.4</v>
      </c>
      <c r="L13" s="169" t="s">
        <v>541</v>
      </c>
      <c r="M13" s="67" t="s">
        <v>57</v>
      </c>
      <c r="N13" s="167">
        <v>9.8999999999999986</v>
      </c>
      <c r="O13" s="170">
        <v>0</v>
      </c>
      <c r="P13" s="170">
        <v>0</v>
      </c>
      <c r="Q13" s="167">
        <v>30</v>
      </c>
      <c r="R13" s="167">
        <v>25</v>
      </c>
      <c r="S13" s="167">
        <v>1.3</v>
      </c>
      <c r="T13" s="167">
        <v>0</v>
      </c>
      <c r="U13" s="171">
        <v>0</v>
      </c>
      <c r="V13" s="171">
        <v>0</v>
      </c>
      <c r="W13" s="167">
        <v>0</v>
      </c>
      <c r="X13" s="167">
        <v>12900</v>
      </c>
      <c r="Y13" s="167">
        <v>0</v>
      </c>
      <c r="Z13" s="167">
        <v>80.999999999999972</v>
      </c>
      <c r="AA13" s="167">
        <v>1</v>
      </c>
      <c r="AB13" s="167">
        <v>4800</v>
      </c>
      <c r="AC13" s="170">
        <v>130181.81818181819</v>
      </c>
      <c r="AD13" s="172">
        <v>14393.939393939394</v>
      </c>
      <c r="AE13" s="170">
        <v>0.3</v>
      </c>
      <c r="AF13" s="170">
        <v>0</v>
      </c>
      <c r="AG13" s="170">
        <v>0</v>
      </c>
      <c r="AH13" s="170">
        <v>0</v>
      </c>
      <c r="AI13" s="170">
        <v>0</v>
      </c>
      <c r="AJ13" s="167">
        <v>20.000000000000007</v>
      </c>
      <c r="AK13" s="167">
        <v>1</v>
      </c>
      <c r="AL13" s="167">
        <v>1</v>
      </c>
      <c r="AM13" s="167">
        <v>1</v>
      </c>
      <c r="AN13" s="167">
        <v>1</v>
      </c>
      <c r="AO13" s="167">
        <v>1</v>
      </c>
      <c r="AP13" s="167">
        <v>1</v>
      </c>
      <c r="AQ13" s="167">
        <v>0</v>
      </c>
      <c r="AR13" s="167">
        <v>63</v>
      </c>
      <c r="AS13" s="173">
        <v>0.45945900000000001</v>
      </c>
      <c r="AT13" s="152" t="s">
        <v>543</v>
      </c>
      <c r="AU13" s="152">
        <v>9.1999999999999993</v>
      </c>
      <c r="AV13" s="152">
        <v>0.41</v>
      </c>
      <c r="AW13" s="174">
        <v>3</v>
      </c>
      <c r="AX13" s="174" t="s">
        <v>544</v>
      </c>
      <c r="AY13" s="174">
        <v>33</v>
      </c>
      <c r="AZ13" s="174">
        <v>18.899999999999999</v>
      </c>
      <c r="BA13" s="174">
        <v>24</v>
      </c>
      <c r="BB13" s="174">
        <v>38</v>
      </c>
      <c r="BC13" s="174">
        <v>4</v>
      </c>
      <c r="BD13" s="174">
        <v>1.9</v>
      </c>
      <c r="BE13" s="174">
        <v>0.7</v>
      </c>
      <c r="BF13" s="174">
        <v>0.8</v>
      </c>
      <c r="BG13" s="174">
        <v>0.9</v>
      </c>
      <c r="BH13" s="174">
        <v>1</v>
      </c>
      <c r="BI13" s="174">
        <v>1.1000000000000001</v>
      </c>
      <c r="BJ13" s="174">
        <v>0.01</v>
      </c>
      <c r="BK13" s="174">
        <v>0.01</v>
      </c>
      <c r="BL13" s="174">
        <v>1.0800000000000001E-2</v>
      </c>
      <c r="BM13" s="174">
        <v>1.26E-2</v>
      </c>
      <c r="BN13" s="174">
        <v>4.1399999999999999E-2</v>
      </c>
      <c r="BO13" s="174">
        <v>32</v>
      </c>
      <c r="BP13" s="174">
        <v>42</v>
      </c>
      <c r="BQ13" s="174">
        <v>48</v>
      </c>
      <c r="BR13" s="174">
        <v>55</v>
      </c>
      <c r="BS13" s="174">
        <v>73</v>
      </c>
      <c r="BT13" s="174"/>
      <c r="BU13" s="174"/>
      <c r="BV13" s="174"/>
      <c r="BW13" s="174"/>
      <c r="BX13" s="174"/>
      <c r="BY13" s="174"/>
      <c r="BZ13" s="174">
        <v>29</v>
      </c>
      <c r="CA13" s="174">
        <v>29</v>
      </c>
      <c r="CB13" s="174">
        <v>29</v>
      </c>
      <c r="CC13" s="174">
        <v>30</v>
      </c>
      <c r="CD13" s="174">
        <v>30</v>
      </c>
      <c r="CE13" s="174">
        <v>3.2</v>
      </c>
      <c r="CF13" s="174">
        <v>9.6</v>
      </c>
      <c r="CG13" s="174">
        <v>1.3</v>
      </c>
      <c r="CH13" s="175">
        <v>2.0327452023345781E-9</v>
      </c>
    </row>
    <row r="14" spans="1:86" x14ac:dyDescent="0.3">
      <c r="A14" s="152" t="s">
        <v>41</v>
      </c>
      <c r="B14" s="183">
        <v>355000</v>
      </c>
      <c r="C14" s="160" t="s">
        <v>396</v>
      </c>
      <c r="F14" s="152" t="s">
        <v>51</v>
      </c>
      <c r="G14" s="184" t="s">
        <v>52</v>
      </c>
      <c r="H14" s="160" t="s">
        <v>56</v>
      </c>
      <c r="I14" s="152" t="s">
        <v>540</v>
      </c>
      <c r="J14" s="167">
        <v>9</v>
      </c>
      <c r="K14" s="168">
        <v>-10</v>
      </c>
      <c r="L14" s="169" t="s">
        <v>542</v>
      </c>
      <c r="M14" s="67" t="s">
        <v>57</v>
      </c>
      <c r="N14" s="167">
        <v>9.8999999999999986</v>
      </c>
      <c r="O14" s="170">
        <v>0</v>
      </c>
      <c r="P14" s="170">
        <v>0</v>
      </c>
      <c r="Q14" s="167">
        <v>29</v>
      </c>
      <c r="R14" s="167">
        <v>24</v>
      </c>
      <c r="S14" s="167">
        <v>1</v>
      </c>
      <c r="T14" s="167">
        <v>0</v>
      </c>
      <c r="U14" s="171">
        <v>0</v>
      </c>
      <c r="V14" s="171">
        <v>0</v>
      </c>
      <c r="W14" s="167">
        <v>0</v>
      </c>
      <c r="X14" s="167">
        <v>11700</v>
      </c>
      <c r="Y14" s="167">
        <v>0</v>
      </c>
      <c r="Z14" s="167">
        <v>78.199999999999974</v>
      </c>
      <c r="AA14" s="167">
        <v>1</v>
      </c>
      <c r="AB14" s="167">
        <v>4420</v>
      </c>
      <c r="AC14" s="170">
        <v>177000</v>
      </c>
      <c r="AD14" s="172">
        <v>-36666.666666666686</v>
      </c>
      <c r="AE14" s="170">
        <v>0.3</v>
      </c>
      <c r="AF14" s="170">
        <v>0</v>
      </c>
      <c r="AG14" s="170">
        <v>0</v>
      </c>
      <c r="AH14" s="170">
        <v>0</v>
      </c>
      <c r="AI14" s="170">
        <v>0</v>
      </c>
      <c r="AJ14" s="167">
        <v>18.400000000000006</v>
      </c>
      <c r="AK14" s="167">
        <v>1</v>
      </c>
      <c r="AL14" s="167">
        <v>1</v>
      </c>
      <c r="AM14" s="167">
        <v>1</v>
      </c>
      <c r="AN14" s="167">
        <v>1</v>
      </c>
      <c r="AO14" s="167">
        <v>1</v>
      </c>
      <c r="AP14" s="167">
        <v>1</v>
      </c>
      <c r="AQ14" s="167">
        <v>0</v>
      </c>
      <c r="AR14" s="167">
        <v>57</v>
      </c>
      <c r="AS14" s="173">
        <v>1.0842099999999999</v>
      </c>
      <c r="AT14" s="152" t="s">
        <v>543</v>
      </c>
      <c r="AU14" s="152">
        <v>9.1999999999999993</v>
      </c>
      <c r="AV14" s="152">
        <v>0.41</v>
      </c>
      <c r="AW14" s="174">
        <v>3</v>
      </c>
      <c r="AX14" s="174" t="s">
        <v>544</v>
      </c>
      <c r="AY14" s="174">
        <v>33</v>
      </c>
      <c r="AZ14" s="174">
        <v>18.899999999999999</v>
      </c>
      <c r="BA14" s="174">
        <v>24</v>
      </c>
      <c r="BB14" s="174">
        <v>38</v>
      </c>
      <c r="BC14" s="174">
        <v>4</v>
      </c>
      <c r="BD14" s="174">
        <v>1.9</v>
      </c>
      <c r="BE14" s="174">
        <v>0.5</v>
      </c>
      <c r="BF14" s="174">
        <v>0.8</v>
      </c>
      <c r="BG14" s="174">
        <v>1</v>
      </c>
      <c r="BH14" s="174">
        <v>1.3</v>
      </c>
      <c r="BI14" s="174">
        <v>2</v>
      </c>
      <c r="BJ14" s="174">
        <v>6.0100000000000001E-2</v>
      </c>
      <c r="BK14" s="174">
        <v>7.0800000000000002E-2</v>
      </c>
      <c r="BL14" s="174">
        <v>7.7899999999999997E-2</v>
      </c>
      <c r="BM14" s="174">
        <v>8.5000000000000006E-2</v>
      </c>
      <c r="BN14" s="174">
        <v>9.5699999999999993E-2</v>
      </c>
      <c r="BO14" s="174">
        <v>31</v>
      </c>
      <c r="BP14" s="174">
        <v>38</v>
      </c>
      <c r="BQ14" s="174">
        <v>52</v>
      </c>
      <c r="BR14" s="174">
        <v>71</v>
      </c>
      <c r="BS14" s="174">
        <v>127</v>
      </c>
      <c r="BT14" s="174"/>
      <c r="BU14" s="174"/>
      <c r="BV14" s="174"/>
      <c r="BW14" s="174"/>
      <c r="BX14" s="174"/>
      <c r="BY14" s="174"/>
      <c r="BZ14" s="174">
        <v>35</v>
      </c>
      <c r="CA14" s="174">
        <v>35</v>
      </c>
      <c r="CB14" s="174">
        <v>36</v>
      </c>
      <c r="CC14" s="174">
        <v>36</v>
      </c>
      <c r="CD14" s="174">
        <v>52</v>
      </c>
      <c r="CE14" s="174">
        <v>8.5</v>
      </c>
      <c r="CF14" s="174">
        <v>22.6</v>
      </c>
      <c r="CG14" s="174">
        <v>2.2999999999999998</v>
      </c>
      <c r="CH14" s="175">
        <v>2.0038857557683548E-9</v>
      </c>
    </row>
    <row r="15" spans="1:86" x14ac:dyDescent="0.3">
      <c r="A15" s="152" t="s">
        <v>42</v>
      </c>
      <c r="B15" s="185">
        <v>207000000</v>
      </c>
      <c r="C15" s="160" t="s">
        <v>396</v>
      </c>
      <c r="I15" s="152" t="s">
        <v>540</v>
      </c>
      <c r="J15" s="167">
        <v>10</v>
      </c>
      <c r="K15" s="168">
        <v>-10.6</v>
      </c>
      <c r="L15" s="169" t="s">
        <v>545</v>
      </c>
      <c r="M15" s="67" t="s">
        <v>57</v>
      </c>
      <c r="N15" s="167">
        <v>9.8999999999999986</v>
      </c>
      <c r="O15" s="170">
        <v>0</v>
      </c>
      <c r="P15" s="170">
        <v>0</v>
      </c>
      <c r="Q15" s="167">
        <v>30</v>
      </c>
      <c r="R15" s="167">
        <v>25</v>
      </c>
      <c r="S15" s="167">
        <v>1.2</v>
      </c>
      <c r="T15" s="167">
        <v>0</v>
      </c>
      <c r="U15" s="171">
        <v>0</v>
      </c>
      <c r="V15" s="171">
        <v>0</v>
      </c>
      <c r="W15" s="167">
        <v>0</v>
      </c>
      <c r="X15" s="167">
        <v>17600</v>
      </c>
      <c r="Y15" s="167">
        <v>0</v>
      </c>
      <c r="Z15" s="167">
        <v>80.999999999999972</v>
      </c>
      <c r="AA15" s="167">
        <v>1</v>
      </c>
      <c r="AB15" s="167">
        <v>4800</v>
      </c>
      <c r="AC15" s="170">
        <v>161000</v>
      </c>
      <c r="AD15" s="172">
        <v>79999.999999999869</v>
      </c>
      <c r="AE15" s="170">
        <v>0.3</v>
      </c>
      <c r="AF15" s="170">
        <v>0</v>
      </c>
      <c r="AG15" s="170">
        <v>0</v>
      </c>
      <c r="AH15" s="170">
        <v>0</v>
      </c>
      <c r="AI15" s="170">
        <v>0</v>
      </c>
      <c r="AJ15" s="167">
        <v>20.000000000000007</v>
      </c>
      <c r="AK15" s="167">
        <v>1</v>
      </c>
      <c r="AL15" s="167">
        <v>1</v>
      </c>
      <c r="AM15" s="167">
        <v>1</v>
      </c>
      <c r="AN15" s="167">
        <v>1</v>
      </c>
      <c r="AO15" s="167">
        <v>1</v>
      </c>
      <c r="AP15" s="167">
        <v>1</v>
      </c>
      <c r="AQ15" s="167">
        <v>0</v>
      </c>
      <c r="AR15" s="167">
        <v>67</v>
      </c>
      <c r="AS15" s="173">
        <v>1.1578900000000001</v>
      </c>
      <c r="AT15" s="152" t="s">
        <v>543</v>
      </c>
      <c r="AU15" s="152">
        <v>9.1999999999999993</v>
      </c>
      <c r="AV15" s="152">
        <v>0.41</v>
      </c>
      <c r="AW15" s="174">
        <v>3.4</v>
      </c>
      <c r="AX15" s="174" t="s">
        <v>544</v>
      </c>
      <c r="AY15" s="174">
        <v>33</v>
      </c>
      <c r="AZ15" s="174">
        <v>18.899999999999999</v>
      </c>
      <c r="BA15" s="174">
        <v>24</v>
      </c>
      <c r="BB15" s="174">
        <v>38</v>
      </c>
      <c r="BC15" s="174">
        <v>4</v>
      </c>
      <c r="BD15" s="174">
        <v>1.9</v>
      </c>
      <c r="BE15" s="174">
        <v>1.9</v>
      </c>
      <c r="BF15" s="174">
        <v>2.2000000000000002</v>
      </c>
      <c r="BG15" s="174">
        <v>2.4</v>
      </c>
      <c r="BH15" s="174">
        <v>2.7</v>
      </c>
      <c r="BI15" s="174">
        <v>3.4</v>
      </c>
      <c r="BJ15" s="174">
        <v>8.1199999999999994E-2</v>
      </c>
      <c r="BK15" s="174">
        <v>9.1899999999999996E-2</v>
      </c>
      <c r="BL15" s="174">
        <v>9.9000000000000005E-2</v>
      </c>
      <c r="BM15" s="174">
        <v>0.1062</v>
      </c>
      <c r="BN15" s="174">
        <v>0.1168</v>
      </c>
      <c r="BO15" s="174">
        <v>93</v>
      </c>
      <c r="BP15" s="174">
        <v>116</v>
      </c>
      <c r="BQ15" s="174">
        <v>130</v>
      </c>
      <c r="BR15" s="174">
        <v>149</v>
      </c>
      <c r="BS15" s="174">
        <v>205</v>
      </c>
      <c r="BT15" s="174"/>
      <c r="BU15" s="174"/>
      <c r="BV15" s="174"/>
      <c r="BW15" s="174"/>
      <c r="BX15" s="174"/>
      <c r="BY15" s="174"/>
      <c r="BZ15" s="174">
        <v>38</v>
      </c>
      <c r="CA15" s="174">
        <v>38</v>
      </c>
      <c r="CB15" s="174">
        <v>47</v>
      </c>
      <c r="CC15" s="174">
        <v>57</v>
      </c>
      <c r="CD15" s="174">
        <v>82</v>
      </c>
      <c r="CE15" s="174">
        <v>8.5</v>
      </c>
      <c r="CF15" s="174">
        <v>22.6</v>
      </c>
      <c r="CG15" s="174">
        <v>2.2999999999999998</v>
      </c>
      <c r="CH15" s="175">
        <v>2.0038857557683548E-9</v>
      </c>
    </row>
    <row r="16" spans="1:86" x14ac:dyDescent="0.3">
      <c r="A16" s="152" t="s">
        <v>43</v>
      </c>
      <c r="B16" s="185">
        <v>79000000</v>
      </c>
      <c r="C16" s="160" t="s">
        <v>396</v>
      </c>
      <c r="D16" s="186">
        <v>11640.460886670813</v>
      </c>
      <c r="E16" s="187"/>
      <c r="I16" s="152" t="s">
        <v>540</v>
      </c>
      <c r="J16" s="167">
        <v>11</v>
      </c>
      <c r="K16" s="168">
        <v>-11.3</v>
      </c>
      <c r="L16" s="169" t="s">
        <v>546</v>
      </c>
      <c r="M16" s="67" t="s">
        <v>57</v>
      </c>
      <c r="N16" s="167">
        <v>9.8999999999999986</v>
      </c>
      <c r="O16" s="170">
        <v>0</v>
      </c>
      <c r="P16" s="170">
        <v>0</v>
      </c>
      <c r="Q16" s="167">
        <v>31</v>
      </c>
      <c r="R16" s="167">
        <v>26</v>
      </c>
      <c r="S16" s="167">
        <v>1.3</v>
      </c>
      <c r="T16" s="167">
        <v>0</v>
      </c>
      <c r="U16" s="171">
        <v>0</v>
      </c>
      <c r="V16" s="171">
        <v>0</v>
      </c>
      <c r="W16" s="167">
        <v>0</v>
      </c>
      <c r="X16" s="167">
        <v>24300</v>
      </c>
      <c r="Y16" s="167">
        <v>0</v>
      </c>
      <c r="Z16" s="167">
        <v>83.999999999999972</v>
      </c>
      <c r="AA16" s="167">
        <v>1</v>
      </c>
      <c r="AB16" s="167">
        <v>5760</v>
      </c>
      <c r="AC16" s="170">
        <v>218000</v>
      </c>
      <c r="AD16" s="172">
        <v>-23333.333333333372</v>
      </c>
      <c r="AE16" s="170">
        <v>0.3</v>
      </c>
      <c r="AF16" s="170">
        <v>0</v>
      </c>
      <c r="AG16" s="170">
        <v>0</v>
      </c>
      <c r="AH16" s="170">
        <v>0</v>
      </c>
      <c r="AI16" s="170">
        <v>0</v>
      </c>
      <c r="AJ16" s="167">
        <v>24.000000000000007</v>
      </c>
      <c r="AK16" s="167">
        <v>1</v>
      </c>
      <c r="AL16" s="167">
        <v>1</v>
      </c>
      <c r="AM16" s="167">
        <v>1</v>
      </c>
      <c r="AN16" s="167">
        <v>1</v>
      </c>
      <c r="AO16" s="167">
        <v>1</v>
      </c>
      <c r="AP16" s="167">
        <v>1</v>
      </c>
      <c r="AQ16" s="167">
        <v>0</v>
      </c>
      <c r="AR16" s="167">
        <v>75</v>
      </c>
      <c r="AS16" s="173">
        <v>1.2736799999999999</v>
      </c>
      <c r="AT16" s="152" t="s">
        <v>543</v>
      </c>
      <c r="AU16" s="152">
        <v>9.1999999999999993</v>
      </c>
      <c r="AV16" s="152">
        <v>0.41</v>
      </c>
      <c r="AW16" s="188">
        <v>3.4</v>
      </c>
      <c r="AX16" s="188" t="s">
        <v>540</v>
      </c>
      <c r="AY16" s="188">
        <v>23</v>
      </c>
      <c r="AZ16" s="188">
        <v>19.899999999999999</v>
      </c>
      <c r="BA16" s="188"/>
      <c r="BB16" s="188">
        <v>22</v>
      </c>
      <c r="BC16" s="188"/>
      <c r="BD16" s="188"/>
      <c r="BE16" s="188">
        <v>4</v>
      </c>
      <c r="BF16" s="188">
        <v>5.4</v>
      </c>
      <c r="BG16" s="188">
        <v>6.3</v>
      </c>
      <c r="BH16" s="188">
        <v>8.8000000000000007</v>
      </c>
      <c r="BI16" s="188">
        <v>10.4</v>
      </c>
      <c r="BJ16" s="188">
        <v>2.5399999999999999E-2</v>
      </c>
      <c r="BK16" s="188">
        <v>3.44E-2</v>
      </c>
      <c r="BL16" s="188">
        <v>4.0399999999999998E-2</v>
      </c>
      <c r="BM16" s="188">
        <v>5.57E-2</v>
      </c>
      <c r="BN16" s="188">
        <v>6.6299999999999998E-2</v>
      </c>
      <c r="BO16" s="188"/>
      <c r="BP16" s="188"/>
      <c r="BQ16" s="188"/>
      <c r="BR16" s="188"/>
      <c r="BS16" s="188"/>
      <c r="BT16" s="188">
        <v>63</v>
      </c>
      <c r="BU16" s="188">
        <v>29</v>
      </c>
      <c r="BV16" s="188">
        <v>30</v>
      </c>
      <c r="BW16" s="188">
        <v>34</v>
      </c>
      <c r="BX16" s="188">
        <v>38</v>
      </c>
      <c r="BY16" s="188">
        <v>44</v>
      </c>
      <c r="BZ16" s="188">
        <v>33</v>
      </c>
      <c r="CA16" s="188">
        <v>38</v>
      </c>
      <c r="CB16" s="188">
        <v>87</v>
      </c>
      <c r="CC16" s="188">
        <v>137</v>
      </c>
      <c r="CD16" s="188">
        <v>247</v>
      </c>
      <c r="CE16" s="188">
        <v>12.9</v>
      </c>
      <c r="CF16" s="188">
        <v>7.2</v>
      </c>
      <c r="CG16" s="188">
        <v>1.3</v>
      </c>
      <c r="CH16" s="189">
        <v>4.9483834258669668E-5</v>
      </c>
    </row>
    <row r="17" spans="1:86" s="178" customFormat="1" x14ac:dyDescent="0.3">
      <c r="A17" s="152" t="s">
        <v>74</v>
      </c>
      <c r="B17" s="162">
        <v>0.53</v>
      </c>
      <c r="C17" s="160"/>
      <c r="D17" s="190">
        <v>-552772.83884647035</v>
      </c>
      <c r="E17" s="164"/>
      <c r="I17" s="152" t="s">
        <v>540</v>
      </c>
      <c r="J17" s="167">
        <v>12</v>
      </c>
      <c r="K17" s="168">
        <v>-12.2</v>
      </c>
      <c r="L17" s="169" t="s">
        <v>547</v>
      </c>
      <c r="M17" s="67" t="s">
        <v>57</v>
      </c>
      <c r="N17" s="167">
        <v>9.8999999999999986</v>
      </c>
      <c r="O17" s="170">
        <v>0</v>
      </c>
      <c r="P17" s="170">
        <v>0</v>
      </c>
      <c r="Q17" s="167">
        <v>31</v>
      </c>
      <c r="R17" s="167">
        <v>26</v>
      </c>
      <c r="S17" s="167">
        <v>1.2</v>
      </c>
      <c r="T17" s="167">
        <v>0</v>
      </c>
      <c r="U17" s="171">
        <v>0</v>
      </c>
      <c r="V17" s="171">
        <v>0</v>
      </c>
      <c r="W17" s="167">
        <v>0</v>
      </c>
      <c r="X17" s="167">
        <v>23700</v>
      </c>
      <c r="Y17" s="167">
        <v>0</v>
      </c>
      <c r="Z17" s="167">
        <v>83.999999999999972</v>
      </c>
      <c r="AA17" s="167">
        <v>1</v>
      </c>
      <c r="AB17" s="167">
        <v>5760</v>
      </c>
      <c r="AC17" s="170">
        <v>192000</v>
      </c>
      <c r="AD17" s="172">
        <v>36153.846153846134</v>
      </c>
      <c r="AE17" s="170">
        <v>0.3</v>
      </c>
      <c r="AF17" s="170">
        <v>0</v>
      </c>
      <c r="AG17" s="170">
        <v>0</v>
      </c>
      <c r="AH17" s="170">
        <v>0</v>
      </c>
      <c r="AI17" s="170">
        <v>0</v>
      </c>
      <c r="AJ17" s="167">
        <v>24.000000000000007</v>
      </c>
      <c r="AK17" s="167">
        <v>1</v>
      </c>
      <c r="AL17" s="167">
        <v>1</v>
      </c>
      <c r="AM17" s="167">
        <v>1</v>
      </c>
      <c r="AN17" s="167">
        <v>1</v>
      </c>
      <c r="AO17" s="167">
        <v>1</v>
      </c>
      <c r="AP17" s="167">
        <v>1</v>
      </c>
      <c r="AQ17" s="167">
        <v>0</v>
      </c>
      <c r="AR17" s="167">
        <v>74</v>
      </c>
      <c r="AS17" s="173">
        <v>1.2526299999999999</v>
      </c>
      <c r="AT17" s="178" t="s">
        <v>543</v>
      </c>
      <c r="AU17" s="152">
        <v>9.1999999999999993</v>
      </c>
      <c r="AV17" s="178">
        <v>0.41</v>
      </c>
      <c r="AW17" s="188">
        <v>10</v>
      </c>
      <c r="AX17" s="188" t="s">
        <v>540</v>
      </c>
      <c r="AY17" s="188">
        <v>23</v>
      </c>
      <c r="AZ17" s="188">
        <v>19.899999999999999</v>
      </c>
      <c r="BA17" s="188"/>
      <c r="BB17" s="188">
        <v>22</v>
      </c>
      <c r="BC17" s="188"/>
      <c r="BD17" s="188"/>
      <c r="BE17" s="188">
        <v>11.3</v>
      </c>
      <c r="BF17" s="188">
        <v>12.7</v>
      </c>
      <c r="BG17" s="188">
        <v>13.7</v>
      </c>
      <c r="BH17" s="188">
        <v>17.600000000000001</v>
      </c>
      <c r="BI17" s="188">
        <v>19.2</v>
      </c>
      <c r="BJ17" s="188">
        <v>5.2900000000000003E-2</v>
      </c>
      <c r="BK17" s="188">
        <v>6.1800000000000001E-2</v>
      </c>
      <c r="BL17" s="188">
        <v>6.7799999999999999E-2</v>
      </c>
      <c r="BM17" s="188">
        <v>8.8599999999999998E-2</v>
      </c>
      <c r="BN17" s="188">
        <v>9.9199999999999997E-2</v>
      </c>
      <c r="BO17" s="188"/>
      <c r="BP17" s="188"/>
      <c r="BQ17" s="188"/>
      <c r="BR17" s="188"/>
      <c r="BS17" s="188"/>
      <c r="BT17" s="188">
        <v>63</v>
      </c>
      <c r="BU17" s="188">
        <v>29</v>
      </c>
      <c r="BV17" s="188">
        <v>30</v>
      </c>
      <c r="BW17" s="188">
        <v>34</v>
      </c>
      <c r="BX17" s="188">
        <v>38</v>
      </c>
      <c r="BY17" s="188">
        <v>44</v>
      </c>
      <c r="BZ17" s="188">
        <v>127</v>
      </c>
      <c r="CA17" s="188">
        <v>132</v>
      </c>
      <c r="CB17" s="188">
        <v>182</v>
      </c>
      <c r="CC17" s="188">
        <v>231</v>
      </c>
      <c r="CD17" s="188">
        <v>341</v>
      </c>
      <c r="CE17" s="188">
        <v>12.9</v>
      </c>
      <c r="CF17" s="188">
        <v>7.2</v>
      </c>
      <c r="CG17" s="188">
        <v>1.3</v>
      </c>
      <c r="CH17" s="189">
        <v>4.9483834258669668E-5</v>
      </c>
    </row>
    <row r="18" spans="1:86" x14ac:dyDescent="0.3">
      <c r="A18" s="153" t="s">
        <v>25</v>
      </c>
      <c r="B18" s="153" t="s">
        <v>26</v>
      </c>
      <c r="C18" s="153" t="s">
        <v>27</v>
      </c>
      <c r="D18" s="191">
        <v>29121.297723129272</v>
      </c>
      <c r="E18" s="192"/>
      <c r="I18" s="152" t="s">
        <v>540</v>
      </c>
      <c r="J18" s="167">
        <v>13</v>
      </c>
      <c r="K18" s="168">
        <v>-13.5</v>
      </c>
      <c r="L18" s="169" t="s">
        <v>548</v>
      </c>
      <c r="M18" s="67" t="s">
        <v>57</v>
      </c>
      <c r="N18" s="167">
        <v>9.8999999999999986</v>
      </c>
      <c r="O18" s="170">
        <v>0</v>
      </c>
      <c r="P18" s="170">
        <v>0</v>
      </c>
      <c r="Q18" s="167">
        <v>31</v>
      </c>
      <c r="R18" s="167">
        <v>26</v>
      </c>
      <c r="S18" s="167">
        <v>1.3</v>
      </c>
      <c r="T18" s="167">
        <v>0</v>
      </c>
      <c r="U18" s="171">
        <v>0</v>
      </c>
      <c r="V18" s="171">
        <v>0</v>
      </c>
      <c r="W18" s="167">
        <v>0</v>
      </c>
      <c r="X18" s="167">
        <v>27800</v>
      </c>
      <c r="Y18" s="167">
        <v>0</v>
      </c>
      <c r="Z18" s="167">
        <v>83.999999999999972</v>
      </c>
      <c r="AA18" s="167">
        <v>1</v>
      </c>
      <c r="AB18" s="167">
        <v>5760</v>
      </c>
      <c r="AC18" s="170">
        <v>236000</v>
      </c>
      <c r="AD18" s="172">
        <v>-11000</v>
      </c>
      <c r="AE18" s="170">
        <v>0.3</v>
      </c>
      <c r="AF18" s="170">
        <v>0</v>
      </c>
      <c r="AG18" s="170">
        <v>0</v>
      </c>
      <c r="AH18" s="170">
        <v>0</v>
      </c>
      <c r="AI18" s="170">
        <v>0</v>
      </c>
      <c r="AJ18" s="167">
        <v>24.000000000000007</v>
      </c>
      <c r="AK18" s="167">
        <v>1</v>
      </c>
      <c r="AL18" s="167">
        <v>1</v>
      </c>
      <c r="AM18" s="167">
        <v>1</v>
      </c>
      <c r="AN18" s="167">
        <v>1</v>
      </c>
      <c r="AO18" s="167">
        <v>1</v>
      </c>
      <c r="AP18" s="167">
        <v>1</v>
      </c>
      <c r="AQ18" s="167">
        <v>0</v>
      </c>
      <c r="AR18" s="167">
        <v>78</v>
      </c>
      <c r="AS18" s="173">
        <v>1.2736799999999999</v>
      </c>
      <c r="AT18" s="152" t="s">
        <v>543</v>
      </c>
      <c r="AU18" s="152">
        <v>9.1999999999999993</v>
      </c>
      <c r="AV18" s="152">
        <v>0.41</v>
      </c>
      <c r="AW18" s="174">
        <v>10</v>
      </c>
      <c r="AX18" s="174" t="s">
        <v>540</v>
      </c>
      <c r="AY18" s="174">
        <v>23</v>
      </c>
      <c r="AZ18" s="174">
        <v>19.899999999999999</v>
      </c>
      <c r="BA18" s="174"/>
      <c r="BB18" s="174">
        <v>22</v>
      </c>
      <c r="BC18" s="174"/>
      <c r="BD18" s="174"/>
      <c r="BE18" s="174">
        <v>11</v>
      </c>
      <c r="BF18" s="174">
        <v>12.2</v>
      </c>
      <c r="BG18" s="174">
        <v>13</v>
      </c>
      <c r="BH18" s="174">
        <v>16.600000000000001</v>
      </c>
      <c r="BI18" s="174">
        <v>18</v>
      </c>
      <c r="BJ18" s="174">
        <v>5.16E-2</v>
      </c>
      <c r="BK18" s="174">
        <v>5.79E-2</v>
      </c>
      <c r="BL18" s="174">
        <v>6.2100000000000002E-2</v>
      </c>
      <c r="BM18" s="174">
        <v>7.9600000000000004E-2</v>
      </c>
      <c r="BN18" s="174">
        <v>8.7099999999999997E-2</v>
      </c>
      <c r="BO18" s="174"/>
      <c r="BP18" s="174"/>
      <c r="BQ18" s="174"/>
      <c r="BR18" s="174"/>
      <c r="BS18" s="174"/>
      <c r="BT18" s="174">
        <v>57</v>
      </c>
      <c r="BU18" s="174">
        <v>29</v>
      </c>
      <c r="BV18" s="174">
        <v>29</v>
      </c>
      <c r="BW18" s="174">
        <v>33</v>
      </c>
      <c r="BX18" s="174">
        <v>36</v>
      </c>
      <c r="BY18" s="174">
        <v>43</v>
      </c>
      <c r="BZ18" s="174">
        <v>110</v>
      </c>
      <c r="CA18" s="174">
        <v>117</v>
      </c>
      <c r="CB18" s="174">
        <v>177</v>
      </c>
      <c r="CC18" s="174">
        <v>238</v>
      </c>
      <c r="CD18" s="174">
        <v>374</v>
      </c>
      <c r="CE18" s="174">
        <v>11.7</v>
      </c>
      <c r="CF18" s="174">
        <v>4.5</v>
      </c>
      <c r="CG18" s="174">
        <v>1</v>
      </c>
      <c r="CH18" s="175">
        <v>1.2184227830774831E-5</v>
      </c>
    </row>
    <row r="19" spans="1:86" x14ac:dyDescent="0.3">
      <c r="A19" s="164" t="s">
        <v>36</v>
      </c>
      <c r="B19" s="164" t="s">
        <v>29</v>
      </c>
      <c r="C19" s="164" t="s">
        <v>53</v>
      </c>
      <c r="D19" s="161">
        <v>0</v>
      </c>
      <c r="E19" s="153"/>
      <c r="I19" s="152" t="s">
        <v>557</v>
      </c>
      <c r="J19" s="167">
        <v>14</v>
      </c>
      <c r="K19" s="168">
        <v>-14.5</v>
      </c>
      <c r="L19" s="169" t="s">
        <v>549</v>
      </c>
      <c r="M19" s="67" t="s">
        <v>58</v>
      </c>
      <c r="N19" s="167">
        <v>8.8999999999999986</v>
      </c>
      <c r="O19" s="170">
        <v>159</v>
      </c>
      <c r="P19" s="170">
        <v>5.2</v>
      </c>
      <c r="Q19" s="167">
        <v>0</v>
      </c>
      <c r="R19" s="167" t="e">
        <v>#N/A</v>
      </c>
      <c r="S19" s="167">
        <v>1.2</v>
      </c>
      <c r="T19" s="167">
        <v>0</v>
      </c>
      <c r="U19" s="171">
        <v>1.9E-2</v>
      </c>
      <c r="V19" s="171">
        <v>0</v>
      </c>
      <c r="W19" s="167">
        <v>0.5</v>
      </c>
      <c r="X19" s="167">
        <v>15600</v>
      </c>
      <c r="Y19" s="167">
        <v>0</v>
      </c>
      <c r="Z19" s="167" t="e">
        <v>#N/A</v>
      </c>
      <c r="AA19" s="167">
        <v>1</v>
      </c>
      <c r="AB19" s="167" t="e">
        <v>#N/A</v>
      </c>
      <c r="AC19" s="170">
        <v>78000</v>
      </c>
      <c r="AD19" s="172">
        <v>2800</v>
      </c>
      <c r="AE19" s="170">
        <v>0.3</v>
      </c>
      <c r="AF19" s="170">
        <v>0</v>
      </c>
      <c r="AG19" s="170">
        <v>0</v>
      </c>
      <c r="AH19" s="170">
        <v>0</v>
      </c>
      <c r="AI19" s="170">
        <v>0</v>
      </c>
      <c r="AJ19" s="167" t="e">
        <v>#N/A</v>
      </c>
      <c r="AK19" s="167">
        <v>1</v>
      </c>
      <c r="AL19" s="167">
        <v>1</v>
      </c>
      <c r="AM19" s="167">
        <v>1</v>
      </c>
      <c r="AN19" s="167">
        <v>1</v>
      </c>
      <c r="AO19" s="167">
        <v>1</v>
      </c>
      <c r="AP19" s="167">
        <v>1</v>
      </c>
      <c r="AQ19" s="167">
        <v>0</v>
      </c>
      <c r="AR19" s="167">
        <v>0</v>
      </c>
      <c r="AS19" s="173">
        <v>0.96842099999999998</v>
      </c>
      <c r="AT19" s="152" t="s">
        <v>543</v>
      </c>
      <c r="AU19" s="152">
        <v>9.1999999999999993</v>
      </c>
      <c r="AV19" s="152">
        <v>0.41</v>
      </c>
      <c r="AW19" s="174">
        <v>10.6</v>
      </c>
      <c r="AX19" s="174" t="s">
        <v>540</v>
      </c>
      <c r="AY19" s="174">
        <v>23</v>
      </c>
      <c r="AZ19" s="174">
        <v>19.899999999999999</v>
      </c>
      <c r="BA19" s="174"/>
      <c r="BB19" s="174">
        <v>22</v>
      </c>
      <c r="BC19" s="174"/>
      <c r="BD19" s="174"/>
      <c r="BE19" s="174">
        <v>4.5</v>
      </c>
      <c r="BF19" s="174">
        <v>5.7</v>
      </c>
      <c r="BG19" s="174">
        <v>6.5</v>
      </c>
      <c r="BH19" s="174">
        <v>8.8000000000000007</v>
      </c>
      <c r="BI19" s="174">
        <v>10.199999999999999</v>
      </c>
      <c r="BJ19" s="174">
        <v>3.2099999999999997E-2</v>
      </c>
      <c r="BK19" s="174">
        <v>3.8300000000000001E-2</v>
      </c>
      <c r="BL19" s="174">
        <v>4.2500000000000003E-2</v>
      </c>
      <c r="BM19" s="174">
        <v>5.6099999999999997E-2</v>
      </c>
      <c r="BN19" s="174">
        <v>6.3600000000000004E-2</v>
      </c>
      <c r="BO19" s="174"/>
      <c r="BP19" s="174"/>
      <c r="BQ19" s="174"/>
      <c r="BR19" s="174"/>
      <c r="BS19" s="174"/>
      <c r="BT19" s="174">
        <v>57</v>
      </c>
      <c r="BU19" s="174">
        <v>29</v>
      </c>
      <c r="BV19" s="174">
        <v>29</v>
      </c>
      <c r="BW19" s="174">
        <v>33</v>
      </c>
      <c r="BX19" s="174">
        <v>36</v>
      </c>
      <c r="BY19" s="174">
        <v>43</v>
      </c>
      <c r="BZ19" s="174">
        <v>88</v>
      </c>
      <c r="CA19" s="174">
        <v>95</v>
      </c>
      <c r="CB19" s="174">
        <v>155</v>
      </c>
      <c r="CC19" s="174">
        <v>216</v>
      </c>
      <c r="CD19" s="174">
        <v>352</v>
      </c>
      <c r="CE19" s="174">
        <v>11.7</v>
      </c>
      <c r="CF19" s="174">
        <v>4.5</v>
      </c>
      <c r="CG19" s="174">
        <v>1</v>
      </c>
      <c r="CH19" s="175">
        <v>1.2184227830774831E-5</v>
      </c>
    </row>
    <row r="20" spans="1:86" x14ac:dyDescent="0.3">
      <c r="A20" s="192">
        <v>1</v>
      </c>
      <c r="B20" s="192">
        <v>0</v>
      </c>
      <c r="C20" s="193">
        <v>0.09</v>
      </c>
      <c r="D20" s="194">
        <v>2891.7203797290813</v>
      </c>
      <c r="I20" s="152" t="s">
        <v>557</v>
      </c>
      <c r="J20" s="167">
        <v>15</v>
      </c>
      <c r="K20" s="168">
        <v>-27</v>
      </c>
      <c r="L20" s="169" t="s">
        <v>550</v>
      </c>
      <c r="M20" s="67" t="s">
        <v>58</v>
      </c>
      <c r="N20" s="167">
        <v>8.8999999999999986</v>
      </c>
      <c r="O20" s="170">
        <v>235</v>
      </c>
      <c r="P20" s="170">
        <v>18.2</v>
      </c>
      <c r="Q20" s="167">
        <v>0</v>
      </c>
      <c r="R20" s="167" t="e">
        <v>#N/A</v>
      </c>
      <c r="S20" s="167">
        <v>1.2</v>
      </c>
      <c r="T20" s="167">
        <v>0</v>
      </c>
      <c r="U20" s="171">
        <v>1.9E-2</v>
      </c>
      <c r="V20" s="171">
        <v>0</v>
      </c>
      <c r="W20" s="167">
        <v>0.5</v>
      </c>
      <c r="X20" s="167">
        <v>22800</v>
      </c>
      <c r="Y20" s="167">
        <v>0</v>
      </c>
      <c r="Z20" s="167" t="e">
        <v>#N/A</v>
      </c>
      <c r="AA20" s="167">
        <v>1</v>
      </c>
      <c r="AB20" s="167" t="e">
        <v>#N/A</v>
      </c>
      <c r="AC20" s="170">
        <v>120000</v>
      </c>
      <c r="AD20" s="172">
        <v>9000</v>
      </c>
      <c r="AE20" s="170">
        <v>0.3</v>
      </c>
      <c r="AF20" s="170">
        <v>0</v>
      </c>
      <c r="AG20" s="170">
        <v>0</v>
      </c>
      <c r="AH20" s="170">
        <v>0</v>
      </c>
      <c r="AI20" s="170">
        <v>0</v>
      </c>
      <c r="AJ20" s="167" t="e">
        <v>#N/A</v>
      </c>
      <c r="AK20" s="167">
        <v>1</v>
      </c>
      <c r="AL20" s="167">
        <v>1</v>
      </c>
      <c r="AM20" s="167">
        <v>1</v>
      </c>
      <c r="AN20" s="167">
        <v>1</v>
      </c>
      <c r="AO20" s="167">
        <v>1</v>
      </c>
      <c r="AP20" s="167">
        <v>1</v>
      </c>
      <c r="AQ20" s="167">
        <v>0</v>
      </c>
      <c r="AR20" s="167">
        <v>0</v>
      </c>
      <c r="AS20" s="173">
        <v>1.0631600000000001</v>
      </c>
      <c r="AT20" s="152" t="s">
        <v>543</v>
      </c>
      <c r="AU20" s="152">
        <v>9.1999999999999993</v>
      </c>
      <c r="AV20" s="152">
        <v>0.41</v>
      </c>
      <c r="AW20" s="174">
        <v>10.6</v>
      </c>
      <c r="AX20" s="174" t="s">
        <v>540</v>
      </c>
      <c r="AY20" s="174">
        <v>23</v>
      </c>
      <c r="AZ20" s="174">
        <v>19.899999999999999</v>
      </c>
      <c r="BA20" s="174"/>
      <c r="BB20" s="174">
        <v>22</v>
      </c>
      <c r="BC20" s="174"/>
      <c r="BD20" s="174"/>
      <c r="BE20" s="174">
        <v>4.2</v>
      </c>
      <c r="BF20" s="174">
        <v>5.9</v>
      </c>
      <c r="BG20" s="174">
        <v>7.2</v>
      </c>
      <c r="BH20" s="174">
        <v>10.1</v>
      </c>
      <c r="BI20" s="174">
        <v>12.2</v>
      </c>
      <c r="BJ20" s="174">
        <v>2.9499999999999998E-2</v>
      </c>
      <c r="BK20" s="174">
        <v>3.8600000000000002E-2</v>
      </c>
      <c r="BL20" s="174">
        <v>4.4699999999999997E-2</v>
      </c>
      <c r="BM20" s="174">
        <v>6.0999999999999999E-2</v>
      </c>
      <c r="BN20" s="174">
        <v>7.1900000000000006E-2</v>
      </c>
      <c r="BO20" s="174"/>
      <c r="BP20" s="174"/>
      <c r="BQ20" s="174"/>
      <c r="BR20" s="174"/>
      <c r="BS20" s="174"/>
      <c r="BT20" s="174">
        <v>67</v>
      </c>
      <c r="BU20" s="174">
        <v>29</v>
      </c>
      <c r="BV20" s="174">
        <v>30</v>
      </c>
      <c r="BW20" s="174">
        <v>34</v>
      </c>
      <c r="BX20" s="174">
        <v>38</v>
      </c>
      <c r="BY20" s="174">
        <v>45</v>
      </c>
      <c r="BZ20" s="174">
        <v>85</v>
      </c>
      <c r="CA20" s="174">
        <v>92</v>
      </c>
      <c r="CB20" s="174">
        <v>161</v>
      </c>
      <c r="CC20" s="174">
        <v>230</v>
      </c>
      <c r="CD20" s="174">
        <v>385</v>
      </c>
      <c r="CE20" s="174">
        <v>17.600000000000001</v>
      </c>
      <c r="CF20" s="174">
        <v>5.8</v>
      </c>
      <c r="CG20" s="174">
        <v>1.2</v>
      </c>
      <c r="CH20" s="175">
        <v>2.843075248671839E-5</v>
      </c>
    </row>
    <row r="21" spans="1:86" x14ac:dyDescent="0.3">
      <c r="A21" s="192"/>
      <c r="B21" s="192"/>
      <c r="D21" s="161"/>
      <c r="I21" s="152" t="s">
        <v>557</v>
      </c>
      <c r="J21" s="167">
        <v>16</v>
      </c>
      <c r="K21" s="168">
        <v>-32</v>
      </c>
      <c r="L21" s="169" t="s">
        <v>551</v>
      </c>
      <c r="M21" s="67" t="s">
        <v>58</v>
      </c>
      <c r="N21" s="167">
        <v>8.5</v>
      </c>
      <c r="O21" s="170">
        <v>506</v>
      </c>
      <c r="P21" s="170">
        <v>-118.46153846153872</v>
      </c>
      <c r="Q21" s="167">
        <v>0</v>
      </c>
      <c r="R21" s="167" t="e">
        <v>#N/A</v>
      </c>
      <c r="S21" s="167">
        <v>1.3</v>
      </c>
      <c r="T21" s="167">
        <v>0</v>
      </c>
      <c r="U21" s="171">
        <v>1.9E-2</v>
      </c>
      <c r="V21" s="171">
        <v>0</v>
      </c>
      <c r="W21" s="167">
        <v>0.25</v>
      </c>
      <c r="X21" s="167">
        <v>35300</v>
      </c>
      <c r="Y21" s="167">
        <v>0</v>
      </c>
      <c r="Z21" s="167" t="e">
        <v>#N/A</v>
      </c>
      <c r="AA21" s="167">
        <v>1</v>
      </c>
      <c r="AB21" s="167" t="e">
        <v>#N/A</v>
      </c>
      <c r="AC21" s="170">
        <v>254000</v>
      </c>
      <c r="AD21" s="172">
        <v>-58461.538461538585</v>
      </c>
      <c r="AE21" s="170">
        <v>0.3</v>
      </c>
      <c r="AF21" s="170">
        <v>0</v>
      </c>
      <c r="AG21" s="170">
        <v>0</v>
      </c>
      <c r="AH21" s="170">
        <v>0</v>
      </c>
      <c r="AI21" s="170">
        <v>0</v>
      </c>
      <c r="AJ21" s="167" t="e">
        <v>#N/A</v>
      </c>
      <c r="AK21" s="167">
        <v>1</v>
      </c>
      <c r="AL21" s="167">
        <v>1</v>
      </c>
      <c r="AM21" s="167">
        <v>1</v>
      </c>
      <c r="AN21" s="167">
        <v>1</v>
      </c>
      <c r="AO21" s="167">
        <v>1</v>
      </c>
      <c r="AP21" s="167">
        <v>1</v>
      </c>
      <c r="AQ21" s="167">
        <v>0</v>
      </c>
      <c r="AR21" s="167">
        <v>0</v>
      </c>
      <c r="AS21" s="173">
        <v>1.1789499999999999</v>
      </c>
      <c r="AT21" s="178" t="s">
        <v>543</v>
      </c>
      <c r="AU21" s="152">
        <v>9.1999999999999993</v>
      </c>
      <c r="AV21" s="152">
        <v>0.41</v>
      </c>
      <c r="AW21" s="174">
        <v>11.3</v>
      </c>
      <c r="AX21" s="174" t="s">
        <v>540</v>
      </c>
      <c r="AY21" s="174">
        <v>23</v>
      </c>
      <c r="AZ21" s="174">
        <v>19.899999999999999</v>
      </c>
      <c r="BA21" s="174"/>
      <c r="BB21" s="174">
        <v>22</v>
      </c>
      <c r="BC21" s="174"/>
      <c r="BD21" s="174"/>
      <c r="BE21" s="174">
        <v>19.2</v>
      </c>
      <c r="BF21" s="174">
        <v>21</v>
      </c>
      <c r="BG21" s="174">
        <v>22.2</v>
      </c>
      <c r="BH21" s="174">
        <v>28.1</v>
      </c>
      <c r="BI21" s="174">
        <v>30.2</v>
      </c>
      <c r="BJ21" s="174">
        <v>9.06E-2</v>
      </c>
      <c r="BK21" s="174">
        <v>9.9699999999999997E-2</v>
      </c>
      <c r="BL21" s="174">
        <v>0.10580000000000001</v>
      </c>
      <c r="BM21" s="174">
        <v>0.1343</v>
      </c>
      <c r="BN21" s="174">
        <v>0.1452</v>
      </c>
      <c r="BO21" s="174"/>
      <c r="BP21" s="174"/>
      <c r="BQ21" s="174"/>
      <c r="BR21" s="174"/>
      <c r="BS21" s="174"/>
      <c r="BT21" s="174">
        <v>67</v>
      </c>
      <c r="BU21" s="174">
        <v>29</v>
      </c>
      <c r="BV21" s="174">
        <v>30</v>
      </c>
      <c r="BW21" s="174">
        <v>34</v>
      </c>
      <c r="BX21" s="174">
        <v>38</v>
      </c>
      <c r="BY21" s="174">
        <v>45</v>
      </c>
      <c r="BZ21" s="174">
        <v>140</v>
      </c>
      <c r="CA21" s="174">
        <v>148</v>
      </c>
      <c r="CB21" s="174">
        <v>217</v>
      </c>
      <c r="CC21" s="174">
        <v>286</v>
      </c>
      <c r="CD21" s="174">
        <v>441</v>
      </c>
      <c r="CE21" s="174">
        <v>17.600000000000001</v>
      </c>
      <c r="CF21" s="174">
        <v>5.8</v>
      </c>
      <c r="CG21" s="174">
        <v>1.2</v>
      </c>
      <c r="CH21" s="175">
        <v>2.843075248671839E-5</v>
      </c>
    </row>
    <row r="22" spans="1:86" x14ac:dyDescent="0.3">
      <c r="A22" s="192"/>
      <c r="B22" s="192"/>
      <c r="D22" s="153"/>
      <c r="I22" s="152" t="s">
        <v>557</v>
      </c>
      <c r="J22" s="167">
        <v>17</v>
      </c>
      <c r="K22" s="168">
        <v>-33.299999999999997</v>
      </c>
      <c r="L22" s="169" t="s">
        <v>552</v>
      </c>
      <c r="M22" s="67" t="s">
        <v>58</v>
      </c>
      <c r="N22" s="167">
        <v>8.5</v>
      </c>
      <c r="O22" s="170">
        <v>327</v>
      </c>
      <c r="P22" s="170">
        <v>98.571428571428171</v>
      </c>
      <c r="Q22" s="167">
        <v>0</v>
      </c>
      <c r="R22" s="167" t="e">
        <v>#N/A</v>
      </c>
      <c r="S22" s="167">
        <v>1.2</v>
      </c>
      <c r="T22" s="167">
        <v>0</v>
      </c>
      <c r="U22" s="171">
        <v>1.9E-2</v>
      </c>
      <c r="V22" s="171">
        <v>0</v>
      </c>
      <c r="W22" s="167">
        <v>0.25</v>
      </c>
      <c r="X22" s="167">
        <v>28800</v>
      </c>
      <c r="Y22" s="167">
        <v>0</v>
      </c>
      <c r="Z22" s="167" t="e">
        <v>#N/A</v>
      </c>
      <c r="AA22" s="167">
        <v>1</v>
      </c>
      <c r="AB22" s="167" t="e">
        <v>#N/A</v>
      </c>
      <c r="AC22" s="170">
        <v>166000</v>
      </c>
      <c r="AD22" s="172">
        <v>48571.428571428376</v>
      </c>
      <c r="AE22" s="170">
        <v>0.3</v>
      </c>
      <c r="AF22" s="170">
        <v>0</v>
      </c>
      <c r="AG22" s="170">
        <v>0</v>
      </c>
      <c r="AH22" s="170">
        <v>0</v>
      </c>
      <c r="AI22" s="170">
        <v>0</v>
      </c>
      <c r="AJ22" s="167" t="e">
        <v>#N/A</v>
      </c>
      <c r="AK22" s="167">
        <v>1</v>
      </c>
      <c r="AL22" s="167">
        <v>1</v>
      </c>
      <c r="AM22" s="167">
        <v>1</v>
      </c>
      <c r="AN22" s="167">
        <v>1</v>
      </c>
      <c r="AO22" s="167">
        <v>1</v>
      </c>
      <c r="AP22" s="167">
        <v>1</v>
      </c>
      <c r="AQ22" s="167">
        <v>0</v>
      </c>
      <c r="AR22" s="167">
        <v>0</v>
      </c>
      <c r="AS22" s="173">
        <v>1</v>
      </c>
      <c r="AT22" s="152" t="s">
        <v>543</v>
      </c>
      <c r="AU22" s="152">
        <v>9.1999999999999993</v>
      </c>
      <c r="AV22" s="152">
        <v>0.41</v>
      </c>
      <c r="AW22" s="174">
        <v>11.3</v>
      </c>
      <c r="AX22" s="174" t="s">
        <v>540</v>
      </c>
      <c r="AY22" s="174">
        <v>23</v>
      </c>
      <c r="AZ22" s="174">
        <v>19.899999999999999</v>
      </c>
      <c r="BA22" s="174"/>
      <c r="BB22" s="174">
        <v>22</v>
      </c>
      <c r="BC22" s="174"/>
      <c r="BD22" s="174"/>
      <c r="BE22" s="174">
        <v>19.100000000000001</v>
      </c>
      <c r="BF22" s="174">
        <v>21.3</v>
      </c>
      <c r="BG22" s="174">
        <v>22.7</v>
      </c>
      <c r="BH22" s="174">
        <v>29.1</v>
      </c>
      <c r="BI22" s="174">
        <v>31.7</v>
      </c>
      <c r="BJ22" s="174">
        <v>7.1199999999999999E-2</v>
      </c>
      <c r="BK22" s="174">
        <v>8.0199999999999994E-2</v>
      </c>
      <c r="BL22" s="174">
        <v>8.6300000000000002E-2</v>
      </c>
      <c r="BM22" s="174">
        <v>0.1109</v>
      </c>
      <c r="BN22" s="174">
        <v>0.12180000000000001</v>
      </c>
      <c r="BO22" s="174"/>
      <c r="BP22" s="174"/>
      <c r="BQ22" s="174"/>
      <c r="BR22" s="174"/>
      <c r="BS22" s="174"/>
      <c r="BT22" s="174">
        <v>75</v>
      </c>
      <c r="BU22" s="174">
        <v>29</v>
      </c>
      <c r="BV22" s="174">
        <v>31</v>
      </c>
      <c r="BW22" s="174">
        <v>35</v>
      </c>
      <c r="BX22" s="174">
        <v>39</v>
      </c>
      <c r="BY22" s="174">
        <v>46</v>
      </c>
      <c r="BZ22" s="174">
        <v>135</v>
      </c>
      <c r="CA22" s="174">
        <v>142</v>
      </c>
      <c r="CB22" s="174">
        <v>218</v>
      </c>
      <c r="CC22" s="174">
        <v>294</v>
      </c>
      <c r="CD22" s="174">
        <v>464</v>
      </c>
      <c r="CE22" s="174">
        <v>24.3</v>
      </c>
      <c r="CF22" s="174">
        <v>7.1</v>
      </c>
      <c r="CG22" s="174">
        <v>1.3</v>
      </c>
      <c r="CH22" s="175">
        <v>9.7266068320518839E-5</v>
      </c>
    </row>
    <row r="23" spans="1:86" x14ac:dyDescent="0.3">
      <c r="A23" s="192"/>
      <c r="B23" s="192"/>
      <c r="D23" s="195">
        <v>15714.622197005599</v>
      </c>
      <c r="I23" s="152" t="s">
        <v>557</v>
      </c>
      <c r="J23" s="167">
        <v>18</v>
      </c>
      <c r="K23" s="168">
        <v>-34</v>
      </c>
      <c r="L23" s="169" t="s">
        <v>553</v>
      </c>
      <c r="M23" s="67" t="s">
        <v>58</v>
      </c>
      <c r="N23" s="167">
        <v>8.5</v>
      </c>
      <c r="O23" s="170">
        <v>502</v>
      </c>
      <c r="P23" s="170">
        <v>0</v>
      </c>
      <c r="Q23" s="167">
        <v>0</v>
      </c>
      <c r="R23" s="167" t="e">
        <v>#N/A</v>
      </c>
      <c r="S23" s="167">
        <v>1.4</v>
      </c>
      <c r="T23" s="167">
        <v>0</v>
      </c>
      <c r="U23" s="171">
        <v>1.9E-2</v>
      </c>
      <c r="V23" s="171">
        <v>0</v>
      </c>
      <c r="W23" s="167">
        <v>0.25</v>
      </c>
      <c r="X23" s="167">
        <v>40300</v>
      </c>
      <c r="Y23" s="167">
        <v>0</v>
      </c>
      <c r="Z23" s="167" t="e">
        <v>#N/A</v>
      </c>
      <c r="AA23" s="167">
        <v>1</v>
      </c>
      <c r="AB23" s="167" t="e">
        <v>#N/A</v>
      </c>
      <c r="AC23" s="170">
        <v>264000</v>
      </c>
      <c r="AD23" s="172">
        <v>0</v>
      </c>
      <c r="AE23" s="170">
        <v>0.3</v>
      </c>
      <c r="AF23" s="170">
        <v>0</v>
      </c>
      <c r="AG23" s="170">
        <v>0</v>
      </c>
      <c r="AH23" s="170">
        <v>0</v>
      </c>
      <c r="AI23" s="170">
        <v>0</v>
      </c>
      <c r="AJ23" s="167" t="e">
        <v>#N/A</v>
      </c>
      <c r="AK23" s="167">
        <v>1</v>
      </c>
      <c r="AL23" s="167">
        <v>1</v>
      </c>
      <c r="AM23" s="167">
        <v>1</v>
      </c>
      <c r="AN23" s="167">
        <v>1</v>
      </c>
      <c r="AO23" s="167">
        <v>1</v>
      </c>
      <c r="AP23" s="167">
        <v>1</v>
      </c>
      <c r="AQ23" s="167">
        <v>0</v>
      </c>
      <c r="AR23" s="167">
        <v>0</v>
      </c>
      <c r="AS23" s="173">
        <v>1</v>
      </c>
      <c r="AT23" s="152" t="s">
        <v>543</v>
      </c>
      <c r="AU23" s="152">
        <v>9.1999999999999993</v>
      </c>
      <c r="AV23" s="152">
        <v>0.41</v>
      </c>
      <c r="AW23" s="174">
        <v>12.2</v>
      </c>
      <c r="AX23" s="174" t="s">
        <v>540</v>
      </c>
      <c r="AY23" s="174">
        <v>23</v>
      </c>
      <c r="AZ23" s="174">
        <v>19.899999999999999</v>
      </c>
      <c r="BA23" s="174"/>
      <c r="BB23" s="174">
        <v>22</v>
      </c>
      <c r="BC23" s="174"/>
      <c r="BD23" s="174"/>
      <c r="BE23" s="174">
        <v>9.6</v>
      </c>
      <c r="BF23" s="174">
        <v>11.8</v>
      </c>
      <c r="BG23" s="174">
        <v>13.2</v>
      </c>
      <c r="BH23" s="174">
        <v>17.7</v>
      </c>
      <c r="BI23" s="174">
        <v>20.3</v>
      </c>
      <c r="BJ23" s="174">
        <v>4.9799999999999997E-2</v>
      </c>
      <c r="BK23" s="174">
        <v>5.8799999999999998E-2</v>
      </c>
      <c r="BL23" s="174">
        <v>6.4899999999999999E-2</v>
      </c>
      <c r="BM23" s="174">
        <v>8.5199999999999998E-2</v>
      </c>
      <c r="BN23" s="174">
        <v>9.6100000000000005E-2</v>
      </c>
      <c r="BO23" s="174"/>
      <c r="BP23" s="174"/>
      <c r="BQ23" s="174"/>
      <c r="BR23" s="174"/>
      <c r="BS23" s="174"/>
      <c r="BT23" s="174">
        <v>75</v>
      </c>
      <c r="BU23" s="174">
        <v>29</v>
      </c>
      <c r="BV23" s="174">
        <v>31</v>
      </c>
      <c r="BW23" s="174">
        <v>35</v>
      </c>
      <c r="BX23" s="174">
        <v>39</v>
      </c>
      <c r="BY23" s="174">
        <v>46</v>
      </c>
      <c r="BZ23" s="174">
        <v>114</v>
      </c>
      <c r="CA23" s="174">
        <v>121</v>
      </c>
      <c r="CB23" s="174">
        <v>197</v>
      </c>
      <c r="CC23" s="174">
        <v>273</v>
      </c>
      <c r="CD23" s="174">
        <v>443</v>
      </c>
      <c r="CE23" s="174">
        <v>24.3</v>
      </c>
      <c r="CF23" s="174">
        <v>7.1</v>
      </c>
      <c r="CG23" s="174">
        <v>1.3</v>
      </c>
      <c r="CH23" s="175">
        <v>9.7266068320518839E-5</v>
      </c>
    </row>
    <row r="24" spans="1:86" x14ac:dyDescent="0.3">
      <c r="A24" s="192"/>
      <c r="B24" s="192"/>
      <c r="D24" s="195">
        <v>-746243.33244273497</v>
      </c>
      <c r="I24" s="152" t="s">
        <v>557</v>
      </c>
      <c r="J24" s="167">
        <v>19</v>
      </c>
      <c r="K24" s="168">
        <v>-36.5</v>
      </c>
      <c r="L24" s="169" t="s">
        <v>553</v>
      </c>
      <c r="M24" s="67" t="s">
        <v>58</v>
      </c>
      <c r="N24" s="167">
        <v>8.6999999999999993</v>
      </c>
      <c r="O24" s="170">
        <v>739</v>
      </c>
      <c r="P24" s="170">
        <v>0</v>
      </c>
      <c r="Q24" s="167">
        <v>0</v>
      </c>
      <c r="R24" s="167" t="e">
        <v>#N/A</v>
      </c>
      <c r="S24" s="167">
        <v>1.5</v>
      </c>
      <c r="T24" s="167">
        <v>0</v>
      </c>
      <c r="U24" s="171">
        <v>1.9E-2</v>
      </c>
      <c r="V24" s="171">
        <v>0</v>
      </c>
      <c r="W24" s="167">
        <v>0.25</v>
      </c>
      <c r="X24" s="167">
        <v>58900</v>
      </c>
      <c r="Y24" s="167">
        <v>0</v>
      </c>
      <c r="Z24" s="167" t="e">
        <v>#N/A</v>
      </c>
      <c r="AA24" s="167">
        <v>1</v>
      </c>
      <c r="AB24" s="167" t="e">
        <v>#N/A</v>
      </c>
      <c r="AC24" s="170">
        <v>405000</v>
      </c>
      <c r="AD24" s="172">
        <v>0</v>
      </c>
      <c r="AE24" s="170">
        <v>0.3</v>
      </c>
      <c r="AF24" s="170">
        <v>0</v>
      </c>
      <c r="AG24" s="170">
        <v>0</v>
      </c>
      <c r="AH24" s="170">
        <v>0</v>
      </c>
      <c r="AI24" s="170">
        <v>0</v>
      </c>
      <c r="AJ24" s="167" t="e">
        <v>#N/A</v>
      </c>
      <c r="AK24" s="167">
        <v>1</v>
      </c>
      <c r="AL24" s="167">
        <v>1</v>
      </c>
      <c r="AM24" s="167">
        <v>1</v>
      </c>
      <c r="AN24" s="167">
        <v>1</v>
      </c>
      <c r="AO24" s="167">
        <v>1</v>
      </c>
      <c r="AP24" s="167">
        <v>1</v>
      </c>
      <c r="AQ24" s="167">
        <v>0</v>
      </c>
      <c r="AR24" s="167">
        <v>0</v>
      </c>
      <c r="AS24" s="173">
        <v>1</v>
      </c>
      <c r="AT24" s="152" t="s">
        <v>543</v>
      </c>
      <c r="AU24" s="152">
        <v>9.1999999999999993</v>
      </c>
      <c r="AV24" s="152">
        <v>0.41</v>
      </c>
      <c r="AW24" s="174">
        <v>12.2</v>
      </c>
      <c r="AX24" s="174" t="s">
        <v>540</v>
      </c>
      <c r="AY24" s="174">
        <v>23</v>
      </c>
      <c r="AZ24" s="174">
        <v>19.899999999999999</v>
      </c>
      <c r="BA24" s="174"/>
      <c r="BB24" s="174">
        <v>22</v>
      </c>
      <c r="BC24" s="174"/>
      <c r="BD24" s="174"/>
      <c r="BE24" s="174">
        <v>8.8000000000000007</v>
      </c>
      <c r="BF24" s="174">
        <v>10.9</v>
      </c>
      <c r="BG24" s="174">
        <v>12.3</v>
      </c>
      <c r="BH24" s="174">
        <v>16.5</v>
      </c>
      <c r="BI24" s="174">
        <v>19.100000000000001</v>
      </c>
      <c r="BJ24" s="174">
        <v>4.99E-2</v>
      </c>
      <c r="BK24" s="174">
        <v>5.9799999999999999E-2</v>
      </c>
      <c r="BL24" s="174">
        <v>6.6500000000000004E-2</v>
      </c>
      <c r="BM24" s="174">
        <v>8.7800000000000003E-2</v>
      </c>
      <c r="BN24" s="174">
        <v>9.98E-2</v>
      </c>
      <c r="BO24" s="174"/>
      <c r="BP24" s="174"/>
      <c r="BQ24" s="174"/>
      <c r="BR24" s="174"/>
      <c r="BS24" s="174"/>
      <c r="BT24" s="174">
        <v>74</v>
      </c>
      <c r="BU24" s="174">
        <v>29</v>
      </c>
      <c r="BV24" s="174">
        <v>31</v>
      </c>
      <c r="BW24" s="174">
        <v>35</v>
      </c>
      <c r="BX24" s="174">
        <v>39</v>
      </c>
      <c r="BY24" s="174">
        <v>45</v>
      </c>
      <c r="BZ24" s="174">
        <v>106</v>
      </c>
      <c r="CA24" s="174">
        <v>114</v>
      </c>
      <c r="CB24" s="174">
        <v>192</v>
      </c>
      <c r="CC24" s="174">
        <v>271</v>
      </c>
      <c r="CD24" s="174">
        <v>448</v>
      </c>
      <c r="CE24" s="174">
        <v>23.7</v>
      </c>
      <c r="CF24" s="174">
        <v>6.3</v>
      </c>
      <c r="CG24" s="174">
        <v>1.2</v>
      </c>
      <c r="CH24" s="175">
        <v>5.1042259205858373E-5</v>
      </c>
    </row>
    <row r="25" spans="1:86" x14ac:dyDescent="0.3">
      <c r="A25" s="192"/>
      <c r="B25" s="192"/>
      <c r="D25" s="195">
        <v>32033.4274954422</v>
      </c>
      <c r="I25" s="152" t="s">
        <v>557</v>
      </c>
      <c r="J25" s="167">
        <v>20</v>
      </c>
      <c r="K25" s="168">
        <v>-39.799999999999997</v>
      </c>
      <c r="L25" s="169" t="s">
        <v>553</v>
      </c>
      <c r="M25" s="67" t="s">
        <v>58</v>
      </c>
      <c r="N25" s="167">
        <v>8.6999999999999993</v>
      </c>
      <c r="O25" s="170">
        <v>515</v>
      </c>
      <c r="P25" s="170">
        <v>-45.833333333333222</v>
      </c>
      <c r="Q25" s="167">
        <v>0</v>
      </c>
      <c r="R25" s="167" t="e">
        <v>#N/A</v>
      </c>
      <c r="S25" s="167">
        <v>1.3</v>
      </c>
      <c r="T25" s="167">
        <v>0</v>
      </c>
      <c r="U25" s="171">
        <v>1.9E-2</v>
      </c>
      <c r="V25" s="171">
        <v>0</v>
      </c>
      <c r="W25" s="167">
        <v>0.25</v>
      </c>
      <c r="X25" s="167">
        <v>37400</v>
      </c>
      <c r="Y25" s="167">
        <v>0</v>
      </c>
      <c r="Z25" s="167" t="e">
        <v>#N/A</v>
      </c>
      <c r="AA25" s="167">
        <v>1</v>
      </c>
      <c r="AB25" s="167" t="e">
        <v>#N/A</v>
      </c>
      <c r="AC25" s="170">
        <v>265000</v>
      </c>
      <c r="AD25" s="172">
        <v>-23333.333333333278</v>
      </c>
      <c r="AE25" s="170">
        <v>0.3</v>
      </c>
      <c r="AF25" s="170">
        <v>0</v>
      </c>
      <c r="AG25" s="170">
        <v>0</v>
      </c>
      <c r="AH25" s="170">
        <v>0</v>
      </c>
      <c r="AI25" s="170">
        <v>0</v>
      </c>
      <c r="AJ25" s="167" t="e">
        <v>#N/A</v>
      </c>
      <c r="AK25" s="167">
        <v>1</v>
      </c>
      <c r="AL25" s="167">
        <v>1</v>
      </c>
      <c r="AM25" s="167">
        <v>1</v>
      </c>
      <c r="AN25" s="167">
        <v>1</v>
      </c>
      <c r="AO25" s="167">
        <v>1</v>
      </c>
      <c r="AP25" s="167">
        <v>1</v>
      </c>
      <c r="AQ25" s="167">
        <v>0</v>
      </c>
      <c r="AR25" s="167">
        <v>0</v>
      </c>
      <c r="AS25" s="173">
        <v>1</v>
      </c>
      <c r="AT25" s="178" t="s">
        <v>543</v>
      </c>
      <c r="AU25" s="152">
        <v>9.1999999999999993</v>
      </c>
      <c r="AV25" s="152">
        <v>0.41</v>
      </c>
      <c r="AW25" s="174">
        <v>13.5</v>
      </c>
      <c r="AX25" s="174" t="s">
        <v>540</v>
      </c>
      <c r="AY25" s="174">
        <v>23</v>
      </c>
      <c r="AZ25" s="174">
        <v>19.899999999999999</v>
      </c>
      <c r="BA25" s="174"/>
      <c r="BB25" s="174">
        <v>22</v>
      </c>
      <c r="BC25" s="174"/>
      <c r="BD25" s="174"/>
      <c r="BE25" s="174">
        <v>19.100000000000001</v>
      </c>
      <c r="BF25" s="174">
        <v>21.2</v>
      </c>
      <c r="BG25" s="174">
        <v>22.7</v>
      </c>
      <c r="BH25" s="174">
        <v>29</v>
      </c>
      <c r="BI25" s="174">
        <v>31.5</v>
      </c>
      <c r="BJ25" s="174">
        <v>8.2500000000000004E-2</v>
      </c>
      <c r="BK25" s="174">
        <v>9.2399999999999996E-2</v>
      </c>
      <c r="BL25" s="174">
        <v>9.9099999999999994E-2</v>
      </c>
      <c r="BM25" s="174">
        <v>0.127</v>
      </c>
      <c r="BN25" s="174">
        <v>0.1389</v>
      </c>
      <c r="BO25" s="174"/>
      <c r="BP25" s="174"/>
      <c r="BQ25" s="174"/>
      <c r="BR25" s="174"/>
      <c r="BS25" s="174"/>
      <c r="BT25" s="174">
        <v>74</v>
      </c>
      <c r="BU25" s="174">
        <v>29</v>
      </c>
      <c r="BV25" s="174">
        <v>31</v>
      </c>
      <c r="BW25" s="174">
        <v>35</v>
      </c>
      <c r="BX25" s="174">
        <v>39</v>
      </c>
      <c r="BY25" s="174">
        <v>45</v>
      </c>
      <c r="BZ25" s="174">
        <v>152</v>
      </c>
      <c r="CA25" s="174">
        <v>161</v>
      </c>
      <c r="CB25" s="174">
        <v>239</v>
      </c>
      <c r="CC25" s="174">
        <v>318</v>
      </c>
      <c r="CD25" s="174">
        <v>495</v>
      </c>
      <c r="CE25" s="174">
        <v>23.7</v>
      </c>
      <c r="CF25" s="174">
        <v>6.3</v>
      </c>
      <c r="CG25" s="174">
        <v>1.2</v>
      </c>
      <c r="CH25" s="175">
        <v>5.1042259205858373E-5</v>
      </c>
    </row>
    <row r="26" spans="1:86" x14ac:dyDescent="0.3">
      <c r="A26" s="192"/>
      <c r="B26" s="192"/>
      <c r="D26" s="153">
        <v>0</v>
      </c>
      <c r="F26" s="152" t="s">
        <v>554</v>
      </c>
      <c r="I26" s="152" t="s">
        <v>557</v>
      </c>
      <c r="J26" s="167">
        <v>21</v>
      </c>
      <c r="K26" s="168">
        <v>-41</v>
      </c>
      <c r="L26" s="169" t="s">
        <v>553</v>
      </c>
      <c r="M26" s="67" t="s">
        <v>58</v>
      </c>
      <c r="N26" s="167">
        <v>8.6999999999999993</v>
      </c>
      <c r="O26" s="170">
        <v>573</v>
      </c>
      <c r="P26" s="170">
        <v>-101</v>
      </c>
      <c r="Q26" s="167">
        <v>0</v>
      </c>
      <c r="R26" s="167" t="e">
        <v>#N/A</v>
      </c>
      <c r="S26" s="167">
        <v>1.4</v>
      </c>
      <c r="T26" s="167">
        <v>0</v>
      </c>
      <c r="U26" s="171">
        <v>1.9E-2</v>
      </c>
      <c r="V26" s="171">
        <v>0</v>
      </c>
      <c r="W26" s="167">
        <v>0.25</v>
      </c>
      <c r="X26" s="167">
        <v>49500</v>
      </c>
      <c r="Y26" s="167">
        <v>0</v>
      </c>
      <c r="Z26" s="167" t="e">
        <v>#N/A</v>
      </c>
      <c r="AA26" s="167">
        <v>1</v>
      </c>
      <c r="AB26" s="167" t="e">
        <v>#N/A</v>
      </c>
      <c r="AC26" s="170">
        <v>296000</v>
      </c>
      <c r="AD26" s="172">
        <v>-51000</v>
      </c>
      <c r="AE26" s="170">
        <v>0.3</v>
      </c>
      <c r="AF26" s="170">
        <v>0</v>
      </c>
      <c r="AG26" s="170">
        <v>0</v>
      </c>
      <c r="AH26" s="170">
        <v>0</v>
      </c>
      <c r="AI26" s="170">
        <v>0</v>
      </c>
      <c r="AJ26" s="167" t="e">
        <v>#N/A</v>
      </c>
      <c r="AK26" s="167">
        <v>1</v>
      </c>
      <c r="AL26" s="167">
        <v>1</v>
      </c>
      <c r="AM26" s="167">
        <v>1</v>
      </c>
      <c r="AN26" s="167">
        <v>1</v>
      </c>
      <c r="AO26" s="167">
        <v>1</v>
      </c>
      <c r="AP26" s="167">
        <v>1</v>
      </c>
      <c r="AQ26" s="167">
        <v>0</v>
      </c>
      <c r="AR26" s="167">
        <v>0</v>
      </c>
      <c r="AS26" s="173">
        <v>1</v>
      </c>
      <c r="AT26" s="152" t="s">
        <v>543</v>
      </c>
      <c r="AU26" s="152">
        <v>9.1999999999999993</v>
      </c>
      <c r="AV26" s="152">
        <v>0.41</v>
      </c>
      <c r="AW26" s="174">
        <v>13.5</v>
      </c>
      <c r="AX26" s="174" t="s">
        <v>540</v>
      </c>
      <c r="AY26" s="174">
        <v>23</v>
      </c>
      <c r="AZ26" s="174">
        <v>19.899999999999999</v>
      </c>
      <c r="BA26" s="174"/>
      <c r="BB26" s="174">
        <v>22</v>
      </c>
      <c r="BC26" s="174"/>
      <c r="BD26" s="174"/>
      <c r="BE26" s="174">
        <v>18.100000000000001</v>
      </c>
      <c r="BF26" s="174">
        <v>20.399999999999999</v>
      </c>
      <c r="BG26" s="174">
        <v>22</v>
      </c>
      <c r="BH26" s="174">
        <v>28.3</v>
      </c>
      <c r="BI26" s="174">
        <v>33.4</v>
      </c>
      <c r="BJ26" s="174">
        <v>4.4900000000000002E-2</v>
      </c>
      <c r="BK26" s="174">
        <v>5.9400000000000001E-2</v>
      </c>
      <c r="BL26" s="174">
        <v>6.9099999999999995E-2</v>
      </c>
      <c r="BM26" s="174">
        <v>9.4600000000000004E-2</v>
      </c>
      <c r="BN26" s="174">
        <v>0.13039999999999999</v>
      </c>
      <c r="BO26" s="174"/>
      <c r="BP26" s="174"/>
      <c r="BQ26" s="174"/>
      <c r="BR26" s="174"/>
      <c r="BS26" s="174"/>
      <c r="BT26" s="174">
        <v>78</v>
      </c>
      <c r="BU26" s="174">
        <v>29</v>
      </c>
      <c r="BV26" s="174">
        <v>31</v>
      </c>
      <c r="BW26" s="174">
        <v>35</v>
      </c>
      <c r="BX26" s="174">
        <v>39</v>
      </c>
      <c r="BY26" s="174">
        <v>46</v>
      </c>
      <c r="BZ26" s="174">
        <v>144</v>
      </c>
      <c r="CA26" s="174">
        <v>153</v>
      </c>
      <c r="CB26" s="174">
        <v>236</v>
      </c>
      <c r="CC26" s="174">
        <v>320</v>
      </c>
      <c r="CD26" s="174">
        <v>509</v>
      </c>
      <c r="CE26" s="174">
        <v>27.8</v>
      </c>
      <c r="CF26" s="174">
        <v>6.6</v>
      </c>
      <c r="CG26" s="174">
        <v>1.3</v>
      </c>
      <c r="CH26" s="175">
        <v>9.5475430613206473E-5</v>
      </c>
    </row>
    <row r="27" spans="1:86" x14ac:dyDescent="0.3">
      <c r="A27" s="192"/>
      <c r="B27" s="192"/>
      <c r="D27" s="195">
        <v>3903.82251263426</v>
      </c>
      <c r="F27" s="152" t="s">
        <v>555</v>
      </c>
      <c r="I27" s="152" t="s">
        <v>557</v>
      </c>
      <c r="J27" s="152">
        <v>22</v>
      </c>
      <c r="K27" s="152">
        <v>-42</v>
      </c>
      <c r="L27" s="196" t="s">
        <v>553</v>
      </c>
      <c r="M27" s="196" t="s">
        <v>58</v>
      </c>
      <c r="N27" s="167">
        <v>8.6999999999999993</v>
      </c>
      <c r="O27" s="170">
        <v>709</v>
      </c>
      <c r="P27" s="167">
        <v>0</v>
      </c>
      <c r="Q27" s="167">
        <v>0</v>
      </c>
      <c r="R27" s="197" t="e">
        <v>#N/A</v>
      </c>
      <c r="S27" s="167">
        <v>1.4</v>
      </c>
      <c r="T27" s="167">
        <v>0</v>
      </c>
      <c r="U27" s="167">
        <v>1.9E-2</v>
      </c>
      <c r="V27" s="167">
        <v>0</v>
      </c>
      <c r="W27" s="167">
        <v>0.25</v>
      </c>
      <c r="X27" s="167">
        <v>51700</v>
      </c>
      <c r="Y27" s="167">
        <v>0</v>
      </c>
      <c r="Z27" s="167" t="e">
        <v>#N/A</v>
      </c>
      <c r="AA27" s="167">
        <v>1</v>
      </c>
      <c r="AB27" s="167" t="e">
        <v>#N/A</v>
      </c>
      <c r="AC27" s="167">
        <v>389000</v>
      </c>
      <c r="AD27" s="167">
        <v>0</v>
      </c>
      <c r="AE27" s="152">
        <v>0.3</v>
      </c>
      <c r="AF27" s="152">
        <v>0</v>
      </c>
      <c r="AG27" s="152">
        <v>0</v>
      </c>
      <c r="AH27" s="152">
        <v>0</v>
      </c>
      <c r="AI27" s="167">
        <v>0</v>
      </c>
      <c r="AJ27" s="167" t="e">
        <v>#N/A</v>
      </c>
      <c r="AK27" s="167">
        <v>1</v>
      </c>
      <c r="AL27" s="167">
        <v>1</v>
      </c>
      <c r="AM27" s="167">
        <v>1</v>
      </c>
      <c r="AN27" s="167">
        <v>1</v>
      </c>
      <c r="AO27" s="167">
        <v>1</v>
      </c>
      <c r="AP27" s="167">
        <v>1</v>
      </c>
      <c r="AQ27" s="152">
        <v>0</v>
      </c>
      <c r="AR27" s="152">
        <v>0</v>
      </c>
      <c r="AS27" s="173">
        <v>1</v>
      </c>
      <c r="AT27" s="152" t="s">
        <v>543</v>
      </c>
      <c r="AU27" s="152">
        <v>9.1999999999999993</v>
      </c>
      <c r="AV27" s="152">
        <v>0.41</v>
      </c>
      <c r="AW27" s="174">
        <v>14.5</v>
      </c>
      <c r="AX27" s="174" t="s">
        <v>540</v>
      </c>
      <c r="AY27" s="174">
        <v>23</v>
      </c>
      <c r="AZ27" s="174">
        <v>19.899999999999999</v>
      </c>
      <c r="BA27" s="174"/>
      <c r="BB27" s="174">
        <v>22</v>
      </c>
      <c r="BC27" s="174"/>
      <c r="BD27" s="174"/>
      <c r="BE27" s="174">
        <v>12.6</v>
      </c>
      <c r="BF27" s="174">
        <v>14.9</v>
      </c>
      <c r="BG27" s="174">
        <v>16.5</v>
      </c>
      <c r="BH27" s="174">
        <v>21.7</v>
      </c>
      <c r="BI27" s="174">
        <v>26.7</v>
      </c>
      <c r="BJ27" s="174">
        <v>7.2300000000000003E-2</v>
      </c>
      <c r="BK27" s="174">
        <v>8.6800000000000002E-2</v>
      </c>
      <c r="BL27" s="174">
        <v>9.6600000000000005E-2</v>
      </c>
      <c r="BM27" s="174">
        <v>0.1275</v>
      </c>
      <c r="BN27" s="174">
        <v>0.1633</v>
      </c>
      <c r="BO27" s="174"/>
      <c r="BP27" s="174"/>
      <c r="BQ27" s="174"/>
      <c r="BR27" s="174"/>
      <c r="BS27" s="174"/>
      <c r="BT27" s="174">
        <v>78</v>
      </c>
      <c r="BU27" s="174">
        <v>29</v>
      </c>
      <c r="BV27" s="174">
        <v>31</v>
      </c>
      <c r="BW27" s="174">
        <v>35</v>
      </c>
      <c r="BX27" s="174">
        <v>39</v>
      </c>
      <c r="BY27" s="174">
        <v>46</v>
      </c>
      <c r="BZ27" s="174">
        <v>133</v>
      </c>
      <c r="CA27" s="174">
        <v>142</v>
      </c>
      <c r="CB27" s="174">
        <v>225</v>
      </c>
      <c r="CC27" s="174">
        <v>309</v>
      </c>
      <c r="CD27" s="174">
        <v>498</v>
      </c>
      <c r="CE27" s="174">
        <v>27.8</v>
      </c>
      <c r="CF27" s="174">
        <v>6.6</v>
      </c>
      <c r="CG27" s="174">
        <v>1.3</v>
      </c>
      <c r="CH27" s="175">
        <v>9.5475430613206473E-5</v>
      </c>
    </row>
    <row r="28" spans="1:86" x14ac:dyDescent="0.3">
      <c r="A28" s="192"/>
      <c r="B28" s="192"/>
      <c r="D28" s="153"/>
      <c r="F28" s="152" t="s">
        <v>556</v>
      </c>
      <c r="I28" s="152" t="s">
        <v>557</v>
      </c>
      <c r="J28" s="152">
        <v>23</v>
      </c>
      <c r="K28" s="152">
        <v>-45</v>
      </c>
      <c r="L28" s="196" t="s">
        <v>553</v>
      </c>
      <c r="M28" s="196" t="s">
        <v>58</v>
      </c>
      <c r="N28" s="167">
        <v>8.6999999999999993</v>
      </c>
      <c r="O28" s="170">
        <v>1200</v>
      </c>
      <c r="P28" s="167">
        <v>0</v>
      </c>
      <c r="Q28" s="167">
        <v>0</v>
      </c>
      <c r="R28" s="197" t="e">
        <v>#N/A</v>
      </c>
      <c r="S28" s="167">
        <v>1.8</v>
      </c>
      <c r="T28" s="167">
        <v>0</v>
      </c>
      <c r="U28" s="167">
        <v>1.9E-2</v>
      </c>
      <c r="V28" s="167">
        <v>0</v>
      </c>
      <c r="W28" s="167">
        <v>0.25</v>
      </c>
      <c r="X28" s="167">
        <v>102300</v>
      </c>
      <c r="Y28" s="167">
        <v>0</v>
      </c>
      <c r="Z28" s="167" t="e">
        <v>#N/A</v>
      </c>
      <c r="AA28" s="167">
        <v>1</v>
      </c>
      <c r="AB28" s="167" t="e">
        <v>#N/A</v>
      </c>
      <c r="AC28" s="167">
        <v>762000</v>
      </c>
      <c r="AD28" s="167">
        <v>0</v>
      </c>
      <c r="AE28" s="152">
        <v>0.3</v>
      </c>
      <c r="AF28" s="152">
        <v>0</v>
      </c>
      <c r="AG28" s="152">
        <v>0</v>
      </c>
      <c r="AH28" s="152">
        <v>0</v>
      </c>
      <c r="AI28" s="167">
        <v>0</v>
      </c>
      <c r="AJ28" s="167" t="e">
        <v>#N/A</v>
      </c>
      <c r="AK28" s="167">
        <v>1</v>
      </c>
      <c r="AL28" s="167">
        <v>1</v>
      </c>
      <c r="AM28" s="167">
        <v>1</v>
      </c>
      <c r="AN28" s="167">
        <v>1</v>
      </c>
      <c r="AO28" s="167">
        <v>1</v>
      </c>
      <c r="AP28" s="167">
        <v>1</v>
      </c>
      <c r="AQ28" s="152">
        <v>0</v>
      </c>
      <c r="AR28" s="152">
        <v>0</v>
      </c>
      <c r="AS28" s="173">
        <v>1</v>
      </c>
      <c r="AT28" s="178" t="s">
        <v>543</v>
      </c>
      <c r="AU28" s="152">
        <v>9.1999999999999993</v>
      </c>
      <c r="AV28" s="152">
        <v>0.41</v>
      </c>
      <c r="AW28" s="188">
        <v>14.5</v>
      </c>
      <c r="AX28" s="188" t="s">
        <v>557</v>
      </c>
      <c r="AY28" s="188">
        <v>36</v>
      </c>
      <c r="AZ28" s="188">
        <v>18.899999999999999</v>
      </c>
      <c r="BA28" s="188">
        <v>57</v>
      </c>
      <c r="BB28" s="188">
        <v>74</v>
      </c>
      <c r="BC28" s="188">
        <v>3</v>
      </c>
      <c r="BD28" s="188">
        <v>1.9</v>
      </c>
      <c r="BE28" s="188">
        <v>2.8</v>
      </c>
      <c r="BF28" s="188">
        <v>3.3</v>
      </c>
      <c r="BG28" s="188">
        <v>3.7</v>
      </c>
      <c r="BH28" s="188">
        <v>4.0999999999999996</v>
      </c>
      <c r="BI28" s="188">
        <v>4.7</v>
      </c>
      <c r="BJ28" s="188">
        <v>5.96E-2</v>
      </c>
      <c r="BK28" s="188">
        <v>7.1199999999999999E-2</v>
      </c>
      <c r="BL28" s="188">
        <v>7.9000000000000001E-2</v>
      </c>
      <c r="BM28" s="188">
        <v>8.6900000000000005E-2</v>
      </c>
      <c r="BN28" s="188">
        <v>9.8500000000000004E-2</v>
      </c>
      <c r="BO28" s="188">
        <v>101</v>
      </c>
      <c r="BP28" s="188">
        <v>159</v>
      </c>
      <c r="BQ28" s="188">
        <v>190</v>
      </c>
      <c r="BR28" s="188">
        <v>222</v>
      </c>
      <c r="BS28" s="188">
        <v>327</v>
      </c>
      <c r="BT28" s="188"/>
      <c r="BU28" s="188"/>
      <c r="BV28" s="188"/>
      <c r="BW28" s="188"/>
      <c r="BX28" s="188"/>
      <c r="BY28" s="188"/>
      <c r="BZ28" s="188">
        <v>61</v>
      </c>
      <c r="CA28" s="188">
        <v>61</v>
      </c>
      <c r="CB28" s="188">
        <v>78</v>
      </c>
      <c r="CC28" s="188">
        <v>102</v>
      </c>
      <c r="CD28" s="188">
        <v>162</v>
      </c>
      <c r="CE28" s="188">
        <v>15.6</v>
      </c>
      <c r="CF28" s="188">
        <v>7</v>
      </c>
      <c r="CG28" s="188">
        <v>1.2</v>
      </c>
      <c r="CH28" s="189">
        <v>3.394639827889471E-10</v>
      </c>
    </row>
    <row r="29" spans="1:86" x14ac:dyDescent="0.3">
      <c r="A29" s="192"/>
      <c r="B29" s="192"/>
      <c r="D29" s="153"/>
      <c r="F29" s="152" t="s">
        <v>558</v>
      </c>
      <c r="L29" s="196"/>
      <c r="M29" s="196" t="s">
        <v>395</v>
      </c>
      <c r="N29" s="167"/>
      <c r="O29" s="170"/>
      <c r="P29" s="167"/>
      <c r="Q29" s="167"/>
      <c r="R29" s="197"/>
      <c r="S29" s="167"/>
      <c r="T29" s="167"/>
      <c r="U29" s="167"/>
      <c r="V29" s="167"/>
      <c r="W29" s="167"/>
      <c r="X29" s="167"/>
      <c r="Y29" s="167"/>
      <c r="Z29" s="167"/>
      <c r="AA29" s="167"/>
      <c r="AB29" s="167"/>
      <c r="AC29" s="167"/>
      <c r="AD29" s="167"/>
      <c r="AI29" s="167"/>
      <c r="AJ29" s="167"/>
      <c r="AK29" s="167"/>
      <c r="AL29" s="167"/>
      <c r="AM29" s="167"/>
      <c r="AN29" s="167"/>
      <c r="AO29" s="167"/>
      <c r="AP29" s="167"/>
      <c r="AW29" s="188">
        <v>27</v>
      </c>
      <c r="AX29" s="188" t="s">
        <v>557</v>
      </c>
      <c r="AY29" s="188">
        <v>36</v>
      </c>
      <c r="AZ29" s="188">
        <v>18.899999999999999</v>
      </c>
      <c r="BA29" s="188">
        <v>57</v>
      </c>
      <c r="BB29" s="188">
        <v>74</v>
      </c>
      <c r="BC29" s="188">
        <v>3</v>
      </c>
      <c r="BD29" s="188">
        <v>1.9</v>
      </c>
      <c r="BE29" s="188">
        <v>4.2</v>
      </c>
      <c r="BF29" s="188">
        <v>4.7</v>
      </c>
      <c r="BG29" s="188">
        <v>5.0999999999999996</v>
      </c>
      <c r="BH29" s="188">
        <v>5.5</v>
      </c>
      <c r="BI29" s="188">
        <v>6.1</v>
      </c>
      <c r="BJ29" s="188">
        <v>9.5699999999999993E-2</v>
      </c>
      <c r="BK29" s="188">
        <v>0.1074</v>
      </c>
      <c r="BL29" s="188">
        <v>0.1152</v>
      </c>
      <c r="BM29" s="188">
        <v>0.123</v>
      </c>
      <c r="BN29" s="188">
        <v>0.13469999999999999</v>
      </c>
      <c r="BO29" s="188">
        <v>166</v>
      </c>
      <c r="BP29" s="188">
        <v>224</v>
      </c>
      <c r="BQ29" s="188">
        <v>255</v>
      </c>
      <c r="BR29" s="188">
        <v>287</v>
      </c>
      <c r="BS29" s="188">
        <v>392</v>
      </c>
      <c r="BT29" s="188"/>
      <c r="BU29" s="188"/>
      <c r="BV29" s="188"/>
      <c r="BW29" s="188"/>
      <c r="BX29" s="188"/>
      <c r="BY29" s="188"/>
      <c r="BZ29" s="188">
        <v>84</v>
      </c>
      <c r="CA29" s="188">
        <v>89</v>
      </c>
      <c r="CB29" s="188">
        <v>113</v>
      </c>
      <c r="CC29" s="188">
        <v>137</v>
      </c>
      <c r="CD29" s="188">
        <v>196</v>
      </c>
      <c r="CE29" s="188">
        <v>15.6</v>
      </c>
      <c r="CF29" s="188">
        <v>7</v>
      </c>
      <c r="CG29" s="188">
        <v>1.2</v>
      </c>
      <c r="CH29" s="189">
        <v>3.394639827889471E-10</v>
      </c>
    </row>
    <row r="30" spans="1:86" x14ac:dyDescent="0.3">
      <c r="A30" s="192"/>
      <c r="B30" s="192"/>
      <c r="D30" s="153"/>
      <c r="F30" s="152" t="s">
        <v>558</v>
      </c>
      <c r="L30" s="196"/>
      <c r="M30" s="196" t="s">
        <v>395</v>
      </c>
      <c r="N30" s="167"/>
      <c r="O30" s="170"/>
      <c r="P30" s="167"/>
      <c r="Q30" s="167"/>
      <c r="R30" s="197"/>
      <c r="S30" s="167"/>
      <c r="T30" s="167"/>
      <c r="U30" s="167"/>
      <c r="V30" s="167"/>
      <c r="W30" s="167"/>
      <c r="X30" s="167"/>
      <c r="Y30" s="167"/>
      <c r="Z30" s="167"/>
      <c r="AA30" s="167"/>
      <c r="AB30" s="167"/>
      <c r="AC30" s="167"/>
      <c r="AD30" s="167"/>
      <c r="AI30" s="167"/>
      <c r="AJ30" s="167"/>
      <c r="AK30" s="167"/>
      <c r="AL30" s="167"/>
      <c r="AM30" s="167"/>
      <c r="AN30" s="167"/>
      <c r="AO30" s="167"/>
      <c r="AP30" s="167"/>
      <c r="AW30" s="188">
        <v>27</v>
      </c>
      <c r="AX30" s="188" t="s">
        <v>557</v>
      </c>
      <c r="AY30" s="188">
        <v>36</v>
      </c>
      <c r="AZ30" s="188">
        <v>18.899999999999999</v>
      </c>
      <c r="BA30" s="188">
        <v>57</v>
      </c>
      <c r="BB30" s="188">
        <v>74</v>
      </c>
      <c r="BC30" s="188">
        <v>3</v>
      </c>
      <c r="BD30" s="188">
        <v>1.9</v>
      </c>
      <c r="BE30" s="188">
        <v>4.0999999999999996</v>
      </c>
      <c r="BF30" s="188">
        <v>4.9000000000000004</v>
      </c>
      <c r="BG30" s="188">
        <v>5.4</v>
      </c>
      <c r="BH30" s="188">
        <v>6</v>
      </c>
      <c r="BI30" s="188">
        <v>6.7</v>
      </c>
      <c r="BJ30" s="188">
        <v>9.2299999999999993E-2</v>
      </c>
      <c r="BK30" s="188">
        <v>0.1086</v>
      </c>
      <c r="BL30" s="188">
        <v>0.1196</v>
      </c>
      <c r="BM30" s="188">
        <v>0.1305</v>
      </c>
      <c r="BN30" s="188">
        <v>0.1474</v>
      </c>
      <c r="BO30" s="188">
        <v>144</v>
      </c>
      <c r="BP30" s="188">
        <v>235</v>
      </c>
      <c r="BQ30" s="188">
        <v>271</v>
      </c>
      <c r="BR30" s="188">
        <v>307</v>
      </c>
      <c r="BS30" s="188">
        <v>425</v>
      </c>
      <c r="BT30" s="188"/>
      <c r="BU30" s="188"/>
      <c r="BV30" s="188"/>
      <c r="BW30" s="188"/>
      <c r="BX30" s="188"/>
      <c r="BY30" s="188"/>
      <c r="BZ30" s="188">
        <v>84</v>
      </c>
      <c r="CA30" s="188">
        <v>84</v>
      </c>
      <c r="CB30" s="188">
        <v>120</v>
      </c>
      <c r="CC30" s="188">
        <v>155</v>
      </c>
      <c r="CD30" s="188">
        <v>243</v>
      </c>
      <c r="CE30" s="188">
        <v>22.8</v>
      </c>
      <c r="CF30" s="188">
        <v>7.2</v>
      </c>
      <c r="CG30" s="188">
        <v>1.2</v>
      </c>
      <c r="CH30" s="189">
        <v>3.4329349955242621E-10</v>
      </c>
    </row>
    <row r="31" spans="1:86" x14ac:dyDescent="0.3">
      <c r="A31" s="192"/>
      <c r="B31" s="192"/>
      <c r="D31" s="153"/>
      <c r="F31" s="152" t="s">
        <v>559</v>
      </c>
      <c r="L31" s="196"/>
      <c r="M31" s="196" t="s">
        <v>395</v>
      </c>
      <c r="N31" s="167"/>
      <c r="O31" s="170"/>
      <c r="P31" s="167"/>
      <c r="Q31" s="167"/>
      <c r="R31" s="197"/>
      <c r="S31" s="167"/>
      <c r="T31" s="167"/>
      <c r="U31" s="167"/>
      <c r="V31" s="167"/>
      <c r="W31" s="167"/>
      <c r="X31" s="167"/>
      <c r="Y31" s="167"/>
      <c r="Z31" s="167"/>
      <c r="AA31" s="167"/>
      <c r="AB31" s="167"/>
      <c r="AC31" s="167"/>
      <c r="AD31" s="167"/>
      <c r="AI31" s="167"/>
      <c r="AJ31" s="167"/>
      <c r="AK31" s="167"/>
      <c r="AL31" s="167"/>
      <c r="AM31" s="167"/>
      <c r="AN31" s="167"/>
      <c r="AO31" s="167"/>
      <c r="AP31" s="167"/>
      <c r="AW31" s="188">
        <v>32</v>
      </c>
      <c r="AX31" s="188" t="s">
        <v>557</v>
      </c>
      <c r="AY31" s="188">
        <v>36</v>
      </c>
      <c r="AZ31" s="188">
        <v>18.899999999999999</v>
      </c>
      <c r="BA31" s="188">
        <v>57</v>
      </c>
      <c r="BB31" s="188">
        <v>74</v>
      </c>
      <c r="BC31" s="188">
        <v>3</v>
      </c>
      <c r="BD31" s="188">
        <v>1.9</v>
      </c>
      <c r="BE31" s="188">
        <v>5.8</v>
      </c>
      <c r="BF31" s="188">
        <v>6.6</v>
      </c>
      <c r="BG31" s="188">
        <v>7.1</v>
      </c>
      <c r="BH31" s="188">
        <v>7.7</v>
      </c>
      <c r="BI31" s="188">
        <v>8.4</v>
      </c>
      <c r="BJ31" s="188">
        <v>0.12570000000000001</v>
      </c>
      <c r="BK31" s="188">
        <v>0.14199999999999999</v>
      </c>
      <c r="BL31" s="188">
        <v>0.153</v>
      </c>
      <c r="BM31" s="188">
        <v>0.16400000000000001</v>
      </c>
      <c r="BN31" s="188">
        <v>0.18079999999999999</v>
      </c>
      <c r="BO31" s="188">
        <v>235</v>
      </c>
      <c r="BP31" s="188">
        <v>326</v>
      </c>
      <c r="BQ31" s="188">
        <v>361</v>
      </c>
      <c r="BR31" s="188">
        <v>398</v>
      </c>
      <c r="BS31" s="188">
        <v>515</v>
      </c>
      <c r="BT31" s="188"/>
      <c r="BU31" s="188"/>
      <c r="BV31" s="188"/>
      <c r="BW31" s="188"/>
      <c r="BX31" s="188"/>
      <c r="BY31" s="188"/>
      <c r="BZ31" s="188">
        <v>107</v>
      </c>
      <c r="CA31" s="188">
        <v>129</v>
      </c>
      <c r="CB31" s="188">
        <v>165</v>
      </c>
      <c r="CC31" s="188">
        <v>200</v>
      </c>
      <c r="CD31" s="188">
        <v>288</v>
      </c>
      <c r="CE31" s="188">
        <v>22.8</v>
      </c>
      <c r="CF31" s="188">
        <v>7.2</v>
      </c>
      <c r="CG31" s="188">
        <v>1.2</v>
      </c>
      <c r="CH31" s="189">
        <v>3.4329349955242621E-10</v>
      </c>
    </row>
    <row r="32" spans="1:86" x14ac:dyDescent="0.3">
      <c r="A32" s="192"/>
      <c r="B32" s="192"/>
      <c r="D32" s="153"/>
      <c r="F32" s="152" t="s">
        <v>560</v>
      </c>
      <c r="L32" s="196"/>
      <c r="M32" s="196" t="s">
        <v>395</v>
      </c>
      <c r="N32" s="167"/>
      <c r="O32" s="170"/>
      <c r="P32" s="167"/>
      <c r="Q32" s="167"/>
      <c r="R32" s="19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I32" s="167"/>
      <c r="AJ32" s="167"/>
      <c r="AK32" s="167"/>
      <c r="AL32" s="167"/>
      <c r="AM32" s="167"/>
      <c r="AN32" s="167"/>
      <c r="AO32" s="167"/>
      <c r="AP32" s="167"/>
      <c r="AW32" s="174">
        <v>32</v>
      </c>
      <c r="AX32" s="174" t="s">
        <v>557</v>
      </c>
      <c r="AY32" s="174">
        <v>34</v>
      </c>
      <c r="AZ32" s="174">
        <v>18.5</v>
      </c>
      <c r="BA32" s="174">
        <v>39</v>
      </c>
      <c r="BB32" s="174">
        <v>66</v>
      </c>
      <c r="BC32" s="174">
        <v>3</v>
      </c>
      <c r="BD32" s="174">
        <v>1.9</v>
      </c>
      <c r="BE32" s="174">
        <v>8.5</v>
      </c>
      <c r="BF32" s="174">
        <v>9.6</v>
      </c>
      <c r="BG32" s="174">
        <v>10.3</v>
      </c>
      <c r="BH32" s="174">
        <v>11.1</v>
      </c>
      <c r="BI32" s="174">
        <v>12.4</v>
      </c>
      <c r="BJ32" s="174">
        <v>0.18099999999999999</v>
      </c>
      <c r="BK32" s="174">
        <v>0.2044</v>
      </c>
      <c r="BL32" s="174">
        <v>0.22009999999999999</v>
      </c>
      <c r="BM32" s="174">
        <v>0.23580000000000001</v>
      </c>
      <c r="BN32" s="174">
        <v>0.26440000000000002</v>
      </c>
      <c r="BO32" s="174">
        <v>400</v>
      </c>
      <c r="BP32" s="174">
        <v>506</v>
      </c>
      <c r="BQ32" s="174">
        <v>540</v>
      </c>
      <c r="BR32" s="174">
        <v>579</v>
      </c>
      <c r="BS32" s="174">
        <v>719</v>
      </c>
      <c r="BT32" s="174"/>
      <c r="BU32" s="174"/>
      <c r="BV32" s="174"/>
      <c r="BW32" s="174"/>
      <c r="BX32" s="174"/>
      <c r="BY32" s="174"/>
      <c r="BZ32" s="174">
        <v>167</v>
      </c>
      <c r="CA32" s="174">
        <v>192</v>
      </c>
      <c r="CB32" s="174">
        <v>254</v>
      </c>
      <c r="CC32" s="174">
        <v>316</v>
      </c>
      <c r="CD32" s="174">
        <v>459</v>
      </c>
      <c r="CE32" s="174">
        <v>35.299999999999997</v>
      </c>
      <c r="CF32" s="174">
        <v>10.1</v>
      </c>
      <c r="CG32" s="174">
        <v>1.3</v>
      </c>
      <c r="CH32" s="175">
        <v>7.1703452642004872E-10</v>
      </c>
    </row>
    <row r="33" spans="1:86" x14ac:dyDescent="0.3">
      <c r="A33" s="192"/>
      <c r="B33" s="192"/>
      <c r="D33" s="153"/>
      <c r="F33" s="152" t="s">
        <v>561</v>
      </c>
      <c r="L33" s="196"/>
      <c r="M33" s="196" t="s">
        <v>395</v>
      </c>
      <c r="N33" s="167"/>
      <c r="O33" s="170"/>
      <c r="P33" s="167"/>
      <c r="Q33" s="167"/>
      <c r="R33" s="197"/>
      <c r="S33" s="167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I33" s="167"/>
      <c r="AJ33" s="167"/>
      <c r="AK33" s="167"/>
      <c r="AL33" s="167"/>
      <c r="AM33" s="167"/>
      <c r="AN33" s="167"/>
      <c r="AO33" s="167"/>
      <c r="AP33" s="167"/>
      <c r="AW33" s="174">
        <v>33.299999999999997</v>
      </c>
      <c r="AX33" s="174" t="s">
        <v>557</v>
      </c>
      <c r="AY33" s="174">
        <v>34</v>
      </c>
      <c r="AZ33" s="174">
        <v>18.5</v>
      </c>
      <c r="BA33" s="174">
        <v>39</v>
      </c>
      <c r="BB33" s="174">
        <v>66</v>
      </c>
      <c r="BC33" s="174">
        <v>3</v>
      </c>
      <c r="BD33" s="174">
        <v>1.9</v>
      </c>
      <c r="BE33" s="174">
        <v>5.8</v>
      </c>
      <c r="BF33" s="174">
        <v>6.8</v>
      </c>
      <c r="BG33" s="174">
        <v>7.6</v>
      </c>
      <c r="BH33" s="174">
        <v>8.4</v>
      </c>
      <c r="BI33" s="174">
        <v>9.6999999999999993</v>
      </c>
      <c r="BJ33" s="174">
        <v>0.1318</v>
      </c>
      <c r="BK33" s="174">
        <v>0.15529999999999999</v>
      </c>
      <c r="BL33" s="174">
        <v>0.17100000000000001</v>
      </c>
      <c r="BM33" s="174">
        <v>0.18659999999999999</v>
      </c>
      <c r="BN33" s="174">
        <v>0.21529999999999999</v>
      </c>
      <c r="BO33" s="174">
        <v>246</v>
      </c>
      <c r="BP33" s="174">
        <v>352</v>
      </c>
      <c r="BQ33" s="174">
        <v>386</v>
      </c>
      <c r="BR33" s="174">
        <v>425</v>
      </c>
      <c r="BS33" s="174">
        <v>565</v>
      </c>
      <c r="BT33" s="174"/>
      <c r="BU33" s="174"/>
      <c r="BV33" s="174"/>
      <c r="BW33" s="174"/>
      <c r="BX33" s="174"/>
      <c r="BY33" s="174"/>
      <c r="BZ33" s="174">
        <v>98</v>
      </c>
      <c r="CA33" s="174">
        <v>116</v>
      </c>
      <c r="CB33" s="174">
        <v>178</v>
      </c>
      <c r="CC33" s="174">
        <v>240</v>
      </c>
      <c r="CD33" s="174">
        <v>383</v>
      </c>
      <c r="CE33" s="174">
        <v>35.299999999999997</v>
      </c>
      <c r="CF33" s="174">
        <v>10.1</v>
      </c>
      <c r="CG33" s="174">
        <v>1.3</v>
      </c>
      <c r="CH33" s="175">
        <v>7.1703452642004872E-10</v>
      </c>
    </row>
    <row r="34" spans="1:86" x14ac:dyDescent="0.3">
      <c r="F34" s="152" t="s">
        <v>562</v>
      </c>
      <c r="L34" s="196"/>
      <c r="M34" s="196" t="s">
        <v>395</v>
      </c>
      <c r="N34" s="167"/>
      <c r="O34" s="170"/>
      <c r="P34" s="167"/>
      <c r="Q34" s="167"/>
      <c r="R34" s="197"/>
      <c r="S34" s="167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I34" s="167"/>
      <c r="AJ34" s="167"/>
      <c r="AK34" s="167"/>
      <c r="AL34" s="167"/>
      <c r="AM34" s="167"/>
      <c r="AN34" s="167"/>
      <c r="AO34" s="167"/>
      <c r="AP34" s="167"/>
      <c r="AW34" s="174">
        <v>33.299999999999997</v>
      </c>
      <c r="AX34" s="174" t="s">
        <v>557</v>
      </c>
      <c r="AY34" s="174">
        <v>34</v>
      </c>
      <c r="AZ34" s="174">
        <v>18.5</v>
      </c>
      <c r="BA34" s="174">
        <v>39</v>
      </c>
      <c r="BB34" s="174">
        <v>66</v>
      </c>
      <c r="BC34" s="174">
        <v>3</v>
      </c>
      <c r="BD34" s="174">
        <v>1.9</v>
      </c>
      <c r="BE34" s="174">
        <v>5.6</v>
      </c>
      <c r="BF34" s="174">
        <v>6.5</v>
      </c>
      <c r="BG34" s="174">
        <v>7.2</v>
      </c>
      <c r="BH34" s="174">
        <v>7.8</v>
      </c>
      <c r="BI34" s="174">
        <v>8.8000000000000007</v>
      </c>
      <c r="BJ34" s="174">
        <v>0.1171</v>
      </c>
      <c r="BK34" s="174">
        <v>0.13919999999999999</v>
      </c>
      <c r="BL34" s="174">
        <v>0.154</v>
      </c>
      <c r="BM34" s="174">
        <v>0.16880000000000001</v>
      </c>
      <c r="BN34" s="174">
        <v>0.19089999999999999</v>
      </c>
      <c r="BO34" s="174">
        <v>218</v>
      </c>
      <c r="BP34" s="174">
        <v>327</v>
      </c>
      <c r="BQ34" s="174">
        <v>362</v>
      </c>
      <c r="BR34" s="174">
        <v>400</v>
      </c>
      <c r="BS34" s="174">
        <v>517</v>
      </c>
      <c r="BT34" s="174"/>
      <c r="BU34" s="174"/>
      <c r="BV34" s="174"/>
      <c r="BW34" s="174"/>
      <c r="BX34" s="174"/>
      <c r="BY34" s="174"/>
      <c r="BZ34" s="174">
        <v>95</v>
      </c>
      <c r="CA34" s="174">
        <v>114</v>
      </c>
      <c r="CB34" s="174">
        <v>166</v>
      </c>
      <c r="CC34" s="174">
        <v>219</v>
      </c>
      <c r="CD34" s="174">
        <v>338</v>
      </c>
      <c r="CE34" s="174">
        <v>28.8</v>
      </c>
      <c r="CF34" s="174">
        <v>8</v>
      </c>
      <c r="CG34" s="174">
        <v>1.2</v>
      </c>
      <c r="CH34" s="175">
        <v>2.689115497112654E-10</v>
      </c>
    </row>
    <row r="35" spans="1:86" x14ac:dyDescent="0.3">
      <c r="F35" s="152" t="s">
        <v>563</v>
      </c>
      <c r="L35" s="196"/>
      <c r="M35" s="196" t="s">
        <v>395</v>
      </c>
      <c r="N35" s="167"/>
      <c r="O35" s="170"/>
      <c r="P35" s="167"/>
      <c r="Q35" s="167"/>
      <c r="R35" s="197"/>
      <c r="S35" s="167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I35" s="167"/>
      <c r="AJ35" s="167"/>
      <c r="AK35" s="167"/>
      <c r="AL35" s="167"/>
      <c r="AM35" s="167"/>
      <c r="AN35" s="167"/>
      <c r="AO35" s="167"/>
      <c r="AP35" s="167"/>
      <c r="AW35" s="174">
        <v>34</v>
      </c>
      <c r="AX35" s="174" t="s">
        <v>557</v>
      </c>
      <c r="AY35" s="174">
        <v>34</v>
      </c>
      <c r="AZ35" s="174">
        <v>18.5</v>
      </c>
      <c r="BA35" s="174">
        <v>39</v>
      </c>
      <c r="BB35" s="174">
        <v>66</v>
      </c>
      <c r="BC35" s="174">
        <v>3</v>
      </c>
      <c r="BD35" s="174">
        <v>1.9</v>
      </c>
      <c r="BE35" s="174">
        <v>6.8</v>
      </c>
      <c r="BF35" s="174">
        <v>7.7</v>
      </c>
      <c r="BG35" s="174">
        <v>8.4</v>
      </c>
      <c r="BH35" s="174">
        <v>9.1</v>
      </c>
      <c r="BI35" s="174">
        <v>10</v>
      </c>
      <c r="BJ35" s="174">
        <v>0.17699999999999999</v>
      </c>
      <c r="BK35" s="174">
        <v>0.19919999999999999</v>
      </c>
      <c r="BL35" s="174">
        <v>0.214</v>
      </c>
      <c r="BM35" s="174">
        <v>0.2288</v>
      </c>
      <c r="BN35" s="174">
        <v>0.25090000000000001</v>
      </c>
      <c r="BO35" s="174">
        <v>286</v>
      </c>
      <c r="BP35" s="174">
        <v>396</v>
      </c>
      <c r="BQ35" s="174">
        <v>431</v>
      </c>
      <c r="BR35" s="174">
        <v>468</v>
      </c>
      <c r="BS35" s="174">
        <v>586</v>
      </c>
      <c r="BT35" s="174"/>
      <c r="BU35" s="174"/>
      <c r="BV35" s="174"/>
      <c r="BW35" s="174"/>
      <c r="BX35" s="174"/>
      <c r="BY35" s="174"/>
      <c r="BZ35" s="174">
        <v>126</v>
      </c>
      <c r="CA35" s="174">
        <v>148</v>
      </c>
      <c r="CB35" s="174">
        <v>200</v>
      </c>
      <c r="CC35" s="174">
        <v>253</v>
      </c>
      <c r="CD35" s="174">
        <v>372</v>
      </c>
      <c r="CE35" s="174">
        <v>28.8</v>
      </c>
      <c r="CF35" s="174">
        <v>8</v>
      </c>
      <c r="CG35" s="174">
        <v>1.2</v>
      </c>
      <c r="CH35" s="175">
        <v>2.689115497112654E-10</v>
      </c>
    </row>
    <row r="36" spans="1:86" x14ac:dyDescent="0.3">
      <c r="F36" s="152" t="s">
        <v>564</v>
      </c>
      <c r="L36" s="196"/>
      <c r="M36" s="196" t="s">
        <v>395</v>
      </c>
      <c r="N36" s="167"/>
      <c r="O36" s="170"/>
      <c r="P36" s="167"/>
      <c r="Q36" s="167"/>
      <c r="R36" s="19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I36" s="167"/>
      <c r="AJ36" s="167"/>
      <c r="AK36" s="167"/>
      <c r="AL36" s="167"/>
      <c r="AM36" s="167"/>
      <c r="AN36" s="167"/>
      <c r="AO36" s="167"/>
      <c r="AP36" s="167"/>
      <c r="AW36" s="174">
        <v>34</v>
      </c>
      <c r="AX36" s="174" t="s">
        <v>557</v>
      </c>
      <c r="AY36" s="174">
        <v>34</v>
      </c>
      <c r="AZ36" s="174">
        <v>18.5</v>
      </c>
      <c r="BA36" s="174">
        <v>39</v>
      </c>
      <c r="BB36" s="174">
        <v>66</v>
      </c>
      <c r="BC36" s="174">
        <v>3</v>
      </c>
      <c r="BD36" s="174">
        <v>1.9</v>
      </c>
      <c r="BE36" s="174">
        <v>6.4</v>
      </c>
      <c r="BF36" s="174">
        <v>9</v>
      </c>
      <c r="BG36" s="174">
        <v>10.7</v>
      </c>
      <c r="BH36" s="174">
        <v>12.5</v>
      </c>
      <c r="BI36" s="174">
        <v>16.8</v>
      </c>
      <c r="BJ36" s="174">
        <v>0.1086</v>
      </c>
      <c r="BK36" s="174">
        <v>0.15210000000000001</v>
      </c>
      <c r="BL36" s="174">
        <v>0.18110000000000001</v>
      </c>
      <c r="BM36" s="174">
        <v>0.2102</v>
      </c>
      <c r="BN36" s="174">
        <v>0.28100000000000003</v>
      </c>
      <c r="BO36" s="174">
        <v>334</v>
      </c>
      <c r="BP36" s="174">
        <v>502</v>
      </c>
      <c r="BQ36" s="174">
        <v>557</v>
      </c>
      <c r="BR36" s="174">
        <v>614</v>
      </c>
      <c r="BS36" s="174">
        <v>917</v>
      </c>
      <c r="BT36" s="174"/>
      <c r="BU36" s="174"/>
      <c r="BV36" s="174"/>
      <c r="BW36" s="174"/>
      <c r="BX36" s="174"/>
      <c r="BY36" s="174"/>
      <c r="BZ36" s="174">
        <v>158</v>
      </c>
      <c r="CA36" s="174">
        <v>195</v>
      </c>
      <c r="CB36" s="174">
        <v>264</v>
      </c>
      <c r="CC36" s="174">
        <v>334</v>
      </c>
      <c r="CD36" s="174">
        <v>548</v>
      </c>
      <c r="CE36" s="174">
        <v>40.299999999999997</v>
      </c>
      <c r="CF36" s="174">
        <v>10.5</v>
      </c>
      <c r="CG36" s="174">
        <v>1.4</v>
      </c>
      <c r="CH36" s="175">
        <v>1.297690305426019E-9</v>
      </c>
    </row>
    <row r="37" spans="1:86" x14ac:dyDescent="0.3">
      <c r="F37" s="152" t="s">
        <v>553</v>
      </c>
      <c r="L37" s="196"/>
      <c r="AE37" s="167"/>
      <c r="AF37" s="167" t="s">
        <v>394</v>
      </c>
      <c r="AG37" s="167" t="s">
        <v>393</v>
      </c>
      <c r="AH37" s="167" t="s">
        <v>59</v>
      </c>
      <c r="AW37" s="174">
        <v>36.5</v>
      </c>
      <c r="AX37" s="174" t="s">
        <v>557</v>
      </c>
      <c r="AY37" s="174">
        <v>34</v>
      </c>
      <c r="AZ37" s="174">
        <v>18.5</v>
      </c>
      <c r="BA37" s="174">
        <v>39</v>
      </c>
      <c r="BB37" s="174">
        <v>66</v>
      </c>
      <c r="BC37" s="174">
        <v>3</v>
      </c>
      <c r="BD37" s="174">
        <v>1.9</v>
      </c>
      <c r="BE37" s="174">
        <v>6.4</v>
      </c>
      <c r="BF37" s="174">
        <v>9</v>
      </c>
      <c r="BG37" s="174">
        <v>10.7</v>
      </c>
      <c r="BH37" s="174">
        <v>12.5</v>
      </c>
      <c r="BI37" s="174">
        <v>16.8</v>
      </c>
      <c r="BJ37" s="174">
        <v>0.1086</v>
      </c>
      <c r="BK37" s="174">
        <v>0.15210000000000001</v>
      </c>
      <c r="BL37" s="174">
        <v>0.18110000000000001</v>
      </c>
      <c r="BM37" s="174">
        <v>0.2102</v>
      </c>
      <c r="BN37" s="174">
        <v>0.28100000000000003</v>
      </c>
      <c r="BO37" s="174">
        <v>334</v>
      </c>
      <c r="BP37" s="174">
        <v>502</v>
      </c>
      <c r="BQ37" s="174">
        <v>557</v>
      </c>
      <c r="BR37" s="174">
        <v>614</v>
      </c>
      <c r="BS37" s="174">
        <v>917</v>
      </c>
      <c r="BT37" s="174"/>
      <c r="BU37" s="174"/>
      <c r="BV37" s="174"/>
      <c r="BW37" s="174"/>
      <c r="BX37" s="174"/>
      <c r="BY37" s="174"/>
      <c r="BZ37" s="174">
        <v>158</v>
      </c>
      <c r="CA37" s="174">
        <v>195</v>
      </c>
      <c r="CB37" s="174">
        <v>264</v>
      </c>
      <c r="CC37" s="174">
        <v>334</v>
      </c>
      <c r="CD37" s="174">
        <v>548</v>
      </c>
      <c r="CE37" s="174">
        <v>40.299999999999997</v>
      </c>
      <c r="CF37" s="174">
        <v>10.5</v>
      </c>
      <c r="CG37" s="174">
        <v>1.4</v>
      </c>
      <c r="CH37" s="175">
        <v>1.297690305426019E-9</v>
      </c>
    </row>
    <row r="38" spans="1:86" x14ac:dyDescent="0.3">
      <c r="F38" s="152" t="s">
        <v>553</v>
      </c>
      <c r="L38" s="196"/>
      <c r="AE38" s="152" t="s">
        <v>392</v>
      </c>
      <c r="AF38" s="152" t="s">
        <v>391</v>
      </c>
      <c r="AG38" s="152" t="s">
        <v>390</v>
      </c>
      <c r="AR38" s="152">
        <v>0.16853899999999999</v>
      </c>
      <c r="AW38" s="188">
        <v>36.5</v>
      </c>
      <c r="AX38" s="188" t="s">
        <v>557</v>
      </c>
      <c r="AY38" s="188">
        <v>30</v>
      </c>
      <c r="AZ38" s="188">
        <v>18.7</v>
      </c>
      <c r="BA38" s="188">
        <v>55</v>
      </c>
      <c r="BB38" s="188">
        <v>79</v>
      </c>
      <c r="BC38" s="188">
        <v>3</v>
      </c>
      <c r="BD38" s="188">
        <v>1.9</v>
      </c>
      <c r="BE38" s="188">
        <v>10.8</v>
      </c>
      <c r="BF38" s="188">
        <v>13.6</v>
      </c>
      <c r="BG38" s="188">
        <v>15.5</v>
      </c>
      <c r="BH38" s="188">
        <v>17.399999999999999</v>
      </c>
      <c r="BI38" s="188">
        <v>21.1</v>
      </c>
      <c r="BJ38" s="188">
        <v>0.1507</v>
      </c>
      <c r="BK38" s="188">
        <v>0.21110000000000001</v>
      </c>
      <c r="BL38" s="188">
        <v>0.25130000000000002</v>
      </c>
      <c r="BM38" s="188">
        <v>0.29160000000000003</v>
      </c>
      <c r="BN38" s="188">
        <v>0.34210000000000002</v>
      </c>
      <c r="BO38" s="188">
        <v>574</v>
      </c>
      <c r="BP38" s="188">
        <v>739</v>
      </c>
      <c r="BQ38" s="188">
        <v>821</v>
      </c>
      <c r="BR38" s="188">
        <v>904</v>
      </c>
      <c r="BS38" s="188">
        <v>1165</v>
      </c>
      <c r="BT38" s="188"/>
      <c r="BU38" s="188"/>
      <c r="BV38" s="188"/>
      <c r="BW38" s="188"/>
      <c r="BX38" s="188"/>
      <c r="BY38" s="188"/>
      <c r="BZ38" s="188">
        <v>243</v>
      </c>
      <c r="CA38" s="188">
        <v>333</v>
      </c>
      <c r="CB38" s="188">
        <v>405</v>
      </c>
      <c r="CC38" s="188">
        <v>478</v>
      </c>
      <c r="CD38" s="188">
        <v>694</v>
      </c>
      <c r="CE38" s="188">
        <v>58.9</v>
      </c>
      <c r="CF38" s="188">
        <v>14.5</v>
      </c>
      <c r="CG38" s="188">
        <v>1.5</v>
      </c>
      <c r="CH38" s="189">
        <v>3.6842635555802979E-9</v>
      </c>
    </row>
    <row r="39" spans="1:86" x14ac:dyDescent="0.3">
      <c r="F39" s="152" t="s">
        <v>553</v>
      </c>
      <c r="L39" s="196"/>
      <c r="AE39" s="152">
        <v>15</v>
      </c>
      <c r="AF39" s="152">
        <v>48</v>
      </c>
      <c r="AG39" s="152">
        <v>1900</v>
      </c>
      <c r="AH39" s="152">
        <v>8</v>
      </c>
      <c r="AR39" s="152">
        <v>0.29729699999999998</v>
      </c>
      <c r="AW39" s="188">
        <v>39.799999999999997</v>
      </c>
      <c r="AX39" s="188" t="s">
        <v>557</v>
      </c>
      <c r="AY39" s="188">
        <v>30</v>
      </c>
      <c r="AZ39" s="188">
        <v>18.7</v>
      </c>
      <c r="BA39" s="188">
        <v>55</v>
      </c>
      <c r="BB39" s="188">
        <v>79</v>
      </c>
      <c r="BC39" s="188">
        <v>3</v>
      </c>
      <c r="BD39" s="188">
        <v>1.9</v>
      </c>
      <c r="BE39" s="188">
        <v>10.8</v>
      </c>
      <c r="BF39" s="188">
        <v>13.6</v>
      </c>
      <c r="BG39" s="188">
        <v>15.5</v>
      </c>
      <c r="BH39" s="188">
        <v>17.399999999999999</v>
      </c>
      <c r="BI39" s="188">
        <v>21.1</v>
      </c>
      <c r="BJ39" s="188">
        <v>0.1507</v>
      </c>
      <c r="BK39" s="188">
        <v>0.21110000000000001</v>
      </c>
      <c r="BL39" s="188">
        <v>0.25130000000000002</v>
      </c>
      <c r="BM39" s="188">
        <v>0.29160000000000003</v>
      </c>
      <c r="BN39" s="188">
        <v>0.34210000000000002</v>
      </c>
      <c r="BO39" s="188">
        <v>574</v>
      </c>
      <c r="BP39" s="188">
        <v>739</v>
      </c>
      <c r="BQ39" s="188">
        <v>821</v>
      </c>
      <c r="BR39" s="188">
        <v>904</v>
      </c>
      <c r="BS39" s="188">
        <v>1165</v>
      </c>
      <c r="BT39" s="188"/>
      <c r="BU39" s="188"/>
      <c r="BV39" s="188"/>
      <c r="BW39" s="188"/>
      <c r="BX39" s="188"/>
      <c r="BY39" s="188"/>
      <c r="BZ39" s="188">
        <v>243</v>
      </c>
      <c r="CA39" s="188">
        <v>333</v>
      </c>
      <c r="CB39" s="188">
        <v>405</v>
      </c>
      <c r="CC39" s="188">
        <v>478</v>
      </c>
      <c r="CD39" s="188">
        <v>694</v>
      </c>
      <c r="CE39" s="188">
        <v>58.9</v>
      </c>
      <c r="CF39" s="188">
        <v>14.5</v>
      </c>
      <c r="CG39" s="188">
        <v>1.5</v>
      </c>
      <c r="CH39" s="189">
        <v>3.6842635555802979E-9</v>
      </c>
    </row>
    <row r="40" spans="1:86" x14ac:dyDescent="0.3">
      <c r="F40" s="152" t="s">
        <v>553</v>
      </c>
      <c r="L40" s="196"/>
      <c r="AE40" s="152">
        <v>16</v>
      </c>
      <c r="AF40" s="152">
        <f>AF39+3.8</f>
        <v>51.8</v>
      </c>
      <c r="AG40" s="152">
        <f>AG39+200</f>
        <v>2100</v>
      </c>
      <c r="AH40" s="152">
        <f>AH39+0.8</f>
        <v>8.8000000000000007</v>
      </c>
      <c r="AR40" s="152">
        <v>0.43835600000000002</v>
      </c>
      <c r="AW40" s="174">
        <v>39.799999999999997</v>
      </c>
      <c r="AX40" s="174" t="s">
        <v>557</v>
      </c>
      <c r="AY40" s="174">
        <v>30</v>
      </c>
      <c r="AZ40" s="174">
        <v>18.7</v>
      </c>
      <c r="BA40" s="174">
        <v>55</v>
      </c>
      <c r="BB40" s="174">
        <v>79</v>
      </c>
      <c r="BC40" s="174">
        <v>3</v>
      </c>
      <c r="BD40" s="174">
        <v>1.9</v>
      </c>
      <c r="BE40" s="174">
        <v>8.6</v>
      </c>
      <c r="BF40" s="174">
        <v>9.8000000000000007</v>
      </c>
      <c r="BG40" s="174">
        <v>10.7</v>
      </c>
      <c r="BH40" s="174">
        <v>11.6</v>
      </c>
      <c r="BI40" s="174">
        <v>13</v>
      </c>
      <c r="BJ40" s="174">
        <v>0.16189999999999999</v>
      </c>
      <c r="BK40" s="174">
        <v>0.18679999999999999</v>
      </c>
      <c r="BL40" s="174">
        <v>0.20349999999999999</v>
      </c>
      <c r="BM40" s="174">
        <v>0.22009999999999999</v>
      </c>
      <c r="BN40" s="174">
        <v>0.2697</v>
      </c>
      <c r="BO40" s="174">
        <v>386</v>
      </c>
      <c r="BP40" s="174">
        <v>515</v>
      </c>
      <c r="BQ40" s="174">
        <v>552</v>
      </c>
      <c r="BR40" s="174">
        <v>592</v>
      </c>
      <c r="BS40" s="174">
        <v>740</v>
      </c>
      <c r="BT40" s="174"/>
      <c r="BU40" s="174"/>
      <c r="BV40" s="174"/>
      <c r="BW40" s="174"/>
      <c r="BX40" s="174"/>
      <c r="BY40" s="174"/>
      <c r="BZ40" s="174">
        <v>164</v>
      </c>
      <c r="CA40" s="174">
        <v>194</v>
      </c>
      <c r="CB40" s="174">
        <v>265</v>
      </c>
      <c r="CC40" s="174">
        <v>336</v>
      </c>
      <c r="CD40" s="174">
        <v>500</v>
      </c>
      <c r="CE40" s="174">
        <v>37.4</v>
      </c>
      <c r="CF40" s="174">
        <v>8.8000000000000007</v>
      </c>
      <c r="CG40" s="174">
        <v>1.3</v>
      </c>
      <c r="CH40" s="175">
        <v>4.6804948559431741E-10</v>
      </c>
    </row>
    <row r="41" spans="1:86" x14ac:dyDescent="0.3">
      <c r="F41" s="152" t="s">
        <v>553</v>
      </c>
      <c r="L41" s="196"/>
      <c r="AE41" s="152">
        <v>17</v>
      </c>
      <c r="AF41" s="152">
        <f>AF40+3.8</f>
        <v>55.599999999999994</v>
      </c>
      <c r="AG41" s="152">
        <f>AG40+200</f>
        <v>2300</v>
      </c>
      <c r="AH41" s="152">
        <f>AH40+0.8</f>
        <v>9.6000000000000014</v>
      </c>
      <c r="AR41" s="152">
        <v>0.29729699999999998</v>
      </c>
      <c r="AW41" s="174">
        <v>41</v>
      </c>
      <c r="AX41" s="174" t="s">
        <v>557</v>
      </c>
      <c r="AY41" s="174">
        <v>30</v>
      </c>
      <c r="AZ41" s="174">
        <v>18.7</v>
      </c>
      <c r="BA41" s="174">
        <v>55</v>
      </c>
      <c r="BB41" s="174">
        <v>79</v>
      </c>
      <c r="BC41" s="174">
        <v>3</v>
      </c>
      <c r="BD41" s="174">
        <v>1.9</v>
      </c>
      <c r="BE41" s="174">
        <v>7.6</v>
      </c>
      <c r="BF41" s="174">
        <v>8.9</v>
      </c>
      <c r="BG41" s="174">
        <v>9.6999999999999993</v>
      </c>
      <c r="BH41" s="174">
        <v>10.6</v>
      </c>
      <c r="BI41" s="174">
        <v>12</v>
      </c>
      <c r="BJ41" s="174">
        <v>0.159</v>
      </c>
      <c r="BK41" s="174">
        <v>0.18390000000000001</v>
      </c>
      <c r="BL41" s="174">
        <v>0.20050000000000001</v>
      </c>
      <c r="BM41" s="174">
        <v>0.2172</v>
      </c>
      <c r="BN41" s="174">
        <v>0.26679999999999998</v>
      </c>
      <c r="BO41" s="174">
        <v>330</v>
      </c>
      <c r="BP41" s="174">
        <v>460</v>
      </c>
      <c r="BQ41" s="174">
        <v>496</v>
      </c>
      <c r="BR41" s="174">
        <v>537</v>
      </c>
      <c r="BS41" s="174">
        <v>684</v>
      </c>
      <c r="BT41" s="174"/>
      <c r="BU41" s="174"/>
      <c r="BV41" s="174"/>
      <c r="BW41" s="174"/>
      <c r="BX41" s="174"/>
      <c r="BY41" s="174"/>
      <c r="BZ41" s="174">
        <v>136</v>
      </c>
      <c r="CA41" s="174">
        <v>166</v>
      </c>
      <c r="CB41" s="174">
        <v>237</v>
      </c>
      <c r="CC41" s="174">
        <v>308</v>
      </c>
      <c r="CD41" s="174">
        <v>472</v>
      </c>
      <c r="CE41" s="174">
        <v>37.4</v>
      </c>
      <c r="CF41" s="174">
        <v>8.8000000000000007</v>
      </c>
      <c r="CG41" s="174">
        <v>1.3</v>
      </c>
      <c r="CH41" s="175">
        <v>4.6804948559431741E-10</v>
      </c>
    </row>
    <row r="42" spans="1:86" x14ac:dyDescent="0.3">
      <c r="F42" s="152" t="s">
        <v>553</v>
      </c>
      <c r="L42" s="196"/>
      <c r="AE42" s="152">
        <v>18</v>
      </c>
      <c r="AF42" s="152">
        <f>AF41+3.8</f>
        <v>59.399999999999991</v>
      </c>
      <c r="AG42" s="152">
        <f>AG41+200</f>
        <v>2500</v>
      </c>
      <c r="AH42" s="152">
        <f>AH41+0.8</f>
        <v>10.400000000000002</v>
      </c>
      <c r="AR42" s="152">
        <v>0.324324</v>
      </c>
      <c r="AW42" s="174">
        <v>41</v>
      </c>
      <c r="AX42" s="174" t="s">
        <v>557</v>
      </c>
      <c r="AY42" s="174">
        <v>30</v>
      </c>
      <c r="AZ42" s="174">
        <v>18.7</v>
      </c>
      <c r="BA42" s="174">
        <v>55</v>
      </c>
      <c r="BB42" s="174">
        <v>79</v>
      </c>
      <c r="BC42" s="174">
        <v>3</v>
      </c>
      <c r="BD42" s="174">
        <v>1.9</v>
      </c>
      <c r="BE42" s="174">
        <v>9.6</v>
      </c>
      <c r="BF42" s="174">
        <v>10.9</v>
      </c>
      <c r="BG42" s="174">
        <v>11.8</v>
      </c>
      <c r="BH42" s="174">
        <v>12.7</v>
      </c>
      <c r="BI42" s="174">
        <v>16</v>
      </c>
      <c r="BJ42" s="174">
        <v>0.17230000000000001</v>
      </c>
      <c r="BK42" s="174">
        <v>0.1963</v>
      </c>
      <c r="BL42" s="174">
        <v>0.21240000000000001</v>
      </c>
      <c r="BM42" s="174">
        <v>0.22850000000000001</v>
      </c>
      <c r="BN42" s="174">
        <v>0.26019999999999999</v>
      </c>
      <c r="BO42" s="174">
        <v>433</v>
      </c>
      <c r="BP42" s="174">
        <v>573</v>
      </c>
      <c r="BQ42" s="174">
        <v>612</v>
      </c>
      <c r="BR42" s="174">
        <v>664</v>
      </c>
      <c r="BS42" s="174">
        <v>881</v>
      </c>
      <c r="BT42" s="174"/>
      <c r="BU42" s="174"/>
      <c r="BV42" s="174"/>
      <c r="BW42" s="174"/>
      <c r="BX42" s="174"/>
      <c r="BY42" s="174"/>
      <c r="BZ42" s="174">
        <v>187</v>
      </c>
      <c r="CA42" s="174">
        <v>224</v>
      </c>
      <c r="CB42" s="174">
        <v>296</v>
      </c>
      <c r="CC42" s="174">
        <v>370</v>
      </c>
      <c r="CD42" s="174">
        <v>554</v>
      </c>
      <c r="CE42" s="174">
        <v>49.5</v>
      </c>
      <c r="CF42" s="174">
        <v>11.3</v>
      </c>
      <c r="CG42" s="174">
        <v>1.4</v>
      </c>
      <c r="CH42" s="175">
        <v>1.5721777437081191E-9</v>
      </c>
    </row>
    <row r="43" spans="1:86" x14ac:dyDescent="0.3">
      <c r="F43" s="152" t="s">
        <v>553</v>
      </c>
      <c r="L43" s="196"/>
      <c r="AE43" s="152">
        <v>19</v>
      </c>
      <c r="AF43" s="152">
        <f>AF42+3.8</f>
        <v>63.199999999999989</v>
      </c>
      <c r="AG43" s="152">
        <f>AG42+200</f>
        <v>2700</v>
      </c>
      <c r="AH43" s="152">
        <f>AH42+0.8</f>
        <v>11.200000000000003</v>
      </c>
      <c r="AR43" s="152">
        <v>0.324324</v>
      </c>
      <c r="AW43" s="174">
        <v>42</v>
      </c>
      <c r="AX43" s="174" t="s">
        <v>557</v>
      </c>
      <c r="AY43" s="174">
        <v>30</v>
      </c>
      <c r="AZ43" s="174">
        <v>18.7</v>
      </c>
      <c r="BA43" s="174">
        <v>55</v>
      </c>
      <c r="BB43" s="174">
        <v>79</v>
      </c>
      <c r="BC43" s="174">
        <v>3</v>
      </c>
      <c r="BD43" s="174">
        <v>1.9</v>
      </c>
      <c r="BE43" s="174">
        <v>7.8</v>
      </c>
      <c r="BF43" s="174">
        <v>9.1</v>
      </c>
      <c r="BG43" s="174">
        <v>10</v>
      </c>
      <c r="BH43" s="174">
        <v>10.9</v>
      </c>
      <c r="BI43" s="174">
        <v>14.2</v>
      </c>
      <c r="BJ43" s="174">
        <v>0.1479</v>
      </c>
      <c r="BK43" s="174">
        <v>0.1719</v>
      </c>
      <c r="BL43" s="174">
        <v>0.188</v>
      </c>
      <c r="BM43" s="174">
        <v>0.20399999999999999</v>
      </c>
      <c r="BN43" s="174">
        <v>0.23580000000000001</v>
      </c>
      <c r="BO43" s="174">
        <v>332</v>
      </c>
      <c r="BP43" s="174">
        <v>472</v>
      </c>
      <c r="BQ43" s="174">
        <v>512</v>
      </c>
      <c r="BR43" s="174">
        <v>564</v>
      </c>
      <c r="BS43" s="174">
        <v>781</v>
      </c>
      <c r="BT43" s="174"/>
      <c r="BU43" s="174"/>
      <c r="BV43" s="174"/>
      <c r="BW43" s="174"/>
      <c r="BX43" s="174"/>
      <c r="BY43" s="174"/>
      <c r="BZ43" s="174">
        <v>136</v>
      </c>
      <c r="CA43" s="174">
        <v>173</v>
      </c>
      <c r="CB43" s="174">
        <v>245</v>
      </c>
      <c r="CC43" s="174">
        <v>319</v>
      </c>
      <c r="CD43" s="174">
        <v>503</v>
      </c>
      <c r="CE43" s="174">
        <v>49.5</v>
      </c>
      <c r="CF43" s="174">
        <v>11.3</v>
      </c>
      <c r="CG43" s="174">
        <v>1.4</v>
      </c>
      <c r="CH43" s="175">
        <v>1.5721777437081191E-9</v>
      </c>
    </row>
    <row r="44" spans="1:86" x14ac:dyDescent="0.3">
      <c r="F44" s="152" t="s">
        <v>553</v>
      </c>
      <c r="L44" s="196"/>
      <c r="AE44" s="152">
        <v>20</v>
      </c>
      <c r="AF44" s="152">
        <f>AF43+3.8</f>
        <v>66.999999999999986</v>
      </c>
      <c r="AG44" s="152">
        <f>AG43+200</f>
        <v>2900</v>
      </c>
      <c r="AH44" s="152">
        <f>AH43+0.8</f>
        <v>12.000000000000004</v>
      </c>
      <c r="AR44" s="152">
        <v>0.35135100000000002</v>
      </c>
      <c r="AW44" s="174">
        <v>42</v>
      </c>
      <c r="AX44" s="174" t="s">
        <v>557</v>
      </c>
      <c r="AY44" s="174">
        <v>30</v>
      </c>
      <c r="AZ44" s="174">
        <v>18.7</v>
      </c>
      <c r="BA44" s="174">
        <v>55</v>
      </c>
      <c r="BB44" s="174">
        <v>79</v>
      </c>
      <c r="BC44" s="174">
        <v>3</v>
      </c>
      <c r="BD44" s="174">
        <v>1.9</v>
      </c>
      <c r="BE44" s="174">
        <v>9</v>
      </c>
      <c r="BF44" s="174">
        <v>12.6</v>
      </c>
      <c r="BG44" s="174">
        <v>15</v>
      </c>
      <c r="BH44" s="174">
        <v>17.5</v>
      </c>
      <c r="BI44" s="174">
        <v>23.6</v>
      </c>
      <c r="BJ44" s="174">
        <v>0.14829999999999999</v>
      </c>
      <c r="BK44" s="174">
        <v>0.20760000000000001</v>
      </c>
      <c r="BL44" s="174">
        <v>0.2472</v>
      </c>
      <c r="BM44" s="174">
        <v>0.2868</v>
      </c>
      <c r="BN44" s="174">
        <v>0.36299999999999999</v>
      </c>
      <c r="BO44" s="174">
        <v>472</v>
      </c>
      <c r="BP44" s="174">
        <v>709</v>
      </c>
      <c r="BQ44" s="174">
        <v>787</v>
      </c>
      <c r="BR44" s="174">
        <v>867</v>
      </c>
      <c r="BS44" s="174">
        <v>1200</v>
      </c>
      <c r="BT44" s="174"/>
      <c r="BU44" s="174"/>
      <c r="BV44" s="174"/>
      <c r="BW44" s="174"/>
      <c r="BX44" s="174"/>
      <c r="BY44" s="174"/>
      <c r="BZ44" s="174">
        <v>233</v>
      </c>
      <c r="CA44" s="174">
        <v>320</v>
      </c>
      <c r="CB44" s="174">
        <v>389</v>
      </c>
      <c r="CC44" s="174">
        <v>457</v>
      </c>
      <c r="CD44" s="174">
        <v>730</v>
      </c>
      <c r="CE44" s="174">
        <v>51.7</v>
      </c>
      <c r="CF44" s="174">
        <v>11.4</v>
      </c>
      <c r="CG44" s="174">
        <v>1.4</v>
      </c>
      <c r="CH44" s="175">
        <v>1.299270603612855E-9</v>
      </c>
    </row>
    <row r="45" spans="1:86" x14ac:dyDescent="0.3">
      <c r="F45" s="152" t="s">
        <v>553</v>
      </c>
      <c r="L45" s="196"/>
      <c r="AE45" s="152">
        <v>21</v>
      </c>
      <c r="AF45" s="152">
        <f>AF44+2.8</f>
        <v>69.799999999999983</v>
      </c>
      <c r="AG45" s="152">
        <f>AG44+380</f>
        <v>3280</v>
      </c>
      <c r="AH45" s="152">
        <f>AH44+1.6</f>
        <v>13.600000000000003</v>
      </c>
      <c r="AR45" s="152">
        <v>0.40540500000000002</v>
      </c>
      <c r="AW45" s="174">
        <v>45</v>
      </c>
      <c r="AX45" s="174" t="s">
        <v>557</v>
      </c>
      <c r="AY45" s="174">
        <v>30</v>
      </c>
      <c r="AZ45" s="174">
        <v>18.7</v>
      </c>
      <c r="BA45" s="174">
        <v>55</v>
      </c>
      <c r="BB45" s="174">
        <v>79</v>
      </c>
      <c r="BC45" s="174">
        <v>3</v>
      </c>
      <c r="BD45" s="174">
        <v>1.9</v>
      </c>
      <c r="BE45" s="174">
        <v>9</v>
      </c>
      <c r="BF45" s="174">
        <v>12.6</v>
      </c>
      <c r="BG45" s="174">
        <v>15</v>
      </c>
      <c r="BH45" s="174">
        <v>17.5</v>
      </c>
      <c r="BI45" s="174">
        <v>23.6</v>
      </c>
      <c r="BJ45" s="174">
        <v>0.14829999999999999</v>
      </c>
      <c r="BK45" s="174">
        <v>0.20760000000000001</v>
      </c>
      <c r="BL45" s="174">
        <v>0.2472</v>
      </c>
      <c r="BM45" s="174">
        <v>0.2868</v>
      </c>
      <c r="BN45" s="174">
        <v>0.36299999999999999</v>
      </c>
      <c r="BO45" s="174">
        <v>472</v>
      </c>
      <c r="BP45" s="174">
        <v>709</v>
      </c>
      <c r="BQ45" s="174">
        <v>787</v>
      </c>
      <c r="BR45" s="174">
        <v>867</v>
      </c>
      <c r="BS45" s="174">
        <v>1200</v>
      </c>
      <c r="BT45" s="174"/>
      <c r="BU45" s="174"/>
      <c r="BV45" s="174"/>
      <c r="BW45" s="174"/>
      <c r="BX45" s="174"/>
      <c r="BY45" s="174"/>
      <c r="BZ45" s="174">
        <v>233</v>
      </c>
      <c r="CA45" s="174">
        <v>320</v>
      </c>
      <c r="CB45" s="174">
        <v>389</v>
      </c>
      <c r="CC45" s="174">
        <v>457</v>
      </c>
      <c r="CD45" s="174">
        <v>730</v>
      </c>
      <c r="CE45" s="174">
        <v>51.7</v>
      </c>
      <c r="CF45" s="174">
        <v>11.4</v>
      </c>
      <c r="CG45" s="174">
        <v>1.4</v>
      </c>
      <c r="CH45" s="175">
        <v>1.299270603612855E-9</v>
      </c>
    </row>
    <row r="46" spans="1:86" x14ac:dyDescent="0.3">
      <c r="F46" s="152" t="s">
        <v>553</v>
      </c>
      <c r="L46" s="196"/>
      <c r="AE46" s="152">
        <v>22</v>
      </c>
      <c r="AF46" s="152">
        <f>AF45+2.8</f>
        <v>72.59999999999998</v>
      </c>
      <c r="AG46" s="152">
        <f>AG45+380</f>
        <v>3660</v>
      </c>
      <c r="AH46" s="152">
        <f>AH45+1.6</f>
        <v>15.200000000000003</v>
      </c>
      <c r="AR46" s="152">
        <v>1.55789</v>
      </c>
      <c r="AW46" s="174">
        <v>45</v>
      </c>
      <c r="AX46" s="174" t="s">
        <v>557</v>
      </c>
      <c r="AY46" s="174">
        <v>30</v>
      </c>
      <c r="AZ46" s="174">
        <v>18.7</v>
      </c>
      <c r="BA46" s="174">
        <v>55</v>
      </c>
      <c r="BB46" s="174">
        <v>79</v>
      </c>
      <c r="BC46" s="174">
        <v>3</v>
      </c>
      <c r="BD46" s="174">
        <v>1.9</v>
      </c>
      <c r="BE46" s="174">
        <v>16</v>
      </c>
      <c r="BF46" s="174">
        <v>22.4</v>
      </c>
      <c r="BG46" s="174">
        <v>26.8</v>
      </c>
      <c r="BH46" s="174">
        <v>31.1</v>
      </c>
      <c r="BI46" s="174">
        <v>38.6</v>
      </c>
      <c r="BJ46" s="174">
        <v>0.15229999999999999</v>
      </c>
      <c r="BK46" s="174">
        <v>0.2132</v>
      </c>
      <c r="BL46" s="174">
        <v>0.25390000000000001</v>
      </c>
      <c r="BM46" s="174">
        <v>0.29459999999999997</v>
      </c>
      <c r="BN46" s="174">
        <v>0.376</v>
      </c>
      <c r="BO46" s="174">
        <v>861</v>
      </c>
      <c r="BP46" s="174">
        <v>1200</v>
      </c>
      <c r="BQ46" s="174">
        <v>1200</v>
      </c>
      <c r="BR46" s="174">
        <v>1200</v>
      </c>
      <c r="BS46" s="174">
        <v>1200</v>
      </c>
      <c r="BT46" s="174"/>
      <c r="BU46" s="174"/>
      <c r="BV46" s="174"/>
      <c r="BW46" s="174"/>
      <c r="BX46" s="174"/>
      <c r="BY46" s="174"/>
      <c r="BZ46" s="174">
        <v>457</v>
      </c>
      <c r="CA46" s="174">
        <v>686</v>
      </c>
      <c r="CB46" s="174">
        <v>762</v>
      </c>
      <c r="CC46" s="174">
        <v>839</v>
      </c>
      <c r="CD46" s="174">
        <v>1000</v>
      </c>
      <c r="CE46" s="174">
        <v>102.3</v>
      </c>
      <c r="CF46" s="174">
        <v>20.7</v>
      </c>
      <c r="CG46" s="174">
        <v>1.8</v>
      </c>
      <c r="CH46" s="175">
        <v>2.037873947633578E-8</v>
      </c>
    </row>
    <row r="47" spans="1:86" x14ac:dyDescent="0.3">
      <c r="L47" s="196"/>
      <c r="AE47" s="152">
        <v>23</v>
      </c>
      <c r="AF47" s="152">
        <f>AF46+2.8</f>
        <v>75.399999999999977</v>
      </c>
      <c r="AG47" s="152">
        <f>AG46+380</f>
        <v>4040</v>
      </c>
      <c r="AH47" s="152">
        <f>AH46+1.6</f>
        <v>16.800000000000004</v>
      </c>
      <c r="AR47" s="152">
        <v>1.55789</v>
      </c>
      <c r="AW47" s="174">
        <v>50</v>
      </c>
      <c r="AX47" s="174" t="s">
        <v>557</v>
      </c>
      <c r="AY47" s="174">
        <v>30</v>
      </c>
      <c r="AZ47" s="174">
        <v>18.7</v>
      </c>
      <c r="BA47" s="174">
        <v>55</v>
      </c>
      <c r="BB47" s="174">
        <v>79</v>
      </c>
      <c r="BC47" s="174">
        <v>3</v>
      </c>
      <c r="BD47" s="174">
        <v>1.9</v>
      </c>
      <c r="BE47" s="174">
        <v>16</v>
      </c>
      <c r="BF47" s="174">
        <v>22.4</v>
      </c>
      <c r="BG47" s="174">
        <v>26.8</v>
      </c>
      <c r="BH47" s="174">
        <v>31.1</v>
      </c>
      <c r="BI47" s="174">
        <v>38.6</v>
      </c>
      <c r="BJ47" s="174">
        <v>0.15229999999999999</v>
      </c>
      <c r="BK47" s="174">
        <v>0.2132</v>
      </c>
      <c r="BL47" s="174">
        <v>0.25390000000000001</v>
      </c>
      <c r="BM47" s="174">
        <v>0.29459999999999997</v>
      </c>
      <c r="BN47" s="174">
        <v>0.376</v>
      </c>
      <c r="BO47" s="174">
        <v>861</v>
      </c>
      <c r="BP47" s="174">
        <v>1200</v>
      </c>
      <c r="BQ47" s="174">
        <v>1200</v>
      </c>
      <c r="BR47" s="174">
        <v>1200</v>
      </c>
      <c r="BS47" s="174">
        <v>1200</v>
      </c>
      <c r="BT47" s="174"/>
      <c r="BU47" s="174"/>
      <c r="BV47" s="174"/>
      <c r="BW47" s="174"/>
      <c r="BX47" s="174"/>
      <c r="BY47" s="174"/>
      <c r="BZ47" s="174">
        <v>457</v>
      </c>
      <c r="CA47" s="174">
        <v>686</v>
      </c>
      <c r="CB47" s="174">
        <v>762</v>
      </c>
      <c r="CC47" s="174">
        <v>839</v>
      </c>
      <c r="CD47" s="174">
        <v>1000</v>
      </c>
      <c r="CE47" s="174">
        <v>102.3</v>
      </c>
      <c r="CF47" s="174">
        <v>20.7</v>
      </c>
      <c r="CG47" s="174">
        <v>1.8</v>
      </c>
      <c r="CH47" s="175">
        <v>2.037873947633578E-8</v>
      </c>
    </row>
    <row r="48" spans="1:86" x14ac:dyDescent="0.3">
      <c r="L48" s="196"/>
      <c r="AE48" s="152">
        <v>24</v>
      </c>
      <c r="AF48" s="152">
        <f>AF47+2.8</f>
        <v>78.199999999999974</v>
      </c>
      <c r="AG48" s="152">
        <f>AG47+380</f>
        <v>4420</v>
      </c>
      <c r="AH48" s="152">
        <f>AH47+1.6</f>
        <v>18.400000000000006</v>
      </c>
      <c r="AR48" s="152">
        <v>1.55789</v>
      </c>
      <c r="AW48" s="174"/>
      <c r="AX48" s="174"/>
      <c r="AY48" s="174"/>
      <c r="AZ48" s="174"/>
      <c r="BA48" s="174"/>
      <c r="BB48" s="174"/>
      <c r="BC48" s="174"/>
      <c r="BD48" s="174"/>
      <c r="BE48" s="174"/>
      <c r="BF48" s="174"/>
      <c r="BG48" s="174"/>
      <c r="BH48" s="174"/>
      <c r="BI48" s="174"/>
      <c r="BJ48" s="174"/>
      <c r="BK48" s="174"/>
      <c r="BL48" s="174"/>
      <c r="BM48" s="174"/>
      <c r="BN48" s="174"/>
      <c r="BO48" s="174"/>
      <c r="BP48" s="174"/>
      <c r="BQ48" s="174"/>
      <c r="BR48" s="174"/>
      <c r="BS48" s="174"/>
      <c r="BT48" s="174"/>
      <c r="BU48" s="174"/>
      <c r="BV48" s="174"/>
      <c r="BW48" s="174"/>
      <c r="BX48" s="174"/>
      <c r="BY48" s="174"/>
      <c r="BZ48" s="174"/>
      <c r="CA48" s="174"/>
      <c r="CB48" s="174"/>
      <c r="CC48" s="174"/>
      <c r="CD48" s="174"/>
      <c r="CE48" s="174"/>
      <c r="CF48" s="174"/>
      <c r="CG48" s="174"/>
      <c r="CH48" s="175"/>
    </row>
    <row r="49" spans="6:86" x14ac:dyDescent="0.3">
      <c r="L49" s="196"/>
      <c r="AE49" s="152">
        <v>25</v>
      </c>
      <c r="AF49" s="152">
        <f>AF48+2.8</f>
        <v>80.999999999999972</v>
      </c>
      <c r="AG49" s="152">
        <v>4800</v>
      </c>
      <c r="AH49" s="152">
        <f>AH48+1.6</f>
        <v>20.000000000000007</v>
      </c>
      <c r="AR49" s="152">
        <v>1.55789</v>
      </c>
      <c r="AW49" s="174"/>
      <c r="AX49" s="174"/>
      <c r="AY49" s="174"/>
      <c r="AZ49" s="174"/>
      <c r="BA49" s="174"/>
      <c r="BB49" s="174"/>
      <c r="BC49" s="174"/>
      <c r="BD49" s="174"/>
      <c r="BE49" s="174"/>
      <c r="BF49" s="174"/>
      <c r="BG49" s="174"/>
      <c r="BH49" s="174"/>
      <c r="BI49" s="174"/>
      <c r="BJ49" s="174"/>
      <c r="BK49" s="174"/>
      <c r="BL49" s="174"/>
      <c r="BM49" s="174"/>
      <c r="BN49" s="174"/>
      <c r="BO49" s="174"/>
      <c r="BP49" s="174"/>
      <c r="BQ49" s="174"/>
      <c r="BR49" s="174"/>
      <c r="BS49" s="174"/>
      <c r="BT49" s="174"/>
      <c r="BU49" s="174"/>
      <c r="BV49" s="174"/>
      <c r="BW49" s="174"/>
      <c r="BX49" s="174"/>
      <c r="BY49" s="174"/>
      <c r="BZ49" s="174"/>
      <c r="CA49" s="174"/>
      <c r="CB49" s="174"/>
      <c r="CC49" s="174"/>
      <c r="CD49" s="174"/>
      <c r="CE49" s="174"/>
      <c r="CF49" s="174"/>
      <c r="CG49" s="174"/>
      <c r="CH49" s="175"/>
    </row>
    <row r="50" spans="6:86" x14ac:dyDescent="0.3">
      <c r="F50" s="152">
        <v>0.28431400000000001</v>
      </c>
      <c r="L50" s="196"/>
      <c r="AE50" s="152">
        <v>26</v>
      </c>
      <c r="AF50" s="152">
        <f>AF49+3</f>
        <v>83.999999999999972</v>
      </c>
      <c r="AG50" s="152">
        <f>AG49+960</f>
        <v>5760</v>
      </c>
      <c r="AH50" s="152">
        <f>AH49+4</f>
        <v>24.000000000000007</v>
      </c>
      <c r="AR50" s="152">
        <v>1.55789</v>
      </c>
      <c r="AW50" s="174"/>
      <c r="AX50" s="174"/>
      <c r="AY50" s="174"/>
      <c r="AZ50" s="174"/>
      <c r="BA50" s="174"/>
      <c r="BB50" s="174"/>
      <c r="BC50" s="174"/>
      <c r="BD50" s="174"/>
      <c r="BE50" s="174"/>
      <c r="BF50" s="174"/>
      <c r="BG50" s="174"/>
      <c r="BH50" s="174"/>
      <c r="BI50" s="174"/>
      <c r="BJ50" s="174"/>
      <c r="BK50" s="174"/>
      <c r="BL50" s="174"/>
      <c r="BM50" s="174"/>
      <c r="BN50" s="174"/>
      <c r="BO50" s="174"/>
      <c r="BP50" s="174"/>
      <c r="BQ50" s="174"/>
      <c r="BR50" s="174"/>
      <c r="BS50" s="174"/>
      <c r="BT50" s="174"/>
      <c r="BU50" s="174"/>
      <c r="BV50" s="174"/>
      <c r="BW50" s="174"/>
      <c r="BX50" s="174"/>
      <c r="BY50" s="174"/>
      <c r="BZ50" s="174"/>
      <c r="CA50" s="174"/>
      <c r="CB50" s="174"/>
      <c r="CC50" s="174"/>
      <c r="CD50" s="174"/>
      <c r="CE50" s="174"/>
      <c r="CF50" s="174"/>
      <c r="CG50" s="174"/>
      <c r="CH50" s="175"/>
    </row>
    <row r="51" spans="6:86" x14ac:dyDescent="0.3">
      <c r="F51" s="152">
        <v>0.28431400000000001</v>
      </c>
      <c r="L51" s="196"/>
      <c r="AE51" s="152">
        <v>27</v>
      </c>
      <c r="AF51" s="152">
        <f>AF50+3</f>
        <v>86.999999999999972</v>
      </c>
      <c r="AG51" s="152">
        <f>AG50+960</f>
        <v>6720</v>
      </c>
      <c r="AH51" s="152">
        <f>AH50+4</f>
        <v>28.000000000000007</v>
      </c>
      <c r="AR51" s="152">
        <v>1.55789</v>
      </c>
      <c r="AW51" s="174"/>
      <c r="AX51" s="174"/>
      <c r="AY51" s="174"/>
      <c r="AZ51" s="174"/>
      <c r="BA51" s="174"/>
      <c r="BB51" s="174"/>
      <c r="BC51" s="174"/>
      <c r="BD51" s="174"/>
      <c r="BE51" s="174"/>
      <c r="BF51" s="174"/>
      <c r="BG51" s="174"/>
      <c r="BH51" s="174"/>
      <c r="BI51" s="174"/>
      <c r="BJ51" s="174"/>
      <c r="BK51" s="174"/>
      <c r="BL51" s="174"/>
      <c r="BM51" s="174"/>
      <c r="BN51" s="174"/>
      <c r="BO51" s="174"/>
      <c r="BP51" s="174"/>
      <c r="BQ51" s="174"/>
      <c r="BR51" s="174"/>
      <c r="BS51" s="174"/>
      <c r="BT51" s="174"/>
      <c r="BU51" s="174"/>
      <c r="BV51" s="174"/>
      <c r="BW51" s="174"/>
      <c r="BX51" s="174"/>
      <c r="BY51" s="174"/>
      <c r="BZ51" s="174"/>
      <c r="CA51" s="174"/>
      <c r="CB51" s="174"/>
      <c r="CC51" s="174"/>
      <c r="CD51" s="174"/>
      <c r="CE51" s="174"/>
      <c r="CF51" s="174"/>
      <c r="CG51" s="174"/>
      <c r="CH51" s="175"/>
    </row>
    <row r="52" spans="6:86" x14ac:dyDescent="0.3">
      <c r="F52" s="152">
        <v>0.56896599999999997</v>
      </c>
      <c r="L52" s="196"/>
      <c r="AE52" s="152">
        <v>28</v>
      </c>
      <c r="AF52" s="152">
        <f>AF51+3</f>
        <v>89.999999999999972</v>
      </c>
      <c r="AG52" s="152">
        <f>AG51+960</f>
        <v>7680</v>
      </c>
      <c r="AH52" s="152">
        <f>AH51+4</f>
        <v>32.000000000000007</v>
      </c>
      <c r="AR52" s="152">
        <v>1.55789</v>
      </c>
      <c r="AW52" s="174"/>
      <c r="AX52" s="174"/>
      <c r="AY52" s="174"/>
      <c r="AZ52" s="174"/>
      <c r="BA52" s="174"/>
      <c r="BB52" s="174"/>
      <c r="BC52" s="174"/>
      <c r="BD52" s="174"/>
      <c r="BE52" s="174"/>
      <c r="BF52" s="174"/>
      <c r="BG52" s="174"/>
      <c r="BH52" s="174"/>
      <c r="BI52" s="174"/>
      <c r="BJ52" s="174"/>
      <c r="BK52" s="174"/>
      <c r="BL52" s="174"/>
      <c r="BM52" s="174"/>
      <c r="BN52" s="174"/>
      <c r="BO52" s="174"/>
      <c r="BP52" s="174"/>
      <c r="BQ52" s="174"/>
      <c r="BR52" s="174"/>
      <c r="BS52" s="174"/>
      <c r="BT52" s="174"/>
      <c r="BU52" s="174"/>
      <c r="BV52" s="174"/>
      <c r="BW52" s="174"/>
      <c r="BX52" s="174"/>
      <c r="BY52" s="174"/>
      <c r="BZ52" s="174"/>
      <c r="CA52" s="174"/>
      <c r="CB52" s="174"/>
      <c r="CC52" s="174"/>
      <c r="CD52" s="174"/>
      <c r="CE52" s="174"/>
      <c r="CF52" s="174"/>
      <c r="CG52" s="174"/>
      <c r="CH52" s="175"/>
    </row>
    <row r="53" spans="6:86" x14ac:dyDescent="0.3">
      <c r="F53" s="152">
        <v>0.7</v>
      </c>
      <c r="L53" s="196"/>
      <c r="AE53" s="152">
        <v>29</v>
      </c>
      <c r="AF53" s="152">
        <f>AF52+3</f>
        <v>92.999999999999972</v>
      </c>
      <c r="AG53" s="152">
        <f>AG52+960</f>
        <v>8640</v>
      </c>
      <c r="AH53" s="152">
        <f>AH52+4</f>
        <v>36.000000000000007</v>
      </c>
      <c r="AR53" s="152">
        <v>1.55789</v>
      </c>
      <c r="AW53" s="174"/>
      <c r="AX53" s="174"/>
      <c r="AY53" s="174"/>
      <c r="AZ53" s="174"/>
      <c r="BA53" s="174"/>
      <c r="BB53" s="174"/>
      <c r="BC53" s="174"/>
      <c r="BD53" s="174"/>
      <c r="BE53" s="174"/>
      <c r="BF53" s="174"/>
      <c r="BG53" s="174"/>
      <c r="BH53" s="174"/>
      <c r="BI53" s="174"/>
      <c r="BJ53" s="174"/>
      <c r="BK53" s="174"/>
      <c r="BL53" s="174"/>
      <c r="BM53" s="174"/>
      <c r="BN53" s="174"/>
      <c r="BO53" s="174"/>
      <c r="BP53" s="174"/>
      <c r="BQ53" s="174"/>
      <c r="BR53" s="174"/>
      <c r="BS53" s="174"/>
      <c r="BT53" s="174"/>
      <c r="BU53" s="174"/>
      <c r="BV53" s="174"/>
      <c r="BW53" s="174"/>
      <c r="BX53" s="174"/>
      <c r="BY53" s="174"/>
      <c r="BZ53" s="174"/>
      <c r="CA53" s="174"/>
      <c r="CB53" s="174"/>
      <c r="CC53" s="174"/>
      <c r="CD53" s="174"/>
      <c r="CE53" s="174"/>
      <c r="CF53" s="174"/>
      <c r="CG53" s="174"/>
      <c r="CH53" s="175"/>
    </row>
    <row r="54" spans="6:86" x14ac:dyDescent="0.3">
      <c r="F54" s="152">
        <v>0.7</v>
      </c>
      <c r="L54" s="196"/>
      <c r="AE54" s="152">
        <v>30</v>
      </c>
      <c r="AF54" s="152">
        <f>AF53+3</f>
        <v>95.999999999999972</v>
      </c>
      <c r="AG54" s="152">
        <f>AG53+960</f>
        <v>9600</v>
      </c>
      <c r="AH54" s="152">
        <f>AH53+4</f>
        <v>40.000000000000007</v>
      </c>
      <c r="AW54" s="174"/>
      <c r="AX54" s="174"/>
      <c r="AY54" s="174"/>
      <c r="AZ54" s="174"/>
      <c r="BA54" s="174"/>
      <c r="BB54" s="174"/>
      <c r="BC54" s="174"/>
      <c r="BD54" s="174"/>
      <c r="BE54" s="174"/>
      <c r="BF54" s="174"/>
      <c r="BG54" s="174"/>
      <c r="BH54" s="174"/>
      <c r="BI54" s="174"/>
      <c r="BJ54" s="174"/>
      <c r="BK54" s="174"/>
      <c r="BL54" s="174"/>
      <c r="BM54" s="174"/>
      <c r="BN54" s="174"/>
      <c r="BO54" s="174"/>
      <c r="BP54" s="174"/>
      <c r="BQ54" s="174"/>
      <c r="BR54" s="174"/>
      <c r="BS54" s="174"/>
      <c r="BT54" s="174"/>
      <c r="BU54" s="174"/>
      <c r="BV54" s="174"/>
      <c r="BW54" s="174"/>
      <c r="BX54" s="174"/>
      <c r="BY54" s="174"/>
      <c r="BZ54" s="174"/>
      <c r="CA54" s="174"/>
      <c r="CB54" s="174"/>
      <c r="CC54" s="174"/>
      <c r="CD54" s="174"/>
      <c r="CE54" s="174"/>
      <c r="CF54" s="174"/>
      <c r="CG54" s="174"/>
      <c r="CH54" s="175"/>
    </row>
    <row r="55" spans="6:86" x14ac:dyDescent="0.3">
      <c r="F55" s="152">
        <v>0.56896599999999997</v>
      </c>
      <c r="L55" s="196"/>
      <c r="AE55" s="152">
        <v>31</v>
      </c>
      <c r="AF55" s="152">
        <f>AF54+3.8</f>
        <v>99.799999999999969</v>
      </c>
      <c r="AG55" s="152">
        <f>AG54+480</f>
        <v>10080</v>
      </c>
      <c r="AH55" s="152">
        <f>AH54+2</f>
        <v>42.000000000000007</v>
      </c>
      <c r="AW55" s="174"/>
      <c r="AX55" s="174"/>
      <c r="AY55" s="174"/>
      <c r="AZ55" s="174"/>
      <c r="BA55" s="174"/>
      <c r="BB55" s="174"/>
      <c r="BC55" s="174"/>
      <c r="BD55" s="174"/>
      <c r="BE55" s="174"/>
      <c r="BF55" s="174"/>
      <c r="BG55" s="174"/>
      <c r="BH55" s="174"/>
      <c r="BI55" s="174"/>
      <c r="BJ55" s="174"/>
      <c r="BK55" s="174"/>
      <c r="BL55" s="174"/>
      <c r="BM55" s="174"/>
      <c r="BN55" s="174"/>
      <c r="BO55" s="174"/>
      <c r="BP55" s="174"/>
      <c r="BQ55" s="174"/>
      <c r="BR55" s="174"/>
      <c r="BS55" s="174"/>
      <c r="BT55" s="174"/>
      <c r="BU55" s="174"/>
      <c r="BV55" s="174"/>
      <c r="BW55" s="174"/>
      <c r="BX55" s="174"/>
      <c r="BY55" s="174"/>
      <c r="BZ55" s="174"/>
      <c r="CA55" s="174"/>
      <c r="CB55" s="174"/>
      <c r="CC55" s="174"/>
      <c r="CD55" s="174"/>
      <c r="CE55" s="174"/>
      <c r="CF55" s="174"/>
      <c r="CG55" s="174"/>
      <c r="CH55" s="175"/>
    </row>
    <row r="56" spans="6:86" x14ac:dyDescent="0.3">
      <c r="F56" s="152">
        <v>0.60344799999999998</v>
      </c>
      <c r="L56" s="196"/>
      <c r="AE56" s="152">
        <v>32</v>
      </c>
      <c r="AF56" s="152">
        <f>AF55+3.8</f>
        <v>103.59999999999997</v>
      </c>
      <c r="AG56" s="152">
        <f>AG55+480</f>
        <v>10560</v>
      </c>
      <c r="AH56" s="152">
        <f>AH55+2</f>
        <v>44.000000000000007</v>
      </c>
      <c r="AW56" s="174"/>
      <c r="AX56" s="174"/>
      <c r="AY56" s="174"/>
      <c r="AZ56" s="174"/>
      <c r="BA56" s="174"/>
      <c r="BB56" s="174"/>
      <c r="BC56" s="174"/>
      <c r="BD56" s="174"/>
      <c r="BE56" s="174"/>
      <c r="BF56" s="174"/>
      <c r="BG56" s="174"/>
      <c r="BH56" s="174"/>
      <c r="BI56" s="174"/>
      <c r="BJ56" s="174"/>
      <c r="BK56" s="174"/>
      <c r="BL56" s="174"/>
      <c r="BM56" s="174"/>
      <c r="BN56" s="174"/>
      <c r="BO56" s="174"/>
      <c r="BP56" s="174"/>
      <c r="BQ56" s="174"/>
      <c r="BR56" s="174"/>
      <c r="BS56" s="174"/>
      <c r="BT56" s="174"/>
      <c r="BU56" s="174"/>
      <c r="BV56" s="174"/>
      <c r="BW56" s="174"/>
      <c r="BX56" s="174"/>
      <c r="BY56" s="174"/>
      <c r="BZ56" s="174"/>
      <c r="CA56" s="174"/>
      <c r="CB56" s="174"/>
      <c r="CC56" s="174"/>
      <c r="CD56" s="174"/>
      <c r="CE56" s="174"/>
      <c r="CF56" s="174"/>
      <c r="CG56" s="174"/>
      <c r="CH56" s="175"/>
    </row>
    <row r="57" spans="6:86" x14ac:dyDescent="0.3">
      <c r="F57" s="152">
        <v>0.63793100000000003</v>
      </c>
      <c r="L57" s="196"/>
      <c r="AE57" s="152">
        <v>33</v>
      </c>
      <c r="AF57" s="152">
        <f>AF56+3.8</f>
        <v>107.39999999999996</v>
      </c>
      <c r="AG57" s="152">
        <f>AG56+480</f>
        <v>11040</v>
      </c>
      <c r="AH57" s="152">
        <f>AH56+2</f>
        <v>46.000000000000007</v>
      </c>
      <c r="AW57" s="174"/>
      <c r="AX57" s="174"/>
      <c r="AY57" s="174"/>
      <c r="AZ57" s="174"/>
      <c r="BA57" s="174"/>
      <c r="BB57" s="174"/>
      <c r="BC57" s="174"/>
      <c r="BD57" s="174"/>
      <c r="BE57" s="174"/>
      <c r="BF57" s="174"/>
      <c r="BG57" s="174"/>
      <c r="BH57" s="174"/>
      <c r="BI57" s="174"/>
      <c r="BJ57" s="174"/>
      <c r="BK57" s="174"/>
      <c r="BL57" s="174"/>
      <c r="BM57" s="174"/>
      <c r="BN57" s="174"/>
      <c r="BO57" s="174"/>
      <c r="BP57" s="174"/>
      <c r="BQ57" s="174"/>
      <c r="BR57" s="174"/>
      <c r="BS57" s="174"/>
      <c r="BT57" s="174"/>
      <c r="BU57" s="174"/>
      <c r="BV57" s="174"/>
      <c r="BW57" s="174"/>
      <c r="BX57" s="174"/>
      <c r="BY57" s="174"/>
      <c r="BZ57" s="174"/>
      <c r="CA57" s="174"/>
      <c r="CB57" s="174"/>
      <c r="CC57" s="174"/>
      <c r="CD57" s="174"/>
      <c r="CE57" s="174"/>
      <c r="CF57" s="174"/>
      <c r="CG57" s="174"/>
      <c r="CH57" s="175"/>
    </row>
    <row r="58" spans="6:86" x14ac:dyDescent="0.3">
      <c r="F58" s="152">
        <v>0.63793100000000003</v>
      </c>
      <c r="L58" s="196"/>
      <c r="AE58" s="152">
        <v>34</v>
      </c>
      <c r="AF58" s="152">
        <f>AF57+3.8</f>
        <v>111.19999999999996</v>
      </c>
      <c r="AG58" s="152">
        <f>AG57+480</f>
        <v>11520</v>
      </c>
      <c r="AH58" s="152">
        <f>AH57+2</f>
        <v>48.000000000000007</v>
      </c>
      <c r="AW58" s="174"/>
      <c r="AX58" s="174"/>
      <c r="AY58" s="174"/>
      <c r="AZ58" s="174"/>
      <c r="BA58" s="174"/>
      <c r="BB58" s="174"/>
      <c r="BC58" s="174"/>
      <c r="BD58" s="174"/>
      <c r="BE58" s="174"/>
      <c r="BF58" s="174"/>
      <c r="BG58" s="174"/>
      <c r="BH58" s="174"/>
      <c r="BI58" s="174"/>
      <c r="BJ58" s="174"/>
      <c r="BK58" s="174"/>
      <c r="BL58" s="174"/>
      <c r="BM58" s="174"/>
      <c r="BN58" s="174"/>
      <c r="BO58" s="174"/>
      <c r="BP58" s="174"/>
      <c r="BQ58" s="174"/>
      <c r="BR58" s="174"/>
      <c r="BS58" s="174"/>
      <c r="BT58" s="174"/>
      <c r="BU58" s="174"/>
      <c r="BV58" s="174"/>
      <c r="BW58" s="174"/>
      <c r="BX58" s="174"/>
      <c r="BY58" s="174"/>
      <c r="BZ58" s="174"/>
      <c r="CA58" s="174"/>
      <c r="CB58" s="174"/>
      <c r="CC58" s="174"/>
      <c r="CD58" s="174"/>
      <c r="CE58" s="174"/>
      <c r="CF58" s="174"/>
      <c r="CG58" s="174"/>
      <c r="CH58" s="175"/>
    </row>
    <row r="59" spans="6:86" x14ac:dyDescent="0.3">
      <c r="F59" s="152">
        <v>0.63793100000000003</v>
      </c>
      <c r="L59" s="196"/>
      <c r="AE59" s="152">
        <v>35</v>
      </c>
      <c r="AF59" s="152">
        <f>AF58+3.8</f>
        <v>114.99999999999996</v>
      </c>
      <c r="AG59" s="152">
        <f>AG58+480</f>
        <v>12000</v>
      </c>
      <c r="AH59" s="152">
        <f>AH58+2</f>
        <v>50.000000000000007</v>
      </c>
      <c r="AW59" s="174"/>
      <c r="AX59" s="174"/>
      <c r="AY59" s="174"/>
      <c r="AZ59" s="174"/>
      <c r="BA59" s="174"/>
      <c r="BB59" s="174"/>
      <c r="BC59" s="174"/>
      <c r="BD59" s="174"/>
      <c r="BE59" s="174"/>
      <c r="BF59" s="174"/>
      <c r="BG59" s="174"/>
      <c r="BH59" s="174"/>
      <c r="BI59" s="174"/>
      <c r="BJ59" s="174"/>
      <c r="BK59" s="174"/>
      <c r="BL59" s="174"/>
      <c r="BM59" s="174"/>
      <c r="BN59" s="174"/>
      <c r="BO59" s="174"/>
      <c r="BP59" s="174"/>
      <c r="BQ59" s="174"/>
      <c r="BR59" s="174"/>
      <c r="BS59" s="174"/>
      <c r="BT59" s="174"/>
      <c r="BU59" s="174"/>
      <c r="BV59" s="174"/>
      <c r="BW59" s="174"/>
      <c r="BX59" s="174"/>
      <c r="BY59" s="174"/>
      <c r="BZ59" s="174"/>
      <c r="CA59" s="174"/>
      <c r="CB59" s="174"/>
      <c r="CC59" s="174"/>
      <c r="CD59" s="174"/>
      <c r="CE59" s="174"/>
      <c r="CF59" s="174"/>
      <c r="CG59" s="174"/>
      <c r="CH59" s="175"/>
    </row>
    <row r="60" spans="6:86" x14ac:dyDescent="0.3">
      <c r="F60" s="152">
        <v>0.63793100000000003</v>
      </c>
      <c r="L60" s="196"/>
      <c r="AW60" s="174"/>
      <c r="AX60" s="174"/>
      <c r="AY60" s="174"/>
      <c r="AZ60" s="174"/>
      <c r="BA60" s="174"/>
      <c r="BB60" s="174"/>
      <c r="BC60" s="174"/>
      <c r="BD60" s="174"/>
      <c r="BE60" s="174"/>
      <c r="BF60" s="174"/>
      <c r="BG60" s="174"/>
      <c r="BH60" s="174"/>
      <c r="BI60" s="174"/>
      <c r="BJ60" s="174"/>
      <c r="BK60" s="174"/>
      <c r="BL60" s="174"/>
      <c r="BM60" s="174"/>
      <c r="BN60" s="174"/>
      <c r="BO60" s="174"/>
      <c r="BP60" s="174"/>
      <c r="BQ60" s="174"/>
      <c r="BR60" s="174"/>
      <c r="BS60" s="174"/>
      <c r="BT60" s="174"/>
      <c r="BU60" s="174"/>
      <c r="BV60" s="174"/>
      <c r="BW60" s="174"/>
      <c r="BX60" s="174"/>
      <c r="BY60" s="174"/>
      <c r="BZ60" s="174"/>
      <c r="CA60" s="174"/>
      <c r="CB60" s="174"/>
      <c r="CC60" s="174"/>
      <c r="CD60" s="174"/>
      <c r="CE60" s="174"/>
      <c r="CF60" s="174"/>
      <c r="CG60" s="174"/>
      <c r="CH60" s="175"/>
    </row>
    <row r="61" spans="6:86" x14ac:dyDescent="0.3">
      <c r="F61" s="152">
        <v>0.63793100000000003</v>
      </c>
      <c r="L61" s="196"/>
      <c r="AW61" s="174"/>
      <c r="AX61" s="174"/>
      <c r="AY61" s="174"/>
      <c r="AZ61" s="174"/>
      <c r="BA61" s="174"/>
      <c r="BB61" s="174"/>
      <c r="BC61" s="174"/>
      <c r="BD61" s="174"/>
      <c r="BE61" s="174"/>
      <c r="BF61" s="174"/>
      <c r="BG61" s="174"/>
      <c r="BH61" s="174"/>
      <c r="BI61" s="174"/>
      <c r="BJ61" s="174"/>
      <c r="BK61" s="174"/>
      <c r="BL61" s="174"/>
      <c r="BM61" s="174"/>
      <c r="BN61" s="174"/>
      <c r="BO61" s="174"/>
      <c r="BP61" s="174"/>
      <c r="BQ61" s="174"/>
      <c r="BR61" s="174"/>
      <c r="BS61" s="174"/>
      <c r="BT61" s="174"/>
      <c r="BU61" s="174"/>
      <c r="BV61" s="174"/>
      <c r="BW61" s="174"/>
      <c r="BX61" s="174"/>
      <c r="BY61" s="174"/>
      <c r="BZ61" s="174"/>
      <c r="CA61" s="174"/>
      <c r="CB61" s="174"/>
      <c r="CC61" s="174"/>
      <c r="CD61" s="174"/>
      <c r="CE61" s="174"/>
      <c r="CF61" s="174"/>
      <c r="CG61" s="174"/>
      <c r="CH61" s="175"/>
    </row>
    <row r="62" spans="6:86" x14ac:dyDescent="0.3">
      <c r="F62" s="152">
        <v>0.63793100000000003</v>
      </c>
      <c r="L62" s="196"/>
      <c r="AW62" s="174"/>
      <c r="AX62" s="174"/>
      <c r="AY62" s="174"/>
      <c r="AZ62" s="174"/>
      <c r="BA62" s="174"/>
      <c r="BB62" s="174"/>
      <c r="BC62" s="174"/>
      <c r="BD62" s="174"/>
      <c r="BE62" s="174"/>
      <c r="BF62" s="174"/>
      <c r="BG62" s="174"/>
      <c r="BH62" s="174"/>
      <c r="BI62" s="174"/>
      <c r="BJ62" s="174"/>
      <c r="BK62" s="174"/>
      <c r="BL62" s="174"/>
      <c r="BM62" s="174"/>
      <c r="BN62" s="174"/>
      <c r="BO62" s="174"/>
      <c r="BP62" s="174"/>
      <c r="BQ62" s="174"/>
      <c r="BR62" s="174"/>
      <c r="BS62" s="174"/>
      <c r="BT62" s="174"/>
      <c r="BU62" s="174"/>
      <c r="BV62" s="174"/>
      <c r="BW62" s="174"/>
      <c r="BX62" s="174"/>
      <c r="BY62" s="174"/>
      <c r="BZ62" s="174"/>
      <c r="CA62" s="174"/>
      <c r="CB62" s="174"/>
      <c r="CC62" s="174"/>
      <c r="CD62" s="174"/>
      <c r="CE62" s="174"/>
      <c r="CF62" s="174"/>
      <c r="CG62" s="174"/>
      <c r="CH62" s="175"/>
    </row>
    <row r="63" spans="6:86" x14ac:dyDescent="0.3">
      <c r="F63" s="152">
        <v>1</v>
      </c>
      <c r="L63" s="196"/>
      <c r="AW63" s="174"/>
      <c r="AX63" s="174"/>
      <c r="AY63" s="174"/>
      <c r="AZ63" s="174"/>
      <c r="BA63" s="174"/>
      <c r="BB63" s="174"/>
      <c r="BC63" s="174"/>
      <c r="BD63" s="174"/>
      <c r="BE63" s="174"/>
      <c r="BF63" s="174"/>
      <c r="BG63" s="174"/>
      <c r="BH63" s="174"/>
      <c r="BI63" s="174"/>
      <c r="BJ63" s="174"/>
      <c r="BK63" s="174"/>
      <c r="BL63" s="174"/>
      <c r="BM63" s="174"/>
      <c r="BN63" s="174"/>
      <c r="BO63" s="174"/>
      <c r="BP63" s="174"/>
      <c r="BQ63" s="174"/>
      <c r="BR63" s="174"/>
      <c r="BS63" s="174"/>
      <c r="BT63" s="174"/>
      <c r="BU63" s="174"/>
      <c r="BV63" s="174"/>
      <c r="BW63" s="174"/>
      <c r="BX63" s="174"/>
      <c r="BY63" s="174"/>
      <c r="BZ63" s="174"/>
      <c r="CA63" s="174"/>
      <c r="CB63" s="174"/>
      <c r="CC63" s="174"/>
      <c r="CD63" s="174"/>
      <c r="CE63" s="174"/>
      <c r="CF63" s="174"/>
      <c r="CG63" s="174"/>
      <c r="CH63" s="175"/>
    </row>
    <row r="64" spans="6:86" x14ac:dyDescent="0.3">
      <c r="F64" s="152">
        <v>1</v>
      </c>
      <c r="L64" s="196"/>
      <c r="AW64" s="174"/>
      <c r="AX64" s="174"/>
      <c r="AY64" s="174"/>
      <c r="AZ64" s="174"/>
      <c r="BA64" s="174"/>
      <c r="BB64" s="174"/>
      <c r="BC64" s="174"/>
      <c r="BD64" s="174"/>
      <c r="BE64" s="174"/>
      <c r="BF64" s="174"/>
      <c r="BG64" s="174"/>
      <c r="BH64" s="174"/>
      <c r="BI64" s="174"/>
      <c r="BJ64" s="174"/>
      <c r="BK64" s="174"/>
      <c r="BL64" s="174"/>
      <c r="BM64" s="174"/>
      <c r="BN64" s="174"/>
      <c r="BO64" s="174"/>
      <c r="BP64" s="174"/>
      <c r="BQ64" s="174"/>
      <c r="BR64" s="174"/>
      <c r="BS64" s="174"/>
      <c r="BT64" s="174"/>
      <c r="BU64" s="174"/>
      <c r="BV64" s="174"/>
      <c r="BW64" s="174"/>
      <c r="BX64" s="174"/>
      <c r="BY64" s="174"/>
      <c r="BZ64" s="174"/>
      <c r="CA64" s="174"/>
      <c r="CB64" s="174"/>
      <c r="CC64" s="174"/>
      <c r="CD64" s="174"/>
      <c r="CE64" s="174"/>
      <c r="CF64" s="174"/>
      <c r="CG64" s="174"/>
      <c r="CH64" s="175"/>
    </row>
    <row r="65" spans="6:86" x14ac:dyDescent="0.3">
      <c r="F65" s="152">
        <v>1</v>
      </c>
      <c r="L65" s="196"/>
      <c r="AW65" s="174"/>
      <c r="AX65" s="174"/>
      <c r="AY65" s="174"/>
      <c r="AZ65" s="174"/>
      <c r="BA65" s="174"/>
      <c r="BB65" s="174"/>
      <c r="BC65" s="174"/>
      <c r="BD65" s="174"/>
      <c r="BE65" s="174"/>
      <c r="BF65" s="174"/>
      <c r="BG65" s="174"/>
      <c r="BH65" s="174"/>
      <c r="BI65" s="174"/>
      <c r="BJ65" s="174"/>
      <c r="BK65" s="174"/>
      <c r="BL65" s="174"/>
      <c r="BM65" s="174"/>
      <c r="BN65" s="174"/>
      <c r="BO65" s="174"/>
      <c r="BP65" s="174"/>
      <c r="BQ65" s="174"/>
      <c r="BR65" s="174"/>
      <c r="BS65" s="174"/>
      <c r="BT65" s="174"/>
      <c r="BU65" s="174"/>
      <c r="BV65" s="174"/>
      <c r="BW65" s="174"/>
      <c r="BX65" s="174"/>
      <c r="BY65" s="174"/>
      <c r="BZ65" s="174"/>
      <c r="CA65" s="174"/>
      <c r="CB65" s="174"/>
      <c r="CC65" s="174"/>
      <c r="CD65" s="174"/>
      <c r="CE65" s="174"/>
      <c r="CF65" s="174"/>
      <c r="CG65" s="174"/>
      <c r="CH65" s="175"/>
    </row>
    <row r="66" spans="6:86" x14ac:dyDescent="0.3">
      <c r="F66" s="152">
        <v>1</v>
      </c>
      <c r="L66" s="196"/>
      <c r="AW66" s="174"/>
      <c r="AX66" s="174"/>
      <c r="AY66" s="174"/>
      <c r="AZ66" s="174"/>
      <c r="BA66" s="174"/>
      <c r="BB66" s="174"/>
      <c r="BC66" s="174"/>
      <c r="BD66" s="174"/>
      <c r="BE66" s="174"/>
      <c r="BF66" s="174"/>
      <c r="BG66" s="174"/>
      <c r="BH66" s="174"/>
      <c r="BI66" s="174"/>
      <c r="BJ66" s="174"/>
      <c r="BK66" s="174"/>
      <c r="BL66" s="174"/>
      <c r="BM66" s="174"/>
      <c r="BN66" s="174"/>
      <c r="BO66" s="174"/>
      <c r="BP66" s="174"/>
      <c r="BQ66" s="174"/>
      <c r="BR66" s="174"/>
      <c r="BS66" s="174"/>
      <c r="BT66" s="174"/>
      <c r="BU66" s="174"/>
      <c r="BV66" s="174"/>
      <c r="BW66" s="174"/>
      <c r="BX66" s="174"/>
      <c r="BY66" s="174"/>
      <c r="BZ66" s="174"/>
      <c r="CA66" s="174"/>
      <c r="CB66" s="174"/>
      <c r="CC66" s="174"/>
      <c r="CD66" s="174"/>
      <c r="CE66" s="174"/>
      <c r="CF66" s="174"/>
      <c r="CG66" s="174"/>
      <c r="CH66" s="175"/>
    </row>
    <row r="67" spans="6:86" x14ac:dyDescent="0.3">
      <c r="F67" s="152">
        <v>1</v>
      </c>
      <c r="L67" s="196"/>
      <c r="AW67" s="174"/>
      <c r="AX67" s="174"/>
      <c r="AY67" s="174"/>
      <c r="AZ67" s="174"/>
      <c r="BA67" s="174"/>
      <c r="BB67" s="174"/>
      <c r="BC67" s="174"/>
      <c r="BD67" s="174"/>
      <c r="BE67" s="174"/>
      <c r="BF67" s="174"/>
      <c r="BG67" s="174"/>
      <c r="BH67" s="174"/>
      <c r="BI67" s="174"/>
      <c r="BJ67" s="174"/>
      <c r="BK67" s="174"/>
      <c r="BL67" s="174"/>
      <c r="BM67" s="174"/>
      <c r="BN67" s="174"/>
      <c r="BO67" s="174"/>
      <c r="BP67" s="174"/>
      <c r="BQ67" s="174"/>
      <c r="BR67" s="174"/>
      <c r="BS67" s="174"/>
      <c r="BT67" s="174"/>
      <c r="BU67" s="174"/>
      <c r="BV67" s="174"/>
      <c r="BW67" s="174"/>
      <c r="BX67" s="174"/>
      <c r="BY67" s="174"/>
      <c r="BZ67" s="174"/>
      <c r="CA67" s="174"/>
      <c r="CB67" s="174"/>
      <c r="CC67" s="174"/>
      <c r="CD67" s="174"/>
      <c r="CE67" s="174"/>
      <c r="CF67" s="174"/>
      <c r="CG67" s="174"/>
      <c r="CH67" s="175"/>
    </row>
    <row r="68" spans="6:86" x14ac:dyDescent="0.3">
      <c r="F68" s="152">
        <v>1</v>
      </c>
      <c r="L68" s="196"/>
      <c r="AW68" s="174"/>
      <c r="AX68" s="174"/>
      <c r="AY68" s="174"/>
      <c r="AZ68" s="174"/>
      <c r="BA68" s="174"/>
      <c r="BB68" s="174"/>
      <c r="BC68" s="174"/>
      <c r="BD68" s="174"/>
      <c r="BE68" s="174"/>
      <c r="BF68" s="174"/>
      <c r="BG68" s="174"/>
      <c r="BH68" s="174"/>
      <c r="BI68" s="174"/>
      <c r="BJ68" s="174"/>
      <c r="BK68" s="174"/>
      <c r="BL68" s="174"/>
      <c r="BM68" s="174"/>
      <c r="BN68" s="174"/>
      <c r="BO68" s="174"/>
      <c r="BP68" s="174"/>
      <c r="BQ68" s="174"/>
      <c r="BR68" s="174"/>
      <c r="BS68" s="174"/>
      <c r="BT68" s="174"/>
      <c r="BU68" s="174"/>
      <c r="BV68" s="174"/>
      <c r="BW68" s="174"/>
      <c r="BX68" s="174"/>
      <c r="BY68" s="174"/>
      <c r="BZ68" s="174"/>
      <c r="CA68" s="174"/>
      <c r="CB68" s="174"/>
      <c r="CC68" s="174"/>
      <c r="CD68" s="174"/>
      <c r="CE68" s="174"/>
      <c r="CF68" s="174"/>
      <c r="CG68" s="174"/>
      <c r="CH68" s="175"/>
    </row>
    <row r="69" spans="6:86" x14ac:dyDescent="0.3">
      <c r="F69" s="152">
        <v>1</v>
      </c>
      <c r="L69" s="196"/>
    </row>
    <row r="70" spans="6:86" x14ac:dyDescent="0.3">
      <c r="F70" s="152">
        <v>1</v>
      </c>
      <c r="L70" s="196"/>
    </row>
    <row r="71" spans="6:86" x14ac:dyDescent="0.3">
      <c r="F71" s="152">
        <v>1</v>
      </c>
      <c r="L71" s="196"/>
    </row>
    <row r="72" spans="6:86" x14ac:dyDescent="0.3">
      <c r="F72" s="152">
        <v>1</v>
      </c>
      <c r="L72" s="196"/>
    </row>
    <row r="73" spans="6:86" x14ac:dyDescent="0.3">
      <c r="L73" s="196"/>
    </row>
    <row r="74" spans="6:86" x14ac:dyDescent="0.3">
      <c r="L74" s="196"/>
    </row>
    <row r="75" spans="6:86" x14ac:dyDescent="0.3">
      <c r="L75" s="196"/>
    </row>
    <row r="76" spans="6:86" x14ac:dyDescent="0.3">
      <c r="L76" s="196"/>
    </row>
    <row r="77" spans="6:86" x14ac:dyDescent="0.3">
      <c r="L77" s="196"/>
    </row>
    <row r="78" spans="6:86" x14ac:dyDescent="0.3">
      <c r="L78" s="196"/>
    </row>
    <row r="79" spans="6:86" x14ac:dyDescent="0.3">
      <c r="L79" s="196"/>
    </row>
    <row r="80" spans="6:86" x14ac:dyDescent="0.3">
      <c r="L80" s="196"/>
    </row>
    <row r="81" spans="12:12" x14ac:dyDescent="0.3">
      <c r="L81" s="196"/>
    </row>
    <row r="82" spans="12:12" x14ac:dyDescent="0.3">
      <c r="L82" s="196"/>
    </row>
    <row r="83" spans="12:12" x14ac:dyDescent="0.3">
      <c r="L83" s="196"/>
    </row>
    <row r="84" spans="12:12" x14ac:dyDescent="0.3">
      <c r="L84" s="196"/>
    </row>
    <row r="85" spans="12:12" x14ac:dyDescent="0.3">
      <c r="L85" s="196"/>
    </row>
    <row r="86" spans="12:12" x14ac:dyDescent="0.3">
      <c r="L86" s="196"/>
    </row>
    <row r="87" spans="12:12" x14ac:dyDescent="0.3">
      <c r="L87" s="196"/>
    </row>
    <row r="88" spans="12:12" x14ac:dyDescent="0.3">
      <c r="L88" s="196"/>
    </row>
    <row r="89" spans="12:12" x14ac:dyDescent="0.3">
      <c r="L89" s="196"/>
    </row>
    <row r="90" spans="12:12" x14ac:dyDescent="0.3">
      <c r="L90" s="196"/>
    </row>
    <row r="91" spans="12:12" x14ac:dyDescent="0.3">
      <c r="L91" s="196"/>
    </row>
    <row r="92" spans="12:12" x14ac:dyDescent="0.3">
      <c r="L92" s="196"/>
    </row>
    <row r="93" spans="12:12" x14ac:dyDescent="0.3">
      <c r="L93" s="196"/>
    </row>
    <row r="94" spans="12:12" x14ac:dyDescent="0.3">
      <c r="L94" s="196"/>
    </row>
    <row r="95" spans="12:12" x14ac:dyDescent="0.3">
      <c r="L95" s="196"/>
    </row>
    <row r="96" spans="12:12" x14ac:dyDescent="0.3">
      <c r="L96" s="196"/>
    </row>
    <row r="97" spans="12:12" x14ac:dyDescent="0.3">
      <c r="L97" s="196"/>
    </row>
    <row r="98" spans="12:12" x14ac:dyDescent="0.3">
      <c r="L98" s="196"/>
    </row>
    <row r="99" spans="12:12" x14ac:dyDescent="0.3">
      <c r="L99" s="196"/>
    </row>
    <row r="100" spans="12:12" x14ac:dyDescent="0.3">
      <c r="L100" s="196"/>
    </row>
    <row r="101" spans="12:12" x14ac:dyDescent="0.3">
      <c r="L101" s="196"/>
    </row>
    <row r="102" spans="12:12" x14ac:dyDescent="0.3">
      <c r="L102" s="196"/>
    </row>
    <row r="103" spans="12:12" x14ac:dyDescent="0.3">
      <c r="L103" s="196"/>
    </row>
    <row r="104" spans="12:12" x14ac:dyDescent="0.3">
      <c r="L104" s="196"/>
    </row>
    <row r="105" spans="12:12" x14ac:dyDescent="0.3">
      <c r="L105" s="196"/>
    </row>
    <row r="106" spans="12:12" x14ac:dyDescent="0.3">
      <c r="L106" s="196"/>
    </row>
    <row r="107" spans="12:12" x14ac:dyDescent="0.3">
      <c r="L107" s="196"/>
    </row>
    <row r="108" spans="12:12" x14ac:dyDescent="0.3">
      <c r="L108" s="196"/>
    </row>
    <row r="109" spans="12:12" x14ac:dyDescent="0.3">
      <c r="L109" s="196"/>
    </row>
    <row r="110" spans="12:12" x14ac:dyDescent="0.3">
      <c r="L110" s="196"/>
    </row>
    <row r="111" spans="12:12" x14ac:dyDescent="0.3">
      <c r="L111" s="196"/>
    </row>
    <row r="112" spans="12:12" x14ac:dyDescent="0.3">
      <c r="L112" s="196"/>
    </row>
    <row r="113" spans="12:12" x14ac:dyDescent="0.3">
      <c r="L113" s="196"/>
    </row>
    <row r="114" spans="12:12" x14ac:dyDescent="0.3">
      <c r="L114" s="196"/>
    </row>
    <row r="115" spans="12:12" x14ac:dyDescent="0.3">
      <c r="L115" s="196"/>
    </row>
    <row r="116" spans="12:12" x14ac:dyDescent="0.3">
      <c r="L116" s="196"/>
    </row>
    <row r="117" spans="12:12" x14ac:dyDescent="0.3">
      <c r="L117" s="196"/>
    </row>
    <row r="118" spans="12:12" x14ac:dyDescent="0.3">
      <c r="L118" s="196"/>
    </row>
    <row r="119" spans="12:12" x14ac:dyDescent="0.3">
      <c r="L119" s="196"/>
    </row>
    <row r="120" spans="12:12" x14ac:dyDescent="0.3">
      <c r="L120" s="196"/>
    </row>
    <row r="121" spans="12:12" x14ac:dyDescent="0.3">
      <c r="L121" s="196"/>
    </row>
    <row r="122" spans="12:12" x14ac:dyDescent="0.3">
      <c r="L122" s="196"/>
    </row>
    <row r="123" spans="12:12" x14ac:dyDescent="0.3">
      <c r="L123" s="196"/>
    </row>
    <row r="124" spans="12:12" x14ac:dyDescent="0.3">
      <c r="L124" s="196"/>
    </row>
    <row r="125" spans="12:12" x14ac:dyDescent="0.3">
      <c r="L125" s="196"/>
    </row>
    <row r="126" spans="12:12" x14ac:dyDescent="0.3">
      <c r="L126" s="196"/>
    </row>
    <row r="127" spans="12:12" x14ac:dyDescent="0.3">
      <c r="L127" s="196"/>
    </row>
    <row r="128" spans="12:12" x14ac:dyDescent="0.3">
      <c r="L128" s="196"/>
    </row>
    <row r="129" spans="12:12" x14ac:dyDescent="0.3">
      <c r="L129" s="196"/>
    </row>
    <row r="130" spans="12:12" x14ac:dyDescent="0.3">
      <c r="L130" s="196"/>
    </row>
    <row r="131" spans="12:12" x14ac:dyDescent="0.3">
      <c r="L131" s="196"/>
    </row>
    <row r="132" spans="12:12" x14ac:dyDescent="0.3">
      <c r="L132" s="196"/>
    </row>
    <row r="133" spans="12:12" x14ac:dyDescent="0.3">
      <c r="L133" s="196"/>
    </row>
    <row r="134" spans="12:12" x14ac:dyDescent="0.3">
      <c r="L134" s="196"/>
    </row>
    <row r="135" spans="12:12" x14ac:dyDescent="0.3">
      <c r="L135" s="196"/>
    </row>
    <row r="136" spans="12:12" x14ac:dyDescent="0.3">
      <c r="L136" s="196"/>
    </row>
    <row r="137" spans="12:12" x14ac:dyDescent="0.3">
      <c r="L137" s="196"/>
    </row>
    <row r="138" spans="12:12" x14ac:dyDescent="0.3">
      <c r="L138" s="196"/>
    </row>
    <row r="139" spans="12:12" x14ac:dyDescent="0.3">
      <c r="L139" s="196"/>
    </row>
    <row r="140" spans="12:12" x14ac:dyDescent="0.3">
      <c r="L140" s="196"/>
    </row>
    <row r="141" spans="12:12" x14ac:dyDescent="0.3">
      <c r="L141" s="196"/>
    </row>
    <row r="142" spans="12:12" x14ac:dyDescent="0.3">
      <c r="L142" s="196"/>
    </row>
    <row r="143" spans="12:12" x14ac:dyDescent="0.3">
      <c r="L143" s="196"/>
    </row>
    <row r="144" spans="12:12" x14ac:dyDescent="0.3">
      <c r="L144" s="196"/>
    </row>
    <row r="145" spans="12:12" x14ac:dyDescent="0.3">
      <c r="L145" s="196"/>
    </row>
    <row r="146" spans="12:12" x14ac:dyDescent="0.3">
      <c r="L146" s="196"/>
    </row>
    <row r="147" spans="12:12" x14ac:dyDescent="0.3">
      <c r="L147" s="196"/>
    </row>
    <row r="148" spans="12:12" x14ac:dyDescent="0.3">
      <c r="L148" s="196"/>
    </row>
    <row r="149" spans="12:12" x14ac:dyDescent="0.3">
      <c r="L149" s="196"/>
    </row>
    <row r="150" spans="12:12" x14ac:dyDescent="0.3">
      <c r="L150" s="196"/>
    </row>
    <row r="151" spans="12:12" x14ac:dyDescent="0.3">
      <c r="L151" s="196"/>
    </row>
    <row r="152" spans="12:12" x14ac:dyDescent="0.3">
      <c r="L152" s="196"/>
    </row>
    <row r="153" spans="12:12" x14ac:dyDescent="0.3">
      <c r="L153" s="196"/>
    </row>
    <row r="154" spans="12:12" x14ac:dyDescent="0.3">
      <c r="L154" s="196"/>
    </row>
    <row r="155" spans="12:12" x14ac:dyDescent="0.3">
      <c r="L155" s="196"/>
    </row>
    <row r="156" spans="12:12" x14ac:dyDescent="0.3">
      <c r="L156" s="196"/>
    </row>
    <row r="157" spans="12:12" x14ac:dyDescent="0.3">
      <c r="L157" s="196"/>
    </row>
    <row r="158" spans="12:12" x14ac:dyDescent="0.3">
      <c r="L158" s="196"/>
    </row>
    <row r="159" spans="12:12" x14ac:dyDescent="0.3">
      <c r="L159" s="196"/>
    </row>
    <row r="160" spans="12:12" x14ac:dyDescent="0.3">
      <c r="L160" s="196"/>
    </row>
    <row r="161" spans="12:12" x14ac:dyDescent="0.3">
      <c r="L161" s="196"/>
    </row>
    <row r="162" spans="12:12" x14ac:dyDescent="0.3">
      <c r="L162" s="196"/>
    </row>
    <row r="163" spans="12:12" x14ac:dyDescent="0.3">
      <c r="L163" s="196"/>
    </row>
    <row r="164" spans="12:12" x14ac:dyDescent="0.3">
      <c r="L164" s="196"/>
    </row>
    <row r="165" spans="12:12" x14ac:dyDescent="0.3">
      <c r="L165" s="196"/>
    </row>
    <row r="166" spans="12:12" x14ac:dyDescent="0.3">
      <c r="L166" s="196"/>
    </row>
    <row r="167" spans="12:12" x14ac:dyDescent="0.3">
      <c r="L167" s="196"/>
    </row>
    <row r="168" spans="12:12" x14ac:dyDescent="0.3">
      <c r="L168" s="196"/>
    </row>
    <row r="169" spans="12:12" x14ac:dyDescent="0.3">
      <c r="L169" s="196"/>
    </row>
    <row r="170" spans="12:12" x14ac:dyDescent="0.3">
      <c r="L170" s="196"/>
    </row>
    <row r="171" spans="12:12" x14ac:dyDescent="0.3">
      <c r="L171" s="196"/>
    </row>
    <row r="172" spans="12:12" x14ac:dyDescent="0.3">
      <c r="L172" s="196"/>
    </row>
    <row r="173" spans="12:12" x14ac:dyDescent="0.3">
      <c r="L173" s="196"/>
    </row>
    <row r="174" spans="12:12" x14ac:dyDescent="0.3">
      <c r="L174" s="196"/>
    </row>
    <row r="175" spans="12:12" x14ac:dyDescent="0.3">
      <c r="L175" s="196"/>
    </row>
    <row r="176" spans="12:12" x14ac:dyDescent="0.3">
      <c r="L176" s="196"/>
    </row>
    <row r="177" spans="12:12" x14ac:dyDescent="0.3">
      <c r="L177" s="196"/>
    </row>
    <row r="178" spans="12:12" x14ac:dyDescent="0.3">
      <c r="L178" s="196"/>
    </row>
    <row r="179" spans="12:12" x14ac:dyDescent="0.3">
      <c r="L179" s="196"/>
    </row>
    <row r="180" spans="12:12" x14ac:dyDescent="0.3">
      <c r="L180" s="196"/>
    </row>
    <row r="181" spans="12:12" x14ac:dyDescent="0.3">
      <c r="L181" s="196"/>
    </row>
    <row r="182" spans="12:12" x14ac:dyDescent="0.3">
      <c r="L182" s="196"/>
    </row>
    <row r="183" spans="12:12" x14ac:dyDescent="0.3">
      <c r="L183" s="196"/>
    </row>
    <row r="184" spans="12:12" x14ac:dyDescent="0.3">
      <c r="L184" s="196"/>
    </row>
    <row r="185" spans="12:12" x14ac:dyDescent="0.3">
      <c r="L185" s="196"/>
    </row>
    <row r="186" spans="12:12" x14ac:dyDescent="0.3">
      <c r="L186" s="196"/>
    </row>
    <row r="187" spans="12:12" x14ac:dyDescent="0.3">
      <c r="L187" s="196"/>
    </row>
    <row r="188" spans="12:12" x14ac:dyDescent="0.3">
      <c r="L188" s="196"/>
    </row>
    <row r="189" spans="12:12" x14ac:dyDescent="0.3">
      <c r="L189" s="196"/>
    </row>
    <row r="190" spans="12:12" x14ac:dyDescent="0.3">
      <c r="L190" s="196"/>
    </row>
    <row r="191" spans="12:12" x14ac:dyDescent="0.3">
      <c r="L191" s="196"/>
    </row>
    <row r="192" spans="12:12" x14ac:dyDescent="0.3">
      <c r="L192" s="196"/>
    </row>
    <row r="193" spans="12:12" x14ac:dyDescent="0.3">
      <c r="L193" s="196"/>
    </row>
    <row r="194" spans="12:12" x14ac:dyDescent="0.3">
      <c r="L194" s="196"/>
    </row>
    <row r="195" spans="12:12" x14ac:dyDescent="0.3">
      <c r="L195" s="196"/>
    </row>
    <row r="196" spans="12:12" x14ac:dyDescent="0.3">
      <c r="L196" s="196"/>
    </row>
    <row r="197" spans="12:12" x14ac:dyDescent="0.3">
      <c r="L197" s="196"/>
    </row>
    <row r="198" spans="12:12" x14ac:dyDescent="0.3">
      <c r="L198" s="196"/>
    </row>
    <row r="199" spans="12:12" x14ac:dyDescent="0.3">
      <c r="L199" s="196"/>
    </row>
    <row r="200" spans="12:12" x14ac:dyDescent="0.3">
      <c r="L200" s="196"/>
    </row>
    <row r="201" spans="12:12" x14ac:dyDescent="0.3">
      <c r="L201" s="196"/>
    </row>
    <row r="202" spans="12:12" x14ac:dyDescent="0.3">
      <c r="L202" s="196"/>
    </row>
    <row r="203" spans="12:12" x14ac:dyDescent="0.3">
      <c r="L203" s="196"/>
    </row>
    <row r="204" spans="12:12" x14ac:dyDescent="0.3">
      <c r="L204" s="196"/>
    </row>
    <row r="205" spans="12:12" x14ac:dyDescent="0.3">
      <c r="L205" s="196"/>
    </row>
    <row r="206" spans="12:12" x14ac:dyDescent="0.3">
      <c r="L206" s="196"/>
    </row>
    <row r="207" spans="12:12" x14ac:dyDescent="0.3">
      <c r="L207" s="196"/>
    </row>
    <row r="208" spans="12:12" x14ac:dyDescent="0.3">
      <c r="L208" s="196"/>
    </row>
    <row r="209" spans="12:12" x14ac:dyDescent="0.3">
      <c r="L209" s="196"/>
    </row>
    <row r="210" spans="12:12" x14ac:dyDescent="0.3">
      <c r="L210" s="196"/>
    </row>
    <row r="211" spans="12:12" x14ac:dyDescent="0.3">
      <c r="L211" s="196"/>
    </row>
    <row r="212" spans="12:12" x14ac:dyDescent="0.3">
      <c r="L212" s="196"/>
    </row>
    <row r="213" spans="12:12" x14ac:dyDescent="0.3">
      <c r="L213" s="196"/>
    </row>
    <row r="214" spans="12:12" x14ac:dyDescent="0.3">
      <c r="L214" s="196"/>
    </row>
    <row r="215" spans="12:12" x14ac:dyDescent="0.3">
      <c r="L215" s="196"/>
    </row>
    <row r="216" spans="12:12" x14ac:dyDescent="0.3">
      <c r="L216" s="196"/>
    </row>
    <row r="217" spans="12:12" x14ac:dyDescent="0.3">
      <c r="L217" s="196"/>
    </row>
    <row r="218" spans="12:12" x14ac:dyDescent="0.3">
      <c r="L218" s="196"/>
    </row>
    <row r="219" spans="12:12" x14ac:dyDescent="0.3">
      <c r="L219" s="196"/>
    </row>
    <row r="220" spans="12:12" x14ac:dyDescent="0.3">
      <c r="L220" s="196"/>
    </row>
    <row r="221" spans="12:12" x14ac:dyDescent="0.3">
      <c r="L221" s="196"/>
    </row>
    <row r="222" spans="12:12" x14ac:dyDescent="0.3">
      <c r="L222" s="196"/>
    </row>
    <row r="223" spans="12:12" x14ac:dyDescent="0.3">
      <c r="L223" s="196"/>
    </row>
    <row r="224" spans="12:12" x14ac:dyDescent="0.3">
      <c r="L224" s="196"/>
    </row>
    <row r="225" spans="12:12" x14ac:dyDescent="0.3">
      <c r="L225" s="196"/>
    </row>
    <row r="226" spans="12:12" x14ac:dyDescent="0.3">
      <c r="L226" s="196"/>
    </row>
    <row r="227" spans="12:12" x14ac:dyDescent="0.3">
      <c r="L227" s="196"/>
    </row>
    <row r="228" spans="12:12" x14ac:dyDescent="0.3">
      <c r="L228" s="196"/>
    </row>
    <row r="229" spans="12:12" x14ac:dyDescent="0.3">
      <c r="L229" s="196"/>
    </row>
    <row r="230" spans="12:12" x14ac:dyDescent="0.3">
      <c r="L230" s="196"/>
    </row>
    <row r="231" spans="12:12" x14ac:dyDescent="0.3">
      <c r="L231" s="196"/>
    </row>
    <row r="232" spans="12:12" x14ac:dyDescent="0.3">
      <c r="L232" s="196"/>
    </row>
    <row r="233" spans="12:12" x14ac:dyDescent="0.3">
      <c r="L233" s="196"/>
    </row>
    <row r="234" spans="12:12" x14ac:dyDescent="0.3">
      <c r="L234" s="196"/>
    </row>
    <row r="235" spans="12:12" x14ac:dyDescent="0.3">
      <c r="L235" s="196"/>
    </row>
    <row r="236" spans="12:12" x14ac:dyDescent="0.3">
      <c r="L236" s="196"/>
    </row>
    <row r="237" spans="12:12" x14ac:dyDescent="0.3">
      <c r="L237" s="196"/>
    </row>
    <row r="238" spans="12:12" x14ac:dyDescent="0.3">
      <c r="L238" s="196"/>
    </row>
    <row r="239" spans="12:12" x14ac:dyDescent="0.3">
      <c r="L239" s="196"/>
    </row>
    <row r="240" spans="12:12" x14ac:dyDescent="0.3">
      <c r="L240" s="196"/>
    </row>
    <row r="241" spans="12:12" x14ac:dyDescent="0.3">
      <c r="L241" s="196"/>
    </row>
    <row r="242" spans="12:12" x14ac:dyDescent="0.3">
      <c r="L242" s="196"/>
    </row>
    <row r="243" spans="12:12" x14ac:dyDescent="0.3">
      <c r="L243" s="196"/>
    </row>
    <row r="244" spans="12:12" x14ac:dyDescent="0.3">
      <c r="L244" s="196"/>
    </row>
    <row r="245" spans="12:12" x14ac:dyDescent="0.3">
      <c r="L245" s="196"/>
    </row>
    <row r="246" spans="12:12" x14ac:dyDescent="0.3">
      <c r="L246" s="196"/>
    </row>
    <row r="247" spans="12:12" x14ac:dyDescent="0.3">
      <c r="L247" s="196"/>
    </row>
    <row r="248" spans="12:12" x14ac:dyDescent="0.3">
      <c r="L248" s="196"/>
    </row>
    <row r="249" spans="12:12" x14ac:dyDescent="0.3">
      <c r="L249" s="196"/>
    </row>
    <row r="250" spans="12:12" x14ac:dyDescent="0.3">
      <c r="L250" s="196"/>
    </row>
    <row r="251" spans="12:12" x14ac:dyDescent="0.3">
      <c r="L251" s="196"/>
    </row>
    <row r="252" spans="12:12" x14ac:dyDescent="0.3">
      <c r="L252" s="196"/>
    </row>
    <row r="253" spans="12:12" x14ac:dyDescent="0.3">
      <c r="L253" s="196"/>
    </row>
    <row r="254" spans="12:12" x14ac:dyDescent="0.3">
      <c r="L254" s="196"/>
    </row>
    <row r="255" spans="12:12" x14ac:dyDescent="0.3">
      <c r="L255" s="196"/>
    </row>
  </sheetData>
  <mergeCells count="2">
    <mergeCell ref="R3:S3"/>
    <mergeCell ref="U3:V3"/>
  </mergeCells>
  <conditionalFormatting sqref="AM27:AP36 Q27:Q36 N27:N36">
    <cfRule type="expression" dxfId="157" priority="12">
      <formula>$L27="API sand"</formula>
    </cfRule>
  </conditionalFormatting>
  <conditionalFormatting sqref="R27:S36 AB27:AB35 AJ27:AL36 Z27:Z36 N27:N36">
    <cfRule type="expression" dxfId="156" priority="11">
      <formula>$M27="API sand"</formula>
    </cfRule>
  </conditionalFormatting>
  <conditionalFormatting sqref="R27:T36 Z27:AB35 AK27:AL36 N27:N36">
    <cfRule type="expression" dxfId="155" priority="10">
      <formula>$M27="API clay"</formula>
    </cfRule>
  </conditionalFormatting>
  <conditionalFormatting sqref="U27:W36 AM27:AP36 N27:P36">
    <cfRule type="expression" dxfId="154" priority="7">
      <formula>$L27="Stiff clay w/o free water"</formula>
    </cfRule>
    <cfRule type="expression" dxfId="153" priority="9">
      <formula>$L27="API clay"</formula>
    </cfRule>
  </conditionalFormatting>
  <conditionalFormatting sqref="U27:Y36 AM27:AP36 N27:P36">
    <cfRule type="expression" dxfId="152" priority="8">
      <formula>$L27="Kirsch soft clay"</formula>
    </cfRule>
  </conditionalFormatting>
  <conditionalFormatting sqref="U27:Y36 AM27:AP36 N27:P36">
    <cfRule type="expression" dxfId="151" priority="6">
      <formula>$L27="Kirsch stiff clay"</formula>
    </cfRule>
  </conditionalFormatting>
  <conditionalFormatting sqref="AM27:AP36 Q27:Q36 X27:Y36 N27:N36">
    <cfRule type="expression" dxfId="150" priority="5">
      <formula>$L27="Kirsch sand"</formula>
    </cfRule>
  </conditionalFormatting>
  <conditionalFormatting sqref="AC27:AD36 AI27:AI36 AM27:AP36 N27:N36">
    <cfRule type="expression" dxfId="149" priority="4">
      <formula>$L27="Modified Weak rock"</formula>
    </cfRule>
  </conditionalFormatting>
  <conditionalFormatting sqref="AM27:AP36 N27:P36 U27:V36">
    <cfRule type="expression" dxfId="148" priority="3">
      <formula>$L27="Reese stiff clay"</formula>
    </cfRule>
  </conditionalFormatting>
  <conditionalFormatting sqref="AB36">
    <cfRule type="expression" dxfId="147" priority="2">
      <formula>$M36="API sand"</formula>
    </cfRule>
  </conditionalFormatting>
  <conditionalFormatting sqref="Z36:AB36">
    <cfRule type="expression" dxfId="146" priority="1">
      <formula>$M36="API clay"</formula>
    </cfRule>
  </conditionalFormatting>
  <conditionalFormatting sqref="AE37:AH37">
    <cfRule type="expression" dxfId="145" priority="13">
      <formula>#REF!="Modified Weak rock"</formula>
    </cfRule>
  </conditionalFormatting>
  <dataValidations count="3">
    <dataValidation type="list" showInputMessage="1" showErrorMessage="1" sqref="M27:M36" xr:uid="{74BAA5DC-9091-4866-82EA-4B14B6D174BA}">
      <formula1>"',API sand,API clay"</formula1>
    </dataValidation>
    <dataValidation type="list" showInputMessage="1" showErrorMessage="1" sqref="L27:L255" xr:uid="{FC18EBB7-600D-48C5-A8BD-6D128A70A0E5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L6:M26" xr:uid="{6ECFA10C-C66F-42E1-BB96-8EAB0848DDBF}"/>
  </dataValidations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7237A-3C09-4556-984C-EA167D454E21}">
  <sheetPr>
    <tabColor rgb="FF7030A0"/>
  </sheetPr>
  <dimension ref="A1:CH255"/>
  <sheetViews>
    <sheetView zoomScaleNormal="100" workbookViewId="0">
      <selection activeCell="L32" sqref="L32"/>
    </sheetView>
  </sheetViews>
  <sheetFormatPr defaultColWidth="9.33203125" defaultRowHeight="14.4" x14ac:dyDescent="0.3"/>
  <cols>
    <col min="1" max="1" width="18" style="152" bestFit="1" customWidth="1"/>
    <col min="2" max="2" width="13.6640625" style="152" customWidth="1"/>
    <col min="3" max="3" width="13.5546875" style="152" customWidth="1"/>
    <col min="4" max="5" width="14" style="152" customWidth="1"/>
    <col min="6" max="6" width="13" style="152" bestFit="1" customWidth="1"/>
    <col min="7" max="7" width="13.5546875" style="152" customWidth="1"/>
    <col min="8" max="8" width="11" style="152" bestFit="1" customWidth="1"/>
    <col min="9" max="9" width="15.6640625" style="152" bestFit="1" customWidth="1"/>
    <col min="10" max="10" width="10.33203125" style="152" customWidth="1"/>
    <col min="11" max="11" width="11.5546875" style="152" bestFit="1" customWidth="1"/>
    <col min="12" max="12" width="31.44140625" style="152" customWidth="1"/>
    <col min="13" max="13" width="11.6640625" style="152" bestFit="1" customWidth="1"/>
    <col min="14" max="14" width="11" style="152" bestFit="1" customWidth="1"/>
    <col min="15" max="15" width="9.33203125" style="152" customWidth="1"/>
    <col min="16" max="16" width="10.5546875" style="152" customWidth="1"/>
    <col min="17" max="18" width="9.5546875" style="152" bestFit="1" customWidth="1"/>
    <col min="19" max="20" width="6.5546875" style="152" customWidth="1"/>
    <col min="21" max="21" width="13.33203125" style="152" customWidth="1"/>
    <col min="22" max="22" width="19.44140625" style="152" customWidth="1"/>
    <col min="23" max="23" width="6.5546875" style="152" customWidth="1"/>
    <col min="24" max="24" width="11.6640625" style="152" customWidth="1"/>
    <col min="25" max="25" width="8.44140625" style="152" bestFit="1" customWidth="1"/>
    <col min="26" max="26" width="11.6640625" style="152" customWidth="1"/>
    <col min="27" max="27" width="11" style="152" bestFit="1" customWidth="1"/>
    <col min="28" max="28" width="10.5546875" style="152" customWidth="1"/>
    <col min="29" max="29" width="14.6640625" style="152" customWidth="1"/>
    <col min="30" max="30" width="11.6640625" style="152" customWidth="1"/>
    <col min="31" max="31" width="10.33203125" style="152" customWidth="1"/>
    <col min="32" max="32" width="8.33203125" style="152" customWidth="1"/>
    <col min="33" max="33" width="13.6640625" style="152" customWidth="1"/>
    <col min="34" max="34" width="8.44140625" style="152" customWidth="1"/>
    <col min="35" max="35" width="7.6640625" style="152" customWidth="1"/>
    <col min="36" max="36" width="8.5546875" style="152" customWidth="1"/>
    <col min="37" max="37" width="11.33203125" style="152" bestFit="1" customWidth="1"/>
    <col min="38" max="38" width="11.44140625" style="152" bestFit="1" customWidth="1"/>
    <col min="39" max="39" width="11.6640625" style="152" bestFit="1" customWidth="1"/>
    <col min="40" max="40" width="11.5546875" style="152" bestFit="1" customWidth="1"/>
    <col min="41" max="42" width="11.5546875" style="152" customWidth="1"/>
    <col min="43" max="44" width="9.33203125" style="152"/>
    <col min="45" max="45" width="15.5546875" style="152" bestFit="1" customWidth="1"/>
    <col min="46" max="46" width="25.6640625" style="152" bestFit="1" customWidth="1"/>
    <col min="47" max="16384" width="9.33203125" style="152"/>
  </cols>
  <sheetData>
    <row r="1" spans="1:86" x14ac:dyDescent="0.3">
      <c r="A1" s="151" t="str">
        <f ca="1">TRIM(MID(CELL("filename",A1),FIND("]",CELL("filename",A1),1)+1,255))</f>
        <v>D2_34_NGI</v>
      </c>
      <c r="D1" s="151"/>
    </row>
    <row r="3" spans="1:86" s="153" customFormat="1" ht="45" customHeight="1" x14ac:dyDescent="0.3">
      <c r="F3" s="154" t="s">
        <v>37</v>
      </c>
      <c r="J3" s="155" t="s">
        <v>22</v>
      </c>
      <c r="Q3" s="156"/>
      <c r="R3" s="237"/>
      <c r="S3" s="237"/>
      <c r="T3" s="156"/>
      <c r="U3" s="237"/>
      <c r="V3" s="237"/>
      <c r="W3" s="156"/>
      <c r="X3" s="157"/>
      <c r="Y3" s="156"/>
      <c r="Z3" s="156"/>
      <c r="AA3" s="156"/>
      <c r="AB3" s="156"/>
      <c r="AC3" s="157"/>
      <c r="AD3" s="158"/>
      <c r="AE3" s="158"/>
      <c r="AF3" s="158"/>
      <c r="AG3" s="158"/>
      <c r="AH3" s="158"/>
      <c r="AI3" s="158"/>
      <c r="AJ3" s="156"/>
      <c r="AK3" s="156"/>
      <c r="AL3" s="156"/>
      <c r="AM3" s="156"/>
      <c r="AN3" s="156"/>
      <c r="AO3" s="156"/>
      <c r="AP3" s="156"/>
      <c r="AW3" s="153" t="s">
        <v>491</v>
      </c>
    </row>
    <row r="4" spans="1:86" x14ac:dyDescent="0.3">
      <c r="A4" s="159" t="s">
        <v>54</v>
      </c>
      <c r="B4" s="152">
        <f>COUNTIF(J:J,"&gt;0")</f>
        <v>23</v>
      </c>
      <c r="C4" s="160" t="s">
        <v>402</v>
      </c>
      <c r="D4" s="161"/>
      <c r="F4" s="152" t="s">
        <v>38</v>
      </c>
      <c r="G4" s="162">
        <v>0</v>
      </c>
      <c r="H4" s="160" t="s">
        <v>28</v>
      </c>
      <c r="I4" s="152" t="s">
        <v>492</v>
      </c>
      <c r="J4" s="161" t="s">
        <v>0</v>
      </c>
      <c r="K4" s="161" t="s">
        <v>3</v>
      </c>
      <c r="L4" s="161" t="s">
        <v>1</v>
      </c>
      <c r="M4" s="161" t="s">
        <v>2</v>
      </c>
      <c r="N4" s="161" t="s">
        <v>6</v>
      </c>
      <c r="O4" s="161" t="s">
        <v>4</v>
      </c>
      <c r="P4" s="161" t="s">
        <v>5</v>
      </c>
      <c r="Q4" s="161" t="s">
        <v>7</v>
      </c>
      <c r="R4" s="161" t="s">
        <v>13</v>
      </c>
      <c r="S4" s="161" t="s">
        <v>65</v>
      </c>
      <c r="T4" s="161" t="s">
        <v>14</v>
      </c>
      <c r="U4" s="161" t="s">
        <v>8</v>
      </c>
      <c r="V4" s="161" t="s">
        <v>9</v>
      </c>
      <c r="W4" s="161" t="s">
        <v>10</v>
      </c>
      <c r="X4" s="161" t="s">
        <v>67</v>
      </c>
      <c r="Y4" s="161" t="s">
        <v>71</v>
      </c>
      <c r="Z4" s="161" t="s">
        <v>15</v>
      </c>
      <c r="AA4" s="161" t="s">
        <v>16</v>
      </c>
      <c r="AB4" s="161" t="s">
        <v>17</v>
      </c>
      <c r="AC4" s="161" t="s">
        <v>11</v>
      </c>
      <c r="AD4" s="161" t="s">
        <v>12</v>
      </c>
      <c r="AE4" s="161" t="s">
        <v>18</v>
      </c>
      <c r="AF4" s="161" t="s">
        <v>19</v>
      </c>
      <c r="AG4" s="161" t="s">
        <v>408</v>
      </c>
      <c r="AH4" s="161" t="s">
        <v>20</v>
      </c>
      <c r="AI4" s="161" t="s">
        <v>21</v>
      </c>
      <c r="AJ4" s="161" t="s">
        <v>59</v>
      </c>
      <c r="AK4" s="161" t="s">
        <v>64</v>
      </c>
      <c r="AL4" s="161" t="s">
        <v>68</v>
      </c>
      <c r="AM4" s="161" t="s">
        <v>69</v>
      </c>
      <c r="AN4" s="161" t="s">
        <v>70</v>
      </c>
      <c r="AO4" s="161" t="s">
        <v>407</v>
      </c>
      <c r="AP4" s="161" t="s">
        <v>406</v>
      </c>
      <c r="AQ4" s="163" t="s">
        <v>405</v>
      </c>
      <c r="AR4" s="161" t="s">
        <v>404</v>
      </c>
      <c r="AS4" s="152" t="s">
        <v>403</v>
      </c>
      <c r="AT4" s="66" t="s">
        <v>487</v>
      </c>
      <c r="AU4" s="66" t="s">
        <v>480</v>
      </c>
      <c r="AV4" s="66" t="s">
        <v>488</v>
      </c>
    </row>
    <row r="5" spans="1:86" ht="92.4" x14ac:dyDescent="0.3">
      <c r="A5" s="152" t="s">
        <v>55</v>
      </c>
      <c r="B5" s="152">
        <f ca="1">COUNTIF(A:A,"&gt;0")</f>
        <v>1</v>
      </c>
      <c r="C5" s="160" t="s">
        <v>402</v>
      </c>
      <c r="F5" s="152" t="s">
        <v>39</v>
      </c>
      <c r="G5" s="162">
        <v>0</v>
      </c>
      <c r="H5" s="160" t="s">
        <v>28</v>
      </c>
      <c r="J5" s="164" t="s">
        <v>36</v>
      </c>
      <c r="K5" s="164" t="s">
        <v>29</v>
      </c>
      <c r="L5" s="164" t="s">
        <v>30</v>
      </c>
      <c r="M5" s="164" t="s">
        <v>30</v>
      </c>
      <c r="N5" s="164" t="s">
        <v>31</v>
      </c>
      <c r="O5" s="164" t="s">
        <v>32</v>
      </c>
      <c r="P5" s="164" t="s">
        <v>34</v>
      </c>
      <c r="Q5" s="164" t="s">
        <v>35</v>
      </c>
      <c r="R5" s="164" t="s">
        <v>35</v>
      </c>
      <c r="S5" s="164" t="s">
        <v>33</v>
      </c>
      <c r="T5" s="164" t="s">
        <v>32</v>
      </c>
      <c r="U5" s="164" t="s">
        <v>33</v>
      </c>
      <c r="V5" s="164" t="s">
        <v>401</v>
      </c>
      <c r="W5" s="164" t="s">
        <v>33</v>
      </c>
      <c r="X5" s="164" t="s">
        <v>32</v>
      </c>
      <c r="Y5" s="164" t="s">
        <v>34</v>
      </c>
      <c r="Z5" s="164" t="s">
        <v>32</v>
      </c>
      <c r="AA5" s="164" t="s">
        <v>33</v>
      </c>
      <c r="AB5" s="164" t="s">
        <v>32</v>
      </c>
      <c r="AC5" s="164" t="s">
        <v>32</v>
      </c>
      <c r="AD5" s="164" t="s">
        <v>34</v>
      </c>
      <c r="AE5" s="164" t="s">
        <v>33</v>
      </c>
      <c r="AF5" s="164" t="s">
        <v>32</v>
      </c>
      <c r="AG5" s="164" t="s">
        <v>34</v>
      </c>
      <c r="AH5" s="164" t="s">
        <v>33</v>
      </c>
      <c r="AI5" s="164" t="s">
        <v>33</v>
      </c>
      <c r="AJ5" s="164" t="s">
        <v>33</v>
      </c>
      <c r="AK5" s="164" t="s">
        <v>33</v>
      </c>
      <c r="AL5" s="164" t="s">
        <v>33</v>
      </c>
      <c r="AM5" s="164" t="s">
        <v>33</v>
      </c>
      <c r="AN5" s="164" t="s">
        <v>33</v>
      </c>
      <c r="AO5" s="164" t="s">
        <v>33</v>
      </c>
      <c r="AP5" s="164" t="s">
        <v>33</v>
      </c>
      <c r="AQ5" s="164" t="s">
        <v>400</v>
      </c>
      <c r="AR5" s="164" t="s">
        <v>399</v>
      </c>
      <c r="AW5" s="165" t="s">
        <v>493</v>
      </c>
      <c r="AX5" s="165" t="s">
        <v>494</v>
      </c>
      <c r="AY5" s="165" t="s">
        <v>495</v>
      </c>
      <c r="AZ5" s="165" t="s">
        <v>496</v>
      </c>
      <c r="BA5" s="165" t="s">
        <v>497</v>
      </c>
      <c r="BB5" s="165" t="s">
        <v>498</v>
      </c>
      <c r="BC5" s="165" t="s">
        <v>499</v>
      </c>
      <c r="BD5" s="165" t="s">
        <v>500</v>
      </c>
      <c r="BE5" s="165" t="s">
        <v>501</v>
      </c>
      <c r="BF5" s="165" t="s">
        <v>502</v>
      </c>
      <c r="BG5" s="165" t="s">
        <v>503</v>
      </c>
      <c r="BH5" s="165" t="s">
        <v>504</v>
      </c>
      <c r="BI5" s="165" t="s">
        <v>505</v>
      </c>
      <c r="BJ5" s="165" t="s">
        <v>506</v>
      </c>
      <c r="BK5" s="165" t="s">
        <v>507</v>
      </c>
      <c r="BL5" s="165" t="s">
        <v>508</v>
      </c>
      <c r="BM5" s="165" t="s">
        <v>509</v>
      </c>
      <c r="BN5" s="165" t="s">
        <v>510</v>
      </c>
      <c r="BO5" s="165" t="s">
        <v>511</v>
      </c>
      <c r="BP5" s="165" t="s">
        <v>512</v>
      </c>
      <c r="BQ5" s="165" t="s">
        <v>513</v>
      </c>
      <c r="BR5" s="165" t="s">
        <v>514</v>
      </c>
      <c r="BS5" s="165" t="s">
        <v>515</v>
      </c>
      <c r="BT5" s="165" t="s">
        <v>516</v>
      </c>
      <c r="BU5" s="165" t="s">
        <v>517</v>
      </c>
      <c r="BV5" s="165" t="s">
        <v>518</v>
      </c>
      <c r="BW5" s="165" t="s">
        <v>519</v>
      </c>
      <c r="BX5" s="165" t="s">
        <v>520</v>
      </c>
      <c r="BY5" s="165" t="s">
        <v>521</v>
      </c>
      <c r="BZ5" s="165" t="s">
        <v>522</v>
      </c>
      <c r="CA5" s="165" t="s">
        <v>523</v>
      </c>
      <c r="CB5" s="165" t="s">
        <v>524</v>
      </c>
      <c r="CC5" s="165" t="s">
        <v>525</v>
      </c>
      <c r="CD5" s="165" t="s">
        <v>526</v>
      </c>
      <c r="CE5" s="165" t="s">
        <v>527</v>
      </c>
      <c r="CF5" s="165" t="s">
        <v>528</v>
      </c>
      <c r="CG5" s="165" t="s">
        <v>529</v>
      </c>
      <c r="CH5" s="165" t="s">
        <v>530</v>
      </c>
    </row>
    <row r="6" spans="1:86" x14ac:dyDescent="0.3">
      <c r="C6" s="160"/>
      <c r="F6" s="152" t="s">
        <v>60</v>
      </c>
      <c r="G6" s="166"/>
      <c r="H6" s="160" t="s">
        <v>28</v>
      </c>
      <c r="I6" s="152" t="s">
        <v>533</v>
      </c>
      <c r="J6" s="167">
        <v>1</v>
      </c>
      <c r="K6" s="168">
        <v>0</v>
      </c>
      <c r="L6" s="169" t="s">
        <v>531</v>
      </c>
      <c r="M6" s="67" t="s">
        <v>57</v>
      </c>
      <c r="N6" s="167">
        <v>9.6000000000000014</v>
      </c>
      <c r="O6" s="170">
        <v>0</v>
      </c>
      <c r="P6" s="170">
        <v>0</v>
      </c>
      <c r="Q6" s="167">
        <v>39</v>
      </c>
      <c r="R6" s="167">
        <v>34</v>
      </c>
      <c r="S6" s="167">
        <v>0.3</v>
      </c>
      <c r="T6" s="167">
        <v>0</v>
      </c>
      <c r="U6" s="171">
        <v>0</v>
      </c>
      <c r="V6" s="171">
        <v>0</v>
      </c>
      <c r="W6" s="167">
        <v>0</v>
      </c>
      <c r="X6" s="167">
        <v>22700</v>
      </c>
      <c r="Y6" s="167">
        <v>0</v>
      </c>
      <c r="Z6" s="167">
        <v>111.19999999999996</v>
      </c>
      <c r="AA6" s="167">
        <v>1</v>
      </c>
      <c r="AB6" s="167">
        <v>11520</v>
      </c>
      <c r="AC6" s="170">
        <v>2000</v>
      </c>
      <c r="AD6" s="172">
        <v>62222.222222222219</v>
      </c>
      <c r="AE6" s="170">
        <v>0.3</v>
      </c>
      <c r="AF6" s="170">
        <v>0</v>
      </c>
      <c r="AG6" s="170">
        <v>0</v>
      </c>
      <c r="AH6" s="170">
        <v>0</v>
      </c>
      <c r="AI6" s="170">
        <v>0</v>
      </c>
      <c r="AJ6" s="167">
        <v>48.000000000000007</v>
      </c>
      <c r="AK6" s="167">
        <v>1</v>
      </c>
      <c r="AL6" s="167">
        <v>1</v>
      </c>
      <c r="AM6" s="167">
        <v>1</v>
      </c>
      <c r="AN6" s="167">
        <v>1</v>
      </c>
      <c r="AO6" s="167">
        <v>1</v>
      </c>
      <c r="AP6" s="167">
        <v>1</v>
      </c>
      <c r="AQ6" s="167">
        <v>0</v>
      </c>
      <c r="AR6" s="167">
        <v>100</v>
      </c>
      <c r="AS6" s="173">
        <v>1</v>
      </c>
      <c r="AT6" s="152" t="s">
        <v>532</v>
      </c>
      <c r="AU6" s="152">
        <v>9.1999999999999993</v>
      </c>
      <c r="AV6" s="152">
        <v>0.12</v>
      </c>
      <c r="AW6" s="174">
        <v>0</v>
      </c>
      <c r="AX6" s="174" t="s">
        <v>533</v>
      </c>
      <c r="AY6" s="174">
        <v>24</v>
      </c>
      <c r="AZ6" s="174">
        <v>19.600000000000001</v>
      </c>
      <c r="BA6" s="174"/>
      <c r="BB6" s="174">
        <v>3</v>
      </c>
      <c r="BC6" s="174"/>
      <c r="BD6" s="174"/>
      <c r="BE6" s="174">
        <v>0</v>
      </c>
      <c r="BF6" s="174">
        <v>0</v>
      </c>
      <c r="BG6" s="174">
        <v>0</v>
      </c>
      <c r="BH6" s="174">
        <v>0</v>
      </c>
      <c r="BI6" s="174">
        <v>0</v>
      </c>
      <c r="BJ6" s="174">
        <v>0.01</v>
      </c>
      <c r="BK6" s="174">
        <v>0.01</v>
      </c>
      <c r="BL6" s="174">
        <v>0.01</v>
      </c>
      <c r="BM6" s="174">
        <v>0.01</v>
      </c>
      <c r="BN6" s="174">
        <v>0.01</v>
      </c>
      <c r="BO6" s="174"/>
      <c r="BP6" s="174"/>
      <c r="BQ6" s="174"/>
      <c r="BR6" s="174"/>
      <c r="BS6" s="174"/>
      <c r="BT6" s="174">
        <v>100</v>
      </c>
      <c r="BU6" s="174">
        <v>31</v>
      </c>
      <c r="BV6" s="174">
        <v>39</v>
      </c>
      <c r="BW6" s="174">
        <v>44</v>
      </c>
      <c r="BX6" s="174">
        <v>47</v>
      </c>
      <c r="BY6" s="174">
        <v>47</v>
      </c>
      <c r="BZ6" s="174">
        <v>0</v>
      </c>
      <c r="CA6" s="174">
        <v>0</v>
      </c>
      <c r="CB6" s="174">
        <v>2</v>
      </c>
      <c r="CC6" s="174">
        <v>8</v>
      </c>
      <c r="CD6" s="174">
        <v>21</v>
      </c>
      <c r="CE6" s="174">
        <v>22.7</v>
      </c>
      <c r="CF6" s="174">
        <v>1</v>
      </c>
      <c r="CG6" s="174">
        <v>0.3</v>
      </c>
      <c r="CH6" s="175">
        <v>3.650010417479681E-3</v>
      </c>
    </row>
    <row r="7" spans="1:86" x14ac:dyDescent="0.3">
      <c r="A7" s="176" t="s">
        <v>23</v>
      </c>
      <c r="C7" s="160"/>
      <c r="F7" s="177" t="s">
        <v>44</v>
      </c>
      <c r="G7" s="178"/>
      <c r="H7" s="158"/>
      <c r="I7" s="152" t="s">
        <v>533</v>
      </c>
      <c r="J7" s="167">
        <v>2</v>
      </c>
      <c r="K7" s="168">
        <v>-0.9</v>
      </c>
      <c r="L7" s="169" t="s">
        <v>534</v>
      </c>
      <c r="M7" s="67" t="s">
        <v>57</v>
      </c>
      <c r="N7" s="167">
        <v>9.6000000000000014</v>
      </c>
      <c r="O7" s="170">
        <v>0</v>
      </c>
      <c r="P7" s="170">
        <v>0</v>
      </c>
      <c r="Q7" s="167">
        <v>39</v>
      </c>
      <c r="R7" s="167">
        <v>34</v>
      </c>
      <c r="S7" s="167">
        <v>0.3</v>
      </c>
      <c r="T7" s="167">
        <v>0</v>
      </c>
      <c r="U7" s="171">
        <v>0</v>
      </c>
      <c r="V7" s="171">
        <v>0</v>
      </c>
      <c r="W7" s="167">
        <v>0</v>
      </c>
      <c r="X7" s="167">
        <v>37000</v>
      </c>
      <c r="Y7" s="167">
        <v>0</v>
      </c>
      <c r="Z7" s="167">
        <v>111.19999999999996</v>
      </c>
      <c r="AA7" s="167">
        <v>1</v>
      </c>
      <c r="AB7" s="167">
        <v>11520</v>
      </c>
      <c r="AC7" s="170">
        <v>58000</v>
      </c>
      <c r="AD7" s="172">
        <v>5000</v>
      </c>
      <c r="AE7" s="170">
        <v>0.3</v>
      </c>
      <c r="AF7" s="170">
        <v>0</v>
      </c>
      <c r="AG7" s="170">
        <v>0</v>
      </c>
      <c r="AH7" s="170">
        <v>0</v>
      </c>
      <c r="AI7" s="170">
        <v>0</v>
      </c>
      <c r="AJ7" s="167">
        <v>48.000000000000007</v>
      </c>
      <c r="AK7" s="167">
        <v>1</v>
      </c>
      <c r="AL7" s="167">
        <v>1</v>
      </c>
      <c r="AM7" s="167">
        <v>1</v>
      </c>
      <c r="AN7" s="167">
        <v>1</v>
      </c>
      <c r="AO7" s="167">
        <v>1</v>
      </c>
      <c r="AP7" s="167">
        <v>1</v>
      </c>
      <c r="AQ7" s="167">
        <v>0</v>
      </c>
      <c r="AR7" s="167">
        <v>96</v>
      </c>
      <c r="AS7" s="173">
        <v>1</v>
      </c>
      <c r="AT7" s="152" t="s">
        <v>535</v>
      </c>
      <c r="AU7" s="152">
        <v>9.1999999999999993</v>
      </c>
      <c r="AV7" s="152">
        <v>0.11</v>
      </c>
      <c r="AW7" s="174">
        <v>0.9</v>
      </c>
      <c r="AX7" s="174" t="s">
        <v>533</v>
      </c>
      <c r="AY7" s="174">
        <v>24</v>
      </c>
      <c r="AZ7" s="174">
        <v>19.600000000000001</v>
      </c>
      <c r="BA7" s="174"/>
      <c r="BB7" s="174">
        <v>3</v>
      </c>
      <c r="BC7" s="174"/>
      <c r="BD7" s="174"/>
      <c r="BE7" s="174">
        <v>12</v>
      </c>
      <c r="BF7" s="174">
        <v>12.7</v>
      </c>
      <c r="BG7" s="174">
        <v>13.2</v>
      </c>
      <c r="BH7" s="174">
        <v>13.7</v>
      </c>
      <c r="BI7" s="174">
        <v>14.4</v>
      </c>
      <c r="BJ7" s="174">
        <v>4.9399999999999999E-2</v>
      </c>
      <c r="BK7" s="174">
        <v>5.2600000000000001E-2</v>
      </c>
      <c r="BL7" s="174">
        <v>5.4800000000000001E-2</v>
      </c>
      <c r="BM7" s="174">
        <v>5.7000000000000002E-2</v>
      </c>
      <c r="BN7" s="174">
        <v>6.0199999999999997E-2</v>
      </c>
      <c r="BO7" s="174"/>
      <c r="BP7" s="174"/>
      <c r="BQ7" s="174"/>
      <c r="BR7" s="174"/>
      <c r="BS7" s="174"/>
      <c r="BT7" s="174">
        <v>100</v>
      </c>
      <c r="BU7" s="174">
        <v>31</v>
      </c>
      <c r="BV7" s="174">
        <v>39</v>
      </c>
      <c r="BW7" s="174">
        <v>44</v>
      </c>
      <c r="BX7" s="174">
        <v>47</v>
      </c>
      <c r="BY7" s="174">
        <v>47</v>
      </c>
      <c r="BZ7" s="174">
        <v>45</v>
      </c>
      <c r="CA7" s="174">
        <v>52</v>
      </c>
      <c r="CB7" s="174">
        <v>58</v>
      </c>
      <c r="CC7" s="174">
        <v>64</v>
      </c>
      <c r="CD7" s="174">
        <v>76</v>
      </c>
      <c r="CE7" s="174">
        <v>22.7</v>
      </c>
      <c r="CF7" s="174">
        <v>1</v>
      </c>
      <c r="CG7" s="174">
        <v>0.3</v>
      </c>
      <c r="CH7" s="175">
        <v>3.650010417479681E-3</v>
      </c>
    </row>
    <row r="8" spans="1:86" x14ac:dyDescent="0.3">
      <c r="A8" s="152" t="s">
        <v>24</v>
      </c>
      <c r="B8" s="162">
        <v>0</v>
      </c>
      <c r="C8" s="160" t="s">
        <v>398</v>
      </c>
      <c r="F8" s="152" t="s">
        <v>45</v>
      </c>
      <c r="G8" s="179">
        <v>11640.460886670813</v>
      </c>
      <c r="H8" s="160" t="s">
        <v>48</v>
      </c>
      <c r="I8" s="152" t="s">
        <v>540</v>
      </c>
      <c r="J8" s="167">
        <v>3</v>
      </c>
      <c r="K8" s="168">
        <v>-1.7</v>
      </c>
      <c r="L8" s="169" t="s">
        <v>536</v>
      </c>
      <c r="M8" s="67" t="s">
        <v>57</v>
      </c>
      <c r="N8" s="167">
        <v>10.100000000000001</v>
      </c>
      <c r="O8" s="170">
        <v>0</v>
      </c>
      <c r="P8" s="170">
        <v>0</v>
      </c>
      <c r="Q8" s="167">
        <v>29</v>
      </c>
      <c r="R8" s="167">
        <v>24</v>
      </c>
      <c r="S8" s="167">
        <v>1.6</v>
      </c>
      <c r="T8" s="167">
        <v>0</v>
      </c>
      <c r="U8" s="171">
        <v>0</v>
      </c>
      <c r="V8" s="171">
        <v>0</v>
      </c>
      <c r="W8" s="167">
        <v>0</v>
      </c>
      <c r="X8" s="167">
        <v>4400</v>
      </c>
      <c r="Y8" s="167">
        <v>0</v>
      </c>
      <c r="Z8" s="167">
        <v>78.199999999999974</v>
      </c>
      <c r="AA8" s="167">
        <v>1</v>
      </c>
      <c r="AB8" s="167">
        <v>4420</v>
      </c>
      <c r="AC8" s="170">
        <v>59000</v>
      </c>
      <c r="AD8" s="172">
        <v>-5555.5555555555547</v>
      </c>
      <c r="AE8" s="170">
        <v>0.3</v>
      </c>
      <c r="AF8" s="170">
        <v>0</v>
      </c>
      <c r="AG8" s="170">
        <v>0</v>
      </c>
      <c r="AH8" s="170">
        <v>0</v>
      </c>
      <c r="AI8" s="170">
        <v>0</v>
      </c>
      <c r="AJ8" s="167">
        <v>18.400000000000006</v>
      </c>
      <c r="AK8" s="167">
        <v>1</v>
      </c>
      <c r="AL8" s="167">
        <v>1</v>
      </c>
      <c r="AM8" s="167">
        <v>1</v>
      </c>
      <c r="AN8" s="167">
        <v>1</v>
      </c>
      <c r="AO8" s="167">
        <v>1</v>
      </c>
      <c r="AP8" s="167">
        <v>1</v>
      </c>
      <c r="AQ8" s="167">
        <v>0</v>
      </c>
      <c r="AR8" s="167">
        <v>46</v>
      </c>
      <c r="AS8" s="173">
        <v>1</v>
      </c>
      <c r="AT8" s="152" t="s">
        <v>537</v>
      </c>
      <c r="AU8" s="152">
        <v>9.1999999999999993</v>
      </c>
      <c r="AV8" s="152">
        <v>0.2</v>
      </c>
      <c r="AW8" s="174">
        <v>0.9</v>
      </c>
      <c r="AX8" s="174" t="s">
        <v>533</v>
      </c>
      <c r="AY8" s="174">
        <v>24</v>
      </c>
      <c r="AZ8" s="174">
        <v>19.600000000000001</v>
      </c>
      <c r="BA8" s="174"/>
      <c r="BB8" s="174">
        <v>3</v>
      </c>
      <c r="BC8" s="174"/>
      <c r="BD8" s="174"/>
      <c r="BE8" s="174">
        <v>11.7</v>
      </c>
      <c r="BF8" s="174">
        <v>12.8</v>
      </c>
      <c r="BG8" s="174">
        <v>13.6</v>
      </c>
      <c r="BH8" s="174">
        <v>14.4</v>
      </c>
      <c r="BI8" s="174">
        <v>15.5</v>
      </c>
      <c r="BJ8" s="174">
        <v>4.5199999999999997E-2</v>
      </c>
      <c r="BK8" s="174">
        <v>4.9700000000000001E-2</v>
      </c>
      <c r="BL8" s="174">
        <v>5.28E-2</v>
      </c>
      <c r="BM8" s="174">
        <v>5.5899999999999998E-2</v>
      </c>
      <c r="BN8" s="174">
        <v>6.0400000000000002E-2</v>
      </c>
      <c r="BO8" s="174"/>
      <c r="BP8" s="174"/>
      <c r="BQ8" s="174"/>
      <c r="BR8" s="174"/>
      <c r="BS8" s="174"/>
      <c r="BT8" s="174">
        <v>96</v>
      </c>
      <c r="BU8" s="174">
        <v>30</v>
      </c>
      <c r="BV8" s="174">
        <v>39</v>
      </c>
      <c r="BW8" s="174">
        <v>44</v>
      </c>
      <c r="BX8" s="174">
        <v>47</v>
      </c>
      <c r="BY8" s="174">
        <v>47</v>
      </c>
      <c r="BZ8" s="174">
        <v>33</v>
      </c>
      <c r="CA8" s="174">
        <v>46</v>
      </c>
      <c r="CB8" s="174">
        <v>58</v>
      </c>
      <c r="CC8" s="174">
        <v>69</v>
      </c>
      <c r="CD8" s="174">
        <v>94</v>
      </c>
      <c r="CE8" s="174">
        <v>37</v>
      </c>
      <c r="CF8" s="174">
        <v>1</v>
      </c>
      <c r="CG8" s="174">
        <v>0.3</v>
      </c>
      <c r="CH8" s="175">
        <v>3.1356976958693268E-3</v>
      </c>
    </row>
    <row r="9" spans="1:86" x14ac:dyDescent="0.3">
      <c r="A9" s="152" t="s">
        <v>61</v>
      </c>
      <c r="B9" s="166">
        <v>34</v>
      </c>
      <c r="C9" s="160" t="s">
        <v>28</v>
      </c>
      <c r="D9" s="162">
        <v>31880.742314246338</v>
      </c>
      <c r="F9" s="152" t="s">
        <v>72</v>
      </c>
      <c r="G9" s="180">
        <v>-552772.83884647035</v>
      </c>
      <c r="H9" s="160" t="s">
        <v>49</v>
      </c>
      <c r="I9" s="152" t="s">
        <v>544</v>
      </c>
      <c r="J9" s="167">
        <v>4</v>
      </c>
      <c r="K9" s="168">
        <v>-2.6</v>
      </c>
      <c r="L9" s="169" t="s">
        <v>538</v>
      </c>
      <c r="M9" s="67" t="s">
        <v>58</v>
      </c>
      <c r="N9" s="167">
        <v>8.8999999999999986</v>
      </c>
      <c r="O9" s="170">
        <v>27</v>
      </c>
      <c r="P9" s="170">
        <v>37.500000000000007</v>
      </c>
      <c r="Q9" s="167">
        <v>0</v>
      </c>
      <c r="R9" s="167" t="e">
        <v>#N/A</v>
      </c>
      <c r="S9" s="167">
        <v>1.3</v>
      </c>
      <c r="T9" s="167">
        <v>0</v>
      </c>
      <c r="U9" s="171">
        <v>1.9E-2</v>
      </c>
      <c r="V9" s="171">
        <v>0</v>
      </c>
      <c r="W9" s="167">
        <v>0.5</v>
      </c>
      <c r="X9" s="167">
        <v>3200</v>
      </c>
      <c r="Y9" s="167">
        <v>0</v>
      </c>
      <c r="Z9" s="167" t="e">
        <v>#N/A</v>
      </c>
      <c r="AA9" s="167">
        <v>1</v>
      </c>
      <c r="AB9" s="167" t="e">
        <v>#N/A</v>
      </c>
      <c r="AC9" s="170">
        <v>27000</v>
      </c>
      <c r="AD9" s="172">
        <v>5000.0000000000009</v>
      </c>
      <c r="AE9" s="170">
        <v>0.3</v>
      </c>
      <c r="AF9" s="170">
        <v>0</v>
      </c>
      <c r="AG9" s="170">
        <v>0</v>
      </c>
      <c r="AH9" s="170">
        <v>0</v>
      </c>
      <c r="AI9" s="170">
        <v>0</v>
      </c>
      <c r="AJ9" s="167" t="e">
        <v>#N/A</v>
      </c>
      <c r="AK9" s="167">
        <v>1</v>
      </c>
      <c r="AL9" s="167">
        <v>1</v>
      </c>
      <c r="AM9" s="167">
        <v>1</v>
      </c>
      <c r="AN9" s="167">
        <v>1</v>
      </c>
      <c r="AO9" s="167">
        <v>1</v>
      </c>
      <c r="AP9" s="167">
        <v>1</v>
      </c>
      <c r="AQ9" s="167">
        <v>0</v>
      </c>
      <c r="AR9" s="167">
        <v>0</v>
      </c>
      <c r="AS9" s="173">
        <v>1</v>
      </c>
      <c r="AT9" s="152" t="s">
        <v>535</v>
      </c>
      <c r="AU9" s="152">
        <v>9.1999999999999993</v>
      </c>
      <c r="AV9" s="152">
        <v>0.11</v>
      </c>
      <c r="AW9" s="174">
        <v>1.7</v>
      </c>
      <c r="AX9" s="174" t="s">
        <v>533</v>
      </c>
      <c r="AY9" s="174">
        <v>24</v>
      </c>
      <c r="AZ9" s="174">
        <v>19.600000000000001</v>
      </c>
      <c r="BA9" s="174"/>
      <c r="BB9" s="174">
        <v>3</v>
      </c>
      <c r="BC9" s="174"/>
      <c r="BD9" s="174"/>
      <c r="BE9" s="174">
        <v>2.9</v>
      </c>
      <c r="BF9" s="174">
        <v>4</v>
      </c>
      <c r="BG9" s="174">
        <v>4.8</v>
      </c>
      <c r="BH9" s="174">
        <v>5.6</v>
      </c>
      <c r="BI9" s="174">
        <v>6.7</v>
      </c>
      <c r="BJ9" s="174">
        <v>1.5699999999999999E-2</v>
      </c>
      <c r="BK9" s="174">
        <v>2.0199999999999999E-2</v>
      </c>
      <c r="BL9" s="174">
        <v>2.3300000000000001E-2</v>
      </c>
      <c r="BM9" s="174">
        <v>2.64E-2</v>
      </c>
      <c r="BN9" s="174">
        <v>3.09E-2</v>
      </c>
      <c r="BO9" s="174"/>
      <c r="BP9" s="174"/>
      <c r="BQ9" s="174"/>
      <c r="BR9" s="174"/>
      <c r="BS9" s="174"/>
      <c r="BT9" s="174">
        <v>96</v>
      </c>
      <c r="BU9" s="174">
        <v>30</v>
      </c>
      <c r="BV9" s="174">
        <v>39</v>
      </c>
      <c r="BW9" s="174">
        <v>44</v>
      </c>
      <c r="BX9" s="174">
        <v>47</v>
      </c>
      <c r="BY9" s="174">
        <v>47</v>
      </c>
      <c r="BZ9" s="174">
        <v>37</v>
      </c>
      <c r="CA9" s="174">
        <v>50</v>
      </c>
      <c r="CB9" s="174">
        <v>62</v>
      </c>
      <c r="CC9" s="174">
        <v>73</v>
      </c>
      <c r="CD9" s="174">
        <v>98</v>
      </c>
      <c r="CE9" s="174">
        <v>37</v>
      </c>
      <c r="CF9" s="174">
        <v>1</v>
      </c>
      <c r="CG9" s="174">
        <v>0.3</v>
      </c>
      <c r="CH9" s="175">
        <v>3.1356976958693268E-3</v>
      </c>
    </row>
    <row r="10" spans="1:86" s="178" customFormat="1" x14ac:dyDescent="0.3">
      <c r="A10" s="152" t="s">
        <v>62</v>
      </c>
      <c r="B10" s="181">
        <v>34</v>
      </c>
      <c r="C10" s="160" t="s">
        <v>28</v>
      </c>
      <c r="D10" s="182">
        <v>-1034274.5392807919</v>
      </c>
      <c r="F10" s="152" t="s">
        <v>46</v>
      </c>
      <c r="G10" s="179">
        <v>29121.297723129272</v>
      </c>
      <c r="H10" s="160" t="s">
        <v>48</v>
      </c>
      <c r="I10" s="152" t="s">
        <v>544</v>
      </c>
      <c r="J10" s="167">
        <v>5</v>
      </c>
      <c r="K10" s="168">
        <v>-3</v>
      </c>
      <c r="L10" s="169" t="s">
        <v>539</v>
      </c>
      <c r="M10" s="67" t="s">
        <v>58</v>
      </c>
      <c r="N10" s="167">
        <v>8.8999999999999986</v>
      </c>
      <c r="O10" s="170">
        <v>38</v>
      </c>
      <c r="P10" s="170">
        <v>195.00000000000006</v>
      </c>
      <c r="Q10" s="167">
        <v>0</v>
      </c>
      <c r="R10" s="167" t="e">
        <v>#N/A</v>
      </c>
      <c r="S10" s="167">
        <v>2.2999999999999998</v>
      </c>
      <c r="T10" s="167">
        <v>0</v>
      </c>
      <c r="U10" s="171">
        <v>1.9E-2</v>
      </c>
      <c r="V10" s="171">
        <v>0</v>
      </c>
      <c r="W10" s="167">
        <v>0.5</v>
      </c>
      <c r="X10" s="167">
        <v>8500</v>
      </c>
      <c r="Y10" s="167">
        <v>0</v>
      </c>
      <c r="Z10" s="167" t="e">
        <v>#N/A</v>
      </c>
      <c r="AA10" s="167">
        <v>1</v>
      </c>
      <c r="AB10" s="167" t="e">
        <v>#N/A</v>
      </c>
      <c r="AC10" s="170">
        <v>36000</v>
      </c>
      <c r="AD10" s="172">
        <v>27500.000000000007</v>
      </c>
      <c r="AE10" s="170">
        <v>0.3</v>
      </c>
      <c r="AF10" s="170">
        <v>0</v>
      </c>
      <c r="AG10" s="170">
        <v>0</v>
      </c>
      <c r="AH10" s="170">
        <v>0</v>
      </c>
      <c r="AI10" s="170">
        <v>0</v>
      </c>
      <c r="AJ10" s="167" t="e">
        <v>#N/A</v>
      </c>
      <c r="AK10" s="167">
        <v>1</v>
      </c>
      <c r="AL10" s="167">
        <v>1</v>
      </c>
      <c r="AM10" s="167">
        <v>1</v>
      </c>
      <c r="AN10" s="167">
        <v>1</v>
      </c>
      <c r="AO10" s="167">
        <v>1</v>
      </c>
      <c r="AP10" s="167">
        <v>1</v>
      </c>
      <c r="AQ10" s="167">
        <v>0</v>
      </c>
      <c r="AR10" s="167">
        <v>0</v>
      </c>
      <c r="AS10" s="173">
        <v>1</v>
      </c>
      <c r="AT10" s="178" t="s">
        <v>535</v>
      </c>
      <c r="AU10" s="152">
        <v>9.1999999999999993</v>
      </c>
      <c r="AV10" s="178">
        <v>0.11</v>
      </c>
      <c r="AW10" s="174">
        <v>1.7</v>
      </c>
      <c r="AX10" s="174" t="s">
        <v>540</v>
      </c>
      <c r="AY10" s="174">
        <v>24</v>
      </c>
      <c r="AZ10" s="174">
        <v>20.100000000000001</v>
      </c>
      <c r="BA10" s="174"/>
      <c r="BB10" s="174">
        <v>17</v>
      </c>
      <c r="BC10" s="174"/>
      <c r="BD10" s="174"/>
      <c r="BE10" s="174">
        <v>4.8</v>
      </c>
      <c r="BF10" s="174">
        <v>5.2</v>
      </c>
      <c r="BG10" s="174">
        <v>5.5</v>
      </c>
      <c r="BH10" s="174">
        <v>5.8</v>
      </c>
      <c r="BI10" s="174">
        <v>6.2</v>
      </c>
      <c r="BJ10" s="174">
        <v>2.53E-2</v>
      </c>
      <c r="BK10" s="174">
        <v>2.8299999999999999E-2</v>
      </c>
      <c r="BL10" s="174">
        <v>3.04E-2</v>
      </c>
      <c r="BM10" s="174">
        <v>3.2500000000000001E-2</v>
      </c>
      <c r="BN10" s="174">
        <v>3.5299999999999998E-2</v>
      </c>
      <c r="BO10" s="174"/>
      <c r="BP10" s="174"/>
      <c r="BQ10" s="174"/>
      <c r="BR10" s="174"/>
      <c r="BS10" s="174"/>
      <c r="BT10" s="174">
        <v>46</v>
      </c>
      <c r="BU10" s="174">
        <v>29</v>
      </c>
      <c r="BV10" s="174">
        <v>29</v>
      </c>
      <c r="BW10" s="174">
        <v>32</v>
      </c>
      <c r="BX10" s="174">
        <v>36</v>
      </c>
      <c r="BY10" s="174">
        <v>42</v>
      </c>
      <c r="BZ10" s="174">
        <v>36</v>
      </c>
      <c r="CA10" s="174">
        <v>38</v>
      </c>
      <c r="CB10" s="174">
        <v>59</v>
      </c>
      <c r="CC10" s="174">
        <v>80</v>
      </c>
      <c r="CD10" s="174">
        <v>127</v>
      </c>
      <c r="CE10" s="174">
        <v>4.4000000000000004</v>
      </c>
      <c r="CF10" s="174">
        <v>10.199999999999999</v>
      </c>
      <c r="CG10" s="174">
        <v>1.6</v>
      </c>
      <c r="CH10" s="175">
        <v>3.1298692752097471E-5</v>
      </c>
    </row>
    <row r="11" spans="1:86" x14ac:dyDescent="0.3">
      <c r="A11" s="152" t="s">
        <v>63</v>
      </c>
      <c r="B11" s="162">
        <v>1</v>
      </c>
      <c r="C11" s="160" t="s">
        <v>28</v>
      </c>
      <c r="D11" s="152">
        <v>24726.251557448941</v>
      </c>
      <c r="F11" s="152" t="s">
        <v>47</v>
      </c>
      <c r="G11" s="179">
        <v>0</v>
      </c>
      <c r="H11" s="160" t="s">
        <v>48</v>
      </c>
      <c r="I11" s="152" t="s">
        <v>540</v>
      </c>
      <c r="J11" s="167">
        <v>6</v>
      </c>
      <c r="K11" s="168">
        <v>-3.4</v>
      </c>
      <c r="L11" s="169" t="s">
        <v>541</v>
      </c>
      <c r="M11" s="67" t="s">
        <v>57</v>
      </c>
      <c r="N11" s="167">
        <v>9.8999999999999986</v>
      </c>
      <c r="O11" s="170">
        <v>0</v>
      </c>
      <c r="P11" s="170">
        <v>0</v>
      </c>
      <c r="Q11" s="167">
        <v>30</v>
      </c>
      <c r="R11" s="167">
        <v>25</v>
      </c>
      <c r="S11" s="167">
        <v>1.3</v>
      </c>
      <c r="T11" s="167">
        <v>0</v>
      </c>
      <c r="U11" s="171">
        <v>0</v>
      </c>
      <c r="V11" s="171">
        <v>0</v>
      </c>
      <c r="W11" s="167">
        <v>0</v>
      </c>
      <c r="X11" s="167">
        <v>12900</v>
      </c>
      <c r="Y11" s="167">
        <v>0</v>
      </c>
      <c r="Z11" s="167">
        <v>80.999999999999972</v>
      </c>
      <c r="AA11" s="167">
        <v>1</v>
      </c>
      <c r="AB11" s="167">
        <v>4800</v>
      </c>
      <c r="AC11" s="170">
        <v>87000</v>
      </c>
      <c r="AD11" s="172">
        <v>14393.939393939398</v>
      </c>
      <c r="AE11" s="170">
        <v>0.3</v>
      </c>
      <c r="AF11" s="170">
        <v>0</v>
      </c>
      <c r="AG11" s="170">
        <v>0</v>
      </c>
      <c r="AH11" s="170">
        <v>0</v>
      </c>
      <c r="AI11" s="170">
        <v>0</v>
      </c>
      <c r="AJ11" s="167">
        <v>20.000000000000007</v>
      </c>
      <c r="AK11" s="167">
        <v>1</v>
      </c>
      <c r="AL11" s="167">
        <v>1</v>
      </c>
      <c r="AM11" s="167">
        <v>1</v>
      </c>
      <c r="AN11" s="167">
        <v>1</v>
      </c>
      <c r="AO11" s="167">
        <v>1</v>
      </c>
      <c r="AP11" s="167">
        <v>1</v>
      </c>
      <c r="AQ11" s="167">
        <v>0</v>
      </c>
      <c r="AR11" s="167">
        <v>63</v>
      </c>
      <c r="AS11" s="173">
        <v>1</v>
      </c>
      <c r="AT11" s="152" t="s">
        <v>535</v>
      </c>
      <c r="AU11" s="152">
        <v>9.1999999999999993</v>
      </c>
      <c r="AV11" s="152">
        <v>0.11</v>
      </c>
      <c r="AW11" s="174">
        <v>2.6</v>
      </c>
      <c r="AX11" s="174" t="s">
        <v>540</v>
      </c>
      <c r="AY11" s="174">
        <v>24</v>
      </c>
      <c r="AZ11" s="174">
        <v>20.100000000000001</v>
      </c>
      <c r="BA11" s="174"/>
      <c r="BB11" s="174">
        <v>17</v>
      </c>
      <c r="BC11" s="174"/>
      <c r="BD11" s="174"/>
      <c r="BE11" s="174">
        <v>0.6</v>
      </c>
      <c r="BF11" s="174">
        <v>1</v>
      </c>
      <c r="BG11" s="174">
        <v>1.3</v>
      </c>
      <c r="BH11" s="174">
        <v>1.6</v>
      </c>
      <c r="BI11" s="174">
        <v>2</v>
      </c>
      <c r="BJ11" s="174">
        <v>1.3100000000000001E-2</v>
      </c>
      <c r="BK11" s="174">
        <v>1.61E-2</v>
      </c>
      <c r="BL11" s="174">
        <v>1.8200000000000001E-2</v>
      </c>
      <c r="BM11" s="174">
        <v>2.0199999999999999E-2</v>
      </c>
      <c r="BN11" s="174">
        <v>2.3099999999999999E-2</v>
      </c>
      <c r="BO11" s="174"/>
      <c r="BP11" s="174"/>
      <c r="BQ11" s="174"/>
      <c r="BR11" s="174"/>
      <c r="BS11" s="174"/>
      <c r="BT11" s="174">
        <v>46</v>
      </c>
      <c r="BU11" s="174">
        <v>29</v>
      </c>
      <c r="BV11" s="174">
        <v>29</v>
      </c>
      <c r="BW11" s="174">
        <v>32</v>
      </c>
      <c r="BX11" s="174">
        <v>36</v>
      </c>
      <c r="BY11" s="174">
        <v>42</v>
      </c>
      <c r="BZ11" s="174">
        <v>31</v>
      </c>
      <c r="CA11" s="174">
        <v>33</v>
      </c>
      <c r="CB11" s="174">
        <v>54</v>
      </c>
      <c r="CC11" s="174">
        <v>75</v>
      </c>
      <c r="CD11" s="174">
        <v>122</v>
      </c>
      <c r="CE11" s="174">
        <v>4.4000000000000004</v>
      </c>
      <c r="CF11" s="174">
        <v>10.199999999999999</v>
      </c>
      <c r="CG11" s="174">
        <v>1.6</v>
      </c>
      <c r="CH11" s="175">
        <v>3.1298692752097471E-5</v>
      </c>
    </row>
    <row r="12" spans="1:86" x14ac:dyDescent="0.3">
      <c r="A12" s="152" t="s">
        <v>66</v>
      </c>
      <c r="B12" s="166">
        <v>9</v>
      </c>
      <c r="C12" s="160" t="s">
        <v>28</v>
      </c>
      <c r="D12" s="152">
        <v>0</v>
      </c>
      <c r="E12" s="183"/>
      <c r="F12" s="178" t="s">
        <v>73</v>
      </c>
      <c r="G12" s="179">
        <v>2891.7203797290813</v>
      </c>
      <c r="H12" s="160" t="s">
        <v>48</v>
      </c>
      <c r="I12" s="152" t="s">
        <v>540</v>
      </c>
      <c r="J12" s="167">
        <v>7</v>
      </c>
      <c r="K12" s="168">
        <v>-4.4000000000000004</v>
      </c>
      <c r="L12" s="169" t="s">
        <v>541</v>
      </c>
      <c r="M12" s="67" t="s">
        <v>57</v>
      </c>
      <c r="N12" s="167">
        <v>9.8999999999999986</v>
      </c>
      <c r="O12" s="170">
        <v>0</v>
      </c>
      <c r="P12" s="170">
        <v>0</v>
      </c>
      <c r="Q12" s="167">
        <v>30</v>
      </c>
      <c r="R12" s="167">
        <v>25</v>
      </c>
      <c r="S12" s="167">
        <v>1.3</v>
      </c>
      <c r="T12" s="167">
        <v>0</v>
      </c>
      <c r="U12" s="171">
        <v>0</v>
      </c>
      <c r="V12" s="171">
        <v>0</v>
      </c>
      <c r="W12" s="167">
        <v>0</v>
      </c>
      <c r="X12" s="167">
        <v>12900</v>
      </c>
      <c r="Y12" s="167">
        <v>0</v>
      </c>
      <c r="Z12" s="167">
        <v>80.999999999999972</v>
      </c>
      <c r="AA12" s="167">
        <v>1</v>
      </c>
      <c r="AB12" s="167">
        <v>4800</v>
      </c>
      <c r="AC12" s="170">
        <v>101393.93939393941</v>
      </c>
      <c r="AD12" s="172">
        <v>14393.93939393939</v>
      </c>
      <c r="AE12" s="170">
        <v>0.3</v>
      </c>
      <c r="AF12" s="170">
        <v>0</v>
      </c>
      <c r="AG12" s="170">
        <v>0</v>
      </c>
      <c r="AH12" s="170">
        <v>0</v>
      </c>
      <c r="AI12" s="170">
        <v>0</v>
      </c>
      <c r="AJ12" s="167">
        <v>20.000000000000007</v>
      </c>
      <c r="AK12" s="167">
        <v>1</v>
      </c>
      <c r="AL12" s="167">
        <v>1</v>
      </c>
      <c r="AM12" s="167">
        <v>1</v>
      </c>
      <c r="AN12" s="167">
        <v>1</v>
      </c>
      <c r="AO12" s="167">
        <v>1</v>
      </c>
      <c r="AP12" s="167">
        <v>1</v>
      </c>
      <c r="AQ12" s="167">
        <v>0</v>
      </c>
      <c r="AR12" s="167">
        <v>63</v>
      </c>
      <c r="AS12" s="173">
        <v>1</v>
      </c>
      <c r="AT12" s="152" t="s">
        <v>543</v>
      </c>
      <c r="AU12" s="152">
        <v>9.1999999999999993</v>
      </c>
      <c r="AV12" s="152">
        <v>0.41</v>
      </c>
      <c r="AW12" s="174">
        <v>2.6</v>
      </c>
      <c r="AX12" s="174" t="s">
        <v>544</v>
      </c>
      <c r="AY12" s="174">
        <v>33</v>
      </c>
      <c r="AZ12" s="174">
        <v>18.899999999999999</v>
      </c>
      <c r="BA12" s="174">
        <v>24</v>
      </c>
      <c r="BB12" s="174">
        <v>38</v>
      </c>
      <c r="BC12" s="174">
        <v>4</v>
      </c>
      <c r="BD12" s="174">
        <v>1.9</v>
      </c>
      <c r="BE12" s="174">
        <v>0.4</v>
      </c>
      <c r="BF12" s="174">
        <v>0.5</v>
      </c>
      <c r="BG12" s="174">
        <v>0.6</v>
      </c>
      <c r="BH12" s="174">
        <v>0.8</v>
      </c>
      <c r="BI12" s="174">
        <v>0.9</v>
      </c>
      <c r="BJ12" s="174">
        <v>0.01</v>
      </c>
      <c r="BK12" s="174">
        <v>0.01</v>
      </c>
      <c r="BL12" s="174">
        <v>1.0800000000000001E-2</v>
      </c>
      <c r="BM12" s="174">
        <v>1.26E-2</v>
      </c>
      <c r="BN12" s="174">
        <v>4.1399999999999999E-2</v>
      </c>
      <c r="BO12" s="174">
        <v>16</v>
      </c>
      <c r="BP12" s="174">
        <v>27</v>
      </c>
      <c r="BQ12" s="174">
        <v>32</v>
      </c>
      <c r="BR12" s="174">
        <v>39</v>
      </c>
      <c r="BS12" s="174">
        <v>57</v>
      </c>
      <c r="BT12" s="174"/>
      <c r="BU12" s="174"/>
      <c r="BV12" s="174"/>
      <c r="BW12" s="174"/>
      <c r="BX12" s="174"/>
      <c r="BY12" s="174"/>
      <c r="BZ12" s="174">
        <v>27</v>
      </c>
      <c r="CA12" s="174">
        <v>27</v>
      </c>
      <c r="CB12" s="174">
        <v>27</v>
      </c>
      <c r="CC12" s="174">
        <v>28</v>
      </c>
      <c r="CD12" s="174">
        <v>28</v>
      </c>
      <c r="CE12" s="174">
        <v>3.2</v>
      </c>
      <c r="CF12" s="174">
        <v>9.6</v>
      </c>
      <c r="CG12" s="174">
        <v>1.3</v>
      </c>
      <c r="CH12" s="175">
        <v>2.0327452023345781E-9</v>
      </c>
    </row>
    <row r="13" spans="1:86" x14ac:dyDescent="0.3">
      <c r="A13" s="152" t="s">
        <v>40</v>
      </c>
      <c r="B13" s="162">
        <v>78</v>
      </c>
      <c r="C13" s="160" t="s">
        <v>397</v>
      </c>
      <c r="D13" s="152">
        <v>5239.6506589399823</v>
      </c>
      <c r="E13" s="183"/>
      <c r="F13" s="176" t="s">
        <v>50</v>
      </c>
      <c r="I13" s="152" t="s">
        <v>540</v>
      </c>
      <c r="J13" s="167">
        <v>8</v>
      </c>
      <c r="K13" s="168">
        <v>-6.4</v>
      </c>
      <c r="L13" s="169" t="s">
        <v>541</v>
      </c>
      <c r="M13" s="67" t="s">
        <v>57</v>
      </c>
      <c r="N13" s="167">
        <v>9.8999999999999986</v>
      </c>
      <c r="O13" s="170">
        <v>0</v>
      </c>
      <c r="P13" s="170">
        <v>0</v>
      </c>
      <c r="Q13" s="167">
        <v>30</v>
      </c>
      <c r="R13" s="167">
        <v>25</v>
      </c>
      <c r="S13" s="167">
        <v>1.3</v>
      </c>
      <c r="T13" s="167">
        <v>0</v>
      </c>
      <c r="U13" s="171">
        <v>0</v>
      </c>
      <c r="V13" s="171">
        <v>0</v>
      </c>
      <c r="W13" s="167">
        <v>0</v>
      </c>
      <c r="X13" s="167">
        <v>12900</v>
      </c>
      <c r="Y13" s="167">
        <v>0</v>
      </c>
      <c r="Z13" s="167">
        <v>80.999999999999972</v>
      </c>
      <c r="AA13" s="167">
        <v>1</v>
      </c>
      <c r="AB13" s="167">
        <v>4800</v>
      </c>
      <c r="AC13" s="170">
        <v>130181.81818181819</v>
      </c>
      <c r="AD13" s="172">
        <v>14393.939393939394</v>
      </c>
      <c r="AE13" s="170">
        <v>0.3</v>
      </c>
      <c r="AF13" s="170">
        <v>0</v>
      </c>
      <c r="AG13" s="170">
        <v>0</v>
      </c>
      <c r="AH13" s="170">
        <v>0</v>
      </c>
      <c r="AI13" s="170">
        <v>0</v>
      </c>
      <c r="AJ13" s="167">
        <v>20.000000000000007</v>
      </c>
      <c r="AK13" s="167">
        <v>1</v>
      </c>
      <c r="AL13" s="167">
        <v>1</v>
      </c>
      <c r="AM13" s="167">
        <v>1</v>
      </c>
      <c r="AN13" s="167">
        <v>1</v>
      </c>
      <c r="AO13" s="167">
        <v>1</v>
      </c>
      <c r="AP13" s="167">
        <v>1</v>
      </c>
      <c r="AQ13" s="167">
        <v>0</v>
      </c>
      <c r="AR13" s="167">
        <v>63</v>
      </c>
      <c r="AS13" s="173">
        <v>1</v>
      </c>
      <c r="AT13" s="152" t="s">
        <v>543</v>
      </c>
      <c r="AU13" s="152">
        <v>9.1999999999999993</v>
      </c>
      <c r="AV13" s="152">
        <v>0.41</v>
      </c>
      <c r="AW13" s="174">
        <v>3</v>
      </c>
      <c r="AX13" s="174" t="s">
        <v>544</v>
      </c>
      <c r="AY13" s="174">
        <v>33</v>
      </c>
      <c r="AZ13" s="174">
        <v>18.899999999999999</v>
      </c>
      <c r="BA13" s="174">
        <v>24</v>
      </c>
      <c r="BB13" s="174">
        <v>38</v>
      </c>
      <c r="BC13" s="174">
        <v>4</v>
      </c>
      <c r="BD13" s="174">
        <v>1.9</v>
      </c>
      <c r="BE13" s="174">
        <v>0.7</v>
      </c>
      <c r="BF13" s="174">
        <v>0.8</v>
      </c>
      <c r="BG13" s="174">
        <v>0.9</v>
      </c>
      <c r="BH13" s="174">
        <v>1</v>
      </c>
      <c r="BI13" s="174">
        <v>1.1000000000000001</v>
      </c>
      <c r="BJ13" s="174">
        <v>0.01</v>
      </c>
      <c r="BK13" s="174">
        <v>0.01</v>
      </c>
      <c r="BL13" s="174">
        <v>1.0800000000000001E-2</v>
      </c>
      <c r="BM13" s="174">
        <v>1.26E-2</v>
      </c>
      <c r="BN13" s="174">
        <v>4.1399999999999999E-2</v>
      </c>
      <c r="BO13" s="174">
        <v>32</v>
      </c>
      <c r="BP13" s="174">
        <v>42</v>
      </c>
      <c r="BQ13" s="174">
        <v>48</v>
      </c>
      <c r="BR13" s="174">
        <v>55</v>
      </c>
      <c r="BS13" s="174">
        <v>73</v>
      </c>
      <c r="BT13" s="174"/>
      <c r="BU13" s="174"/>
      <c r="BV13" s="174"/>
      <c r="BW13" s="174"/>
      <c r="BX13" s="174"/>
      <c r="BY13" s="174"/>
      <c r="BZ13" s="174">
        <v>29</v>
      </c>
      <c r="CA13" s="174">
        <v>29</v>
      </c>
      <c r="CB13" s="174">
        <v>29</v>
      </c>
      <c r="CC13" s="174">
        <v>30</v>
      </c>
      <c r="CD13" s="174">
        <v>30</v>
      </c>
      <c r="CE13" s="174">
        <v>3.2</v>
      </c>
      <c r="CF13" s="174">
        <v>9.6</v>
      </c>
      <c r="CG13" s="174">
        <v>1.3</v>
      </c>
      <c r="CH13" s="175">
        <v>2.0327452023345781E-9</v>
      </c>
    </row>
    <row r="14" spans="1:86" x14ac:dyDescent="0.3">
      <c r="A14" s="152" t="s">
        <v>41</v>
      </c>
      <c r="B14" s="183">
        <v>355000</v>
      </c>
      <c r="C14" s="160" t="s">
        <v>396</v>
      </c>
      <c r="F14" s="152" t="s">
        <v>51</v>
      </c>
      <c r="G14" s="184" t="s">
        <v>52</v>
      </c>
      <c r="H14" s="160" t="s">
        <v>56</v>
      </c>
      <c r="I14" s="152" t="s">
        <v>540</v>
      </c>
      <c r="J14" s="167">
        <v>9</v>
      </c>
      <c r="K14" s="168">
        <v>-10</v>
      </c>
      <c r="L14" s="169" t="s">
        <v>542</v>
      </c>
      <c r="M14" s="67" t="s">
        <v>57</v>
      </c>
      <c r="N14" s="167">
        <v>9.8999999999999986</v>
      </c>
      <c r="O14" s="170">
        <v>0</v>
      </c>
      <c r="P14" s="170">
        <v>0</v>
      </c>
      <c r="Q14" s="167">
        <v>29</v>
      </c>
      <c r="R14" s="167">
        <v>24</v>
      </c>
      <c r="S14" s="167">
        <v>1</v>
      </c>
      <c r="T14" s="167">
        <v>0</v>
      </c>
      <c r="U14" s="171">
        <v>0</v>
      </c>
      <c r="V14" s="171">
        <v>0</v>
      </c>
      <c r="W14" s="167">
        <v>0</v>
      </c>
      <c r="X14" s="167">
        <v>11700</v>
      </c>
      <c r="Y14" s="167">
        <v>0</v>
      </c>
      <c r="Z14" s="167">
        <v>78.199999999999974</v>
      </c>
      <c r="AA14" s="167">
        <v>1</v>
      </c>
      <c r="AB14" s="167">
        <v>4420</v>
      </c>
      <c r="AC14" s="170">
        <v>177000</v>
      </c>
      <c r="AD14" s="172">
        <v>-36666.666666666686</v>
      </c>
      <c r="AE14" s="170">
        <v>0.3</v>
      </c>
      <c r="AF14" s="170">
        <v>0</v>
      </c>
      <c r="AG14" s="170">
        <v>0</v>
      </c>
      <c r="AH14" s="170">
        <v>0</v>
      </c>
      <c r="AI14" s="170">
        <v>0</v>
      </c>
      <c r="AJ14" s="167">
        <v>18.400000000000006</v>
      </c>
      <c r="AK14" s="167">
        <v>1</v>
      </c>
      <c r="AL14" s="167">
        <v>1</v>
      </c>
      <c r="AM14" s="167">
        <v>1</v>
      </c>
      <c r="AN14" s="167">
        <v>1</v>
      </c>
      <c r="AO14" s="167">
        <v>1</v>
      </c>
      <c r="AP14" s="167">
        <v>1</v>
      </c>
      <c r="AQ14" s="167">
        <v>0</v>
      </c>
      <c r="AR14" s="167">
        <v>57</v>
      </c>
      <c r="AS14" s="173">
        <v>1</v>
      </c>
      <c r="AT14" s="152" t="s">
        <v>543</v>
      </c>
      <c r="AU14" s="152">
        <v>9.1999999999999993</v>
      </c>
      <c r="AV14" s="152">
        <v>0.41</v>
      </c>
      <c r="AW14" s="174">
        <v>3</v>
      </c>
      <c r="AX14" s="174" t="s">
        <v>544</v>
      </c>
      <c r="AY14" s="174">
        <v>33</v>
      </c>
      <c r="AZ14" s="174">
        <v>18.899999999999999</v>
      </c>
      <c r="BA14" s="174">
        <v>24</v>
      </c>
      <c r="BB14" s="174">
        <v>38</v>
      </c>
      <c r="BC14" s="174">
        <v>4</v>
      </c>
      <c r="BD14" s="174">
        <v>1.9</v>
      </c>
      <c r="BE14" s="174">
        <v>0.5</v>
      </c>
      <c r="BF14" s="174">
        <v>0.8</v>
      </c>
      <c r="BG14" s="174">
        <v>1</v>
      </c>
      <c r="BH14" s="174">
        <v>1.3</v>
      </c>
      <c r="BI14" s="174">
        <v>2</v>
      </c>
      <c r="BJ14" s="174">
        <v>6.0100000000000001E-2</v>
      </c>
      <c r="BK14" s="174">
        <v>7.0800000000000002E-2</v>
      </c>
      <c r="BL14" s="174">
        <v>7.7899999999999997E-2</v>
      </c>
      <c r="BM14" s="174">
        <v>8.5000000000000006E-2</v>
      </c>
      <c r="BN14" s="174">
        <v>9.5699999999999993E-2</v>
      </c>
      <c r="BO14" s="174">
        <v>31</v>
      </c>
      <c r="BP14" s="174">
        <v>38</v>
      </c>
      <c r="BQ14" s="174">
        <v>52</v>
      </c>
      <c r="BR14" s="174">
        <v>71</v>
      </c>
      <c r="BS14" s="174">
        <v>127</v>
      </c>
      <c r="BT14" s="174"/>
      <c r="BU14" s="174"/>
      <c r="BV14" s="174"/>
      <c r="BW14" s="174"/>
      <c r="BX14" s="174"/>
      <c r="BY14" s="174"/>
      <c r="BZ14" s="174">
        <v>35</v>
      </c>
      <c r="CA14" s="174">
        <v>35</v>
      </c>
      <c r="CB14" s="174">
        <v>36</v>
      </c>
      <c r="CC14" s="174">
        <v>36</v>
      </c>
      <c r="CD14" s="174">
        <v>52</v>
      </c>
      <c r="CE14" s="174">
        <v>8.5</v>
      </c>
      <c r="CF14" s="174">
        <v>22.6</v>
      </c>
      <c r="CG14" s="174">
        <v>2.2999999999999998</v>
      </c>
      <c r="CH14" s="175">
        <v>2.0038857557683548E-9</v>
      </c>
    </row>
    <row r="15" spans="1:86" x14ac:dyDescent="0.3">
      <c r="A15" s="152" t="s">
        <v>42</v>
      </c>
      <c r="B15" s="185">
        <v>207000000</v>
      </c>
      <c r="C15" s="160" t="s">
        <v>396</v>
      </c>
      <c r="I15" s="152" t="s">
        <v>540</v>
      </c>
      <c r="J15" s="167">
        <v>10</v>
      </c>
      <c r="K15" s="168">
        <v>-10.6</v>
      </c>
      <c r="L15" s="169" t="s">
        <v>545</v>
      </c>
      <c r="M15" s="67" t="s">
        <v>57</v>
      </c>
      <c r="N15" s="167">
        <v>9.8999999999999986</v>
      </c>
      <c r="O15" s="170">
        <v>0</v>
      </c>
      <c r="P15" s="170">
        <v>0</v>
      </c>
      <c r="Q15" s="167">
        <v>30</v>
      </c>
      <c r="R15" s="167">
        <v>25</v>
      </c>
      <c r="S15" s="167">
        <v>1.2</v>
      </c>
      <c r="T15" s="167">
        <v>0</v>
      </c>
      <c r="U15" s="171">
        <v>0</v>
      </c>
      <c r="V15" s="171">
        <v>0</v>
      </c>
      <c r="W15" s="167">
        <v>0</v>
      </c>
      <c r="X15" s="167">
        <v>17600</v>
      </c>
      <c r="Y15" s="167">
        <v>0</v>
      </c>
      <c r="Z15" s="167">
        <v>80.999999999999972</v>
      </c>
      <c r="AA15" s="167">
        <v>1</v>
      </c>
      <c r="AB15" s="167">
        <v>4800</v>
      </c>
      <c r="AC15" s="170">
        <v>161000</v>
      </c>
      <c r="AD15" s="172">
        <v>79999.999999999869</v>
      </c>
      <c r="AE15" s="170">
        <v>0.3</v>
      </c>
      <c r="AF15" s="170">
        <v>0</v>
      </c>
      <c r="AG15" s="170">
        <v>0</v>
      </c>
      <c r="AH15" s="170">
        <v>0</v>
      </c>
      <c r="AI15" s="170">
        <v>0</v>
      </c>
      <c r="AJ15" s="167">
        <v>20.000000000000007</v>
      </c>
      <c r="AK15" s="167">
        <v>1</v>
      </c>
      <c r="AL15" s="167">
        <v>1</v>
      </c>
      <c r="AM15" s="167">
        <v>1</v>
      </c>
      <c r="AN15" s="167">
        <v>1</v>
      </c>
      <c r="AO15" s="167">
        <v>1</v>
      </c>
      <c r="AP15" s="167">
        <v>1</v>
      </c>
      <c r="AQ15" s="167">
        <v>0</v>
      </c>
      <c r="AR15" s="167">
        <v>67</v>
      </c>
      <c r="AS15" s="173">
        <v>1</v>
      </c>
      <c r="AT15" s="152" t="s">
        <v>543</v>
      </c>
      <c r="AU15" s="152">
        <v>9.1999999999999993</v>
      </c>
      <c r="AV15" s="152">
        <v>0.41</v>
      </c>
      <c r="AW15" s="174">
        <v>3.4</v>
      </c>
      <c r="AX15" s="174" t="s">
        <v>544</v>
      </c>
      <c r="AY15" s="174">
        <v>33</v>
      </c>
      <c r="AZ15" s="174">
        <v>18.899999999999999</v>
      </c>
      <c r="BA15" s="174">
        <v>24</v>
      </c>
      <c r="BB15" s="174">
        <v>38</v>
      </c>
      <c r="BC15" s="174">
        <v>4</v>
      </c>
      <c r="BD15" s="174">
        <v>1.9</v>
      </c>
      <c r="BE15" s="174">
        <v>1.9</v>
      </c>
      <c r="BF15" s="174">
        <v>2.2000000000000002</v>
      </c>
      <c r="BG15" s="174">
        <v>2.4</v>
      </c>
      <c r="BH15" s="174">
        <v>2.7</v>
      </c>
      <c r="BI15" s="174">
        <v>3.4</v>
      </c>
      <c r="BJ15" s="174">
        <v>8.1199999999999994E-2</v>
      </c>
      <c r="BK15" s="174">
        <v>9.1899999999999996E-2</v>
      </c>
      <c r="BL15" s="174">
        <v>9.9000000000000005E-2</v>
      </c>
      <c r="BM15" s="174">
        <v>0.1062</v>
      </c>
      <c r="BN15" s="174">
        <v>0.1168</v>
      </c>
      <c r="BO15" s="174">
        <v>93</v>
      </c>
      <c r="BP15" s="174">
        <v>116</v>
      </c>
      <c r="BQ15" s="174">
        <v>130</v>
      </c>
      <c r="BR15" s="174">
        <v>149</v>
      </c>
      <c r="BS15" s="174">
        <v>205</v>
      </c>
      <c r="BT15" s="174"/>
      <c r="BU15" s="174"/>
      <c r="BV15" s="174"/>
      <c r="BW15" s="174"/>
      <c r="BX15" s="174"/>
      <c r="BY15" s="174"/>
      <c r="BZ15" s="174">
        <v>38</v>
      </c>
      <c r="CA15" s="174">
        <v>38</v>
      </c>
      <c r="CB15" s="174">
        <v>47</v>
      </c>
      <c r="CC15" s="174">
        <v>57</v>
      </c>
      <c r="CD15" s="174">
        <v>82</v>
      </c>
      <c r="CE15" s="174">
        <v>8.5</v>
      </c>
      <c r="CF15" s="174">
        <v>22.6</v>
      </c>
      <c r="CG15" s="174">
        <v>2.2999999999999998</v>
      </c>
      <c r="CH15" s="175">
        <v>2.0038857557683548E-9</v>
      </c>
    </row>
    <row r="16" spans="1:86" x14ac:dyDescent="0.3">
      <c r="A16" s="152" t="s">
        <v>43</v>
      </c>
      <c r="B16" s="185">
        <v>79000000</v>
      </c>
      <c r="C16" s="160" t="s">
        <v>396</v>
      </c>
      <c r="D16" s="186">
        <v>11640.460886670813</v>
      </c>
      <c r="E16" s="187"/>
      <c r="I16" s="152" t="s">
        <v>540</v>
      </c>
      <c r="J16" s="167">
        <v>11</v>
      </c>
      <c r="K16" s="168">
        <v>-11.3</v>
      </c>
      <c r="L16" s="169" t="s">
        <v>546</v>
      </c>
      <c r="M16" s="67" t="s">
        <v>57</v>
      </c>
      <c r="N16" s="167">
        <v>9.8999999999999986</v>
      </c>
      <c r="O16" s="170">
        <v>0</v>
      </c>
      <c r="P16" s="170">
        <v>0</v>
      </c>
      <c r="Q16" s="167">
        <v>31</v>
      </c>
      <c r="R16" s="167">
        <v>26</v>
      </c>
      <c r="S16" s="167">
        <v>1.3</v>
      </c>
      <c r="T16" s="167">
        <v>0</v>
      </c>
      <c r="U16" s="171">
        <v>0</v>
      </c>
      <c r="V16" s="171">
        <v>0</v>
      </c>
      <c r="W16" s="167">
        <v>0</v>
      </c>
      <c r="X16" s="167">
        <v>24300</v>
      </c>
      <c r="Y16" s="167">
        <v>0</v>
      </c>
      <c r="Z16" s="167">
        <v>83.999999999999972</v>
      </c>
      <c r="AA16" s="167">
        <v>1</v>
      </c>
      <c r="AB16" s="167">
        <v>5760</v>
      </c>
      <c r="AC16" s="170">
        <v>218000</v>
      </c>
      <c r="AD16" s="172">
        <v>-23333.333333333372</v>
      </c>
      <c r="AE16" s="170">
        <v>0.3</v>
      </c>
      <c r="AF16" s="170">
        <v>0</v>
      </c>
      <c r="AG16" s="170">
        <v>0</v>
      </c>
      <c r="AH16" s="170">
        <v>0</v>
      </c>
      <c r="AI16" s="170">
        <v>0</v>
      </c>
      <c r="AJ16" s="167">
        <v>24.000000000000007</v>
      </c>
      <c r="AK16" s="167">
        <v>1</v>
      </c>
      <c r="AL16" s="167">
        <v>1</v>
      </c>
      <c r="AM16" s="167">
        <v>1</v>
      </c>
      <c r="AN16" s="167">
        <v>1</v>
      </c>
      <c r="AO16" s="167">
        <v>1</v>
      </c>
      <c r="AP16" s="167">
        <v>1</v>
      </c>
      <c r="AQ16" s="167">
        <v>0</v>
      </c>
      <c r="AR16" s="167">
        <v>75</v>
      </c>
      <c r="AS16" s="173">
        <v>1</v>
      </c>
      <c r="AT16" s="152" t="s">
        <v>543</v>
      </c>
      <c r="AU16" s="152">
        <v>9.1999999999999993</v>
      </c>
      <c r="AV16" s="152">
        <v>0.41</v>
      </c>
      <c r="AW16" s="188">
        <v>3.4</v>
      </c>
      <c r="AX16" s="188" t="s">
        <v>540</v>
      </c>
      <c r="AY16" s="188">
        <v>23</v>
      </c>
      <c r="AZ16" s="188">
        <v>19.899999999999999</v>
      </c>
      <c r="BA16" s="188"/>
      <c r="BB16" s="188">
        <v>22</v>
      </c>
      <c r="BC16" s="188"/>
      <c r="BD16" s="188"/>
      <c r="BE16" s="188">
        <v>4</v>
      </c>
      <c r="BF16" s="188">
        <v>5.4</v>
      </c>
      <c r="BG16" s="188">
        <v>6.3</v>
      </c>
      <c r="BH16" s="188">
        <v>8.8000000000000007</v>
      </c>
      <c r="BI16" s="188">
        <v>10.4</v>
      </c>
      <c r="BJ16" s="188">
        <v>2.5399999999999999E-2</v>
      </c>
      <c r="BK16" s="188">
        <v>3.44E-2</v>
      </c>
      <c r="BL16" s="188">
        <v>4.0399999999999998E-2</v>
      </c>
      <c r="BM16" s="188">
        <v>5.57E-2</v>
      </c>
      <c r="BN16" s="188">
        <v>6.6299999999999998E-2</v>
      </c>
      <c r="BO16" s="188"/>
      <c r="BP16" s="188"/>
      <c r="BQ16" s="188"/>
      <c r="BR16" s="188"/>
      <c r="BS16" s="188"/>
      <c r="BT16" s="188">
        <v>63</v>
      </c>
      <c r="BU16" s="188">
        <v>29</v>
      </c>
      <c r="BV16" s="188">
        <v>30</v>
      </c>
      <c r="BW16" s="188">
        <v>34</v>
      </c>
      <c r="BX16" s="188">
        <v>38</v>
      </c>
      <c r="BY16" s="188">
        <v>44</v>
      </c>
      <c r="BZ16" s="188">
        <v>33</v>
      </c>
      <c r="CA16" s="188">
        <v>38</v>
      </c>
      <c r="CB16" s="188">
        <v>87</v>
      </c>
      <c r="CC16" s="188">
        <v>137</v>
      </c>
      <c r="CD16" s="188">
        <v>247</v>
      </c>
      <c r="CE16" s="188">
        <v>12.9</v>
      </c>
      <c r="CF16" s="188">
        <v>7.2</v>
      </c>
      <c r="CG16" s="188">
        <v>1.3</v>
      </c>
      <c r="CH16" s="189">
        <v>4.9483834258669668E-5</v>
      </c>
    </row>
    <row r="17" spans="1:86" s="178" customFormat="1" x14ac:dyDescent="0.3">
      <c r="A17" s="152" t="s">
        <v>74</v>
      </c>
      <c r="B17" s="162">
        <v>0.53</v>
      </c>
      <c r="C17" s="160"/>
      <c r="D17" s="190">
        <v>-552772.83884647035</v>
      </c>
      <c r="E17" s="164"/>
      <c r="I17" s="152" t="s">
        <v>540</v>
      </c>
      <c r="J17" s="167">
        <v>12</v>
      </c>
      <c r="K17" s="168">
        <v>-12.2</v>
      </c>
      <c r="L17" s="169" t="s">
        <v>547</v>
      </c>
      <c r="M17" s="67" t="s">
        <v>57</v>
      </c>
      <c r="N17" s="167">
        <v>9.8999999999999986</v>
      </c>
      <c r="O17" s="170">
        <v>0</v>
      </c>
      <c r="P17" s="170">
        <v>0</v>
      </c>
      <c r="Q17" s="167">
        <v>31</v>
      </c>
      <c r="R17" s="167">
        <v>26</v>
      </c>
      <c r="S17" s="167">
        <v>1.2</v>
      </c>
      <c r="T17" s="167">
        <v>0</v>
      </c>
      <c r="U17" s="171">
        <v>0</v>
      </c>
      <c r="V17" s="171">
        <v>0</v>
      </c>
      <c r="W17" s="167">
        <v>0</v>
      </c>
      <c r="X17" s="167">
        <v>23700</v>
      </c>
      <c r="Y17" s="167">
        <v>0</v>
      </c>
      <c r="Z17" s="167">
        <v>83.999999999999972</v>
      </c>
      <c r="AA17" s="167">
        <v>1</v>
      </c>
      <c r="AB17" s="167">
        <v>5760</v>
      </c>
      <c r="AC17" s="170">
        <v>192000</v>
      </c>
      <c r="AD17" s="172">
        <v>36153.846153846134</v>
      </c>
      <c r="AE17" s="170">
        <v>0.3</v>
      </c>
      <c r="AF17" s="170">
        <v>0</v>
      </c>
      <c r="AG17" s="170">
        <v>0</v>
      </c>
      <c r="AH17" s="170">
        <v>0</v>
      </c>
      <c r="AI17" s="170">
        <v>0</v>
      </c>
      <c r="AJ17" s="167">
        <v>24.000000000000007</v>
      </c>
      <c r="AK17" s="167">
        <v>1</v>
      </c>
      <c r="AL17" s="167">
        <v>1</v>
      </c>
      <c r="AM17" s="167">
        <v>1</v>
      </c>
      <c r="AN17" s="167">
        <v>1</v>
      </c>
      <c r="AO17" s="167">
        <v>1</v>
      </c>
      <c r="AP17" s="167">
        <v>1</v>
      </c>
      <c r="AQ17" s="167">
        <v>0</v>
      </c>
      <c r="AR17" s="167">
        <v>74</v>
      </c>
      <c r="AS17" s="173">
        <v>1</v>
      </c>
      <c r="AT17" s="178" t="s">
        <v>543</v>
      </c>
      <c r="AU17" s="152">
        <v>9.1999999999999993</v>
      </c>
      <c r="AV17" s="178">
        <v>0.41</v>
      </c>
      <c r="AW17" s="188">
        <v>10</v>
      </c>
      <c r="AX17" s="188" t="s">
        <v>540</v>
      </c>
      <c r="AY17" s="188">
        <v>23</v>
      </c>
      <c r="AZ17" s="188">
        <v>19.899999999999999</v>
      </c>
      <c r="BA17" s="188"/>
      <c r="BB17" s="188">
        <v>22</v>
      </c>
      <c r="BC17" s="188"/>
      <c r="BD17" s="188"/>
      <c r="BE17" s="188">
        <v>11.3</v>
      </c>
      <c r="BF17" s="188">
        <v>12.7</v>
      </c>
      <c r="BG17" s="188">
        <v>13.7</v>
      </c>
      <c r="BH17" s="188">
        <v>17.600000000000001</v>
      </c>
      <c r="BI17" s="188">
        <v>19.2</v>
      </c>
      <c r="BJ17" s="188">
        <v>5.2900000000000003E-2</v>
      </c>
      <c r="BK17" s="188">
        <v>6.1800000000000001E-2</v>
      </c>
      <c r="BL17" s="188">
        <v>6.7799999999999999E-2</v>
      </c>
      <c r="BM17" s="188">
        <v>8.8599999999999998E-2</v>
      </c>
      <c r="BN17" s="188">
        <v>9.9199999999999997E-2</v>
      </c>
      <c r="BO17" s="188"/>
      <c r="BP17" s="188"/>
      <c r="BQ17" s="188"/>
      <c r="BR17" s="188"/>
      <c r="BS17" s="188"/>
      <c r="BT17" s="188">
        <v>63</v>
      </c>
      <c r="BU17" s="188">
        <v>29</v>
      </c>
      <c r="BV17" s="188">
        <v>30</v>
      </c>
      <c r="BW17" s="188">
        <v>34</v>
      </c>
      <c r="BX17" s="188">
        <v>38</v>
      </c>
      <c r="BY17" s="188">
        <v>44</v>
      </c>
      <c r="BZ17" s="188">
        <v>127</v>
      </c>
      <c r="CA17" s="188">
        <v>132</v>
      </c>
      <c r="CB17" s="188">
        <v>182</v>
      </c>
      <c r="CC17" s="188">
        <v>231</v>
      </c>
      <c r="CD17" s="188">
        <v>341</v>
      </c>
      <c r="CE17" s="188">
        <v>12.9</v>
      </c>
      <c r="CF17" s="188">
        <v>7.2</v>
      </c>
      <c r="CG17" s="188">
        <v>1.3</v>
      </c>
      <c r="CH17" s="189">
        <v>4.9483834258669668E-5</v>
      </c>
    </row>
    <row r="18" spans="1:86" x14ac:dyDescent="0.3">
      <c r="A18" s="153" t="s">
        <v>25</v>
      </c>
      <c r="B18" s="153" t="s">
        <v>26</v>
      </c>
      <c r="C18" s="153" t="s">
        <v>27</v>
      </c>
      <c r="D18" s="191">
        <v>29121.297723129272</v>
      </c>
      <c r="E18" s="192"/>
      <c r="I18" s="152" t="s">
        <v>540</v>
      </c>
      <c r="J18" s="167">
        <v>13</v>
      </c>
      <c r="K18" s="168">
        <v>-13.5</v>
      </c>
      <c r="L18" s="169" t="s">
        <v>548</v>
      </c>
      <c r="M18" s="67" t="s">
        <v>57</v>
      </c>
      <c r="N18" s="167">
        <v>9.8999999999999986</v>
      </c>
      <c r="O18" s="170">
        <v>0</v>
      </c>
      <c r="P18" s="170">
        <v>0</v>
      </c>
      <c r="Q18" s="167">
        <v>31</v>
      </c>
      <c r="R18" s="167">
        <v>26</v>
      </c>
      <c r="S18" s="167">
        <v>1.3</v>
      </c>
      <c r="T18" s="167">
        <v>0</v>
      </c>
      <c r="U18" s="171">
        <v>0</v>
      </c>
      <c r="V18" s="171">
        <v>0</v>
      </c>
      <c r="W18" s="167">
        <v>0</v>
      </c>
      <c r="X18" s="167">
        <v>27800</v>
      </c>
      <c r="Y18" s="167">
        <v>0</v>
      </c>
      <c r="Z18" s="167">
        <v>83.999999999999972</v>
      </c>
      <c r="AA18" s="167">
        <v>1</v>
      </c>
      <c r="AB18" s="167">
        <v>5760</v>
      </c>
      <c r="AC18" s="170">
        <v>236000</v>
      </c>
      <c r="AD18" s="172">
        <v>-11000</v>
      </c>
      <c r="AE18" s="170">
        <v>0.3</v>
      </c>
      <c r="AF18" s="170">
        <v>0</v>
      </c>
      <c r="AG18" s="170">
        <v>0</v>
      </c>
      <c r="AH18" s="170">
        <v>0</v>
      </c>
      <c r="AI18" s="170">
        <v>0</v>
      </c>
      <c r="AJ18" s="167">
        <v>24.000000000000007</v>
      </c>
      <c r="AK18" s="167">
        <v>1</v>
      </c>
      <c r="AL18" s="167">
        <v>1</v>
      </c>
      <c r="AM18" s="167">
        <v>1</v>
      </c>
      <c r="AN18" s="167">
        <v>1</v>
      </c>
      <c r="AO18" s="167">
        <v>1</v>
      </c>
      <c r="AP18" s="167">
        <v>1</v>
      </c>
      <c r="AQ18" s="167">
        <v>0</v>
      </c>
      <c r="AR18" s="167">
        <v>78</v>
      </c>
      <c r="AS18" s="173">
        <v>1</v>
      </c>
      <c r="AT18" s="152" t="s">
        <v>543</v>
      </c>
      <c r="AU18" s="152">
        <v>9.1999999999999993</v>
      </c>
      <c r="AV18" s="152">
        <v>0.41</v>
      </c>
      <c r="AW18" s="174">
        <v>10</v>
      </c>
      <c r="AX18" s="174" t="s">
        <v>540</v>
      </c>
      <c r="AY18" s="174">
        <v>23</v>
      </c>
      <c r="AZ18" s="174">
        <v>19.899999999999999</v>
      </c>
      <c r="BA18" s="174"/>
      <c r="BB18" s="174">
        <v>22</v>
      </c>
      <c r="BC18" s="174"/>
      <c r="BD18" s="174"/>
      <c r="BE18" s="174">
        <v>11</v>
      </c>
      <c r="BF18" s="174">
        <v>12.2</v>
      </c>
      <c r="BG18" s="174">
        <v>13</v>
      </c>
      <c r="BH18" s="174">
        <v>16.600000000000001</v>
      </c>
      <c r="BI18" s="174">
        <v>18</v>
      </c>
      <c r="BJ18" s="174">
        <v>5.16E-2</v>
      </c>
      <c r="BK18" s="174">
        <v>5.79E-2</v>
      </c>
      <c r="BL18" s="174">
        <v>6.2100000000000002E-2</v>
      </c>
      <c r="BM18" s="174">
        <v>7.9600000000000004E-2</v>
      </c>
      <c r="BN18" s="174">
        <v>8.7099999999999997E-2</v>
      </c>
      <c r="BO18" s="174"/>
      <c r="BP18" s="174"/>
      <c r="BQ18" s="174"/>
      <c r="BR18" s="174"/>
      <c r="BS18" s="174"/>
      <c r="BT18" s="174">
        <v>57</v>
      </c>
      <c r="BU18" s="174">
        <v>29</v>
      </c>
      <c r="BV18" s="174">
        <v>29</v>
      </c>
      <c r="BW18" s="174">
        <v>33</v>
      </c>
      <c r="BX18" s="174">
        <v>36</v>
      </c>
      <c r="BY18" s="174">
        <v>43</v>
      </c>
      <c r="BZ18" s="174">
        <v>110</v>
      </c>
      <c r="CA18" s="174">
        <v>117</v>
      </c>
      <c r="CB18" s="174">
        <v>177</v>
      </c>
      <c r="CC18" s="174">
        <v>238</v>
      </c>
      <c r="CD18" s="174">
        <v>374</v>
      </c>
      <c r="CE18" s="174">
        <v>11.7</v>
      </c>
      <c r="CF18" s="174">
        <v>4.5</v>
      </c>
      <c r="CG18" s="174">
        <v>1</v>
      </c>
      <c r="CH18" s="175">
        <v>1.2184227830774831E-5</v>
      </c>
    </row>
    <row r="19" spans="1:86" x14ac:dyDescent="0.3">
      <c r="A19" s="164" t="s">
        <v>36</v>
      </c>
      <c r="B19" s="164" t="s">
        <v>29</v>
      </c>
      <c r="C19" s="164" t="s">
        <v>53</v>
      </c>
      <c r="D19" s="161">
        <v>0</v>
      </c>
      <c r="E19" s="153"/>
      <c r="I19" s="152" t="s">
        <v>557</v>
      </c>
      <c r="J19" s="167">
        <v>14</v>
      </c>
      <c r="K19" s="168">
        <v>-14.5</v>
      </c>
      <c r="L19" s="169" t="s">
        <v>549</v>
      </c>
      <c r="M19" s="67" t="s">
        <v>58</v>
      </c>
      <c r="N19" s="167">
        <v>8.8999999999999986</v>
      </c>
      <c r="O19" s="170">
        <v>159</v>
      </c>
      <c r="P19" s="170">
        <v>5.2</v>
      </c>
      <c r="Q19" s="167">
        <v>0</v>
      </c>
      <c r="R19" s="167" t="e">
        <v>#N/A</v>
      </c>
      <c r="S19" s="167">
        <v>1.2</v>
      </c>
      <c r="T19" s="167">
        <v>0</v>
      </c>
      <c r="U19" s="171">
        <v>1.9E-2</v>
      </c>
      <c r="V19" s="171">
        <v>0</v>
      </c>
      <c r="W19" s="167">
        <v>0.5</v>
      </c>
      <c r="X19" s="167">
        <v>15600</v>
      </c>
      <c r="Y19" s="167">
        <v>0</v>
      </c>
      <c r="Z19" s="167" t="e">
        <v>#N/A</v>
      </c>
      <c r="AA19" s="167">
        <v>1</v>
      </c>
      <c r="AB19" s="167" t="e">
        <v>#N/A</v>
      </c>
      <c r="AC19" s="170">
        <v>78000</v>
      </c>
      <c r="AD19" s="172">
        <v>2800</v>
      </c>
      <c r="AE19" s="170">
        <v>0.3</v>
      </c>
      <c r="AF19" s="170">
        <v>0</v>
      </c>
      <c r="AG19" s="170">
        <v>0</v>
      </c>
      <c r="AH19" s="170">
        <v>0</v>
      </c>
      <c r="AI19" s="170">
        <v>0</v>
      </c>
      <c r="AJ19" s="167" t="e">
        <v>#N/A</v>
      </c>
      <c r="AK19" s="167">
        <v>1</v>
      </c>
      <c r="AL19" s="167">
        <v>1</v>
      </c>
      <c r="AM19" s="167">
        <v>1</v>
      </c>
      <c r="AN19" s="167">
        <v>1</v>
      </c>
      <c r="AO19" s="167">
        <v>1</v>
      </c>
      <c r="AP19" s="167">
        <v>1</v>
      </c>
      <c r="AQ19" s="167">
        <v>0</v>
      </c>
      <c r="AR19" s="167">
        <v>0</v>
      </c>
      <c r="AS19" s="173">
        <v>1</v>
      </c>
      <c r="AT19" s="152" t="s">
        <v>543</v>
      </c>
      <c r="AU19" s="152">
        <v>9.1999999999999993</v>
      </c>
      <c r="AV19" s="152">
        <v>0.41</v>
      </c>
      <c r="AW19" s="174">
        <v>10.6</v>
      </c>
      <c r="AX19" s="174" t="s">
        <v>540</v>
      </c>
      <c r="AY19" s="174">
        <v>23</v>
      </c>
      <c r="AZ19" s="174">
        <v>19.899999999999999</v>
      </c>
      <c r="BA19" s="174"/>
      <c r="BB19" s="174">
        <v>22</v>
      </c>
      <c r="BC19" s="174"/>
      <c r="BD19" s="174"/>
      <c r="BE19" s="174">
        <v>4.5</v>
      </c>
      <c r="BF19" s="174">
        <v>5.7</v>
      </c>
      <c r="BG19" s="174">
        <v>6.5</v>
      </c>
      <c r="BH19" s="174">
        <v>8.8000000000000007</v>
      </c>
      <c r="BI19" s="174">
        <v>10.199999999999999</v>
      </c>
      <c r="BJ19" s="174">
        <v>3.2099999999999997E-2</v>
      </c>
      <c r="BK19" s="174">
        <v>3.8300000000000001E-2</v>
      </c>
      <c r="BL19" s="174">
        <v>4.2500000000000003E-2</v>
      </c>
      <c r="BM19" s="174">
        <v>5.6099999999999997E-2</v>
      </c>
      <c r="BN19" s="174">
        <v>6.3600000000000004E-2</v>
      </c>
      <c r="BO19" s="174"/>
      <c r="BP19" s="174"/>
      <c r="BQ19" s="174"/>
      <c r="BR19" s="174"/>
      <c r="BS19" s="174"/>
      <c r="BT19" s="174">
        <v>57</v>
      </c>
      <c r="BU19" s="174">
        <v>29</v>
      </c>
      <c r="BV19" s="174">
        <v>29</v>
      </c>
      <c r="BW19" s="174">
        <v>33</v>
      </c>
      <c r="BX19" s="174">
        <v>36</v>
      </c>
      <c r="BY19" s="174">
        <v>43</v>
      </c>
      <c r="BZ19" s="174">
        <v>88</v>
      </c>
      <c r="CA19" s="174">
        <v>95</v>
      </c>
      <c r="CB19" s="174">
        <v>155</v>
      </c>
      <c r="CC19" s="174">
        <v>216</v>
      </c>
      <c r="CD19" s="174">
        <v>352</v>
      </c>
      <c r="CE19" s="174">
        <v>11.7</v>
      </c>
      <c r="CF19" s="174">
        <v>4.5</v>
      </c>
      <c r="CG19" s="174">
        <v>1</v>
      </c>
      <c r="CH19" s="175">
        <v>1.2184227830774831E-5</v>
      </c>
    </row>
    <row r="20" spans="1:86" x14ac:dyDescent="0.3">
      <c r="A20" s="192">
        <v>1</v>
      </c>
      <c r="B20" s="192">
        <v>0</v>
      </c>
      <c r="C20" s="193">
        <v>0.09</v>
      </c>
      <c r="D20" s="194">
        <v>2891.7203797290813</v>
      </c>
      <c r="I20" s="152" t="s">
        <v>557</v>
      </c>
      <c r="J20" s="167">
        <v>15</v>
      </c>
      <c r="K20" s="168">
        <v>-27</v>
      </c>
      <c r="L20" s="169" t="s">
        <v>550</v>
      </c>
      <c r="M20" s="67" t="s">
        <v>58</v>
      </c>
      <c r="N20" s="167">
        <v>8.8999999999999986</v>
      </c>
      <c r="O20" s="170">
        <v>235</v>
      </c>
      <c r="P20" s="170">
        <v>18.2</v>
      </c>
      <c r="Q20" s="167">
        <v>0</v>
      </c>
      <c r="R20" s="167" t="e">
        <v>#N/A</v>
      </c>
      <c r="S20" s="167">
        <v>1.2</v>
      </c>
      <c r="T20" s="167">
        <v>0</v>
      </c>
      <c r="U20" s="171">
        <v>1.9E-2</v>
      </c>
      <c r="V20" s="171">
        <v>0</v>
      </c>
      <c r="W20" s="167">
        <v>0.5</v>
      </c>
      <c r="X20" s="167">
        <v>22800</v>
      </c>
      <c r="Y20" s="167">
        <v>0</v>
      </c>
      <c r="Z20" s="167" t="e">
        <v>#N/A</v>
      </c>
      <c r="AA20" s="167">
        <v>1</v>
      </c>
      <c r="AB20" s="167" t="e">
        <v>#N/A</v>
      </c>
      <c r="AC20" s="170">
        <v>120000</v>
      </c>
      <c r="AD20" s="172">
        <v>9000</v>
      </c>
      <c r="AE20" s="170">
        <v>0.3</v>
      </c>
      <c r="AF20" s="170">
        <v>0</v>
      </c>
      <c r="AG20" s="170">
        <v>0</v>
      </c>
      <c r="AH20" s="170">
        <v>0</v>
      </c>
      <c r="AI20" s="170">
        <v>0</v>
      </c>
      <c r="AJ20" s="167" t="e">
        <v>#N/A</v>
      </c>
      <c r="AK20" s="167">
        <v>1</v>
      </c>
      <c r="AL20" s="167">
        <v>1</v>
      </c>
      <c r="AM20" s="167">
        <v>1</v>
      </c>
      <c r="AN20" s="167">
        <v>1</v>
      </c>
      <c r="AO20" s="167">
        <v>1</v>
      </c>
      <c r="AP20" s="167">
        <v>1</v>
      </c>
      <c r="AQ20" s="167">
        <v>0</v>
      </c>
      <c r="AR20" s="167">
        <v>0</v>
      </c>
      <c r="AS20" s="173">
        <v>1</v>
      </c>
      <c r="AT20" s="152" t="s">
        <v>543</v>
      </c>
      <c r="AU20" s="152">
        <v>9.1999999999999993</v>
      </c>
      <c r="AV20" s="152">
        <v>0.41</v>
      </c>
      <c r="AW20" s="174">
        <v>10.6</v>
      </c>
      <c r="AX20" s="174" t="s">
        <v>540</v>
      </c>
      <c r="AY20" s="174">
        <v>23</v>
      </c>
      <c r="AZ20" s="174">
        <v>19.899999999999999</v>
      </c>
      <c r="BA20" s="174"/>
      <c r="BB20" s="174">
        <v>22</v>
      </c>
      <c r="BC20" s="174"/>
      <c r="BD20" s="174"/>
      <c r="BE20" s="174">
        <v>4.2</v>
      </c>
      <c r="BF20" s="174">
        <v>5.9</v>
      </c>
      <c r="BG20" s="174">
        <v>7.2</v>
      </c>
      <c r="BH20" s="174">
        <v>10.1</v>
      </c>
      <c r="BI20" s="174">
        <v>12.2</v>
      </c>
      <c r="BJ20" s="174">
        <v>2.9499999999999998E-2</v>
      </c>
      <c r="BK20" s="174">
        <v>3.8600000000000002E-2</v>
      </c>
      <c r="BL20" s="174">
        <v>4.4699999999999997E-2</v>
      </c>
      <c r="BM20" s="174">
        <v>6.0999999999999999E-2</v>
      </c>
      <c r="BN20" s="174">
        <v>7.1900000000000006E-2</v>
      </c>
      <c r="BO20" s="174"/>
      <c r="BP20" s="174"/>
      <c r="BQ20" s="174"/>
      <c r="BR20" s="174"/>
      <c r="BS20" s="174"/>
      <c r="BT20" s="174">
        <v>67</v>
      </c>
      <c r="BU20" s="174">
        <v>29</v>
      </c>
      <c r="BV20" s="174">
        <v>30</v>
      </c>
      <c r="BW20" s="174">
        <v>34</v>
      </c>
      <c r="BX20" s="174">
        <v>38</v>
      </c>
      <c r="BY20" s="174">
        <v>45</v>
      </c>
      <c r="BZ20" s="174">
        <v>85</v>
      </c>
      <c r="CA20" s="174">
        <v>92</v>
      </c>
      <c r="CB20" s="174">
        <v>161</v>
      </c>
      <c r="CC20" s="174">
        <v>230</v>
      </c>
      <c r="CD20" s="174">
        <v>385</v>
      </c>
      <c r="CE20" s="174">
        <v>17.600000000000001</v>
      </c>
      <c r="CF20" s="174">
        <v>5.8</v>
      </c>
      <c r="CG20" s="174">
        <v>1.2</v>
      </c>
      <c r="CH20" s="175">
        <v>2.843075248671839E-5</v>
      </c>
    </row>
    <row r="21" spans="1:86" x14ac:dyDescent="0.3">
      <c r="A21" s="192"/>
      <c r="B21" s="192"/>
      <c r="D21" s="161"/>
      <c r="I21" s="152" t="s">
        <v>557</v>
      </c>
      <c r="J21" s="167">
        <v>16</v>
      </c>
      <c r="K21" s="168">
        <v>-32</v>
      </c>
      <c r="L21" s="169" t="s">
        <v>551</v>
      </c>
      <c r="M21" s="67" t="s">
        <v>58</v>
      </c>
      <c r="N21" s="167">
        <v>8.5</v>
      </c>
      <c r="O21" s="170">
        <v>506</v>
      </c>
      <c r="P21" s="170">
        <v>-118.46153846153872</v>
      </c>
      <c r="Q21" s="167">
        <v>0</v>
      </c>
      <c r="R21" s="167" t="e">
        <v>#N/A</v>
      </c>
      <c r="S21" s="167">
        <v>1.3</v>
      </c>
      <c r="T21" s="167">
        <v>0</v>
      </c>
      <c r="U21" s="171">
        <v>1.9E-2</v>
      </c>
      <c r="V21" s="171">
        <v>0</v>
      </c>
      <c r="W21" s="167">
        <v>0.25</v>
      </c>
      <c r="X21" s="167">
        <v>35300</v>
      </c>
      <c r="Y21" s="167">
        <v>0</v>
      </c>
      <c r="Z21" s="167" t="e">
        <v>#N/A</v>
      </c>
      <c r="AA21" s="167">
        <v>1</v>
      </c>
      <c r="AB21" s="167" t="e">
        <v>#N/A</v>
      </c>
      <c r="AC21" s="170">
        <v>254000</v>
      </c>
      <c r="AD21" s="172">
        <v>-58461.538461538585</v>
      </c>
      <c r="AE21" s="170">
        <v>0.3</v>
      </c>
      <c r="AF21" s="170">
        <v>0</v>
      </c>
      <c r="AG21" s="170">
        <v>0</v>
      </c>
      <c r="AH21" s="170">
        <v>0</v>
      </c>
      <c r="AI21" s="170">
        <v>0</v>
      </c>
      <c r="AJ21" s="167" t="e">
        <v>#N/A</v>
      </c>
      <c r="AK21" s="167">
        <v>1</v>
      </c>
      <c r="AL21" s="167">
        <v>1</v>
      </c>
      <c r="AM21" s="167">
        <v>1</v>
      </c>
      <c r="AN21" s="167">
        <v>1</v>
      </c>
      <c r="AO21" s="167">
        <v>1</v>
      </c>
      <c r="AP21" s="167">
        <v>1</v>
      </c>
      <c r="AQ21" s="167">
        <v>0</v>
      </c>
      <c r="AR21" s="167">
        <v>0</v>
      </c>
      <c r="AS21" s="173">
        <v>1</v>
      </c>
      <c r="AT21" s="178" t="s">
        <v>543</v>
      </c>
      <c r="AU21" s="152">
        <v>9.1999999999999993</v>
      </c>
      <c r="AV21" s="152">
        <v>0.41</v>
      </c>
      <c r="AW21" s="174">
        <v>11.3</v>
      </c>
      <c r="AX21" s="174" t="s">
        <v>540</v>
      </c>
      <c r="AY21" s="174">
        <v>23</v>
      </c>
      <c r="AZ21" s="174">
        <v>19.899999999999999</v>
      </c>
      <c r="BA21" s="174"/>
      <c r="BB21" s="174">
        <v>22</v>
      </c>
      <c r="BC21" s="174"/>
      <c r="BD21" s="174"/>
      <c r="BE21" s="174">
        <v>19.2</v>
      </c>
      <c r="BF21" s="174">
        <v>21</v>
      </c>
      <c r="BG21" s="174">
        <v>22.2</v>
      </c>
      <c r="BH21" s="174">
        <v>28.1</v>
      </c>
      <c r="BI21" s="174">
        <v>30.2</v>
      </c>
      <c r="BJ21" s="174">
        <v>9.06E-2</v>
      </c>
      <c r="BK21" s="174">
        <v>9.9699999999999997E-2</v>
      </c>
      <c r="BL21" s="174">
        <v>0.10580000000000001</v>
      </c>
      <c r="BM21" s="174">
        <v>0.1343</v>
      </c>
      <c r="BN21" s="174">
        <v>0.1452</v>
      </c>
      <c r="BO21" s="174"/>
      <c r="BP21" s="174"/>
      <c r="BQ21" s="174"/>
      <c r="BR21" s="174"/>
      <c r="BS21" s="174"/>
      <c r="BT21" s="174">
        <v>67</v>
      </c>
      <c r="BU21" s="174">
        <v>29</v>
      </c>
      <c r="BV21" s="174">
        <v>30</v>
      </c>
      <c r="BW21" s="174">
        <v>34</v>
      </c>
      <c r="BX21" s="174">
        <v>38</v>
      </c>
      <c r="BY21" s="174">
        <v>45</v>
      </c>
      <c r="BZ21" s="174">
        <v>140</v>
      </c>
      <c r="CA21" s="174">
        <v>148</v>
      </c>
      <c r="CB21" s="174">
        <v>217</v>
      </c>
      <c r="CC21" s="174">
        <v>286</v>
      </c>
      <c r="CD21" s="174">
        <v>441</v>
      </c>
      <c r="CE21" s="174">
        <v>17.600000000000001</v>
      </c>
      <c r="CF21" s="174">
        <v>5.8</v>
      </c>
      <c r="CG21" s="174">
        <v>1.2</v>
      </c>
      <c r="CH21" s="175">
        <v>2.843075248671839E-5</v>
      </c>
    </row>
    <row r="22" spans="1:86" x14ac:dyDescent="0.3">
      <c r="A22" s="192"/>
      <c r="B22" s="192"/>
      <c r="D22" s="153"/>
      <c r="I22" s="152" t="s">
        <v>557</v>
      </c>
      <c r="J22" s="167">
        <v>17</v>
      </c>
      <c r="K22" s="168">
        <v>-33.299999999999997</v>
      </c>
      <c r="L22" s="169" t="s">
        <v>552</v>
      </c>
      <c r="M22" s="67" t="s">
        <v>58</v>
      </c>
      <c r="N22" s="167">
        <v>8.5</v>
      </c>
      <c r="O22" s="170">
        <v>327</v>
      </c>
      <c r="P22" s="170">
        <v>98.571428571428171</v>
      </c>
      <c r="Q22" s="167">
        <v>0</v>
      </c>
      <c r="R22" s="167" t="e">
        <v>#N/A</v>
      </c>
      <c r="S22" s="167">
        <v>1.2</v>
      </c>
      <c r="T22" s="167">
        <v>0</v>
      </c>
      <c r="U22" s="171">
        <v>1.9E-2</v>
      </c>
      <c r="V22" s="171">
        <v>0</v>
      </c>
      <c r="W22" s="167">
        <v>0.25</v>
      </c>
      <c r="X22" s="167">
        <v>28800</v>
      </c>
      <c r="Y22" s="167">
        <v>0</v>
      </c>
      <c r="Z22" s="167" t="e">
        <v>#N/A</v>
      </c>
      <c r="AA22" s="167">
        <v>1</v>
      </c>
      <c r="AB22" s="167" t="e">
        <v>#N/A</v>
      </c>
      <c r="AC22" s="170">
        <v>166000</v>
      </c>
      <c r="AD22" s="172">
        <v>48571.428571428376</v>
      </c>
      <c r="AE22" s="170">
        <v>0.3</v>
      </c>
      <c r="AF22" s="170">
        <v>0</v>
      </c>
      <c r="AG22" s="170">
        <v>0</v>
      </c>
      <c r="AH22" s="170">
        <v>0</v>
      </c>
      <c r="AI22" s="170">
        <v>0</v>
      </c>
      <c r="AJ22" s="167" t="e">
        <v>#N/A</v>
      </c>
      <c r="AK22" s="167">
        <v>1</v>
      </c>
      <c r="AL22" s="167">
        <v>1</v>
      </c>
      <c r="AM22" s="167">
        <v>1</v>
      </c>
      <c r="AN22" s="167">
        <v>1</v>
      </c>
      <c r="AO22" s="167">
        <v>1</v>
      </c>
      <c r="AP22" s="167">
        <v>1</v>
      </c>
      <c r="AQ22" s="167">
        <v>0</v>
      </c>
      <c r="AR22" s="167">
        <v>0</v>
      </c>
      <c r="AS22" s="173">
        <v>1</v>
      </c>
      <c r="AT22" s="152" t="s">
        <v>543</v>
      </c>
      <c r="AU22" s="152">
        <v>9.1999999999999993</v>
      </c>
      <c r="AV22" s="152">
        <v>0.41</v>
      </c>
      <c r="AW22" s="174">
        <v>11.3</v>
      </c>
      <c r="AX22" s="174" t="s">
        <v>540</v>
      </c>
      <c r="AY22" s="174">
        <v>23</v>
      </c>
      <c r="AZ22" s="174">
        <v>19.899999999999999</v>
      </c>
      <c r="BA22" s="174"/>
      <c r="BB22" s="174">
        <v>22</v>
      </c>
      <c r="BC22" s="174"/>
      <c r="BD22" s="174"/>
      <c r="BE22" s="174">
        <v>19.100000000000001</v>
      </c>
      <c r="BF22" s="174">
        <v>21.3</v>
      </c>
      <c r="BG22" s="174">
        <v>22.7</v>
      </c>
      <c r="BH22" s="174">
        <v>29.1</v>
      </c>
      <c r="BI22" s="174">
        <v>31.7</v>
      </c>
      <c r="BJ22" s="174">
        <v>7.1199999999999999E-2</v>
      </c>
      <c r="BK22" s="174">
        <v>8.0199999999999994E-2</v>
      </c>
      <c r="BL22" s="174">
        <v>8.6300000000000002E-2</v>
      </c>
      <c r="BM22" s="174">
        <v>0.1109</v>
      </c>
      <c r="BN22" s="174">
        <v>0.12180000000000001</v>
      </c>
      <c r="BO22" s="174"/>
      <c r="BP22" s="174"/>
      <c r="BQ22" s="174"/>
      <c r="BR22" s="174"/>
      <c r="BS22" s="174"/>
      <c r="BT22" s="174">
        <v>75</v>
      </c>
      <c r="BU22" s="174">
        <v>29</v>
      </c>
      <c r="BV22" s="174">
        <v>31</v>
      </c>
      <c r="BW22" s="174">
        <v>35</v>
      </c>
      <c r="BX22" s="174">
        <v>39</v>
      </c>
      <c r="BY22" s="174">
        <v>46</v>
      </c>
      <c r="BZ22" s="174">
        <v>135</v>
      </c>
      <c r="CA22" s="174">
        <v>142</v>
      </c>
      <c r="CB22" s="174">
        <v>218</v>
      </c>
      <c r="CC22" s="174">
        <v>294</v>
      </c>
      <c r="CD22" s="174">
        <v>464</v>
      </c>
      <c r="CE22" s="174">
        <v>24.3</v>
      </c>
      <c r="CF22" s="174">
        <v>7.1</v>
      </c>
      <c r="CG22" s="174">
        <v>1.3</v>
      </c>
      <c r="CH22" s="175">
        <v>9.7266068320518839E-5</v>
      </c>
    </row>
    <row r="23" spans="1:86" x14ac:dyDescent="0.3">
      <c r="A23" s="192"/>
      <c r="B23" s="192"/>
      <c r="D23" s="195">
        <v>15714.622197005599</v>
      </c>
      <c r="I23" s="152" t="s">
        <v>557</v>
      </c>
      <c r="J23" s="167">
        <v>18</v>
      </c>
      <c r="K23" s="168">
        <v>-34</v>
      </c>
      <c r="L23" s="169" t="s">
        <v>553</v>
      </c>
      <c r="M23" s="67" t="s">
        <v>58</v>
      </c>
      <c r="N23" s="167">
        <v>8.5</v>
      </c>
      <c r="O23" s="170">
        <v>502</v>
      </c>
      <c r="P23" s="170">
        <v>0</v>
      </c>
      <c r="Q23" s="167">
        <v>0</v>
      </c>
      <c r="R23" s="167" t="e">
        <v>#N/A</v>
      </c>
      <c r="S23" s="167">
        <v>1.4</v>
      </c>
      <c r="T23" s="167">
        <v>0</v>
      </c>
      <c r="U23" s="171">
        <v>1.9E-2</v>
      </c>
      <c r="V23" s="171">
        <v>0</v>
      </c>
      <c r="W23" s="167">
        <v>0.25</v>
      </c>
      <c r="X23" s="167">
        <v>40300</v>
      </c>
      <c r="Y23" s="167">
        <v>0</v>
      </c>
      <c r="Z23" s="167" t="e">
        <v>#N/A</v>
      </c>
      <c r="AA23" s="167">
        <v>1</v>
      </c>
      <c r="AB23" s="167" t="e">
        <v>#N/A</v>
      </c>
      <c r="AC23" s="170">
        <v>264000</v>
      </c>
      <c r="AD23" s="172">
        <v>0</v>
      </c>
      <c r="AE23" s="170">
        <v>0.3</v>
      </c>
      <c r="AF23" s="170">
        <v>0</v>
      </c>
      <c r="AG23" s="170">
        <v>0</v>
      </c>
      <c r="AH23" s="170">
        <v>0</v>
      </c>
      <c r="AI23" s="170">
        <v>0</v>
      </c>
      <c r="AJ23" s="167" t="e">
        <v>#N/A</v>
      </c>
      <c r="AK23" s="167">
        <v>1</v>
      </c>
      <c r="AL23" s="167">
        <v>1</v>
      </c>
      <c r="AM23" s="167">
        <v>1</v>
      </c>
      <c r="AN23" s="167">
        <v>1</v>
      </c>
      <c r="AO23" s="167">
        <v>1</v>
      </c>
      <c r="AP23" s="167">
        <v>1</v>
      </c>
      <c r="AQ23" s="167">
        <v>0</v>
      </c>
      <c r="AR23" s="167">
        <v>0</v>
      </c>
      <c r="AS23" s="173">
        <v>1</v>
      </c>
      <c r="AT23" s="152" t="s">
        <v>543</v>
      </c>
      <c r="AU23" s="152">
        <v>9.1999999999999993</v>
      </c>
      <c r="AV23" s="152">
        <v>0.41</v>
      </c>
      <c r="AW23" s="174">
        <v>12.2</v>
      </c>
      <c r="AX23" s="174" t="s">
        <v>540</v>
      </c>
      <c r="AY23" s="174">
        <v>23</v>
      </c>
      <c r="AZ23" s="174">
        <v>19.899999999999999</v>
      </c>
      <c r="BA23" s="174"/>
      <c r="BB23" s="174">
        <v>22</v>
      </c>
      <c r="BC23" s="174"/>
      <c r="BD23" s="174"/>
      <c r="BE23" s="174">
        <v>9.6</v>
      </c>
      <c r="BF23" s="174">
        <v>11.8</v>
      </c>
      <c r="BG23" s="174">
        <v>13.2</v>
      </c>
      <c r="BH23" s="174">
        <v>17.7</v>
      </c>
      <c r="BI23" s="174">
        <v>20.3</v>
      </c>
      <c r="BJ23" s="174">
        <v>4.9799999999999997E-2</v>
      </c>
      <c r="BK23" s="174">
        <v>5.8799999999999998E-2</v>
      </c>
      <c r="BL23" s="174">
        <v>6.4899999999999999E-2</v>
      </c>
      <c r="BM23" s="174">
        <v>8.5199999999999998E-2</v>
      </c>
      <c r="BN23" s="174">
        <v>9.6100000000000005E-2</v>
      </c>
      <c r="BO23" s="174"/>
      <c r="BP23" s="174"/>
      <c r="BQ23" s="174"/>
      <c r="BR23" s="174"/>
      <c r="BS23" s="174"/>
      <c r="BT23" s="174">
        <v>75</v>
      </c>
      <c r="BU23" s="174">
        <v>29</v>
      </c>
      <c r="BV23" s="174">
        <v>31</v>
      </c>
      <c r="BW23" s="174">
        <v>35</v>
      </c>
      <c r="BX23" s="174">
        <v>39</v>
      </c>
      <c r="BY23" s="174">
        <v>46</v>
      </c>
      <c r="BZ23" s="174">
        <v>114</v>
      </c>
      <c r="CA23" s="174">
        <v>121</v>
      </c>
      <c r="CB23" s="174">
        <v>197</v>
      </c>
      <c r="CC23" s="174">
        <v>273</v>
      </c>
      <c r="CD23" s="174">
        <v>443</v>
      </c>
      <c r="CE23" s="174">
        <v>24.3</v>
      </c>
      <c r="CF23" s="174">
        <v>7.1</v>
      </c>
      <c r="CG23" s="174">
        <v>1.3</v>
      </c>
      <c r="CH23" s="175">
        <v>9.7266068320518839E-5</v>
      </c>
    </row>
    <row r="24" spans="1:86" x14ac:dyDescent="0.3">
      <c r="A24" s="192"/>
      <c r="B24" s="192"/>
      <c r="D24" s="195">
        <v>-746243.33244273497</v>
      </c>
      <c r="I24" s="152" t="s">
        <v>557</v>
      </c>
      <c r="J24" s="167">
        <v>19</v>
      </c>
      <c r="K24" s="168">
        <v>-36.5</v>
      </c>
      <c r="L24" s="169" t="s">
        <v>553</v>
      </c>
      <c r="M24" s="67" t="s">
        <v>58</v>
      </c>
      <c r="N24" s="167">
        <v>8.6999999999999993</v>
      </c>
      <c r="O24" s="170">
        <v>739</v>
      </c>
      <c r="P24" s="170">
        <v>0</v>
      </c>
      <c r="Q24" s="167">
        <v>0</v>
      </c>
      <c r="R24" s="167" t="e">
        <v>#N/A</v>
      </c>
      <c r="S24" s="167">
        <v>1.5</v>
      </c>
      <c r="T24" s="167">
        <v>0</v>
      </c>
      <c r="U24" s="171">
        <v>1.9E-2</v>
      </c>
      <c r="V24" s="171">
        <v>0</v>
      </c>
      <c r="W24" s="167">
        <v>0.25</v>
      </c>
      <c r="X24" s="167">
        <v>58900</v>
      </c>
      <c r="Y24" s="167">
        <v>0</v>
      </c>
      <c r="Z24" s="167" t="e">
        <v>#N/A</v>
      </c>
      <c r="AA24" s="167">
        <v>1</v>
      </c>
      <c r="AB24" s="167" t="e">
        <v>#N/A</v>
      </c>
      <c r="AC24" s="170">
        <v>405000</v>
      </c>
      <c r="AD24" s="172">
        <v>0</v>
      </c>
      <c r="AE24" s="170">
        <v>0.3</v>
      </c>
      <c r="AF24" s="170">
        <v>0</v>
      </c>
      <c r="AG24" s="170">
        <v>0</v>
      </c>
      <c r="AH24" s="170">
        <v>0</v>
      </c>
      <c r="AI24" s="170">
        <v>0</v>
      </c>
      <c r="AJ24" s="167" t="e">
        <v>#N/A</v>
      </c>
      <c r="AK24" s="167">
        <v>1</v>
      </c>
      <c r="AL24" s="167">
        <v>1</v>
      </c>
      <c r="AM24" s="167">
        <v>1</v>
      </c>
      <c r="AN24" s="167">
        <v>1</v>
      </c>
      <c r="AO24" s="167">
        <v>1</v>
      </c>
      <c r="AP24" s="167">
        <v>1</v>
      </c>
      <c r="AQ24" s="167">
        <v>0</v>
      </c>
      <c r="AR24" s="167">
        <v>0</v>
      </c>
      <c r="AS24" s="173">
        <v>1</v>
      </c>
      <c r="AT24" s="152" t="s">
        <v>543</v>
      </c>
      <c r="AU24" s="152">
        <v>9.1999999999999993</v>
      </c>
      <c r="AV24" s="152">
        <v>0.41</v>
      </c>
      <c r="AW24" s="174">
        <v>12.2</v>
      </c>
      <c r="AX24" s="174" t="s">
        <v>540</v>
      </c>
      <c r="AY24" s="174">
        <v>23</v>
      </c>
      <c r="AZ24" s="174">
        <v>19.899999999999999</v>
      </c>
      <c r="BA24" s="174"/>
      <c r="BB24" s="174">
        <v>22</v>
      </c>
      <c r="BC24" s="174"/>
      <c r="BD24" s="174"/>
      <c r="BE24" s="174">
        <v>8.8000000000000007</v>
      </c>
      <c r="BF24" s="174">
        <v>10.9</v>
      </c>
      <c r="BG24" s="174">
        <v>12.3</v>
      </c>
      <c r="BH24" s="174">
        <v>16.5</v>
      </c>
      <c r="BI24" s="174">
        <v>19.100000000000001</v>
      </c>
      <c r="BJ24" s="174">
        <v>4.99E-2</v>
      </c>
      <c r="BK24" s="174">
        <v>5.9799999999999999E-2</v>
      </c>
      <c r="BL24" s="174">
        <v>6.6500000000000004E-2</v>
      </c>
      <c r="BM24" s="174">
        <v>8.7800000000000003E-2</v>
      </c>
      <c r="BN24" s="174">
        <v>9.98E-2</v>
      </c>
      <c r="BO24" s="174"/>
      <c r="BP24" s="174"/>
      <c r="BQ24" s="174"/>
      <c r="BR24" s="174"/>
      <c r="BS24" s="174"/>
      <c r="BT24" s="174">
        <v>74</v>
      </c>
      <c r="BU24" s="174">
        <v>29</v>
      </c>
      <c r="BV24" s="174">
        <v>31</v>
      </c>
      <c r="BW24" s="174">
        <v>35</v>
      </c>
      <c r="BX24" s="174">
        <v>39</v>
      </c>
      <c r="BY24" s="174">
        <v>45</v>
      </c>
      <c r="BZ24" s="174">
        <v>106</v>
      </c>
      <c r="CA24" s="174">
        <v>114</v>
      </c>
      <c r="CB24" s="174">
        <v>192</v>
      </c>
      <c r="CC24" s="174">
        <v>271</v>
      </c>
      <c r="CD24" s="174">
        <v>448</v>
      </c>
      <c r="CE24" s="174">
        <v>23.7</v>
      </c>
      <c r="CF24" s="174">
        <v>6.3</v>
      </c>
      <c r="CG24" s="174">
        <v>1.2</v>
      </c>
      <c r="CH24" s="175">
        <v>5.1042259205858373E-5</v>
      </c>
    </row>
    <row r="25" spans="1:86" x14ac:dyDescent="0.3">
      <c r="A25" s="192"/>
      <c r="B25" s="192"/>
      <c r="D25" s="195">
        <v>32033.4274954422</v>
      </c>
      <c r="I25" s="152" t="s">
        <v>557</v>
      </c>
      <c r="J25" s="167">
        <v>20</v>
      </c>
      <c r="K25" s="168">
        <v>-39.799999999999997</v>
      </c>
      <c r="L25" s="169" t="s">
        <v>553</v>
      </c>
      <c r="M25" s="67" t="s">
        <v>58</v>
      </c>
      <c r="N25" s="167">
        <v>8.6999999999999993</v>
      </c>
      <c r="O25" s="170">
        <v>515</v>
      </c>
      <c r="P25" s="170">
        <v>-45.833333333333222</v>
      </c>
      <c r="Q25" s="167">
        <v>0</v>
      </c>
      <c r="R25" s="167" t="e">
        <v>#N/A</v>
      </c>
      <c r="S25" s="167">
        <v>1.3</v>
      </c>
      <c r="T25" s="167">
        <v>0</v>
      </c>
      <c r="U25" s="171">
        <v>1.9E-2</v>
      </c>
      <c r="V25" s="171">
        <v>0</v>
      </c>
      <c r="W25" s="167">
        <v>0.25</v>
      </c>
      <c r="X25" s="167">
        <v>37400</v>
      </c>
      <c r="Y25" s="167">
        <v>0</v>
      </c>
      <c r="Z25" s="167" t="e">
        <v>#N/A</v>
      </c>
      <c r="AA25" s="167">
        <v>1</v>
      </c>
      <c r="AB25" s="167" t="e">
        <v>#N/A</v>
      </c>
      <c r="AC25" s="170">
        <v>265000</v>
      </c>
      <c r="AD25" s="172">
        <v>-23333.333333333278</v>
      </c>
      <c r="AE25" s="170">
        <v>0.3</v>
      </c>
      <c r="AF25" s="170">
        <v>0</v>
      </c>
      <c r="AG25" s="170">
        <v>0</v>
      </c>
      <c r="AH25" s="170">
        <v>0</v>
      </c>
      <c r="AI25" s="170">
        <v>0</v>
      </c>
      <c r="AJ25" s="167" t="e">
        <v>#N/A</v>
      </c>
      <c r="AK25" s="167">
        <v>1</v>
      </c>
      <c r="AL25" s="167">
        <v>1</v>
      </c>
      <c r="AM25" s="167">
        <v>1</v>
      </c>
      <c r="AN25" s="167">
        <v>1</v>
      </c>
      <c r="AO25" s="167">
        <v>1</v>
      </c>
      <c r="AP25" s="167">
        <v>1</v>
      </c>
      <c r="AQ25" s="167">
        <v>0</v>
      </c>
      <c r="AR25" s="167">
        <v>0</v>
      </c>
      <c r="AS25" s="173">
        <v>1</v>
      </c>
      <c r="AT25" s="178" t="s">
        <v>543</v>
      </c>
      <c r="AU25" s="152">
        <v>9.1999999999999993</v>
      </c>
      <c r="AV25" s="152">
        <v>0.41</v>
      </c>
      <c r="AW25" s="174">
        <v>13.5</v>
      </c>
      <c r="AX25" s="174" t="s">
        <v>540</v>
      </c>
      <c r="AY25" s="174">
        <v>23</v>
      </c>
      <c r="AZ25" s="174">
        <v>19.899999999999999</v>
      </c>
      <c r="BA25" s="174"/>
      <c r="BB25" s="174">
        <v>22</v>
      </c>
      <c r="BC25" s="174"/>
      <c r="BD25" s="174"/>
      <c r="BE25" s="174">
        <v>19.100000000000001</v>
      </c>
      <c r="BF25" s="174">
        <v>21.2</v>
      </c>
      <c r="BG25" s="174">
        <v>22.7</v>
      </c>
      <c r="BH25" s="174">
        <v>29</v>
      </c>
      <c r="BI25" s="174">
        <v>31.5</v>
      </c>
      <c r="BJ25" s="174">
        <v>8.2500000000000004E-2</v>
      </c>
      <c r="BK25" s="174">
        <v>9.2399999999999996E-2</v>
      </c>
      <c r="BL25" s="174">
        <v>9.9099999999999994E-2</v>
      </c>
      <c r="BM25" s="174">
        <v>0.127</v>
      </c>
      <c r="BN25" s="174">
        <v>0.1389</v>
      </c>
      <c r="BO25" s="174"/>
      <c r="BP25" s="174"/>
      <c r="BQ25" s="174"/>
      <c r="BR25" s="174"/>
      <c r="BS25" s="174"/>
      <c r="BT25" s="174">
        <v>74</v>
      </c>
      <c r="BU25" s="174">
        <v>29</v>
      </c>
      <c r="BV25" s="174">
        <v>31</v>
      </c>
      <c r="BW25" s="174">
        <v>35</v>
      </c>
      <c r="BX25" s="174">
        <v>39</v>
      </c>
      <c r="BY25" s="174">
        <v>45</v>
      </c>
      <c r="BZ25" s="174">
        <v>152</v>
      </c>
      <c r="CA25" s="174">
        <v>161</v>
      </c>
      <c r="CB25" s="174">
        <v>239</v>
      </c>
      <c r="CC25" s="174">
        <v>318</v>
      </c>
      <c r="CD25" s="174">
        <v>495</v>
      </c>
      <c r="CE25" s="174">
        <v>23.7</v>
      </c>
      <c r="CF25" s="174">
        <v>6.3</v>
      </c>
      <c r="CG25" s="174">
        <v>1.2</v>
      </c>
      <c r="CH25" s="175">
        <v>5.1042259205858373E-5</v>
      </c>
    </row>
    <row r="26" spans="1:86" x14ac:dyDescent="0.3">
      <c r="A26" s="192"/>
      <c r="B26" s="192"/>
      <c r="D26" s="153">
        <v>0</v>
      </c>
      <c r="F26" s="152" t="s">
        <v>554</v>
      </c>
      <c r="I26" s="152" t="s">
        <v>557</v>
      </c>
      <c r="J26" s="167">
        <v>21</v>
      </c>
      <c r="K26" s="168">
        <v>-41</v>
      </c>
      <c r="L26" s="169" t="s">
        <v>553</v>
      </c>
      <c r="M26" s="67" t="s">
        <v>58</v>
      </c>
      <c r="N26" s="167">
        <v>8.6999999999999993</v>
      </c>
      <c r="O26" s="170">
        <v>573</v>
      </c>
      <c r="P26" s="170">
        <v>-101</v>
      </c>
      <c r="Q26" s="167">
        <v>0</v>
      </c>
      <c r="R26" s="167" t="e">
        <v>#N/A</v>
      </c>
      <c r="S26" s="167">
        <v>1.4</v>
      </c>
      <c r="T26" s="167">
        <v>0</v>
      </c>
      <c r="U26" s="171">
        <v>1.9E-2</v>
      </c>
      <c r="V26" s="171">
        <v>0</v>
      </c>
      <c r="W26" s="167">
        <v>0.25</v>
      </c>
      <c r="X26" s="167">
        <v>49500</v>
      </c>
      <c r="Y26" s="167">
        <v>0</v>
      </c>
      <c r="Z26" s="167" t="e">
        <v>#N/A</v>
      </c>
      <c r="AA26" s="167">
        <v>1</v>
      </c>
      <c r="AB26" s="167" t="e">
        <v>#N/A</v>
      </c>
      <c r="AC26" s="170">
        <v>296000</v>
      </c>
      <c r="AD26" s="172">
        <v>-51000</v>
      </c>
      <c r="AE26" s="170">
        <v>0.3</v>
      </c>
      <c r="AF26" s="170">
        <v>0</v>
      </c>
      <c r="AG26" s="170">
        <v>0</v>
      </c>
      <c r="AH26" s="170">
        <v>0</v>
      </c>
      <c r="AI26" s="170">
        <v>0</v>
      </c>
      <c r="AJ26" s="167" t="e">
        <v>#N/A</v>
      </c>
      <c r="AK26" s="167">
        <v>1</v>
      </c>
      <c r="AL26" s="167">
        <v>1</v>
      </c>
      <c r="AM26" s="167">
        <v>1</v>
      </c>
      <c r="AN26" s="167">
        <v>1</v>
      </c>
      <c r="AO26" s="167">
        <v>1</v>
      </c>
      <c r="AP26" s="167">
        <v>1</v>
      </c>
      <c r="AQ26" s="167">
        <v>0</v>
      </c>
      <c r="AR26" s="167">
        <v>0</v>
      </c>
      <c r="AS26" s="173">
        <v>1</v>
      </c>
      <c r="AT26" s="152" t="s">
        <v>543</v>
      </c>
      <c r="AU26" s="152">
        <v>9.1999999999999993</v>
      </c>
      <c r="AV26" s="152">
        <v>0.41</v>
      </c>
      <c r="AW26" s="174">
        <v>13.5</v>
      </c>
      <c r="AX26" s="174" t="s">
        <v>540</v>
      </c>
      <c r="AY26" s="174">
        <v>23</v>
      </c>
      <c r="AZ26" s="174">
        <v>19.899999999999999</v>
      </c>
      <c r="BA26" s="174"/>
      <c r="BB26" s="174">
        <v>22</v>
      </c>
      <c r="BC26" s="174"/>
      <c r="BD26" s="174"/>
      <c r="BE26" s="174">
        <v>18.100000000000001</v>
      </c>
      <c r="BF26" s="174">
        <v>20.399999999999999</v>
      </c>
      <c r="BG26" s="174">
        <v>22</v>
      </c>
      <c r="BH26" s="174">
        <v>28.3</v>
      </c>
      <c r="BI26" s="174">
        <v>33.4</v>
      </c>
      <c r="BJ26" s="174">
        <v>4.4900000000000002E-2</v>
      </c>
      <c r="BK26" s="174">
        <v>5.9400000000000001E-2</v>
      </c>
      <c r="BL26" s="174">
        <v>6.9099999999999995E-2</v>
      </c>
      <c r="BM26" s="174">
        <v>9.4600000000000004E-2</v>
      </c>
      <c r="BN26" s="174">
        <v>0.13039999999999999</v>
      </c>
      <c r="BO26" s="174"/>
      <c r="BP26" s="174"/>
      <c r="BQ26" s="174"/>
      <c r="BR26" s="174"/>
      <c r="BS26" s="174"/>
      <c r="BT26" s="174">
        <v>78</v>
      </c>
      <c r="BU26" s="174">
        <v>29</v>
      </c>
      <c r="BV26" s="174">
        <v>31</v>
      </c>
      <c r="BW26" s="174">
        <v>35</v>
      </c>
      <c r="BX26" s="174">
        <v>39</v>
      </c>
      <c r="BY26" s="174">
        <v>46</v>
      </c>
      <c r="BZ26" s="174">
        <v>144</v>
      </c>
      <c r="CA26" s="174">
        <v>153</v>
      </c>
      <c r="CB26" s="174">
        <v>236</v>
      </c>
      <c r="CC26" s="174">
        <v>320</v>
      </c>
      <c r="CD26" s="174">
        <v>509</v>
      </c>
      <c r="CE26" s="174">
        <v>27.8</v>
      </c>
      <c r="CF26" s="174">
        <v>6.6</v>
      </c>
      <c r="CG26" s="174">
        <v>1.3</v>
      </c>
      <c r="CH26" s="175">
        <v>9.5475430613206473E-5</v>
      </c>
    </row>
    <row r="27" spans="1:86" x14ac:dyDescent="0.3">
      <c r="A27" s="192"/>
      <c r="B27" s="192"/>
      <c r="D27" s="195">
        <v>3903.82251263426</v>
      </c>
      <c r="F27" s="152" t="s">
        <v>555</v>
      </c>
      <c r="I27" s="152" t="s">
        <v>557</v>
      </c>
      <c r="J27" s="152">
        <v>22</v>
      </c>
      <c r="K27" s="152">
        <v>-42</v>
      </c>
      <c r="L27" s="196" t="s">
        <v>553</v>
      </c>
      <c r="M27" s="196" t="s">
        <v>58</v>
      </c>
      <c r="N27" s="167">
        <v>8.6999999999999993</v>
      </c>
      <c r="O27" s="170">
        <v>709</v>
      </c>
      <c r="P27" s="167">
        <v>0</v>
      </c>
      <c r="Q27" s="167">
        <v>0</v>
      </c>
      <c r="R27" s="197" t="e">
        <v>#N/A</v>
      </c>
      <c r="S27" s="167">
        <v>1.4</v>
      </c>
      <c r="T27" s="167">
        <v>0</v>
      </c>
      <c r="U27" s="167">
        <v>1.9E-2</v>
      </c>
      <c r="V27" s="167">
        <v>0</v>
      </c>
      <c r="W27" s="167">
        <v>0.25</v>
      </c>
      <c r="X27" s="167">
        <v>51700</v>
      </c>
      <c r="Y27" s="167">
        <v>0</v>
      </c>
      <c r="Z27" s="167" t="e">
        <v>#N/A</v>
      </c>
      <c r="AA27" s="167">
        <v>1</v>
      </c>
      <c r="AB27" s="167" t="e">
        <v>#N/A</v>
      </c>
      <c r="AC27" s="167">
        <v>389000</v>
      </c>
      <c r="AD27" s="167">
        <v>0</v>
      </c>
      <c r="AE27" s="152">
        <v>0.3</v>
      </c>
      <c r="AF27" s="152">
        <v>0</v>
      </c>
      <c r="AG27" s="152">
        <v>0</v>
      </c>
      <c r="AH27" s="152">
        <v>0</v>
      </c>
      <c r="AI27" s="167">
        <v>0</v>
      </c>
      <c r="AJ27" s="167" t="e">
        <v>#N/A</v>
      </c>
      <c r="AK27" s="167">
        <v>1</v>
      </c>
      <c r="AL27" s="167">
        <v>1</v>
      </c>
      <c r="AM27" s="167">
        <v>1</v>
      </c>
      <c r="AN27" s="167">
        <v>1</v>
      </c>
      <c r="AO27" s="167">
        <v>1</v>
      </c>
      <c r="AP27" s="167">
        <v>1</v>
      </c>
      <c r="AQ27" s="152">
        <v>0</v>
      </c>
      <c r="AR27" s="152">
        <v>0</v>
      </c>
      <c r="AS27" s="173">
        <v>1</v>
      </c>
      <c r="AT27" s="152" t="s">
        <v>543</v>
      </c>
      <c r="AU27" s="152">
        <v>9.1999999999999993</v>
      </c>
      <c r="AV27" s="152">
        <v>0.41</v>
      </c>
      <c r="AW27" s="174">
        <v>14.5</v>
      </c>
      <c r="AX27" s="174" t="s">
        <v>540</v>
      </c>
      <c r="AY27" s="174">
        <v>23</v>
      </c>
      <c r="AZ27" s="174">
        <v>19.899999999999999</v>
      </c>
      <c r="BA27" s="174"/>
      <c r="BB27" s="174">
        <v>22</v>
      </c>
      <c r="BC27" s="174"/>
      <c r="BD27" s="174"/>
      <c r="BE27" s="174">
        <v>12.6</v>
      </c>
      <c r="BF27" s="174">
        <v>14.9</v>
      </c>
      <c r="BG27" s="174">
        <v>16.5</v>
      </c>
      <c r="BH27" s="174">
        <v>21.7</v>
      </c>
      <c r="BI27" s="174">
        <v>26.7</v>
      </c>
      <c r="BJ27" s="174">
        <v>7.2300000000000003E-2</v>
      </c>
      <c r="BK27" s="174">
        <v>8.6800000000000002E-2</v>
      </c>
      <c r="BL27" s="174">
        <v>9.6600000000000005E-2</v>
      </c>
      <c r="BM27" s="174">
        <v>0.1275</v>
      </c>
      <c r="BN27" s="174">
        <v>0.1633</v>
      </c>
      <c r="BO27" s="174"/>
      <c r="BP27" s="174"/>
      <c r="BQ27" s="174"/>
      <c r="BR27" s="174"/>
      <c r="BS27" s="174"/>
      <c r="BT27" s="174">
        <v>78</v>
      </c>
      <c r="BU27" s="174">
        <v>29</v>
      </c>
      <c r="BV27" s="174">
        <v>31</v>
      </c>
      <c r="BW27" s="174">
        <v>35</v>
      </c>
      <c r="BX27" s="174">
        <v>39</v>
      </c>
      <c r="BY27" s="174">
        <v>46</v>
      </c>
      <c r="BZ27" s="174">
        <v>133</v>
      </c>
      <c r="CA27" s="174">
        <v>142</v>
      </c>
      <c r="CB27" s="174">
        <v>225</v>
      </c>
      <c r="CC27" s="174">
        <v>309</v>
      </c>
      <c r="CD27" s="174">
        <v>498</v>
      </c>
      <c r="CE27" s="174">
        <v>27.8</v>
      </c>
      <c r="CF27" s="174">
        <v>6.6</v>
      </c>
      <c r="CG27" s="174">
        <v>1.3</v>
      </c>
      <c r="CH27" s="175">
        <v>9.5475430613206473E-5</v>
      </c>
    </row>
    <row r="28" spans="1:86" x14ac:dyDescent="0.3">
      <c r="A28" s="192"/>
      <c r="B28" s="192"/>
      <c r="D28" s="153"/>
      <c r="F28" s="152" t="s">
        <v>556</v>
      </c>
      <c r="I28" s="152" t="s">
        <v>557</v>
      </c>
      <c r="J28" s="152">
        <v>23</v>
      </c>
      <c r="K28" s="152">
        <v>-45</v>
      </c>
      <c r="L28" s="196" t="s">
        <v>553</v>
      </c>
      <c r="M28" s="196" t="s">
        <v>58</v>
      </c>
      <c r="N28" s="167">
        <v>8.6999999999999993</v>
      </c>
      <c r="O28" s="170">
        <v>1200</v>
      </c>
      <c r="P28" s="167">
        <v>0</v>
      </c>
      <c r="Q28" s="167">
        <v>0</v>
      </c>
      <c r="R28" s="197" t="e">
        <v>#N/A</v>
      </c>
      <c r="S28" s="167">
        <v>1.8</v>
      </c>
      <c r="T28" s="167">
        <v>0</v>
      </c>
      <c r="U28" s="167">
        <v>1.9E-2</v>
      </c>
      <c r="V28" s="167">
        <v>0</v>
      </c>
      <c r="W28" s="167">
        <v>0.25</v>
      </c>
      <c r="X28" s="167">
        <v>102300</v>
      </c>
      <c r="Y28" s="167">
        <v>0</v>
      </c>
      <c r="Z28" s="167" t="e">
        <v>#N/A</v>
      </c>
      <c r="AA28" s="167">
        <v>1</v>
      </c>
      <c r="AB28" s="167" t="e">
        <v>#N/A</v>
      </c>
      <c r="AC28" s="167">
        <v>762000</v>
      </c>
      <c r="AD28" s="167">
        <v>0</v>
      </c>
      <c r="AE28" s="152">
        <v>0.3</v>
      </c>
      <c r="AF28" s="152">
        <v>0</v>
      </c>
      <c r="AG28" s="152">
        <v>0</v>
      </c>
      <c r="AH28" s="152">
        <v>0</v>
      </c>
      <c r="AI28" s="167">
        <v>0</v>
      </c>
      <c r="AJ28" s="167" t="e">
        <v>#N/A</v>
      </c>
      <c r="AK28" s="167">
        <v>1</v>
      </c>
      <c r="AL28" s="167">
        <v>1</v>
      </c>
      <c r="AM28" s="167">
        <v>1</v>
      </c>
      <c r="AN28" s="167">
        <v>1</v>
      </c>
      <c r="AO28" s="167">
        <v>1</v>
      </c>
      <c r="AP28" s="167">
        <v>1</v>
      </c>
      <c r="AQ28" s="152">
        <v>0</v>
      </c>
      <c r="AR28" s="152">
        <v>0</v>
      </c>
      <c r="AS28" s="173">
        <v>1</v>
      </c>
      <c r="AT28" s="178" t="s">
        <v>543</v>
      </c>
      <c r="AU28" s="152">
        <v>9.1999999999999993</v>
      </c>
      <c r="AV28" s="152">
        <v>0.41</v>
      </c>
      <c r="AW28" s="188">
        <v>14.5</v>
      </c>
      <c r="AX28" s="188" t="s">
        <v>557</v>
      </c>
      <c r="AY28" s="188">
        <v>36</v>
      </c>
      <c r="AZ28" s="188">
        <v>18.899999999999999</v>
      </c>
      <c r="BA28" s="188">
        <v>57</v>
      </c>
      <c r="BB28" s="188">
        <v>74</v>
      </c>
      <c r="BC28" s="188">
        <v>3</v>
      </c>
      <c r="BD28" s="188">
        <v>1.9</v>
      </c>
      <c r="BE28" s="188">
        <v>2.8</v>
      </c>
      <c r="BF28" s="188">
        <v>3.3</v>
      </c>
      <c r="BG28" s="188">
        <v>3.7</v>
      </c>
      <c r="BH28" s="188">
        <v>4.0999999999999996</v>
      </c>
      <c r="BI28" s="188">
        <v>4.7</v>
      </c>
      <c r="BJ28" s="188">
        <v>5.96E-2</v>
      </c>
      <c r="BK28" s="188">
        <v>7.1199999999999999E-2</v>
      </c>
      <c r="BL28" s="188">
        <v>7.9000000000000001E-2</v>
      </c>
      <c r="BM28" s="188">
        <v>8.6900000000000005E-2</v>
      </c>
      <c r="BN28" s="188">
        <v>9.8500000000000004E-2</v>
      </c>
      <c r="BO28" s="188">
        <v>101</v>
      </c>
      <c r="BP28" s="188">
        <v>159</v>
      </c>
      <c r="BQ28" s="188">
        <v>190</v>
      </c>
      <c r="BR28" s="188">
        <v>222</v>
      </c>
      <c r="BS28" s="188">
        <v>327</v>
      </c>
      <c r="BT28" s="188"/>
      <c r="BU28" s="188"/>
      <c r="BV28" s="188"/>
      <c r="BW28" s="188"/>
      <c r="BX28" s="188"/>
      <c r="BY28" s="188"/>
      <c r="BZ28" s="188">
        <v>61</v>
      </c>
      <c r="CA28" s="188">
        <v>61</v>
      </c>
      <c r="CB28" s="188">
        <v>78</v>
      </c>
      <c r="CC28" s="188">
        <v>102</v>
      </c>
      <c r="CD28" s="188">
        <v>162</v>
      </c>
      <c r="CE28" s="188">
        <v>15.6</v>
      </c>
      <c r="CF28" s="188">
        <v>7</v>
      </c>
      <c r="CG28" s="188">
        <v>1.2</v>
      </c>
      <c r="CH28" s="189">
        <v>3.394639827889471E-10</v>
      </c>
    </row>
    <row r="29" spans="1:86" x14ac:dyDescent="0.3">
      <c r="A29" s="192"/>
      <c r="B29" s="192"/>
      <c r="D29" s="153"/>
      <c r="F29" s="152" t="s">
        <v>558</v>
      </c>
      <c r="L29" s="196"/>
      <c r="M29" s="196" t="s">
        <v>395</v>
      </c>
      <c r="N29" s="167"/>
      <c r="O29" s="170"/>
      <c r="P29" s="167"/>
      <c r="Q29" s="167"/>
      <c r="R29" s="197"/>
      <c r="S29" s="167"/>
      <c r="T29" s="167"/>
      <c r="U29" s="167"/>
      <c r="V29" s="167"/>
      <c r="W29" s="167"/>
      <c r="X29" s="167"/>
      <c r="Y29" s="167"/>
      <c r="Z29" s="167"/>
      <c r="AA29" s="167"/>
      <c r="AB29" s="167"/>
      <c r="AC29" s="167"/>
      <c r="AD29" s="167"/>
      <c r="AI29" s="167"/>
      <c r="AJ29" s="167"/>
      <c r="AK29" s="167"/>
      <c r="AL29" s="167"/>
      <c r="AM29" s="167"/>
      <c r="AN29" s="167"/>
      <c r="AO29" s="167"/>
      <c r="AP29" s="167"/>
      <c r="AW29" s="188">
        <v>27</v>
      </c>
      <c r="AX29" s="188" t="s">
        <v>557</v>
      </c>
      <c r="AY29" s="188">
        <v>36</v>
      </c>
      <c r="AZ29" s="188">
        <v>18.899999999999999</v>
      </c>
      <c r="BA29" s="188">
        <v>57</v>
      </c>
      <c r="BB29" s="188">
        <v>74</v>
      </c>
      <c r="BC29" s="188">
        <v>3</v>
      </c>
      <c r="BD29" s="188">
        <v>1.9</v>
      </c>
      <c r="BE29" s="188">
        <v>4.2</v>
      </c>
      <c r="BF29" s="188">
        <v>4.7</v>
      </c>
      <c r="BG29" s="188">
        <v>5.0999999999999996</v>
      </c>
      <c r="BH29" s="188">
        <v>5.5</v>
      </c>
      <c r="BI29" s="188">
        <v>6.1</v>
      </c>
      <c r="BJ29" s="188">
        <v>9.5699999999999993E-2</v>
      </c>
      <c r="BK29" s="188">
        <v>0.1074</v>
      </c>
      <c r="BL29" s="188">
        <v>0.1152</v>
      </c>
      <c r="BM29" s="188">
        <v>0.123</v>
      </c>
      <c r="BN29" s="188">
        <v>0.13469999999999999</v>
      </c>
      <c r="BO29" s="188">
        <v>166</v>
      </c>
      <c r="BP29" s="188">
        <v>224</v>
      </c>
      <c r="BQ29" s="188">
        <v>255</v>
      </c>
      <c r="BR29" s="188">
        <v>287</v>
      </c>
      <c r="BS29" s="188">
        <v>392</v>
      </c>
      <c r="BT29" s="188"/>
      <c r="BU29" s="188"/>
      <c r="BV29" s="188"/>
      <c r="BW29" s="188"/>
      <c r="BX29" s="188"/>
      <c r="BY29" s="188"/>
      <c r="BZ29" s="188">
        <v>84</v>
      </c>
      <c r="CA29" s="188">
        <v>89</v>
      </c>
      <c r="CB29" s="188">
        <v>113</v>
      </c>
      <c r="CC29" s="188">
        <v>137</v>
      </c>
      <c r="CD29" s="188">
        <v>196</v>
      </c>
      <c r="CE29" s="188">
        <v>15.6</v>
      </c>
      <c r="CF29" s="188">
        <v>7</v>
      </c>
      <c r="CG29" s="188">
        <v>1.2</v>
      </c>
      <c r="CH29" s="189">
        <v>3.394639827889471E-10</v>
      </c>
    </row>
    <row r="30" spans="1:86" x14ac:dyDescent="0.3">
      <c r="A30" s="192"/>
      <c r="B30" s="192"/>
      <c r="D30" s="153"/>
      <c r="F30" s="152" t="s">
        <v>558</v>
      </c>
      <c r="L30" s="196"/>
      <c r="M30" s="196" t="s">
        <v>395</v>
      </c>
      <c r="N30" s="167"/>
      <c r="O30" s="170"/>
      <c r="P30" s="167"/>
      <c r="Q30" s="167"/>
      <c r="R30" s="197"/>
      <c r="S30" s="167"/>
      <c r="T30" s="167"/>
      <c r="U30" s="167"/>
      <c r="V30" s="167"/>
      <c r="W30" s="167"/>
      <c r="X30" s="167"/>
      <c r="Y30" s="167"/>
      <c r="Z30" s="167"/>
      <c r="AA30" s="167"/>
      <c r="AB30" s="167"/>
      <c r="AC30" s="167"/>
      <c r="AD30" s="167"/>
      <c r="AI30" s="167"/>
      <c r="AJ30" s="167"/>
      <c r="AK30" s="167"/>
      <c r="AL30" s="167"/>
      <c r="AM30" s="167"/>
      <c r="AN30" s="167"/>
      <c r="AO30" s="167"/>
      <c r="AP30" s="167"/>
      <c r="AW30" s="188">
        <v>27</v>
      </c>
      <c r="AX30" s="188" t="s">
        <v>557</v>
      </c>
      <c r="AY30" s="188">
        <v>36</v>
      </c>
      <c r="AZ30" s="188">
        <v>18.899999999999999</v>
      </c>
      <c r="BA30" s="188">
        <v>57</v>
      </c>
      <c r="BB30" s="188">
        <v>74</v>
      </c>
      <c r="BC30" s="188">
        <v>3</v>
      </c>
      <c r="BD30" s="188">
        <v>1.9</v>
      </c>
      <c r="BE30" s="188">
        <v>4.0999999999999996</v>
      </c>
      <c r="BF30" s="188">
        <v>4.9000000000000004</v>
      </c>
      <c r="BG30" s="188">
        <v>5.4</v>
      </c>
      <c r="BH30" s="188">
        <v>6</v>
      </c>
      <c r="BI30" s="188">
        <v>6.7</v>
      </c>
      <c r="BJ30" s="188">
        <v>9.2299999999999993E-2</v>
      </c>
      <c r="BK30" s="188">
        <v>0.1086</v>
      </c>
      <c r="BL30" s="188">
        <v>0.1196</v>
      </c>
      <c r="BM30" s="188">
        <v>0.1305</v>
      </c>
      <c r="BN30" s="188">
        <v>0.1474</v>
      </c>
      <c r="BO30" s="188">
        <v>144</v>
      </c>
      <c r="BP30" s="188">
        <v>235</v>
      </c>
      <c r="BQ30" s="188">
        <v>271</v>
      </c>
      <c r="BR30" s="188">
        <v>307</v>
      </c>
      <c r="BS30" s="188">
        <v>425</v>
      </c>
      <c r="BT30" s="188"/>
      <c r="BU30" s="188"/>
      <c r="BV30" s="188"/>
      <c r="BW30" s="188"/>
      <c r="BX30" s="188"/>
      <c r="BY30" s="188"/>
      <c r="BZ30" s="188">
        <v>84</v>
      </c>
      <c r="CA30" s="188">
        <v>84</v>
      </c>
      <c r="CB30" s="188">
        <v>120</v>
      </c>
      <c r="CC30" s="188">
        <v>155</v>
      </c>
      <c r="CD30" s="188">
        <v>243</v>
      </c>
      <c r="CE30" s="188">
        <v>22.8</v>
      </c>
      <c r="CF30" s="188">
        <v>7.2</v>
      </c>
      <c r="CG30" s="188">
        <v>1.2</v>
      </c>
      <c r="CH30" s="189">
        <v>3.4329349955242621E-10</v>
      </c>
    </row>
    <row r="31" spans="1:86" x14ac:dyDescent="0.3">
      <c r="A31" s="192"/>
      <c r="B31" s="192"/>
      <c r="D31" s="153"/>
      <c r="F31" s="152" t="s">
        <v>559</v>
      </c>
      <c r="L31" s="196"/>
      <c r="M31" s="196" t="s">
        <v>395</v>
      </c>
      <c r="N31" s="167"/>
      <c r="O31" s="170"/>
      <c r="P31" s="167"/>
      <c r="Q31" s="167"/>
      <c r="R31" s="197"/>
      <c r="S31" s="167"/>
      <c r="T31" s="167"/>
      <c r="U31" s="167"/>
      <c r="V31" s="167"/>
      <c r="W31" s="167"/>
      <c r="X31" s="167"/>
      <c r="Y31" s="167"/>
      <c r="Z31" s="167"/>
      <c r="AA31" s="167"/>
      <c r="AB31" s="167"/>
      <c r="AC31" s="167"/>
      <c r="AD31" s="167"/>
      <c r="AI31" s="167"/>
      <c r="AJ31" s="167"/>
      <c r="AK31" s="167"/>
      <c r="AL31" s="167"/>
      <c r="AM31" s="167"/>
      <c r="AN31" s="167"/>
      <c r="AO31" s="167"/>
      <c r="AP31" s="167"/>
      <c r="AW31" s="188">
        <v>32</v>
      </c>
      <c r="AX31" s="188" t="s">
        <v>557</v>
      </c>
      <c r="AY31" s="188">
        <v>36</v>
      </c>
      <c r="AZ31" s="188">
        <v>18.899999999999999</v>
      </c>
      <c r="BA31" s="188">
        <v>57</v>
      </c>
      <c r="BB31" s="188">
        <v>74</v>
      </c>
      <c r="BC31" s="188">
        <v>3</v>
      </c>
      <c r="BD31" s="188">
        <v>1.9</v>
      </c>
      <c r="BE31" s="188">
        <v>5.8</v>
      </c>
      <c r="BF31" s="188">
        <v>6.6</v>
      </c>
      <c r="BG31" s="188">
        <v>7.1</v>
      </c>
      <c r="BH31" s="188">
        <v>7.7</v>
      </c>
      <c r="BI31" s="188">
        <v>8.4</v>
      </c>
      <c r="BJ31" s="188">
        <v>0.12570000000000001</v>
      </c>
      <c r="BK31" s="188">
        <v>0.14199999999999999</v>
      </c>
      <c r="BL31" s="188">
        <v>0.153</v>
      </c>
      <c r="BM31" s="188">
        <v>0.16400000000000001</v>
      </c>
      <c r="BN31" s="188">
        <v>0.18079999999999999</v>
      </c>
      <c r="BO31" s="188">
        <v>235</v>
      </c>
      <c r="BP31" s="188">
        <v>326</v>
      </c>
      <c r="BQ31" s="188">
        <v>361</v>
      </c>
      <c r="BR31" s="188">
        <v>398</v>
      </c>
      <c r="BS31" s="188">
        <v>515</v>
      </c>
      <c r="BT31" s="188"/>
      <c r="BU31" s="188"/>
      <c r="BV31" s="188"/>
      <c r="BW31" s="188"/>
      <c r="BX31" s="188"/>
      <c r="BY31" s="188"/>
      <c r="BZ31" s="188">
        <v>107</v>
      </c>
      <c r="CA31" s="188">
        <v>129</v>
      </c>
      <c r="CB31" s="188">
        <v>165</v>
      </c>
      <c r="CC31" s="188">
        <v>200</v>
      </c>
      <c r="CD31" s="188">
        <v>288</v>
      </c>
      <c r="CE31" s="188">
        <v>22.8</v>
      </c>
      <c r="CF31" s="188">
        <v>7.2</v>
      </c>
      <c r="CG31" s="188">
        <v>1.2</v>
      </c>
      <c r="CH31" s="189">
        <v>3.4329349955242621E-10</v>
      </c>
    </row>
    <row r="32" spans="1:86" x14ac:dyDescent="0.3">
      <c r="A32" s="192"/>
      <c r="B32" s="192"/>
      <c r="D32" s="153"/>
      <c r="F32" s="152" t="s">
        <v>560</v>
      </c>
      <c r="L32" s="196"/>
      <c r="M32" s="196" t="s">
        <v>395</v>
      </c>
      <c r="N32" s="167"/>
      <c r="O32" s="170"/>
      <c r="P32" s="167"/>
      <c r="Q32" s="167"/>
      <c r="R32" s="19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I32" s="167"/>
      <c r="AJ32" s="167"/>
      <c r="AK32" s="167"/>
      <c r="AL32" s="167"/>
      <c r="AM32" s="167"/>
      <c r="AN32" s="167"/>
      <c r="AO32" s="167"/>
      <c r="AP32" s="167"/>
      <c r="AW32" s="174">
        <v>32</v>
      </c>
      <c r="AX32" s="174" t="s">
        <v>557</v>
      </c>
      <c r="AY32" s="174">
        <v>34</v>
      </c>
      <c r="AZ32" s="174">
        <v>18.5</v>
      </c>
      <c r="BA32" s="174">
        <v>39</v>
      </c>
      <c r="BB32" s="174">
        <v>66</v>
      </c>
      <c r="BC32" s="174">
        <v>3</v>
      </c>
      <c r="BD32" s="174">
        <v>1.9</v>
      </c>
      <c r="BE32" s="174">
        <v>8.5</v>
      </c>
      <c r="BF32" s="174">
        <v>9.6</v>
      </c>
      <c r="BG32" s="174">
        <v>10.3</v>
      </c>
      <c r="BH32" s="174">
        <v>11.1</v>
      </c>
      <c r="BI32" s="174">
        <v>12.4</v>
      </c>
      <c r="BJ32" s="174">
        <v>0.18099999999999999</v>
      </c>
      <c r="BK32" s="174">
        <v>0.2044</v>
      </c>
      <c r="BL32" s="174">
        <v>0.22009999999999999</v>
      </c>
      <c r="BM32" s="174">
        <v>0.23580000000000001</v>
      </c>
      <c r="BN32" s="174">
        <v>0.26440000000000002</v>
      </c>
      <c r="BO32" s="174">
        <v>400</v>
      </c>
      <c r="BP32" s="174">
        <v>506</v>
      </c>
      <c r="BQ32" s="174">
        <v>540</v>
      </c>
      <c r="BR32" s="174">
        <v>579</v>
      </c>
      <c r="BS32" s="174">
        <v>719</v>
      </c>
      <c r="BT32" s="174"/>
      <c r="BU32" s="174"/>
      <c r="BV32" s="174"/>
      <c r="BW32" s="174"/>
      <c r="BX32" s="174"/>
      <c r="BY32" s="174"/>
      <c r="BZ32" s="174">
        <v>167</v>
      </c>
      <c r="CA32" s="174">
        <v>192</v>
      </c>
      <c r="CB32" s="174">
        <v>254</v>
      </c>
      <c r="CC32" s="174">
        <v>316</v>
      </c>
      <c r="CD32" s="174">
        <v>459</v>
      </c>
      <c r="CE32" s="174">
        <v>35.299999999999997</v>
      </c>
      <c r="CF32" s="174">
        <v>10.1</v>
      </c>
      <c r="CG32" s="174">
        <v>1.3</v>
      </c>
      <c r="CH32" s="175">
        <v>7.1703452642004872E-10</v>
      </c>
    </row>
    <row r="33" spans="1:86" x14ac:dyDescent="0.3">
      <c r="A33" s="192"/>
      <c r="B33" s="192"/>
      <c r="D33" s="153"/>
      <c r="F33" s="152" t="s">
        <v>561</v>
      </c>
      <c r="L33" s="196"/>
      <c r="M33" s="196" t="s">
        <v>395</v>
      </c>
      <c r="N33" s="167"/>
      <c r="O33" s="170"/>
      <c r="P33" s="167"/>
      <c r="Q33" s="167"/>
      <c r="R33" s="197"/>
      <c r="S33" s="167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I33" s="167"/>
      <c r="AJ33" s="167"/>
      <c r="AK33" s="167"/>
      <c r="AL33" s="167"/>
      <c r="AM33" s="167"/>
      <c r="AN33" s="167"/>
      <c r="AO33" s="167"/>
      <c r="AP33" s="167"/>
      <c r="AW33" s="174">
        <v>33.299999999999997</v>
      </c>
      <c r="AX33" s="174" t="s">
        <v>557</v>
      </c>
      <c r="AY33" s="174">
        <v>34</v>
      </c>
      <c r="AZ33" s="174">
        <v>18.5</v>
      </c>
      <c r="BA33" s="174">
        <v>39</v>
      </c>
      <c r="BB33" s="174">
        <v>66</v>
      </c>
      <c r="BC33" s="174">
        <v>3</v>
      </c>
      <c r="BD33" s="174">
        <v>1.9</v>
      </c>
      <c r="BE33" s="174">
        <v>5.8</v>
      </c>
      <c r="BF33" s="174">
        <v>6.8</v>
      </c>
      <c r="BG33" s="174">
        <v>7.6</v>
      </c>
      <c r="BH33" s="174">
        <v>8.4</v>
      </c>
      <c r="BI33" s="174">
        <v>9.6999999999999993</v>
      </c>
      <c r="BJ33" s="174">
        <v>0.1318</v>
      </c>
      <c r="BK33" s="174">
        <v>0.15529999999999999</v>
      </c>
      <c r="BL33" s="174">
        <v>0.17100000000000001</v>
      </c>
      <c r="BM33" s="174">
        <v>0.18659999999999999</v>
      </c>
      <c r="BN33" s="174">
        <v>0.21529999999999999</v>
      </c>
      <c r="BO33" s="174">
        <v>246</v>
      </c>
      <c r="BP33" s="174">
        <v>352</v>
      </c>
      <c r="BQ33" s="174">
        <v>386</v>
      </c>
      <c r="BR33" s="174">
        <v>425</v>
      </c>
      <c r="BS33" s="174">
        <v>565</v>
      </c>
      <c r="BT33" s="174"/>
      <c r="BU33" s="174"/>
      <c r="BV33" s="174"/>
      <c r="BW33" s="174"/>
      <c r="BX33" s="174"/>
      <c r="BY33" s="174"/>
      <c r="BZ33" s="174">
        <v>98</v>
      </c>
      <c r="CA33" s="174">
        <v>116</v>
      </c>
      <c r="CB33" s="174">
        <v>178</v>
      </c>
      <c r="CC33" s="174">
        <v>240</v>
      </c>
      <c r="CD33" s="174">
        <v>383</v>
      </c>
      <c r="CE33" s="174">
        <v>35.299999999999997</v>
      </c>
      <c r="CF33" s="174">
        <v>10.1</v>
      </c>
      <c r="CG33" s="174">
        <v>1.3</v>
      </c>
      <c r="CH33" s="175">
        <v>7.1703452642004872E-10</v>
      </c>
    </row>
    <row r="34" spans="1:86" x14ac:dyDescent="0.3">
      <c r="F34" s="152" t="s">
        <v>562</v>
      </c>
      <c r="L34" s="196"/>
      <c r="M34" s="196" t="s">
        <v>395</v>
      </c>
      <c r="N34" s="167"/>
      <c r="O34" s="170"/>
      <c r="P34" s="167"/>
      <c r="Q34" s="167"/>
      <c r="R34" s="197"/>
      <c r="S34" s="167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I34" s="167"/>
      <c r="AJ34" s="167"/>
      <c r="AK34" s="167"/>
      <c r="AL34" s="167"/>
      <c r="AM34" s="167"/>
      <c r="AN34" s="167"/>
      <c r="AO34" s="167"/>
      <c r="AP34" s="167"/>
      <c r="AW34" s="174">
        <v>33.299999999999997</v>
      </c>
      <c r="AX34" s="174" t="s">
        <v>557</v>
      </c>
      <c r="AY34" s="174">
        <v>34</v>
      </c>
      <c r="AZ34" s="174">
        <v>18.5</v>
      </c>
      <c r="BA34" s="174">
        <v>39</v>
      </c>
      <c r="BB34" s="174">
        <v>66</v>
      </c>
      <c r="BC34" s="174">
        <v>3</v>
      </c>
      <c r="BD34" s="174">
        <v>1.9</v>
      </c>
      <c r="BE34" s="174">
        <v>5.6</v>
      </c>
      <c r="BF34" s="174">
        <v>6.5</v>
      </c>
      <c r="BG34" s="174">
        <v>7.2</v>
      </c>
      <c r="BH34" s="174">
        <v>7.8</v>
      </c>
      <c r="BI34" s="174">
        <v>8.8000000000000007</v>
      </c>
      <c r="BJ34" s="174">
        <v>0.1171</v>
      </c>
      <c r="BK34" s="174">
        <v>0.13919999999999999</v>
      </c>
      <c r="BL34" s="174">
        <v>0.154</v>
      </c>
      <c r="BM34" s="174">
        <v>0.16880000000000001</v>
      </c>
      <c r="BN34" s="174">
        <v>0.19089999999999999</v>
      </c>
      <c r="BO34" s="174">
        <v>218</v>
      </c>
      <c r="BP34" s="174">
        <v>327</v>
      </c>
      <c r="BQ34" s="174">
        <v>362</v>
      </c>
      <c r="BR34" s="174">
        <v>400</v>
      </c>
      <c r="BS34" s="174">
        <v>517</v>
      </c>
      <c r="BT34" s="174"/>
      <c r="BU34" s="174"/>
      <c r="BV34" s="174"/>
      <c r="BW34" s="174"/>
      <c r="BX34" s="174"/>
      <c r="BY34" s="174"/>
      <c r="BZ34" s="174">
        <v>95</v>
      </c>
      <c r="CA34" s="174">
        <v>114</v>
      </c>
      <c r="CB34" s="174">
        <v>166</v>
      </c>
      <c r="CC34" s="174">
        <v>219</v>
      </c>
      <c r="CD34" s="174">
        <v>338</v>
      </c>
      <c r="CE34" s="174">
        <v>28.8</v>
      </c>
      <c r="CF34" s="174">
        <v>8</v>
      </c>
      <c r="CG34" s="174">
        <v>1.2</v>
      </c>
      <c r="CH34" s="175">
        <v>2.689115497112654E-10</v>
      </c>
    </row>
    <row r="35" spans="1:86" x14ac:dyDescent="0.3">
      <c r="F35" s="152" t="s">
        <v>563</v>
      </c>
      <c r="L35" s="196"/>
      <c r="M35" s="196" t="s">
        <v>395</v>
      </c>
      <c r="N35" s="167"/>
      <c r="O35" s="170"/>
      <c r="P35" s="167"/>
      <c r="Q35" s="167"/>
      <c r="R35" s="197"/>
      <c r="S35" s="167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I35" s="167"/>
      <c r="AJ35" s="167"/>
      <c r="AK35" s="167"/>
      <c r="AL35" s="167"/>
      <c r="AM35" s="167"/>
      <c r="AN35" s="167"/>
      <c r="AO35" s="167"/>
      <c r="AP35" s="167"/>
      <c r="AW35" s="174">
        <v>34</v>
      </c>
      <c r="AX35" s="174" t="s">
        <v>557</v>
      </c>
      <c r="AY35" s="174">
        <v>34</v>
      </c>
      <c r="AZ35" s="174">
        <v>18.5</v>
      </c>
      <c r="BA35" s="174">
        <v>39</v>
      </c>
      <c r="BB35" s="174">
        <v>66</v>
      </c>
      <c r="BC35" s="174">
        <v>3</v>
      </c>
      <c r="BD35" s="174">
        <v>1.9</v>
      </c>
      <c r="BE35" s="174">
        <v>6.8</v>
      </c>
      <c r="BF35" s="174">
        <v>7.7</v>
      </c>
      <c r="BG35" s="174">
        <v>8.4</v>
      </c>
      <c r="BH35" s="174">
        <v>9.1</v>
      </c>
      <c r="BI35" s="174">
        <v>10</v>
      </c>
      <c r="BJ35" s="174">
        <v>0.17699999999999999</v>
      </c>
      <c r="BK35" s="174">
        <v>0.19919999999999999</v>
      </c>
      <c r="BL35" s="174">
        <v>0.214</v>
      </c>
      <c r="BM35" s="174">
        <v>0.2288</v>
      </c>
      <c r="BN35" s="174">
        <v>0.25090000000000001</v>
      </c>
      <c r="BO35" s="174">
        <v>286</v>
      </c>
      <c r="BP35" s="174">
        <v>396</v>
      </c>
      <c r="BQ35" s="174">
        <v>431</v>
      </c>
      <c r="BR35" s="174">
        <v>468</v>
      </c>
      <c r="BS35" s="174">
        <v>586</v>
      </c>
      <c r="BT35" s="174"/>
      <c r="BU35" s="174"/>
      <c r="BV35" s="174"/>
      <c r="BW35" s="174"/>
      <c r="BX35" s="174"/>
      <c r="BY35" s="174"/>
      <c r="BZ35" s="174">
        <v>126</v>
      </c>
      <c r="CA35" s="174">
        <v>148</v>
      </c>
      <c r="CB35" s="174">
        <v>200</v>
      </c>
      <c r="CC35" s="174">
        <v>253</v>
      </c>
      <c r="CD35" s="174">
        <v>372</v>
      </c>
      <c r="CE35" s="174">
        <v>28.8</v>
      </c>
      <c r="CF35" s="174">
        <v>8</v>
      </c>
      <c r="CG35" s="174">
        <v>1.2</v>
      </c>
      <c r="CH35" s="175">
        <v>2.689115497112654E-10</v>
      </c>
    </row>
    <row r="36" spans="1:86" x14ac:dyDescent="0.3">
      <c r="F36" s="152" t="s">
        <v>564</v>
      </c>
      <c r="L36" s="196"/>
      <c r="M36" s="196" t="s">
        <v>395</v>
      </c>
      <c r="N36" s="167"/>
      <c r="O36" s="170"/>
      <c r="P36" s="167"/>
      <c r="Q36" s="167"/>
      <c r="R36" s="19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I36" s="167"/>
      <c r="AJ36" s="167"/>
      <c r="AK36" s="167"/>
      <c r="AL36" s="167"/>
      <c r="AM36" s="167"/>
      <c r="AN36" s="167"/>
      <c r="AO36" s="167"/>
      <c r="AP36" s="167"/>
      <c r="AW36" s="174">
        <v>34</v>
      </c>
      <c r="AX36" s="174" t="s">
        <v>557</v>
      </c>
      <c r="AY36" s="174">
        <v>34</v>
      </c>
      <c r="AZ36" s="174">
        <v>18.5</v>
      </c>
      <c r="BA36" s="174">
        <v>39</v>
      </c>
      <c r="BB36" s="174">
        <v>66</v>
      </c>
      <c r="BC36" s="174">
        <v>3</v>
      </c>
      <c r="BD36" s="174">
        <v>1.9</v>
      </c>
      <c r="BE36" s="174">
        <v>6.4</v>
      </c>
      <c r="BF36" s="174">
        <v>9</v>
      </c>
      <c r="BG36" s="174">
        <v>10.7</v>
      </c>
      <c r="BH36" s="174">
        <v>12.5</v>
      </c>
      <c r="BI36" s="174">
        <v>16.8</v>
      </c>
      <c r="BJ36" s="174">
        <v>0.1086</v>
      </c>
      <c r="BK36" s="174">
        <v>0.15210000000000001</v>
      </c>
      <c r="BL36" s="174">
        <v>0.18110000000000001</v>
      </c>
      <c r="BM36" s="174">
        <v>0.2102</v>
      </c>
      <c r="BN36" s="174">
        <v>0.28100000000000003</v>
      </c>
      <c r="BO36" s="174">
        <v>334</v>
      </c>
      <c r="BP36" s="174">
        <v>502</v>
      </c>
      <c r="BQ36" s="174">
        <v>557</v>
      </c>
      <c r="BR36" s="174">
        <v>614</v>
      </c>
      <c r="BS36" s="174">
        <v>917</v>
      </c>
      <c r="BT36" s="174"/>
      <c r="BU36" s="174"/>
      <c r="BV36" s="174"/>
      <c r="BW36" s="174"/>
      <c r="BX36" s="174"/>
      <c r="BY36" s="174"/>
      <c r="BZ36" s="174">
        <v>158</v>
      </c>
      <c r="CA36" s="174">
        <v>195</v>
      </c>
      <c r="CB36" s="174">
        <v>264</v>
      </c>
      <c r="CC36" s="174">
        <v>334</v>
      </c>
      <c r="CD36" s="174">
        <v>548</v>
      </c>
      <c r="CE36" s="174">
        <v>40.299999999999997</v>
      </c>
      <c r="CF36" s="174">
        <v>10.5</v>
      </c>
      <c r="CG36" s="174">
        <v>1.4</v>
      </c>
      <c r="CH36" s="175">
        <v>1.297690305426019E-9</v>
      </c>
    </row>
    <row r="37" spans="1:86" x14ac:dyDescent="0.3">
      <c r="F37" s="152" t="s">
        <v>553</v>
      </c>
      <c r="L37" s="196"/>
      <c r="AE37" s="167"/>
      <c r="AF37" s="167" t="s">
        <v>394</v>
      </c>
      <c r="AG37" s="167" t="s">
        <v>393</v>
      </c>
      <c r="AH37" s="167" t="s">
        <v>59</v>
      </c>
      <c r="AW37" s="174">
        <v>36.5</v>
      </c>
      <c r="AX37" s="174" t="s">
        <v>557</v>
      </c>
      <c r="AY37" s="174">
        <v>34</v>
      </c>
      <c r="AZ37" s="174">
        <v>18.5</v>
      </c>
      <c r="BA37" s="174">
        <v>39</v>
      </c>
      <c r="BB37" s="174">
        <v>66</v>
      </c>
      <c r="BC37" s="174">
        <v>3</v>
      </c>
      <c r="BD37" s="174">
        <v>1.9</v>
      </c>
      <c r="BE37" s="174">
        <v>6.4</v>
      </c>
      <c r="BF37" s="174">
        <v>9</v>
      </c>
      <c r="BG37" s="174">
        <v>10.7</v>
      </c>
      <c r="BH37" s="174">
        <v>12.5</v>
      </c>
      <c r="BI37" s="174">
        <v>16.8</v>
      </c>
      <c r="BJ37" s="174">
        <v>0.1086</v>
      </c>
      <c r="BK37" s="174">
        <v>0.15210000000000001</v>
      </c>
      <c r="BL37" s="174">
        <v>0.18110000000000001</v>
      </c>
      <c r="BM37" s="174">
        <v>0.2102</v>
      </c>
      <c r="BN37" s="174">
        <v>0.28100000000000003</v>
      </c>
      <c r="BO37" s="174">
        <v>334</v>
      </c>
      <c r="BP37" s="174">
        <v>502</v>
      </c>
      <c r="BQ37" s="174">
        <v>557</v>
      </c>
      <c r="BR37" s="174">
        <v>614</v>
      </c>
      <c r="BS37" s="174">
        <v>917</v>
      </c>
      <c r="BT37" s="174"/>
      <c r="BU37" s="174"/>
      <c r="BV37" s="174"/>
      <c r="BW37" s="174"/>
      <c r="BX37" s="174"/>
      <c r="BY37" s="174"/>
      <c r="BZ37" s="174">
        <v>158</v>
      </c>
      <c r="CA37" s="174">
        <v>195</v>
      </c>
      <c r="CB37" s="174">
        <v>264</v>
      </c>
      <c r="CC37" s="174">
        <v>334</v>
      </c>
      <c r="CD37" s="174">
        <v>548</v>
      </c>
      <c r="CE37" s="174">
        <v>40.299999999999997</v>
      </c>
      <c r="CF37" s="174">
        <v>10.5</v>
      </c>
      <c r="CG37" s="174">
        <v>1.4</v>
      </c>
      <c r="CH37" s="175">
        <v>1.297690305426019E-9</v>
      </c>
    </row>
    <row r="38" spans="1:86" x14ac:dyDescent="0.3">
      <c r="F38" s="152" t="s">
        <v>553</v>
      </c>
      <c r="L38" s="196"/>
      <c r="AE38" s="152" t="s">
        <v>392</v>
      </c>
      <c r="AF38" s="152" t="s">
        <v>391</v>
      </c>
      <c r="AG38" s="152" t="s">
        <v>390</v>
      </c>
      <c r="AR38" s="152">
        <v>0.16853899999999999</v>
      </c>
      <c r="AW38" s="188">
        <v>36.5</v>
      </c>
      <c r="AX38" s="188" t="s">
        <v>557</v>
      </c>
      <c r="AY38" s="188">
        <v>30</v>
      </c>
      <c r="AZ38" s="188">
        <v>18.7</v>
      </c>
      <c r="BA38" s="188">
        <v>55</v>
      </c>
      <c r="BB38" s="188">
        <v>79</v>
      </c>
      <c r="BC38" s="188">
        <v>3</v>
      </c>
      <c r="BD38" s="188">
        <v>1.9</v>
      </c>
      <c r="BE38" s="188">
        <v>10.8</v>
      </c>
      <c r="BF38" s="188">
        <v>13.6</v>
      </c>
      <c r="BG38" s="188">
        <v>15.5</v>
      </c>
      <c r="BH38" s="188">
        <v>17.399999999999999</v>
      </c>
      <c r="BI38" s="188">
        <v>21.1</v>
      </c>
      <c r="BJ38" s="188">
        <v>0.1507</v>
      </c>
      <c r="BK38" s="188">
        <v>0.21110000000000001</v>
      </c>
      <c r="BL38" s="188">
        <v>0.25130000000000002</v>
      </c>
      <c r="BM38" s="188">
        <v>0.29160000000000003</v>
      </c>
      <c r="BN38" s="188">
        <v>0.34210000000000002</v>
      </c>
      <c r="BO38" s="188">
        <v>574</v>
      </c>
      <c r="BP38" s="188">
        <v>739</v>
      </c>
      <c r="BQ38" s="188">
        <v>821</v>
      </c>
      <c r="BR38" s="188">
        <v>904</v>
      </c>
      <c r="BS38" s="188">
        <v>1165</v>
      </c>
      <c r="BT38" s="188"/>
      <c r="BU38" s="188"/>
      <c r="BV38" s="188"/>
      <c r="BW38" s="188"/>
      <c r="BX38" s="188"/>
      <c r="BY38" s="188"/>
      <c r="BZ38" s="188">
        <v>243</v>
      </c>
      <c r="CA38" s="188">
        <v>333</v>
      </c>
      <c r="CB38" s="188">
        <v>405</v>
      </c>
      <c r="CC38" s="188">
        <v>478</v>
      </c>
      <c r="CD38" s="188">
        <v>694</v>
      </c>
      <c r="CE38" s="188">
        <v>58.9</v>
      </c>
      <c r="CF38" s="188">
        <v>14.5</v>
      </c>
      <c r="CG38" s="188">
        <v>1.5</v>
      </c>
      <c r="CH38" s="189">
        <v>3.6842635555802979E-9</v>
      </c>
    </row>
    <row r="39" spans="1:86" x14ac:dyDescent="0.3">
      <c r="F39" s="152" t="s">
        <v>553</v>
      </c>
      <c r="L39" s="196"/>
      <c r="AE39" s="152">
        <v>15</v>
      </c>
      <c r="AF39" s="152">
        <v>48</v>
      </c>
      <c r="AG39" s="152">
        <v>1900</v>
      </c>
      <c r="AH39" s="152">
        <v>8</v>
      </c>
      <c r="AR39" s="152">
        <v>0.29729699999999998</v>
      </c>
      <c r="AW39" s="188">
        <v>39.799999999999997</v>
      </c>
      <c r="AX39" s="188" t="s">
        <v>557</v>
      </c>
      <c r="AY39" s="188">
        <v>30</v>
      </c>
      <c r="AZ39" s="188">
        <v>18.7</v>
      </c>
      <c r="BA39" s="188">
        <v>55</v>
      </c>
      <c r="BB39" s="188">
        <v>79</v>
      </c>
      <c r="BC39" s="188">
        <v>3</v>
      </c>
      <c r="BD39" s="188">
        <v>1.9</v>
      </c>
      <c r="BE39" s="188">
        <v>10.8</v>
      </c>
      <c r="BF39" s="188">
        <v>13.6</v>
      </c>
      <c r="BG39" s="188">
        <v>15.5</v>
      </c>
      <c r="BH39" s="188">
        <v>17.399999999999999</v>
      </c>
      <c r="BI39" s="188">
        <v>21.1</v>
      </c>
      <c r="BJ39" s="188">
        <v>0.1507</v>
      </c>
      <c r="BK39" s="188">
        <v>0.21110000000000001</v>
      </c>
      <c r="BL39" s="188">
        <v>0.25130000000000002</v>
      </c>
      <c r="BM39" s="188">
        <v>0.29160000000000003</v>
      </c>
      <c r="BN39" s="188">
        <v>0.34210000000000002</v>
      </c>
      <c r="BO39" s="188">
        <v>574</v>
      </c>
      <c r="BP39" s="188">
        <v>739</v>
      </c>
      <c r="BQ39" s="188">
        <v>821</v>
      </c>
      <c r="BR39" s="188">
        <v>904</v>
      </c>
      <c r="BS39" s="188">
        <v>1165</v>
      </c>
      <c r="BT39" s="188"/>
      <c r="BU39" s="188"/>
      <c r="BV39" s="188"/>
      <c r="BW39" s="188"/>
      <c r="BX39" s="188"/>
      <c r="BY39" s="188"/>
      <c r="BZ39" s="188">
        <v>243</v>
      </c>
      <c r="CA39" s="188">
        <v>333</v>
      </c>
      <c r="CB39" s="188">
        <v>405</v>
      </c>
      <c r="CC39" s="188">
        <v>478</v>
      </c>
      <c r="CD39" s="188">
        <v>694</v>
      </c>
      <c r="CE39" s="188">
        <v>58.9</v>
      </c>
      <c r="CF39" s="188">
        <v>14.5</v>
      </c>
      <c r="CG39" s="188">
        <v>1.5</v>
      </c>
      <c r="CH39" s="189">
        <v>3.6842635555802979E-9</v>
      </c>
    </row>
    <row r="40" spans="1:86" x14ac:dyDescent="0.3">
      <c r="F40" s="152" t="s">
        <v>553</v>
      </c>
      <c r="L40" s="196"/>
      <c r="AE40" s="152">
        <v>16</v>
      </c>
      <c r="AF40" s="152">
        <f>AF39+3.8</f>
        <v>51.8</v>
      </c>
      <c r="AG40" s="152">
        <f>AG39+200</f>
        <v>2100</v>
      </c>
      <c r="AH40" s="152">
        <f>AH39+0.8</f>
        <v>8.8000000000000007</v>
      </c>
      <c r="AR40" s="152">
        <v>0.43835600000000002</v>
      </c>
      <c r="AW40" s="174">
        <v>39.799999999999997</v>
      </c>
      <c r="AX40" s="174" t="s">
        <v>557</v>
      </c>
      <c r="AY40" s="174">
        <v>30</v>
      </c>
      <c r="AZ40" s="174">
        <v>18.7</v>
      </c>
      <c r="BA40" s="174">
        <v>55</v>
      </c>
      <c r="BB40" s="174">
        <v>79</v>
      </c>
      <c r="BC40" s="174">
        <v>3</v>
      </c>
      <c r="BD40" s="174">
        <v>1.9</v>
      </c>
      <c r="BE40" s="174">
        <v>8.6</v>
      </c>
      <c r="BF40" s="174">
        <v>9.8000000000000007</v>
      </c>
      <c r="BG40" s="174">
        <v>10.7</v>
      </c>
      <c r="BH40" s="174">
        <v>11.6</v>
      </c>
      <c r="BI40" s="174">
        <v>13</v>
      </c>
      <c r="BJ40" s="174">
        <v>0.16189999999999999</v>
      </c>
      <c r="BK40" s="174">
        <v>0.18679999999999999</v>
      </c>
      <c r="BL40" s="174">
        <v>0.20349999999999999</v>
      </c>
      <c r="BM40" s="174">
        <v>0.22009999999999999</v>
      </c>
      <c r="BN40" s="174">
        <v>0.2697</v>
      </c>
      <c r="BO40" s="174">
        <v>386</v>
      </c>
      <c r="BP40" s="174">
        <v>515</v>
      </c>
      <c r="BQ40" s="174">
        <v>552</v>
      </c>
      <c r="BR40" s="174">
        <v>592</v>
      </c>
      <c r="BS40" s="174">
        <v>740</v>
      </c>
      <c r="BT40" s="174"/>
      <c r="BU40" s="174"/>
      <c r="BV40" s="174"/>
      <c r="BW40" s="174"/>
      <c r="BX40" s="174"/>
      <c r="BY40" s="174"/>
      <c r="BZ40" s="174">
        <v>164</v>
      </c>
      <c r="CA40" s="174">
        <v>194</v>
      </c>
      <c r="CB40" s="174">
        <v>265</v>
      </c>
      <c r="CC40" s="174">
        <v>336</v>
      </c>
      <c r="CD40" s="174">
        <v>500</v>
      </c>
      <c r="CE40" s="174">
        <v>37.4</v>
      </c>
      <c r="CF40" s="174">
        <v>8.8000000000000007</v>
      </c>
      <c r="CG40" s="174">
        <v>1.3</v>
      </c>
      <c r="CH40" s="175">
        <v>4.6804948559431741E-10</v>
      </c>
    </row>
    <row r="41" spans="1:86" x14ac:dyDescent="0.3">
      <c r="F41" s="152" t="s">
        <v>553</v>
      </c>
      <c r="L41" s="196"/>
      <c r="AE41" s="152">
        <v>17</v>
      </c>
      <c r="AF41" s="152">
        <f>AF40+3.8</f>
        <v>55.599999999999994</v>
      </c>
      <c r="AG41" s="152">
        <f>AG40+200</f>
        <v>2300</v>
      </c>
      <c r="AH41" s="152">
        <f>AH40+0.8</f>
        <v>9.6000000000000014</v>
      </c>
      <c r="AR41" s="152">
        <v>0.29729699999999998</v>
      </c>
      <c r="AW41" s="174">
        <v>41</v>
      </c>
      <c r="AX41" s="174" t="s">
        <v>557</v>
      </c>
      <c r="AY41" s="174">
        <v>30</v>
      </c>
      <c r="AZ41" s="174">
        <v>18.7</v>
      </c>
      <c r="BA41" s="174">
        <v>55</v>
      </c>
      <c r="BB41" s="174">
        <v>79</v>
      </c>
      <c r="BC41" s="174">
        <v>3</v>
      </c>
      <c r="BD41" s="174">
        <v>1.9</v>
      </c>
      <c r="BE41" s="174">
        <v>7.6</v>
      </c>
      <c r="BF41" s="174">
        <v>8.9</v>
      </c>
      <c r="BG41" s="174">
        <v>9.6999999999999993</v>
      </c>
      <c r="BH41" s="174">
        <v>10.6</v>
      </c>
      <c r="BI41" s="174">
        <v>12</v>
      </c>
      <c r="BJ41" s="174">
        <v>0.159</v>
      </c>
      <c r="BK41" s="174">
        <v>0.18390000000000001</v>
      </c>
      <c r="BL41" s="174">
        <v>0.20050000000000001</v>
      </c>
      <c r="BM41" s="174">
        <v>0.2172</v>
      </c>
      <c r="BN41" s="174">
        <v>0.26679999999999998</v>
      </c>
      <c r="BO41" s="174">
        <v>330</v>
      </c>
      <c r="BP41" s="174">
        <v>460</v>
      </c>
      <c r="BQ41" s="174">
        <v>496</v>
      </c>
      <c r="BR41" s="174">
        <v>537</v>
      </c>
      <c r="BS41" s="174">
        <v>684</v>
      </c>
      <c r="BT41" s="174"/>
      <c r="BU41" s="174"/>
      <c r="BV41" s="174"/>
      <c r="BW41" s="174"/>
      <c r="BX41" s="174"/>
      <c r="BY41" s="174"/>
      <c r="BZ41" s="174">
        <v>136</v>
      </c>
      <c r="CA41" s="174">
        <v>166</v>
      </c>
      <c r="CB41" s="174">
        <v>237</v>
      </c>
      <c r="CC41" s="174">
        <v>308</v>
      </c>
      <c r="CD41" s="174">
        <v>472</v>
      </c>
      <c r="CE41" s="174">
        <v>37.4</v>
      </c>
      <c r="CF41" s="174">
        <v>8.8000000000000007</v>
      </c>
      <c r="CG41" s="174">
        <v>1.3</v>
      </c>
      <c r="CH41" s="175">
        <v>4.6804948559431741E-10</v>
      </c>
    </row>
    <row r="42" spans="1:86" x14ac:dyDescent="0.3">
      <c r="F42" s="152" t="s">
        <v>553</v>
      </c>
      <c r="L42" s="196"/>
      <c r="AE42" s="152">
        <v>18</v>
      </c>
      <c r="AF42" s="152">
        <f>AF41+3.8</f>
        <v>59.399999999999991</v>
      </c>
      <c r="AG42" s="152">
        <f>AG41+200</f>
        <v>2500</v>
      </c>
      <c r="AH42" s="152">
        <f>AH41+0.8</f>
        <v>10.400000000000002</v>
      </c>
      <c r="AR42" s="152">
        <v>0.324324</v>
      </c>
      <c r="AW42" s="174">
        <v>41</v>
      </c>
      <c r="AX42" s="174" t="s">
        <v>557</v>
      </c>
      <c r="AY42" s="174">
        <v>30</v>
      </c>
      <c r="AZ42" s="174">
        <v>18.7</v>
      </c>
      <c r="BA42" s="174">
        <v>55</v>
      </c>
      <c r="BB42" s="174">
        <v>79</v>
      </c>
      <c r="BC42" s="174">
        <v>3</v>
      </c>
      <c r="BD42" s="174">
        <v>1.9</v>
      </c>
      <c r="BE42" s="174">
        <v>9.6</v>
      </c>
      <c r="BF42" s="174">
        <v>10.9</v>
      </c>
      <c r="BG42" s="174">
        <v>11.8</v>
      </c>
      <c r="BH42" s="174">
        <v>12.7</v>
      </c>
      <c r="BI42" s="174">
        <v>16</v>
      </c>
      <c r="BJ42" s="174">
        <v>0.17230000000000001</v>
      </c>
      <c r="BK42" s="174">
        <v>0.1963</v>
      </c>
      <c r="BL42" s="174">
        <v>0.21240000000000001</v>
      </c>
      <c r="BM42" s="174">
        <v>0.22850000000000001</v>
      </c>
      <c r="BN42" s="174">
        <v>0.26019999999999999</v>
      </c>
      <c r="BO42" s="174">
        <v>433</v>
      </c>
      <c r="BP42" s="174">
        <v>573</v>
      </c>
      <c r="BQ42" s="174">
        <v>612</v>
      </c>
      <c r="BR42" s="174">
        <v>664</v>
      </c>
      <c r="BS42" s="174">
        <v>881</v>
      </c>
      <c r="BT42" s="174"/>
      <c r="BU42" s="174"/>
      <c r="BV42" s="174"/>
      <c r="BW42" s="174"/>
      <c r="BX42" s="174"/>
      <c r="BY42" s="174"/>
      <c r="BZ42" s="174">
        <v>187</v>
      </c>
      <c r="CA42" s="174">
        <v>224</v>
      </c>
      <c r="CB42" s="174">
        <v>296</v>
      </c>
      <c r="CC42" s="174">
        <v>370</v>
      </c>
      <c r="CD42" s="174">
        <v>554</v>
      </c>
      <c r="CE42" s="174">
        <v>49.5</v>
      </c>
      <c r="CF42" s="174">
        <v>11.3</v>
      </c>
      <c r="CG42" s="174">
        <v>1.4</v>
      </c>
      <c r="CH42" s="175">
        <v>1.5721777437081191E-9</v>
      </c>
    </row>
    <row r="43" spans="1:86" x14ac:dyDescent="0.3">
      <c r="F43" s="152" t="s">
        <v>553</v>
      </c>
      <c r="L43" s="196"/>
      <c r="AE43" s="152">
        <v>19</v>
      </c>
      <c r="AF43" s="152">
        <f>AF42+3.8</f>
        <v>63.199999999999989</v>
      </c>
      <c r="AG43" s="152">
        <f>AG42+200</f>
        <v>2700</v>
      </c>
      <c r="AH43" s="152">
        <f>AH42+0.8</f>
        <v>11.200000000000003</v>
      </c>
      <c r="AR43" s="152">
        <v>0.324324</v>
      </c>
      <c r="AW43" s="174">
        <v>42</v>
      </c>
      <c r="AX43" s="174" t="s">
        <v>557</v>
      </c>
      <c r="AY43" s="174">
        <v>30</v>
      </c>
      <c r="AZ43" s="174">
        <v>18.7</v>
      </c>
      <c r="BA43" s="174">
        <v>55</v>
      </c>
      <c r="BB43" s="174">
        <v>79</v>
      </c>
      <c r="BC43" s="174">
        <v>3</v>
      </c>
      <c r="BD43" s="174">
        <v>1.9</v>
      </c>
      <c r="BE43" s="174">
        <v>7.8</v>
      </c>
      <c r="BF43" s="174">
        <v>9.1</v>
      </c>
      <c r="BG43" s="174">
        <v>10</v>
      </c>
      <c r="BH43" s="174">
        <v>10.9</v>
      </c>
      <c r="BI43" s="174">
        <v>14.2</v>
      </c>
      <c r="BJ43" s="174">
        <v>0.1479</v>
      </c>
      <c r="BK43" s="174">
        <v>0.1719</v>
      </c>
      <c r="BL43" s="174">
        <v>0.188</v>
      </c>
      <c r="BM43" s="174">
        <v>0.20399999999999999</v>
      </c>
      <c r="BN43" s="174">
        <v>0.23580000000000001</v>
      </c>
      <c r="BO43" s="174">
        <v>332</v>
      </c>
      <c r="BP43" s="174">
        <v>472</v>
      </c>
      <c r="BQ43" s="174">
        <v>512</v>
      </c>
      <c r="BR43" s="174">
        <v>564</v>
      </c>
      <c r="BS43" s="174">
        <v>781</v>
      </c>
      <c r="BT43" s="174"/>
      <c r="BU43" s="174"/>
      <c r="BV43" s="174"/>
      <c r="BW43" s="174"/>
      <c r="BX43" s="174"/>
      <c r="BY43" s="174"/>
      <c r="BZ43" s="174">
        <v>136</v>
      </c>
      <c r="CA43" s="174">
        <v>173</v>
      </c>
      <c r="CB43" s="174">
        <v>245</v>
      </c>
      <c r="CC43" s="174">
        <v>319</v>
      </c>
      <c r="CD43" s="174">
        <v>503</v>
      </c>
      <c r="CE43" s="174">
        <v>49.5</v>
      </c>
      <c r="CF43" s="174">
        <v>11.3</v>
      </c>
      <c r="CG43" s="174">
        <v>1.4</v>
      </c>
      <c r="CH43" s="175">
        <v>1.5721777437081191E-9</v>
      </c>
    </row>
    <row r="44" spans="1:86" x14ac:dyDescent="0.3">
      <c r="F44" s="152" t="s">
        <v>553</v>
      </c>
      <c r="L44" s="196"/>
      <c r="AE44" s="152">
        <v>20</v>
      </c>
      <c r="AF44" s="152">
        <f>AF43+3.8</f>
        <v>66.999999999999986</v>
      </c>
      <c r="AG44" s="152">
        <f>AG43+200</f>
        <v>2900</v>
      </c>
      <c r="AH44" s="152">
        <f>AH43+0.8</f>
        <v>12.000000000000004</v>
      </c>
      <c r="AR44" s="152">
        <v>0.35135100000000002</v>
      </c>
      <c r="AW44" s="174">
        <v>42</v>
      </c>
      <c r="AX44" s="174" t="s">
        <v>557</v>
      </c>
      <c r="AY44" s="174">
        <v>30</v>
      </c>
      <c r="AZ44" s="174">
        <v>18.7</v>
      </c>
      <c r="BA44" s="174">
        <v>55</v>
      </c>
      <c r="BB44" s="174">
        <v>79</v>
      </c>
      <c r="BC44" s="174">
        <v>3</v>
      </c>
      <c r="BD44" s="174">
        <v>1.9</v>
      </c>
      <c r="BE44" s="174">
        <v>9</v>
      </c>
      <c r="BF44" s="174">
        <v>12.6</v>
      </c>
      <c r="BG44" s="174">
        <v>15</v>
      </c>
      <c r="BH44" s="174">
        <v>17.5</v>
      </c>
      <c r="BI44" s="174">
        <v>23.6</v>
      </c>
      <c r="BJ44" s="174">
        <v>0.14829999999999999</v>
      </c>
      <c r="BK44" s="174">
        <v>0.20760000000000001</v>
      </c>
      <c r="BL44" s="174">
        <v>0.2472</v>
      </c>
      <c r="BM44" s="174">
        <v>0.2868</v>
      </c>
      <c r="BN44" s="174">
        <v>0.36299999999999999</v>
      </c>
      <c r="BO44" s="174">
        <v>472</v>
      </c>
      <c r="BP44" s="174">
        <v>709</v>
      </c>
      <c r="BQ44" s="174">
        <v>787</v>
      </c>
      <c r="BR44" s="174">
        <v>867</v>
      </c>
      <c r="BS44" s="174">
        <v>1200</v>
      </c>
      <c r="BT44" s="174"/>
      <c r="BU44" s="174"/>
      <c r="BV44" s="174"/>
      <c r="BW44" s="174"/>
      <c r="BX44" s="174"/>
      <c r="BY44" s="174"/>
      <c r="BZ44" s="174">
        <v>233</v>
      </c>
      <c r="CA44" s="174">
        <v>320</v>
      </c>
      <c r="CB44" s="174">
        <v>389</v>
      </c>
      <c r="CC44" s="174">
        <v>457</v>
      </c>
      <c r="CD44" s="174">
        <v>730</v>
      </c>
      <c r="CE44" s="174">
        <v>51.7</v>
      </c>
      <c r="CF44" s="174">
        <v>11.4</v>
      </c>
      <c r="CG44" s="174">
        <v>1.4</v>
      </c>
      <c r="CH44" s="175">
        <v>1.299270603612855E-9</v>
      </c>
    </row>
    <row r="45" spans="1:86" x14ac:dyDescent="0.3">
      <c r="F45" s="152" t="s">
        <v>553</v>
      </c>
      <c r="L45" s="196"/>
      <c r="AE45" s="152">
        <v>21</v>
      </c>
      <c r="AF45" s="152">
        <f>AF44+2.8</f>
        <v>69.799999999999983</v>
      </c>
      <c r="AG45" s="152">
        <f>AG44+380</f>
        <v>3280</v>
      </c>
      <c r="AH45" s="152">
        <f>AH44+1.6</f>
        <v>13.600000000000003</v>
      </c>
      <c r="AR45" s="152">
        <v>0.40540500000000002</v>
      </c>
      <c r="AW45" s="174">
        <v>45</v>
      </c>
      <c r="AX45" s="174" t="s">
        <v>557</v>
      </c>
      <c r="AY45" s="174">
        <v>30</v>
      </c>
      <c r="AZ45" s="174">
        <v>18.7</v>
      </c>
      <c r="BA45" s="174">
        <v>55</v>
      </c>
      <c r="BB45" s="174">
        <v>79</v>
      </c>
      <c r="BC45" s="174">
        <v>3</v>
      </c>
      <c r="BD45" s="174">
        <v>1.9</v>
      </c>
      <c r="BE45" s="174">
        <v>9</v>
      </c>
      <c r="BF45" s="174">
        <v>12.6</v>
      </c>
      <c r="BG45" s="174">
        <v>15</v>
      </c>
      <c r="BH45" s="174">
        <v>17.5</v>
      </c>
      <c r="BI45" s="174">
        <v>23.6</v>
      </c>
      <c r="BJ45" s="174">
        <v>0.14829999999999999</v>
      </c>
      <c r="BK45" s="174">
        <v>0.20760000000000001</v>
      </c>
      <c r="BL45" s="174">
        <v>0.2472</v>
      </c>
      <c r="BM45" s="174">
        <v>0.2868</v>
      </c>
      <c r="BN45" s="174">
        <v>0.36299999999999999</v>
      </c>
      <c r="BO45" s="174">
        <v>472</v>
      </c>
      <c r="BP45" s="174">
        <v>709</v>
      </c>
      <c r="BQ45" s="174">
        <v>787</v>
      </c>
      <c r="BR45" s="174">
        <v>867</v>
      </c>
      <c r="BS45" s="174">
        <v>1200</v>
      </c>
      <c r="BT45" s="174"/>
      <c r="BU45" s="174"/>
      <c r="BV45" s="174"/>
      <c r="BW45" s="174"/>
      <c r="BX45" s="174"/>
      <c r="BY45" s="174"/>
      <c r="BZ45" s="174">
        <v>233</v>
      </c>
      <c r="CA45" s="174">
        <v>320</v>
      </c>
      <c r="CB45" s="174">
        <v>389</v>
      </c>
      <c r="CC45" s="174">
        <v>457</v>
      </c>
      <c r="CD45" s="174">
        <v>730</v>
      </c>
      <c r="CE45" s="174">
        <v>51.7</v>
      </c>
      <c r="CF45" s="174">
        <v>11.4</v>
      </c>
      <c r="CG45" s="174">
        <v>1.4</v>
      </c>
      <c r="CH45" s="175">
        <v>1.299270603612855E-9</v>
      </c>
    </row>
    <row r="46" spans="1:86" x14ac:dyDescent="0.3">
      <c r="F46" s="152" t="s">
        <v>553</v>
      </c>
      <c r="L46" s="196"/>
      <c r="AE46" s="152">
        <v>22</v>
      </c>
      <c r="AF46" s="152">
        <f>AF45+2.8</f>
        <v>72.59999999999998</v>
      </c>
      <c r="AG46" s="152">
        <f>AG45+380</f>
        <v>3660</v>
      </c>
      <c r="AH46" s="152">
        <f>AH45+1.6</f>
        <v>15.200000000000003</v>
      </c>
      <c r="AR46" s="152">
        <v>1.55789</v>
      </c>
      <c r="AW46" s="174">
        <v>45</v>
      </c>
      <c r="AX46" s="174" t="s">
        <v>557</v>
      </c>
      <c r="AY46" s="174">
        <v>30</v>
      </c>
      <c r="AZ46" s="174">
        <v>18.7</v>
      </c>
      <c r="BA46" s="174">
        <v>55</v>
      </c>
      <c r="BB46" s="174">
        <v>79</v>
      </c>
      <c r="BC46" s="174">
        <v>3</v>
      </c>
      <c r="BD46" s="174">
        <v>1.9</v>
      </c>
      <c r="BE46" s="174">
        <v>16</v>
      </c>
      <c r="BF46" s="174">
        <v>22.4</v>
      </c>
      <c r="BG46" s="174">
        <v>26.8</v>
      </c>
      <c r="BH46" s="174">
        <v>31.1</v>
      </c>
      <c r="BI46" s="174">
        <v>38.6</v>
      </c>
      <c r="BJ46" s="174">
        <v>0.15229999999999999</v>
      </c>
      <c r="BK46" s="174">
        <v>0.2132</v>
      </c>
      <c r="BL46" s="174">
        <v>0.25390000000000001</v>
      </c>
      <c r="BM46" s="174">
        <v>0.29459999999999997</v>
      </c>
      <c r="BN46" s="174">
        <v>0.376</v>
      </c>
      <c r="BO46" s="174">
        <v>861</v>
      </c>
      <c r="BP46" s="174">
        <v>1200</v>
      </c>
      <c r="BQ46" s="174">
        <v>1200</v>
      </c>
      <c r="BR46" s="174">
        <v>1200</v>
      </c>
      <c r="BS46" s="174">
        <v>1200</v>
      </c>
      <c r="BT46" s="174"/>
      <c r="BU46" s="174"/>
      <c r="BV46" s="174"/>
      <c r="BW46" s="174"/>
      <c r="BX46" s="174"/>
      <c r="BY46" s="174"/>
      <c r="BZ46" s="174">
        <v>457</v>
      </c>
      <c r="CA46" s="174">
        <v>686</v>
      </c>
      <c r="CB46" s="174">
        <v>762</v>
      </c>
      <c r="CC46" s="174">
        <v>839</v>
      </c>
      <c r="CD46" s="174">
        <v>1000</v>
      </c>
      <c r="CE46" s="174">
        <v>102.3</v>
      </c>
      <c r="CF46" s="174">
        <v>20.7</v>
      </c>
      <c r="CG46" s="174">
        <v>1.8</v>
      </c>
      <c r="CH46" s="175">
        <v>2.037873947633578E-8</v>
      </c>
    </row>
    <row r="47" spans="1:86" x14ac:dyDescent="0.3">
      <c r="L47" s="196"/>
      <c r="AE47" s="152">
        <v>23</v>
      </c>
      <c r="AF47" s="152">
        <f>AF46+2.8</f>
        <v>75.399999999999977</v>
      </c>
      <c r="AG47" s="152">
        <f>AG46+380</f>
        <v>4040</v>
      </c>
      <c r="AH47" s="152">
        <f>AH46+1.6</f>
        <v>16.800000000000004</v>
      </c>
      <c r="AR47" s="152">
        <v>1.55789</v>
      </c>
      <c r="AW47" s="174">
        <v>50</v>
      </c>
      <c r="AX47" s="174" t="s">
        <v>557</v>
      </c>
      <c r="AY47" s="174">
        <v>30</v>
      </c>
      <c r="AZ47" s="174">
        <v>18.7</v>
      </c>
      <c r="BA47" s="174">
        <v>55</v>
      </c>
      <c r="BB47" s="174">
        <v>79</v>
      </c>
      <c r="BC47" s="174">
        <v>3</v>
      </c>
      <c r="BD47" s="174">
        <v>1.9</v>
      </c>
      <c r="BE47" s="174">
        <v>16</v>
      </c>
      <c r="BF47" s="174">
        <v>22.4</v>
      </c>
      <c r="BG47" s="174">
        <v>26.8</v>
      </c>
      <c r="BH47" s="174">
        <v>31.1</v>
      </c>
      <c r="BI47" s="174">
        <v>38.6</v>
      </c>
      <c r="BJ47" s="174">
        <v>0.15229999999999999</v>
      </c>
      <c r="BK47" s="174">
        <v>0.2132</v>
      </c>
      <c r="BL47" s="174">
        <v>0.25390000000000001</v>
      </c>
      <c r="BM47" s="174">
        <v>0.29459999999999997</v>
      </c>
      <c r="BN47" s="174">
        <v>0.376</v>
      </c>
      <c r="BO47" s="174">
        <v>861</v>
      </c>
      <c r="BP47" s="174">
        <v>1200</v>
      </c>
      <c r="BQ47" s="174">
        <v>1200</v>
      </c>
      <c r="BR47" s="174">
        <v>1200</v>
      </c>
      <c r="BS47" s="174">
        <v>1200</v>
      </c>
      <c r="BT47" s="174"/>
      <c r="BU47" s="174"/>
      <c r="BV47" s="174"/>
      <c r="BW47" s="174"/>
      <c r="BX47" s="174"/>
      <c r="BY47" s="174"/>
      <c r="BZ47" s="174">
        <v>457</v>
      </c>
      <c r="CA47" s="174">
        <v>686</v>
      </c>
      <c r="CB47" s="174">
        <v>762</v>
      </c>
      <c r="CC47" s="174">
        <v>839</v>
      </c>
      <c r="CD47" s="174">
        <v>1000</v>
      </c>
      <c r="CE47" s="174">
        <v>102.3</v>
      </c>
      <c r="CF47" s="174">
        <v>20.7</v>
      </c>
      <c r="CG47" s="174">
        <v>1.8</v>
      </c>
      <c r="CH47" s="175">
        <v>2.037873947633578E-8</v>
      </c>
    </row>
    <row r="48" spans="1:86" x14ac:dyDescent="0.3">
      <c r="L48" s="196"/>
      <c r="AE48" s="152">
        <v>24</v>
      </c>
      <c r="AF48" s="152">
        <f>AF47+2.8</f>
        <v>78.199999999999974</v>
      </c>
      <c r="AG48" s="152">
        <f>AG47+380</f>
        <v>4420</v>
      </c>
      <c r="AH48" s="152">
        <f>AH47+1.6</f>
        <v>18.400000000000006</v>
      </c>
      <c r="AR48" s="152">
        <v>1.55789</v>
      </c>
      <c r="AW48" s="174"/>
      <c r="AX48" s="174"/>
      <c r="AY48" s="174"/>
      <c r="AZ48" s="174"/>
      <c r="BA48" s="174"/>
      <c r="BB48" s="174"/>
      <c r="BC48" s="174"/>
      <c r="BD48" s="174"/>
      <c r="BE48" s="174"/>
      <c r="BF48" s="174"/>
      <c r="BG48" s="174"/>
      <c r="BH48" s="174"/>
      <c r="BI48" s="174"/>
      <c r="BJ48" s="174"/>
      <c r="BK48" s="174"/>
      <c r="BL48" s="174"/>
      <c r="BM48" s="174"/>
      <c r="BN48" s="174"/>
      <c r="BO48" s="174"/>
      <c r="BP48" s="174"/>
      <c r="BQ48" s="174"/>
      <c r="BR48" s="174"/>
      <c r="BS48" s="174"/>
      <c r="BT48" s="174"/>
      <c r="BU48" s="174"/>
      <c r="BV48" s="174"/>
      <c r="BW48" s="174"/>
      <c r="BX48" s="174"/>
      <c r="BY48" s="174"/>
      <c r="BZ48" s="174"/>
      <c r="CA48" s="174"/>
      <c r="CB48" s="174"/>
      <c r="CC48" s="174"/>
      <c r="CD48" s="174"/>
      <c r="CE48" s="174"/>
      <c r="CF48" s="174"/>
      <c r="CG48" s="174"/>
      <c r="CH48" s="175"/>
    </row>
    <row r="49" spans="6:86" x14ac:dyDescent="0.3">
      <c r="L49" s="196"/>
      <c r="AE49" s="152">
        <v>25</v>
      </c>
      <c r="AF49" s="152">
        <f>AF48+2.8</f>
        <v>80.999999999999972</v>
      </c>
      <c r="AG49" s="152">
        <v>4800</v>
      </c>
      <c r="AH49" s="152">
        <f>AH48+1.6</f>
        <v>20.000000000000007</v>
      </c>
      <c r="AR49" s="152">
        <v>1.55789</v>
      </c>
      <c r="AW49" s="174"/>
      <c r="AX49" s="174"/>
      <c r="AY49" s="174"/>
      <c r="AZ49" s="174"/>
      <c r="BA49" s="174"/>
      <c r="BB49" s="174"/>
      <c r="BC49" s="174"/>
      <c r="BD49" s="174"/>
      <c r="BE49" s="174"/>
      <c r="BF49" s="174"/>
      <c r="BG49" s="174"/>
      <c r="BH49" s="174"/>
      <c r="BI49" s="174"/>
      <c r="BJ49" s="174"/>
      <c r="BK49" s="174"/>
      <c r="BL49" s="174"/>
      <c r="BM49" s="174"/>
      <c r="BN49" s="174"/>
      <c r="BO49" s="174"/>
      <c r="BP49" s="174"/>
      <c r="BQ49" s="174"/>
      <c r="BR49" s="174"/>
      <c r="BS49" s="174"/>
      <c r="BT49" s="174"/>
      <c r="BU49" s="174"/>
      <c r="BV49" s="174"/>
      <c r="BW49" s="174"/>
      <c r="BX49" s="174"/>
      <c r="BY49" s="174"/>
      <c r="BZ49" s="174"/>
      <c r="CA49" s="174"/>
      <c r="CB49" s="174"/>
      <c r="CC49" s="174"/>
      <c r="CD49" s="174"/>
      <c r="CE49" s="174"/>
      <c r="CF49" s="174"/>
      <c r="CG49" s="174"/>
      <c r="CH49" s="175"/>
    </row>
    <row r="50" spans="6:86" x14ac:dyDescent="0.3">
      <c r="F50" s="152">
        <v>0.28431400000000001</v>
      </c>
      <c r="L50" s="196"/>
      <c r="AE50" s="152">
        <v>26</v>
      </c>
      <c r="AF50" s="152">
        <f>AF49+3</f>
        <v>83.999999999999972</v>
      </c>
      <c r="AG50" s="152">
        <f>AG49+960</f>
        <v>5760</v>
      </c>
      <c r="AH50" s="152">
        <f>AH49+4</f>
        <v>24.000000000000007</v>
      </c>
      <c r="AR50" s="152">
        <v>1.55789</v>
      </c>
      <c r="AW50" s="174"/>
      <c r="AX50" s="174"/>
      <c r="AY50" s="174"/>
      <c r="AZ50" s="174"/>
      <c r="BA50" s="174"/>
      <c r="BB50" s="174"/>
      <c r="BC50" s="174"/>
      <c r="BD50" s="174"/>
      <c r="BE50" s="174"/>
      <c r="BF50" s="174"/>
      <c r="BG50" s="174"/>
      <c r="BH50" s="174"/>
      <c r="BI50" s="174"/>
      <c r="BJ50" s="174"/>
      <c r="BK50" s="174"/>
      <c r="BL50" s="174"/>
      <c r="BM50" s="174"/>
      <c r="BN50" s="174"/>
      <c r="BO50" s="174"/>
      <c r="BP50" s="174"/>
      <c r="BQ50" s="174"/>
      <c r="BR50" s="174"/>
      <c r="BS50" s="174"/>
      <c r="BT50" s="174"/>
      <c r="BU50" s="174"/>
      <c r="BV50" s="174"/>
      <c r="BW50" s="174"/>
      <c r="BX50" s="174"/>
      <c r="BY50" s="174"/>
      <c r="BZ50" s="174"/>
      <c r="CA50" s="174"/>
      <c r="CB50" s="174"/>
      <c r="CC50" s="174"/>
      <c r="CD50" s="174"/>
      <c r="CE50" s="174"/>
      <c r="CF50" s="174"/>
      <c r="CG50" s="174"/>
      <c r="CH50" s="175"/>
    </row>
    <row r="51" spans="6:86" x14ac:dyDescent="0.3">
      <c r="F51" s="152">
        <v>0.28431400000000001</v>
      </c>
      <c r="L51" s="196"/>
      <c r="AE51" s="152">
        <v>27</v>
      </c>
      <c r="AF51" s="152">
        <f>AF50+3</f>
        <v>86.999999999999972</v>
      </c>
      <c r="AG51" s="152">
        <f>AG50+960</f>
        <v>6720</v>
      </c>
      <c r="AH51" s="152">
        <f>AH50+4</f>
        <v>28.000000000000007</v>
      </c>
      <c r="AR51" s="152">
        <v>1.55789</v>
      </c>
      <c r="AW51" s="174"/>
      <c r="AX51" s="174"/>
      <c r="AY51" s="174"/>
      <c r="AZ51" s="174"/>
      <c r="BA51" s="174"/>
      <c r="BB51" s="174"/>
      <c r="BC51" s="174"/>
      <c r="BD51" s="174"/>
      <c r="BE51" s="174"/>
      <c r="BF51" s="174"/>
      <c r="BG51" s="174"/>
      <c r="BH51" s="174"/>
      <c r="BI51" s="174"/>
      <c r="BJ51" s="174"/>
      <c r="BK51" s="174"/>
      <c r="BL51" s="174"/>
      <c r="BM51" s="174"/>
      <c r="BN51" s="174"/>
      <c r="BO51" s="174"/>
      <c r="BP51" s="174"/>
      <c r="BQ51" s="174"/>
      <c r="BR51" s="174"/>
      <c r="BS51" s="174"/>
      <c r="BT51" s="174"/>
      <c r="BU51" s="174"/>
      <c r="BV51" s="174"/>
      <c r="BW51" s="174"/>
      <c r="BX51" s="174"/>
      <c r="BY51" s="174"/>
      <c r="BZ51" s="174"/>
      <c r="CA51" s="174"/>
      <c r="CB51" s="174"/>
      <c r="CC51" s="174"/>
      <c r="CD51" s="174"/>
      <c r="CE51" s="174"/>
      <c r="CF51" s="174"/>
      <c r="CG51" s="174"/>
      <c r="CH51" s="175"/>
    </row>
    <row r="52" spans="6:86" x14ac:dyDescent="0.3">
      <c r="F52" s="152">
        <v>0.56896599999999997</v>
      </c>
      <c r="L52" s="196"/>
      <c r="AE52" s="152">
        <v>28</v>
      </c>
      <c r="AF52" s="152">
        <f>AF51+3</f>
        <v>89.999999999999972</v>
      </c>
      <c r="AG52" s="152">
        <f>AG51+960</f>
        <v>7680</v>
      </c>
      <c r="AH52" s="152">
        <f>AH51+4</f>
        <v>32.000000000000007</v>
      </c>
      <c r="AR52" s="152">
        <v>1.55789</v>
      </c>
      <c r="AW52" s="174"/>
      <c r="AX52" s="174"/>
      <c r="AY52" s="174"/>
      <c r="AZ52" s="174"/>
      <c r="BA52" s="174"/>
      <c r="BB52" s="174"/>
      <c r="BC52" s="174"/>
      <c r="BD52" s="174"/>
      <c r="BE52" s="174"/>
      <c r="BF52" s="174"/>
      <c r="BG52" s="174"/>
      <c r="BH52" s="174"/>
      <c r="BI52" s="174"/>
      <c r="BJ52" s="174"/>
      <c r="BK52" s="174"/>
      <c r="BL52" s="174"/>
      <c r="BM52" s="174"/>
      <c r="BN52" s="174"/>
      <c r="BO52" s="174"/>
      <c r="BP52" s="174"/>
      <c r="BQ52" s="174"/>
      <c r="BR52" s="174"/>
      <c r="BS52" s="174"/>
      <c r="BT52" s="174"/>
      <c r="BU52" s="174"/>
      <c r="BV52" s="174"/>
      <c r="BW52" s="174"/>
      <c r="BX52" s="174"/>
      <c r="BY52" s="174"/>
      <c r="BZ52" s="174"/>
      <c r="CA52" s="174"/>
      <c r="CB52" s="174"/>
      <c r="CC52" s="174"/>
      <c r="CD52" s="174"/>
      <c r="CE52" s="174"/>
      <c r="CF52" s="174"/>
      <c r="CG52" s="174"/>
      <c r="CH52" s="175"/>
    </row>
    <row r="53" spans="6:86" x14ac:dyDescent="0.3">
      <c r="F53" s="152">
        <v>0.7</v>
      </c>
      <c r="L53" s="196"/>
      <c r="AE53" s="152">
        <v>29</v>
      </c>
      <c r="AF53" s="152">
        <f>AF52+3</f>
        <v>92.999999999999972</v>
      </c>
      <c r="AG53" s="152">
        <f>AG52+960</f>
        <v>8640</v>
      </c>
      <c r="AH53" s="152">
        <f>AH52+4</f>
        <v>36.000000000000007</v>
      </c>
      <c r="AR53" s="152">
        <v>1.55789</v>
      </c>
      <c r="AW53" s="174"/>
      <c r="AX53" s="174"/>
      <c r="AY53" s="174"/>
      <c r="AZ53" s="174"/>
      <c r="BA53" s="174"/>
      <c r="BB53" s="174"/>
      <c r="BC53" s="174"/>
      <c r="BD53" s="174"/>
      <c r="BE53" s="174"/>
      <c r="BF53" s="174"/>
      <c r="BG53" s="174"/>
      <c r="BH53" s="174"/>
      <c r="BI53" s="174"/>
      <c r="BJ53" s="174"/>
      <c r="BK53" s="174"/>
      <c r="BL53" s="174"/>
      <c r="BM53" s="174"/>
      <c r="BN53" s="174"/>
      <c r="BO53" s="174"/>
      <c r="BP53" s="174"/>
      <c r="BQ53" s="174"/>
      <c r="BR53" s="174"/>
      <c r="BS53" s="174"/>
      <c r="BT53" s="174"/>
      <c r="BU53" s="174"/>
      <c r="BV53" s="174"/>
      <c r="BW53" s="174"/>
      <c r="BX53" s="174"/>
      <c r="BY53" s="174"/>
      <c r="BZ53" s="174"/>
      <c r="CA53" s="174"/>
      <c r="CB53" s="174"/>
      <c r="CC53" s="174"/>
      <c r="CD53" s="174"/>
      <c r="CE53" s="174"/>
      <c r="CF53" s="174"/>
      <c r="CG53" s="174"/>
      <c r="CH53" s="175"/>
    </row>
    <row r="54" spans="6:86" x14ac:dyDescent="0.3">
      <c r="F54" s="152">
        <v>0.7</v>
      </c>
      <c r="L54" s="196"/>
      <c r="AE54" s="152">
        <v>30</v>
      </c>
      <c r="AF54" s="152">
        <f>AF53+3</f>
        <v>95.999999999999972</v>
      </c>
      <c r="AG54" s="152">
        <f>AG53+960</f>
        <v>9600</v>
      </c>
      <c r="AH54" s="152">
        <f>AH53+4</f>
        <v>40.000000000000007</v>
      </c>
      <c r="AW54" s="174"/>
      <c r="AX54" s="174"/>
      <c r="AY54" s="174"/>
      <c r="AZ54" s="174"/>
      <c r="BA54" s="174"/>
      <c r="BB54" s="174"/>
      <c r="BC54" s="174"/>
      <c r="BD54" s="174"/>
      <c r="BE54" s="174"/>
      <c r="BF54" s="174"/>
      <c r="BG54" s="174"/>
      <c r="BH54" s="174"/>
      <c r="BI54" s="174"/>
      <c r="BJ54" s="174"/>
      <c r="BK54" s="174"/>
      <c r="BL54" s="174"/>
      <c r="BM54" s="174"/>
      <c r="BN54" s="174"/>
      <c r="BO54" s="174"/>
      <c r="BP54" s="174"/>
      <c r="BQ54" s="174"/>
      <c r="BR54" s="174"/>
      <c r="BS54" s="174"/>
      <c r="BT54" s="174"/>
      <c r="BU54" s="174"/>
      <c r="BV54" s="174"/>
      <c r="BW54" s="174"/>
      <c r="BX54" s="174"/>
      <c r="BY54" s="174"/>
      <c r="BZ54" s="174"/>
      <c r="CA54" s="174"/>
      <c r="CB54" s="174"/>
      <c r="CC54" s="174"/>
      <c r="CD54" s="174"/>
      <c r="CE54" s="174"/>
      <c r="CF54" s="174"/>
      <c r="CG54" s="174"/>
      <c r="CH54" s="175"/>
    </row>
    <row r="55" spans="6:86" x14ac:dyDescent="0.3">
      <c r="F55" s="152">
        <v>0.56896599999999997</v>
      </c>
      <c r="L55" s="196"/>
      <c r="AE55" s="152">
        <v>31</v>
      </c>
      <c r="AF55" s="152">
        <f>AF54+3.8</f>
        <v>99.799999999999969</v>
      </c>
      <c r="AG55" s="152">
        <f>AG54+480</f>
        <v>10080</v>
      </c>
      <c r="AH55" s="152">
        <f>AH54+2</f>
        <v>42.000000000000007</v>
      </c>
      <c r="AW55" s="174"/>
      <c r="AX55" s="174"/>
      <c r="AY55" s="174"/>
      <c r="AZ55" s="174"/>
      <c r="BA55" s="174"/>
      <c r="BB55" s="174"/>
      <c r="BC55" s="174"/>
      <c r="BD55" s="174"/>
      <c r="BE55" s="174"/>
      <c r="BF55" s="174"/>
      <c r="BG55" s="174"/>
      <c r="BH55" s="174"/>
      <c r="BI55" s="174"/>
      <c r="BJ55" s="174"/>
      <c r="BK55" s="174"/>
      <c r="BL55" s="174"/>
      <c r="BM55" s="174"/>
      <c r="BN55" s="174"/>
      <c r="BO55" s="174"/>
      <c r="BP55" s="174"/>
      <c r="BQ55" s="174"/>
      <c r="BR55" s="174"/>
      <c r="BS55" s="174"/>
      <c r="BT55" s="174"/>
      <c r="BU55" s="174"/>
      <c r="BV55" s="174"/>
      <c r="BW55" s="174"/>
      <c r="BX55" s="174"/>
      <c r="BY55" s="174"/>
      <c r="BZ55" s="174"/>
      <c r="CA55" s="174"/>
      <c r="CB55" s="174"/>
      <c r="CC55" s="174"/>
      <c r="CD55" s="174"/>
      <c r="CE55" s="174"/>
      <c r="CF55" s="174"/>
      <c r="CG55" s="174"/>
      <c r="CH55" s="175"/>
    </row>
    <row r="56" spans="6:86" x14ac:dyDescent="0.3">
      <c r="F56" s="152">
        <v>0.60344799999999998</v>
      </c>
      <c r="L56" s="196"/>
      <c r="AE56" s="152">
        <v>32</v>
      </c>
      <c r="AF56" s="152">
        <f>AF55+3.8</f>
        <v>103.59999999999997</v>
      </c>
      <c r="AG56" s="152">
        <f>AG55+480</f>
        <v>10560</v>
      </c>
      <c r="AH56" s="152">
        <f>AH55+2</f>
        <v>44.000000000000007</v>
      </c>
      <c r="AW56" s="174"/>
      <c r="AX56" s="174"/>
      <c r="AY56" s="174"/>
      <c r="AZ56" s="174"/>
      <c r="BA56" s="174"/>
      <c r="BB56" s="174"/>
      <c r="BC56" s="174"/>
      <c r="BD56" s="174"/>
      <c r="BE56" s="174"/>
      <c r="BF56" s="174"/>
      <c r="BG56" s="174"/>
      <c r="BH56" s="174"/>
      <c r="BI56" s="174"/>
      <c r="BJ56" s="174"/>
      <c r="BK56" s="174"/>
      <c r="BL56" s="174"/>
      <c r="BM56" s="174"/>
      <c r="BN56" s="174"/>
      <c r="BO56" s="174"/>
      <c r="BP56" s="174"/>
      <c r="BQ56" s="174"/>
      <c r="BR56" s="174"/>
      <c r="BS56" s="174"/>
      <c r="BT56" s="174"/>
      <c r="BU56" s="174"/>
      <c r="BV56" s="174"/>
      <c r="BW56" s="174"/>
      <c r="BX56" s="174"/>
      <c r="BY56" s="174"/>
      <c r="BZ56" s="174"/>
      <c r="CA56" s="174"/>
      <c r="CB56" s="174"/>
      <c r="CC56" s="174"/>
      <c r="CD56" s="174"/>
      <c r="CE56" s="174"/>
      <c r="CF56" s="174"/>
      <c r="CG56" s="174"/>
      <c r="CH56" s="175"/>
    </row>
    <row r="57" spans="6:86" x14ac:dyDescent="0.3">
      <c r="F57" s="152">
        <v>0.63793100000000003</v>
      </c>
      <c r="L57" s="196"/>
      <c r="AE57" s="152">
        <v>33</v>
      </c>
      <c r="AF57" s="152">
        <f>AF56+3.8</f>
        <v>107.39999999999996</v>
      </c>
      <c r="AG57" s="152">
        <f>AG56+480</f>
        <v>11040</v>
      </c>
      <c r="AH57" s="152">
        <f>AH56+2</f>
        <v>46.000000000000007</v>
      </c>
      <c r="AW57" s="174"/>
      <c r="AX57" s="174"/>
      <c r="AY57" s="174"/>
      <c r="AZ57" s="174"/>
      <c r="BA57" s="174"/>
      <c r="BB57" s="174"/>
      <c r="BC57" s="174"/>
      <c r="BD57" s="174"/>
      <c r="BE57" s="174"/>
      <c r="BF57" s="174"/>
      <c r="BG57" s="174"/>
      <c r="BH57" s="174"/>
      <c r="BI57" s="174"/>
      <c r="BJ57" s="174"/>
      <c r="BK57" s="174"/>
      <c r="BL57" s="174"/>
      <c r="BM57" s="174"/>
      <c r="BN57" s="174"/>
      <c r="BO57" s="174"/>
      <c r="BP57" s="174"/>
      <c r="BQ57" s="174"/>
      <c r="BR57" s="174"/>
      <c r="BS57" s="174"/>
      <c r="BT57" s="174"/>
      <c r="BU57" s="174"/>
      <c r="BV57" s="174"/>
      <c r="BW57" s="174"/>
      <c r="BX57" s="174"/>
      <c r="BY57" s="174"/>
      <c r="BZ57" s="174"/>
      <c r="CA57" s="174"/>
      <c r="CB57" s="174"/>
      <c r="CC57" s="174"/>
      <c r="CD57" s="174"/>
      <c r="CE57" s="174"/>
      <c r="CF57" s="174"/>
      <c r="CG57" s="174"/>
      <c r="CH57" s="175"/>
    </row>
    <row r="58" spans="6:86" x14ac:dyDescent="0.3">
      <c r="F58" s="152">
        <v>0.63793100000000003</v>
      </c>
      <c r="L58" s="196"/>
      <c r="AE58" s="152">
        <v>34</v>
      </c>
      <c r="AF58" s="152">
        <f>AF57+3.8</f>
        <v>111.19999999999996</v>
      </c>
      <c r="AG58" s="152">
        <f>AG57+480</f>
        <v>11520</v>
      </c>
      <c r="AH58" s="152">
        <f>AH57+2</f>
        <v>48.000000000000007</v>
      </c>
      <c r="AW58" s="174"/>
      <c r="AX58" s="174"/>
      <c r="AY58" s="174"/>
      <c r="AZ58" s="174"/>
      <c r="BA58" s="174"/>
      <c r="BB58" s="174"/>
      <c r="BC58" s="174"/>
      <c r="BD58" s="174"/>
      <c r="BE58" s="174"/>
      <c r="BF58" s="174"/>
      <c r="BG58" s="174"/>
      <c r="BH58" s="174"/>
      <c r="BI58" s="174"/>
      <c r="BJ58" s="174"/>
      <c r="BK58" s="174"/>
      <c r="BL58" s="174"/>
      <c r="BM58" s="174"/>
      <c r="BN58" s="174"/>
      <c r="BO58" s="174"/>
      <c r="BP58" s="174"/>
      <c r="BQ58" s="174"/>
      <c r="BR58" s="174"/>
      <c r="BS58" s="174"/>
      <c r="BT58" s="174"/>
      <c r="BU58" s="174"/>
      <c r="BV58" s="174"/>
      <c r="BW58" s="174"/>
      <c r="BX58" s="174"/>
      <c r="BY58" s="174"/>
      <c r="BZ58" s="174"/>
      <c r="CA58" s="174"/>
      <c r="CB58" s="174"/>
      <c r="CC58" s="174"/>
      <c r="CD58" s="174"/>
      <c r="CE58" s="174"/>
      <c r="CF58" s="174"/>
      <c r="CG58" s="174"/>
      <c r="CH58" s="175"/>
    </row>
    <row r="59" spans="6:86" x14ac:dyDescent="0.3">
      <c r="F59" s="152">
        <v>0.63793100000000003</v>
      </c>
      <c r="L59" s="196"/>
      <c r="AE59" s="152">
        <v>35</v>
      </c>
      <c r="AF59" s="152">
        <f>AF58+3.8</f>
        <v>114.99999999999996</v>
      </c>
      <c r="AG59" s="152">
        <f>AG58+480</f>
        <v>12000</v>
      </c>
      <c r="AH59" s="152">
        <f>AH58+2</f>
        <v>50.000000000000007</v>
      </c>
      <c r="AW59" s="174"/>
      <c r="AX59" s="174"/>
      <c r="AY59" s="174"/>
      <c r="AZ59" s="174"/>
      <c r="BA59" s="174"/>
      <c r="BB59" s="174"/>
      <c r="BC59" s="174"/>
      <c r="BD59" s="174"/>
      <c r="BE59" s="174"/>
      <c r="BF59" s="174"/>
      <c r="BG59" s="174"/>
      <c r="BH59" s="174"/>
      <c r="BI59" s="174"/>
      <c r="BJ59" s="174"/>
      <c r="BK59" s="174"/>
      <c r="BL59" s="174"/>
      <c r="BM59" s="174"/>
      <c r="BN59" s="174"/>
      <c r="BO59" s="174"/>
      <c r="BP59" s="174"/>
      <c r="BQ59" s="174"/>
      <c r="BR59" s="174"/>
      <c r="BS59" s="174"/>
      <c r="BT59" s="174"/>
      <c r="BU59" s="174"/>
      <c r="BV59" s="174"/>
      <c r="BW59" s="174"/>
      <c r="BX59" s="174"/>
      <c r="BY59" s="174"/>
      <c r="BZ59" s="174"/>
      <c r="CA59" s="174"/>
      <c r="CB59" s="174"/>
      <c r="CC59" s="174"/>
      <c r="CD59" s="174"/>
      <c r="CE59" s="174"/>
      <c r="CF59" s="174"/>
      <c r="CG59" s="174"/>
      <c r="CH59" s="175"/>
    </row>
    <row r="60" spans="6:86" x14ac:dyDescent="0.3">
      <c r="F60" s="152">
        <v>0.63793100000000003</v>
      </c>
      <c r="L60" s="196"/>
      <c r="AW60" s="174"/>
      <c r="AX60" s="174"/>
      <c r="AY60" s="174"/>
      <c r="AZ60" s="174"/>
      <c r="BA60" s="174"/>
      <c r="BB60" s="174"/>
      <c r="BC60" s="174"/>
      <c r="BD60" s="174"/>
      <c r="BE60" s="174"/>
      <c r="BF60" s="174"/>
      <c r="BG60" s="174"/>
      <c r="BH60" s="174"/>
      <c r="BI60" s="174"/>
      <c r="BJ60" s="174"/>
      <c r="BK60" s="174"/>
      <c r="BL60" s="174"/>
      <c r="BM60" s="174"/>
      <c r="BN60" s="174"/>
      <c r="BO60" s="174"/>
      <c r="BP60" s="174"/>
      <c r="BQ60" s="174"/>
      <c r="BR60" s="174"/>
      <c r="BS60" s="174"/>
      <c r="BT60" s="174"/>
      <c r="BU60" s="174"/>
      <c r="BV60" s="174"/>
      <c r="BW60" s="174"/>
      <c r="BX60" s="174"/>
      <c r="BY60" s="174"/>
      <c r="BZ60" s="174"/>
      <c r="CA60" s="174"/>
      <c r="CB60" s="174"/>
      <c r="CC60" s="174"/>
      <c r="CD60" s="174"/>
      <c r="CE60" s="174"/>
      <c r="CF60" s="174"/>
      <c r="CG60" s="174"/>
      <c r="CH60" s="175"/>
    </row>
    <row r="61" spans="6:86" x14ac:dyDescent="0.3">
      <c r="F61" s="152">
        <v>0.63793100000000003</v>
      </c>
      <c r="L61" s="196"/>
      <c r="AW61" s="174"/>
      <c r="AX61" s="174"/>
      <c r="AY61" s="174"/>
      <c r="AZ61" s="174"/>
      <c r="BA61" s="174"/>
      <c r="BB61" s="174"/>
      <c r="BC61" s="174"/>
      <c r="BD61" s="174"/>
      <c r="BE61" s="174"/>
      <c r="BF61" s="174"/>
      <c r="BG61" s="174"/>
      <c r="BH61" s="174"/>
      <c r="BI61" s="174"/>
      <c r="BJ61" s="174"/>
      <c r="BK61" s="174"/>
      <c r="BL61" s="174"/>
      <c r="BM61" s="174"/>
      <c r="BN61" s="174"/>
      <c r="BO61" s="174"/>
      <c r="BP61" s="174"/>
      <c r="BQ61" s="174"/>
      <c r="BR61" s="174"/>
      <c r="BS61" s="174"/>
      <c r="BT61" s="174"/>
      <c r="BU61" s="174"/>
      <c r="BV61" s="174"/>
      <c r="BW61" s="174"/>
      <c r="BX61" s="174"/>
      <c r="BY61" s="174"/>
      <c r="BZ61" s="174"/>
      <c r="CA61" s="174"/>
      <c r="CB61" s="174"/>
      <c r="CC61" s="174"/>
      <c r="CD61" s="174"/>
      <c r="CE61" s="174"/>
      <c r="CF61" s="174"/>
      <c r="CG61" s="174"/>
      <c r="CH61" s="175"/>
    </row>
    <row r="62" spans="6:86" x14ac:dyDescent="0.3">
      <c r="F62" s="152">
        <v>0.63793100000000003</v>
      </c>
      <c r="L62" s="196"/>
      <c r="AW62" s="174"/>
      <c r="AX62" s="174"/>
      <c r="AY62" s="174"/>
      <c r="AZ62" s="174"/>
      <c r="BA62" s="174"/>
      <c r="BB62" s="174"/>
      <c r="BC62" s="174"/>
      <c r="BD62" s="174"/>
      <c r="BE62" s="174"/>
      <c r="BF62" s="174"/>
      <c r="BG62" s="174"/>
      <c r="BH62" s="174"/>
      <c r="BI62" s="174"/>
      <c r="BJ62" s="174"/>
      <c r="BK62" s="174"/>
      <c r="BL62" s="174"/>
      <c r="BM62" s="174"/>
      <c r="BN62" s="174"/>
      <c r="BO62" s="174"/>
      <c r="BP62" s="174"/>
      <c r="BQ62" s="174"/>
      <c r="BR62" s="174"/>
      <c r="BS62" s="174"/>
      <c r="BT62" s="174"/>
      <c r="BU62" s="174"/>
      <c r="BV62" s="174"/>
      <c r="BW62" s="174"/>
      <c r="BX62" s="174"/>
      <c r="BY62" s="174"/>
      <c r="BZ62" s="174"/>
      <c r="CA62" s="174"/>
      <c r="CB62" s="174"/>
      <c r="CC62" s="174"/>
      <c r="CD62" s="174"/>
      <c r="CE62" s="174"/>
      <c r="CF62" s="174"/>
      <c r="CG62" s="174"/>
      <c r="CH62" s="175"/>
    </row>
    <row r="63" spans="6:86" x14ac:dyDescent="0.3">
      <c r="F63" s="152">
        <v>1</v>
      </c>
      <c r="L63" s="196"/>
      <c r="AW63" s="174"/>
      <c r="AX63" s="174"/>
      <c r="AY63" s="174"/>
      <c r="AZ63" s="174"/>
      <c r="BA63" s="174"/>
      <c r="BB63" s="174"/>
      <c r="BC63" s="174"/>
      <c r="BD63" s="174"/>
      <c r="BE63" s="174"/>
      <c r="BF63" s="174"/>
      <c r="BG63" s="174"/>
      <c r="BH63" s="174"/>
      <c r="BI63" s="174"/>
      <c r="BJ63" s="174"/>
      <c r="BK63" s="174"/>
      <c r="BL63" s="174"/>
      <c r="BM63" s="174"/>
      <c r="BN63" s="174"/>
      <c r="BO63" s="174"/>
      <c r="BP63" s="174"/>
      <c r="BQ63" s="174"/>
      <c r="BR63" s="174"/>
      <c r="BS63" s="174"/>
      <c r="BT63" s="174"/>
      <c r="BU63" s="174"/>
      <c r="BV63" s="174"/>
      <c r="BW63" s="174"/>
      <c r="BX63" s="174"/>
      <c r="BY63" s="174"/>
      <c r="BZ63" s="174"/>
      <c r="CA63" s="174"/>
      <c r="CB63" s="174"/>
      <c r="CC63" s="174"/>
      <c r="CD63" s="174"/>
      <c r="CE63" s="174"/>
      <c r="CF63" s="174"/>
      <c r="CG63" s="174"/>
      <c r="CH63" s="175"/>
    </row>
    <row r="64" spans="6:86" x14ac:dyDescent="0.3">
      <c r="F64" s="152">
        <v>1</v>
      </c>
      <c r="L64" s="196"/>
      <c r="AW64" s="174"/>
      <c r="AX64" s="174"/>
      <c r="AY64" s="174"/>
      <c r="AZ64" s="174"/>
      <c r="BA64" s="174"/>
      <c r="BB64" s="174"/>
      <c r="BC64" s="174"/>
      <c r="BD64" s="174"/>
      <c r="BE64" s="174"/>
      <c r="BF64" s="174"/>
      <c r="BG64" s="174"/>
      <c r="BH64" s="174"/>
      <c r="BI64" s="174"/>
      <c r="BJ64" s="174"/>
      <c r="BK64" s="174"/>
      <c r="BL64" s="174"/>
      <c r="BM64" s="174"/>
      <c r="BN64" s="174"/>
      <c r="BO64" s="174"/>
      <c r="BP64" s="174"/>
      <c r="BQ64" s="174"/>
      <c r="BR64" s="174"/>
      <c r="BS64" s="174"/>
      <c r="BT64" s="174"/>
      <c r="BU64" s="174"/>
      <c r="BV64" s="174"/>
      <c r="BW64" s="174"/>
      <c r="BX64" s="174"/>
      <c r="BY64" s="174"/>
      <c r="BZ64" s="174"/>
      <c r="CA64" s="174"/>
      <c r="CB64" s="174"/>
      <c r="CC64" s="174"/>
      <c r="CD64" s="174"/>
      <c r="CE64" s="174"/>
      <c r="CF64" s="174"/>
      <c r="CG64" s="174"/>
      <c r="CH64" s="175"/>
    </row>
    <row r="65" spans="6:86" x14ac:dyDescent="0.3">
      <c r="F65" s="152">
        <v>1</v>
      </c>
      <c r="L65" s="196"/>
      <c r="AW65" s="174"/>
      <c r="AX65" s="174"/>
      <c r="AY65" s="174"/>
      <c r="AZ65" s="174"/>
      <c r="BA65" s="174"/>
      <c r="BB65" s="174"/>
      <c r="BC65" s="174"/>
      <c r="BD65" s="174"/>
      <c r="BE65" s="174"/>
      <c r="BF65" s="174"/>
      <c r="BG65" s="174"/>
      <c r="BH65" s="174"/>
      <c r="BI65" s="174"/>
      <c r="BJ65" s="174"/>
      <c r="BK65" s="174"/>
      <c r="BL65" s="174"/>
      <c r="BM65" s="174"/>
      <c r="BN65" s="174"/>
      <c r="BO65" s="174"/>
      <c r="BP65" s="174"/>
      <c r="BQ65" s="174"/>
      <c r="BR65" s="174"/>
      <c r="BS65" s="174"/>
      <c r="BT65" s="174"/>
      <c r="BU65" s="174"/>
      <c r="BV65" s="174"/>
      <c r="BW65" s="174"/>
      <c r="BX65" s="174"/>
      <c r="BY65" s="174"/>
      <c r="BZ65" s="174"/>
      <c r="CA65" s="174"/>
      <c r="CB65" s="174"/>
      <c r="CC65" s="174"/>
      <c r="CD65" s="174"/>
      <c r="CE65" s="174"/>
      <c r="CF65" s="174"/>
      <c r="CG65" s="174"/>
      <c r="CH65" s="175"/>
    </row>
    <row r="66" spans="6:86" x14ac:dyDescent="0.3">
      <c r="F66" s="152">
        <v>1</v>
      </c>
      <c r="L66" s="196"/>
      <c r="AW66" s="174"/>
      <c r="AX66" s="174"/>
      <c r="AY66" s="174"/>
      <c r="AZ66" s="174"/>
      <c r="BA66" s="174"/>
      <c r="BB66" s="174"/>
      <c r="BC66" s="174"/>
      <c r="BD66" s="174"/>
      <c r="BE66" s="174"/>
      <c r="BF66" s="174"/>
      <c r="BG66" s="174"/>
      <c r="BH66" s="174"/>
      <c r="BI66" s="174"/>
      <c r="BJ66" s="174"/>
      <c r="BK66" s="174"/>
      <c r="BL66" s="174"/>
      <c r="BM66" s="174"/>
      <c r="BN66" s="174"/>
      <c r="BO66" s="174"/>
      <c r="BP66" s="174"/>
      <c r="BQ66" s="174"/>
      <c r="BR66" s="174"/>
      <c r="BS66" s="174"/>
      <c r="BT66" s="174"/>
      <c r="BU66" s="174"/>
      <c r="BV66" s="174"/>
      <c r="BW66" s="174"/>
      <c r="BX66" s="174"/>
      <c r="BY66" s="174"/>
      <c r="BZ66" s="174"/>
      <c r="CA66" s="174"/>
      <c r="CB66" s="174"/>
      <c r="CC66" s="174"/>
      <c r="CD66" s="174"/>
      <c r="CE66" s="174"/>
      <c r="CF66" s="174"/>
      <c r="CG66" s="174"/>
      <c r="CH66" s="175"/>
    </row>
    <row r="67" spans="6:86" x14ac:dyDescent="0.3">
      <c r="F67" s="152">
        <v>1</v>
      </c>
      <c r="L67" s="196"/>
      <c r="AW67" s="174"/>
      <c r="AX67" s="174"/>
      <c r="AY67" s="174"/>
      <c r="AZ67" s="174"/>
      <c r="BA67" s="174"/>
      <c r="BB67" s="174"/>
      <c r="BC67" s="174"/>
      <c r="BD67" s="174"/>
      <c r="BE67" s="174"/>
      <c r="BF67" s="174"/>
      <c r="BG67" s="174"/>
      <c r="BH67" s="174"/>
      <c r="BI67" s="174"/>
      <c r="BJ67" s="174"/>
      <c r="BK67" s="174"/>
      <c r="BL67" s="174"/>
      <c r="BM67" s="174"/>
      <c r="BN67" s="174"/>
      <c r="BO67" s="174"/>
      <c r="BP67" s="174"/>
      <c r="BQ67" s="174"/>
      <c r="BR67" s="174"/>
      <c r="BS67" s="174"/>
      <c r="BT67" s="174"/>
      <c r="BU67" s="174"/>
      <c r="BV67" s="174"/>
      <c r="BW67" s="174"/>
      <c r="BX67" s="174"/>
      <c r="BY67" s="174"/>
      <c r="BZ67" s="174"/>
      <c r="CA67" s="174"/>
      <c r="CB67" s="174"/>
      <c r="CC67" s="174"/>
      <c r="CD67" s="174"/>
      <c r="CE67" s="174"/>
      <c r="CF67" s="174"/>
      <c r="CG67" s="174"/>
      <c r="CH67" s="175"/>
    </row>
    <row r="68" spans="6:86" x14ac:dyDescent="0.3">
      <c r="F68" s="152">
        <v>1</v>
      </c>
      <c r="L68" s="196"/>
      <c r="AW68" s="174"/>
      <c r="AX68" s="174"/>
      <c r="AY68" s="174"/>
      <c r="AZ68" s="174"/>
      <c r="BA68" s="174"/>
      <c r="BB68" s="174"/>
      <c r="BC68" s="174"/>
      <c r="BD68" s="174"/>
      <c r="BE68" s="174"/>
      <c r="BF68" s="174"/>
      <c r="BG68" s="174"/>
      <c r="BH68" s="174"/>
      <c r="BI68" s="174"/>
      <c r="BJ68" s="174"/>
      <c r="BK68" s="174"/>
      <c r="BL68" s="174"/>
      <c r="BM68" s="174"/>
      <c r="BN68" s="174"/>
      <c r="BO68" s="174"/>
      <c r="BP68" s="174"/>
      <c r="BQ68" s="174"/>
      <c r="BR68" s="174"/>
      <c r="BS68" s="174"/>
      <c r="BT68" s="174"/>
      <c r="BU68" s="174"/>
      <c r="BV68" s="174"/>
      <c r="BW68" s="174"/>
      <c r="BX68" s="174"/>
      <c r="BY68" s="174"/>
      <c r="BZ68" s="174"/>
      <c r="CA68" s="174"/>
      <c r="CB68" s="174"/>
      <c r="CC68" s="174"/>
      <c r="CD68" s="174"/>
      <c r="CE68" s="174"/>
      <c r="CF68" s="174"/>
      <c r="CG68" s="174"/>
      <c r="CH68" s="175"/>
    </row>
    <row r="69" spans="6:86" x14ac:dyDescent="0.3">
      <c r="F69" s="152">
        <v>1</v>
      </c>
      <c r="L69" s="196"/>
    </row>
    <row r="70" spans="6:86" x14ac:dyDescent="0.3">
      <c r="F70" s="152">
        <v>1</v>
      </c>
      <c r="L70" s="196"/>
    </row>
    <row r="71" spans="6:86" x14ac:dyDescent="0.3">
      <c r="F71" s="152">
        <v>1</v>
      </c>
      <c r="L71" s="196"/>
    </row>
    <row r="72" spans="6:86" x14ac:dyDescent="0.3">
      <c r="F72" s="152">
        <v>1</v>
      </c>
      <c r="L72" s="196"/>
    </row>
    <row r="73" spans="6:86" x14ac:dyDescent="0.3">
      <c r="L73" s="196"/>
    </row>
    <row r="74" spans="6:86" x14ac:dyDescent="0.3">
      <c r="L74" s="196"/>
    </row>
    <row r="75" spans="6:86" x14ac:dyDescent="0.3">
      <c r="L75" s="196"/>
    </row>
    <row r="76" spans="6:86" x14ac:dyDescent="0.3">
      <c r="L76" s="196"/>
    </row>
    <row r="77" spans="6:86" x14ac:dyDescent="0.3">
      <c r="L77" s="196"/>
    </row>
    <row r="78" spans="6:86" x14ac:dyDescent="0.3">
      <c r="L78" s="196"/>
    </row>
    <row r="79" spans="6:86" x14ac:dyDescent="0.3">
      <c r="L79" s="196"/>
    </row>
    <row r="80" spans="6:86" x14ac:dyDescent="0.3">
      <c r="L80" s="196"/>
    </row>
    <row r="81" spans="12:12" x14ac:dyDescent="0.3">
      <c r="L81" s="196"/>
    </row>
    <row r="82" spans="12:12" x14ac:dyDescent="0.3">
      <c r="L82" s="196"/>
    </row>
    <row r="83" spans="12:12" x14ac:dyDescent="0.3">
      <c r="L83" s="196"/>
    </row>
    <row r="84" spans="12:12" x14ac:dyDescent="0.3">
      <c r="L84" s="196"/>
    </row>
    <row r="85" spans="12:12" x14ac:dyDescent="0.3">
      <c r="L85" s="196"/>
    </row>
    <row r="86" spans="12:12" x14ac:dyDescent="0.3">
      <c r="L86" s="196"/>
    </row>
    <row r="87" spans="12:12" x14ac:dyDescent="0.3">
      <c r="L87" s="196"/>
    </row>
    <row r="88" spans="12:12" x14ac:dyDescent="0.3">
      <c r="L88" s="196"/>
    </row>
    <row r="89" spans="12:12" x14ac:dyDescent="0.3">
      <c r="L89" s="196"/>
    </row>
    <row r="90" spans="12:12" x14ac:dyDescent="0.3">
      <c r="L90" s="196"/>
    </row>
    <row r="91" spans="12:12" x14ac:dyDescent="0.3">
      <c r="L91" s="196"/>
    </row>
    <row r="92" spans="12:12" x14ac:dyDescent="0.3">
      <c r="L92" s="196"/>
    </row>
    <row r="93" spans="12:12" x14ac:dyDescent="0.3">
      <c r="L93" s="196"/>
    </row>
    <row r="94" spans="12:12" x14ac:dyDescent="0.3">
      <c r="L94" s="196"/>
    </row>
    <row r="95" spans="12:12" x14ac:dyDescent="0.3">
      <c r="L95" s="196"/>
    </row>
    <row r="96" spans="12:12" x14ac:dyDescent="0.3">
      <c r="L96" s="196"/>
    </row>
    <row r="97" spans="12:12" x14ac:dyDescent="0.3">
      <c r="L97" s="196"/>
    </row>
    <row r="98" spans="12:12" x14ac:dyDescent="0.3">
      <c r="L98" s="196"/>
    </row>
    <row r="99" spans="12:12" x14ac:dyDescent="0.3">
      <c r="L99" s="196"/>
    </row>
    <row r="100" spans="12:12" x14ac:dyDescent="0.3">
      <c r="L100" s="196"/>
    </row>
    <row r="101" spans="12:12" x14ac:dyDescent="0.3">
      <c r="L101" s="196"/>
    </row>
    <row r="102" spans="12:12" x14ac:dyDescent="0.3">
      <c r="L102" s="196"/>
    </row>
    <row r="103" spans="12:12" x14ac:dyDescent="0.3">
      <c r="L103" s="196"/>
    </row>
    <row r="104" spans="12:12" x14ac:dyDescent="0.3">
      <c r="L104" s="196"/>
    </row>
    <row r="105" spans="12:12" x14ac:dyDescent="0.3">
      <c r="L105" s="196"/>
    </row>
    <row r="106" spans="12:12" x14ac:dyDescent="0.3">
      <c r="L106" s="196"/>
    </row>
    <row r="107" spans="12:12" x14ac:dyDescent="0.3">
      <c r="L107" s="196"/>
    </row>
    <row r="108" spans="12:12" x14ac:dyDescent="0.3">
      <c r="L108" s="196"/>
    </row>
    <row r="109" spans="12:12" x14ac:dyDescent="0.3">
      <c r="L109" s="196"/>
    </row>
    <row r="110" spans="12:12" x14ac:dyDescent="0.3">
      <c r="L110" s="196"/>
    </row>
    <row r="111" spans="12:12" x14ac:dyDescent="0.3">
      <c r="L111" s="196"/>
    </row>
    <row r="112" spans="12:12" x14ac:dyDescent="0.3">
      <c r="L112" s="196"/>
    </row>
    <row r="113" spans="12:12" x14ac:dyDescent="0.3">
      <c r="L113" s="196"/>
    </row>
    <row r="114" spans="12:12" x14ac:dyDescent="0.3">
      <c r="L114" s="196"/>
    </row>
    <row r="115" spans="12:12" x14ac:dyDescent="0.3">
      <c r="L115" s="196"/>
    </row>
    <row r="116" spans="12:12" x14ac:dyDescent="0.3">
      <c r="L116" s="196"/>
    </row>
    <row r="117" spans="12:12" x14ac:dyDescent="0.3">
      <c r="L117" s="196"/>
    </row>
    <row r="118" spans="12:12" x14ac:dyDescent="0.3">
      <c r="L118" s="196"/>
    </row>
    <row r="119" spans="12:12" x14ac:dyDescent="0.3">
      <c r="L119" s="196"/>
    </row>
    <row r="120" spans="12:12" x14ac:dyDescent="0.3">
      <c r="L120" s="196"/>
    </row>
    <row r="121" spans="12:12" x14ac:dyDescent="0.3">
      <c r="L121" s="196"/>
    </row>
    <row r="122" spans="12:12" x14ac:dyDescent="0.3">
      <c r="L122" s="196"/>
    </row>
    <row r="123" spans="12:12" x14ac:dyDescent="0.3">
      <c r="L123" s="196"/>
    </row>
    <row r="124" spans="12:12" x14ac:dyDescent="0.3">
      <c r="L124" s="196"/>
    </row>
    <row r="125" spans="12:12" x14ac:dyDescent="0.3">
      <c r="L125" s="196"/>
    </row>
    <row r="126" spans="12:12" x14ac:dyDescent="0.3">
      <c r="L126" s="196"/>
    </row>
    <row r="127" spans="12:12" x14ac:dyDescent="0.3">
      <c r="L127" s="196"/>
    </row>
    <row r="128" spans="12:12" x14ac:dyDescent="0.3">
      <c r="L128" s="196"/>
    </row>
    <row r="129" spans="12:12" x14ac:dyDescent="0.3">
      <c r="L129" s="196"/>
    </row>
    <row r="130" spans="12:12" x14ac:dyDescent="0.3">
      <c r="L130" s="196"/>
    </row>
    <row r="131" spans="12:12" x14ac:dyDescent="0.3">
      <c r="L131" s="196"/>
    </row>
    <row r="132" spans="12:12" x14ac:dyDescent="0.3">
      <c r="L132" s="196"/>
    </row>
    <row r="133" spans="12:12" x14ac:dyDescent="0.3">
      <c r="L133" s="196"/>
    </row>
    <row r="134" spans="12:12" x14ac:dyDescent="0.3">
      <c r="L134" s="196"/>
    </row>
    <row r="135" spans="12:12" x14ac:dyDescent="0.3">
      <c r="L135" s="196"/>
    </row>
    <row r="136" spans="12:12" x14ac:dyDescent="0.3">
      <c r="L136" s="196"/>
    </row>
    <row r="137" spans="12:12" x14ac:dyDescent="0.3">
      <c r="L137" s="196"/>
    </row>
    <row r="138" spans="12:12" x14ac:dyDescent="0.3">
      <c r="L138" s="196"/>
    </row>
    <row r="139" spans="12:12" x14ac:dyDescent="0.3">
      <c r="L139" s="196"/>
    </row>
    <row r="140" spans="12:12" x14ac:dyDescent="0.3">
      <c r="L140" s="196"/>
    </row>
    <row r="141" spans="12:12" x14ac:dyDescent="0.3">
      <c r="L141" s="196"/>
    </row>
    <row r="142" spans="12:12" x14ac:dyDescent="0.3">
      <c r="L142" s="196"/>
    </row>
    <row r="143" spans="12:12" x14ac:dyDescent="0.3">
      <c r="L143" s="196"/>
    </row>
    <row r="144" spans="12:12" x14ac:dyDescent="0.3">
      <c r="L144" s="196"/>
    </row>
    <row r="145" spans="12:12" x14ac:dyDescent="0.3">
      <c r="L145" s="196"/>
    </row>
    <row r="146" spans="12:12" x14ac:dyDescent="0.3">
      <c r="L146" s="196"/>
    </row>
    <row r="147" spans="12:12" x14ac:dyDescent="0.3">
      <c r="L147" s="196"/>
    </row>
    <row r="148" spans="12:12" x14ac:dyDescent="0.3">
      <c r="L148" s="196"/>
    </row>
    <row r="149" spans="12:12" x14ac:dyDescent="0.3">
      <c r="L149" s="196"/>
    </row>
    <row r="150" spans="12:12" x14ac:dyDescent="0.3">
      <c r="L150" s="196"/>
    </row>
    <row r="151" spans="12:12" x14ac:dyDescent="0.3">
      <c r="L151" s="196"/>
    </row>
    <row r="152" spans="12:12" x14ac:dyDescent="0.3">
      <c r="L152" s="196"/>
    </row>
    <row r="153" spans="12:12" x14ac:dyDescent="0.3">
      <c r="L153" s="196"/>
    </row>
    <row r="154" spans="12:12" x14ac:dyDescent="0.3">
      <c r="L154" s="196"/>
    </row>
    <row r="155" spans="12:12" x14ac:dyDescent="0.3">
      <c r="L155" s="196"/>
    </row>
    <row r="156" spans="12:12" x14ac:dyDescent="0.3">
      <c r="L156" s="196"/>
    </row>
    <row r="157" spans="12:12" x14ac:dyDescent="0.3">
      <c r="L157" s="196"/>
    </row>
    <row r="158" spans="12:12" x14ac:dyDescent="0.3">
      <c r="L158" s="196"/>
    </row>
    <row r="159" spans="12:12" x14ac:dyDescent="0.3">
      <c r="L159" s="196"/>
    </row>
    <row r="160" spans="12:12" x14ac:dyDescent="0.3">
      <c r="L160" s="196"/>
    </row>
    <row r="161" spans="12:12" x14ac:dyDescent="0.3">
      <c r="L161" s="196"/>
    </row>
    <row r="162" spans="12:12" x14ac:dyDescent="0.3">
      <c r="L162" s="196"/>
    </row>
    <row r="163" spans="12:12" x14ac:dyDescent="0.3">
      <c r="L163" s="196"/>
    </row>
    <row r="164" spans="12:12" x14ac:dyDescent="0.3">
      <c r="L164" s="196"/>
    </row>
    <row r="165" spans="12:12" x14ac:dyDescent="0.3">
      <c r="L165" s="196"/>
    </row>
    <row r="166" spans="12:12" x14ac:dyDescent="0.3">
      <c r="L166" s="196"/>
    </row>
    <row r="167" spans="12:12" x14ac:dyDescent="0.3">
      <c r="L167" s="196"/>
    </row>
    <row r="168" spans="12:12" x14ac:dyDescent="0.3">
      <c r="L168" s="196"/>
    </row>
    <row r="169" spans="12:12" x14ac:dyDescent="0.3">
      <c r="L169" s="196"/>
    </row>
    <row r="170" spans="12:12" x14ac:dyDescent="0.3">
      <c r="L170" s="196"/>
    </row>
    <row r="171" spans="12:12" x14ac:dyDescent="0.3">
      <c r="L171" s="196"/>
    </row>
    <row r="172" spans="12:12" x14ac:dyDescent="0.3">
      <c r="L172" s="196"/>
    </row>
    <row r="173" spans="12:12" x14ac:dyDescent="0.3">
      <c r="L173" s="196"/>
    </row>
    <row r="174" spans="12:12" x14ac:dyDescent="0.3">
      <c r="L174" s="196"/>
    </row>
    <row r="175" spans="12:12" x14ac:dyDescent="0.3">
      <c r="L175" s="196"/>
    </row>
    <row r="176" spans="12:12" x14ac:dyDescent="0.3">
      <c r="L176" s="196"/>
    </row>
    <row r="177" spans="12:12" x14ac:dyDescent="0.3">
      <c r="L177" s="196"/>
    </row>
    <row r="178" spans="12:12" x14ac:dyDescent="0.3">
      <c r="L178" s="196"/>
    </row>
    <row r="179" spans="12:12" x14ac:dyDescent="0.3">
      <c r="L179" s="196"/>
    </row>
    <row r="180" spans="12:12" x14ac:dyDescent="0.3">
      <c r="L180" s="196"/>
    </row>
    <row r="181" spans="12:12" x14ac:dyDescent="0.3">
      <c r="L181" s="196"/>
    </row>
    <row r="182" spans="12:12" x14ac:dyDescent="0.3">
      <c r="L182" s="196"/>
    </row>
    <row r="183" spans="12:12" x14ac:dyDescent="0.3">
      <c r="L183" s="196"/>
    </row>
    <row r="184" spans="12:12" x14ac:dyDescent="0.3">
      <c r="L184" s="196"/>
    </row>
    <row r="185" spans="12:12" x14ac:dyDescent="0.3">
      <c r="L185" s="196"/>
    </row>
    <row r="186" spans="12:12" x14ac:dyDescent="0.3">
      <c r="L186" s="196"/>
    </row>
    <row r="187" spans="12:12" x14ac:dyDescent="0.3">
      <c r="L187" s="196"/>
    </row>
    <row r="188" spans="12:12" x14ac:dyDescent="0.3">
      <c r="L188" s="196"/>
    </row>
    <row r="189" spans="12:12" x14ac:dyDescent="0.3">
      <c r="L189" s="196"/>
    </row>
    <row r="190" spans="12:12" x14ac:dyDescent="0.3">
      <c r="L190" s="196"/>
    </row>
    <row r="191" spans="12:12" x14ac:dyDescent="0.3">
      <c r="L191" s="196"/>
    </row>
    <row r="192" spans="12:12" x14ac:dyDescent="0.3">
      <c r="L192" s="196"/>
    </row>
    <row r="193" spans="12:12" x14ac:dyDescent="0.3">
      <c r="L193" s="196"/>
    </row>
    <row r="194" spans="12:12" x14ac:dyDescent="0.3">
      <c r="L194" s="196"/>
    </row>
    <row r="195" spans="12:12" x14ac:dyDescent="0.3">
      <c r="L195" s="196"/>
    </row>
    <row r="196" spans="12:12" x14ac:dyDescent="0.3">
      <c r="L196" s="196"/>
    </row>
    <row r="197" spans="12:12" x14ac:dyDescent="0.3">
      <c r="L197" s="196"/>
    </row>
    <row r="198" spans="12:12" x14ac:dyDescent="0.3">
      <c r="L198" s="196"/>
    </row>
    <row r="199" spans="12:12" x14ac:dyDescent="0.3">
      <c r="L199" s="196"/>
    </row>
    <row r="200" spans="12:12" x14ac:dyDescent="0.3">
      <c r="L200" s="196"/>
    </row>
    <row r="201" spans="12:12" x14ac:dyDescent="0.3">
      <c r="L201" s="196"/>
    </row>
    <row r="202" spans="12:12" x14ac:dyDescent="0.3">
      <c r="L202" s="196"/>
    </row>
    <row r="203" spans="12:12" x14ac:dyDescent="0.3">
      <c r="L203" s="196"/>
    </row>
    <row r="204" spans="12:12" x14ac:dyDescent="0.3">
      <c r="L204" s="196"/>
    </row>
    <row r="205" spans="12:12" x14ac:dyDescent="0.3">
      <c r="L205" s="196"/>
    </row>
    <row r="206" spans="12:12" x14ac:dyDescent="0.3">
      <c r="L206" s="196"/>
    </row>
    <row r="207" spans="12:12" x14ac:dyDescent="0.3">
      <c r="L207" s="196"/>
    </row>
    <row r="208" spans="12:12" x14ac:dyDescent="0.3">
      <c r="L208" s="196"/>
    </row>
    <row r="209" spans="12:12" x14ac:dyDescent="0.3">
      <c r="L209" s="196"/>
    </row>
    <row r="210" spans="12:12" x14ac:dyDescent="0.3">
      <c r="L210" s="196"/>
    </row>
    <row r="211" spans="12:12" x14ac:dyDescent="0.3">
      <c r="L211" s="196"/>
    </row>
    <row r="212" spans="12:12" x14ac:dyDescent="0.3">
      <c r="L212" s="196"/>
    </row>
    <row r="213" spans="12:12" x14ac:dyDescent="0.3">
      <c r="L213" s="196"/>
    </row>
    <row r="214" spans="12:12" x14ac:dyDescent="0.3">
      <c r="L214" s="196"/>
    </row>
    <row r="215" spans="12:12" x14ac:dyDescent="0.3">
      <c r="L215" s="196"/>
    </row>
    <row r="216" spans="12:12" x14ac:dyDescent="0.3">
      <c r="L216" s="196"/>
    </row>
    <row r="217" spans="12:12" x14ac:dyDescent="0.3">
      <c r="L217" s="196"/>
    </row>
    <row r="218" spans="12:12" x14ac:dyDescent="0.3">
      <c r="L218" s="196"/>
    </row>
    <row r="219" spans="12:12" x14ac:dyDescent="0.3">
      <c r="L219" s="196"/>
    </row>
    <row r="220" spans="12:12" x14ac:dyDescent="0.3">
      <c r="L220" s="196"/>
    </row>
    <row r="221" spans="12:12" x14ac:dyDescent="0.3">
      <c r="L221" s="196"/>
    </row>
    <row r="222" spans="12:12" x14ac:dyDescent="0.3">
      <c r="L222" s="196"/>
    </row>
    <row r="223" spans="12:12" x14ac:dyDescent="0.3">
      <c r="L223" s="196"/>
    </row>
    <row r="224" spans="12:12" x14ac:dyDescent="0.3">
      <c r="L224" s="196"/>
    </row>
    <row r="225" spans="12:12" x14ac:dyDescent="0.3">
      <c r="L225" s="196"/>
    </row>
    <row r="226" spans="12:12" x14ac:dyDescent="0.3">
      <c r="L226" s="196"/>
    </row>
    <row r="227" spans="12:12" x14ac:dyDescent="0.3">
      <c r="L227" s="196"/>
    </row>
    <row r="228" spans="12:12" x14ac:dyDescent="0.3">
      <c r="L228" s="196"/>
    </row>
    <row r="229" spans="12:12" x14ac:dyDescent="0.3">
      <c r="L229" s="196"/>
    </row>
    <row r="230" spans="12:12" x14ac:dyDescent="0.3">
      <c r="L230" s="196"/>
    </row>
    <row r="231" spans="12:12" x14ac:dyDescent="0.3">
      <c r="L231" s="196"/>
    </row>
    <row r="232" spans="12:12" x14ac:dyDescent="0.3">
      <c r="L232" s="196"/>
    </row>
    <row r="233" spans="12:12" x14ac:dyDescent="0.3">
      <c r="L233" s="196"/>
    </row>
    <row r="234" spans="12:12" x14ac:dyDescent="0.3">
      <c r="L234" s="196"/>
    </row>
    <row r="235" spans="12:12" x14ac:dyDescent="0.3">
      <c r="L235" s="196"/>
    </row>
    <row r="236" spans="12:12" x14ac:dyDescent="0.3">
      <c r="L236" s="196"/>
    </row>
    <row r="237" spans="12:12" x14ac:dyDescent="0.3">
      <c r="L237" s="196"/>
    </row>
    <row r="238" spans="12:12" x14ac:dyDescent="0.3">
      <c r="L238" s="196"/>
    </row>
    <row r="239" spans="12:12" x14ac:dyDescent="0.3">
      <c r="L239" s="196"/>
    </row>
    <row r="240" spans="12:12" x14ac:dyDescent="0.3">
      <c r="L240" s="196"/>
    </row>
    <row r="241" spans="12:12" x14ac:dyDescent="0.3">
      <c r="L241" s="196"/>
    </row>
    <row r="242" spans="12:12" x14ac:dyDescent="0.3">
      <c r="L242" s="196"/>
    </row>
    <row r="243" spans="12:12" x14ac:dyDescent="0.3">
      <c r="L243" s="196"/>
    </row>
    <row r="244" spans="12:12" x14ac:dyDescent="0.3">
      <c r="L244" s="196"/>
    </row>
    <row r="245" spans="12:12" x14ac:dyDescent="0.3">
      <c r="L245" s="196"/>
    </row>
    <row r="246" spans="12:12" x14ac:dyDescent="0.3">
      <c r="L246" s="196"/>
    </row>
    <row r="247" spans="12:12" x14ac:dyDescent="0.3">
      <c r="L247" s="196"/>
    </row>
    <row r="248" spans="12:12" x14ac:dyDescent="0.3">
      <c r="L248" s="196"/>
    </row>
    <row r="249" spans="12:12" x14ac:dyDescent="0.3">
      <c r="L249" s="196"/>
    </row>
    <row r="250" spans="12:12" x14ac:dyDescent="0.3">
      <c r="L250" s="196"/>
    </row>
    <row r="251" spans="12:12" x14ac:dyDescent="0.3">
      <c r="L251" s="196"/>
    </row>
    <row r="252" spans="12:12" x14ac:dyDescent="0.3">
      <c r="L252" s="196"/>
    </row>
    <row r="253" spans="12:12" x14ac:dyDescent="0.3">
      <c r="L253" s="196"/>
    </row>
    <row r="254" spans="12:12" x14ac:dyDescent="0.3">
      <c r="L254" s="196"/>
    </row>
    <row r="255" spans="12:12" x14ac:dyDescent="0.3">
      <c r="L255" s="196"/>
    </row>
  </sheetData>
  <mergeCells count="2">
    <mergeCell ref="R3:S3"/>
    <mergeCell ref="U3:V3"/>
  </mergeCells>
  <phoneticPr fontId="26" type="noConversion"/>
  <conditionalFormatting sqref="AM27:AP36 Q27:Q36 N27:N36">
    <cfRule type="expression" dxfId="144" priority="12">
      <formula>$L27="API sand"</formula>
    </cfRule>
  </conditionalFormatting>
  <conditionalFormatting sqref="R27:S36 AB27:AB35 AJ27:AL36 Z27:Z36 N27:N36">
    <cfRule type="expression" dxfId="143" priority="11">
      <formula>$M27="API sand"</formula>
    </cfRule>
  </conditionalFormatting>
  <conditionalFormatting sqref="R27:T36 Z27:AB35 AK27:AL36 N27:N36">
    <cfRule type="expression" dxfId="142" priority="10">
      <formula>$M27="API clay"</formula>
    </cfRule>
  </conditionalFormatting>
  <conditionalFormatting sqref="U27:W36 AM27:AP36 N27:P36">
    <cfRule type="expression" dxfId="141" priority="7">
      <formula>$L27="Stiff clay w/o free water"</formula>
    </cfRule>
    <cfRule type="expression" dxfId="140" priority="9">
      <formula>$L27="API clay"</formula>
    </cfRule>
  </conditionalFormatting>
  <conditionalFormatting sqref="U27:Y36 AM27:AP36 N27:P36">
    <cfRule type="expression" dxfId="139" priority="8">
      <formula>$L27="Kirsch soft clay"</formula>
    </cfRule>
  </conditionalFormatting>
  <conditionalFormatting sqref="U27:Y36 AM27:AP36 N27:P36">
    <cfRule type="expression" dxfId="138" priority="6">
      <formula>$L27="Kirsch stiff clay"</formula>
    </cfRule>
  </conditionalFormatting>
  <conditionalFormatting sqref="AM27:AP36 Q27:Q36 X27:Y36 N27:N36">
    <cfRule type="expression" dxfId="137" priority="5">
      <formula>$L27="Kirsch sand"</formula>
    </cfRule>
  </conditionalFormatting>
  <conditionalFormatting sqref="AC27:AD36 AI27:AI36 AM27:AP36 N27:N36">
    <cfRule type="expression" dxfId="136" priority="4">
      <formula>$L27="Modified Weak rock"</formula>
    </cfRule>
  </conditionalFormatting>
  <conditionalFormatting sqref="AM27:AP36 N27:P36 U27:V36">
    <cfRule type="expression" dxfId="135" priority="3">
      <formula>$L27="Reese stiff clay"</formula>
    </cfRule>
  </conditionalFormatting>
  <conditionalFormatting sqref="AB36">
    <cfRule type="expression" dxfId="134" priority="2">
      <formula>$M36="API sand"</formula>
    </cfRule>
  </conditionalFormatting>
  <conditionalFormatting sqref="Z36:AB36">
    <cfRule type="expression" dxfId="133" priority="1">
      <formula>$M36="API clay"</formula>
    </cfRule>
  </conditionalFormatting>
  <conditionalFormatting sqref="AE37:AH37">
    <cfRule type="expression" dxfId="132" priority="13">
      <formula>#REF!="Modified Weak rock"</formula>
    </cfRule>
  </conditionalFormatting>
  <dataValidations count="3">
    <dataValidation showInputMessage="1" showErrorMessage="1" sqref="L6:M26" xr:uid="{72DDAA06-28E7-4DEB-8FCA-F046AE8480D8}"/>
    <dataValidation type="list" showInputMessage="1" showErrorMessage="1" sqref="L27:L255" xr:uid="{0602F940-AB79-4F2A-86FE-CED796103574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27:M36" xr:uid="{53961DED-553B-418D-8025-B6F055CF95C4}">
      <formula1>"',API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53129-E9F9-485B-B395-A890B46A1703}">
  <sheetPr>
    <tabColor rgb="FF7030A0"/>
  </sheetPr>
  <dimension ref="A1:CH255"/>
  <sheetViews>
    <sheetView topLeftCell="AC1" zoomScaleNormal="100" workbookViewId="0">
      <selection activeCell="AT32" sqref="AT32"/>
    </sheetView>
  </sheetViews>
  <sheetFormatPr defaultColWidth="9.33203125" defaultRowHeight="14.4" x14ac:dyDescent="0.3"/>
  <cols>
    <col min="1" max="1" width="18" style="152" bestFit="1" customWidth="1"/>
    <col min="2" max="2" width="13.6640625" style="152" customWidth="1"/>
    <col min="3" max="3" width="13.5546875" style="152" customWidth="1"/>
    <col min="4" max="5" width="14" style="152" customWidth="1"/>
    <col min="6" max="6" width="13" style="152" bestFit="1" customWidth="1"/>
    <col min="7" max="7" width="13.5546875" style="152" customWidth="1"/>
    <col min="8" max="8" width="11" style="152" bestFit="1" customWidth="1"/>
    <col min="9" max="9" width="15.6640625" style="152" bestFit="1" customWidth="1"/>
    <col min="10" max="10" width="10.33203125" style="152" customWidth="1"/>
    <col min="11" max="11" width="11.5546875" style="152" bestFit="1" customWidth="1"/>
    <col min="12" max="12" width="31.44140625" style="152" customWidth="1"/>
    <col min="13" max="13" width="11.6640625" style="152" bestFit="1" customWidth="1"/>
    <col min="14" max="14" width="11" style="152" bestFit="1" customWidth="1"/>
    <col min="15" max="15" width="9.33203125" style="152" customWidth="1"/>
    <col min="16" max="16" width="10.5546875" style="152" customWidth="1"/>
    <col min="17" max="18" width="9.5546875" style="152" bestFit="1" customWidth="1"/>
    <col min="19" max="20" width="6.5546875" style="152" customWidth="1"/>
    <col min="21" max="21" width="13.33203125" style="152" customWidth="1"/>
    <col min="22" max="22" width="19.44140625" style="152" customWidth="1"/>
    <col min="23" max="23" width="6.5546875" style="152" customWidth="1"/>
    <col min="24" max="24" width="11.6640625" style="152" customWidth="1"/>
    <col min="25" max="25" width="8.44140625" style="152" bestFit="1" customWidth="1"/>
    <col min="26" max="26" width="11.6640625" style="152" customWidth="1"/>
    <col min="27" max="27" width="11" style="152" bestFit="1" customWidth="1"/>
    <col min="28" max="28" width="10.5546875" style="152" customWidth="1"/>
    <col min="29" max="29" width="14.6640625" style="152" customWidth="1"/>
    <col min="30" max="30" width="11.6640625" style="152" customWidth="1"/>
    <col min="31" max="31" width="10.33203125" style="152" customWidth="1"/>
    <col min="32" max="32" width="8.33203125" style="152" customWidth="1"/>
    <col min="33" max="33" width="13.6640625" style="152" customWidth="1"/>
    <col min="34" max="34" width="8.44140625" style="152" customWidth="1"/>
    <col min="35" max="35" width="7.6640625" style="152" customWidth="1"/>
    <col min="36" max="36" width="8.5546875" style="152" customWidth="1"/>
    <col min="37" max="37" width="11.33203125" style="152" bestFit="1" customWidth="1"/>
    <col min="38" max="38" width="11.44140625" style="152" bestFit="1" customWidth="1"/>
    <col min="39" max="39" width="11.6640625" style="152" bestFit="1" customWidth="1"/>
    <col min="40" max="40" width="11.5546875" style="152" bestFit="1" customWidth="1"/>
    <col min="41" max="42" width="11.5546875" style="152" customWidth="1"/>
    <col min="43" max="44" width="9.33203125" style="152"/>
    <col min="45" max="45" width="15.5546875" style="152" bestFit="1" customWidth="1"/>
    <col min="46" max="46" width="25.6640625" style="152" bestFit="1" customWidth="1"/>
    <col min="47" max="16384" width="9.33203125" style="152"/>
  </cols>
  <sheetData>
    <row r="1" spans="1:86" x14ac:dyDescent="0.3">
      <c r="A1" s="151" t="str">
        <f ca="1">TRIM(MID(CELL("filename",A1),FIND("]",CELL("filename",A1),1)+1,255))</f>
        <v>D2_34_ALS</v>
      </c>
      <c r="D1" s="151"/>
    </row>
    <row r="3" spans="1:86" s="153" customFormat="1" ht="45" customHeight="1" x14ac:dyDescent="0.3">
      <c r="F3" s="154" t="s">
        <v>37</v>
      </c>
      <c r="J3" s="155" t="s">
        <v>22</v>
      </c>
      <c r="Q3" s="201"/>
      <c r="R3" s="237"/>
      <c r="S3" s="237"/>
      <c r="T3" s="201"/>
      <c r="U3" s="237"/>
      <c r="V3" s="237"/>
      <c r="W3" s="201"/>
      <c r="X3" s="157"/>
      <c r="Y3" s="201"/>
      <c r="Z3" s="201"/>
      <c r="AA3" s="201"/>
      <c r="AB3" s="201"/>
      <c r="AC3" s="157"/>
      <c r="AD3" s="158"/>
      <c r="AE3" s="158"/>
      <c r="AF3" s="158"/>
      <c r="AG3" s="158"/>
      <c r="AH3" s="158"/>
      <c r="AI3" s="158"/>
      <c r="AJ3" s="201"/>
      <c r="AK3" s="201"/>
      <c r="AL3" s="201"/>
      <c r="AM3" s="201"/>
      <c r="AN3" s="201"/>
      <c r="AO3" s="201"/>
      <c r="AP3" s="201"/>
      <c r="AW3" s="153" t="s">
        <v>491</v>
      </c>
    </row>
    <row r="4" spans="1:86" x14ac:dyDescent="0.3">
      <c r="A4" s="159" t="s">
        <v>54</v>
      </c>
      <c r="B4" s="152">
        <f>COUNTIF(J:J,"&gt;0")</f>
        <v>23</v>
      </c>
      <c r="C4" s="160" t="s">
        <v>402</v>
      </c>
      <c r="D4" s="161"/>
      <c r="F4" s="152" t="s">
        <v>38</v>
      </c>
      <c r="G4" s="162">
        <v>0</v>
      </c>
      <c r="H4" s="160" t="s">
        <v>28</v>
      </c>
      <c r="I4" s="152" t="s">
        <v>492</v>
      </c>
      <c r="J4" s="161" t="s">
        <v>0</v>
      </c>
      <c r="K4" s="161" t="s">
        <v>3</v>
      </c>
      <c r="L4" s="161" t="s">
        <v>1</v>
      </c>
      <c r="M4" s="161" t="s">
        <v>2</v>
      </c>
      <c r="N4" s="161" t="s">
        <v>6</v>
      </c>
      <c r="O4" s="161" t="s">
        <v>4</v>
      </c>
      <c r="P4" s="161" t="s">
        <v>5</v>
      </c>
      <c r="Q4" s="161" t="s">
        <v>7</v>
      </c>
      <c r="R4" s="161" t="s">
        <v>13</v>
      </c>
      <c r="S4" s="161" t="s">
        <v>65</v>
      </c>
      <c r="T4" s="161" t="s">
        <v>14</v>
      </c>
      <c r="U4" s="161" t="s">
        <v>8</v>
      </c>
      <c r="V4" s="161" t="s">
        <v>9</v>
      </c>
      <c r="W4" s="161" t="s">
        <v>10</v>
      </c>
      <c r="X4" s="161" t="s">
        <v>67</v>
      </c>
      <c r="Y4" s="161" t="s">
        <v>71</v>
      </c>
      <c r="Z4" s="161" t="s">
        <v>15</v>
      </c>
      <c r="AA4" s="161" t="s">
        <v>16</v>
      </c>
      <c r="AB4" s="161" t="s">
        <v>17</v>
      </c>
      <c r="AC4" s="161" t="s">
        <v>11</v>
      </c>
      <c r="AD4" s="161" t="s">
        <v>12</v>
      </c>
      <c r="AE4" s="161" t="s">
        <v>18</v>
      </c>
      <c r="AF4" s="161" t="s">
        <v>19</v>
      </c>
      <c r="AG4" s="161" t="s">
        <v>408</v>
      </c>
      <c r="AH4" s="161" t="s">
        <v>20</v>
      </c>
      <c r="AI4" s="161" t="s">
        <v>21</v>
      </c>
      <c r="AJ4" s="161" t="s">
        <v>59</v>
      </c>
      <c r="AK4" s="161" t="s">
        <v>64</v>
      </c>
      <c r="AL4" s="161" t="s">
        <v>68</v>
      </c>
      <c r="AM4" s="161" t="s">
        <v>69</v>
      </c>
      <c r="AN4" s="161" t="s">
        <v>70</v>
      </c>
      <c r="AO4" s="161" t="s">
        <v>407</v>
      </c>
      <c r="AP4" s="161" t="s">
        <v>406</v>
      </c>
      <c r="AQ4" s="163" t="s">
        <v>405</v>
      </c>
      <c r="AR4" s="161" t="s">
        <v>404</v>
      </c>
      <c r="AS4" s="152" t="s">
        <v>403</v>
      </c>
      <c r="AT4" s="66" t="s">
        <v>487</v>
      </c>
      <c r="AU4" s="66" t="s">
        <v>480</v>
      </c>
      <c r="AV4" s="66" t="s">
        <v>488</v>
      </c>
    </row>
    <row r="5" spans="1:86" ht="92.4" x14ac:dyDescent="0.3">
      <c r="A5" s="152" t="s">
        <v>55</v>
      </c>
      <c r="B5" s="152">
        <f ca="1">COUNTIF(A:A,"&gt;0")</f>
        <v>1</v>
      </c>
      <c r="C5" s="160" t="s">
        <v>402</v>
      </c>
      <c r="F5" s="152" t="s">
        <v>39</v>
      </c>
      <c r="G5" s="162">
        <v>0</v>
      </c>
      <c r="H5" s="160" t="s">
        <v>28</v>
      </c>
      <c r="J5" s="164" t="s">
        <v>36</v>
      </c>
      <c r="K5" s="164" t="s">
        <v>29</v>
      </c>
      <c r="L5" s="164" t="s">
        <v>30</v>
      </c>
      <c r="M5" s="164" t="s">
        <v>30</v>
      </c>
      <c r="N5" s="164" t="s">
        <v>31</v>
      </c>
      <c r="O5" s="164" t="s">
        <v>32</v>
      </c>
      <c r="P5" s="164" t="s">
        <v>34</v>
      </c>
      <c r="Q5" s="164" t="s">
        <v>35</v>
      </c>
      <c r="R5" s="164" t="s">
        <v>35</v>
      </c>
      <c r="S5" s="164" t="s">
        <v>33</v>
      </c>
      <c r="T5" s="164" t="s">
        <v>32</v>
      </c>
      <c r="U5" s="164" t="s">
        <v>33</v>
      </c>
      <c r="V5" s="164" t="s">
        <v>401</v>
      </c>
      <c r="W5" s="164" t="s">
        <v>33</v>
      </c>
      <c r="X5" s="164" t="s">
        <v>32</v>
      </c>
      <c r="Y5" s="164" t="s">
        <v>34</v>
      </c>
      <c r="Z5" s="164" t="s">
        <v>32</v>
      </c>
      <c r="AA5" s="164" t="s">
        <v>33</v>
      </c>
      <c r="AB5" s="164" t="s">
        <v>32</v>
      </c>
      <c r="AC5" s="164" t="s">
        <v>32</v>
      </c>
      <c r="AD5" s="164" t="s">
        <v>34</v>
      </c>
      <c r="AE5" s="164" t="s">
        <v>33</v>
      </c>
      <c r="AF5" s="164" t="s">
        <v>32</v>
      </c>
      <c r="AG5" s="164" t="s">
        <v>34</v>
      </c>
      <c r="AH5" s="164" t="s">
        <v>33</v>
      </c>
      <c r="AI5" s="164" t="s">
        <v>33</v>
      </c>
      <c r="AJ5" s="164" t="s">
        <v>33</v>
      </c>
      <c r="AK5" s="164" t="s">
        <v>33</v>
      </c>
      <c r="AL5" s="164" t="s">
        <v>33</v>
      </c>
      <c r="AM5" s="164" t="s">
        <v>33</v>
      </c>
      <c r="AN5" s="164" t="s">
        <v>33</v>
      </c>
      <c r="AO5" s="164" t="s">
        <v>33</v>
      </c>
      <c r="AP5" s="164" t="s">
        <v>33</v>
      </c>
      <c r="AQ5" s="164" t="s">
        <v>400</v>
      </c>
      <c r="AR5" s="164" t="s">
        <v>399</v>
      </c>
      <c r="AW5" s="165" t="s">
        <v>493</v>
      </c>
      <c r="AX5" s="165" t="s">
        <v>494</v>
      </c>
      <c r="AY5" s="165" t="s">
        <v>495</v>
      </c>
      <c r="AZ5" s="165" t="s">
        <v>496</v>
      </c>
      <c r="BA5" s="165" t="s">
        <v>497</v>
      </c>
      <c r="BB5" s="165" t="s">
        <v>498</v>
      </c>
      <c r="BC5" s="165" t="s">
        <v>499</v>
      </c>
      <c r="BD5" s="165" t="s">
        <v>500</v>
      </c>
      <c r="BE5" s="165" t="s">
        <v>501</v>
      </c>
      <c r="BF5" s="165" t="s">
        <v>502</v>
      </c>
      <c r="BG5" s="165" t="s">
        <v>503</v>
      </c>
      <c r="BH5" s="165" t="s">
        <v>504</v>
      </c>
      <c r="BI5" s="165" t="s">
        <v>505</v>
      </c>
      <c r="BJ5" s="165" t="s">
        <v>506</v>
      </c>
      <c r="BK5" s="165" t="s">
        <v>507</v>
      </c>
      <c r="BL5" s="165" t="s">
        <v>508</v>
      </c>
      <c r="BM5" s="165" t="s">
        <v>509</v>
      </c>
      <c r="BN5" s="165" t="s">
        <v>510</v>
      </c>
      <c r="BO5" s="165" t="s">
        <v>511</v>
      </c>
      <c r="BP5" s="165" t="s">
        <v>512</v>
      </c>
      <c r="BQ5" s="165" t="s">
        <v>513</v>
      </c>
      <c r="BR5" s="165" t="s">
        <v>514</v>
      </c>
      <c r="BS5" s="165" t="s">
        <v>515</v>
      </c>
      <c r="BT5" s="165" t="s">
        <v>516</v>
      </c>
      <c r="BU5" s="165" t="s">
        <v>517</v>
      </c>
      <c r="BV5" s="165" t="s">
        <v>518</v>
      </c>
      <c r="BW5" s="165" t="s">
        <v>519</v>
      </c>
      <c r="BX5" s="165" t="s">
        <v>520</v>
      </c>
      <c r="BY5" s="165" t="s">
        <v>521</v>
      </c>
      <c r="BZ5" s="165" t="s">
        <v>522</v>
      </c>
      <c r="CA5" s="165" t="s">
        <v>523</v>
      </c>
      <c r="CB5" s="165" t="s">
        <v>524</v>
      </c>
      <c r="CC5" s="165" t="s">
        <v>525</v>
      </c>
      <c r="CD5" s="165" t="s">
        <v>526</v>
      </c>
      <c r="CE5" s="165" t="s">
        <v>527</v>
      </c>
      <c r="CF5" s="165" t="s">
        <v>528</v>
      </c>
      <c r="CG5" s="165" t="s">
        <v>529</v>
      </c>
      <c r="CH5" s="165" t="s">
        <v>530</v>
      </c>
    </row>
    <row r="6" spans="1:86" x14ac:dyDescent="0.3">
      <c r="C6" s="160"/>
      <c r="F6" s="152" t="s">
        <v>60</v>
      </c>
      <c r="G6" s="166"/>
      <c r="H6" s="160" t="s">
        <v>28</v>
      </c>
      <c r="I6" s="152" t="s">
        <v>533</v>
      </c>
      <c r="J6" s="167">
        <v>1</v>
      </c>
      <c r="K6" s="168">
        <v>0</v>
      </c>
      <c r="L6" s="169" t="s">
        <v>531</v>
      </c>
      <c r="M6" s="67" t="s">
        <v>57</v>
      </c>
      <c r="N6" s="167">
        <v>9.6000000000000014</v>
      </c>
      <c r="O6" s="170">
        <v>0</v>
      </c>
      <c r="P6" s="170">
        <v>0</v>
      </c>
      <c r="Q6" s="167">
        <v>39</v>
      </c>
      <c r="R6" s="167">
        <v>34</v>
      </c>
      <c r="S6" s="167">
        <v>0.3</v>
      </c>
      <c r="T6" s="167">
        <v>0</v>
      </c>
      <c r="U6" s="171">
        <v>0</v>
      </c>
      <c r="V6" s="171">
        <v>0</v>
      </c>
      <c r="W6" s="167">
        <v>0</v>
      </c>
      <c r="X6" s="167">
        <v>22700</v>
      </c>
      <c r="Y6" s="167">
        <v>0</v>
      </c>
      <c r="Z6" s="167">
        <v>111.19999999999996</v>
      </c>
      <c r="AA6" s="167">
        <v>1</v>
      </c>
      <c r="AB6" s="167">
        <v>11520</v>
      </c>
      <c r="AC6" s="170">
        <v>2000</v>
      </c>
      <c r="AD6" s="172">
        <v>62222.222222222219</v>
      </c>
      <c r="AE6" s="170">
        <v>0.3</v>
      </c>
      <c r="AF6" s="170">
        <v>0</v>
      </c>
      <c r="AG6" s="170">
        <v>0</v>
      </c>
      <c r="AH6" s="170">
        <v>0</v>
      </c>
      <c r="AI6" s="170">
        <v>0</v>
      </c>
      <c r="AJ6" s="167">
        <v>48.000000000000007</v>
      </c>
      <c r="AK6" s="167">
        <v>1</v>
      </c>
      <c r="AL6" s="167">
        <v>1</v>
      </c>
      <c r="AM6" s="167">
        <v>1</v>
      </c>
      <c r="AN6" s="167">
        <v>1</v>
      </c>
      <c r="AO6" s="167">
        <v>1</v>
      </c>
      <c r="AP6" s="167">
        <v>1</v>
      </c>
      <c r="AQ6" s="167">
        <v>0</v>
      </c>
      <c r="AR6" s="167">
        <v>100</v>
      </c>
      <c r="AS6" s="173">
        <v>0.28431400000000001</v>
      </c>
      <c r="AT6" s="152" t="s">
        <v>532</v>
      </c>
      <c r="AU6" s="152">
        <v>9.1999999999999993</v>
      </c>
      <c r="AV6" s="152">
        <v>0.12</v>
      </c>
      <c r="AW6" s="174">
        <v>0</v>
      </c>
      <c r="AX6" s="174" t="s">
        <v>533</v>
      </c>
      <c r="AY6" s="174">
        <v>24</v>
      </c>
      <c r="AZ6" s="174">
        <v>19.600000000000001</v>
      </c>
      <c r="BA6" s="174"/>
      <c r="BB6" s="174">
        <v>3</v>
      </c>
      <c r="BC6" s="174"/>
      <c r="BD6" s="174"/>
      <c r="BE6" s="174">
        <v>0</v>
      </c>
      <c r="BF6" s="174">
        <v>0</v>
      </c>
      <c r="BG6" s="174">
        <v>0</v>
      </c>
      <c r="BH6" s="174">
        <v>0</v>
      </c>
      <c r="BI6" s="174">
        <v>0</v>
      </c>
      <c r="BJ6" s="174">
        <v>0.01</v>
      </c>
      <c r="BK6" s="174">
        <v>0.01</v>
      </c>
      <c r="BL6" s="174">
        <v>0.01</v>
      </c>
      <c r="BM6" s="174">
        <v>0.01</v>
      </c>
      <c r="BN6" s="174">
        <v>0.01</v>
      </c>
      <c r="BO6" s="174"/>
      <c r="BP6" s="174"/>
      <c r="BQ6" s="174"/>
      <c r="BR6" s="174"/>
      <c r="BS6" s="174"/>
      <c r="BT6" s="174">
        <v>100</v>
      </c>
      <c r="BU6" s="174">
        <v>31</v>
      </c>
      <c r="BV6" s="174">
        <v>39</v>
      </c>
      <c r="BW6" s="174">
        <v>44</v>
      </c>
      <c r="BX6" s="174">
        <v>47</v>
      </c>
      <c r="BY6" s="174">
        <v>47</v>
      </c>
      <c r="BZ6" s="174">
        <v>0</v>
      </c>
      <c r="CA6" s="174">
        <v>0</v>
      </c>
      <c r="CB6" s="174">
        <v>2</v>
      </c>
      <c r="CC6" s="174">
        <v>8</v>
      </c>
      <c r="CD6" s="174">
        <v>21</v>
      </c>
      <c r="CE6" s="174">
        <v>22.7</v>
      </c>
      <c r="CF6" s="174">
        <v>1</v>
      </c>
      <c r="CG6" s="174">
        <v>0.3</v>
      </c>
      <c r="CH6" s="175">
        <v>3.650010417479681E-3</v>
      </c>
    </row>
    <row r="7" spans="1:86" x14ac:dyDescent="0.3">
      <c r="A7" s="176" t="s">
        <v>23</v>
      </c>
      <c r="C7" s="160"/>
      <c r="F7" s="177" t="s">
        <v>44</v>
      </c>
      <c r="G7" s="178"/>
      <c r="H7" s="158"/>
      <c r="I7" s="152" t="s">
        <v>533</v>
      </c>
      <c r="J7" s="167">
        <v>2</v>
      </c>
      <c r="K7" s="168">
        <v>-0.9</v>
      </c>
      <c r="L7" s="169" t="s">
        <v>534</v>
      </c>
      <c r="M7" s="67" t="s">
        <v>57</v>
      </c>
      <c r="N7" s="167">
        <v>9.6000000000000014</v>
      </c>
      <c r="O7" s="170">
        <v>0</v>
      </c>
      <c r="P7" s="170">
        <v>0</v>
      </c>
      <c r="Q7" s="167">
        <v>39</v>
      </c>
      <c r="R7" s="167">
        <v>34</v>
      </c>
      <c r="S7" s="167">
        <v>0.3</v>
      </c>
      <c r="T7" s="167">
        <v>0</v>
      </c>
      <c r="U7" s="171">
        <v>0</v>
      </c>
      <c r="V7" s="171">
        <v>0</v>
      </c>
      <c r="W7" s="167">
        <v>0</v>
      </c>
      <c r="X7" s="167">
        <v>37000</v>
      </c>
      <c r="Y7" s="167">
        <v>0</v>
      </c>
      <c r="Z7" s="167">
        <v>111.19999999999996</v>
      </c>
      <c r="AA7" s="167">
        <v>1</v>
      </c>
      <c r="AB7" s="167">
        <v>11520</v>
      </c>
      <c r="AC7" s="170">
        <v>58000</v>
      </c>
      <c r="AD7" s="172">
        <v>5000</v>
      </c>
      <c r="AE7" s="170">
        <v>0.3</v>
      </c>
      <c r="AF7" s="170">
        <v>0</v>
      </c>
      <c r="AG7" s="170">
        <v>0</v>
      </c>
      <c r="AH7" s="170">
        <v>0</v>
      </c>
      <c r="AI7" s="170">
        <v>0</v>
      </c>
      <c r="AJ7" s="167">
        <v>48.000000000000007</v>
      </c>
      <c r="AK7" s="167">
        <v>1</v>
      </c>
      <c r="AL7" s="167">
        <v>1</v>
      </c>
      <c r="AM7" s="167">
        <v>1</v>
      </c>
      <c r="AN7" s="167">
        <v>1</v>
      </c>
      <c r="AO7" s="167">
        <v>1</v>
      </c>
      <c r="AP7" s="167">
        <v>1</v>
      </c>
      <c r="AQ7" s="167">
        <v>0</v>
      </c>
      <c r="AR7" s="167">
        <v>96</v>
      </c>
      <c r="AS7" s="173">
        <v>0.28431400000000001</v>
      </c>
      <c r="AT7" s="152" t="s">
        <v>535</v>
      </c>
      <c r="AU7" s="152">
        <v>9.1999999999999993</v>
      </c>
      <c r="AV7" s="152">
        <v>0.11</v>
      </c>
      <c r="AW7" s="174">
        <v>0.9</v>
      </c>
      <c r="AX7" s="174" t="s">
        <v>533</v>
      </c>
      <c r="AY7" s="174">
        <v>24</v>
      </c>
      <c r="AZ7" s="174">
        <v>19.600000000000001</v>
      </c>
      <c r="BA7" s="174"/>
      <c r="BB7" s="174">
        <v>3</v>
      </c>
      <c r="BC7" s="174"/>
      <c r="BD7" s="174"/>
      <c r="BE7" s="174">
        <v>12</v>
      </c>
      <c r="BF7" s="174">
        <v>12.7</v>
      </c>
      <c r="BG7" s="174">
        <v>13.2</v>
      </c>
      <c r="BH7" s="174">
        <v>13.7</v>
      </c>
      <c r="BI7" s="174">
        <v>14.4</v>
      </c>
      <c r="BJ7" s="174">
        <v>4.9399999999999999E-2</v>
      </c>
      <c r="BK7" s="174">
        <v>5.2600000000000001E-2</v>
      </c>
      <c r="BL7" s="174">
        <v>5.4800000000000001E-2</v>
      </c>
      <c r="BM7" s="174">
        <v>5.7000000000000002E-2</v>
      </c>
      <c r="BN7" s="174">
        <v>6.0199999999999997E-2</v>
      </c>
      <c r="BO7" s="174"/>
      <c r="BP7" s="174"/>
      <c r="BQ7" s="174"/>
      <c r="BR7" s="174"/>
      <c r="BS7" s="174"/>
      <c r="BT7" s="174">
        <v>100</v>
      </c>
      <c r="BU7" s="174">
        <v>31</v>
      </c>
      <c r="BV7" s="174">
        <v>39</v>
      </c>
      <c r="BW7" s="174">
        <v>44</v>
      </c>
      <c r="BX7" s="174">
        <v>47</v>
      </c>
      <c r="BY7" s="174">
        <v>47</v>
      </c>
      <c r="BZ7" s="174">
        <v>45</v>
      </c>
      <c r="CA7" s="174">
        <v>52</v>
      </c>
      <c r="CB7" s="174">
        <v>58</v>
      </c>
      <c r="CC7" s="174">
        <v>64</v>
      </c>
      <c r="CD7" s="174">
        <v>76</v>
      </c>
      <c r="CE7" s="174">
        <v>22.7</v>
      </c>
      <c r="CF7" s="174">
        <v>1</v>
      </c>
      <c r="CG7" s="174">
        <v>0.3</v>
      </c>
      <c r="CH7" s="175">
        <v>3.650010417479681E-3</v>
      </c>
    </row>
    <row r="8" spans="1:86" x14ac:dyDescent="0.3">
      <c r="A8" s="152" t="s">
        <v>24</v>
      </c>
      <c r="B8" s="162">
        <v>0</v>
      </c>
      <c r="C8" s="160" t="s">
        <v>398</v>
      </c>
      <c r="F8" s="152" t="s">
        <v>45</v>
      </c>
      <c r="G8" s="179">
        <v>11640.460886670813</v>
      </c>
      <c r="H8" s="160" t="s">
        <v>48</v>
      </c>
      <c r="I8" s="152" t="s">
        <v>540</v>
      </c>
      <c r="J8" s="167">
        <v>3</v>
      </c>
      <c r="K8" s="168">
        <v>-1.7</v>
      </c>
      <c r="L8" s="169" t="s">
        <v>536</v>
      </c>
      <c r="M8" s="67" t="s">
        <v>57</v>
      </c>
      <c r="N8" s="167">
        <v>10.100000000000001</v>
      </c>
      <c r="O8" s="170">
        <v>0</v>
      </c>
      <c r="P8" s="170">
        <v>0</v>
      </c>
      <c r="Q8" s="167">
        <v>29</v>
      </c>
      <c r="R8" s="167">
        <v>24</v>
      </c>
      <c r="S8" s="167">
        <v>1.6</v>
      </c>
      <c r="T8" s="167">
        <v>0</v>
      </c>
      <c r="U8" s="171">
        <v>0</v>
      </c>
      <c r="V8" s="171">
        <v>0</v>
      </c>
      <c r="W8" s="167">
        <v>0</v>
      </c>
      <c r="X8" s="167">
        <v>4400</v>
      </c>
      <c r="Y8" s="167">
        <v>0</v>
      </c>
      <c r="Z8" s="167">
        <v>78.199999999999974</v>
      </c>
      <c r="AA8" s="167">
        <v>1</v>
      </c>
      <c r="AB8" s="167">
        <v>4420</v>
      </c>
      <c r="AC8" s="170">
        <v>59000</v>
      </c>
      <c r="AD8" s="172">
        <v>-5555.5555555555547</v>
      </c>
      <c r="AE8" s="170">
        <v>0.3</v>
      </c>
      <c r="AF8" s="170">
        <v>0</v>
      </c>
      <c r="AG8" s="170">
        <v>0</v>
      </c>
      <c r="AH8" s="170">
        <v>0</v>
      </c>
      <c r="AI8" s="170">
        <v>0</v>
      </c>
      <c r="AJ8" s="167">
        <v>18.400000000000006</v>
      </c>
      <c r="AK8" s="167">
        <v>1</v>
      </c>
      <c r="AL8" s="167">
        <v>1</v>
      </c>
      <c r="AM8" s="167">
        <v>1</v>
      </c>
      <c r="AN8" s="167">
        <v>1</v>
      </c>
      <c r="AO8" s="167">
        <v>1</v>
      </c>
      <c r="AP8" s="167">
        <v>1</v>
      </c>
      <c r="AQ8" s="167">
        <v>0</v>
      </c>
      <c r="AR8" s="167">
        <v>46</v>
      </c>
      <c r="AS8" s="173">
        <v>0.56896599999999997</v>
      </c>
      <c r="AT8" s="152" t="s">
        <v>537</v>
      </c>
      <c r="AU8" s="152">
        <v>9.1999999999999993</v>
      </c>
      <c r="AV8" s="152">
        <v>0.2</v>
      </c>
      <c r="AW8" s="174">
        <v>0.9</v>
      </c>
      <c r="AX8" s="174" t="s">
        <v>533</v>
      </c>
      <c r="AY8" s="174">
        <v>24</v>
      </c>
      <c r="AZ8" s="174">
        <v>19.600000000000001</v>
      </c>
      <c r="BA8" s="174"/>
      <c r="BB8" s="174">
        <v>3</v>
      </c>
      <c r="BC8" s="174"/>
      <c r="BD8" s="174"/>
      <c r="BE8" s="174">
        <v>11.7</v>
      </c>
      <c r="BF8" s="174">
        <v>12.8</v>
      </c>
      <c r="BG8" s="174">
        <v>13.6</v>
      </c>
      <c r="BH8" s="174">
        <v>14.4</v>
      </c>
      <c r="BI8" s="174">
        <v>15.5</v>
      </c>
      <c r="BJ8" s="174">
        <v>4.5199999999999997E-2</v>
      </c>
      <c r="BK8" s="174">
        <v>4.9700000000000001E-2</v>
      </c>
      <c r="BL8" s="174">
        <v>5.28E-2</v>
      </c>
      <c r="BM8" s="174">
        <v>5.5899999999999998E-2</v>
      </c>
      <c r="BN8" s="174">
        <v>6.0400000000000002E-2</v>
      </c>
      <c r="BO8" s="174"/>
      <c r="BP8" s="174"/>
      <c r="BQ8" s="174"/>
      <c r="BR8" s="174"/>
      <c r="BS8" s="174"/>
      <c r="BT8" s="174">
        <v>96</v>
      </c>
      <c r="BU8" s="174">
        <v>30</v>
      </c>
      <c r="BV8" s="174">
        <v>39</v>
      </c>
      <c r="BW8" s="174">
        <v>44</v>
      </c>
      <c r="BX8" s="174">
        <v>47</v>
      </c>
      <c r="BY8" s="174">
        <v>47</v>
      </c>
      <c r="BZ8" s="174">
        <v>33</v>
      </c>
      <c r="CA8" s="174">
        <v>46</v>
      </c>
      <c r="CB8" s="174">
        <v>58</v>
      </c>
      <c r="CC8" s="174">
        <v>69</v>
      </c>
      <c r="CD8" s="174">
        <v>94</v>
      </c>
      <c r="CE8" s="174">
        <v>37</v>
      </c>
      <c r="CF8" s="174">
        <v>1</v>
      </c>
      <c r="CG8" s="174">
        <v>0.3</v>
      </c>
      <c r="CH8" s="175">
        <v>3.1356976958693268E-3</v>
      </c>
    </row>
    <row r="9" spans="1:86" x14ac:dyDescent="0.3">
      <c r="A9" s="152" t="s">
        <v>61</v>
      </c>
      <c r="B9" s="166">
        <v>34</v>
      </c>
      <c r="C9" s="160" t="s">
        <v>28</v>
      </c>
      <c r="D9" s="162">
        <v>31880.742314246338</v>
      </c>
      <c r="F9" s="152" t="s">
        <v>72</v>
      </c>
      <c r="G9" s="180">
        <v>-552772.83884647035</v>
      </c>
      <c r="H9" s="160" t="s">
        <v>49</v>
      </c>
      <c r="I9" s="152" t="s">
        <v>544</v>
      </c>
      <c r="J9" s="167">
        <v>4</v>
      </c>
      <c r="K9" s="168">
        <v>-2.6</v>
      </c>
      <c r="L9" s="169" t="s">
        <v>538</v>
      </c>
      <c r="M9" s="67" t="s">
        <v>58</v>
      </c>
      <c r="N9" s="167">
        <v>8.8999999999999986</v>
      </c>
      <c r="O9" s="170">
        <v>27</v>
      </c>
      <c r="P9" s="170">
        <v>37.500000000000007</v>
      </c>
      <c r="Q9" s="167">
        <v>0</v>
      </c>
      <c r="R9" s="167" t="e">
        <v>#N/A</v>
      </c>
      <c r="S9" s="167">
        <v>1.3</v>
      </c>
      <c r="T9" s="167">
        <v>0</v>
      </c>
      <c r="U9" s="171">
        <v>1.9E-2</v>
      </c>
      <c r="V9" s="171">
        <v>0</v>
      </c>
      <c r="W9" s="167">
        <v>0.5</v>
      </c>
      <c r="X9" s="167">
        <v>3200</v>
      </c>
      <c r="Y9" s="167">
        <v>0</v>
      </c>
      <c r="Z9" s="167" t="e">
        <v>#N/A</v>
      </c>
      <c r="AA9" s="167">
        <v>1</v>
      </c>
      <c r="AB9" s="167" t="e">
        <v>#N/A</v>
      </c>
      <c r="AC9" s="170">
        <v>27000</v>
      </c>
      <c r="AD9" s="172">
        <v>5000.0000000000009</v>
      </c>
      <c r="AE9" s="170">
        <v>0.3</v>
      </c>
      <c r="AF9" s="170">
        <v>0</v>
      </c>
      <c r="AG9" s="170">
        <v>0</v>
      </c>
      <c r="AH9" s="170">
        <v>0</v>
      </c>
      <c r="AI9" s="170">
        <v>0</v>
      </c>
      <c r="AJ9" s="167" t="e">
        <v>#N/A</v>
      </c>
      <c r="AK9" s="167">
        <v>1</v>
      </c>
      <c r="AL9" s="167">
        <v>1</v>
      </c>
      <c r="AM9" s="167">
        <v>1</v>
      </c>
      <c r="AN9" s="167">
        <v>1</v>
      </c>
      <c r="AO9" s="167">
        <v>1</v>
      </c>
      <c r="AP9" s="167">
        <v>1</v>
      </c>
      <c r="AQ9" s="167">
        <v>0</v>
      </c>
      <c r="AR9" s="167">
        <v>0</v>
      </c>
      <c r="AS9" s="173">
        <v>0.7</v>
      </c>
      <c r="AT9" s="152" t="s">
        <v>535</v>
      </c>
      <c r="AU9" s="152">
        <v>9.1999999999999993</v>
      </c>
      <c r="AV9" s="152">
        <v>0.11</v>
      </c>
      <c r="AW9" s="174">
        <v>1.7</v>
      </c>
      <c r="AX9" s="174" t="s">
        <v>533</v>
      </c>
      <c r="AY9" s="174">
        <v>24</v>
      </c>
      <c r="AZ9" s="174">
        <v>19.600000000000001</v>
      </c>
      <c r="BA9" s="174"/>
      <c r="BB9" s="174">
        <v>3</v>
      </c>
      <c r="BC9" s="174"/>
      <c r="BD9" s="174"/>
      <c r="BE9" s="174">
        <v>2.9</v>
      </c>
      <c r="BF9" s="174">
        <v>4</v>
      </c>
      <c r="BG9" s="174">
        <v>4.8</v>
      </c>
      <c r="BH9" s="174">
        <v>5.6</v>
      </c>
      <c r="BI9" s="174">
        <v>6.7</v>
      </c>
      <c r="BJ9" s="174">
        <v>1.5699999999999999E-2</v>
      </c>
      <c r="BK9" s="174">
        <v>2.0199999999999999E-2</v>
      </c>
      <c r="BL9" s="174">
        <v>2.3300000000000001E-2</v>
      </c>
      <c r="BM9" s="174">
        <v>2.64E-2</v>
      </c>
      <c r="BN9" s="174">
        <v>3.09E-2</v>
      </c>
      <c r="BO9" s="174"/>
      <c r="BP9" s="174"/>
      <c r="BQ9" s="174"/>
      <c r="BR9" s="174"/>
      <c r="BS9" s="174"/>
      <c r="BT9" s="174">
        <v>96</v>
      </c>
      <c r="BU9" s="174">
        <v>30</v>
      </c>
      <c r="BV9" s="174">
        <v>39</v>
      </c>
      <c r="BW9" s="174">
        <v>44</v>
      </c>
      <c r="BX9" s="174">
        <v>47</v>
      </c>
      <c r="BY9" s="174">
        <v>47</v>
      </c>
      <c r="BZ9" s="174">
        <v>37</v>
      </c>
      <c r="CA9" s="174">
        <v>50</v>
      </c>
      <c r="CB9" s="174">
        <v>62</v>
      </c>
      <c r="CC9" s="174">
        <v>73</v>
      </c>
      <c r="CD9" s="174">
        <v>98</v>
      </c>
      <c r="CE9" s="174">
        <v>37</v>
      </c>
      <c r="CF9" s="174">
        <v>1</v>
      </c>
      <c r="CG9" s="174">
        <v>0.3</v>
      </c>
      <c r="CH9" s="175">
        <v>3.1356976958693268E-3</v>
      </c>
    </row>
    <row r="10" spans="1:86" s="178" customFormat="1" x14ac:dyDescent="0.3">
      <c r="A10" s="152" t="s">
        <v>62</v>
      </c>
      <c r="B10" s="181">
        <v>34</v>
      </c>
      <c r="C10" s="160" t="s">
        <v>28</v>
      </c>
      <c r="D10" s="182">
        <v>-1034274.5392807919</v>
      </c>
      <c r="F10" s="152" t="s">
        <v>46</v>
      </c>
      <c r="G10" s="179">
        <v>29121.297723129272</v>
      </c>
      <c r="H10" s="160" t="s">
        <v>48</v>
      </c>
      <c r="I10" s="152" t="s">
        <v>544</v>
      </c>
      <c r="J10" s="167">
        <v>5</v>
      </c>
      <c r="K10" s="168">
        <v>-3</v>
      </c>
      <c r="L10" s="169" t="s">
        <v>539</v>
      </c>
      <c r="M10" s="67" t="s">
        <v>58</v>
      </c>
      <c r="N10" s="167">
        <v>8.8999999999999986</v>
      </c>
      <c r="O10" s="170">
        <v>38</v>
      </c>
      <c r="P10" s="170">
        <v>195.00000000000006</v>
      </c>
      <c r="Q10" s="167">
        <v>0</v>
      </c>
      <c r="R10" s="167" t="e">
        <v>#N/A</v>
      </c>
      <c r="S10" s="167">
        <v>2.2999999999999998</v>
      </c>
      <c r="T10" s="167">
        <v>0</v>
      </c>
      <c r="U10" s="171">
        <v>1.9E-2</v>
      </c>
      <c r="V10" s="171">
        <v>0</v>
      </c>
      <c r="W10" s="167">
        <v>0.5</v>
      </c>
      <c r="X10" s="167">
        <v>8500</v>
      </c>
      <c r="Y10" s="167">
        <v>0</v>
      </c>
      <c r="Z10" s="167" t="e">
        <v>#N/A</v>
      </c>
      <c r="AA10" s="167">
        <v>1</v>
      </c>
      <c r="AB10" s="167" t="e">
        <v>#N/A</v>
      </c>
      <c r="AC10" s="170">
        <v>36000</v>
      </c>
      <c r="AD10" s="172">
        <v>27500.000000000007</v>
      </c>
      <c r="AE10" s="170">
        <v>0.3</v>
      </c>
      <c r="AF10" s="170">
        <v>0</v>
      </c>
      <c r="AG10" s="170">
        <v>0</v>
      </c>
      <c r="AH10" s="170">
        <v>0</v>
      </c>
      <c r="AI10" s="170">
        <v>0</v>
      </c>
      <c r="AJ10" s="167" t="e">
        <v>#N/A</v>
      </c>
      <c r="AK10" s="167">
        <v>1</v>
      </c>
      <c r="AL10" s="167">
        <v>1</v>
      </c>
      <c r="AM10" s="167">
        <v>1</v>
      </c>
      <c r="AN10" s="167">
        <v>1</v>
      </c>
      <c r="AO10" s="167">
        <v>1</v>
      </c>
      <c r="AP10" s="167">
        <v>1</v>
      </c>
      <c r="AQ10" s="167">
        <v>0</v>
      </c>
      <c r="AR10" s="167">
        <v>0</v>
      </c>
      <c r="AS10" s="173">
        <v>0.7</v>
      </c>
      <c r="AT10" s="178" t="s">
        <v>535</v>
      </c>
      <c r="AU10" s="152">
        <v>9.1999999999999993</v>
      </c>
      <c r="AV10" s="178">
        <v>0.11</v>
      </c>
      <c r="AW10" s="174">
        <v>1.7</v>
      </c>
      <c r="AX10" s="174" t="s">
        <v>540</v>
      </c>
      <c r="AY10" s="174">
        <v>24</v>
      </c>
      <c r="AZ10" s="174">
        <v>20.100000000000001</v>
      </c>
      <c r="BA10" s="174"/>
      <c r="BB10" s="174">
        <v>17</v>
      </c>
      <c r="BC10" s="174"/>
      <c r="BD10" s="174"/>
      <c r="BE10" s="174">
        <v>4.8</v>
      </c>
      <c r="BF10" s="174">
        <v>5.2</v>
      </c>
      <c r="BG10" s="174">
        <v>5.5</v>
      </c>
      <c r="BH10" s="174">
        <v>5.8</v>
      </c>
      <c r="BI10" s="174">
        <v>6.2</v>
      </c>
      <c r="BJ10" s="174">
        <v>2.53E-2</v>
      </c>
      <c r="BK10" s="174">
        <v>2.8299999999999999E-2</v>
      </c>
      <c r="BL10" s="174">
        <v>3.04E-2</v>
      </c>
      <c r="BM10" s="174">
        <v>3.2500000000000001E-2</v>
      </c>
      <c r="BN10" s="174">
        <v>3.5299999999999998E-2</v>
      </c>
      <c r="BO10" s="174"/>
      <c r="BP10" s="174"/>
      <c r="BQ10" s="174"/>
      <c r="BR10" s="174"/>
      <c r="BS10" s="174"/>
      <c r="BT10" s="174">
        <v>46</v>
      </c>
      <c r="BU10" s="174">
        <v>29</v>
      </c>
      <c r="BV10" s="174">
        <v>29</v>
      </c>
      <c r="BW10" s="174">
        <v>32</v>
      </c>
      <c r="BX10" s="174">
        <v>36</v>
      </c>
      <c r="BY10" s="174">
        <v>42</v>
      </c>
      <c r="BZ10" s="174">
        <v>36</v>
      </c>
      <c r="CA10" s="174">
        <v>38</v>
      </c>
      <c r="CB10" s="174">
        <v>59</v>
      </c>
      <c r="CC10" s="174">
        <v>80</v>
      </c>
      <c r="CD10" s="174">
        <v>127</v>
      </c>
      <c r="CE10" s="174">
        <v>4.4000000000000004</v>
      </c>
      <c r="CF10" s="174">
        <v>10.199999999999999</v>
      </c>
      <c r="CG10" s="174">
        <v>1.6</v>
      </c>
      <c r="CH10" s="175">
        <v>3.1298692752097471E-5</v>
      </c>
    </row>
    <row r="11" spans="1:86" x14ac:dyDescent="0.3">
      <c r="A11" s="152" t="s">
        <v>63</v>
      </c>
      <c r="B11" s="162">
        <v>1</v>
      </c>
      <c r="C11" s="160" t="s">
        <v>28</v>
      </c>
      <c r="D11" s="152">
        <v>24726.251557448941</v>
      </c>
      <c r="F11" s="152" t="s">
        <v>47</v>
      </c>
      <c r="G11" s="179">
        <v>0</v>
      </c>
      <c r="H11" s="160" t="s">
        <v>48</v>
      </c>
      <c r="I11" s="152" t="s">
        <v>540</v>
      </c>
      <c r="J11" s="167">
        <v>6</v>
      </c>
      <c r="K11" s="168">
        <v>-3.4</v>
      </c>
      <c r="L11" s="169" t="s">
        <v>541</v>
      </c>
      <c r="M11" s="67" t="s">
        <v>57</v>
      </c>
      <c r="N11" s="167">
        <v>9.8999999999999986</v>
      </c>
      <c r="O11" s="170">
        <v>0</v>
      </c>
      <c r="P11" s="170">
        <v>0</v>
      </c>
      <c r="Q11" s="167">
        <v>30</v>
      </c>
      <c r="R11" s="167">
        <v>25</v>
      </c>
      <c r="S11" s="167">
        <v>1.3</v>
      </c>
      <c r="T11" s="167">
        <v>0</v>
      </c>
      <c r="U11" s="171">
        <v>0</v>
      </c>
      <c r="V11" s="171">
        <v>0</v>
      </c>
      <c r="W11" s="167">
        <v>0</v>
      </c>
      <c r="X11" s="167">
        <v>12900</v>
      </c>
      <c r="Y11" s="167">
        <v>0</v>
      </c>
      <c r="Z11" s="167">
        <v>80.999999999999972</v>
      </c>
      <c r="AA11" s="167">
        <v>1</v>
      </c>
      <c r="AB11" s="167">
        <v>4800</v>
      </c>
      <c r="AC11" s="170">
        <v>87000</v>
      </c>
      <c r="AD11" s="172">
        <v>14393.939393939398</v>
      </c>
      <c r="AE11" s="170">
        <v>0.3</v>
      </c>
      <c r="AF11" s="170">
        <v>0</v>
      </c>
      <c r="AG11" s="170">
        <v>0</v>
      </c>
      <c r="AH11" s="170">
        <v>0</v>
      </c>
      <c r="AI11" s="170">
        <v>0</v>
      </c>
      <c r="AJ11" s="167">
        <v>20.000000000000007</v>
      </c>
      <c r="AK11" s="167">
        <v>1</v>
      </c>
      <c r="AL11" s="167">
        <v>1</v>
      </c>
      <c r="AM11" s="167">
        <v>1</v>
      </c>
      <c r="AN11" s="167">
        <v>1</v>
      </c>
      <c r="AO11" s="167">
        <v>1</v>
      </c>
      <c r="AP11" s="167">
        <v>1</v>
      </c>
      <c r="AQ11" s="167">
        <v>0</v>
      </c>
      <c r="AR11" s="167">
        <v>63</v>
      </c>
      <c r="AS11" s="173">
        <v>0.56896599999999997</v>
      </c>
      <c r="AT11" s="152" t="s">
        <v>535</v>
      </c>
      <c r="AU11" s="152">
        <v>9.1999999999999993</v>
      </c>
      <c r="AV11" s="152">
        <v>0.11</v>
      </c>
      <c r="AW11" s="174">
        <v>2.6</v>
      </c>
      <c r="AX11" s="174" t="s">
        <v>540</v>
      </c>
      <c r="AY11" s="174">
        <v>24</v>
      </c>
      <c r="AZ11" s="174">
        <v>20.100000000000001</v>
      </c>
      <c r="BA11" s="174"/>
      <c r="BB11" s="174">
        <v>17</v>
      </c>
      <c r="BC11" s="174"/>
      <c r="BD11" s="174"/>
      <c r="BE11" s="174">
        <v>0.6</v>
      </c>
      <c r="BF11" s="174">
        <v>1</v>
      </c>
      <c r="BG11" s="174">
        <v>1.3</v>
      </c>
      <c r="BH11" s="174">
        <v>1.6</v>
      </c>
      <c r="BI11" s="174">
        <v>2</v>
      </c>
      <c r="BJ11" s="174">
        <v>1.3100000000000001E-2</v>
      </c>
      <c r="BK11" s="174">
        <v>1.61E-2</v>
      </c>
      <c r="BL11" s="174">
        <v>1.8200000000000001E-2</v>
      </c>
      <c r="BM11" s="174">
        <v>2.0199999999999999E-2</v>
      </c>
      <c r="BN11" s="174">
        <v>2.3099999999999999E-2</v>
      </c>
      <c r="BO11" s="174"/>
      <c r="BP11" s="174"/>
      <c r="BQ11" s="174"/>
      <c r="BR11" s="174"/>
      <c r="BS11" s="174"/>
      <c r="BT11" s="174">
        <v>46</v>
      </c>
      <c r="BU11" s="174">
        <v>29</v>
      </c>
      <c r="BV11" s="174">
        <v>29</v>
      </c>
      <c r="BW11" s="174">
        <v>32</v>
      </c>
      <c r="BX11" s="174">
        <v>36</v>
      </c>
      <c r="BY11" s="174">
        <v>42</v>
      </c>
      <c r="BZ11" s="174">
        <v>31</v>
      </c>
      <c r="CA11" s="174">
        <v>33</v>
      </c>
      <c r="CB11" s="174">
        <v>54</v>
      </c>
      <c r="CC11" s="174">
        <v>75</v>
      </c>
      <c r="CD11" s="174">
        <v>122</v>
      </c>
      <c r="CE11" s="174">
        <v>4.4000000000000004</v>
      </c>
      <c r="CF11" s="174">
        <v>10.199999999999999</v>
      </c>
      <c r="CG11" s="174">
        <v>1.6</v>
      </c>
      <c r="CH11" s="175">
        <v>3.1298692752097471E-5</v>
      </c>
    </row>
    <row r="12" spans="1:86" x14ac:dyDescent="0.3">
      <c r="A12" s="152" t="s">
        <v>66</v>
      </c>
      <c r="B12" s="166">
        <v>9</v>
      </c>
      <c r="C12" s="160" t="s">
        <v>28</v>
      </c>
      <c r="D12" s="152">
        <v>0</v>
      </c>
      <c r="E12" s="183"/>
      <c r="F12" s="178" t="s">
        <v>73</v>
      </c>
      <c r="G12" s="179">
        <v>2891.7203797290813</v>
      </c>
      <c r="H12" s="160" t="s">
        <v>48</v>
      </c>
      <c r="I12" s="152" t="s">
        <v>540</v>
      </c>
      <c r="J12" s="167">
        <v>7</v>
      </c>
      <c r="K12" s="168">
        <v>-4.4000000000000004</v>
      </c>
      <c r="L12" s="169" t="s">
        <v>541</v>
      </c>
      <c r="M12" s="67" t="s">
        <v>57</v>
      </c>
      <c r="N12" s="167">
        <v>9.8999999999999986</v>
      </c>
      <c r="O12" s="170">
        <v>0</v>
      </c>
      <c r="P12" s="170">
        <v>0</v>
      </c>
      <c r="Q12" s="167">
        <v>30</v>
      </c>
      <c r="R12" s="167">
        <v>25</v>
      </c>
      <c r="S12" s="167">
        <v>1.3</v>
      </c>
      <c r="T12" s="167">
        <v>0</v>
      </c>
      <c r="U12" s="171">
        <v>0</v>
      </c>
      <c r="V12" s="171">
        <v>0</v>
      </c>
      <c r="W12" s="167">
        <v>0</v>
      </c>
      <c r="X12" s="167">
        <v>12900</v>
      </c>
      <c r="Y12" s="167">
        <v>0</v>
      </c>
      <c r="Z12" s="167">
        <v>80.999999999999972</v>
      </c>
      <c r="AA12" s="167">
        <v>1</v>
      </c>
      <c r="AB12" s="167">
        <v>4800</v>
      </c>
      <c r="AC12" s="170">
        <v>101393.93939393941</v>
      </c>
      <c r="AD12" s="172">
        <v>14393.93939393939</v>
      </c>
      <c r="AE12" s="170">
        <v>0.3</v>
      </c>
      <c r="AF12" s="170">
        <v>0</v>
      </c>
      <c r="AG12" s="170">
        <v>0</v>
      </c>
      <c r="AH12" s="170">
        <v>0</v>
      </c>
      <c r="AI12" s="170">
        <v>0</v>
      </c>
      <c r="AJ12" s="167">
        <v>20.000000000000007</v>
      </c>
      <c r="AK12" s="167">
        <v>1</v>
      </c>
      <c r="AL12" s="167">
        <v>1</v>
      </c>
      <c r="AM12" s="167">
        <v>1</v>
      </c>
      <c r="AN12" s="167">
        <v>1</v>
      </c>
      <c r="AO12" s="167">
        <v>1</v>
      </c>
      <c r="AP12" s="167">
        <v>1</v>
      </c>
      <c r="AQ12" s="167">
        <v>0</v>
      </c>
      <c r="AR12" s="167">
        <v>63</v>
      </c>
      <c r="AS12" s="173">
        <v>0.60344799999999998</v>
      </c>
      <c r="AT12" s="152" t="s">
        <v>535</v>
      </c>
      <c r="AU12" s="152">
        <v>9.1999999999999993</v>
      </c>
      <c r="AV12" s="152">
        <v>0.41</v>
      </c>
      <c r="AW12" s="174">
        <v>2.6</v>
      </c>
      <c r="AX12" s="174" t="s">
        <v>544</v>
      </c>
      <c r="AY12" s="174">
        <v>33</v>
      </c>
      <c r="AZ12" s="174">
        <v>18.899999999999999</v>
      </c>
      <c r="BA12" s="174">
        <v>24</v>
      </c>
      <c r="BB12" s="174">
        <v>38</v>
      </c>
      <c r="BC12" s="174">
        <v>4</v>
      </c>
      <c r="BD12" s="174">
        <v>1.9</v>
      </c>
      <c r="BE12" s="174">
        <v>0.4</v>
      </c>
      <c r="BF12" s="174">
        <v>0.5</v>
      </c>
      <c r="BG12" s="174">
        <v>0.6</v>
      </c>
      <c r="BH12" s="174">
        <v>0.8</v>
      </c>
      <c r="BI12" s="174">
        <v>0.9</v>
      </c>
      <c r="BJ12" s="174">
        <v>0.01</v>
      </c>
      <c r="BK12" s="174">
        <v>0.01</v>
      </c>
      <c r="BL12" s="174">
        <v>1.0800000000000001E-2</v>
      </c>
      <c r="BM12" s="174">
        <v>1.26E-2</v>
      </c>
      <c r="BN12" s="174">
        <v>4.1399999999999999E-2</v>
      </c>
      <c r="BO12" s="174">
        <v>16</v>
      </c>
      <c r="BP12" s="174">
        <v>27</v>
      </c>
      <c r="BQ12" s="174">
        <v>32</v>
      </c>
      <c r="BR12" s="174">
        <v>39</v>
      </c>
      <c r="BS12" s="174">
        <v>57</v>
      </c>
      <c r="BT12" s="174"/>
      <c r="BU12" s="174"/>
      <c r="BV12" s="174"/>
      <c r="BW12" s="174"/>
      <c r="BX12" s="174"/>
      <c r="BY12" s="174"/>
      <c r="BZ12" s="174">
        <v>27</v>
      </c>
      <c r="CA12" s="174">
        <v>27</v>
      </c>
      <c r="CB12" s="174">
        <v>27</v>
      </c>
      <c r="CC12" s="174">
        <v>28</v>
      </c>
      <c r="CD12" s="174">
        <v>28</v>
      </c>
      <c r="CE12" s="174">
        <v>3.2</v>
      </c>
      <c r="CF12" s="174">
        <v>9.6</v>
      </c>
      <c r="CG12" s="174">
        <v>1.3</v>
      </c>
      <c r="CH12" s="175">
        <v>2.0327452023345781E-9</v>
      </c>
    </row>
    <row r="13" spans="1:86" x14ac:dyDescent="0.3">
      <c r="A13" s="152" t="s">
        <v>40</v>
      </c>
      <c r="B13" s="162">
        <v>78</v>
      </c>
      <c r="C13" s="160" t="s">
        <v>397</v>
      </c>
      <c r="D13" s="152">
        <v>5239.6506589399823</v>
      </c>
      <c r="E13" s="183"/>
      <c r="F13" s="176" t="s">
        <v>50</v>
      </c>
      <c r="I13" s="152" t="s">
        <v>540</v>
      </c>
      <c r="J13" s="167">
        <v>8</v>
      </c>
      <c r="K13" s="168">
        <v>-6.4</v>
      </c>
      <c r="L13" s="169" t="s">
        <v>541</v>
      </c>
      <c r="M13" s="67" t="s">
        <v>57</v>
      </c>
      <c r="N13" s="167">
        <v>9.8999999999999986</v>
      </c>
      <c r="O13" s="170">
        <v>0</v>
      </c>
      <c r="P13" s="170">
        <v>0</v>
      </c>
      <c r="Q13" s="167">
        <v>30</v>
      </c>
      <c r="R13" s="167">
        <v>25</v>
      </c>
      <c r="S13" s="167">
        <v>1.3</v>
      </c>
      <c r="T13" s="167">
        <v>0</v>
      </c>
      <c r="U13" s="171">
        <v>0</v>
      </c>
      <c r="V13" s="171">
        <v>0</v>
      </c>
      <c r="W13" s="167">
        <v>0</v>
      </c>
      <c r="X13" s="167">
        <v>12900</v>
      </c>
      <c r="Y13" s="167">
        <v>0</v>
      </c>
      <c r="Z13" s="167">
        <v>80.999999999999972</v>
      </c>
      <c r="AA13" s="167">
        <v>1</v>
      </c>
      <c r="AB13" s="167">
        <v>4800</v>
      </c>
      <c r="AC13" s="170">
        <v>130181.81818181819</v>
      </c>
      <c r="AD13" s="172">
        <v>14393.939393939394</v>
      </c>
      <c r="AE13" s="170">
        <v>0.3</v>
      </c>
      <c r="AF13" s="170">
        <v>0</v>
      </c>
      <c r="AG13" s="170">
        <v>0</v>
      </c>
      <c r="AH13" s="170">
        <v>0</v>
      </c>
      <c r="AI13" s="170">
        <v>0</v>
      </c>
      <c r="AJ13" s="167">
        <v>20.000000000000007</v>
      </c>
      <c r="AK13" s="167">
        <v>1</v>
      </c>
      <c r="AL13" s="167">
        <v>1</v>
      </c>
      <c r="AM13" s="167">
        <v>1</v>
      </c>
      <c r="AN13" s="167">
        <v>1</v>
      </c>
      <c r="AO13" s="167">
        <v>1</v>
      </c>
      <c r="AP13" s="167">
        <v>1</v>
      </c>
      <c r="AQ13" s="167">
        <v>0</v>
      </c>
      <c r="AR13" s="167">
        <v>63</v>
      </c>
      <c r="AS13" s="173">
        <v>0.63793100000000003</v>
      </c>
      <c r="AT13" s="152" t="s">
        <v>535</v>
      </c>
      <c r="AU13" s="152">
        <v>9.1999999999999993</v>
      </c>
      <c r="AV13" s="152">
        <v>0.41</v>
      </c>
      <c r="AW13" s="174">
        <v>3</v>
      </c>
      <c r="AX13" s="174" t="s">
        <v>544</v>
      </c>
      <c r="AY13" s="174">
        <v>33</v>
      </c>
      <c r="AZ13" s="174">
        <v>18.899999999999999</v>
      </c>
      <c r="BA13" s="174">
        <v>24</v>
      </c>
      <c r="BB13" s="174">
        <v>38</v>
      </c>
      <c r="BC13" s="174">
        <v>4</v>
      </c>
      <c r="BD13" s="174">
        <v>1.9</v>
      </c>
      <c r="BE13" s="174">
        <v>0.7</v>
      </c>
      <c r="BF13" s="174">
        <v>0.8</v>
      </c>
      <c r="BG13" s="174">
        <v>0.9</v>
      </c>
      <c r="BH13" s="174">
        <v>1</v>
      </c>
      <c r="BI13" s="174">
        <v>1.1000000000000001</v>
      </c>
      <c r="BJ13" s="174">
        <v>0.01</v>
      </c>
      <c r="BK13" s="174">
        <v>0.01</v>
      </c>
      <c r="BL13" s="174">
        <v>1.0800000000000001E-2</v>
      </c>
      <c r="BM13" s="174">
        <v>1.26E-2</v>
      </c>
      <c r="BN13" s="174">
        <v>4.1399999999999999E-2</v>
      </c>
      <c r="BO13" s="174">
        <v>32</v>
      </c>
      <c r="BP13" s="174">
        <v>42</v>
      </c>
      <c r="BQ13" s="174">
        <v>48</v>
      </c>
      <c r="BR13" s="174">
        <v>55</v>
      </c>
      <c r="BS13" s="174">
        <v>73</v>
      </c>
      <c r="BT13" s="174"/>
      <c r="BU13" s="174"/>
      <c r="BV13" s="174"/>
      <c r="BW13" s="174"/>
      <c r="BX13" s="174"/>
      <c r="BY13" s="174"/>
      <c r="BZ13" s="174">
        <v>29</v>
      </c>
      <c r="CA13" s="174">
        <v>29</v>
      </c>
      <c r="CB13" s="174">
        <v>29</v>
      </c>
      <c r="CC13" s="174">
        <v>30</v>
      </c>
      <c r="CD13" s="174">
        <v>30</v>
      </c>
      <c r="CE13" s="174">
        <v>3.2</v>
      </c>
      <c r="CF13" s="174">
        <v>9.6</v>
      </c>
      <c r="CG13" s="174">
        <v>1.3</v>
      </c>
      <c r="CH13" s="175">
        <v>2.0327452023345781E-9</v>
      </c>
    </row>
    <row r="14" spans="1:86" x14ac:dyDescent="0.3">
      <c r="A14" s="152" t="s">
        <v>41</v>
      </c>
      <c r="B14" s="183">
        <v>355000</v>
      </c>
      <c r="C14" s="160" t="s">
        <v>396</v>
      </c>
      <c r="F14" s="152" t="s">
        <v>51</v>
      </c>
      <c r="G14" s="184" t="s">
        <v>52</v>
      </c>
      <c r="H14" s="160" t="s">
        <v>56</v>
      </c>
      <c r="I14" s="152" t="s">
        <v>540</v>
      </c>
      <c r="J14" s="167">
        <v>9</v>
      </c>
      <c r="K14" s="168">
        <v>-10</v>
      </c>
      <c r="L14" s="169" t="s">
        <v>542</v>
      </c>
      <c r="M14" s="67" t="s">
        <v>57</v>
      </c>
      <c r="N14" s="167">
        <v>9.8999999999999986</v>
      </c>
      <c r="O14" s="170">
        <v>0</v>
      </c>
      <c r="P14" s="170">
        <v>0</v>
      </c>
      <c r="Q14" s="167">
        <v>29</v>
      </c>
      <c r="R14" s="167">
        <v>24</v>
      </c>
      <c r="S14" s="167">
        <v>1</v>
      </c>
      <c r="T14" s="167">
        <v>0</v>
      </c>
      <c r="U14" s="171">
        <v>0</v>
      </c>
      <c r="V14" s="171">
        <v>0</v>
      </c>
      <c r="W14" s="167">
        <v>0</v>
      </c>
      <c r="X14" s="167">
        <v>11700</v>
      </c>
      <c r="Y14" s="167">
        <v>0</v>
      </c>
      <c r="Z14" s="167">
        <v>78.199999999999974</v>
      </c>
      <c r="AA14" s="167">
        <v>1</v>
      </c>
      <c r="AB14" s="167">
        <v>4420</v>
      </c>
      <c r="AC14" s="170">
        <v>177000</v>
      </c>
      <c r="AD14" s="172">
        <v>-36666.666666666686</v>
      </c>
      <c r="AE14" s="170">
        <v>0.3</v>
      </c>
      <c r="AF14" s="170">
        <v>0</v>
      </c>
      <c r="AG14" s="170">
        <v>0</v>
      </c>
      <c r="AH14" s="170">
        <v>0</v>
      </c>
      <c r="AI14" s="170">
        <v>0</v>
      </c>
      <c r="AJ14" s="167">
        <v>18.400000000000006</v>
      </c>
      <c r="AK14" s="167">
        <v>1</v>
      </c>
      <c r="AL14" s="167">
        <v>1</v>
      </c>
      <c r="AM14" s="167">
        <v>1</v>
      </c>
      <c r="AN14" s="167">
        <v>1</v>
      </c>
      <c r="AO14" s="167">
        <v>1</v>
      </c>
      <c r="AP14" s="167">
        <v>1</v>
      </c>
      <c r="AQ14" s="167">
        <v>0</v>
      </c>
      <c r="AR14" s="167">
        <v>57</v>
      </c>
      <c r="AS14" s="173">
        <v>0.63793100000000003</v>
      </c>
      <c r="AT14" s="152" t="s">
        <v>535</v>
      </c>
      <c r="AU14" s="152">
        <v>9.1999999999999993</v>
      </c>
      <c r="AV14" s="152">
        <v>0.41</v>
      </c>
      <c r="AW14" s="174">
        <v>3</v>
      </c>
      <c r="AX14" s="174" t="s">
        <v>544</v>
      </c>
      <c r="AY14" s="174">
        <v>33</v>
      </c>
      <c r="AZ14" s="174">
        <v>18.899999999999999</v>
      </c>
      <c r="BA14" s="174">
        <v>24</v>
      </c>
      <c r="BB14" s="174">
        <v>38</v>
      </c>
      <c r="BC14" s="174">
        <v>4</v>
      </c>
      <c r="BD14" s="174">
        <v>1.9</v>
      </c>
      <c r="BE14" s="174">
        <v>0.5</v>
      </c>
      <c r="BF14" s="174">
        <v>0.8</v>
      </c>
      <c r="BG14" s="174">
        <v>1</v>
      </c>
      <c r="BH14" s="174">
        <v>1.3</v>
      </c>
      <c r="BI14" s="174">
        <v>2</v>
      </c>
      <c r="BJ14" s="174">
        <v>6.0100000000000001E-2</v>
      </c>
      <c r="BK14" s="174">
        <v>7.0800000000000002E-2</v>
      </c>
      <c r="BL14" s="174">
        <v>7.7899999999999997E-2</v>
      </c>
      <c r="BM14" s="174">
        <v>8.5000000000000006E-2</v>
      </c>
      <c r="BN14" s="174">
        <v>9.5699999999999993E-2</v>
      </c>
      <c r="BO14" s="174">
        <v>31</v>
      </c>
      <c r="BP14" s="174">
        <v>38</v>
      </c>
      <c r="BQ14" s="174">
        <v>52</v>
      </c>
      <c r="BR14" s="174">
        <v>71</v>
      </c>
      <c r="BS14" s="174">
        <v>127</v>
      </c>
      <c r="BT14" s="174"/>
      <c r="BU14" s="174"/>
      <c r="BV14" s="174"/>
      <c r="BW14" s="174"/>
      <c r="BX14" s="174"/>
      <c r="BY14" s="174"/>
      <c r="BZ14" s="174">
        <v>35</v>
      </c>
      <c r="CA14" s="174">
        <v>35</v>
      </c>
      <c r="CB14" s="174">
        <v>36</v>
      </c>
      <c r="CC14" s="174">
        <v>36</v>
      </c>
      <c r="CD14" s="174">
        <v>52</v>
      </c>
      <c r="CE14" s="174">
        <v>8.5</v>
      </c>
      <c r="CF14" s="174">
        <v>22.6</v>
      </c>
      <c r="CG14" s="174">
        <v>2.2999999999999998</v>
      </c>
      <c r="CH14" s="175">
        <v>2.0038857557683548E-9</v>
      </c>
    </row>
    <row r="15" spans="1:86" x14ac:dyDescent="0.3">
      <c r="A15" s="152" t="s">
        <v>42</v>
      </c>
      <c r="B15" s="185">
        <v>207000000</v>
      </c>
      <c r="C15" s="160" t="s">
        <v>396</v>
      </c>
      <c r="I15" s="152" t="s">
        <v>540</v>
      </c>
      <c r="J15" s="167">
        <v>10</v>
      </c>
      <c r="K15" s="168">
        <v>-10.6</v>
      </c>
      <c r="L15" s="169" t="s">
        <v>545</v>
      </c>
      <c r="M15" s="67" t="s">
        <v>57</v>
      </c>
      <c r="N15" s="167">
        <v>9.8999999999999986</v>
      </c>
      <c r="O15" s="170">
        <v>0</v>
      </c>
      <c r="P15" s="170">
        <v>0</v>
      </c>
      <c r="Q15" s="167">
        <v>30</v>
      </c>
      <c r="R15" s="167">
        <v>25</v>
      </c>
      <c r="S15" s="167">
        <v>1.2</v>
      </c>
      <c r="T15" s="167">
        <v>0</v>
      </c>
      <c r="U15" s="171">
        <v>0</v>
      </c>
      <c r="V15" s="171">
        <v>0</v>
      </c>
      <c r="W15" s="167">
        <v>0</v>
      </c>
      <c r="X15" s="167">
        <v>17600</v>
      </c>
      <c r="Y15" s="167">
        <v>0</v>
      </c>
      <c r="Z15" s="167">
        <v>80.999999999999972</v>
      </c>
      <c r="AA15" s="167">
        <v>1</v>
      </c>
      <c r="AB15" s="167">
        <v>4800</v>
      </c>
      <c r="AC15" s="170">
        <v>161000</v>
      </c>
      <c r="AD15" s="172">
        <v>79999.999999999869</v>
      </c>
      <c r="AE15" s="170">
        <v>0.3</v>
      </c>
      <c r="AF15" s="170">
        <v>0</v>
      </c>
      <c r="AG15" s="170">
        <v>0</v>
      </c>
      <c r="AH15" s="170">
        <v>0</v>
      </c>
      <c r="AI15" s="170">
        <v>0</v>
      </c>
      <c r="AJ15" s="167">
        <v>20.000000000000007</v>
      </c>
      <c r="AK15" s="167">
        <v>1</v>
      </c>
      <c r="AL15" s="167">
        <v>1</v>
      </c>
      <c r="AM15" s="167">
        <v>1</v>
      </c>
      <c r="AN15" s="167">
        <v>1</v>
      </c>
      <c r="AO15" s="167">
        <v>1</v>
      </c>
      <c r="AP15" s="167">
        <v>1</v>
      </c>
      <c r="AQ15" s="167">
        <v>0</v>
      </c>
      <c r="AR15" s="167">
        <v>67</v>
      </c>
      <c r="AS15" s="173">
        <v>0.63793100000000003</v>
      </c>
      <c r="AT15" s="152" t="s">
        <v>535</v>
      </c>
      <c r="AU15" s="152">
        <v>9.1999999999999993</v>
      </c>
      <c r="AV15" s="152">
        <v>0.41</v>
      </c>
      <c r="AW15" s="174">
        <v>3.4</v>
      </c>
      <c r="AX15" s="174" t="s">
        <v>544</v>
      </c>
      <c r="AY15" s="174">
        <v>33</v>
      </c>
      <c r="AZ15" s="174">
        <v>18.899999999999999</v>
      </c>
      <c r="BA15" s="174">
        <v>24</v>
      </c>
      <c r="BB15" s="174">
        <v>38</v>
      </c>
      <c r="BC15" s="174">
        <v>4</v>
      </c>
      <c r="BD15" s="174">
        <v>1.9</v>
      </c>
      <c r="BE15" s="174">
        <v>1.9</v>
      </c>
      <c r="BF15" s="174">
        <v>2.2000000000000002</v>
      </c>
      <c r="BG15" s="174">
        <v>2.4</v>
      </c>
      <c r="BH15" s="174">
        <v>2.7</v>
      </c>
      <c r="BI15" s="174">
        <v>3.4</v>
      </c>
      <c r="BJ15" s="174">
        <v>8.1199999999999994E-2</v>
      </c>
      <c r="BK15" s="174">
        <v>9.1899999999999996E-2</v>
      </c>
      <c r="BL15" s="174">
        <v>9.9000000000000005E-2</v>
      </c>
      <c r="BM15" s="174">
        <v>0.1062</v>
      </c>
      <c r="BN15" s="174">
        <v>0.1168</v>
      </c>
      <c r="BO15" s="174">
        <v>93</v>
      </c>
      <c r="BP15" s="174">
        <v>116</v>
      </c>
      <c r="BQ15" s="174">
        <v>130</v>
      </c>
      <c r="BR15" s="174">
        <v>149</v>
      </c>
      <c r="BS15" s="174">
        <v>205</v>
      </c>
      <c r="BT15" s="174"/>
      <c r="BU15" s="174"/>
      <c r="BV15" s="174"/>
      <c r="BW15" s="174"/>
      <c r="BX15" s="174"/>
      <c r="BY15" s="174"/>
      <c r="BZ15" s="174">
        <v>38</v>
      </c>
      <c r="CA15" s="174">
        <v>38</v>
      </c>
      <c r="CB15" s="174">
        <v>47</v>
      </c>
      <c r="CC15" s="174">
        <v>57</v>
      </c>
      <c r="CD15" s="174">
        <v>82</v>
      </c>
      <c r="CE15" s="174">
        <v>8.5</v>
      </c>
      <c r="CF15" s="174">
        <v>22.6</v>
      </c>
      <c r="CG15" s="174">
        <v>2.2999999999999998</v>
      </c>
      <c r="CH15" s="175">
        <v>2.0038857557683548E-9</v>
      </c>
    </row>
    <row r="16" spans="1:86" x14ac:dyDescent="0.3">
      <c r="A16" s="152" t="s">
        <v>43</v>
      </c>
      <c r="B16" s="185">
        <v>79000000</v>
      </c>
      <c r="C16" s="160" t="s">
        <v>396</v>
      </c>
      <c r="D16" s="186">
        <v>11640.460886670813</v>
      </c>
      <c r="E16" s="187"/>
      <c r="I16" s="152" t="s">
        <v>540</v>
      </c>
      <c r="J16" s="167">
        <v>11</v>
      </c>
      <c r="K16" s="168">
        <v>-11.3</v>
      </c>
      <c r="L16" s="169" t="s">
        <v>546</v>
      </c>
      <c r="M16" s="67" t="s">
        <v>57</v>
      </c>
      <c r="N16" s="167">
        <v>9.8999999999999986</v>
      </c>
      <c r="O16" s="170">
        <v>0</v>
      </c>
      <c r="P16" s="170">
        <v>0</v>
      </c>
      <c r="Q16" s="167">
        <v>31</v>
      </c>
      <c r="R16" s="167">
        <v>26</v>
      </c>
      <c r="S16" s="167">
        <v>1.3</v>
      </c>
      <c r="T16" s="167">
        <v>0</v>
      </c>
      <c r="U16" s="171">
        <v>0</v>
      </c>
      <c r="V16" s="171">
        <v>0</v>
      </c>
      <c r="W16" s="167">
        <v>0</v>
      </c>
      <c r="X16" s="167">
        <v>24300</v>
      </c>
      <c r="Y16" s="167">
        <v>0</v>
      </c>
      <c r="Z16" s="167">
        <v>83.999999999999972</v>
      </c>
      <c r="AA16" s="167">
        <v>1</v>
      </c>
      <c r="AB16" s="167">
        <v>5760</v>
      </c>
      <c r="AC16" s="170">
        <v>218000</v>
      </c>
      <c r="AD16" s="172">
        <v>-23333.333333333372</v>
      </c>
      <c r="AE16" s="170">
        <v>0.3</v>
      </c>
      <c r="AF16" s="170">
        <v>0</v>
      </c>
      <c r="AG16" s="170">
        <v>0</v>
      </c>
      <c r="AH16" s="170">
        <v>0</v>
      </c>
      <c r="AI16" s="170">
        <v>0</v>
      </c>
      <c r="AJ16" s="167">
        <v>24.000000000000007</v>
      </c>
      <c r="AK16" s="167">
        <v>1</v>
      </c>
      <c r="AL16" s="167">
        <v>1</v>
      </c>
      <c r="AM16" s="167">
        <v>1</v>
      </c>
      <c r="AN16" s="167">
        <v>1</v>
      </c>
      <c r="AO16" s="167">
        <v>1</v>
      </c>
      <c r="AP16" s="167">
        <v>1</v>
      </c>
      <c r="AQ16" s="167">
        <v>0</v>
      </c>
      <c r="AR16" s="167">
        <v>75</v>
      </c>
      <c r="AS16" s="173">
        <v>0.63793100000000003</v>
      </c>
      <c r="AT16" s="152" t="s">
        <v>535</v>
      </c>
      <c r="AU16" s="152">
        <v>9.1999999999999993</v>
      </c>
      <c r="AV16" s="152">
        <v>0.41</v>
      </c>
      <c r="AW16" s="188">
        <v>3.4</v>
      </c>
      <c r="AX16" s="188" t="s">
        <v>540</v>
      </c>
      <c r="AY16" s="188">
        <v>23</v>
      </c>
      <c r="AZ16" s="188">
        <v>19.899999999999999</v>
      </c>
      <c r="BA16" s="188"/>
      <c r="BB16" s="188">
        <v>22</v>
      </c>
      <c r="BC16" s="188"/>
      <c r="BD16" s="188"/>
      <c r="BE16" s="188">
        <v>4</v>
      </c>
      <c r="BF16" s="188">
        <v>5.4</v>
      </c>
      <c r="BG16" s="188">
        <v>6.3</v>
      </c>
      <c r="BH16" s="188">
        <v>8.8000000000000007</v>
      </c>
      <c r="BI16" s="188">
        <v>10.4</v>
      </c>
      <c r="BJ16" s="188">
        <v>2.5399999999999999E-2</v>
      </c>
      <c r="BK16" s="188">
        <v>3.44E-2</v>
      </c>
      <c r="BL16" s="188">
        <v>4.0399999999999998E-2</v>
      </c>
      <c r="BM16" s="188">
        <v>5.57E-2</v>
      </c>
      <c r="BN16" s="188">
        <v>6.6299999999999998E-2</v>
      </c>
      <c r="BO16" s="188"/>
      <c r="BP16" s="188"/>
      <c r="BQ16" s="188"/>
      <c r="BR16" s="188"/>
      <c r="BS16" s="188"/>
      <c r="BT16" s="188">
        <v>63</v>
      </c>
      <c r="BU16" s="188">
        <v>29</v>
      </c>
      <c r="BV16" s="188">
        <v>30</v>
      </c>
      <c r="BW16" s="188">
        <v>34</v>
      </c>
      <c r="BX16" s="188">
        <v>38</v>
      </c>
      <c r="BY16" s="188">
        <v>44</v>
      </c>
      <c r="BZ16" s="188">
        <v>33</v>
      </c>
      <c r="CA16" s="188">
        <v>38</v>
      </c>
      <c r="CB16" s="188">
        <v>87</v>
      </c>
      <c r="CC16" s="188">
        <v>137</v>
      </c>
      <c r="CD16" s="188">
        <v>247</v>
      </c>
      <c r="CE16" s="188">
        <v>12.9</v>
      </c>
      <c r="CF16" s="188">
        <v>7.2</v>
      </c>
      <c r="CG16" s="188">
        <v>1.3</v>
      </c>
      <c r="CH16" s="189">
        <v>4.9483834258669668E-5</v>
      </c>
    </row>
    <row r="17" spans="1:86" s="178" customFormat="1" x14ac:dyDescent="0.3">
      <c r="A17" s="152" t="s">
        <v>74</v>
      </c>
      <c r="B17" s="162">
        <v>0.53</v>
      </c>
      <c r="C17" s="160"/>
      <c r="D17" s="190">
        <v>-552772.83884647035</v>
      </c>
      <c r="E17" s="164"/>
      <c r="I17" s="152" t="s">
        <v>540</v>
      </c>
      <c r="J17" s="167">
        <v>12</v>
      </c>
      <c r="K17" s="168">
        <v>-12.2</v>
      </c>
      <c r="L17" s="169" t="s">
        <v>547</v>
      </c>
      <c r="M17" s="67" t="s">
        <v>57</v>
      </c>
      <c r="N17" s="167">
        <v>9.8999999999999986</v>
      </c>
      <c r="O17" s="170">
        <v>0</v>
      </c>
      <c r="P17" s="170">
        <v>0</v>
      </c>
      <c r="Q17" s="167">
        <v>31</v>
      </c>
      <c r="R17" s="167">
        <v>26</v>
      </c>
      <c r="S17" s="167">
        <v>1.2</v>
      </c>
      <c r="T17" s="167">
        <v>0</v>
      </c>
      <c r="U17" s="171">
        <v>0</v>
      </c>
      <c r="V17" s="171">
        <v>0</v>
      </c>
      <c r="W17" s="167">
        <v>0</v>
      </c>
      <c r="X17" s="167">
        <v>23700</v>
      </c>
      <c r="Y17" s="167">
        <v>0</v>
      </c>
      <c r="Z17" s="167">
        <v>83.999999999999972</v>
      </c>
      <c r="AA17" s="167">
        <v>1</v>
      </c>
      <c r="AB17" s="167">
        <v>5760</v>
      </c>
      <c r="AC17" s="170">
        <v>192000</v>
      </c>
      <c r="AD17" s="172">
        <v>36153.846153846134</v>
      </c>
      <c r="AE17" s="170">
        <v>0.3</v>
      </c>
      <c r="AF17" s="170">
        <v>0</v>
      </c>
      <c r="AG17" s="170">
        <v>0</v>
      </c>
      <c r="AH17" s="170">
        <v>0</v>
      </c>
      <c r="AI17" s="170">
        <v>0</v>
      </c>
      <c r="AJ17" s="167">
        <v>24.000000000000007</v>
      </c>
      <c r="AK17" s="167">
        <v>1</v>
      </c>
      <c r="AL17" s="167">
        <v>1</v>
      </c>
      <c r="AM17" s="167">
        <v>1</v>
      </c>
      <c r="AN17" s="167">
        <v>1</v>
      </c>
      <c r="AO17" s="167">
        <v>1</v>
      </c>
      <c r="AP17" s="167">
        <v>1</v>
      </c>
      <c r="AQ17" s="167">
        <v>0</v>
      </c>
      <c r="AR17" s="167">
        <v>74</v>
      </c>
      <c r="AS17" s="173">
        <v>0.63793100000000003</v>
      </c>
      <c r="AT17" s="178" t="s">
        <v>535</v>
      </c>
      <c r="AU17" s="152">
        <v>9.1999999999999993</v>
      </c>
      <c r="AV17" s="178">
        <v>0.41</v>
      </c>
      <c r="AW17" s="188">
        <v>10</v>
      </c>
      <c r="AX17" s="188" t="s">
        <v>540</v>
      </c>
      <c r="AY17" s="188">
        <v>23</v>
      </c>
      <c r="AZ17" s="188">
        <v>19.899999999999999</v>
      </c>
      <c r="BA17" s="188"/>
      <c r="BB17" s="188">
        <v>22</v>
      </c>
      <c r="BC17" s="188"/>
      <c r="BD17" s="188"/>
      <c r="BE17" s="188">
        <v>11.3</v>
      </c>
      <c r="BF17" s="188">
        <v>12.7</v>
      </c>
      <c r="BG17" s="188">
        <v>13.7</v>
      </c>
      <c r="BH17" s="188">
        <v>17.600000000000001</v>
      </c>
      <c r="BI17" s="188">
        <v>19.2</v>
      </c>
      <c r="BJ17" s="188">
        <v>5.2900000000000003E-2</v>
      </c>
      <c r="BK17" s="188">
        <v>6.1800000000000001E-2</v>
      </c>
      <c r="BL17" s="188">
        <v>6.7799999999999999E-2</v>
      </c>
      <c r="BM17" s="188">
        <v>8.8599999999999998E-2</v>
      </c>
      <c r="BN17" s="188">
        <v>9.9199999999999997E-2</v>
      </c>
      <c r="BO17" s="188"/>
      <c r="BP17" s="188"/>
      <c r="BQ17" s="188"/>
      <c r="BR17" s="188"/>
      <c r="BS17" s="188"/>
      <c r="BT17" s="188">
        <v>63</v>
      </c>
      <c r="BU17" s="188">
        <v>29</v>
      </c>
      <c r="BV17" s="188">
        <v>30</v>
      </c>
      <c r="BW17" s="188">
        <v>34</v>
      </c>
      <c r="BX17" s="188">
        <v>38</v>
      </c>
      <c r="BY17" s="188">
        <v>44</v>
      </c>
      <c r="BZ17" s="188">
        <v>127</v>
      </c>
      <c r="CA17" s="188">
        <v>132</v>
      </c>
      <c r="CB17" s="188">
        <v>182</v>
      </c>
      <c r="CC17" s="188">
        <v>231</v>
      </c>
      <c r="CD17" s="188">
        <v>341</v>
      </c>
      <c r="CE17" s="188">
        <v>12.9</v>
      </c>
      <c r="CF17" s="188">
        <v>7.2</v>
      </c>
      <c r="CG17" s="188">
        <v>1.3</v>
      </c>
      <c r="CH17" s="189">
        <v>4.9483834258669668E-5</v>
      </c>
    </row>
    <row r="18" spans="1:86" x14ac:dyDescent="0.3">
      <c r="A18" s="153" t="s">
        <v>25</v>
      </c>
      <c r="B18" s="153" t="s">
        <v>26</v>
      </c>
      <c r="C18" s="153" t="s">
        <v>27</v>
      </c>
      <c r="D18" s="191">
        <v>29121.297723129272</v>
      </c>
      <c r="E18" s="192"/>
      <c r="I18" s="152" t="s">
        <v>540</v>
      </c>
      <c r="J18" s="167">
        <v>13</v>
      </c>
      <c r="K18" s="168">
        <v>-13.5</v>
      </c>
      <c r="L18" s="169" t="s">
        <v>548</v>
      </c>
      <c r="M18" s="67" t="s">
        <v>57</v>
      </c>
      <c r="N18" s="167">
        <v>9.8999999999999986</v>
      </c>
      <c r="O18" s="170">
        <v>0</v>
      </c>
      <c r="P18" s="170">
        <v>0</v>
      </c>
      <c r="Q18" s="167">
        <v>31</v>
      </c>
      <c r="R18" s="167">
        <v>26</v>
      </c>
      <c r="S18" s="167">
        <v>1.3</v>
      </c>
      <c r="T18" s="167">
        <v>0</v>
      </c>
      <c r="U18" s="171">
        <v>0</v>
      </c>
      <c r="V18" s="171">
        <v>0</v>
      </c>
      <c r="W18" s="167">
        <v>0</v>
      </c>
      <c r="X18" s="167">
        <v>27800</v>
      </c>
      <c r="Y18" s="167">
        <v>0</v>
      </c>
      <c r="Z18" s="167">
        <v>83.999999999999972</v>
      </c>
      <c r="AA18" s="167">
        <v>1</v>
      </c>
      <c r="AB18" s="167">
        <v>5760</v>
      </c>
      <c r="AC18" s="170">
        <v>236000</v>
      </c>
      <c r="AD18" s="172">
        <v>-11000</v>
      </c>
      <c r="AE18" s="170">
        <v>0.3</v>
      </c>
      <c r="AF18" s="170">
        <v>0</v>
      </c>
      <c r="AG18" s="170">
        <v>0</v>
      </c>
      <c r="AH18" s="170">
        <v>0</v>
      </c>
      <c r="AI18" s="170">
        <v>0</v>
      </c>
      <c r="AJ18" s="167">
        <v>24.000000000000007</v>
      </c>
      <c r="AK18" s="167">
        <v>1</v>
      </c>
      <c r="AL18" s="167">
        <v>1</v>
      </c>
      <c r="AM18" s="167">
        <v>1</v>
      </c>
      <c r="AN18" s="167">
        <v>1</v>
      </c>
      <c r="AO18" s="167">
        <v>1</v>
      </c>
      <c r="AP18" s="167">
        <v>1</v>
      </c>
      <c r="AQ18" s="167">
        <v>0</v>
      </c>
      <c r="AR18" s="167">
        <v>78</v>
      </c>
      <c r="AS18" s="173">
        <v>0.63793100000000003</v>
      </c>
      <c r="AT18" s="152" t="s">
        <v>535</v>
      </c>
      <c r="AU18" s="152">
        <v>9.1999999999999993</v>
      </c>
      <c r="AV18" s="152">
        <v>0.41</v>
      </c>
      <c r="AW18" s="174">
        <v>10</v>
      </c>
      <c r="AX18" s="174" t="s">
        <v>540</v>
      </c>
      <c r="AY18" s="174">
        <v>23</v>
      </c>
      <c r="AZ18" s="174">
        <v>19.899999999999999</v>
      </c>
      <c r="BA18" s="174"/>
      <c r="BB18" s="174">
        <v>22</v>
      </c>
      <c r="BC18" s="174"/>
      <c r="BD18" s="174"/>
      <c r="BE18" s="174">
        <v>11</v>
      </c>
      <c r="BF18" s="174">
        <v>12.2</v>
      </c>
      <c r="BG18" s="174">
        <v>13</v>
      </c>
      <c r="BH18" s="174">
        <v>16.600000000000001</v>
      </c>
      <c r="BI18" s="174">
        <v>18</v>
      </c>
      <c r="BJ18" s="174">
        <v>5.16E-2</v>
      </c>
      <c r="BK18" s="174">
        <v>5.79E-2</v>
      </c>
      <c r="BL18" s="174">
        <v>6.2100000000000002E-2</v>
      </c>
      <c r="BM18" s="174">
        <v>7.9600000000000004E-2</v>
      </c>
      <c r="BN18" s="174">
        <v>8.7099999999999997E-2</v>
      </c>
      <c r="BO18" s="174"/>
      <c r="BP18" s="174"/>
      <c r="BQ18" s="174"/>
      <c r="BR18" s="174"/>
      <c r="BS18" s="174"/>
      <c r="BT18" s="174">
        <v>57</v>
      </c>
      <c r="BU18" s="174">
        <v>29</v>
      </c>
      <c r="BV18" s="174">
        <v>29</v>
      </c>
      <c r="BW18" s="174">
        <v>33</v>
      </c>
      <c r="BX18" s="174">
        <v>36</v>
      </c>
      <c r="BY18" s="174">
        <v>43</v>
      </c>
      <c r="BZ18" s="174">
        <v>110</v>
      </c>
      <c r="CA18" s="174">
        <v>117</v>
      </c>
      <c r="CB18" s="174">
        <v>177</v>
      </c>
      <c r="CC18" s="174">
        <v>238</v>
      </c>
      <c r="CD18" s="174">
        <v>374</v>
      </c>
      <c r="CE18" s="174">
        <v>11.7</v>
      </c>
      <c r="CF18" s="174">
        <v>4.5</v>
      </c>
      <c r="CG18" s="174">
        <v>1</v>
      </c>
      <c r="CH18" s="175">
        <v>1.2184227830774831E-5</v>
      </c>
    </row>
    <row r="19" spans="1:86" x14ac:dyDescent="0.3">
      <c r="A19" s="164" t="s">
        <v>36</v>
      </c>
      <c r="B19" s="164" t="s">
        <v>29</v>
      </c>
      <c r="C19" s="164" t="s">
        <v>53</v>
      </c>
      <c r="D19" s="161">
        <v>0</v>
      </c>
      <c r="E19" s="153"/>
      <c r="I19" s="152" t="s">
        <v>557</v>
      </c>
      <c r="J19" s="167">
        <v>14</v>
      </c>
      <c r="K19" s="168">
        <v>-14.5</v>
      </c>
      <c r="L19" s="169" t="s">
        <v>549</v>
      </c>
      <c r="M19" s="67" t="s">
        <v>58</v>
      </c>
      <c r="N19" s="167">
        <v>8.8999999999999986</v>
      </c>
      <c r="O19" s="170">
        <v>159</v>
      </c>
      <c r="P19" s="170">
        <v>5.2</v>
      </c>
      <c r="Q19" s="167">
        <v>0</v>
      </c>
      <c r="R19" s="167" t="e">
        <v>#N/A</v>
      </c>
      <c r="S19" s="167">
        <v>1.2</v>
      </c>
      <c r="T19" s="167">
        <v>0</v>
      </c>
      <c r="U19" s="171">
        <v>1.9E-2</v>
      </c>
      <c r="V19" s="171">
        <v>0</v>
      </c>
      <c r="W19" s="167">
        <v>0.5</v>
      </c>
      <c r="X19" s="167">
        <v>15600</v>
      </c>
      <c r="Y19" s="167">
        <v>0</v>
      </c>
      <c r="Z19" s="167" t="e">
        <v>#N/A</v>
      </c>
      <c r="AA19" s="167">
        <v>1</v>
      </c>
      <c r="AB19" s="167" t="e">
        <v>#N/A</v>
      </c>
      <c r="AC19" s="170">
        <v>78000</v>
      </c>
      <c r="AD19" s="172">
        <v>2800</v>
      </c>
      <c r="AE19" s="170">
        <v>0.3</v>
      </c>
      <c r="AF19" s="170">
        <v>0</v>
      </c>
      <c r="AG19" s="170">
        <v>0</v>
      </c>
      <c r="AH19" s="170">
        <v>0</v>
      </c>
      <c r="AI19" s="170">
        <v>0</v>
      </c>
      <c r="AJ19" s="167" t="e">
        <v>#N/A</v>
      </c>
      <c r="AK19" s="167">
        <v>1</v>
      </c>
      <c r="AL19" s="167">
        <v>1</v>
      </c>
      <c r="AM19" s="167">
        <v>1</v>
      </c>
      <c r="AN19" s="167">
        <v>1</v>
      </c>
      <c r="AO19" s="167">
        <v>1</v>
      </c>
      <c r="AP19" s="167">
        <v>1</v>
      </c>
      <c r="AQ19" s="167">
        <v>0</v>
      </c>
      <c r="AR19" s="167">
        <v>0</v>
      </c>
      <c r="AS19" s="173">
        <v>1</v>
      </c>
      <c r="AT19" s="152" t="s">
        <v>543</v>
      </c>
      <c r="AU19" s="152">
        <v>9.1999999999999993</v>
      </c>
      <c r="AV19" s="152">
        <v>0.41</v>
      </c>
      <c r="AW19" s="174">
        <v>10.6</v>
      </c>
      <c r="AX19" s="174" t="s">
        <v>540</v>
      </c>
      <c r="AY19" s="174">
        <v>23</v>
      </c>
      <c r="AZ19" s="174">
        <v>19.899999999999999</v>
      </c>
      <c r="BA19" s="174"/>
      <c r="BB19" s="174">
        <v>22</v>
      </c>
      <c r="BC19" s="174"/>
      <c r="BD19" s="174"/>
      <c r="BE19" s="174">
        <v>4.5</v>
      </c>
      <c r="BF19" s="174">
        <v>5.7</v>
      </c>
      <c r="BG19" s="174">
        <v>6.5</v>
      </c>
      <c r="BH19" s="174">
        <v>8.8000000000000007</v>
      </c>
      <c r="BI19" s="174">
        <v>10.199999999999999</v>
      </c>
      <c r="BJ19" s="174">
        <v>3.2099999999999997E-2</v>
      </c>
      <c r="BK19" s="174">
        <v>3.8300000000000001E-2</v>
      </c>
      <c r="BL19" s="174">
        <v>4.2500000000000003E-2</v>
      </c>
      <c r="BM19" s="174">
        <v>5.6099999999999997E-2</v>
      </c>
      <c r="BN19" s="174">
        <v>6.3600000000000004E-2</v>
      </c>
      <c r="BO19" s="174"/>
      <c r="BP19" s="174"/>
      <c r="BQ19" s="174"/>
      <c r="BR19" s="174"/>
      <c r="BS19" s="174"/>
      <c r="BT19" s="174">
        <v>57</v>
      </c>
      <c r="BU19" s="174">
        <v>29</v>
      </c>
      <c r="BV19" s="174">
        <v>29</v>
      </c>
      <c r="BW19" s="174">
        <v>33</v>
      </c>
      <c r="BX19" s="174">
        <v>36</v>
      </c>
      <c r="BY19" s="174">
        <v>43</v>
      </c>
      <c r="BZ19" s="174">
        <v>88</v>
      </c>
      <c r="CA19" s="174">
        <v>95</v>
      </c>
      <c r="CB19" s="174">
        <v>155</v>
      </c>
      <c r="CC19" s="174">
        <v>216</v>
      </c>
      <c r="CD19" s="174">
        <v>352</v>
      </c>
      <c r="CE19" s="174">
        <v>11.7</v>
      </c>
      <c r="CF19" s="174">
        <v>4.5</v>
      </c>
      <c r="CG19" s="174">
        <v>1</v>
      </c>
      <c r="CH19" s="175">
        <v>1.2184227830774831E-5</v>
      </c>
    </row>
    <row r="20" spans="1:86" x14ac:dyDescent="0.3">
      <c r="A20" s="192">
        <v>1</v>
      </c>
      <c r="B20" s="192">
        <v>0</v>
      </c>
      <c r="C20" s="193">
        <v>0.09</v>
      </c>
      <c r="D20" s="194">
        <v>2891.7203797290813</v>
      </c>
      <c r="I20" s="152" t="s">
        <v>557</v>
      </c>
      <c r="J20" s="167">
        <v>15</v>
      </c>
      <c r="K20" s="168">
        <v>-27</v>
      </c>
      <c r="L20" s="169" t="s">
        <v>550</v>
      </c>
      <c r="M20" s="67" t="s">
        <v>58</v>
      </c>
      <c r="N20" s="167">
        <v>8.8999999999999986</v>
      </c>
      <c r="O20" s="170">
        <v>235</v>
      </c>
      <c r="P20" s="170">
        <v>18.2</v>
      </c>
      <c r="Q20" s="167">
        <v>0</v>
      </c>
      <c r="R20" s="167" t="e">
        <v>#N/A</v>
      </c>
      <c r="S20" s="167">
        <v>1.2</v>
      </c>
      <c r="T20" s="167">
        <v>0</v>
      </c>
      <c r="U20" s="171">
        <v>1.9E-2</v>
      </c>
      <c r="V20" s="171">
        <v>0</v>
      </c>
      <c r="W20" s="167">
        <v>0.5</v>
      </c>
      <c r="X20" s="167">
        <v>22800</v>
      </c>
      <c r="Y20" s="167">
        <v>0</v>
      </c>
      <c r="Z20" s="167" t="e">
        <v>#N/A</v>
      </c>
      <c r="AA20" s="167">
        <v>1</v>
      </c>
      <c r="AB20" s="167" t="e">
        <v>#N/A</v>
      </c>
      <c r="AC20" s="170">
        <v>120000</v>
      </c>
      <c r="AD20" s="172">
        <v>9000</v>
      </c>
      <c r="AE20" s="170">
        <v>0.3</v>
      </c>
      <c r="AF20" s="170">
        <v>0</v>
      </c>
      <c r="AG20" s="170">
        <v>0</v>
      </c>
      <c r="AH20" s="170">
        <v>0</v>
      </c>
      <c r="AI20" s="170">
        <v>0</v>
      </c>
      <c r="AJ20" s="167" t="e">
        <v>#N/A</v>
      </c>
      <c r="AK20" s="167">
        <v>1</v>
      </c>
      <c r="AL20" s="167">
        <v>1</v>
      </c>
      <c r="AM20" s="167">
        <v>1</v>
      </c>
      <c r="AN20" s="167">
        <v>1</v>
      </c>
      <c r="AO20" s="167">
        <v>1</v>
      </c>
      <c r="AP20" s="167">
        <v>1</v>
      </c>
      <c r="AQ20" s="167">
        <v>0</v>
      </c>
      <c r="AR20" s="167">
        <v>0</v>
      </c>
      <c r="AS20" s="173">
        <v>1</v>
      </c>
      <c r="AT20" s="152" t="s">
        <v>543</v>
      </c>
      <c r="AU20" s="152">
        <v>9.1999999999999993</v>
      </c>
      <c r="AV20" s="152">
        <v>0.41</v>
      </c>
      <c r="AW20" s="174">
        <v>10.6</v>
      </c>
      <c r="AX20" s="174" t="s">
        <v>540</v>
      </c>
      <c r="AY20" s="174">
        <v>23</v>
      </c>
      <c r="AZ20" s="174">
        <v>19.899999999999999</v>
      </c>
      <c r="BA20" s="174"/>
      <c r="BB20" s="174">
        <v>22</v>
      </c>
      <c r="BC20" s="174"/>
      <c r="BD20" s="174"/>
      <c r="BE20" s="174">
        <v>4.2</v>
      </c>
      <c r="BF20" s="174">
        <v>5.9</v>
      </c>
      <c r="BG20" s="174">
        <v>7.2</v>
      </c>
      <c r="BH20" s="174">
        <v>10.1</v>
      </c>
      <c r="BI20" s="174">
        <v>12.2</v>
      </c>
      <c r="BJ20" s="174">
        <v>2.9499999999999998E-2</v>
      </c>
      <c r="BK20" s="174">
        <v>3.8600000000000002E-2</v>
      </c>
      <c r="BL20" s="174">
        <v>4.4699999999999997E-2</v>
      </c>
      <c r="BM20" s="174">
        <v>6.0999999999999999E-2</v>
      </c>
      <c r="BN20" s="174">
        <v>7.1900000000000006E-2</v>
      </c>
      <c r="BO20" s="174"/>
      <c r="BP20" s="174"/>
      <c r="BQ20" s="174"/>
      <c r="BR20" s="174"/>
      <c r="BS20" s="174"/>
      <c r="BT20" s="174">
        <v>67</v>
      </c>
      <c r="BU20" s="174">
        <v>29</v>
      </c>
      <c r="BV20" s="174">
        <v>30</v>
      </c>
      <c r="BW20" s="174">
        <v>34</v>
      </c>
      <c r="BX20" s="174">
        <v>38</v>
      </c>
      <c r="BY20" s="174">
        <v>45</v>
      </c>
      <c r="BZ20" s="174">
        <v>85</v>
      </c>
      <c r="CA20" s="174">
        <v>92</v>
      </c>
      <c r="CB20" s="174">
        <v>161</v>
      </c>
      <c r="CC20" s="174">
        <v>230</v>
      </c>
      <c r="CD20" s="174">
        <v>385</v>
      </c>
      <c r="CE20" s="174">
        <v>17.600000000000001</v>
      </c>
      <c r="CF20" s="174">
        <v>5.8</v>
      </c>
      <c r="CG20" s="174">
        <v>1.2</v>
      </c>
      <c r="CH20" s="175">
        <v>2.843075248671839E-5</v>
      </c>
    </row>
    <row r="21" spans="1:86" x14ac:dyDescent="0.3">
      <c r="A21" s="192"/>
      <c r="B21" s="192"/>
      <c r="D21" s="161"/>
      <c r="I21" s="152" t="s">
        <v>557</v>
      </c>
      <c r="J21" s="167">
        <v>16</v>
      </c>
      <c r="K21" s="168">
        <v>-32</v>
      </c>
      <c r="L21" s="169" t="s">
        <v>551</v>
      </c>
      <c r="M21" s="67" t="s">
        <v>58</v>
      </c>
      <c r="N21" s="167">
        <v>8.5</v>
      </c>
      <c r="O21" s="170">
        <v>506</v>
      </c>
      <c r="P21" s="170">
        <v>-118.46153846153872</v>
      </c>
      <c r="Q21" s="167">
        <v>0</v>
      </c>
      <c r="R21" s="167" t="e">
        <v>#N/A</v>
      </c>
      <c r="S21" s="167">
        <v>1.3</v>
      </c>
      <c r="T21" s="167">
        <v>0</v>
      </c>
      <c r="U21" s="171">
        <v>1.9E-2</v>
      </c>
      <c r="V21" s="171">
        <v>0</v>
      </c>
      <c r="W21" s="167">
        <v>0.25</v>
      </c>
      <c r="X21" s="167">
        <v>35300</v>
      </c>
      <c r="Y21" s="167">
        <v>0</v>
      </c>
      <c r="Z21" s="167" t="e">
        <v>#N/A</v>
      </c>
      <c r="AA21" s="167">
        <v>1</v>
      </c>
      <c r="AB21" s="167" t="e">
        <v>#N/A</v>
      </c>
      <c r="AC21" s="170">
        <v>254000</v>
      </c>
      <c r="AD21" s="172">
        <v>-58461.538461538585</v>
      </c>
      <c r="AE21" s="170">
        <v>0.3</v>
      </c>
      <c r="AF21" s="170">
        <v>0</v>
      </c>
      <c r="AG21" s="170">
        <v>0</v>
      </c>
      <c r="AH21" s="170">
        <v>0</v>
      </c>
      <c r="AI21" s="170">
        <v>0</v>
      </c>
      <c r="AJ21" s="167" t="e">
        <v>#N/A</v>
      </c>
      <c r="AK21" s="167">
        <v>1</v>
      </c>
      <c r="AL21" s="167">
        <v>1</v>
      </c>
      <c r="AM21" s="167">
        <v>1</v>
      </c>
      <c r="AN21" s="167">
        <v>1</v>
      </c>
      <c r="AO21" s="167">
        <v>1</v>
      </c>
      <c r="AP21" s="167">
        <v>1</v>
      </c>
      <c r="AQ21" s="167">
        <v>0</v>
      </c>
      <c r="AR21" s="167">
        <v>0</v>
      </c>
      <c r="AS21" s="173">
        <v>1</v>
      </c>
      <c r="AT21" s="178" t="s">
        <v>543</v>
      </c>
      <c r="AU21" s="152">
        <v>9.1999999999999993</v>
      </c>
      <c r="AV21" s="152">
        <v>0.41</v>
      </c>
      <c r="AW21" s="174">
        <v>11.3</v>
      </c>
      <c r="AX21" s="174" t="s">
        <v>540</v>
      </c>
      <c r="AY21" s="174">
        <v>23</v>
      </c>
      <c r="AZ21" s="174">
        <v>19.899999999999999</v>
      </c>
      <c r="BA21" s="174"/>
      <c r="BB21" s="174">
        <v>22</v>
      </c>
      <c r="BC21" s="174"/>
      <c r="BD21" s="174"/>
      <c r="BE21" s="174">
        <v>19.2</v>
      </c>
      <c r="BF21" s="174">
        <v>21</v>
      </c>
      <c r="BG21" s="174">
        <v>22.2</v>
      </c>
      <c r="BH21" s="174">
        <v>28.1</v>
      </c>
      <c r="BI21" s="174">
        <v>30.2</v>
      </c>
      <c r="BJ21" s="174">
        <v>9.06E-2</v>
      </c>
      <c r="BK21" s="174">
        <v>9.9699999999999997E-2</v>
      </c>
      <c r="BL21" s="174">
        <v>0.10580000000000001</v>
      </c>
      <c r="BM21" s="174">
        <v>0.1343</v>
      </c>
      <c r="BN21" s="174">
        <v>0.1452</v>
      </c>
      <c r="BO21" s="174"/>
      <c r="BP21" s="174"/>
      <c r="BQ21" s="174"/>
      <c r="BR21" s="174"/>
      <c r="BS21" s="174"/>
      <c r="BT21" s="174">
        <v>67</v>
      </c>
      <c r="BU21" s="174">
        <v>29</v>
      </c>
      <c r="BV21" s="174">
        <v>30</v>
      </c>
      <c r="BW21" s="174">
        <v>34</v>
      </c>
      <c r="BX21" s="174">
        <v>38</v>
      </c>
      <c r="BY21" s="174">
        <v>45</v>
      </c>
      <c r="BZ21" s="174">
        <v>140</v>
      </c>
      <c r="CA21" s="174">
        <v>148</v>
      </c>
      <c r="CB21" s="174">
        <v>217</v>
      </c>
      <c r="CC21" s="174">
        <v>286</v>
      </c>
      <c r="CD21" s="174">
        <v>441</v>
      </c>
      <c r="CE21" s="174">
        <v>17.600000000000001</v>
      </c>
      <c r="CF21" s="174">
        <v>5.8</v>
      </c>
      <c r="CG21" s="174">
        <v>1.2</v>
      </c>
      <c r="CH21" s="175">
        <v>2.843075248671839E-5</v>
      </c>
    </row>
    <row r="22" spans="1:86" x14ac:dyDescent="0.3">
      <c r="A22" s="192"/>
      <c r="B22" s="192"/>
      <c r="D22" s="153"/>
      <c r="I22" s="152" t="s">
        <v>557</v>
      </c>
      <c r="J22" s="167">
        <v>17</v>
      </c>
      <c r="K22" s="168">
        <v>-33.299999999999997</v>
      </c>
      <c r="L22" s="169" t="s">
        <v>552</v>
      </c>
      <c r="M22" s="67" t="s">
        <v>58</v>
      </c>
      <c r="N22" s="167">
        <v>8.5</v>
      </c>
      <c r="O22" s="170">
        <v>327</v>
      </c>
      <c r="P22" s="170">
        <v>98.571428571428171</v>
      </c>
      <c r="Q22" s="167">
        <v>0</v>
      </c>
      <c r="R22" s="167" t="e">
        <v>#N/A</v>
      </c>
      <c r="S22" s="167">
        <v>1.2</v>
      </c>
      <c r="T22" s="167">
        <v>0</v>
      </c>
      <c r="U22" s="171">
        <v>1.9E-2</v>
      </c>
      <c r="V22" s="171">
        <v>0</v>
      </c>
      <c r="W22" s="167">
        <v>0.25</v>
      </c>
      <c r="X22" s="167">
        <v>28800</v>
      </c>
      <c r="Y22" s="167">
        <v>0</v>
      </c>
      <c r="Z22" s="167" t="e">
        <v>#N/A</v>
      </c>
      <c r="AA22" s="167">
        <v>1</v>
      </c>
      <c r="AB22" s="167" t="e">
        <v>#N/A</v>
      </c>
      <c r="AC22" s="170">
        <v>166000</v>
      </c>
      <c r="AD22" s="172">
        <v>48571.428571428376</v>
      </c>
      <c r="AE22" s="170">
        <v>0.3</v>
      </c>
      <c r="AF22" s="170">
        <v>0</v>
      </c>
      <c r="AG22" s="170">
        <v>0</v>
      </c>
      <c r="AH22" s="170">
        <v>0</v>
      </c>
      <c r="AI22" s="170">
        <v>0</v>
      </c>
      <c r="AJ22" s="167" t="e">
        <v>#N/A</v>
      </c>
      <c r="AK22" s="167">
        <v>1</v>
      </c>
      <c r="AL22" s="167">
        <v>1</v>
      </c>
      <c r="AM22" s="167">
        <v>1</v>
      </c>
      <c r="AN22" s="167">
        <v>1</v>
      </c>
      <c r="AO22" s="167">
        <v>1</v>
      </c>
      <c r="AP22" s="167">
        <v>1</v>
      </c>
      <c r="AQ22" s="167">
        <v>0</v>
      </c>
      <c r="AR22" s="167">
        <v>0</v>
      </c>
      <c r="AS22" s="173">
        <v>1</v>
      </c>
      <c r="AT22" s="152" t="s">
        <v>543</v>
      </c>
      <c r="AU22" s="152">
        <v>9.1999999999999993</v>
      </c>
      <c r="AV22" s="152">
        <v>0.41</v>
      </c>
      <c r="AW22" s="174">
        <v>11.3</v>
      </c>
      <c r="AX22" s="174" t="s">
        <v>540</v>
      </c>
      <c r="AY22" s="174">
        <v>23</v>
      </c>
      <c r="AZ22" s="174">
        <v>19.899999999999999</v>
      </c>
      <c r="BA22" s="174"/>
      <c r="BB22" s="174">
        <v>22</v>
      </c>
      <c r="BC22" s="174"/>
      <c r="BD22" s="174"/>
      <c r="BE22" s="174">
        <v>19.100000000000001</v>
      </c>
      <c r="BF22" s="174">
        <v>21.3</v>
      </c>
      <c r="BG22" s="174">
        <v>22.7</v>
      </c>
      <c r="BH22" s="174">
        <v>29.1</v>
      </c>
      <c r="BI22" s="174">
        <v>31.7</v>
      </c>
      <c r="BJ22" s="174">
        <v>7.1199999999999999E-2</v>
      </c>
      <c r="BK22" s="174">
        <v>8.0199999999999994E-2</v>
      </c>
      <c r="BL22" s="174">
        <v>8.6300000000000002E-2</v>
      </c>
      <c r="BM22" s="174">
        <v>0.1109</v>
      </c>
      <c r="BN22" s="174">
        <v>0.12180000000000001</v>
      </c>
      <c r="BO22" s="174"/>
      <c r="BP22" s="174"/>
      <c r="BQ22" s="174"/>
      <c r="BR22" s="174"/>
      <c r="BS22" s="174"/>
      <c r="BT22" s="174">
        <v>75</v>
      </c>
      <c r="BU22" s="174">
        <v>29</v>
      </c>
      <c r="BV22" s="174">
        <v>31</v>
      </c>
      <c r="BW22" s="174">
        <v>35</v>
      </c>
      <c r="BX22" s="174">
        <v>39</v>
      </c>
      <c r="BY22" s="174">
        <v>46</v>
      </c>
      <c r="BZ22" s="174">
        <v>135</v>
      </c>
      <c r="CA22" s="174">
        <v>142</v>
      </c>
      <c r="CB22" s="174">
        <v>218</v>
      </c>
      <c r="CC22" s="174">
        <v>294</v>
      </c>
      <c r="CD22" s="174">
        <v>464</v>
      </c>
      <c r="CE22" s="174">
        <v>24.3</v>
      </c>
      <c r="CF22" s="174">
        <v>7.1</v>
      </c>
      <c r="CG22" s="174">
        <v>1.3</v>
      </c>
      <c r="CH22" s="175">
        <v>9.7266068320518839E-5</v>
      </c>
    </row>
    <row r="23" spans="1:86" x14ac:dyDescent="0.3">
      <c r="A23" s="192"/>
      <c r="B23" s="192"/>
      <c r="D23" s="195">
        <v>15714.622197005599</v>
      </c>
      <c r="I23" s="152" t="s">
        <v>557</v>
      </c>
      <c r="J23" s="167">
        <v>18</v>
      </c>
      <c r="K23" s="168">
        <v>-34</v>
      </c>
      <c r="L23" s="169" t="s">
        <v>553</v>
      </c>
      <c r="M23" s="67" t="s">
        <v>58</v>
      </c>
      <c r="N23" s="167">
        <v>8.5</v>
      </c>
      <c r="O23" s="170">
        <v>502</v>
      </c>
      <c r="P23" s="170">
        <v>0</v>
      </c>
      <c r="Q23" s="167">
        <v>0</v>
      </c>
      <c r="R23" s="167" t="e">
        <v>#N/A</v>
      </c>
      <c r="S23" s="167">
        <v>1.4</v>
      </c>
      <c r="T23" s="167">
        <v>0</v>
      </c>
      <c r="U23" s="171">
        <v>1.9E-2</v>
      </c>
      <c r="V23" s="171">
        <v>0</v>
      </c>
      <c r="W23" s="167">
        <v>0.25</v>
      </c>
      <c r="X23" s="167">
        <v>40300</v>
      </c>
      <c r="Y23" s="167">
        <v>0</v>
      </c>
      <c r="Z23" s="167" t="e">
        <v>#N/A</v>
      </c>
      <c r="AA23" s="167">
        <v>1</v>
      </c>
      <c r="AB23" s="167" t="e">
        <v>#N/A</v>
      </c>
      <c r="AC23" s="170">
        <v>264000</v>
      </c>
      <c r="AD23" s="172">
        <v>0</v>
      </c>
      <c r="AE23" s="170">
        <v>0.3</v>
      </c>
      <c r="AF23" s="170">
        <v>0</v>
      </c>
      <c r="AG23" s="170">
        <v>0</v>
      </c>
      <c r="AH23" s="170">
        <v>0</v>
      </c>
      <c r="AI23" s="170">
        <v>0</v>
      </c>
      <c r="AJ23" s="167" t="e">
        <v>#N/A</v>
      </c>
      <c r="AK23" s="167">
        <v>1</v>
      </c>
      <c r="AL23" s="167">
        <v>1</v>
      </c>
      <c r="AM23" s="167">
        <v>1</v>
      </c>
      <c r="AN23" s="167">
        <v>1</v>
      </c>
      <c r="AO23" s="167">
        <v>1</v>
      </c>
      <c r="AP23" s="167">
        <v>1</v>
      </c>
      <c r="AQ23" s="167">
        <v>0</v>
      </c>
      <c r="AR23" s="167">
        <v>0</v>
      </c>
      <c r="AS23" s="173">
        <v>1</v>
      </c>
      <c r="AT23" s="152" t="s">
        <v>543</v>
      </c>
      <c r="AU23" s="152">
        <v>9.1999999999999993</v>
      </c>
      <c r="AV23" s="152">
        <v>0.41</v>
      </c>
      <c r="AW23" s="174">
        <v>12.2</v>
      </c>
      <c r="AX23" s="174" t="s">
        <v>540</v>
      </c>
      <c r="AY23" s="174">
        <v>23</v>
      </c>
      <c r="AZ23" s="174">
        <v>19.899999999999999</v>
      </c>
      <c r="BA23" s="174"/>
      <c r="BB23" s="174">
        <v>22</v>
      </c>
      <c r="BC23" s="174"/>
      <c r="BD23" s="174"/>
      <c r="BE23" s="174">
        <v>9.6</v>
      </c>
      <c r="BF23" s="174">
        <v>11.8</v>
      </c>
      <c r="BG23" s="174">
        <v>13.2</v>
      </c>
      <c r="BH23" s="174">
        <v>17.7</v>
      </c>
      <c r="BI23" s="174">
        <v>20.3</v>
      </c>
      <c r="BJ23" s="174">
        <v>4.9799999999999997E-2</v>
      </c>
      <c r="BK23" s="174">
        <v>5.8799999999999998E-2</v>
      </c>
      <c r="BL23" s="174">
        <v>6.4899999999999999E-2</v>
      </c>
      <c r="BM23" s="174">
        <v>8.5199999999999998E-2</v>
      </c>
      <c r="BN23" s="174">
        <v>9.6100000000000005E-2</v>
      </c>
      <c r="BO23" s="174"/>
      <c r="BP23" s="174"/>
      <c r="BQ23" s="174"/>
      <c r="BR23" s="174"/>
      <c r="BS23" s="174"/>
      <c r="BT23" s="174">
        <v>75</v>
      </c>
      <c r="BU23" s="174">
        <v>29</v>
      </c>
      <c r="BV23" s="174">
        <v>31</v>
      </c>
      <c r="BW23" s="174">
        <v>35</v>
      </c>
      <c r="BX23" s="174">
        <v>39</v>
      </c>
      <c r="BY23" s="174">
        <v>46</v>
      </c>
      <c r="BZ23" s="174">
        <v>114</v>
      </c>
      <c r="CA23" s="174">
        <v>121</v>
      </c>
      <c r="CB23" s="174">
        <v>197</v>
      </c>
      <c r="CC23" s="174">
        <v>273</v>
      </c>
      <c r="CD23" s="174">
        <v>443</v>
      </c>
      <c r="CE23" s="174">
        <v>24.3</v>
      </c>
      <c r="CF23" s="174">
        <v>7.1</v>
      </c>
      <c r="CG23" s="174">
        <v>1.3</v>
      </c>
      <c r="CH23" s="175">
        <v>9.7266068320518839E-5</v>
      </c>
    </row>
    <row r="24" spans="1:86" x14ac:dyDescent="0.3">
      <c r="A24" s="192"/>
      <c r="B24" s="192"/>
      <c r="D24" s="195">
        <v>-746243.33244273497</v>
      </c>
      <c r="I24" s="152" t="s">
        <v>557</v>
      </c>
      <c r="J24" s="167">
        <v>19</v>
      </c>
      <c r="K24" s="168">
        <v>-36.5</v>
      </c>
      <c r="L24" s="169" t="s">
        <v>553</v>
      </c>
      <c r="M24" s="67" t="s">
        <v>58</v>
      </c>
      <c r="N24" s="167">
        <v>8.6999999999999993</v>
      </c>
      <c r="O24" s="170">
        <v>739</v>
      </c>
      <c r="P24" s="170">
        <v>0</v>
      </c>
      <c r="Q24" s="167">
        <v>0</v>
      </c>
      <c r="R24" s="167" t="e">
        <v>#N/A</v>
      </c>
      <c r="S24" s="167">
        <v>1.5</v>
      </c>
      <c r="T24" s="167">
        <v>0</v>
      </c>
      <c r="U24" s="171">
        <v>1.9E-2</v>
      </c>
      <c r="V24" s="171">
        <v>0</v>
      </c>
      <c r="W24" s="167">
        <v>0.25</v>
      </c>
      <c r="X24" s="167">
        <v>58900</v>
      </c>
      <c r="Y24" s="167">
        <v>0</v>
      </c>
      <c r="Z24" s="167" t="e">
        <v>#N/A</v>
      </c>
      <c r="AA24" s="167">
        <v>1</v>
      </c>
      <c r="AB24" s="167" t="e">
        <v>#N/A</v>
      </c>
      <c r="AC24" s="170">
        <v>405000</v>
      </c>
      <c r="AD24" s="172">
        <v>0</v>
      </c>
      <c r="AE24" s="170">
        <v>0.3</v>
      </c>
      <c r="AF24" s="170">
        <v>0</v>
      </c>
      <c r="AG24" s="170">
        <v>0</v>
      </c>
      <c r="AH24" s="170">
        <v>0</v>
      </c>
      <c r="AI24" s="170">
        <v>0</v>
      </c>
      <c r="AJ24" s="167" t="e">
        <v>#N/A</v>
      </c>
      <c r="AK24" s="167">
        <v>1</v>
      </c>
      <c r="AL24" s="167">
        <v>1</v>
      </c>
      <c r="AM24" s="167">
        <v>1</v>
      </c>
      <c r="AN24" s="167">
        <v>1</v>
      </c>
      <c r="AO24" s="167">
        <v>1</v>
      </c>
      <c r="AP24" s="167">
        <v>1</v>
      </c>
      <c r="AQ24" s="167">
        <v>0</v>
      </c>
      <c r="AR24" s="167">
        <v>0</v>
      </c>
      <c r="AS24" s="173">
        <v>1</v>
      </c>
      <c r="AT24" s="152" t="s">
        <v>543</v>
      </c>
      <c r="AU24" s="152">
        <v>9.1999999999999993</v>
      </c>
      <c r="AV24" s="152">
        <v>0.41</v>
      </c>
      <c r="AW24" s="174">
        <v>12.2</v>
      </c>
      <c r="AX24" s="174" t="s">
        <v>540</v>
      </c>
      <c r="AY24" s="174">
        <v>23</v>
      </c>
      <c r="AZ24" s="174">
        <v>19.899999999999999</v>
      </c>
      <c r="BA24" s="174"/>
      <c r="BB24" s="174">
        <v>22</v>
      </c>
      <c r="BC24" s="174"/>
      <c r="BD24" s="174"/>
      <c r="BE24" s="174">
        <v>8.8000000000000007</v>
      </c>
      <c r="BF24" s="174">
        <v>10.9</v>
      </c>
      <c r="BG24" s="174">
        <v>12.3</v>
      </c>
      <c r="BH24" s="174">
        <v>16.5</v>
      </c>
      <c r="BI24" s="174">
        <v>19.100000000000001</v>
      </c>
      <c r="BJ24" s="174">
        <v>4.99E-2</v>
      </c>
      <c r="BK24" s="174">
        <v>5.9799999999999999E-2</v>
      </c>
      <c r="BL24" s="174">
        <v>6.6500000000000004E-2</v>
      </c>
      <c r="BM24" s="174">
        <v>8.7800000000000003E-2</v>
      </c>
      <c r="BN24" s="174">
        <v>9.98E-2</v>
      </c>
      <c r="BO24" s="174"/>
      <c r="BP24" s="174"/>
      <c r="BQ24" s="174"/>
      <c r="BR24" s="174"/>
      <c r="BS24" s="174"/>
      <c r="BT24" s="174">
        <v>74</v>
      </c>
      <c r="BU24" s="174">
        <v>29</v>
      </c>
      <c r="BV24" s="174">
        <v>31</v>
      </c>
      <c r="BW24" s="174">
        <v>35</v>
      </c>
      <c r="BX24" s="174">
        <v>39</v>
      </c>
      <c r="BY24" s="174">
        <v>45</v>
      </c>
      <c r="BZ24" s="174">
        <v>106</v>
      </c>
      <c r="CA24" s="174">
        <v>114</v>
      </c>
      <c r="CB24" s="174">
        <v>192</v>
      </c>
      <c r="CC24" s="174">
        <v>271</v>
      </c>
      <c r="CD24" s="174">
        <v>448</v>
      </c>
      <c r="CE24" s="174">
        <v>23.7</v>
      </c>
      <c r="CF24" s="174">
        <v>6.3</v>
      </c>
      <c r="CG24" s="174">
        <v>1.2</v>
      </c>
      <c r="CH24" s="175">
        <v>5.1042259205858373E-5</v>
      </c>
    </row>
    <row r="25" spans="1:86" x14ac:dyDescent="0.3">
      <c r="A25" s="192"/>
      <c r="B25" s="192"/>
      <c r="D25" s="195">
        <v>32033.4274954422</v>
      </c>
      <c r="I25" s="152" t="s">
        <v>557</v>
      </c>
      <c r="J25" s="167">
        <v>20</v>
      </c>
      <c r="K25" s="168">
        <v>-39.799999999999997</v>
      </c>
      <c r="L25" s="169" t="s">
        <v>553</v>
      </c>
      <c r="M25" s="67" t="s">
        <v>58</v>
      </c>
      <c r="N25" s="167">
        <v>8.6999999999999993</v>
      </c>
      <c r="O25" s="170">
        <v>515</v>
      </c>
      <c r="P25" s="170">
        <v>-45.833333333333222</v>
      </c>
      <c r="Q25" s="167">
        <v>0</v>
      </c>
      <c r="R25" s="167" t="e">
        <v>#N/A</v>
      </c>
      <c r="S25" s="167">
        <v>1.3</v>
      </c>
      <c r="T25" s="167">
        <v>0</v>
      </c>
      <c r="U25" s="171">
        <v>1.9E-2</v>
      </c>
      <c r="V25" s="171">
        <v>0</v>
      </c>
      <c r="W25" s="167">
        <v>0.25</v>
      </c>
      <c r="X25" s="167">
        <v>37400</v>
      </c>
      <c r="Y25" s="167">
        <v>0</v>
      </c>
      <c r="Z25" s="167" t="e">
        <v>#N/A</v>
      </c>
      <c r="AA25" s="167">
        <v>1</v>
      </c>
      <c r="AB25" s="167" t="e">
        <v>#N/A</v>
      </c>
      <c r="AC25" s="170">
        <v>265000</v>
      </c>
      <c r="AD25" s="172">
        <v>-23333.333333333278</v>
      </c>
      <c r="AE25" s="170">
        <v>0.3</v>
      </c>
      <c r="AF25" s="170">
        <v>0</v>
      </c>
      <c r="AG25" s="170">
        <v>0</v>
      </c>
      <c r="AH25" s="170">
        <v>0</v>
      </c>
      <c r="AI25" s="170">
        <v>0</v>
      </c>
      <c r="AJ25" s="167" t="e">
        <v>#N/A</v>
      </c>
      <c r="AK25" s="167">
        <v>1</v>
      </c>
      <c r="AL25" s="167">
        <v>1</v>
      </c>
      <c r="AM25" s="167">
        <v>1</v>
      </c>
      <c r="AN25" s="167">
        <v>1</v>
      </c>
      <c r="AO25" s="167">
        <v>1</v>
      </c>
      <c r="AP25" s="167">
        <v>1</v>
      </c>
      <c r="AQ25" s="167">
        <v>0</v>
      </c>
      <c r="AR25" s="167">
        <v>0</v>
      </c>
      <c r="AS25" s="173">
        <v>1</v>
      </c>
      <c r="AT25" s="178" t="s">
        <v>543</v>
      </c>
      <c r="AU25" s="152">
        <v>9.1999999999999993</v>
      </c>
      <c r="AV25" s="152">
        <v>0.41</v>
      </c>
      <c r="AW25" s="174">
        <v>13.5</v>
      </c>
      <c r="AX25" s="174" t="s">
        <v>540</v>
      </c>
      <c r="AY25" s="174">
        <v>23</v>
      </c>
      <c r="AZ25" s="174">
        <v>19.899999999999999</v>
      </c>
      <c r="BA25" s="174"/>
      <c r="BB25" s="174">
        <v>22</v>
      </c>
      <c r="BC25" s="174"/>
      <c r="BD25" s="174"/>
      <c r="BE25" s="174">
        <v>19.100000000000001</v>
      </c>
      <c r="BF25" s="174">
        <v>21.2</v>
      </c>
      <c r="BG25" s="174">
        <v>22.7</v>
      </c>
      <c r="BH25" s="174">
        <v>29</v>
      </c>
      <c r="BI25" s="174">
        <v>31.5</v>
      </c>
      <c r="BJ25" s="174">
        <v>8.2500000000000004E-2</v>
      </c>
      <c r="BK25" s="174">
        <v>9.2399999999999996E-2</v>
      </c>
      <c r="BL25" s="174">
        <v>9.9099999999999994E-2</v>
      </c>
      <c r="BM25" s="174">
        <v>0.127</v>
      </c>
      <c r="BN25" s="174">
        <v>0.1389</v>
      </c>
      <c r="BO25" s="174"/>
      <c r="BP25" s="174"/>
      <c r="BQ25" s="174"/>
      <c r="BR25" s="174"/>
      <c r="BS25" s="174"/>
      <c r="BT25" s="174">
        <v>74</v>
      </c>
      <c r="BU25" s="174">
        <v>29</v>
      </c>
      <c r="BV25" s="174">
        <v>31</v>
      </c>
      <c r="BW25" s="174">
        <v>35</v>
      </c>
      <c r="BX25" s="174">
        <v>39</v>
      </c>
      <c r="BY25" s="174">
        <v>45</v>
      </c>
      <c r="BZ25" s="174">
        <v>152</v>
      </c>
      <c r="CA25" s="174">
        <v>161</v>
      </c>
      <c r="CB25" s="174">
        <v>239</v>
      </c>
      <c r="CC25" s="174">
        <v>318</v>
      </c>
      <c r="CD25" s="174">
        <v>495</v>
      </c>
      <c r="CE25" s="174">
        <v>23.7</v>
      </c>
      <c r="CF25" s="174">
        <v>6.3</v>
      </c>
      <c r="CG25" s="174">
        <v>1.2</v>
      </c>
      <c r="CH25" s="175">
        <v>5.1042259205858373E-5</v>
      </c>
    </row>
    <row r="26" spans="1:86" x14ac:dyDescent="0.3">
      <c r="A26" s="192"/>
      <c r="B26" s="192"/>
      <c r="D26" s="153">
        <v>0</v>
      </c>
      <c r="F26" s="152" t="s">
        <v>554</v>
      </c>
      <c r="I26" s="152" t="s">
        <v>557</v>
      </c>
      <c r="J26" s="167">
        <v>21</v>
      </c>
      <c r="K26" s="168">
        <v>-41</v>
      </c>
      <c r="L26" s="169" t="s">
        <v>553</v>
      </c>
      <c r="M26" s="67" t="s">
        <v>58</v>
      </c>
      <c r="N26" s="167">
        <v>8.6999999999999993</v>
      </c>
      <c r="O26" s="170">
        <v>573</v>
      </c>
      <c r="P26" s="170">
        <v>-101</v>
      </c>
      <c r="Q26" s="167">
        <v>0</v>
      </c>
      <c r="R26" s="167" t="e">
        <v>#N/A</v>
      </c>
      <c r="S26" s="167">
        <v>1.4</v>
      </c>
      <c r="T26" s="167">
        <v>0</v>
      </c>
      <c r="U26" s="171">
        <v>1.9E-2</v>
      </c>
      <c r="V26" s="171">
        <v>0</v>
      </c>
      <c r="W26" s="167">
        <v>0.25</v>
      </c>
      <c r="X26" s="167">
        <v>49500</v>
      </c>
      <c r="Y26" s="167">
        <v>0</v>
      </c>
      <c r="Z26" s="167" t="e">
        <v>#N/A</v>
      </c>
      <c r="AA26" s="167">
        <v>1</v>
      </c>
      <c r="AB26" s="167" t="e">
        <v>#N/A</v>
      </c>
      <c r="AC26" s="170">
        <v>296000</v>
      </c>
      <c r="AD26" s="172">
        <v>-51000</v>
      </c>
      <c r="AE26" s="170">
        <v>0.3</v>
      </c>
      <c r="AF26" s="170">
        <v>0</v>
      </c>
      <c r="AG26" s="170">
        <v>0</v>
      </c>
      <c r="AH26" s="170">
        <v>0</v>
      </c>
      <c r="AI26" s="170">
        <v>0</v>
      </c>
      <c r="AJ26" s="167" t="e">
        <v>#N/A</v>
      </c>
      <c r="AK26" s="167">
        <v>1</v>
      </c>
      <c r="AL26" s="167">
        <v>1</v>
      </c>
      <c r="AM26" s="167">
        <v>1</v>
      </c>
      <c r="AN26" s="167">
        <v>1</v>
      </c>
      <c r="AO26" s="167">
        <v>1</v>
      </c>
      <c r="AP26" s="167">
        <v>1</v>
      </c>
      <c r="AQ26" s="167">
        <v>0</v>
      </c>
      <c r="AR26" s="167">
        <v>0</v>
      </c>
      <c r="AS26" s="173">
        <v>1</v>
      </c>
      <c r="AT26" s="152" t="s">
        <v>543</v>
      </c>
      <c r="AU26" s="152">
        <v>9.1999999999999993</v>
      </c>
      <c r="AV26" s="152">
        <v>0.41</v>
      </c>
      <c r="AW26" s="174">
        <v>13.5</v>
      </c>
      <c r="AX26" s="174" t="s">
        <v>540</v>
      </c>
      <c r="AY26" s="174">
        <v>23</v>
      </c>
      <c r="AZ26" s="174">
        <v>19.899999999999999</v>
      </c>
      <c r="BA26" s="174"/>
      <c r="BB26" s="174">
        <v>22</v>
      </c>
      <c r="BC26" s="174"/>
      <c r="BD26" s="174"/>
      <c r="BE26" s="174">
        <v>18.100000000000001</v>
      </c>
      <c r="BF26" s="174">
        <v>20.399999999999999</v>
      </c>
      <c r="BG26" s="174">
        <v>22</v>
      </c>
      <c r="BH26" s="174">
        <v>28.3</v>
      </c>
      <c r="BI26" s="174">
        <v>33.4</v>
      </c>
      <c r="BJ26" s="174">
        <v>4.4900000000000002E-2</v>
      </c>
      <c r="BK26" s="174">
        <v>5.9400000000000001E-2</v>
      </c>
      <c r="BL26" s="174">
        <v>6.9099999999999995E-2</v>
      </c>
      <c r="BM26" s="174">
        <v>9.4600000000000004E-2</v>
      </c>
      <c r="BN26" s="174">
        <v>0.13039999999999999</v>
      </c>
      <c r="BO26" s="174"/>
      <c r="BP26" s="174"/>
      <c r="BQ26" s="174"/>
      <c r="BR26" s="174"/>
      <c r="BS26" s="174"/>
      <c r="BT26" s="174">
        <v>78</v>
      </c>
      <c r="BU26" s="174">
        <v>29</v>
      </c>
      <c r="BV26" s="174">
        <v>31</v>
      </c>
      <c r="BW26" s="174">
        <v>35</v>
      </c>
      <c r="BX26" s="174">
        <v>39</v>
      </c>
      <c r="BY26" s="174">
        <v>46</v>
      </c>
      <c r="BZ26" s="174">
        <v>144</v>
      </c>
      <c r="CA26" s="174">
        <v>153</v>
      </c>
      <c r="CB26" s="174">
        <v>236</v>
      </c>
      <c r="CC26" s="174">
        <v>320</v>
      </c>
      <c r="CD26" s="174">
        <v>509</v>
      </c>
      <c r="CE26" s="174">
        <v>27.8</v>
      </c>
      <c r="CF26" s="174">
        <v>6.6</v>
      </c>
      <c r="CG26" s="174">
        <v>1.3</v>
      </c>
      <c r="CH26" s="175">
        <v>9.5475430613206473E-5</v>
      </c>
    </row>
    <row r="27" spans="1:86" x14ac:dyDescent="0.3">
      <c r="A27" s="192"/>
      <c r="B27" s="192"/>
      <c r="D27" s="195">
        <v>3903.82251263426</v>
      </c>
      <c r="F27" s="152" t="s">
        <v>555</v>
      </c>
      <c r="I27" s="152" t="s">
        <v>557</v>
      </c>
      <c r="J27" s="152">
        <v>22</v>
      </c>
      <c r="K27" s="152">
        <v>-42</v>
      </c>
      <c r="L27" s="196" t="s">
        <v>553</v>
      </c>
      <c r="M27" s="196" t="s">
        <v>58</v>
      </c>
      <c r="N27" s="167">
        <v>8.6999999999999993</v>
      </c>
      <c r="O27" s="170">
        <v>709</v>
      </c>
      <c r="P27" s="167">
        <v>0</v>
      </c>
      <c r="Q27" s="167">
        <v>0</v>
      </c>
      <c r="R27" s="197" t="e">
        <v>#N/A</v>
      </c>
      <c r="S27" s="167">
        <v>1.4</v>
      </c>
      <c r="T27" s="167">
        <v>0</v>
      </c>
      <c r="U27" s="167">
        <v>1.9E-2</v>
      </c>
      <c r="V27" s="167">
        <v>0</v>
      </c>
      <c r="W27" s="167">
        <v>0.25</v>
      </c>
      <c r="X27" s="167">
        <v>51700</v>
      </c>
      <c r="Y27" s="167">
        <v>0</v>
      </c>
      <c r="Z27" s="167" t="e">
        <v>#N/A</v>
      </c>
      <c r="AA27" s="167">
        <v>1</v>
      </c>
      <c r="AB27" s="167" t="e">
        <v>#N/A</v>
      </c>
      <c r="AC27" s="167">
        <v>389000</v>
      </c>
      <c r="AD27" s="167">
        <v>0</v>
      </c>
      <c r="AE27" s="152">
        <v>0.3</v>
      </c>
      <c r="AF27" s="152">
        <v>0</v>
      </c>
      <c r="AG27" s="152">
        <v>0</v>
      </c>
      <c r="AH27" s="152">
        <v>0</v>
      </c>
      <c r="AI27" s="167">
        <v>0</v>
      </c>
      <c r="AJ27" s="167" t="e">
        <v>#N/A</v>
      </c>
      <c r="AK27" s="167">
        <v>1</v>
      </c>
      <c r="AL27" s="167">
        <v>1</v>
      </c>
      <c r="AM27" s="167">
        <v>1</v>
      </c>
      <c r="AN27" s="167">
        <v>1</v>
      </c>
      <c r="AO27" s="167">
        <v>1</v>
      </c>
      <c r="AP27" s="167">
        <v>1</v>
      </c>
      <c r="AQ27" s="152">
        <v>0</v>
      </c>
      <c r="AR27" s="152">
        <v>0</v>
      </c>
      <c r="AS27" s="152">
        <v>1</v>
      </c>
      <c r="AT27" s="152" t="s">
        <v>543</v>
      </c>
      <c r="AU27" s="152">
        <v>9.1999999999999993</v>
      </c>
      <c r="AV27" s="152">
        <v>0.41</v>
      </c>
      <c r="AW27" s="174">
        <v>14.5</v>
      </c>
      <c r="AX27" s="174" t="s">
        <v>540</v>
      </c>
      <c r="AY27" s="174">
        <v>23</v>
      </c>
      <c r="AZ27" s="174">
        <v>19.899999999999999</v>
      </c>
      <c r="BA27" s="174"/>
      <c r="BB27" s="174">
        <v>22</v>
      </c>
      <c r="BC27" s="174"/>
      <c r="BD27" s="174"/>
      <c r="BE27" s="174">
        <v>12.6</v>
      </c>
      <c r="BF27" s="174">
        <v>14.9</v>
      </c>
      <c r="BG27" s="174">
        <v>16.5</v>
      </c>
      <c r="BH27" s="174">
        <v>21.7</v>
      </c>
      <c r="BI27" s="174">
        <v>26.7</v>
      </c>
      <c r="BJ27" s="174">
        <v>7.2300000000000003E-2</v>
      </c>
      <c r="BK27" s="174">
        <v>8.6800000000000002E-2</v>
      </c>
      <c r="BL27" s="174">
        <v>9.6600000000000005E-2</v>
      </c>
      <c r="BM27" s="174">
        <v>0.1275</v>
      </c>
      <c r="BN27" s="174">
        <v>0.1633</v>
      </c>
      <c r="BO27" s="174"/>
      <c r="BP27" s="174"/>
      <c r="BQ27" s="174"/>
      <c r="BR27" s="174"/>
      <c r="BS27" s="174"/>
      <c r="BT27" s="174">
        <v>78</v>
      </c>
      <c r="BU27" s="174">
        <v>29</v>
      </c>
      <c r="BV27" s="174">
        <v>31</v>
      </c>
      <c r="BW27" s="174">
        <v>35</v>
      </c>
      <c r="BX27" s="174">
        <v>39</v>
      </c>
      <c r="BY27" s="174">
        <v>46</v>
      </c>
      <c r="BZ27" s="174">
        <v>133</v>
      </c>
      <c r="CA27" s="174">
        <v>142</v>
      </c>
      <c r="CB27" s="174">
        <v>225</v>
      </c>
      <c r="CC27" s="174">
        <v>309</v>
      </c>
      <c r="CD27" s="174">
        <v>498</v>
      </c>
      <c r="CE27" s="174">
        <v>27.8</v>
      </c>
      <c r="CF27" s="174">
        <v>6.6</v>
      </c>
      <c r="CG27" s="174">
        <v>1.3</v>
      </c>
      <c r="CH27" s="175">
        <v>9.5475430613206473E-5</v>
      </c>
    </row>
    <row r="28" spans="1:86" x14ac:dyDescent="0.3">
      <c r="A28" s="192"/>
      <c r="B28" s="192"/>
      <c r="D28" s="153"/>
      <c r="F28" s="152" t="s">
        <v>556</v>
      </c>
      <c r="I28" s="152" t="s">
        <v>557</v>
      </c>
      <c r="J28" s="152">
        <v>23</v>
      </c>
      <c r="K28" s="152">
        <v>-45</v>
      </c>
      <c r="L28" s="196" t="s">
        <v>553</v>
      </c>
      <c r="M28" s="196" t="s">
        <v>58</v>
      </c>
      <c r="N28" s="167">
        <v>8.6999999999999993</v>
      </c>
      <c r="O28" s="170">
        <v>1200</v>
      </c>
      <c r="P28" s="167">
        <v>0</v>
      </c>
      <c r="Q28" s="167">
        <v>0</v>
      </c>
      <c r="R28" s="197" t="e">
        <v>#N/A</v>
      </c>
      <c r="S28" s="167">
        <v>1.8</v>
      </c>
      <c r="T28" s="167">
        <v>0</v>
      </c>
      <c r="U28" s="167">
        <v>1.9E-2</v>
      </c>
      <c r="V28" s="167">
        <v>0</v>
      </c>
      <c r="W28" s="167">
        <v>0.25</v>
      </c>
      <c r="X28" s="167">
        <v>102300</v>
      </c>
      <c r="Y28" s="167">
        <v>0</v>
      </c>
      <c r="Z28" s="167" t="e">
        <v>#N/A</v>
      </c>
      <c r="AA28" s="167">
        <v>1</v>
      </c>
      <c r="AB28" s="167" t="e">
        <v>#N/A</v>
      </c>
      <c r="AC28" s="167">
        <v>762000</v>
      </c>
      <c r="AD28" s="167">
        <v>0</v>
      </c>
      <c r="AE28" s="152">
        <v>0.3</v>
      </c>
      <c r="AF28" s="152">
        <v>0</v>
      </c>
      <c r="AG28" s="152">
        <v>0</v>
      </c>
      <c r="AH28" s="152">
        <v>0</v>
      </c>
      <c r="AI28" s="167">
        <v>0</v>
      </c>
      <c r="AJ28" s="167" t="e">
        <v>#N/A</v>
      </c>
      <c r="AK28" s="167">
        <v>1</v>
      </c>
      <c r="AL28" s="167">
        <v>1</v>
      </c>
      <c r="AM28" s="167">
        <v>1</v>
      </c>
      <c r="AN28" s="167">
        <v>1</v>
      </c>
      <c r="AO28" s="167">
        <v>1</v>
      </c>
      <c r="AP28" s="167">
        <v>1</v>
      </c>
      <c r="AQ28" s="152">
        <v>0</v>
      </c>
      <c r="AR28" s="152">
        <v>0</v>
      </c>
      <c r="AS28" s="152">
        <v>1</v>
      </c>
      <c r="AT28" s="178" t="s">
        <v>543</v>
      </c>
      <c r="AU28" s="152">
        <v>9.1999999999999993</v>
      </c>
      <c r="AV28" s="152">
        <v>0.41</v>
      </c>
      <c r="AW28" s="188">
        <v>14.5</v>
      </c>
      <c r="AX28" s="188" t="s">
        <v>557</v>
      </c>
      <c r="AY28" s="188">
        <v>36</v>
      </c>
      <c r="AZ28" s="188">
        <v>18.899999999999999</v>
      </c>
      <c r="BA28" s="188">
        <v>57</v>
      </c>
      <c r="BB28" s="188">
        <v>74</v>
      </c>
      <c r="BC28" s="188">
        <v>3</v>
      </c>
      <c r="BD28" s="188">
        <v>1.9</v>
      </c>
      <c r="BE28" s="188">
        <v>2.8</v>
      </c>
      <c r="BF28" s="188">
        <v>3.3</v>
      </c>
      <c r="BG28" s="188">
        <v>3.7</v>
      </c>
      <c r="BH28" s="188">
        <v>4.0999999999999996</v>
      </c>
      <c r="BI28" s="188">
        <v>4.7</v>
      </c>
      <c r="BJ28" s="188">
        <v>5.96E-2</v>
      </c>
      <c r="BK28" s="188">
        <v>7.1199999999999999E-2</v>
      </c>
      <c r="BL28" s="188">
        <v>7.9000000000000001E-2</v>
      </c>
      <c r="BM28" s="188">
        <v>8.6900000000000005E-2</v>
      </c>
      <c r="BN28" s="188">
        <v>9.8500000000000004E-2</v>
      </c>
      <c r="BO28" s="188">
        <v>101</v>
      </c>
      <c r="BP28" s="188">
        <v>159</v>
      </c>
      <c r="BQ28" s="188">
        <v>190</v>
      </c>
      <c r="BR28" s="188">
        <v>222</v>
      </c>
      <c r="BS28" s="188">
        <v>327</v>
      </c>
      <c r="BT28" s="188"/>
      <c r="BU28" s="188"/>
      <c r="BV28" s="188"/>
      <c r="BW28" s="188"/>
      <c r="BX28" s="188"/>
      <c r="BY28" s="188"/>
      <c r="BZ28" s="188">
        <v>61</v>
      </c>
      <c r="CA28" s="188">
        <v>61</v>
      </c>
      <c r="CB28" s="188">
        <v>78</v>
      </c>
      <c r="CC28" s="188">
        <v>102</v>
      </c>
      <c r="CD28" s="188">
        <v>162</v>
      </c>
      <c r="CE28" s="188">
        <v>15.6</v>
      </c>
      <c r="CF28" s="188">
        <v>7</v>
      </c>
      <c r="CG28" s="188">
        <v>1.2</v>
      </c>
      <c r="CH28" s="189">
        <v>3.394639827889471E-10</v>
      </c>
    </row>
    <row r="29" spans="1:86" x14ac:dyDescent="0.3">
      <c r="A29" s="192"/>
      <c r="B29" s="192"/>
      <c r="D29" s="153"/>
      <c r="F29" s="152" t="s">
        <v>558</v>
      </c>
      <c r="L29" s="196"/>
      <c r="M29" s="196" t="s">
        <v>395</v>
      </c>
      <c r="N29" s="167"/>
      <c r="O29" s="170"/>
      <c r="P29" s="167"/>
      <c r="Q29" s="167"/>
      <c r="R29" s="197"/>
      <c r="S29" s="167"/>
      <c r="T29" s="167"/>
      <c r="U29" s="167"/>
      <c r="V29" s="167"/>
      <c r="W29" s="167"/>
      <c r="X29" s="167"/>
      <c r="Y29" s="167"/>
      <c r="Z29" s="167"/>
      <c r="AA29" s="167"/>
      <c r="AB29" s="167"/>
      <c r="AC29" s="167"/>
      <c r="AD29" s="167"/>
      <c r="AI29" s="167"/>
      <c r="AJ29" s="167"/>
      <c r="AK29" s="167"/>
      <c r="AL29" s="167"/>
      <c r="AM29" s="167"/>
      <c r="AN29" s="167"/>
      <c r="AO29" s="167"/>
      <c r="AP29" s="167"/>
      <c r="AW29" s="188">
        <v>27</v>
      </c>
      <c r="AX29" s="188" t="s">
        <v>557</v>
      </c>
      <c r="AY29" s="188">
        <v>36</v>
      </c>
      <c r="AZ29" s="188">
        <v>18.899999999999999</v>
      </c>
      <c r="BA29" s="188">
        <v>57</v>
      </c>
      <c r="BB29" s="188">
        <v>74</v>
      </c>
      <c r="BC29" s="188">
        <v>3</v>
      </c>
      <c r="BD29" s="188">
        <v>1.9</v>
      </c>
      <c r="BE29" s="188">
        <v>4.2</v>
      </c>
      <c r="BF29" s="188">
        <v>4.7</v>
      </c>
      <c r="BG29" s="188">
        <v>5.0999999999999996</v>
      </c>
      <c r="BH29" s="188">
        <v>5.5</v>
      </c>
      <c r="BI29" s="188">
        <v>6.1</v>
      </c>
      <c r="BJ29" s="188">
        <v>9.5699999999999993E-2</v>
      </c>
      <c r="BK29" s="188">
        <v>0.1074</v>
      </c>
      <c r="BL29" s="188">
        <v>0.1152</v>
      </c>
      <c r="BM29" s="188">
        <v>0.123</v>
      </c>
      <c r="BN29" s="188">
        <v>0.13469999999999999</v>
      </c>
      <c r="BO29" s="188">
        <v>166</v>
      </c>
      <c r="BP29" s="188">
        <v>224</v>
      </c>
      <c r="BQ29" s="188">
        <v>255</v>
      </c>
      <c r="BR29" s="188">
        <v>287</v>
      </c>
      <c r="BS29" s="188">
        <v>392</v>
      </c>
      <c r="BT29" s="188"/>
      <c r="BU29" s="188"/>
      <c r="BV29" s="188"/>
      <c r="BW29" s="188"/>
      <c r="BX29" s="188"/>
      <c r="BY29" s="188"/>
      <c r="BZ29" s="188">
        <v>84</v>
      </c>
      <c r="CA29" s="188">
        <v>89</v>
      </c>
      <c r="CB29" s="188">
        <v>113</v>
      </c>
      <c r="CC29" s="188">
        <v>137</v>
      </c>
      <c r="CD29" s="188">
        <v>196</v>
      </c>
      <c r="CE29" s="188">
        <v>15.6</v>
      </c>
      <c r="CF29" s="188">
        <v>7</v>
      </c>
      <c r="CG29" s="188">
        <v>1.2</v>
      </c>
      <c r="CH29" s="189">
        <v>3.394639827889471E-10</v>
      </c>
    </row>
    <row r="30" spans="1:86" x14ac:dyDescent="0.3">
      <c r="A30" s="192"/>
      <c r="B30" s="192"/>
      <c r="D30" s="153"/>
      <c r="F30" s="152" t="s">
        <v>558</v>
      </c>
      <c r="L30" s="196"/>
      <c r="M30" s="196" t="s">
        <v>395</v>
      </c>
      <c r="N30" s="167"/>
      <c r="O30" s="170"/>
      <c r="P30" s="167"/>
      <c r="Q30" s="167"/>
      <c r="R30" s="197"/>
      <c r="S30" s="167"/>
      <c r="T30" s="167"/>
      <c r="U30" s="167"/>
      <c r="V30" s="167"/>
      <c r="W30" s="167"/>
      <c r="X30" s="167"/>
      <c r="Y30" s="167"/>
      <c r="Z30" s="167"/>
      <c r="AA30" s="167"/>
      <c r="AB30" s="167"/>
      <c r="AC30" s="167"/>
      <c r="AD30" s="167"/>
      <c r="AI30" s="167"/>
      <c r="AJ30" s="167"/>
      <c r="AK30" s="167"/>
      <c r="AL30" s="167"/>
      <c r="AM30" s="167"/>
      <c r="AN30" s="167"/>
      <c r="AO30" s="167"/>
      <c r="AP30" s="167"/>
      <c r="AW30" s="188">
        <v>27</v>
      </c>
      <c r="AX30" s="188" t="s">
        <v>557</v>
      </c>
      <c r="AY30" s="188">
        <v>36</v>
      </c>
      <c r="AZ30" s="188">
        <v>18.899999999999999</v>
      </c>
      <c r="BA30" s="188">
        <v>57</v>
      </c>
      <c r="BB30" s="188">
        <v>74</v>
      </c>
      <c r="BC30" s="188">
        <v>3</v>
      </c>
      <c r="BD30" s="188">
        <v>1.9</v>
      </c>
      <c r="BE30" s="188">
        <v>4.0999999999999996</v>
      </c>
      <c r="BF30" s="188">
        <v>4.9000000000000004</v>
      </c>
      <c r="BG30" s="188">
        <v>5.4</v>
      </c>
      <c r="BH30" s="188">
        <v>6</v>
      </c>
      <c r="BI30" s="188">
        <v>6.7</v>
      </c>
      <c r="BJ30" s="188">
        <v>9.2299999999999993E-2</v>
      </c>
      <c r="BK30" s="188">
        <v>0.1086</v>
      </c>
      <c r="BL30" s="188">
        <v>0.1196</v>
      </c>
      <c r="BM30" s="188">
        <v>0.1305</v>
      </c>
      <c r="BN30" s="188">
        <v>0.1474</v>
      </c>
      <c r="BO30" s="188">
        <v>144</v>
      </c>
      <c r="BP30" s="188">
        <v>235</v>
      </c>
      <c r="BQ30" s="188">
        <v>271</v>
      </c>
      <c r="BR30" s="188">
        <v>307</v>
      </c>
      <c r="BS30" s="188">
        <v>425</v>
      </c>
      <c r="BT30" s="188"/>
      <c r="BU30" s="188"/>
      <c r="BV30" s="188"/>
      <c r="BW30" s="188"/>
      <c r="BX30" s="188"/>
      <c r="BY30" s="188"/>
      <c r="BZ30" s="188">
        <v>84</v>
      </c>
      <c r="CA30" s="188">
        <v>84</v>
      </c>
      <c r="CB30" s="188">
        <v>120</v>
      </c>
      <c r="CC30" s="188">
        <v>155</v>
      </c>
      <c r="CD30" s="188">
        <v>243</v>
      </c>
      <c r="CE30" s="188">
        <v>22.8</v>
      </c>
      <c r="CF30" s="188">
        <v>7.2</v>
      </c>
      <c r="CG30" s="188">
        <v>1.2</v>
      </c>
      <c r="CH30" s="189">
        <v>3.4329349955242621E-10</v>
      </c>
    </row>
    <row r="31" spans="1:86" x14ac:dyDescent="0.3">
      <c r="A31" s="192"/>
      <c r="B31" s="192"/>
      <c r="D31" s="153"/>
      <c r="F31" s="152" t="s">
        <v>559</v>
      </c>
      <c r="L31" s="196"/>
      <c r="M31" s="196" t="s">
        <v>395</v>
      </c>
      <c r="N31" s="167"/>
      <c r="O31" s="170"/>
      <c r="P31" s="167"/>
      <c r="Q31" s="167"/>
      <c r="R31" s="197"/>
      <c r="S31" s="167"/>
      <c r="T31" s="167"/>
      <c r="U31" s="167"/>
      <c r="V31" s="167"/>
      <c r="W31" s="167"/>
      <c r="X31" s="167"/>
      <c r="Y31" s="167"/>
      <c r="Z31" s="167"/>
      <c r="AA31" s="167"/>
      <c r="AB31" s="167"/>
      <c r="AC31" s="167"/>
      <c r="AD31" s="167"/>
      <c r="AI31" s="167"/>
      <c r="AJ31" s="167"/>
      <c r="AK31" s="167"/>
      <c r="AL31" s="167"/>
      <c r="AM31" s="167"/>
      <c r="AN31" s="167"/>
      <c r="AO31" s="167"/>
      <c r="AP31" s="167"/>
      <c r="AW31" s="188">
        <v>32</v>
      </c>
      <c r="AX31" s="188" t="s">
        <v>557</v>
      </c>
      <c r="AY31" s="188">
        <v>36</v>
      </c>
      <c r="AZ31" s="188">
        <v>18.899999999999999</v>
      </c>
      <c r="BA31" s="188">
        <v>57</v>
      </c>
      <c r="BB31" s="188">
        <v>74</v>
      </c>
      <c r="BC31" s="188">
        <v>3</v>
      </c>
      <c r="BD31" s="188">
        <v>1.9</v>
      </c>
      <c r="BE31" s="188">
        <v>5.8</v>
      </c>
      <c r="BF31" s="188">
        <v>6.6</v>
      </c>
      <c r="BG31" s="188">
        <v>7.1</v>
      </c>
      <c r="BH31" s="188">
        <v>7.7</v>
      </c>
      <c r="BI31" s="188">
        <v>8.4</v>
      </c>
      <c r="BJ31" s="188">
        <v>0.12570000000000001</v>
      </c>
      <c r="BK31" s="188">
        <v>0.14199999999999999</v>
      </c>
      <c r="BL31" s="188">
        <v>0.153</v>
      </c>
      <c r="BM31" s="188">
        <v>0.16400000000000001</v>
      </c>
      <c r="BN31" s="188">
        <v>0.18079999999999999</v>
      </c>
      <c r="BO31" s="188">
        <v>235</v>
      </c>
      <c r="BP31" s="188">
        <v>326</v>
      </c>
      <c r="BQ31" s="188">
        <v>361</v>
      </c>
      <c r="BR31" s="188">
        <v>398</v>
      </c>
      <c r="BS31" s="188">
        <v>515</v>
      </c>
      <c r="BT31" s="188"/>
      <c r="BU31" s="188"/>
      <c r="BV31" s="188"/>
      <c r="BW31" s="188"/>
      <c r="BX31" s="188"/>
      <c r="BY31" s="188"/>
      <c r="BZ31" s="188">
        <v>107</v>
      </c>
      <c r="CA31" s="188">
        <v>129</v>
      </c>
      <c r="CB31" s="188">
        <v>165</v>
      </c>
      <c r="CC31" s="188">
        <v>200</v>
      </c>
      <c r="CD31" s="188">
        <v>288</v>
      </c>
      <c r="CE31" s="188">
        <v>22.8</v>
      </c>
      <c r="CF31" s="188">
        <v>7.2</v>
      </c>
      <c r="CG31" s="188">
        <v>1.2</v>
      </c>
      <c r="CH31" s="189">
        <v>3.4329349955242621E-10</v>
      </c>
    </row>
    <row r="32" spans="1:86" x14ac:dyDescent="0.3">
      <c r="A32" s="192"/>
      <c r="B32" s="192"/>
      <c r="D32" s="153"/>
      <c r="F32" s="152" t="s">
        <v>560</v>
      </c>
      <c r="L32" s="196"/>
      <c r="M32" s="196" t="s">
        <v>395</v>
      </c>
      <c r="N32" s="167"/>
      <c r="O32" s="170"/>
      <c r="P32" s="167"/>
      <c r="Q32" s="167"/>
      <c r="R32" s="19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I32" s="167"/>
      <c r="AJ32" s="167"/>
      <c r="AK32" s="167"/>
      <c r="AL32" s="167"/>
      <c r="AM32" s="167"/>
      <c r="AN32" s="167"/>
      <c r="AO32" s="167"/>
      <c r="AP32" s="167"/>
      <c r="AW32" s="174">
        <v>32</v>
      </c>
      <c r="AX32" s="174" t="s">
        <v>557</v>
      </c>
      <c r="AY32" s="174">
        <v>34</v>
      </c>
      <c r="AZ32" s="174">
        <v>18.5</v>
      </c>
      <c r="BA32" s="174">
        <v>39</v>
      </c>
      <c r="BB32" s="174">
        <v>66</v>
      </c>
      <c r="BC32" s="174">
        <v>3</v>
      </c>
      <c r="BD32" s="174">
        <v>1.9</v>
      </c>
      <c r="BE32" s="174">
        <v>8.5</v>
      </c>
      <c r="BF32" s="174">
        <v>9.6</v>
      </c>
      <c r="BG32" s="174">
        <v>10.3</v>
      </c>
      <c r="BH32" s="174">
        <v>11.1</v>
      </c>
      <c r="BI32" s="174">
        <v>12.4</v>
      </c>
      <c r="BJ32" s="174">
        <v>0.18099999999999999</v>
      </c>
      <c r="BK32" s="174">
        <v>0.2044</v>
      </c>
      <c r="BL32" s="174">
        <v>0.22009999999999999</v>
      </c>
      <c r="BM32" s="174">
        <v>0.23580000000000001</v>
      </c>
      <c r="BN32" s="174">
        <v>0.26440000000000002</v>
      </c>
      <c r="BO32" s="174">
        <v>400</v>
      </c>
      <c r="BP32" s="174">
        <v>506</v>
      </c>
      <c r="BQ32" s="174">
        <v>540</v>
      </c>
      <c r="BR32" s="174">
        <v>579</v>
      </c>
      <c r="BS32" s="174">
        <v>719</v>
      </c>
      <c r="BT32" s="174"/>
      <c r="BU32" s="174"/>
      <c r="BV32" s="174"/>
      <c r="BW32" s="174"/>
      <c r="BX32" s="174"/>
      <c r="BY32" s="174"/>
      <c r="BZ32" s="174">
        <v>167</v>
      </c>
      <c r="CA32" s="174">
        <v>192</v>
      </c>
      <c r="CB32" s="174">
        <v>254</v>
      </c>
      <c r="CC32" s="174">
        <v>316</v>
      </c>
      <c r="CD32" s="174">
        <v>459</v>
      </c>
      <c r="CE32" s="174">
        <v>35.299999999999997</v>
      </c>
      <c r="CF32" s="174">
        <v>10.1</v>
      </c>
      <c r="CG32" s="174">
        <v>1.3</v>
      </c>
      <c r="CH32" s="175">
        <v>7.1703452642004872E-10</v>
      </c>
    </row>
    <row r="33" spans="1:86" x14ac:dyDescent="0.3">
      <c r="A33" s="192"/>
      <c r="B33" s="192"/>
      <c r="D33" s="153"/>
      <c r="F33" s="152" t="s">
        <v>561</v>
      </c>
      <c r="L33" s="196"/>
      <c r="M33" s="196" t="s">
        <v>395</v>
      </c>
      <c r="N33" s="167"/>
      <c r="O33" s="170"/>
      <c r="P33" s="167"/>
      <c r="Q33" s="167"/>
      <c r="R33" s="197"/>
      <c r="S33" s="167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I33" s="167"/>
      <c r="AJ33" s="167"/>
      <c r="AK33" s="167"/>
      <c r="AL33" s="167"/>
      <c r="AM33" s="167"/>
      <c r="AN33" s="167"/>
      <c r="AO33" s="167"/>
      <c r="AP33" s="167"/>
      <c r="AW33" s="174">
        <v>33.299999999999997</v>
      </c>
      <c r="AX33" s="174" t="s">
        <v>557</v>
      </c>
      <c r="AY33" s="174">
        <v>34</v>
      </c>
      <c r="AZ33" s="174">
        <v>18.5</v>
      </c>
      <c r="BA33" s="174">
        <v>39</v>
      </c>
      <c r="BB33" s="174">
        <v>66</v>
      </c>
      <c r="BC33" s="174">
        <v>3</v>
      </c>
      <c r="BD33" s="174">
        <v>1.9</v>
      </c>
      <c r="BE33" s="174">
        <v>5.8</v>
      </c>
      <c r="BF33" s="174">
        <v>6.8</v>
      </c>
      <c r="BG33" s="174">
        <v>7.6</v>
      </c>
      <c r="BH33" s="174">
        <v>8.4</v>
      </c>
      <c r="BI33" s="174">
        <v>9.6999999999999993</v>
      </c>
      <c r="BJ33" s="174">
        <v>0.1318</v>
      </c>
      <c r="BK33" s="174">
        <v>0.15529999999999999</v>
      </c>
      <c r="BL33" s="174">
        <v>0.17100000000000001</v>
      </c>
      <c r="BM33" s="174">
        <v>0.18659999999999999</v>
      </c>
      <c r="BN33" s="174">
        <v>0.21529999999999999</v>
      </c>
      <c r="BO33" s="174">
        <v>246</v>
      </c>
      <c r="BP33" s="174">
        <v>352</v>
      </c>
      <c r="BQ33" s="174">
        <v>386</v>
      </c>
      <c r="BR33" s="174">
        <v>425</v>
      </c>
      <c r="BS33" s="174">
        <v>565</v>
      </c>
      <c r="BT33" s="174"/>
      <c r="BU33" s="174"/>
      <c r="BV33" s="174"/>
      <c r="BW33" s="174"/>
      <c r="BX33" s="174"/>
      <c r="BY33" s="174"/>
      <c r="BZ33" s="174">
        <v>98</v>
      </c>
      <c r="CA33" s="174">
        <v>116</v>
      </c>
      <c r="CB33" s="174">
        <v>178</v>
      </c>
      <c r="CC33" s="174">
        <v>240</v>
      </c>
      <c r="CD33" s="174">
        <v>383</v>
      </c>
      <c r="CE33" s="174">
        <v>35.299999999999997</v>
      </c>
      <c r="CF33" s="174">
        <v>10.1</v>
      </c>
      <c r="CG33" s="174">
        <v>1.3</v>
      </c>
      <c r="CH33" s="175">
        <v>7.1703452642004872E-10</v>
      </c>
    </row>
    <row r="34" spans="1:86" x14ac:dyDescent="0.3">
      <c r="F34" s="152" t="s">
        <v>562</v>
      </c>
      <c r="L34" s="196"/>
      <c r="M34" s="196" t="s">
        <v>395</v>
      </c>
      <c r="N34" s="167"/>
      <c r="O34" s="170"/>
      <c r="P34" s="167"/>
      <c r="Q34" s="167"/>
      <c r="R34" s="197"/>
      <c r="S34" s="167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I34" s="167"/>
      <c r="AJ34" s="167"/>
      <c r="AK34" s="167"/>
      <c r="AL34" s="167"/>
      <c r="AM34" s="167"/>
      <c r="AN34" s="167"/>
      <c r="AO34" s="167"/>
      <c r="AP34" s="167"/>
      <c r="AW34" s="174">
        <v>33.299999999999997</v>
      </c>
      <c r="AX34" s="174" t="s">
        <v>557</v>
      </c>
      <c r="AY34" s="174">
        <v>34</v>
      </c>
      <c r="AZ34" s="174">
        <v>18.5</v>
      </c>
      <c r="BA34" s="174">
        <v>39</v>
      </c>
      <c r="BB34" s="174">
        <v>66</v>
      </c>
      <c r="BC34" s="174">
        <v>3</v>
      </c>
      <c r="BD34" s="174">
        <v>1.9</v>
      </c>
      <c r="BE34" s="174">
        <v>5.6</v>
      </c>
      <c r="BF34" s="174">
        <v>6.5</v>
      </c>
      <c r="BG34" s="174">
        <v>7.2</v>
      </c>
      <c r="BH34" s="174">
        <v>7.8</v>
      </c>
      <c r="BI34" s="174">
        <v>8.8000000000000007</v>
      </c>
      <c r="BJ34" s="174">
        <v>0.1171</v>
      </c>
      <c r="BK34" s="174">
        <v>0.13919999999999999</v>
      </c>
      <c r="BL34" s="174">
        <v>0.154</v>
      </c>
      <c r="BM34" s="174">
        <v>0.16880000000000001</v>
      </c>
      <c r="BN34" s="174">
        <v>0.19089999999999999</v>
      </c>
      <c r="BO34" s="174">
        <v>218</v>
      </c>
      <c r="BP34" s="174">
        <v>327</v>
      </c>
      <c r="BQ34" s="174">
        <v>362</v>
      </c>
      <c r="BR34" s="174">
        <v>400</v>
      </c>
      <c r="BS34" s="174">
        <v>517</v>
      </c>
      <c r="BT34" s="174"/>
      <c r="BU34" s="174"/>
      <c r="BV34" s="174"/>
      <c r="BW34" s="174"/>
      <c r="BX34" s="174"/>
      <c r="BY34" s="174"/>
      <c r="BZ34" s="174">
        <v>95</v>
      </c>
      <c r="CA34" s="174">
        <v>114</v>
      </c>
      <c r="CB34" s="174">
        <v>166</v>
      </c>
      <c r="CC34" s="174">
        <v>219</v>
      </c>
      <c r="CD34" s="174">
        <v>338</v>
      </c>
      <c r="CE34" s="174">
        <v>28.8</v>
      </c>
      <c r="CF34" s="174">
        <v>8</v>
      </c>
      <c r="CG34" s="174">
        <v>1.2</v>
      </c>
      <c r="CH34" s="175">
        <v>2.689115497112654E-10</v>
      </c>
    </row>
    <row r="35" spans="1:86" x14ac:dyDescent="0.3">
      <c r="F35" s="152" t="s">
        <v>563</v>
      </c>
      <c r="L35" s="196"/>
      <c r="M35" s="196" t="s">
        <v>395</v>
      </c>
      <c r="N35" s="167"/>
      <c r="O35" s="170"/>
      <c r="P35" s="167"/>
      <c r="Q35" s="167"/>
      <c r="R35" s="197"/>
      <c r="S35" s="167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I35" s="167"/>
      <c r="AJ35" s="167"/>
      <c r="AK35" s="167"/>
      <c r="AL35" s="167"/>
      <c r="AM35" s="167"/>
      <c r="AN35" s="167"/>
      <c r="AO35" s="167"/>
      <c r="AP35" s="167"/>
      <c r="AW35" s="174">
        <v>34</v>
      </c>
      <c r="AX35" s="174" t="s">
        <v>557</v>
      </c>
      <c r="AY35" s="174">
        <v>34</v>
      </c>
      <c r="AZ35" s="174">
        <v>18.5</v>
      </c>
      <c r="BA35" s="174">
        <v>39</v>
      </c>
      <c r="BB35" s="174">
        <v>66</v>
      </c>
      <c r="BC35" s="174">
        <v>3</v>
      </c>
      <c r="BD35" s="174">
        <v>1.9</v>
      </c>
      <c r="BE35" s="174">
        <v>6.8</v>
      </c>
      <c r="BF35" s="174">
        <v>7.7</v>
      </c>
      <c r="BG35" s="174">
        <v>8.4</v>
      </c>
      <c r="BH35" s="174">
        <v>9.1</v>
      </c>
      <c r="BI35" s="174">
        <v>10</v>
      </c>
      <c r="BJ35" s="174">
        <v>0.17699999999999999</v>
      </c>
      <c r="BK35" s="174">
        <v>0.19919999999999999</v>
      </c>
      <c r="BL35" s="174">
        <v>0.214</v>
      </c>
      <c r="BM35" s="174">
        <v>0.2288</v>
      </c>
      <c r="BN35" s="174">
        <v>0.25090000000000001</v>
      </c>
      <c r="BO35" s="174">
        <v>286</v>
      </c>
      <c r="BP35" s="174">
        <v>396</v>
      </c>
      <c r="BQ35" s="174">
        <v>431</v>
      </c>
      <c r="BR35" s="174">
        <v>468</v>
      </c>
      <c r="BS35" s="174">
        <v>586</v>
      </c>
      <c r="BT35" s="174"/>
      <c r="BU35" s="174"/>
      <c r="BV35" s="174"/>
      <c r="BW35" s="174"/>
      <c r="BX35" s="174"/>
      <c r="BY35" s="174"/>
      <c r="BZ35" s="174">
        <v>126</v>
      </c>
      <c r="CA35" s="174">
        <v>148</v>
      </c>
      <c r="CB35" s="174">
        <v>200</v>
      </c>
      <c r="CC35" s="174">
        <v>253</v>
      </c>
      <c r="CD35" s="174">
        <v>372</v>
      </c>
      <c r="CE35" s="174">
        <v>28.8</v>
      </c>
      <c r="CF35" s="174">
        <v>8</v>
      </c>
      <c r="CG35" s="174">
        <v>1.2</v>
      </c>
      <c r="CH35" s="175">
        <v>2.689115497112654E-10</v>
      </c>
    </row>
    <row r="36" spans="1:86" x14ac:dyDescent="0.3">
      <c r="F36" s="152" t="s">
        <v>564</v>
      </c>
      <c r="L36" s="196"/>
      <c r="M36" s="196" t="s">
        <v>395</v>
      </c>
      <c r="N36" s="167"/>
      <c r="O36" s="170"/>
      <c r="P36" s="167"/>
      <c r="Q36" s="167"/>
      <c r="R36" s="19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I36" s="167"/>
      <c r="AJ36" s="167"/>
      <c r="AK36" s="167"/>
      <c r="AL36" s="167"/>
      <c r="AM36" s="167"/>
      <c r="AN36" s="167"/>
      <c r="AO36" s="167"/>
      <c r="AP36" s="167"/>
      <c r="AW36" s="174">
        <v>34</v>
      </c>
      <c r="AX36" s="174" t="s">
        <v>557</v>
      </c>
      <c r="AY36" s="174">
        <v>34</v>
      </c>
      <c r="AZ36" s="174">
        <v>18.5</v>
      </c>
      <c r="BA36" s="174">
        <v>39</v>
      </c>
      <c r="BB36" s="174">
        <v>66</v>
      </c>
      <c r="BC36" s="174">
        <v>3</v>
      </c>
      <c r="BD36" s="174">
        <v>1.9</v>
      </c>
      <c r="BE36" s="174">
        <v>6.4</v>
      </c>
      <c r="BF36" s="174">
        <v>9</v>
      </c>
      <c r="BG36" s="174">
        <v>10.7</v>
      </c>
      <c r="BH36" s="174">
        <v>12.5</v>
      </c>
      <c r="BI36" s="174">
        <v>16.8</v>
      </c>
      <c r="BJ36" s="174">
        <v>0.1086</v>
      </c>
      <c r="BK36" s="174">
        <v>0.15210000000000001</v>
      </c>
      <c r="BL36" s="174">
        <v>0.18110000000000001</v>
      </c>
      <c r="BM36" s="174">
        <v>0.2102</v>
      </c>
      <c r="BN36" s="174">
        <v>0.28100000000000003</v>
      </c>
      <c r="BO36" s="174">
        <v>334</v>
      </c>
      <c r="BP36" s="174">
        <v>502</v>
      </c>
      <c r="BQ36" s="174">
        <v>557</v>
      </c>
      <c r="BR36" s="174">
        <v>614</v>
      </c>
      <c r="BS36" s="174">
        <v>917</v>
      </c>
      <c r="BT36" s="174"/>
      <c r="BU36" s="174"/>
      <c r="BV36" s="174"/>
      <c r="BW36" s="174"/>
      <c r="BX36" s="174"/>
      <c r="BY36" s="174"/>
      <c r="BZ36" s="174">
        <v>158</v>
      </c>
      <c r="CA36" s="174">
        <v>195</v>
      </c>
      <c r="CB36" s="174">
        <v>264</v>
      </c>
      <c r="CC36" s="174">
        <v>334</v>
      </c>
      <c r="CD36" s="174">
        <v>548</v>
      </c>
      <c r="CE36" s="174">
        <v>40.299999999999997</v>
      </c>
      <c r="CF36" s="174">
        <v>10.5</v>
      </c>
      <c r="CG36" s="174">
        <v>1.4</v>
      </c>
      <c r="CH36" s="175">
        <v>1.297690305426019E-9</v>
      </c>
    </row>
    <row r="37" spans="1:86" x14ac:dyDescent="0.3">
      <c r="F37" s="152" t="s">
        <v>553</v>
      </c>
      <c r="L37" s="196"/>
      <c r="AE37" s="167"/>
      <c r="AF37" s="167" t="s">
        <v>394</v>
      </c>
      <c r="AG37" s="167" t="s">
        <v>393</v>
      </c>
      <c r="AH37" s="167" t="s">
        <v>59</v>
      </c>
      <c r="AW37" s="174">
        <v>36.5</v>
      </c>
      <c r="AX37" s="174" t="s">
        <v>557</v>
      </c>
      <c r="AY37" s="174">
        <v>34</v>
      </c>
      <c r="AZ37" s="174">
        <v>18.5</v>
      </c>
      <c r="BA37" s="174">
        <v>39</v>
      </c>
      <c r="BB37" s="174">
        <v>66</v>
      </c>
      <c r="BC37" s="174">
        <v>3</v>
      </c>
      <c r="BD37" s="174">
        <v>1.9</v>
      </c>
      <c r="BE37" s="174">
        <v>6.4</v>
      </c>
      <c r="BF37" s="174">
        <v>9</v>
      </c>
      <c r="BG37" s="174">
        <v>10.7</v>
      </c>
      <c r="BH37" s="174">
        <v>12.5</v>
      </c>
      <c r="BI37" s="174">
        <v>16.8</v>
      </c>
      <c r="BJ37" s="174">
        <v>0.1086</v>
      </c>
      <c r="BK37" s="174">
        <v>0.15210000000000001</v>
      </c>
      <c r="BL37" s="174">
        <v>0.18110000000000001</v>
      </c>
      <c r="BM37" s="174">
        <v>0.2102</v>
      </c>
      <c r="BN37" s="174">
        <v>0.28100000000000003</v>
      </c>
      <c r="BO37" s="174">
        <v>334</v>
      </c>
      <c r="BP37" s="174">
        <v>502</v>
      </c>
      <c r="BQ37" s="174">
        <v>557</v>
      </c>
      <c r="BR37" s="174">
        <v>614</v>
      </c>
      <c r="BS37" s="174">
        <v>917</v>
      </c>
      <c r="BT37" s="174"/>
      <c r="BU37" s="174"/>
      <c r="BV37" s="174"/>
      <c r="BW37" s="174"/>
      <c r="BX37" s="174"/>
      <c r="BY37" s="174"/>
      <c r="BZ37" s="174">
        <v>158</v>
      </c>
      <c r="CA37" s="174">
        <v>195</v>
      </c>
      <c r="CB37" s="174">
        <v>264</v>
      </c>
      <c r="CC37" s="174">
        <v>334</v>
      </c>
      <c r="CD37" s="174">
        <v>548</v>
      </c>
      <c r="CE37" s="174">
        <v>40.299999999999997</v>
      </c>
      <c r="CF37" s="174">
        <v>10.5</v>
      </c>
      <c r="CG37" s="174">
        <v>1.4</v>
      </c>
      <c r="CH37" s="175">
        <v>1.297690305426019E-9</v>
      </c>
    </row>
    <row r="38" spans="1:86" x14ac:dyDescent="0.3">
      <c r="F38" s="152" t="s">
        <v>553</v>
      </c>
      <c r="L38" s="196"/>
      <c r="AE38" s="152" t="s">
        <v>392</v>
      </c>
      <c r="AF38" s="152" t="s">
        <v>391</v>
      </c>
      <c r="AG38" s="152" t="s">
        <v>390</v>
      </c>
      <c r="AR38" s="152">
        <v>0.16853899999999999</v>
      </c>
      <c r="AW38" s="188">
        <v>36.5</v>
      </c>
      <c r="AX38" s="188" t="s">
        <v>557</v>
      </c>
      <c r="AY38" s="188">
        <v>30</v>
      </c>
      <c r="AZ38" s="188">
        <v>18.7</v>
      </c>
      <c r="BA38" s="188">
        <v>55</v>
      </c>
      <c r="BB38" s="188">
        <v>79</v>
      </c>
      <c r="BC38" s="188">
        <v>3</v>
      </c>
      <c r="BD38" s="188">
        <v>1.9</v>
      </c>
      <c r="BE38" s="188">
        <v>10.8</v>
      </c>
      <c r="BF38" s="188">
        <v>13.6</v>
      </c>
      <c r="BG38" s="188">
        <v>15.5</v>
      </c>
      <c r="BH38" s="188">
        <v>17.399999999999999</v>
      </c>
      <c r="BI38" s="188">
        <v>21.1</v>
      </c>
      <c r="BJ38" s="188">
        <v>0.1507</v>
      </c>
      <c r="BK38" s="188">
        <v>0.21110000000000001</v>
      </c>
      <c r="BL38" s="188">
        <v>0.25130000000000002</v>
      </c>
      <c r="BM38" s="188">
        <v>0.29160000000000003</v>
      </c>
      <c r="BN38" s="188">
        <v>0.34210000000000002</v>
      </c>
      <c r="BO38" s="188">
        <v>574</v>
      </c>
      <c r="BP38" s="188">
        <v>739</v>
      </c>
      <c r="BQ38" s="188">
        <v>821</v>
      </c>
      <c r="BR38" s="188">
        <v>904</v>
      </c>
      <c r="BS38" s="188">
        <v>1165</v>
      </c>
      <c r="BT38" s="188"/>
      <c r="BU38" s="188"/>
      <c r="BV38" s="188"/>
      <c r="BW38" s="188"/>
      <c r="BX38" s="188"/>
      <c r="BY38" s="188"/>
      <c r="BZ38" s="188">
        <v>243</v>
      </c>
      <c r="CA38" s="188">
        <v>333</v>
      </c>
      <c r="CB38" s="188">
        <v>405</v>
      </c>
      <c r="CC38" s="188">
        <v>478</v>
      </c>
      <c r="CD38" s="188">
        <v>694</v>
      </c>
      <c r="CE38" s="188">
        <v>58.9</v>
      </c>
      <c r="CF38" s="188">
        <v>14.5</v>
      </c>
      <c r="CG38" s="188">
        <v>1.5</v>
      </c>
      <c r="CH38" s="189">
        <v>3.6842635555802979E-9</v>
      </c>
    </row>
    <row r="39" spans="1:86" x14ac:dyDescent="0.3">
      <c r="F39" s="152" t="s">
        <v>553</v>
      </c>
      <c r="L39" s="196"/>
      <c r="AE39" s="152">
        <v>15</v>
      </c>
      <c r="AF39" s="152">
        <v>48</v>
      </c>
      <c r="AG39" s="152">
        <v>1900</v>
      </c>
      <c r="AH39" s="152">
        <v>8</v>
      </c>
      <c r="AR39" s="152">
        <v>0.29729699999999998</v>
      </c>
      <c r="AW39" s="188">
        <v>39.799999999999997</v>
      </c>
      <c r="AX39" s="188" t="s">
        <v>557</v>
      </c>
      <c r="AY39" s="188">
        <v>30</v>
      </c>
      <c r="AZ39" s="188">
        <v>18.7</v>
      </c>
      <c r="BA39" s="188">
        <v>55</v>
      </c>
      <c r="BB39" s="188">
        <v>79</v>
      </c>
      <c r="BC39" s="188">
        <v>3</v>
      </c>
      <c r="BD39" s="188">
        <v>1.9</v>
      </c>
      <c r="BE39" s="188">
        <v>10.8</v>
      </c>
      <c r="BF39" s="188">
        <v>13.6</v>
      </c>
      <c r="BG39" s="188">
        <v>15.5</v>
      </c>
      <c r="BH39" s="188">
        <v>17.399999999999999</v>
      </c>
      <c r="BI39" s="188">
        <v>21.1</v>
      </c>
      <c r="BJ39" s="188">
        <v>0.1507</v>
      </c>
      <c r="BK39" s="188">
        <v>0.21110000000000001</v>
      </c>
      <c r="BL39" s="188">
        <v>0.25130000000000002</v>
      </c>
      <c r="BM39" s="188">
        <v>0.29160000000000003</v>
      </c>
      <c r="BN39" s="188">
        <v>0.34210000000000002</v>
      </c>
      <c r="BO39" s="188">
        <v>574</v>
      </c>
      <c r="BP39" s="188">
        <v>739</v>
      </c>
      <c r="BQ39" s="188">
        <v>821</v>
      </c>
      <c r="BR39" s="188">
        <v>904</v>
      </c>
      <c r="BS39" s="188">
        <v>1165</v>
      </c>
      <c r="BT39" s="188"/>
      <c r="BU39" s="188"/>
      <c r="BV39" s="188"/>
      <c r="BW39" s="188"/>
      <c r="BX39" s="188"/>
      <c r="BY39" s="188"/>
      <c r="BZ39" s="188">
        <v>243</v>
      </c>
      <c r="CA39" s="188">
        <v>333</v>
      </c>
      <c r="CB39" s="188">
        <v>405</v>
      </c>
      <c r="CC39" s="188">
        <v>478</v>
      </c>
      <c r="CD39" s="188">
        <v>694</v>
      </c>
      <c r="CE39" s="188">
        <v>58.9</v>
      </c>
      <c r="CF39" s="188">
        <v>14.5</v>
      </c>
      <c r="CG39" s="188">
        <v>1.5</v>
      </c>
      <c r="CH39" s="189">
        <v>3.6842635555802979E-9</v>
      </c>
    </row>
    <row r="40" spans="1:86" x14ac:dyDescent="0.3">
      <c r="F40" s="152" t="s">
        <v>553</v>
      </c>
      <c r="L40" s="196"/>
      <c r="AE40" s="152">
        <v>16</v>
      </c>
      <c r="AF40" s="152">
        <f>AF39+3.8</f>
        <v>51.8</v>
      </c>
      <c r="AG40" s="152">
        <f>AG39+200</f>
        <v>2100</v>
      </c>
      <c r="AH40" s="152">
        <f>AH39+0.8</f>
        <v>8.8000000000000007</v>
      </c>
      <c r="AR40" s="152">
        <v>0.43835600000000002</v>
      </c>
      <c r="AW40" s="174">
        <v>39.799999999999997</v>
      </c>
      <c r="AX40" s="174" t="s">
        <v>557</v>
      </c>
      <c r="AY40" s="174">
        <v>30</v>
      </c>
      <c r="AZ40" s="174">
        <v>18.7</v>
      </c>
      <c r="BA40" s="174">
        <v>55</v>
      </c>
      <c r="BB40" s="174">
        <v>79</v>
      </c>
      <c r="BC40" s="174">
        <v>3</v>
      </c>
      <c r="BD40" s="174">
        <v>1.9</v>
      </c>
      <c r="BE40" s="174">
        <v>8.6</v>
      </c>
      <c r="BF40" s="174">
        <v>9.8000000000000007</v>
      </c>
      <c r="BG40" s="174">
        <v>10.7</v>
      </c>
      <c r="BH40" s="174">
        <v>11.6</v>
      </c>
      <c r="BI40" s="174">
        <v>13</v>
      </c>
      <c r="BJ40" s="174">
        <v>0.16189999999999999</v>
      </c>
      <c r="BK40" s="174">
        <v>0.18679999999999999</v>
      </c>
      <c r="BL40" s="174">
        <v>0.20349999999999999</v>
      </c>
      <c r="BM40" s="174">
        <v>0.22009999999999999</v>
      </c>
      <c r="BN40" s="174">
        <v>0.2697</v>
      </c>
      <c r="BO40" s="174">
        <v>386</v>
      </c>
      <c r="BP40" s="174">
        <v>515</v>
      </c>
      <c r="BQ40" s="174">
        <v>552</v>
      </c>
      <c r="BR40" s="174">
        <v>592</v>
      </c>
      <c r="BS40" s="174">
        <v>740</v>
      </c>
      <c r="BT40" s="174"/>
      <c r="BU40" s="174"/>
      <c r="BV40" s="174"/>
      <c r="BW40" s="174"/>
      <c r="BX40" s="174"/>
      <c r="BY40" s="174"/>
      <c r="BZ40" s="174">
        <v>164</v>
      </c>
      <c r="CA40" s="174">
        <v>194</v>
      </c>
      <c r="CB40" s="174">
        <v>265</v>
      </c>
      <c r="CC40" s="174">
        <v>336</v>
      </c>
      <c r="CD40" s="174">
        <v>500</v>
      </c>
      <c r="CE40" s="174">
        <v>37.4</v>
      </c>
      <c r="CF40" s="174">
        <v>8.8000000000000007</v>
      </c>
      <c r="CG40" s="174">
        <v>1.3</v>
      </c>
      <c r="CH40" s="175">
        <v>4.6804948559431741E-10</v>
      </c>
    </row>
    <row r="41" spans="1:86" x14ac:dyDescent="0.3">
      <c r="F41" s="152" t="s">
        <v>553</v>
      </c>
      <c r="L41" s="196"/>
      <c r="AE41" s="152">
        <v>17</v>
      </c>
      <c r="AF41" s="152">
        <f>AF40+3.8</f>
        <v>55.599999999999994</v>
      </c>
      <c r="AG41" s="152">
        <f>AG40+200</f>
        <v>2300</v>
      </c>
      <c r="AH41" s="152">
        <f>AH40+0.8</f>
        <v>9.6000000000000014</v>
      </c>
      <c r="AR41" s="152">
        <v>0.29729699999999998</v>
      </c>
      <c r="AW41" s="174">
        <v>41</v>
      </c>
      <c r="AX41" s="174" t="s">
        <v>557</v>
      </c>
      <c r="AY41" s="174">
        <v>30</v>
      </c>
      <c r="AZ41" s="174">
        <v>18.7</v>
      </c>
      <c r="BA41" s="174">
        <v>55</v>
      </c>
      <c r="BB41" s="174">
        <v>79</v>
      </c>
      <c r="BC41" s="174">
        <v>3</v>
      </c>
      <c r="BD41" s="174">
        <v>1.9</v>
      </c>
      <c r="BE41" s="174">
        <v>7.6</v>
      </c>
      <c r="BF41" s="174">
        <v>8.9</v>
      </c>
      <c r="BG41" s="174">
        <v>9.6999999999999993</v>
      </c>
      <c r="BH41" s="174">
        <v>10.6</v>
      </c>
      <c r="BI41" s="174">
        <v>12</v>
      </c>
      <c r="BJ41" s="174">
        <v>0.159</v>
      </c>
      <c r="BK41" s="174">
        <v>0.18390000000000001</v>
      </c>
      <c r="BL41" s="174">
        <v>0.20050000000000001</v>
      </c>
      <c r="BM41" s="174">
        <v>0.2172</v>
      </c>
      <c r="BN41" s="174">
        <v>0.26679999999999998</v>
      </c>
      <c r="BO41" s="174">
        <v>330</v>
      </c>
      <c r="BP41" s="174">
        <v>460</v>
      </c>
      <c r="BQ41" s="174">
        <v>496</v>
      </c>
      <c r="BR41" s="174">
        <v>537</v>
      </c>
      <c r="BS41" s="174">
        <v>684</v>
      </c>
      <c r="BT41" s="174"/>
      <c r="BU41" s="174"/>
      <c r="BV41" s="174"/>
      <c r="BW41" s="174"/>
      <c r="BX41" s="174"/>
      <c r="BY41" s="174"/>
      <c r="BZ41" s="174">
        <v>136</v>
      </c>
      <c r="CA41" s="174">
        <v>166</v>
      </c>
      <c r="CB41" s="174">
        <v>237</v>
      </c>
      <c r="CC41" s="174">
        <v>308</v>
      </c>
      <c r="CD41" s="174">
        <v>472</v>
      </c>
      <c r="CE41" s="174">
        <v>37.4</v>
      </c>
      <c r="CF41" s="174">
        <v>8.8000000000000007</v>
      </c>
      <c r="CG41" s="174">
        <v>1.3</v>
      </c>
      <c r="CH41" s="175">
        <v>4.6804948559431741E-10</v>
      </c>
    </row>
    <row r="42" spans="1:86" x14ac:dyDescent="0.3">
      <c r="F42" s="152" t="s">
        <v>553</v>
      </c>
      <c r="L42" s="196"/>
      <c r="AE42" s="152">
        <v>18</v>
      </c>
      <c r="AF42" s="152">
        <f>AF41+3.8</f>
        <v>59.399999999999991</v>
      </c>
      <c r="AG42" s="152">
        <f>AG41+200</f>
        <v>2500</v>
      </c>
      <c r="AH42" s="152">
        <f>AH41+0.8</f>
        <v>10.400000000000002</v>
      </c>
      <c r="AR42" s="152">
        <v>0.324324</v>
      </c>
      <c r="AW42" s="174">
        <v>41</v>
      </c>
      <c r="AX42" s="174" t="s">
        <v>557</v>
      </c>
      <c r="AY42" s="174">
        <v>30</v>
      </c>
      <c r="AZ42" s="174">
        <v>18.7</v>
      </c>
      <c r="BA42" s="174">
        <v>55</v>
      </c>
      <c r="BB42" s="174">
        <v>79</v>
      </c>
      <c r="BC42" s="174">
        <v>3</v>
      </c>
      <c r="BD42" s="174">
        <v>1.9</v>
      </c>
      <c r="BE42" s="174">
        <v>9.6</v>
      </c>
      <c r="BF42" s="174">
        <v>10.9</v>
      </c>
      <c r="BG42" s="174">
        <v>11.8</v>
      </c>
      <c r="BH42" s="174">
        <v>12.7</v>
      </c>
      <c r="BI42" s="174">
        <v>16</v>
      </c>
      <c r="BJ42" s="174">
        <v>0.17230000000000001</v>
      </c>
      <c r="BK42" s="174">
        <v>0.1963</v>
      </c>
      <c r="BL42" s="174">
        <v>0.21240000000000001</v>
      </c>
      <c r="BM42" s="174">
        <v>0.22850000000000001</v>
      </c>
      <c r="BN42" s="174">
        <v>0.26019999999999999</v>
      </c>
      <c r="BO42" s="174">
        <v>433</v>
      </c>
      <c r="BP42" s="174">
        <v>573</v>
      </c>
      <c r="BQ42" s="174">
        <v>612</v>
      </c>
      <c r="BR42" s="174">
        <v>664</v>
      </c>
      <c r="BS42" s="174">
        <v>881</v>
      </c>
      <c r="BT42" s="174"/>
      <c r="BU42" s="174"/>
      <c r="BV42" s="174"/>
      <c r="BW42" s="174"/>
      <c r="BX42" s="174"/>
      <c r="BY42" s="174"/>
      <c r="BZ42" s="174">
        <v>187</v>
      </c>
      <c r="CA42" s="174">
        <v>224</v>
      </c>
      <c r="CB42" s="174">
        <v>296</v>
      </c>
      <c r="CC42" s="174">
        <v>370</v>
      </c>
      <c r="CD42" s="174">
        <v>554</v>
      </c>
      <c r="CE42" s="174">
        <v>49.5</v>
      </c>
      <c r="CF42" s="174">
        <v>11.3</v>
      </c>
      <c r="CG42" s="174">
        <v>1.4</v>
      </c>
      <c r="CH42" s="175">
        <v>1.5721777437081191E-9</v>
      </c>
    </row>
    <row r="43" spans="1:86" x14ac:dyDescent="0.3">
      <c r="F43" s="152" t="s">
        <v>553</v>
      </c>
      <c r="L43" s="196"/>
      <c r="AE43" s="152">
        <v>19</v>
      </c>
      <c r="AF43" s="152">
        <f>AF42+3.8</f>
        <v>63.199999999999989</v>
      </c>
      <c r="AG43" s="152">
        <f>AG42+200</f>
        <v>2700</v>
      </c>
      <c r="AH43" s="152">
        <f>AH42+0.8</f>
        <v>11.200000000000003</v>
      </c>
      <c r="AR43" s="152">
        <v>0.324324</v>
      </c>
      <c r="AW43" s="174">
        <v>42</v>
      </c>
      <c r="AX43" s="174" t="s">
        <v>557</v>
      </c>
      <c r="AY43" s="174">
        <v>30</v>
      </c>
      <c r="AZ43" s="174">
        <v>18.7</v>
      </c>
      <c r="BA43" s="174">
        <v>55</v>
      </c>
      <c r="BB43" s="174">
        <v>79</v>
      </c>
      <c r="BC43" s="174">
        <v>3</v>
      </c>
      <c r="BD43" s="174">
        <v>1.9</v>
      </c>
      <c r="BE43" s="174">
        <v>7.8</v>
      </c>
      <c r="BF43" s="174">
        <v>9.1</v>
      </c>
      <c r="BG43" s="174">
        <v>10</v>
      </c>
      <c r="BH43" s="174">
        <v>10.9</v>
      </c>
      <c r="BI43" s="174">
        <v>14.2</v>
      </c>
      <c r="BJ43" s="174">
        <v>0.1479</v>
      </c>
      <c r="BK43" s="174">
        <v>0.1719</v>
      </c>
      <c r="BL43" s="174">
        <v>0.188</v>
      </c>
      <c r="BM43" s="174">
        <v>0.20399999999999999</v>
      </c>
      <c r="BN43" s="174">
        <v>0.23580000000000001</v>
      </c>
      <c r="BO43" s="174">
        <v>332</v>
      </c>
      <c r="BP43" s="174">
        <v>472</v>
      </c>
      <c r="BQ43" s="174">
        <v>512</v>
      </c>
      <c r="BR43" s="174">
        <v>564</v>
      </c>
      <c r="BS43" s="174">
        <v>781</v>
      </c>
      <c r="BT43" s="174"/>
      <c r="BU43" s="174"/>
      <c r="BV43" s="174"/>
      <c r="BW43" s="174"/>
      <c r="BX43" s="174"/>
      <c r="BY43" s="174"/>
      <c r="BZ43" s="174">
        <v>136</v>
      </c>
      <c r="CA43" s="174">
        <v>173</v>
      </c>
      <c r="CB43" s="174">
        <v>245</v>
      </c>
      <c r="CC43" s="174">
        <v>319</v>
      </c>
      <c r="CD43" s="174">
        <v>503</v>
      </c>
      <c r="CE43" s="174">
        <v>49.5</v>
      </c>
      <c r="CF43" s="174">
        <v>11.3</v>
      </c>
      <c r="CG43" s="174">
        <v>1.4</v>
      </c>
      <c r="CH43" s="175">
        <v>1.5721777437081191E-9</v>
      </c>
    </row>
    <row r="44" spans="1:86" x14ac:dyDescent="0.3">
      <c r="F44" s="152" t="s">
        <v>553</v>
      </c>
      <c r="L44" s="196"/>
      <c r="AE44" s="152">
        <v>20</v>
      </c>
      <c r="AF44" s="152">
        <f>AF43+3.8</f>
        <v>66.999999999999986</v>
      </c>
      <c r="AG44" s="152">
        <f>AG43+200</f>
        <v>2900</v>
      </c>
      <c r="AH44" s="152">
        <f>AH43+0.8</f>
        <v>12.000000000000004</v>
      </c>
      <c r="AR44" s="152">
        <v>0.35135100000000002</v>
      </c>
      <c r="AW44" s="174">
        <v>42</v>
      </c>
      <c r="AX44" s="174" t="s">
        <v>557</v>
      </c>
      <c r="AY44" s="174">
        <v>30</v>
      </c>
      <c r="AZ44" s="174">
        <v>18.7</v>
      </c>
      <c r="BA44" s="174">
        <v>55</v>
      </c>
      <c r="BB44" s="174">
        <v>79</v>
      </c>
      <c r="BC44" s="174">
        <v>3</v>
      </c>
      <c r="BD44" s="174">
        <v>1.9</v>
      </c>
      <c r="BE44" s="174">
        <v>9</v>
      </c>
      <c r="BF44" s="174">
        <v>12.6</v>
      </c>
      <c r="BG44" s="174">
        <v>15</v>
      </c>
      <c r="BH44" s="174">
        <v>17.5</v>
      </c>
      <c r="BI44" s="174">
        <v>23.6</v>
      </c>
      <c r="BJ44" s="174">
        <v>0.14829999999999999</v>
      </c>
      <c r="BK44" s="174">
        <v>0.20760000000000001</v>
      </c>
      <c r="BL44" s="174">
        <v>0.2472</v>
      </c>
      <c r="BM44" s="174">
        <v>0.2868</v>
      </c>
      <c r="BN44" s="174">
        <v>0.36299999999999999</v>
      </c>
      <c r="BO44" s="174">
        <v>472</v>
      </c>
      <c r="BP44" s="174">
        <v>709</v>
      </c>
      <c r="BQ44" s="174">
        <v>787</v>
      </c>
      <c r="BR44" s="174">
        <v>867</v>
      </c>
      <c r="BS44" s="174">
        <v>1200</v>
      </c>
      <c r="BT44" s="174"/>
      <c r="BU44" s="174"/>
      <c r="BV44" s="174"/>
      <c r="BW44" s="174"/>
      <c r="BX44" s="174"/>
      <c r="BY44" s="174"/>
      <c r="BZ44" s="174">
        <v>233</v>
      </c>
      <c r="CA44" s="174">
        <v>320</v>
      </c>
      <c r="CB44" s="174">
        <v>389</v>
      </c>
      <c r="CC44" s="174">
        <v>457</v>
      </c>
      <c r="CD44" s="174">
        <v>730</v>
      </c>
      <c r="CE44" s="174">
        <v>51.7</v>
      </c>
      <c r="CF44" s="174">
        <v>11.4</v>
      </c>
      <c r="CG44" s="174">
        <v>1.4</v>
      </c>
      <c r="CH44" s="175">
        <v>1.299270603612855E-9</v>
      </c>
    </row>
    <row r="45" spans="1:86" x14ac:dyDescent="0.3">
      <c r="F45" s="152" t="s">
        <v>553</v>
      </c>
      <c r="L45" s="196"/>
      <c r="AE45" s="152">
        <v>21</v>
      </c>
      <c r="AF45" s="152">
        <f>AF44+2.8</f>
        <v>69.799999999999983</v>
      </c>
      <c r="AG45" s="152">
        <f>AG44+380</f>
        <v>3280</v>
      </c>
      <c r="AH45" s="152">
        <f>AH44+1.6</f>
        <v>13.600000000000003</v>
      </c>
      <c r="AR45" s="152">
        <v>0.40540500000000002</v>
      </c>
      <c r="AW45" s="174">
        <v>45</v>
      </c>
      <c r="AX45" s="174" t="s">
        <v>557</v>
      </c>
      <c r="AY45" s="174">
        <v>30</v>
      </c>
      <c r="AZ45" s="174">
        <v>18.7</v>
      </c>
      <c r="BA45" s="174">
        <v>55</v>
      </c>
      <c r="BB45" s="174">
        <v>79</v>
      </c>
      <c r="BC45" s="174">
        <v>3</v>
      </c>
      <c r="BD45" s="174">
        <v>1.9</v>
      </c>
      <c r="BE45" s="174">
        <v>9</v>
      </c>
      <c r="BF45" s="174">
        <v>12.6</v>
      </c>
      <c r="BG45" s="174">
        <v>15</v>
      </c>
      <c r="BH45" s="174">
        <v>17.5</v>
      </c>
      <c r="BI45" s="174">
        <v>23.6</v>
      </c>
      <c r="BJ45" s="174">
        <v>0.14829999999999999</v>
      </c>
      <c r="BK45" s="174">
        <v>0.20760000000000001</v>
      </c>
      <c r="BL45" s="174">
        <v>0.2472</v>
      </c>
      <c r="BM45" s="174">
        <v>0.2868</v>
      </c>
      <c r="BN45" s="174">
        <v>0.36299999999999999</v>
      </c>
      <c r="BO45" s="174">
        <v>472</v>
      </c>
      <c r="BP45" s="174">
        <v>709</v>
      </c>
      <c r="BQ45" s="174">
        <v>787</v>
      </c>
      <c r="BR45" s="174">
        <v>867</v>
      </c>
      <c r="BS45" s="174">
        <v>1200</v>
      </c>
      <c r="BT45" s="174"/>
      <c r="BU45" s="174"/>
      <c r="BV45" s="174"/>
      <c r="BW45" s="174"/>
      <c r="BX45" s="174"/>
      <c r="BY45" s="174"/>
      <c r="BZ45" s="174">
        <v>233</v>
      </c>
      <c r="CA45" s="174">
        <v>320</v>
      </c>
      <c r="CB45" s="174">
        <v>389</v>
      </c>
      <c r="CC45" s="174">
        <v>457</v>
      </c>
      <c r="CD45" s="174">
        <v>730</v>
      </c>
      <c r="CE45" s="174">
        <v>51.7</v>
      </c>
      <c r="CF45" s="174">
        <v>11.4</v>
      </c>
      <c r="CG45" s="174">
        <v>1.4</v>
      </c>
      <c r="CH45" s="175">
        <v>1.299270603612855E-9</v>
      </c>
    </row>
    <row r="46" spans="1:86" x14ac:dyDescent="0.3">
      <c r="F46" s="152" t="s">
        <v>553</v>
      </c>
      <c r="L46" s="196"/>
      <c r="AE46" s="152">
        <v>22</v>
      </c>
      <c r="AF46" s="152">
        <f>AF45+2.8</f>
        <v>72.59999999999998</v>
      </c>
      <c r="AG46" s="152">
        <f>AG45+380</f>
        <v>3660</v>
      </c>
      <c r="AH46" s="152">
        <f>AH45+1.6</f>
        <v>15.200000000000003</v>
      </c>
      <c r="AR46" s="152">
        <v>1.55789</v>
      </c>
      <c r="AW46" s="174">
        <v>45</v>
      </c>
      <c r="AX46" s="174" t="s">
        <v>557</v>
      </c>
      <c r="AY46" s="174">
        <v>30</v>
      </c>
      <c r="AZ46" s="174">
        <v>18.7</v>
      </c>
      <c r="BA46" s="174">
        <v>55</v>
      </c>
      <c r="BB46" s="174">
        <v>79</v>
      </c>
      <c r="BC46" s="174">
        <v>3</v>
      </c>
      <c r="BD46" s="174">
        <v>1.9</v>
      </c>
      <c r="BE46" s="174">
        <v>16</v>
      </c>
      <c r="BF46" s="174">
        <v>22.4</v>
      </c>
      <c r="BG46" s="174">
        <v>26.8</v>
      </c>
      <c r="BH46" s="174">
        <v>31.1</v>
      </c>
      <c r="BI46" s="174">
        <v>38.6</v>
      </c>
      <c r="BJ46" s="174">
        <v>0.15229999999999999</v>
      </c>
      <c r="BK46" s="174">
        <v>0.2132</v>
      </c>
      <c r="BL46" s="174">
        <v>0.25390000000000001</v>
      </c>
      <c r="BM46" s="174">
        <v>0.29459999999999997</v>
      </c>
      <c r="BN46" s="174">
        <v>0.376</v>
      </c>
      <c r="BO46" s="174">
        <v>861</v>
      </c>
      <c r="BP46" s="174">
        <v>1200</v>
      </c>
      <c r="BQ46" s="174">
        <v>1200</v>
      </c>
      <c r="BR46" s="174">
        <v>1200</v>
      </c>
      <c r="BS46" s="174">
        <v>1200</v>
      </c>
      <c r="BT46" s="174"/>
      <c r="BU46" s="174"/>
      <c r="BV46" s="174"/>
      <c r="BW46" s="174"/>
      <c r="BX46" s="174"/>
      <c r="BY46" s="174"/>
      <c r="BZ46" s="174">
        <v>457</v>
      </c>
      <c r="CA46" s="174">
        <v>686</v>
      </c>
      <c r="CB46" s="174">
        <v>762</v>
      </c>
      <c r="CC46" s="174">
        <v>839</v>
      </c>
      <c r="CD46" s="174">
        <v>1000</v>
      </c>
      <c r="CE46" s="174">
        <v>102.3</v>
      </c>
      <c r="CF46" s="174">
        <v>20.7</v>
      </c>
      <c r="CG46" s="174">
        <v>1.8</v>
      </c>
      <c r="CH46" s="175">
        <v>2.037873947633578E-8</v>
      </c>
    </row>
    <row r="47" spans="1:86" x14ac:dyDescent="0.3">
      <c r="L47" s="196"/>
      <c r="AE47" s="152">
        <v>23</v>
      </c>
      <c r="AF47" s="152">
        <f>AF46+2.8</f>
        <v>75.399999999999977</v>
      </c>
      <c r="AG47" s="152">
        <f>AG46+380</f>
        <v>4040</v>
      </c>
      <c r="AH47" s="152">
        <f>AH46+1.6</f>
        <v>16.800000000000004</v>
      </c>
      <c r="AR47" s="152">
        <v>1.55789</v>
      </c>
      <c r="AW47" s="174">
        <v>50</v>
      </c>
      <c r="AX47" s="174" t="s">
        <v>557</v>
      </c>
      <c r="AY47" s="174">
        <v>30</v>
      </c>
      <c r="AZ47" s="174">
        <v>18.7</v>
      </c>
      <c r="BA47" s="174">
        <v>55</v>
      </c>
      <c r="BB47" s="174">
        <v>79</v>
      </c>
      <c r="BC47" s="174">
        <v>3</v>
      </c>
      <c r="BD47" s="174">
        <v>1.9</v>
      </c>
      <c r="BE47" s="174">
        <v>16</v>
      </c>
      <c r="BF47" s="174">
        <v>22.4</v>
      </c>
      <c r="BG47" s="174">
        <v>26.8</v>
      </c>
      <c r="BH47" s="174">
        <v>31.1</v>
      </c>
      <c r="BI47" s="174">
        <v>38.6</v>
      </c>
      <c r="BJ47" s="174">
        <v>0.15229999999999999</v>
      </c>
      <c r="BK47" s="174">
        <v>0.2132</v>
      </c>
      <c r="BL47" s="174">
        <v>0.25390000000000001</v>
      </c>
      <c r="BM47" s="174">
        <v>0.29459999999999997</v>
      </c>
      <c r="BN47" s="174">
        <v>0.376</v>
      </c>
      <c r="BO47" s="174">
        <v>861</v>
      </c>
      <c r="BP47" s="174">
        <v>1200</v>
      </c>
      <c r="BQ47" s="174">
        <v>1200</v>
      </c>
      <c r="BR47" s="174">
        <v>1200</v>
      </c>
      <c r="BS47" s="174">
        <v>1200</v>
      </c>
      <c r="BT47" s="174"/>
      <c r="BU47" s="174"/>
      <c r="BV47" s="174"/>
      <c r="BW47" s="174"/>
      <c r="BX47" s="174"/>
      <c r="BY47" s="174"/>
      <c r="BZ47" s="174">
        <v>457</v>
      </c>
      <c r="CA47" s="174">
        <v>686</v>
      </c>
      <c r="CB47" s="174">
        <v>762</v>
      </c>
      <c r="CC47" s="174">
        <v>839</v>
      </c>
      <c r="CD47" s="174">
        <v>1000</v>
      </c>
      <c r="CE47" s="174">
        <v>102.3</v>
      </c>
      <c r="CF47" s="174">
        <v>20.7</v>
      </c>
      <c r="CG47" s="174">
        <v>1.8</v>
      </c>
      <c r="CH47" s="175">
        <v>2.037873947633578E-8</v>
      </c>
    </row>
    <row r="48" spans="1:86" x14ac:dyDescent="0.3">
      <c r="L48" s="196"/>
      <c r="AE48" s="152">
        <v>24</v>
      </c>
      <c r="AF48" s="152">
        <f>AF47+2.8</f>
        <v>78.199999999999974</v>
      </c>
      <c r="AG48" s="152">
        <f>AG47+380</f>
        <v>4420</v>
      </c>
      <c r="AH48" s="152">
        <f>AH47+1.6</f>
        <v>18.400000000000006</v>
      </c>
      <c r="AR48" s="152">
        <v>1.55789</v>
      </c>
      <c r="AW48" s="174"/>
      <c r="AX48" s="174"/>
      <c r="AY48" s="174"/>
      <c r="AZ48" s="174"/>
      <c r="BA48" s="174"/>
      <c r="BB48" s="174"/>
      <c r="BC48" s="174"/>
      <c r="BD48" s="174"/>
      <c r="BE48" s="174"/>
      <c r="BF48" s="174"/>
      <c r="BG48" s="174"/>
      <c r="BH48" s="174"/>
      <c r="BI48" s="174"/>
      <c r="BJ48" s="174"/>
      <c r="BK48" s="174"/>
      <c r="BL48" s="174"/>
      <c r="BM48" s="174"/>
      <c r="BN48" s="174"/>
      <c r="BO48" s="174"/>
      <c r="BP48" s="174"/>
      <c r="BQ48" s="174"/>
      <c r="BR48" s="174"/>
      <c r="BS48" s="174"/>
      <c r="BT48" s="174"/>
      <c r="BU48" s="174"/>
      <c r="BV48" s="174"/>
      <c r="BW48" s="174"/>
      <c r="BX48" s="174"/>
      <c r="BY48" s="174"/>
      <c r="BZ48" s="174"/>
      <c r="CA48" s="174"/>
      <c r="CB48" s="174"/>
      <c r="CC48" s="174"/>
      <c r="CD48" s="174"/>
      <c r="CE48" s="174"/>
      <c r="CF48" s="174"/>
      <c r="CG48" s="174"/>
      <c r="CH48" s="175"/>
    </row>
    <row r="49" spans="6:86" x14ac:dyDescent="0.3">
      <c r="L49" s="196"/>
      <c r="AE49" s="152">
        <v>25</v>
      </c>
      <c r="AF49" s="152">
        <f>AF48+2.8</f>
        <v>80.999999999999972</v>
      </c>
      <c r="AG49" s="152">
        <v>4800</v>
      </c>
      <c r="AH49" s="152">
        <f>AH48+1.6</f>
        <v>20.000000000000007</v>
      </c>
      <c r="AR49" s="152">
        <v>1.55789</v>
      </c>
      <c r="AW49" s="174"/>
      <c r="AX49" s="174"/>
      <c r="AY49" s="174"/>
      <c r="AZ49" s="174"/>
      <c r="BA49" s="174"/>
      <c r="BB49" s="174"/>
      <c r="BC49" s="174"/>
      <c r="BD49" s="174"/>
      <c r="BE49" s="174"/>
      <c r="BF49" s="174"/>
      <c r="BG49" s="174"/>
      <c r="BH49" s="174"/>
      <c r="BI49" s="174"/>
      <c r="BJ49" s="174"/>
      <c r="BK49" s="174"/>
      <c r="BL49" s="174"/>
      <c r="BM49" s="174"/>
      <c r="BN49" s="174"/>
      <c r="BO49" s="174"/>
      <c r="BP49" s="174"/>
      <c r="BQ49" s="174"/>
      <c r="BR49" s="174"/>
      <c r="BS49" s="174"/>
      <c r="BT49" s="174"/>
      <c r="BU49" s="174"/>
      <c r="BV49" s="174"/>
      <c r="BW49" s="174"/>
      <c r="BX49" s="174"/>
      <c r="BY49" s="174"/>
      <c r="BZ49" s="174"/>
      <c r="CA49" s="174"/>
      <c r="CB49" s="174"/>
      <c r="CC49" s="174"/>
      <c r="CD49" s="174"/>
      <c r="CE49" s="174"/>
      <c r="CF49" s="174"/>
      <c r="CG49" s="174"/>
      <c r="CH49" s="175"/>
    </row>
    <row r="50" spans="6:86" x14ac:dyDescent="0.3">
      <c r="F50" s="152">
        <v>0.28431400000000001</v>
      </c>
      <c r="L50" s="196"/>
      <c r="AE50" s="152">
        <v>26</v>
      </c>
      <c r="AF50" s="152">
        <f>AF49+3</f>
        <v>83.999999999999972</v>
      </c>
      <c r="AG50" s="152">
        <f>AG49+960</f>
        <v>5760</v>
      </c>
      <c r="AH50" s="152">
        <f>AH49+4</f>
        <v>24.000000000000007</v>
      </c>
      <c r="AR50" s="152">
        <v>1.55789</v>
      </c>
      <c r="AW50" s="174"/>
      <c r="AX50" s="174"/>
      <c r="AY50" s="174"/>
      <c r="AZ50" s="174"/>
      <c r="BA50" s="174"/>
      <c r="BB50" s="174"/>
      <c r="BC50" s="174"/>
      <c r="BD50" s="174"/>
      <c r="BE50" s="174"/>
      <c r="BF50" s="174"/>
      <c r="BG50" s="174"/>
      <c r="BH50" s="174"/>
      <c r="BI50" s="174"/>
      <c r="BJ50" s="174"/>
      <c r="BK50" s="174"/>
      <c r="BL50" s="174"/>
      <c r="BM50" s="174"/>
      <c r="BN50" s="174"/>
      <c r="BO50" s="174"/>
      <c r="BP50" s="174"/>
      <c r="BQ50" s="174"/>
      <c r="BR50" s="174"/>
      <c r="BS50" s="174"/>
      <c r="BT50" s="174"/>
      <c r="BU50" s="174"/>
      <c r="BV50" s="174"/>
      <c r="BW50" s="174"/>
      <c r="BX50" s="174"/>
      <c r="BY50" s="174"/>
      <c r="BZ50" s="174"/>
      <c r="CA50" s="174"/>
      <c r="CB50" s="174"/>
      <c r="CC50" s="174"/>
      <c r="CD50" s="174"/>
      <c r="CE50" s="174"/>
      <c r="CF50" s="174"/>
      <c r="CG50" s="174"/>
      <c r="CH50" s="175"/>
    </row>
    <row r="51" spans="6:86" x14ac:dyDescent="0.3">
      <c r="F51" s="152">
        <v>0.28431400000000001</v>
      </c>
      <c r="L51" s="196"/>
      <c r="AE51" s="152">
        <v>27</v>
      </c>
      <c r="AF51" s="152">
        <f>AF50+3</f>
        <v>86.999999999999972</v>
      </c>
      <c r="AG51" s="152">
        <f>AG50+960</f>
        <v>6720</v>
      </c>
      <c r="AH51" s="152">
        <f>AH50+4</f>
        <v>28.000000000000007</v>
      </c>
      <c r="AR51" s="152">
        <v>1.55789</v>
      </c>
      <c r="AW51" s="174"/>
      <c r="AX51" s="174"/>
      <c r="AY51" s="174"/>
      <c r="AZ51" s="174"/>
      <c r="BA51" s="174"/>
      <c r="BB51" s="174"/>
      <c r="BC51" s="174"/>
      <c r="BD51" s="174"/>
      <c r="BE51" s="174"/>
      <c r="BF51" s="174"/>
      <c r="BG51" s="174"/>
      <c r="BH51" s="174"/>
      <c r="BI51" s="174"/>
      <c r="BJ51" s="174"/>
      <c r="BK51" s="174"/>
      <c r="BL51" s="174"/>
      <c r="BM51" s="174"/>
      <c r="BN51" s="174"/>
      <c r="BO51" s="174"/>
      <c r="BP51" s="174"/>
      <c r="BQ51" s="174"/>
      <c r="BR51" s="174"/>
      <c r="BS51" s="174"/>
      <c r="BT51" s="174"/>
      <c r="BU51" s="174"/>
      <c r="BV51" s="174"/>
      <c r="BW51" s="174"/>
      <c r="BX51" s="174"/>
      <c r="BY51" s="174"/>
      <c r="BZ51" s="174"/>
      <c r="CA51" s="174"/>
      <c r="CB51" s="174"/>
      <c r="CC51" s="174"/>
      <c r="CD51" s="174"/>
      <c r="CE51" s="174"/>
      <c r="CF51" s="174"/>
      <c r="CG51" s="174"/>
      <c r="CH51" s="175"/>
    </row>
    <row r="52" spans="6:86" x14ac:dyDescent="0.3">
      <c r="F52" s="152">
        <v>0.56896599999999997</v>
      </c>
      <c r="L52" s="196"/>
      <c r="AE52" s="152">
        <v>28</v>
      </c>
      <c r="AF52" s="152">
        <f>AF51+3</f>
        <v>89.999999999999972</v>
      </c>
      <c r="AG52" s="152">
        <f>AG51+960</f>
        <v>7680</v>
      </c>
      <c r="AH52" s="152">
        <f>AH51+4</f>
        <v>32.000000000000007</v>
      </c>
      <c r="AR52" s="152">
        <v>1.55789</v>
      </c>
      <c r="AW52" s="174"/>
      <c r="AX52" s="174"/>
      <c r="AY52" s="174"/>
      <c r="AZ52" s="174"/>
      <c r="BA52" s="174"/>
      <c r="BB52" s="174"/>
      <c r="BC52" s="174"/>
      <c r="BD52" s="174"/>
      <c r="BE52" s="174"/>
      <c r="BF52" s="174"/>
      <c r="BG52" s="174"/>
      <c r="BH52" s="174"/>
      <c r="BI52" s="174"/>
      <c r="BJ52" s="174"/>
      <c r="BK52" s="174"/>
      <c r="BL52" s="174"/>
      <c r="BM52" s="174"/>
      <c r="BN52" s="174"/>
      <c r="BO52" s="174"/>
      <c r="BP52" s="174"/>
      <c r="BQ52" s="174"/>
      <c r="BR52" s="174"/>
      <c r="BS52" s="174"/>
      <c r="BT52" s="174"/>
      <c r="BU52" s="174"/>
      <c r="BV52" s="174"/>
      <c r="BW52" s="174"/>
      <c r="BX52" s="174"/>
      <c r="BY52" s="174"/>
      <c r="BZ52" s="174"/>
      <c r="CA52" s="174"/>
      <c r="CB52" s="174"/>
      <c r="CC52" s="174"/>
      <c r="CD52" s="174"/>
      <c r="CE52" s="174"/>
      <c r="CF52" s="174"/>
      <c r="CG52" s="174"/>
      <c r="CH52" s="175"/>
    </row>
    <row r="53" spans="6:86" x14ac:dyDescent="0.3">
      <c r="F53" s="152">
        <v>0.7</v>
      </c>
      <c r="L53" s="196"/>
      <c r="AE53" s="152">
        <v>29</v>
      </c>
      <c r="AF53" s="152">
        <f>AF52+3</f>
        <v>92.999999999999972</v>
      </c>
      <c r="AG53" s="152">
        <f>AG52+960</f>
        <v>8640</v>
      </c>
      <c r="AH53" s="152">
        <f>AH52+4</f>
        <v>36.000000000000007</v>
      </c>
      <c r="AR53" s="152">
        <v>1.55789</v>
      </c>
      <c r="AW53" s="174"/>
      <c r="AX53" s="174"/>
      <c r="AY53" s="174"/>
      <c r="AZ53" s="174"/>
      <c r="BA53" s="174"/>
      <c r="BB53" s="174"/>
      <c r="BC53" s="174"/>
      <c r="BD53" s="174"/>
      <c r="BE53" s="174"/>
      <c r="BF53" s="174"/>
      <c r="BG53" s="174"/>
      <c r="BH53" s="174"/>
      <c r="BI53" s="174"/>
      <c r="BJ53" s="174"/>
      <c r="BK53" s="174"/>
      <c r="BL53" s="174"/>
      <c r="BM53" s="174"/>
      <c r="BN53" s="174"/>
      <c r="BO53" s="174"/>
      <c r="BP53" s="174"/>
      <c r="BQ53" s="174"/>
      <c r="BR53" s="174"/>
      <c r="BS53" s="174"/>
      <c r="BT53" s="174"/>
      <c r="BU53" s="174"/>
      <c r="BV53" s="174"/>
      <c r="BW53" s="174"/>
      <c r="BX53" s="174"/>
      <c r="BY53" s="174"/>
      <c r="BZ53" s="174"/>
      <c r="CA53" s="174"/>
      <c r="CB53" s="174"/>
      <c r="CC53" s="174"/>
      <c r="CD53" s="174"/>
      <c r="CE53" s="174"/>
      <c r="CF53" s="174"/>
      <c r="CG53" s="174"/>
      <c r="CH53" s="175"/>
    </row>
    <row r="54" spans="6:86" x14ac:dyDescent="0.3">
      <c r="F54" s="152">
        <v>0.7</v>
      </c>
      <c r="L54" s="196"/>
      <c r="AE54" s="152">
        <v>30</v>
      </c>
      <c r="AF54" s="152">
        <f>AF53+3</f>
        <v>95.999999999999972</v>
      </c>
      <c r="AG54" s="152">
        <f>AG53+960</f>
        <v>9600</v>
      </c>
      <c r="AH54" s="152">
        <f>AH53+4</f>
        <v>40.000000000000007</v>
      </c>
      <c r="AW54" s="174"/>
      <c r="AX54" s="174"/>
      <c r="AY54" s="174"/>
      <c r="AZ54" s="174"/>
      <c r="BA54" s="174"/>
      <c r="BB54" s="174"/>
      <c r="BC54" s="174"/>
      <c r="BD54" s="174"/>
      <c r="BE54" s="174"/>
      <c r="BF54" s="174"/>
      <c r="BG54" s="174"/>
      <c r="BH54" s="174"/>
      <c r="BI54" s="174"/>
      <c r="BJ54" s="174"/>
      <c r="BK54" s="174"/>
      <c r="BL54" s="174"/>
      <c r="BM54" s="174"/>
      <c r="BN54" s="174"/>
      <c r="BO54" s="174"/>
      <c r="BP54" s="174"/>
      <c r="BQ54" s="174"/>
      <c r="BR54" s="174"/>
      <c r="BS54" s="174"/>
      <c r="BT54" s="174"/>
      <c r="BU54" s="174"/>
      <c r="BV54" s="174"/>
      <c r="BW54" s="174"/>
      <c r="BX54" s="174"/>
      <c r="BY54" s="174"/>
      <c r="BZ54" s="174"/>
      <c r="CA54" s="174"/>
      <c r="CB54" s="174"/>
      <c r="CC54" s="174"/>
      <c r="CD54" s="174"/>
      <c r="CE54" s="174"/>
      <c r="CF54" s="174"/>
      <c r="CG54" s="174"/>
      <c r="CH54" s="175"/>
    </row>
    <row r="55" spans="6:86" x14ac:dyDescent="0.3">
      <c r="F55" s="152">
        <v>0.56896599999999997</v>
      </c>
      <c r="L55" s="196"/>
      <c r="AE55" s="152">
        <v>31</v>
      </c>
      <c r="AF55" s="152">
        <f>AF54+3.8</f>
        <v>99.799999999999969</v>
      </c>
      <c r="AG55" s="152">
        <f>AG54+480</f>
        <v>10080</v>
      </c>
      <c r="AH55" s="152">
        <f>AH54+2</f>
        <v>42.000000000000007</v>
      </c>
      <c r="AW55" s="174"/>
      <c r="AX55" s="174"/>
      <c r="AY55" s="174"/>
      <c r="AZ55" s="174"/>
      <c r="BA55" s="174"/>
      <c r="BB55" s="174"/>
      <c r="BC55" s="174"/>
      <c r="BD55" s="174"/>
      <c r="BE55" s="174"/>
      <c r="BF55" s="174"/>
      <c r="BG55" s="174"/>
      <c r="BH55" s="174"/>
      <c r="BI55" s="174"/>
      <c r="BJ55" s="174"/>
      <c r="BK55" s="174"/>
      <c r="BL55" s="174"/>
      <c r="BM55" s="174"/>
      <c r="BN55" s="174"/>
      <c r="BO55" s="174"/>
      <c r="BP55" s="174"/>
      <c r="BQ55" s="174"/>
      <c r="BR55" s="174"/>
      <c r="BS55" s="174"/>
      <c r="BT55" s="174"/>
      <c r="BU55" s="174"/>
      <c r="BV55" s="174"/>
      <c r="BW55" s="174"/>
      <c r="BX55" s="174"/>
      <c r="BY55" s="174"/>
      <c r="BZ55" s="174"/>
      <c r="CA55" s="174"/>
      <c r="CB55" s="174"/>
      <c r="CC55" s="174"/>
      <c r="CD55" s="174"/>
      <c r="CE55" s="174"/>
      <c r="CF55" s="174"/>
      <c r="CG55" s="174"/>
      <c r="CH55" s="175"/>
    </row>
    <row r="56" spans="6:86" x14ac:dyDescent="0.3">
      <c r="F56" s="152">
        <v>0.60344799999999998</v>
      </c>
      <c r="L56" s="196"/>
      <c r="AE56" s="152">
        <v>32</v>
      </c>
      <c r="AF56" s="152">
        <f>AF55+3.8</f>
        <v>103.59999999999997</v>
      </c>
      <c r="AG56" s="152">
        <f>AG55+480</f>
        <v>10560</v>
      </c>
      <c r="AH56" s="152">
        <f>AH55+2</f>
        <v>44.000000000000007</v>
      </c>
      <c r="AW56" s="174"/>
      <c r="AX56" s="174"/>
      <c r="AY56" s="174"/>
      <c r="AZ56" s="174"/>
      <c r="BA56" s="174"/>
      <c r="BB56" s="174"/>
      <c r="BC56" s="174"/>
      <c r="BD56" s="174"/>
      <c r="BE56" s="174"/>
      <c r="BF56" s="174"/>
      <c r="BG56" s="174"/>
      <c r="BH56" s="174"/>
      <c r="BI56" s="174"/>
      <c r="BJ56" s="174"/>
      <c r="BK56" s="174"/>
      <c r="BL56" s="174"/>
      <c r="BM56" s="174"/>
      <c r="BN56" s="174"/>
      <c r="BO56" s="174"/>
      <c r="BP56" s="174"/>
      <c r="BQ56" s="174"/>
      <c r="BR56" s="174"/>
      <c r="BS56" s="174"/>
      <c r="BT56" s="174"/>
      <c r="BU56" s="174"/>
      <c r="BV56" s="174"/>
      <c r="BW56" s="174"/>
      <c r="BX56" s="174"/>
      <c r="BY56" s="174"/>
      <c r="BZ56" s="174"/>
      <c r="CA56" s="174"/>
      <c r="CB56" s="174"/>
      <c r="CC56" s="174"/>
      <c r="CD56" s="174"/>
      <c r="CE56" s="174"/>
      <c r="CF56" s="174"/>
      <c r="CG56" s="174"/>
      <c r="CH56" s="175"/>
    </row>
    <row r="57" spans="6:86" x14ac:dyDescent="0.3">
      <c r="F57" s="152">
        <v>0.63793100000000003</v>
      </c>
      <c r="L57" s="196"/>
      <c r="AE57" s="152">
        <v>33</v>
      </c>
      <c r="AF57" s="152">
        <f>AF56+3.8</f>
        <v>107.39999999999996</v>
      </c>
      <c r="AG57" s="152">
        <f>AG56+480</f>
        <v>11040</v>
      </c>
      <c r="AH57" s="152">
        <f>AH56+2</f>
        <v>46.000000000000007</v>
      </c>
      <c r="AW57" s="174"/>
      <c r="AX57" s="174"/>
      <c r="AY57" s="174"/>
      <c r="AZ57" s="174"/>
      <c r="BA57" s="174"/>
      <c r="BB57" s="174"/>
      <c r="BC57" s="174"/>
      <c r="BD57" s="174"/>
      <c r="BE57" s="174"/>
      <c r="BF57" s="174"/>
      <c r="BG57" s="174"/>
      <c r="BH57" s="174"/>
      <c r="BI57" s="174"/>
      <c r="BJ57" s="174"/>
      <c r="BK57" s="174"/>
      <c r="BL57" s="174"/>
      <c r="BM57" s="174"/>
      <c r="BN57" s="174"/>
      <c r="BO57" s="174"/>
      <c r="BP57" s="174"/>
      <c r="BQ57" s="174"/>
      <c r="BR57" s="174"/>
      <c r="BS57" s="174"/>
      <c r="BT57" s="174"/>
      <c r="BU57" s="174"/>
      <c r="BV57" s="174"/>
      <c r="BW57" s="174"/>
      <c r="BX57" s="174"/>
      <c r="BY57" s="174"/>
      <c r="BZ57" s="174"/>
      <c r="CA57" s="174"/>
      <c r="CB57" s="174"/>
      <c r="CC57" s="174"/>
      <c r="CD57" s="174"/>
      <c r="CE57" s="174"/>
      <c r="CF57" s="174"/>
      <c r="CG57" s="174"/>
      <c r="CH57" s="175"/>
    </row>
    <row r="58" spans="6:86" x14ac:dyDescent="0.3">
      <c r="F58" s="152">
        <v>0.63793100000000003</v>
      </c>
      <c r="L58" s="196"/>
      <c r="AE58" s="152">
        <v>34</v>
      </c>
      <c r="AF58" s="152">
        <f>AF57+3.8</f>
        <v>111.19999999999996</v>
      </c>
      <c r="AG58" s="152">
        <f>AG57+480</f>
        <v>11520</v>
      </c>
      <c r="AH58" s="152">
        <f>AH57+2</f>
        <v>48.000000000000007</v>
      </c>
      <c r="AW58" s="174"/>
      <c r="AX58" s="174"/>
      <c r="AY58" s="174"/>
      <c r="AZ58" s="174"/>
      <c r="BA58" s="174"/>
      <c r="BB58" s="174"/>
      <c r="BC58" s="174"/>
      <c r="BD58" s="174"/>
      <c r="BE58" s="174"/>
      <c r="BF58" s="174"/>
      <c r="BG58" s="174"/>
      <c r="BH58" s="174"/>
      <c r="BI58" s="174"/>
      <c r="BJ58" s="174"/>
      <c r="BK58" s="174"/>
      <c r="BL58" s="174"/>
      <c r="BM58" s="174"/>
      <c r="BN58" s="174"/>
      <c r="BO58" s="174"/>
      <c r="BP58" s="174"/>
      <c r="BQ58" s="174"/>
      <c r="BR58" s="174"/>
      <c r="BS58" s="174"/>
      <c r="BT58" s="174"/>
      <c r="BU58" s="174"/>
      <c r="BV58" s="174"/>
      <c r="BW58" s="174"/>
      <c r="BX58" s="174"/>
      <c r="BY58" s="174"/>
      <c r="BZ58" s="174"/>
      <c r="CA58" s="174"/>
      <c r="CB58" s="174"/>
      <c r="CC58" s="174"/>
      <c r="CD58" s="174"/>
      <c r="CE58" s="174"/>
      <c r="CF58" s="174"/>
      <c r="CG58" s="174"/>
      <c r="CH58" s="175"/>
    </row>
    <row r="59" spans="6:86" x14ac:dyDescent="0.3">
      <c r="F59" s="152">
        <v>0.63793100000000003</v>
      </c>
      <c r="L59" s="196"/>
      <c r="AE59" s="152">
        <v>35</v>
      </c>
      <c r="AF59" s="152">
        <f>AF58+3.8</f>
        <v>114.99999999999996</v>
      </c>
      <c r="AG59" s="152">
        <f>AG58+480</f>
        <v>12000</v>
      </c>
      <c r="AH59" s="152">
        <f>AH58+2</f>
        <v>50.000000000000007</v>
      </c>
      <c r="AW59" s="174"/>
      <c r="AX59" s="174"/>
      <c r="AY59" s="174"/>
      <c r="AZ59" s="174"/>
      <c r="BA59" s="174"/>
      <c r="BB59" s="174"/>
      <c r="BC59" s="174"/>
      <c r="BD59" s="174"/>
      <c r="BE59" s="174"/>
      <c r="BF59" s="174"/>
      <c r="BG59" s="174"/>
      <c r="BH59" s="174"/>
      <c r="BI59" s="174"/>
      <c r="BJ59" s="174"/>
      <c r="BK59" s="174"/>
      <c r="BL59" s="174"/>
      <c r="BM59" s="174"/>
      <c r="BN59" s="174"/>
      <c r="BO59" s="174"/>
      <c r="BP59" s="174"/>
      <c r="BQ59" s="174"/>
      <c r="BR59" s="174"/>
      <c r="BS59" s="174"/>
      <c r="BT59" s="174"/>
      <c r="BU59" s="174"/>
      <c r="BV59" s="174"/>
      <c r="BW59" s="174"/>
      <c r="BX59" s="174"/>
      <c r="BY59" s="174"/>
      <c r="BZ59" s="174"/>
      <c r="CA59" s="174"/>
      <c r="CB59" s="174"/>
      <c r="CC59" s="174"/>
      <c r="CD59" s="174"/>
      <c r="CE59" s="174"/>
      <c r="CF59" s="174"/>
      <c r="CG59" s="174"/>
      <c r="CH59" s="175"/>
    </row>
    <row r="60" spans="6:86" x14ac:dyDescent="0.3">
      <c r="F60" s="152">
        <v>0.63793100000000003</v>
      </c>
      <c r="L60" s="196"/>
      <c r="AW60" s="174"/>
      <c r="AX60" s="174"/>
      <c r="AY60" s="174"/>
      <c r="AZ60" s="174"/>
      <c r="BA60" s="174"/>
      <c r="BB60" s="174"/>
      <c r="BC60" s="174"/>
      <c r="BD60" s="174"/>
      <c r="BE60" s="174"/>
      <c r="BF60" s="174"/>
      <c r="BG60" s="174"/>
      <c r="BH60" s="174"/>
      <c r="BI60" s="174"/>
      <c r="BJ60" s="174"/>
      <c r="BK60" s="174"/>
      <c r="BL60" s="174"/>
      <c r="BM60" s="174"/>
      <c r="BN60" s="174"/>
      <c r="BO60" s="174"/>
      <c r="BP60" s="174"/>
      <c r="BQ60" s="174"/>
      <c r="BR60" s="174"/>
      <c r="BS60" s="174"/>
      <c r="BT60" s="174"/>
      <c r="BU60" s="174"/>
      <c r="BV60" s="174"/>
      <c r="BW60" s="174"/>
      <c r="BX60" s="174"/>
      <c r="BY60" s="174"/>
      <c r="BZ60" s="174"/>
      <c r="CA60" s="174"/>
      <c r="CB60" s="174"/>
      <c r="CC60" s="174"/>
      <c r="CD60" s="174"/>
      <c r="CE60" s="174"/>
      <c r="CF60" s="174"/>
      <c r="CG60" s="174"/>
      <c r="CH60" s="175"/>
    </row>
    <row r="61" spans="6:86" x14ac:dyDescent="0.3">
      <c r="F61" s="152">
        <v>0.63793100000000003</v>
      </c>
      <c r="L61" s="196"/>
      <c r="AW61" s="174"/>
      <c r="AX61" s="174"/>
      <c r="AY61" s="174"/>
      <c r="AZ61" s="174"/>
      <c r="BA61" s="174"/>
      <c r="BB61" s="174"/>
      <c r="BC61" s="174"/>
      <c r="BD61" s="174"/>
      <c r="BE61" s="174"/>
      <c r="BF61" s="174"/>
      <c r="BG61" s="174"/>
      <c r="BH61" s="174"/>
      <c r="BI61" s="174"/>
      <c r="BJ61" s="174"/>
      <c r="BK61" s="174"/>
      <c r="BL61" s="174"/>
      <c r="BM61" s="174"/>
      <c r="BN61" s="174"/>
      <c r="BO61" s="174"/>
      <c r="BP61" s="174"/>
      <c r="BQ61" s="174"/>
      <c r="BR61" s="174"/>
      <c r="BS61" s="174"/>
      <c r="BT61" s="174"/>
      <c r="BU61" s="174"/>
      <c r="BV61" s="174"/>
      <c r="BW61" s="174"/>
      <c r="BX61" s="174"/>
      <c r="BY61" s="174"/>
      <c r="BZ61" s="174"/>
      <c r="CA61" s="174"/>
      <c r="CB61" s="174"/>
      <c r="CC61" s="174"/>
      <c r="CD61" s="174"/>
      <c r="CE61" s="174"/>
      <c r="CF61" s="174"/>
      <c r="CG61" s="174"/>
      <c r="CH61" s="175"/>
    </row>
    <row r="62" spans="6:86" x14ac:dyDescent="0.3">
      <c r="F62" s="152">
        <v>0.63793100000000003</v>
      </c>
      <c r="L62" s="196"/>
      <c r="AW62" s="174"/>
      <c r="AX62" s="174"/>
      <c r="AY62" s="174"/>
      <c r="AZ62" s="174"/>
      <c r="BA62" s="174"/>
      <c r="BB62" s="174"/>
      <c r="BC62" s="174"/>
      <c r="BD62" s="174"/>
      <c r="BE62" s="174"/>
      <c r="BF62" s="174"/>
      <c r="BG62" s="174"/>
      <c r="BH62" s="174"/>
      <c r="BI62" s="174"/>
      <c r="BJ62" s="174"/>
      <c r="BK62" s="174"/>
      <c r="BL62" s="174"/>
      <c r="BM62" s="174"/>
      <c r="BN62" s="174"/>
      <c r="BO62" s="174"/>
      <c r="BP62" s="174"/>
      <c r="BQ62" s="174"/>
      <c r="BR62" s="174"/>
      <c r="BS62" s="174"/>
      <c r="BT62" s="174"/>
      <c r="BU62" s="174"/>
      <c r="BV62" s="174"/>
      <c r="BW62" s="174"/>
      <c r="BX62" s="174"/>
      <c r="BY62" s="174"/>
      <c r="BZ62" s="174"/>
      <c r="CA62" s="174"/>
      <c r="CB62" s="174"/>
      <c r="CC62" s="174"/>
      <c r="CD62" s="174"/>
      <c r="CE62" s="174"/>
      <c r="CF62" s="174"/>
      <c r="CG62" s="174"/>
      <c r="CH62" s="175"/>
    </row>
    <row r="63" spans="6:86" x14ac:dyDescent="0.3">
      <c r="F63" s="152">
        <v>1</v>
      </c>
      <c r="L63" s="196"/>
      <c r="AW63" s="174"/>
      <c r="AX63" s="174"/>
      <c r="AY63" s="174"/>
      <c r="AZ63" s="174"/>
      <c r="BA63" s="174"/>
      <c r="BB63" s="174"/>
      <c r="BC63" s="174"/>
      <c r="BD63" s="174"/>
      <c r="BE63" s="174"/>
      <c r="BF63" s="174"/>
      <c r="BG63" s="174"/>
      <c r="BH63" s="174"/>
      <c r="BI63" s="174"/>
      <c r="BJ63" s="174"/>
      <c r="BK63" s="174"/>
      <c r="BL63" s="174"/>
      <c r="BM63" s="174"/>
      <c r="BN63" s="174"/>
      <c r="BO63" s="174"/>
      <c r="BP63" s="174"/>
      <c r="BQ63" s="174"/>
      <c r="BR63" s="174"/>
      <c r="BS63" s="174"/>
      <c r="BT63" s="174"/>
      <c r="BU63" s="174"/>
      <c r="BV63" s="174"/>
      <c r="BW63" s="174"/>
      <c r="BX63" s="174"/>
      <c r="BY63" s="174"/>
      <c r="BZ63" s="174"/>
      <c r="CA63" s="174"/>
      <c r="CB63" s="174"/>
      <c r="CC63" s="174"/>
      <c r="CD63" s="174"/>
      <c r="CE63" s="174"/>
      <c r="CF63" s="174"/>
      <c r="CG63" s="174"/>
      <c r="CH63" s="175"/>
    </row>
    <row r="64" spans="6:86" x14ac:dyDescent="0.3">
      <c r="F64" s="152">
        <v>1</v>
      </c>
      <c r="L64" s="196"/>
      <c r="AW64" s="174"/>
      <c r="AX64" s="174"/>
      <c r="AY64" s="174"/>
      <c r="AZ64" s="174"/>
      <c r="BA64" s="174"/>
      <c r="BB64" s="174"/>
      <c r="BC64" s="174"/>
      <c r="BD64" s="174"/>
      <c r="BE64" s="174"/>
      <c r="BF64" s="174"/>
      <c r="BG64" s="174"/>
      <c r="BH64" s="174"/>
      <c r="BI64" s="174"/>
      <c r="BJ64" s="174"/>
      <c r="BK64" s="174"/>
      <c r="BL64" s="174"/>
      <c r="BM64" s="174"/>
      <c r="BN64" s="174"/>
      <c r="BO64" s="174"/>
      <c r="BP64" s="174"/>
      <c r="BQ64" s="174"/>
      <c r="BR64" s="174"/>
      <c r="BS64" s="174"/>
      <c r="BT64" s="174"/>
      <c r="BU64" s="174"/>
      <c r="BV64" s="174"/>
      <c r="BW64" s="174"/>
      <c r="BX64" s="174"/>
      <c r="BY64" s="174"/>
      <c r="BZ64" s="174"/>
      <c r="CA64" s="174"/>
      <c r="CB64" s="174"/>
      <c r="CC64" s="174"/>
      <c r="CD64" s="174"/>
      <c r="CE64" s="174"/>
      <c r="CF64" s="174"/>
      <c r="CG64" s="174"/>
      <c r="CH64" s="175"/>
    </row>
    <row r="65" spans="6:86" x14ac:dyDescent="0.3">
      <c r="F65" s="152">
        <v>1</v>
      </c>
      <c r="L65" s="196"/>
      <c r="AW65" s="174"/>
      <c r="AX65" s="174"/>
      <c r="AY65" s="174"/>
      <c r="AZ65" s="174"/>
      <c r="BA65" s="174"/>
      <c r="BB65" s="174"/>
      <c r="BC65" s="174"/>
      <c r="BD65" s="174"/>
      <c r="BE65" s="174"/>
      <c r="BF65" s="174"/>
      <c r="BG65" s="174"/>
      <c r="BH65" s="174"/>
      <c r="BI65" s="174"/>
      <c r="BJ65" s="174"/>
      <c r="BK65" s="174"/>
      <c r="BL65" s="174"/>
      <c r="BM65" s="174"/>
      <c r="BN65" s="174"/>
      <c r="BO65" s="174"/>
      <c r="BP65" s="174"/>
      <c r="BQ65" s="174"/>
      <c r="BR65" s="174"/>
      <c r="BS65" s="174"/>
      <c r="BT65" s="174"/>
      <c r="BU65" s="174"/>
      <c r="BV65" s="174"/>
      <c r="BW65" s="174"/>
      <c r="BX65" s="174"/>
      <c r="BY65" s="174"/>
      <c r="BZ65" s="174"/>
      <c r="CA65" s="174"/>
      <c r="CB65" s="174"/>
      <c r="CC65" s="174"/>
      <c r="CD65" s="174"/>
      <c r="CE65" s="174"/>
      <c r="CF65" s="174"/>
      <c r="CG65" s="174"/>
      <c r="CH65" s="175"/>
    </row>
    <row r="66" spans="6:86" x14ac:dyDescent="0.3">
      <c r="F66" s="152">
        <v>1</v>
      </c>
      <c r="L66" s="196"/>
      <c r="AW66" s="174"/>
      <c r="AX66" s="174"/>
      <c r="AY66" s="174"/>
      <c r="AZ66" s="174"/>
      <c r="BA66" s="174"/>
      <c r="BB66" s="174"/>
      <c r="BC66" s="174"/>
      <c r="BD66" s="174"/>
      <c r="BE66" s="174"/>
      <c r="BF66" s="174"/>
      <c r="BG66" s="174"/>
      <c r="BH66" s="174"/>
      <c r="BI66" s="174"/>
      <c r="BJ66" s="174"/>
      <c r="BK66" s="174"/>
      <c r="BL66" s="174"/>
      <c r="BM66" s="174"/>
      <c r="BN66" s="174"/>
      <c r="BO66" s="174"/>
      <c r="BP66" s="174"/>
      <c r="BQ66" s="174"/>
      <c r="BR66" s="174"/>
      <c r="BS66" s="174"/>
      <c r="BT66" s="174"/>
      <c r="BU66" s="174"/>
      <c r="BV66" s="174"/>
      <c r="BW66" s="174"/>
      <c r="BX66" s="174"/>
      <c r="BY66" s="174"/>
      <c r="BZ66" s="174"/>
      <c r="CA66" s="174"/>
      <c r="CB66" s="174"/>
      <c r="CC66" s="174"/>
      <c r="CD66" s="174"/>
      <c r="CE66" s="174"/>
      <c r="CF66" s="174"/>
      <c r="CG66" s="174"/>
      <c r="CH66" s="175"/>
    </row>
    <row r="67" spans="6:86" x14ac:dyDescent="0.3">
      <c r="F67" s="152">
        <v>1</v>
      </c>
      <c r="L67" s="196"/>
      <c r="AW67" s="174"/>
      <c r="AX67" s="174"/>
      <c r="AY67" s="174"/>
      <c r="AZ67" s="174"/>
      <c r="BA67" s="174"/>
      <c r="BB67" s="174"/>
      <c r="BC67" s="174"/>
      <c r="BD67" s="174"/>
      <c r="BE67" s="174"/>
      <c r="BF67" s="174"/>
      <c r="BG67" s="174"/>
      <c r="BH67" s="174"/>
      <c r="BI67" s="174"/>
      <c r="BJ67" s="174"/>
      <c r="BK67" s="174"/>
      <c r="BL67" s="174"/>
      <c r="BM67" s="174"/>
      <c r="BN67" s="174"/>
      <c r="BO67" s="174"/>
      <c r="BP67" s="174"/>
      <c r="BQ67" s="174"/>
      <c r="BR67" s="174"/>
      <c r="BS67" s="174"/>
      <c r="BT67" s="174"/>
      <c r="BU67" s="174"/>
      <c r="BV67" s="174"/>
      <c r="BW67" s="174"/>
      <c r="BX67" s="174"/>
      <c r="BY67" s="174"/>
      <c r="BZ67" s="174"/>
      <c r="CA67" s="174"/>
      <c r="CB67" s="174"/>
      <c r="CC67" s="174"/>
      <c r="CD67" s="174"/>
      <c r="CE67" s="174"/>
      <c r="CF67" s="174"/>
      <c r="CG67" s="174"/>
      <c r="CH67" s="175"/>
    </row>
    <row r="68" spans="6:86" x14ac:dyDescent="0.3">
      <c r="F68" s="152">
        <v>1</v>
      </c>
      <c r="L68" s="196"/>
      <c r="AW68" s="174"/>
      <c r="AX68" s="174"/>
      <c r="AY68" s="174"/>
      <c r="AZ68" s="174"/>
      <c r="BA68" s="174"/>
      <c r="BB68" s="174"/>
      <c r="BC68" s="174"/>
      <c r="BD68" s="174"/>
      <c r="BE68" s="174"/>
      <c r="BF68" s="174"/>
      <c r="BG68" s="174"/>
      <c r="BH68" s="174"/>
      <c r="BI68" s="174"/>
      <c r="BJ68" s="174"/>
      <c r="BK68" s="174"/>
      <c r="BL68" s="174"/>
      <c r="BM68" s="174"/>
      <c r="BN68" s="174"/>
      <c r="BO68" s="174"/>
      <c r="BP68" s="174"/>
      <c r="BQ68" s="174"/>
      <c r="BR68" s="174"/>
      <c r="BS68" s="174"/>
      <c r="BT68" s="174"/>
      <c r="BU68" s="174"/>
      <c r="BV68" s="174"/>
      <c r="BW68" s="174"/>
      <c r="BX68" s="174"/>
      <c r="BY68" s="174"/>
      <c r="BZ68" s="174"/>
      <c r="CA68" s="174"/>
      <c r="CB68" s="174"/>
      <c r="CC68" s="174"/>
      <c r="CD68" s="174"/>
      <c r="CE68" s="174"/>
      <c r="CF68" s="174"/>
      <c r="CG68" s="174"/>
      <c r="CH68" s="175"/>
    </row>
    <row r="69" spans="6:86" x14ac:dyDescent="0.3">
      <c r="F69" s="152">
        <v>1</v>
      </c>
      <c r="L69" s="196"/>
    </row>
    <row r="70" spans="6:86" x14ac:dyDescent="0.3">
      <c r="F70" s="152">
        <v>1</v>
      </c>
      <c r="L70" s="196"/>
    </row>
    <row r="71" spans="6:86" x14ac:dyDescent="0.3">
      <c r="F71" s="152">
        <v>1</v>
      </c>
      <c r="L71" s="196"/>
    </row>
    <row r="72" spans="6:86" x14ac:dyDescent="0.3">
      <c r="F72" s="152">
        <v>1</v>
      </c>
      <c r="L72" s="196"/>
    </row>
    <row r="73" spans="6:86" x14ac:dyDescent="0.3">
      <c r="L73" s="196"/>
    </row>
    <row r="74" spans="6:86" x14ac:dyDescent="0.3">
      <c r="L74" s="196"/>
    </row>
    <row r="75" spans="6:86" x14ac:dyDescent="0.3">
      <c r="L75" s="196"/>
    </row>
    <row r="76" spans="6:86" x14ac:dyDescent="0.3">
      <c r="L76" s="196"/>
    </row>
    <row r="77" spans="6:86" x14ac:dyDescent="0.3">
      <c r="L77" s="196"/>
    </row>
    <row r="78" spans="6:86" x14ac:dyDescent="0.3">
      <c r="L78" s="196"/>
    </row>
    <row r="79" spans="6:86" x14ac:dyDescent="0.3">
      <c r="L79" s="196"/>
    </row>
    <row r="80" spans="6:86" x14ac:dyDescent="0.3">
      <c r="L80" s="196"/>
    </row>
    <row r="81" spans="12:12" x14ac:dyDescent="0.3">
      <c r="L81" s="196"/>
    </row>
    <row r="82" spans="12:12" x14ac:dyDescent="0.3">
      <c r="L82" s="196"/>
    </row>
    <row r="83" spans="12:12" x14ac:dyDescent="0.3">
      <c r="L83" s="196"/>
    </row>
    <row r="84" spans="12:12" x14ac:dyDescent="0.3">
      <c r="L84" s="196"/>
    </row>
    <row r="85" spans="12:12" x14ac:dyDescent="0.3">
      <c r="L85" s="196"/>
    </row>
    <row r="86" spans="12:12" x14ac:dyDescent="0.3">
      <c r="L86" s="196"/>
    </row>
    <row r="87" spans="12:12" x14ac:dyDescent="0.3">
      <c r="L87" s="196"/>
    </row>
    <row r="88" spans="12:12" x14ac:dyDescent="0.3">
      <c r="L88" s="196"/>
    </row>
    <row r="89" spans="12:12" x14ac:dyDescent="0.3">
      <c r="L89" s="196"/>
    </row>
    <row r="90" spans="12:12" x14ac:dyDescent="0.3">
      <c r="L90" s="196"/>
    </row>
    <row r="91" spans="12:12" x14ac:dyDescent="0.3">
      <c r="L91" s="196"/>
    </row>
    <row r="92" spans="12:12" x14ac:dyDescent="0.3">
      <c r="L92" s="196"/>
    </row>
    <row r="93" spans="12:12" x14ac:dyDescent="0.3">
      <c r="L93" s="196"/>
    </row>
    <row r="94" spans="12:12" x14ac:dyDescent="0.3">
      <c r="L94" s="196"/>
    </row>
    <row r="95" spans="12:12" x14ac:dyDescent="0.3">
      <c r="L95" s="196"/>
    </row>
    <row r="96" spans="12:12" x14ac:dyDescent="0.3">
      <c r="L96" s="196"/>
    </row>
    <row r="97" spans="12:12" x14ac:dyDescent="0.3">
      <c r="L97" s="196"/>
    </row>
    <row r="98" spans="12:12" x14ac:dyDescent="0.3">
      <c r="L98" s="196"/>
    </row>
    <row r="99" spans="12:12" x14ac:dyDescent="0.3">
      <c r="L99" s="196"/>
    </row>
    <row r="100" spans="12:12" x14ac:dyDescent="0.3">
      <c r="L100" s="196"/>
    </row>
    <row r="101" spans="12:12" x14ac:dyDescent="0.3">
      <c r="L101" s="196"/>
    </row>
    <row r="102" spans="12:12" x14ac:dyDescent="0.3">
      <c r="L102" s="196"/>
    </row>
    <row r="103" spans="12:12" x14ac:dyDescent="0.3">
      <c r="L103" s="196"/>
    </row>
    <row r="104" spans="12:12" x14ac:dyDescent="0.3">
      <c r="L104" s="196"/>
    </row>
    <row r="105" spans="12:12" x14ac:dyDescent="0.3">
      <c r="L105" s="196"/>
    </row>
    <row r="106" spans="12:12" x14ac:dyDescent="0.3">
      <c r="L106" s="196"/>
    </row>
    <row r="107" spans="12:12" x14ac:dyDescent="0.3">
      <c r="L107" s="196"/>
    </row>
    <row r="108" spans="12:12" x14ac:dyDescent="0.3">
      <c r="L108" s="196"/>
    </row>
    <row r="109" spans="12:12" x14ac:dyDescent="0.3">
      <c r="L109" s="196"/>
    </row>
    <row r="110" spans="12:12" x14ac:dyDescent="0.3">
      <c r="L110" s="196"/>
    </row>
    <row r="111" spans="12:12" x14ac:dyDescent="0.3">
      <c r="L111" s="196"/>
    </row>
    <row r="112" spans="12:12" x14ac:dyDescent="0.3">
      <c r="L112" s="196"/>
    </row>
    <row r="113" spans="12:12" x14ac:dyDescent="0.3">
      <c r="L113" s="196"/>
    </row>
    <row r="114" spans="12:12" x14ac:dyDescent="0.3">
      <c r="L114" s="196"/>
    </row>
    <row r="115" spans="12:12" x14ac:dyDescent="0.3">
      <c r="L115" s="196"/>
    </row>
    <row r="116" spans="12:12" x14ac:dyDescent="0.3">
      <c r="L116" s="196"/>
    </row>
    <row r="117" spans="12:12" x14ac:dyDescent="0.3">
      <c r="L117" s="196"/>
    </row>
    <row r="118" spans="12:12" x14ac:dyDescent="0.3">
      <c r="L118" s="196"/>
    </row>
    <row r="119" spans="12:12" x14ac:dyDescent="0.3">
      <c r="L119" s="196"/>
    </row>
    <row r="120" spans="12:12" x14ac:dyDescent="0.3">
      <c r="L120" s="196"/>
    </row>
    <row r="121" spans="12:12" x14ac:dyDescent="0.3">
      <c r="L121" s="196"/>
    </row>
    <row r="122" spans="12:12" x14ac:dyDescent="0.3">
      <c r="L122" s="196"/>
    </row>
    <row r="123" spans="12:12" x14ac:dyDescent="0.3">
      <c r="L123" s="196"/>
    </row>
    <row r="124" spans="12:12" x14ac:dyDescent="0.3">
      <c r="L124" s="196"/>
    </row>
    <row r="125" spans="12:12" x14ac:dyDescent="0.3">
      <c r="L125" s="196"/>
    </row>
    <row r="126" spans="12:12" x14ac:dyDescent="0.3">
      <c r="L126" s="196"/>
    </row>
    <row r="127" spans="12:12" x14ac:dyDescent="0.3">
      <c r="L127" s="196"/>
    </row>
    <row r="128" spans="12:12" x14ac:dyDescent="0.3">
      <c r="L128" s="196"/>
    </row>
    <row r="129" spans="12:12" x14ac:dyDescent="0.3">
      <c r="L129" s="196"/>
    </row>
    <row r="130" spans="12:12" x14ac:dyDescent="0.3">
      <c r="L130" s="196"/>
    </row>
    <row r="131" spans="12:12" x14ac:dyDescent="0.3">
      <c r="L131" s="196"/>
    </row>
    <row r="132" spans="12:12" x14ac:dyDescent="0.3">
      <c r="L132" s="196"/>
    </row>
    <row r="133" spans="12:12" x14ac:dyDescent="0.3">
      <c r="L133" s="196"/>
    </row>
    <row r="134" spans="12:12" x14ac:dyDescent="0.3">
      <c r="L134" s="196"/>
    </row>
    <row r="135" spans="12:12" x14ac:dyDescent="0.3">
      <c r="L135" s="196"/>
    </row>
    <row r="136" spans="12:12" x14ac:dyDescent="0.3">
      <c r="L136" s="196"/>
    </row>
    <row r="137" spans="12:12" x14ac:dyDescent="0.3">
      <c r="L137" s="196"/>
    </row>
    <row r="138" spans="12:12" x14ac:dyDescent="0.3">
      <c r="L138" s="196"/>
    </row>
    <row r="139" spans="12:12" x14ac:dyDescent="0.3">
      <c r="L139" s="196"/>
    </row>
    <row r="140" spans="12:12" x14ac:dyDescent="0.3">
      <c r="L140" s="196"/>
    </row>
    <row r="141" spans="12:12" x14ac:dyDescent="0.3">
      <c r="L141" s="196"/>
    </row>
    <row r="142" spans="12:12" x14ac:dyDescent="0.3">
      <c r="L142" s="196"/>
    </row>
    <row r="143" spans="12:12" x14ac:dyDescent="0.3">
      <c r="L143" s="196"/>
    </row>
    <row r="144" spans="12:12" x14ac:dyDescent="0.3">
      <c r="L144" s="196"/>
    </row>
    <row r="145" spans="12:12" x14ac:dyDescent="0.3">
      <c r="L145" s="196"/>
    </row>
    <row r="146" spans="12:12" x14ac:dyDescent="0.3">
      <c r="L146" s="196"/>
    </row>
    <row r="147" spans="12:12" x14ac:dyDescent="0.3">
      <c r="L147" s="196"/>
    </row>
    <row r="148" spans="12:12" x14ac:dyDescent="0.3">
      <c r="L148" s="196"/>
    </row>
    <row r="149" spans="12:12" x14ac:dyDescent="0.3">
      <c r="L149" s="196"/>
    </row>
    <row r="150" spans="12:12" x14ac:dyDescent="0.3">
      <c r="L150" s="196"/>
    </row>
    <row r="151" spans="12:12" x14ac:dyDescent="0.3">
      <c r="L151" s="196"/>
    </row>
    <row r="152" spans="12:12" x14ac:dyDescent="0.3">
      <c r="L152" s="196"/>
    </row>
    <row r="153" spans="12:12" x14ac:dyDescent="0.3">
      <c r="L153" s="196"/>
    </row>
    <row r="154" spans="12:12" x14ac:dyDescent="0.3">
      <c r="L154" s="196"/>
    </row>
    <row r="155" spans="12:12" x14ac:dyDescent="0.3">
      <c r="L155" s="196"/>
    </row>
    <row r="156" spans="12:12" x14ac:dyDescent="0.3">
      <c r="L156" s="196"/>
    </row>
    <row r="157" spans="12:12" x14ac:dyDescent="0.3">
      <c r="L157" s="196"/>
    </row>
    <row r="158" spans="12:12" x14ac:dyDescent="0.3">
      <c r="L158" s="196"/>
    </row>
    <row r="159" spans="12:12" x14ac:dyDescent="0.3">
      <c r="L159" s="196"/>
    </row>
    <row r="160" spans="12:12" x14ac:dyDescent="0.3">
      <c r="L160" s="196"/>
    </row>
    <row r="161" spans="12:12" x14ac:dyDescent="0.3">
      <c r="L161" s="196"/>
    </row>
    <row r="162" spans="12:12" x14ac:dyDescent="0.3">
      <c r="L162" s="196"/>
    </row>
    <row r="163" spans="12:12" x14ac:dyDescent="0.3">
      <c r="L163" s="196"/>
    </row>
    <row r="164" spans="12:12" x14ac:dyDescent="0.3">
      <c r="L164" s="196"/>
    </row>
    <row r="165" spans="12:12" x14ac:dyDescent="0.3">
      <c r="L165" s="196"/>
    </row>
    <row r="166" spans="12:12" x14ac:dyDescent="0.3">
      <c r="L166" s="196"/>
    </row>
    <row r="167" spans="12:12" x14ac:dyDescent="0.3">
      <c r="L167" s="196"/>
    </row>
    <row r="168" spans="12:12" x14ac:dyDescent="0.3">
      <c r="L168" s="196"/>
    </row>
    <row r="169" spans="12:12" x14ac:dyDescent="0.3">
      <c r="L169" s="196"/>
    </row>
    <row r="170" spans="12:12" x14ac:dyDescent="0.3">
      <c r="L170" s="196"/>
    </row>
    <row r="171" spans="12:12" x14ac:dyDescent="0.3">
      <c r="L171" s="196"/>
    </row>
    <row r="172" spans="12:12" x14ac:dyDescent="0.3">
      <c r="L172" s="196"/>
    </row>
    <row r="173" spans="12:12" x14ac:dyDescent="0.3">
      <c r="L173" s="196"/>
    </row>
    <row r="174" spans="12:12" x14ac:dyDescent="0.3">
      <c r="L174" s="196"/>
    </row>
    <row r="175" spans="12:12" x14ac:dyDescent="0.3">
      <c r="L175" s="196"/>
    </row>
    <row r="176" spans="12:12" x14ac:dyDescent="0.3">
      <c r="L176" s="196"/>
    </row>
    <row r="177" spans="12:12" x14ac:dyDescent="0.3">
      <c r="L177" s="196"/>
    </row>
    <row r="178" spans="12:12" x14ac:dyDescent="0.3">
      <c r="L178" s="196"/>
    </row>
    <row r="179" spans="12:12" x14ac:dyDescent="0.3">
      <c r="L179" s="196"/>
    </row>
    <row r="180" spans="12:12" x14ac:dyDescent="0.3">
      <c r="L180" s="196"/>
    </row>
    <row r="181" spans="12:12" x14ac:dyDescent="0.3">
      <c r="L181" s="196"/>
    </row>
    <row r="182" spans="12:12" x14ac:dyDescent="0.3">
      <c r="L182" s="196"/>
    </row>
    <row r="183" spans="12:12" x14ac:dyDescent="0.3">
      <c r="L183" s="196"/>
    </row>
    <row r="184" spans="12:12" x14ac:dyDescent="0.3">
      <c r="L184" s="196"/>
    </row>
    <row r="185" spans="12:12" x14ac:dyDescent="0.3">
      <c r="L185" s="196"/>
    </row>
    <row r="186" spans="12:12" x14ac:dyDescent="0.3">
      <c r="L186" s="196"/>
    </row>
    <row r="187" spans="12:12" x14ac:dyDescent="0.3">
      <c r="L187" s="196"/>
    </row>
    <row r="188" spans="12:12" x14ac:dyDescent="0.3">
      <c r="L188" s="196"/>
    </row>
    <row r="189" spans="12:12" x14ac:dyDescent="0.3">
      <c r="L189" s="196"/>
    </row>
    <row r="190" spans="12:12" x14ac:dyDescent="0.3">
      <c r="L190" s="196"/>
    </row>
    <row r="191" spans="12:12" x14ac:dyDescent="0.3">
      <c r="L191" s="196"/>
    </row>
    <row r="192" spans="12:12" x14ac:dyDescent="0.3">
      <c r="L192" s="196"/>
    </row>
    <row r="193" spans="12:12" x14ac:dyDescent="0.3">
      <c r="L193" s="196"/>
    </row>
    <row r="194" spans="12:12" x14ac:dyDescent="0.3">
      <c r="L194" s="196"/>
    </row>
    <row r="195" spans="12:12" x14ac:dyDescent="0.3">
      <c r="L195" s="196"/>
    </row>
    <row r="196" spans="12:12" x14ac:dyDescent="0.3">
      <c r="L196" s="196"/>
    </row>
    <row r="197" spans="12:12" x14ac:dyDescent="0.3">
      <c r="L197" s="196"/>
    </row>
    <row r="198" spans="12:12" x14ac:dyDescent="0.3">
      <c r="L198" s="196"/>
    </row>
    <row r="199" spans="12:12" x14ac:dyDescent="0.3">
      <c r="L199" s="196"/>
    </row>
    <row r="200" spans="12:12" x14ac:dyDescent="0.3">
      <c r="L200" s="196"/>
    </row>
    <row r="201" spans="12:12" x14ac:dyDescent="0.3">
      <c r="L201" s="196"/>
    </row>
    <row r="202" spans="12:12" x14ac:dyDescent="0.3">
      <c r="L202" s="196"/>
    </row>
    <row r="203" spans="12:12" x14ac:dyDescent="0.3">
      <c r="L203" s="196"/>
    </row>
    <row r="204" spans="12:12" x14ac:dyDescent="0.3">
      <c r="L204" s="196"/>
    </row>
    <row r="205" spans="12:12" x14ac:dyDescent="0.3">
      <c r="L205" s="196"/>
    </row>
    <row r="206" spans="12:12" x14ac:dyDescent="0.3">
      <c r="L206" s="196"/>
    </row>
    <row r="207" spans="12:12" x14ac:dyDescent="0.3">
      <c r="L207" s="196"/>
    </row>
    <row r="208" spans="12:12" x14ac:dyDescent="0.3">
      <c r="L208" s="196"/>
    </row>
    <row r="209" spans="12:12" x14ac:dyDescent="0.3">
      <c r="L209" s="196"/>
    </row>
    <row r="210" spans="12:12" x14ac:dyDescent="0.3">
      <c r="L210" s="196"/>
    </row>
    <row r="211" spans="12:12" x14ac:dyDescent="0.3">
      <c r="L211" s="196"/>
    </row>
    <row r="212" spans="12:12" x14ac:dyDescent="0.3">
      <c r="L212" s="196"/>
    </row>
    <row r="213" spans="12:12" x14ac:dyDescent="0.3">
      <c r="L213" s="196"/>
    </row>
    <row r="214" spans="12:12" x14ac:dyDescent="0.3">
      <c r="L214" s="196"/>
    </row>
    <row r="215" spans="12:12" x14ac:dyDescent="0.3">
      <c r="L215" s="196"/>
    </row>
    <row r="216" spans="12:12" x14ac:dyDescent="0.3">
      <c r="L216" s="196"/>
    </row>
    <row r="217" spans="12:12" x14ac:dyDescent="0.3">
      <c r="L217" s="196"/>
    </row>
    <row r="218" spans="12:12" x14ac:dyDescent="0.3">
      <c r="L218" s="196"/>
    </row>
    <row r="219" spans="12:12" x14ac:dyDescent="0.3">
      <c r="L219" s="196"/>
    </row>
    <row r="220" spans="12:12" x14ac:dyDescent="0.3">
      <c r="L220" s="196"/>
    </row>
    <row r="221" spans="12:12" x14ac:dyDescent="0.3">
      <c r="L221" s="196"/>
    </row>
    <row r="222" spans="12:12" x14ac:dyDescent="0.3">
      <c r="L222" s="196"/>
    </row>
    <row r="223" spans="12:12" x14ac:dyDescent="0.3">
      <c r="L223" s="196"/>
    </row>
    <row r="224" spans="12:12" x14ac:dyDescent="0.3">
      <c r="L224" s="196"/>
    </row>
    <row r="225" spans="12:12" x14ac:dyDescent="0.3">
      <c r="L225" s="196"/>
    </row>
    <row r="226" spans="12:12" x14ac:dyDescent="0.3">
      <c r="L226" s="196"/>
    </row>
    <row r="227" spans="12:12" x14ac:dyDescent="0.3">
      <c r="L227" s="196"/>
    </row>
    <row r="228" spans="12:12" x14ac:dyDescent="0.3">
      <c r="L228" s="196"/>
    </row>
    <row r="229" spans="12:12" x14ac:dyDescent="0.3">
      <c r="L229" s="196"/>
    </row>
    <row r="230" spans="12:12" x14ac:dyDescent="0.3">
      <c r="L230" s="196"/>
    </row>
    <row r="231" spans="12:12" x14ac:dyDescent="0.3">
      <c r="L231" s="196"/>
    </row>
    <row r="232" spans="12:12" x14ac:dyDescent="0.3">
      <c r="L232" s="196"/>
    </row>
    <row r="233" spans="12:12" x14ac:dyDescent="0.3">
      <c r="L233" s="196"/>
    </row>
    <row r="234" spans="12:12" x14ac:dyDescent="0.3">
      <c r="L234" s="196"/>
    </row>
    <row r="235" spans="12:12" x14ac:dyDescent="0.3">
      <c r="L235" s="196"/>
    </row>
    <row r="236" spans="12:12" x14ac:dyDescent="0.3">
      <c r="L236" s="196"/>
    </row>
    <row r="237" spans="12:12" x14ac:dyDescent="0.3">
      <c r="L237" s="196"/>
    </row>
    <row r="238" spans="12:12" x14ac:dyDescent="0.3">
      <c r="L238" s="196"/>
    </row>
    <row r="239" spans="12:12" x14ac:dyDescent="0.3">
      <c r="L239" s="196"/>
    </row>
    <row r="240" spans="12:12" x14ac:dyDescent="0.3">
      <c r="L240" s="196"/>
    </row>
    <row r="241" spans="12:12" x14ac:dyDescent="0.3">
      <c r="L241" s="196"/>
    </row>
    <row r="242" spans="12:12" x14ac:dyDescent="0.3">
      <c r="L242" s="196"/>
    </row>
    <row r="243" spans="12:12" x14ac:dyDescent="0.3">
      <c r="L243" s="196"/>
    </row>
    <row r="244" spans="12:12" x14ac:dyDescent="0.3">
      <c r="L244" s="196"/>
    </row>
    <row r="245" spans="12:12" x14ac:dyDescent="0.3">
      <c r="L245" s="196"/>
    </row>
    <row r="246" spans="12:12" x14ac:dyDescent="0.3">
      <c r="L246" s="196"/>
    </row>
    <row r="247" spans="12:12" x14ac:dyDescent="0.3">
      <c r="L247" s="196"/>
    </row>
    <row r="248" spans="12:12" x14ac:dyDescent="0.3">
      <c r="L248" s="196"/>
    </row>
    <row r="249" spans="12:12" x14ac:dyDescent="0.3">
      <c r="L249" s="196"/>
    </row>
    <row r="250" spans="12:12" x14ac:dyDescent="0.3">
      <c r="L250" s="196"/>
    </row>
    <row r="251" spans="12:12" x14ac:dyDescent="0.3">
      <c r="L251" s="196"/>
    </row>
    <row r="252" spans="12:12" x14ac:dyDescent="0.3">
      <c r="L252" s="196"/>
    </row>
    <row r="253" spans="12:12" x14ac:dyDescent="0.3">
      <c r="L253" s="196"/>
    </row>
    <row r="254" spans="12:12" x14ac:dyDescent="0.3">
      <c r="L254" s="196"/>
    </row>
    <row r="255" spans="12:12" x14ac:dyDescent="0.3">
      <c r="L255" s="196"/>
    </row>
  </sheetData>
  <mergeCells count="2">
    <mergeCell ref="R3:S3"/>
    <mergeCell ref="U3:V3"/>
  </mergeCells>
  <conditionalFormatting sqref="AM27:AP36 Q27:Q36 N27:N36">
    <cfRule type="expression" dxfId="131" priority="12">
      <formula>$L27="API sand"</formula>
    </cfRule>
  </conditionalFormatting>
  <conditionalFormatting sqref="R27:S36 AB27:AB35 AJ27:AL36 Z27:Z36 N27:N36">
    <cfRule type="expression" dxfId="130" priority="11">
      <formula>$M27="API sand"</formula>
    </cfRule>
  </conditionalFormatting>
  <conditionalFormatting sqref="R27:T36 Z27:AB35 AK27:AL36 N27:N36">
    <cfRule type="expression" dxfId="129" priority="10">
      <formula>$M27="API clay"</formula>
    </cfRule>
  </conditionalFormatting>
  <conditionalFormatting sqref="U27:W36 AM27:AP36 N27:P36">
    <cfRule type="expression" dxfId="128" priority="7">
      <formula>$L27="Stiff clay w/o free water"</formula>
    </cfRule>
    <cfRule type="expression" dxfId="127" priority="9">
      <formula>$L27="API clay"</formula>
    </cfRule>
  </conditionalFormatting>
  <conditionalFormatting sqref="U27:Y36 AM27:AP36 N27:P36">
    <cfRule type="expression" dxfId="126" priority="8">
      <formula>$L27="Kirsch soft clay"</formula>
    </cfRule>
  </conditionalFormatting>
  <conditionalFormatting sqref="U27:Y36 AM27:AP36 N27:P36">
    <cfRule type="expression" dxfId="125" priority="6">
      <formula>$L27="Kirsch stiff clay"</formula>
    </cfRule>
  </conditionalFormatting>
  <conditionalFormatting sqref="AM27:AP36 Q27:Q36 X27:Y36 N27:N36">
    <cfRule type="expression" dxfId="124" priority="5">
      <formula>$L27="Kirsch sand"</formula>
    </cfRule>
  </conditionalFormatting>
  <conditionalFormatting sqref="AC27:AD36 AI27:AI36 AM27:AP36 N27:N36">
    <cfRule type="expression" dxfId="123" priority="4">
      <formula>$L27="Modified Weak rock"</formula>
    </cfRule>
  </conditionalFormatting>
  <conditionalFormatting sqref="AM27:AP36 N27:P36 U27:V36">
    <cfRule type="expression" dxfId="122" priority="3">
      <formula>$L27="Reese stiff clay"</formula>
    </cfRule>
  </conditionalFormatting>
  <conditionalFormatting sqref="AB36">
    <cfRule type="expression" dxfId="121" priority="2">
      <formula>$M36="API sand"</formula>
    </cfRule>
  </conditionalFormatting>
  <conditionalFormatting sqref="Z36:AB36">
    <cfRule type="expression" dxfId="120" priority="1">
      <formula>$M36="API clay"</formula>
    </cfRule>
  </conditionalFormatting>
  <conditionalFormatting sqref="AE37:AH37">
    <cfRule type="expression" dxfId="119" priority="13">
      <formula>#REF!="Modified Weak rock"</formula>
    </cfRule>
  </conditionalFormatting>
  <dataValidations count="3">
    <dataValidation showInputMessage="1" showErrorMessage="1" sqref="L6:M26" xr:uid="{71CBB4DB-0A83-4BA0-9D19-A6E9074775F8}"/>
    <dataValidation type="list" showInputMessage="1" showErrorMessage="1" sqref="L27:L255" xr:uid="{3E225D8D-44C5-40D4-AD8B-BEDB22920BA8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27:M36" xr:uid="{FAB64148-3CB4-4804-A8EB-824AC6D2EBC3}">
      <formula1>"',API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8118F-F06B-47D0-B597-FC9EC339E5F9}">
  <sheetPr>
    <tabColor rgb="FF7030A0"/>
  </sheetPr>
  <dimension ref="A1:CH255"/>
  <sheetViews>
    <sheetView topLeftCell="Z1" zoomScaleNormal="100" workbookViewId="0">
      <selection activeCell="AC44" sqref="AC44"/>
    </sheetView>
  </sheetViews>
  <sheetFormatPr defaultColWidth="9.33203125" defaultRowHeight="14.4" x14ac:dyDescent="0.3"/>
  <cols>
    <col min="1" max="1" width="18" style="152" bestFit="1" customWidth="1"/>
    <col min="2" max="2" width="13.6640625" style="152" customWidth="1"/>
    <col min="3" max="3" width="13.5546875" style="152" customWidth="1"/>
    <col min="4" max="5" width="14" style="152" customWidth="1"/>
    <col min="6" max="6" width="13" style="152" bestFit="1" customWidth="1"/>
    <col min="7" max="7" width="13.5546875" style="152" customWidth="1"/>
    <col min="8" max="8" width="11" style="152" bestFit="1" customWidth="1"/>
    <col min="9" max="9" width="15.6640625" style="152" bestFit="1" customWidth="1"/>
    <col min="10" max="10" width="10.33203125" style="152" customWidth="1"/>
    <col min="11" max="11" width="11.5546875" style="152" bestFit="1" customWidth="1"/>
    <col min="12" max="12" width="31.44140625" style="152" customWidth="1"/>
    <col min="13" max="13" width="11.6640625" style="152" bestFit="1" customWidth="1"/>
    <col min="14" max="14" width="11" style="152" bestFit="1" customWidth="1"/>
    <col min="15" max="15" width="9.33203125" style="152" customWidth="1"/>
    <col min="16" max="16" width="10.5546875" style="152" customWidth="1"/>
    <col min="17" max="18" width="9.5546875" style="152" bestFit="1" customWidth="1"/>
    <col min="19" max="20" width="6.5546875" style="152" customWidth="1"/>
    <col min="21" max="21" width="13.33203125" style="152" customWidth="1"/>
    <col min="22" max="22" width="19.44140625" style="152" customWidth="1"/>
    <col min="23" max="23" width="6.5546875" style="152" customWidth="1"/>
    <col min="24" max="24" width="11.6640625" style="152" customWidth="1"/>
    <col min="25" max="25" width="8.44140625" style="152" bestFit="1" customWidth="1"/>
    <col min="26" max="26" width="11.6640625" style="152" customWidth="1"/>
    <col min="27" max="27" width="11" style="152" bestFit="1" customWidth="1"/>
    <col min="28" max="28" width="10.5546875" style="152" customWidth="1"/>
    <col min="29" max="29" width="14.6640625" style="152" customWidth="1"/>
    <col min="30" max="30" width="11.6640625" style="152" customWidth="1"/>
    <col min="31" max="31" width="10.33203125" style="152" customWidth="1"/>
    <col min="32" max="32" width="8.33203125" style="152" customWidth="1"/>
    <col min="33" max="33" width="13.6640625" style="152" customWidth="1"/>
    <col min="34" max="34" width="8.44140625" style="152" customWidth="1"/>
    <col min="35" max="35" width="7.6640625" style="152" customWidth="1"/>
    <col min="36" max="36" width="8.5546875" style="152" customWidth="1"/>
    <col min="37" max="37" width="11.33203125" style="152" bestFit="1" customWidth="1"/>
    <col min="38" max="38" width="11.44140625" style="152" bestFit="1" customWidth="1"/>
    <col min="39" max="39" width="11.6640625" style="152" bestFit="1" customWidth="1"/>
    <col min="40" max="40" width="11.5546875" style="152" bestFit="1" customWidth="1"/>
    <col min="41" max="42" width="11.5546875" style="152" customWidth="1"/>
    <col min="43" max="44" width="9.33203125" style="152"/>
    <col min="45" max="45" width="15.5546875" style="152" bestFit="1" customWidth="1"/>
    <col min="46" max="46" width="25.6640625" style="152" bestFit="1" customWidth="1"/>
    <col min="47" max="16384" width="9.33203125" style="152"/>
  </cols>
  <sheetData>
    <row r="1" spans="1:86" x14ac:dyDescent="0.3">
      <c r="A1" s="151" t="str">
        <f ca="1">TRIM(MID(CELL("filename",A1),FIND("]",CELL("filename",A1),1)+1,255))</f>
        <v>D2_34_NFA</v>
      </c>
      <c r="D1" s="151"/>
    </row>
    <row r="3" spans="1:86" s="153" customFormat="1" ht="45" customHeight="1" x14ac:dyDescent="0.3">
      <c r="F3" s="154" t="s">
        <v>37</v>
      </c>
      <c r="J3" s="155" t="s">
        <v>22</v>
      </c>
      <c r="Q3" s="201"/>
      <c r="R3" s="237"/>
      <c r="S3" s="237"/>
      <c r="T3" s="201"/>
      <c r="U3" s="237"/>
      <c r="V3" s="237"/>
      <c r="W3" s="201"/>
      <c r="X3" s="157"/>
      <c r="Y3" s="201"/>
      <c r="Z3" s="201"/>
      <c r="AA3" s="201"/>
      <c r="AB3" s="201"/>
      <c r="AC3" s="157"/>
      <c r="AD3" s="158"/>
      <c r="AE3" s="158"/>
      <c r="AF3" s="158"/>
      <c r="AG3" s="158"/>
      <c r="AH3" s="158"/>
      <c r="AI3" s="158"/>
      <c r="AJ3" s="201"/>
      <c r="AK3" s="201"/>
      <c r="AL3" s="201"/>
      <c r="AM3" s="201"/>
      <c r="AN3" s="201"/>
      <c r="AO3" s="201"/>
      <c r="AP3" s="201"/>
      <c r="AW3" s="153" t="s">
        <v>491</v>
      </c>
    </row>
    <row r="4" spans="1:86" x14ac:dyDescent="0.3">
      <c r="A4" s="159" t="s">
        <v>54</v>
      </c>
      <c r="B4" s="152">
        <f>COUNTIF(J:J,"&gt;0")</f>
        <v>23</v>
      </c>
      <c r="C4" s="160" t="s">
        <v>402</v>
      </c>
      <c r="D4" s="161"/>
      <c r="F4" s="152" t="s">
        <v>38</v>
      </c>
      <c r="G4" s="162">
        <v>0</v>
      </c>
      <c r="H4" s="160" t="s">
        <v>28</v>
      </c>
      <c r="I4" s="152" t="s">
        <v>492</v>
      </c>
      <c r="J4" s="161" t="s">
        <v>0</v>
      </c>
      <c r="K4" s="161" t="s">
        <v>3</v>
      </c>
      <c r="L4" s="161" t="s">
        <v>1</v>
      </c>
      <c r="M4" s="161" t="s">
        <v>2</v>
      </c>
      <c r="N4" s="161" t="s">
        <v>6</v>
      </c>
      <c r="O4" s="161" t="s">
        <v>4</v>
      </c>
      <c r="P4" s="161" t="s">
        <v>5</v>
      </c>
      <c r="Q4" s="161" t="s">
        <v>7</v>
      </c>
      <c r="R4" s="161" t="s">
        <v>13</v>
      </c>
      <c r="S4" s="161" t="s">
        <v>65</v>
      </c>
      <c r="T4" s="161" t="s">
        <v>14</v>
      </c>
      <c r="U4" s="161" t="s">
        <v>8</v>
      </c>
      <c r="V4" s="161" t="s">
        <v>9</v>
      </c>
      <c r="W4" s="161" t="s">
        <v>10</v>
      </c>
      <c r="X4" s="161" t="s">
        <v>67</v>
      </c>
      <c r="Y4" s="161" t="s">
        <v>71</v>
      </c>
      <c r="Z4" s="161" t="s">
        <v>15</v>
      </c>
      <c r="AA4" s="161" t="s">
        <v>16</v>
      </c>
      <c r="AB4" s="161" t="s">
        <v>17</v>
      </c>
      <c r="AC4" s="161" t="s">
        <v>11</v>
      </c>
      <c r="AD4" s="161" t="s">
        <v>12</v>
      </c>
      <c r="AE4" s="161" t="s">
        <v>18</v>
      </c>
      <c r="AF4" s="161" t="s">
        <v>19</v>
      </c>
      <c r="AG4" s="161" t="s">
        <v>408</v>
      </c>
      <c r="AH4" s="161" t="s">
        <v>20</v>
      </c>
      <c r="AI4" s="161" t="s">
        <v>21</v>
      </c>
      <c r="AJ4" s="161" t="s">
        <v>59</v>
      </c>
      <c r="AK4" s="161" t="s">
        <v>64</v>
      </c>
      <c r="AL4" s="161" t="s">
        <v>68</v>
      </c>
      <c r="AM4" s="161" t="s">
        <v>69</v>
      </c>
      <c r="AN4" s="161" t="s">
        <v>70</v>
      </c>
      <c r="AO4" s="161" t="s">
        <v>407</v>
      </c>
      <c r="AP4" s="161" t="s">
        <v>406</v>
      </c>
      <c r="AQ4" s="163" t="s">
        <v>405</v>
      </c>
      <c r="AR4" s="161" t="s">
        <v>404</v>
      </c>
      <c r="AS4" s="152" t="s">
        <v>403</v>
      </c>
      <c r="AT4" s="66" t="s">
        <v>487</v>
      </c>
      <c r="AU4" s="66" t="s">
        <v>480</v>
      </c>
      <c r="AV4" s="66" t="s">
        <v>488</v>
      </c>
    </row>
    <row r="5" spans="1:86" ht="92.4" x14ac:dyDescent="0.3">
      <c r="A5" s="152" t="s">
        <v>55</v>
      </c>
      <c r="B5" s="152">
        <f ca="1">COUNTIF(A:A,"&gt;0")</f>
        <v>1</v>
      </c>
      <c r="C5" s="160" t="s">
        <v>402</v>
      </c>
      <c r="F5" s="152" t="s">
        <v>39</v>
      </c>
      <c r="G5" s="162">
        <v>0</v>
      </c>
      <c r="H5" s="160" t="s">
        <v>28</v>
      </c>
      <c r="J5" s="164" t="s">
        <v>36</v>
      </c>
      <c r="K5" s="164" t="s">
        <v>29</v>
      </c>
      <c r="L5" s="164" t="s">
        <v>30</v>
      </c>
      <c r="M5" s="164" t="s">
        <v>30</v>
      </c>
      <c r="N5" s="164" t="s">
        <v>31</v>
      </c>
      <c r="O5" s="164" t="s">
        <v>32</v>
      </c>
      <c r="P5" s="164" t="s">
        <v>34</v>
      </c>
      <c r="Q5" s="164" t="s">
        <v>35</v>
      </c>
      <c r="R5" s="164" t="s">
        <v>35</v>
      </c>
      <c r="S5" s="164" t="s">
        <v>33</v>
      </c>
      <c r="T5" s="164" t="s">
        <v>32</v>
      </c>
      <c r="U5" s="164" t="s">
        <v>33</v>
      </c>
      <c r="V5" s="164" t="s">
        <v>401</v>
      </c>
      <c r="W5" s="164" t="s">
        <v>33</v>
      </c>
      <c r="X5" s="164" t="s">
        <v>32</v>
      </c>
      <c r="Y5" s="164" t="s">
        <v>34</v>
      </c>
      <c r="Z5" s="164" t="s">
        <v>32</v>
      </c>
      <c r="AA5" s="164" t="s">
        <v>33</v>
      </c>
      <c r="AB5" s="164" t="s">
        <v>32</v>
      </c>
      <c r="AC5" s="164" t="s">
        <v>32</v>
      </c>
      <c r="AD5" s="164" t="s">
        <v>34</v>
      </c>
      <c r="AE5" s="164" t="s">
        <v>33</v>
      </c>
      <c r="AF5" s="164" t="s">
        <v>32</v>
      </c>
      <c r="AG5" s="164" t="s">
        <v>34</v>
      </c>
      <c r="AH5" s="164" t="s">
        <v>33</v>
      </c>
      <c r="AI5" s="164" t="s">
        <v>33</v>
      </c>
      <c r="AJ5" s="164" t="s">
        <v>33</v>
      </c>
      <c r="AK5" s="164" t="s">
        <v>33</v>
      </c>
      <c r="AL5" s="164" t="s">
        <v>33</v>
      </c>
      <c r="AM5" s="164" t="s">
        <v>33</v>
      </c>
      <c r="AN5" s="164" t="s">
        <v>33</v>
      </c>
      <c r="AO5" s="164" t="s">
        <v>33</v>
      </c>
      <c r="AP5" s="164" t="s">
        <v>33</v>
      </c>
      <c r="AQ5" s="164" t="s">
        <v>400</v>
      </c>
      <c r="AR5" s="164" t="s">
        <v>399</v>
      </c>
      <c r="AW5" s="165" t="s">
        <v>493</v>
      </c>
      <c r="AX5" s="165" t="s">
        <v>494</v>
      </c>
      <c r="AY5" s="165" t="s">
        <v>495</v>
      </c>
      <c r="AZ5" s="165" t="s">
        <v>496</v>
      </c>
      <c r="BA5" s="165" t="s">
        <v>497</v>
      </c>
      <c r="BB5" s="165" t="s">
        <v>498</v>
      </c>
      <c r="BC5" s="165" t="s">
        <v>499</v>
      </c>
      <c r="BD5" s="165" t="s">
        <v>500</v>
      </c>
      <c r="BE5" s="165" t="s">
        <v>501</v>
      </c>
      <c r="BF5" s="165" t="s">
        <v>502</v>
      </c>
      <c r="BG5" s="165" t="s">
        <v>503</v>
      </c>
      <c r="BH5" s="165" t="s">
        <v>504</v>
      </c>
      <c r="BI5" s="165" t="s">
        <v>505</v>
      </c>
      <c r="BJ5" s="165" t="s">
        <v>506</v>
      </c>
      <c r="BK5" s="165" t="s">
        <v>507</v>
      </c>
      <c r="BL5" s="165" t="s">
        <v>508</v>
      </c>
      <c r="BM5" s="165" t="s">
        <v>509</v>
      </c>
      <c r="BN5" s="165" t="s">
        <v>510</v>
      </c>
      <c r="BO5" s="165" t="s">
        <v>511</v>
      </c>
      <c r="BP5" s="165" t="s">
        <v>512</v>
      </c>
      <c r="BQ5" s="165" t="s">
        <v>513</v>
      </c>
      <c r="BR5" s="165" t="s">
        <v>514</v>
      </c>
      <c r="BS5" s="165" t="s">
        <v>515</v>
      </c>
      <c r="BT5" s="165" t="s">
        <v>516</v>
      </c>
      <c r="BU5" s="165" t="s">
        <v>517</v>
      </c>
      <c r="BV5" s="165" t="s">
        <v>518</v>
      </c>
      <c r="BW5" s="165" t="s">
        <v>519</v>
      </c>
      <c r="BX5" s="165" t="s">
        <v>520</v>
      </c>
      <c r="BY5" s="165" t="s">
        <v>521</v>
      </c>
      <c r="BZ5" s="165" t="s">
        <v>522</v>
      </c>
      <c r="CA5" s="165" t="s">
        <v>523</v>
      </c>
      <c r="CB5" s="165" t="s">
        <v>524</v>
      </c>
      <c r="CC5" s="165" t="s">
        <v>525</v>
      </c>
      <c r="CD5" s="165" t="s">
        <v>526</v>
      </c>
      <c r="CE5" s="165" t="s">
        <v>527</v>
      </c>
      <c r="CF5" s="165" t="s">
        <v>528</v>
      </c>
      <c r="CG5" s="165" t="s">
        <v>529</v>
      </c>
      <c r="CH5" s="165" t="s">
        <v>530</v>
      </c>
    </row>
    <row r="6" spans="1:86" x14ac:dyDescent="0.3">
      <c r="C6" s="160"/>
      <c r="F6" s="152" t="s">
        <v>60</v>
      </c>
      <c r="G6" s="166"/>
      <c r="H6" s="160" t="s">
        <v>28</v>
      </c>
      <c r="I6" s="152" t="s">
        <v>533</v>
      </c>
      <c r="J6" s="167">
        <v>1</v>
      </c>
      <c r="K6" s="168">
        <v>0</v>
      </c>
      <c r="L6" s="169" t="s">
        <v>531</v>
      </c>
      <c r="M6" s="67" t="s">
        <v>57</v>
      </c>
      <c r="N6" s="167">
        <v>9.6000000000000014</v>
      </c>
      <c r="O6" s="170">
        <v>0</v>
      </c>
      <c r="P6" s="170">
        <v>0</v>
      </c>
      <c r="Q6" s="167">
        <v>39</v>
      </c>
      <c r="R6" s="167">
        <v>34</v>
      </c>
      <c r="S6" s="167">
        <v>0.3</v>
      </c>
      <c r="T6" s="167">
        <v>0</v>
      </c>
      <c r="U6" s="171">
        <v>0</v>
      </c>
      <c r="V6" s="171">
        <v>0</v>
      </c>
      <c r="W6" s="167">
        <v>0</v>
      </c>
      <c r="X6" s="167">
        <v>22700</v>
      </c>
      <c r="Y6" s="167">
        <v>0</v>
      </c>
      <c r="Z6" s="167">
        <v>111.19999999999996</v>
      </c>
      <c r="AA6" s="167">
        <v>1</v>
      </c>
      <c r="AB6" s="167">
        <v>11520</v>
      </c>
      <c r="AC6" s="170">
        <v>2000</v>
      </c>
      <c r="AD6" s="172">
        <v>62222.222222222219</v>
      </c>
      <c r="AE6" s="170">
        <v>0.3</v>
      </c>
      <c r="AF6" s="170">
        <v>0</v>
      </c>
      <c r="AG6" s="170">
        <v>0</v>
      </c>
      <c r="AH6" s="170">
        <v>0</v>
      </c>
      <c r="AI6" s="170">
        <v>0</v>
      </c>
      <c r="AJ6" s="167">
        <v>48.000000000000007</v>
      </c>
      <c r="AK6" s="167">
        <v>1</v>
      </c>
      <c r="AL6" s="167">
        <v>1</v>
      </c>
      <c r="AM6" s="167">
        <v>1</v>
      </c>
      <c r="AN6" s="167">
        <v>1</v>
      </c>
      <c r="AO6" s="167">
        <v>1</v>
      </c>
      <c r="AP6" s="167">
        <v>1</v>
      </c>
      <c r="AQ6" s="167">
        <v>0</v>
      </c>
      <c r="AR6" s="167">
        <v>100</v>
      </c>
      <c r="AS6" s="173">
        <v>0.28431400000000001</v>
      </c>
      <c r="AT6" s="152" t="s">
        <v>532</v>
      </c>
      <c r="AU6" s="152">
        <v>9.1999999999999993</v>
      </c>
      <c r="AV6" s="152">
        <v>0.12</v>
      </c>
      <c r="AW6" s="174">
        <v>0</v>
      </c>
      <c r="AX6" s="174" t="s">
        <v>533</v>
      </c>
      <c r="AY6" s="174">
        <v>24</v>
      </c>
      <c r="AZ6" s="174">
        <v>19.600000000000001</v>
      </c>
      <c r="BA6" s="174"/>
      <c r="BB6" s="174">
        <v>3</v>
      </c>
      <c r="BC6" s="174"/>
      <c r="BD6" s="174"/>
      <c r="BE6" s="174">
        <v>0</v>
      </c>
      <c r="BF6" s="174">
        <v>0</v>
      </c>
      <c r="BG6" s="174">
        <v>0</v>
      </c>
      <c r="BH6" s="174">
        <v>0</v>
      </c>
      <c r="BI6" s="174">
        <v>0</v>
      </c>
      <c r="BJ6" s="174">
        <v>0.01</v>
      </c>
      <c r="BK6" s="174">
        <v>0.01</v>
      </c>
      <c r="BL6" s="174">
        <v>0.01</v>
      </c>
      <c r="BM6" s="174">
        <v>0.01</v>
      </c>
      <c r="BN6" s="174">
        <v>0.01</v>
      </c>
      <c r="BO6" s="174"/>
      <c r="BP6" s="174"/>
      <c r="BQ6" s="174"/>
      <c r="BR6" s="174"/>
      <c r="BS6" s="174"/>
      <c r="BT6" s="174">
        <v>100</v>
      </c>
      <c r="BU6" s="174">
        <v>31</v>
      </c>
      <c r="BV6" s="174">
        <v>39</v>
      </c>
      <c r="BW6" s="174">
        <v>44</v>
      </c>
      <c r="BX6" s="174">
        <v>47</v>
      </c>
      <c r="BY6" s="174">
        <v>47</v>
      </c>
      <c r="BZ6" s="174">
        <v>0</v>
      </c>
      <c r="CA6" s="174">
        <v>0</v>
      </c>
      <c r="CB6" s="174">
        <v>2</v>
      </c>
      <c r="CC6" s="174">
        <v>8</v>
      </c>
      <c r="CD6" s="174">
        <v>21</v>
      </c>
      <c r="CE6" s="174">
        <v>22.7</v>
      </c>
      <c r="CF6" s="174">
        <v>1</v>
      </c>
      <c r="CG6" s="174">
        <v>0.3</v>
      </c>
      <c r="CH6" s="175">
        <v>3.650010417479681E-3</v>
      </c>
    </row>
    <row r="7" spans="1:86" x14ac:dyDescent="0.3">
      <c r="A7" s="176" t="s">
        <v>23</v>
      </c>
      <c r="C7" s="160"/>
      <c r="F7" s="177" t="s">
        <v>44</v>
      </c>
      <c r="G7" s="178"/>
      <c r="H7" s="158"/>
      <c r="I7" s="152" t="s">
        <v>533</v>
      </c>
      <c r="J7" s="167">
        <v>2</v>
      </c>
      <c r="K7" s="168">
        <v>-0.9</v>
      </c>
      <c r="L7" s="169" t="s">
        <v>534</v>
      </c>
      <c r="M7" s="67" t="s">
        <v>57</v>
      </c>
      <c r="N7" s="167">
        <v>9.6000000000000014</v>
      </c>
      <c r="O7" s="170">
        <v>0</v>
      </c>
      <c r="P7" s="170">
        <v>0</v>
      </c>
      <c r="Q7" s="167">
        <v>39</v>
      </c>
      <c r="R7" s="167">
        <v>34</v>
      </c>
      <c r="S7" s="167">
        <v>0.3</v>
      </c>
      <c r="T7" s="167">
        <v>0</v>
      </c>
      <c r="U7" s="171">
        <v>0</v>
      </c>
      <c r="V7" s="171">
        <v>0</v>
      </c>
      <c r="W7" s="167">
        <v>0</v>
      </c>
      <c r="X7" s="167">
        <v>37000</v>
      </c>
      <c r="Y7" s="167">
        <v>0</v>
      </c>
      <c r="Z7" s="167">
        <v>111.19999999999996</v>
      </c>
      <c r="AA7" s="167">
        <v>1</v>
      </c>
      <c r="AB7" s="167">
        <v>11520</v>
      </c>
      <c r="AC7" s="170">
        <v>58000</v>
      </c>
      <c r="AD7" s="172">
        <v>5000</v>
      </c>
      <c r="AE7" s="170">
        <v>0.3</v>
      </c>
      <c r="AF7" s="170">
        <v>0</v>
      </c>
      <c r="AG7" s="170">
        <v>0</v>
      </c>
      <c r="AH7" s="170">
        <v>0</v>
      </c>
      <c r="AI7" s="170">
        <v>0</v>
      </c>
      <c r="AJ7" s="167">
        <v>48.000000000000007</v>
      </c>
      <c r="AK7" s="167">
        <v>1</v>
      </c>
      <c r="AL7" s="167">
        <v>1</v>
      </c>
      <c r="AM7" s="167">
        <v>1</v>
      </c>
      <c r="AN7" s="167">
        <v>1</v>
      </c>
      <c r="AO7" s="167">
        <v>1</v>
      </c>
      <c r="AP7" s="167">
        <v>1</v>
      </c>
      <c r="AQ7" s="167">
        <v>0</v>
      </c>
      <c r="AR7" s="167">
        <v>96</v>
      </c>
      <c r="AS7" s="173">
        <v>0.28431400000000001</v>
      </c>
      <c r="AT7" s="152" t="s">
        <v>535</v>
      </c>
      <c r="AU7" s="152">
        <v>9.1999999999999993</v>
      </c>
      <c r="AV7" s="152">
        <v>0.11</v>
      </c>
      <c r="AW7" s="174">
        <v>0.9</v>
      </c>
      <c r="AX7" s="174" t="s">
        <v>533</v>
      </c>
      <c r="AY7" s="174">
        <v>24</v>
      </c>
      <c r="AZ7" s="174">
        <v>19.600000000000001</v>
      </c>
      <c r="BA7" s="174"/>
      <c r="BB7" s="174">
        <v>3</v>
      </c>
      <c r="BC7" s="174"/>
      <c r="BD7" s="174"/>
      <c r="BE7" s="174">
        <v>12</v>
      </c>
      <c r="BF7" s="174">
        <v>12.7</v>
      </c>
      <c r="BG7" s="174">
        <v>13.2</v>
      </c>
      <c r="BH7" s="174">
        <v>13.7</v>
      </c>
      <c r="BI7" s="174">
        <v>14.4</v>
      </c>
      <c r="BJ7" s="174">
        <v>4.9399999999999999E-2</v>
      </c>
      <c r="BK7" s="174">
        <v>5.2600000000000001E-2</v>
      </c>
      <c r="BL7" s="174">
        <v>5.4800000000000001E-2</v>
      </c>
      <c r="BM7" s="174">
        <v>5.7000000000000002E-2</v>
      </c>
      <c r="BN7" s="174">
        <v>6.0199999999999997E-2</v>
      </c>
      <c r="BO7" s="174"/>
      <c r="BP7" s="174"/>
      <c r="BQ7" s="174"/>
      <c r="BR7" s="174"/>
      <c r="BS7" s="174"/>
      <c r="BT7" s="174">
        <v>100</v>
      </c>
      <c r="BU7" s="174">
        <v>31</v>
      </c>
      <c r="BV7" s="174">
        <v>39</v>
      </c>
      <c r="BW7" s="174">
        <v>44</v>
      </c>
      <c r="BX7" s="174">
        <v>47</v>
      </c>
      <c r="BY7" s="174">
        <v>47</v>
      </c>
      <c r="BZ7" s="174">
        <v>45</v>
      </c>
      <c r="CA7" s="174">
        <v>52</v>
      </c>
      <c r="CB7" s="174">
        <v>58</v>
      </c>
      <c r="CC7" s="174">
        <v>64</v>
      </c>
      <c r="CD7" s="174">
        <v>76</v>
      </c>
      <c r="CE7" s="174">
        <v>22.7</v>
      </c>
      <c r="CF7" s="174">
        <v>1</v>
      </c>
      <c r="CG7" s="174">
        <v>0.3</v>
      </c>
      <c r="CH7" s="175">
        <v>3.650010417479681E-3</v>
      </c>
    </row>
    <row r="8" spans="1:86" x14ac:dyDescent="0.3">
      <c r="A8" s="152" t="s">
        <v>24</v>
      </c>
      <c r="B8" s="162">
        <v>0</v>
      </c>
      <c r="C8" s="160" t="s">
        <v>398</v>
      </c>
      <c r="F8" s="152" t="s">
        <v>45</v>
      </c>
      <c r="G8" s="179">
        <v>11640.460886670813</v>
      </c>
      <c r="H8" s="160" t="s">
        <v>48</v>
      </c>
      <c r="I8" s="152" t="s">
        <v>540</v>
      </c>
      <c r="J8" s="167">
        <v>3</v>
      </c>
      <c r="K8" s="168">
        <v>-1.7</v>
      </c>
      <c r="L8" s="169" t="s">
        <v>536</v>
      </c>
      <c r="M8" s="67" t="s">
        <v>57</v>
      </c>
      <c r="N8" s="167">
        <v>10.100000000000001</v>
      </c>
      <c r="O8" s="170">
        <v>0</v>
      </c>
      <c r="P8" s="170">
        <v>0</v>
      </c>
      <c r="Q8" s="167">
        <v>29</v>
      </c>
      <c r="R8" s="167">
        <v>24</v>
      </c>
      <c r="S8" s="167">
        <v>1.6</v>
      </c>
      <c r="T8" s="167">
        <v>0</v>
      </c>
      <c r="U8" s="171">
        <v>0</v>
      </c>
      <c r="V8" s="171">
        <v>0</v>
      </c>
      <c r="W8" s="167">
        <v>0</v>
      </c>
      <c r="X8" s="167">
        <v>4400</v>
      </c>
      <c r="Y8" s="167">
        <v>0</v>
      </c>
      <c r="Z8" s="167">
        <v>78.199999999999974</v>
      </c>
      <c r="AA8" s="167">
        <v>1</v>
      </c>
      <c r="AB8" s="167">
        <v>4420</v>
      </c>
      <c r="AC8" s="170">
        <v>59000</v>
      </c>
      <c r="AD8" s="172">
        <v>-5555.5555555555547</v>
      </c>
      <c r="AE8" s="170">
        <v>0.3</v>
      </c>
      <c r="AF8" s="170">
        <v>0</v>
      </c>
      <c r="AG8" s="170">
        <v>0</v>
      </c>
      <c r="AH8" s="170">
        <v>0</v>
      </c>
      <c r="AI8" s="170">
        <v>0</v>
      </c>
      <c r="AJ8" s="167">
        <v>18.400000000000006</v>
      </c>
      <c r="AK8" s="167">
        <v>1</v>
      </c>
      <c r="AL8" s="167">
        <v>1</v>
      </c>
      <c r="AM8" s="167">
        <v>1</v>
      </c>
      <c r="AN8" s="167">
        <v>1</v>
      </c>
      <c r="AO8" s="167">
        <v>1</v>
      </c>
      <c r="AP8" s="167">
        <v>1</v>
      </c>
      <c r="AQ8" s="167">
        <v>0</v>
      </c>
      <c r="AR8" s="167">
        <v>46</v>
      </c>
      <c r="AS8" s="173">
        <v>0.56896599999999997</v>
      </c>
      <c r="AT8" s="152" t="s">
        <v>537</v>
      </c>
      <c r="AU8" s="152">
        <v>9.1999999999999993</v>
      </c>
      <c r="AV8" s="152">
        <v>0.2</v>
      </c>
      <c r="AW8" s="174">
        <v>0.9</v>
      </c>
      <c r="AX8" s="174" t="s">
        <v>533</v>
      </c>
      <c r="AY8" s="174">
        <v>24</v>
      </c>
      <c r="AZ8" s="174">
        <v>19.600000000000001</v>
      </c>
      <c r="BA8" s="174"/>
      <c r="BB8" s="174">
        <v>3</v>
      </c>
      <c r="BC8" s="174"/>
      <c r="BD8" s="174"/>
      <c r="BE8" s="174">
        <v>11.7</v>
      </c>
      <c r="BF8" s="174">
        <v>12.8</v>
      </c>
      <c r="BG8" s="174">
        <v>13.6</v>
      </c>
      <c r="BH8" s="174">
        <v>14.4</v>
      </c>
      <c r="BI8" s="174">
        <v>15.5</v>
      </c>
      <c r="BJ8" s="174">
        <v>4.5199999999999997E-2</v>
      </c>
      <c r="BK8" s="174">
        <v>4.9700000000000001E-2</v>
      </c>
      <c r="BL8" s="174">
        <v>5.28E-2</v>
      </c>
      <c r="BM8" s="174">
        <v>5.5899999999999998E-2</v>
      </c>
      <c r="BN8" s="174">
        <v>6.0400000000000002E-2</v>
      </c>
      <c r="BO8" s="174"/>
      <c r="BP8" s="174"/>
      <c r="BQ8" s="174"/>
      <c r="BR8" s="174"/>
      <c r="BS8" s="174"/>
      <c r="BT8" s="174">
        <v>96</v>
      </c>
      <c r="BU8" s="174">
        <v>30</v>
      </c>
      <c r="BV8" s="174">
        <v>39</v>
      </c>
      <c r="BW8" s="174">
        <v>44</v>
      </c>
      <c r="BX8" s="174">
        <v>47</v>
      </c>
      <c r="BY8" s="174">
        <v>47</v>
      </c>
      <c r="BZ8" s="174">
        <v>33</v>
      </c>
      <c r="CA8" s="174">
        <v>46</v>
      </c>
      <c r="CB8" s="174">
        <v>58</v>
      </c>
      <c r="CC8" s="174">
        <v>69</v>
      </c>
      <c r="CD8" s="174">
        <v>94</v>
      </c>
      <c r="CE8" s="174">
        <v>37</v>
      </c>
      <c r="CF8" s="174">
        <v>1</v>
      </c>
      <c r="CG8" s="174">
        <v>0.3</v>
      </c>
      <c r="CH8" s="175">
        <v>3.1356976958693268E-3</v>
      </c>
    </row>
    <row r="9" spans="1:86" x14ac:dyDescent="0.3">
      <c r="A9" s="152" t="s">
        <v>61</v>
      </c>
      <c r="B9" s="166">
        <v>34</v>
      </c>
      <c r="C9" s="160" t="s">
        <v>28</v>
      </c>
      <c r="D9" s="162">
        <v>31880.742314246338</v>
      </c>
      <c r="F9" s="152" t="s">
        <v>72</v>
      </c>
      <c r="G9" s="180">
        <v>-552772.83884647035</v>
      </c>
      <c r="H9" s="160" t="s">
        <v>49</v>
      </c>
      <c r="I9" s="152" t="s">
        <v>544</v>
      </c>
      <c r="J9" s="167">
        <v>4</v>
      </c>
      <c r="K9" s="168">
        <v>-2.6</v>
      </c>
      <c r="L9" s="169" t="s">
        <v>538</v>
      </c>
      <c r="M9" s="67" t="s">
        <v>58</v>
      </c>
      <c r="N9" s="167">
        <v>8.8999999999999986</v>
      </c>
      <c r="O9" s="170">
        <v>27</v>
      </c>
      <c r="P9" s="170">
        <v>37.500000000000007</v>
      </c>
      <c r="Q9" s="167">
        <v>0</v>
      </c>
      <c r="R9" s="167" t="e">
        <v>#N/A</v>
      </c>
      <c r="S9" s="167">
        <v>1.3</v>
      </c>
      <c r="T9" s="167">
        <v>0</v>
      </c>
      <c r="U9" s="171">
        <v>1.9E-2</v>
      </c>
      <c r="V9" s="171">
        <v>0</v>
      </c>
      <c r="W9" s="167">
        <v>0.5</v>
      </c>
      <c r="X9" s="167">
        <v>3200</v>
      </c>
      <c r="Y9" s="167">
        <v>0</v>
      </c>
      <c r="Z9" s="167" t="e">
        <v>#N/A</v>
      </c>
      <c r="AA9" s="167">
        <v>1</v>
      </c>
      <c r="AB9" s="167" t="e">
        <v>#N/A</v>
      </c>
      <c r="AC9" s="170">
        <v>27000</v>
      </c>
      <c r="AD9" s="172">
        <v>5000.0000000000009</v>
      </c>
      <c r="AE9" s="170">
        <v>0.3</v>
      </c>
      <c r="AF9" s="170">
        <v>0</v>
      </c>
      <c r="AG9" s="170">
        <v>0</v>
      </c>
      <c r="AH9" s="170">
        <v>0</v>
      </c>
      <c r="AI9" s="170">
        <v>0</v>
      </c>
      <c r="AJ9" s="167" t="e">
        <v>#N/A</v>
      </c>
      <c r="AK9" s="167">
        <v>1</v>
      </c>
      <c r="AL9" s="167">
        <v>1</v>
      </c>
      <c r="AM9" s="167">
        <v>1</v>
      </c>
      <c r="AN9" s="167">
        <v>1</v>
      </c>
      <c r="AO9" s="167">
        <v>1</v>
      </c>
      <c r="AP9" s="167">
        <v>1</v>
      </c>
      <c r="AQ9" s="167">
        <v>0</v>
      </c>
      <c r="AR9" s="167">
        <v>0</v>
      </c>
      <c r="AS9" s="173">
        <v>0.7</v>
      </c>
      <c r="AT9" s="152" t="s">
        <v>535</v>
      </c>
      <c r="AU9" s="152">
        <v>9.1999999999999993</v>
      </c>
      <c r="AV9" s="152">
        <v>0.11</v>
      </c>
      <c r="AW9" s="174">
        <v>1.7</v>
      </c>
      <c r="AX9" s="174" t="s">
        <v>533</v>
      </c>
      <c r="AY9" s="174">
        <v>24</v>
      </c>
      <c r="AZ9" s="174">
        <v>19.600000000000001</v>
      </c>
      <c r="BA9" s="174"/>
      <c r="BB9" s="174">
        <v>3</v>
      </c>
      <c r="BC9" s="174"/>
      <c r="BD9" s="174"/>
      <c r="BE9" s="174">
        <v>2.9</v>
      </c>
      <c r="BF9" s="174">
        <v>4</v>
      </c>
      <c r="BG9" s="174">
        <v>4.8</v>
      </c>
      <c r="BH9" s="174">
        <v>5.6</v>
      </c>
      <c r="BI9" s="174">
        <v>6.7</v>
      </c>
      <c r="BJ9" s="174">
        <v>1.5699999999999999E-2</v>
      </c>
      <c r="BK9" s="174">
        <v>2.0199999999999999E-2</v>
      </c>
      <c r="BL9" s="174">
        <v>2.3300000000000001E-2</v>
      </c>
      <c r="BM9" s="174">
        <v>2.64E-2</v>
      </c>
      <c r="BN9" s="174">
        <v>3.09E-2</v>
      </c>
      <c r="BO9" s="174"/>
      <c r="BP9" s="174"/>
      <c r="BQ9" s="174"/>
      <c r="BR9" s="174"/>
      <c r="BS9" s="174"/>
      <c r="BT9" s="174">
        <v>96</v>
      </c>
      <c r="BU9" s="174">
        <v>30</v>
      </c>
      <c r="BV9" s="174">
        <v>39</v>
      </c>
      <c r="BW9" s="174">
        <v>44</v>
      </c>
      <c r="BX9" s="174">
        <v>47</v>
      </c>
      <c r="BY9" s="174">
        <v>47</v>
      </c>
      <c r="BZ9" s="174">
        <v>37</v>
      </c>
      <c r="CA9" s="174">
        <v>50</v>
      </c>
      <c r="CB9" s="174">
        <v>62</v>
      </c>
      <c r="CC9" s="174">
        <v>73</v>
      </c>
      <c r="CD9" s="174">
        <v>98</v>
      </c>
      <c r="CE9" s="174">
        <v>37</v>
      </c>
      <c r="CF9" s="174">
        <v>1</v>
      </c>
      <c r="CG9" s="174">
        <v>0.3</v>
      </c>
      <c r="CH9" s="175">
        <v>3.1356976958693268E-3</v>
      </c>
    </row>
    <row r="10" spans="1:86" s="178" customFormat="1" x14ac:dyDescent="0.3">
      <c r="A10" s="152" t="s">
        <v>62</v>
      </c>
      <c r="B10" s="181">
        <v>34</v>
      </c>
      <c r="C10" s="160" t="s">
        <v>28</v>
      </c>
      <c r="D10" s="182">
        <v>-1034274.5392807919</v>
      </c>
      <c r="F10" s="152" t="s">
        <v>46</v>
      </c>
      <c r="G10" s="179">
        <v>29121.297723129272</v>
      </c>
      <c r="H10" s="160" t="s">
        <v>48</v>
      </c>
      <c r="I10" s="152" t="s">
        <v>544</v>
      </c>
      <c r="J10" s="167">
        <v>5</v>
      </c>
      <c r="K10" s="168">
        <v>-3</v>
      </c>
      <c r="L10" s="169" t="s">
        <v>539</v>
      </c>
      <c r="M10" s="67" t="s">
        <v>58</v>
      </c>
      <c r="N10" s="167">
        <v>8.8999999999999986</v>
      </c>
      <c r="O10" s="170">
        <v>38</v>
      </c>
      <c r="P10" s="170">
        <v>195.00000000000006</v>
      </c>
      <c r="Q10" s="167">
        <v>0</v>
      </c>
      <c r="R10" s="167" t="e">
        <v>#N/A</v>
      </c>
      <c r="S10" s="167">
        <v>2.2999999999999998</v>
      </c>
      <c r="T10" s="167">
        <v>0</v>
      </c>
      <c r="U10" s="171">
        <v>1.9E-2</v>
      </c>
      <c r="V10" s="171">
        <v>0</v>
      </c>
      <c r="W10" s="167">
        <v>0.5</v>
      </c>
      <c r="X10" s="167">
        <v>8500</v>
      </c>
      <c r="Y10" s="167">
        <v>0</v>
      </c>
      <c r="Z10" s="167" t="e">
        <v>#N/A</v>
      </c>
      <c r="AA10" s="167">
        <v>1</v>
      </c>
      <c r="AB10" s="167" t="e">
        <v>#N/A</v>
      </c>
      <c r="AC10" s="170">
        <v>36000</v>
      </c>
      <c r="AD10" s="172">
        <v>27500.000000000007</v>
      </c>
      <c r="AE10" s="170">
        <v>0.3</v>
      </c>
      <c r="AF10" s="170">
        <v>0</v>
      </c>
      <c r="AG10" s="170">
        <v>0</v>
      </c>
      <c r="AH10" s="170">
        <v>0</v>
      </c>
      <c r="AI10" s="170">
        <v>0</v>
      </c>
      <c r="AJ10" s="167" t="e">
        <v>#N/A</v>
      </c>
      <c r="AK10" s="167">
        <v>1</v>
      </c>
      <c r="AL10" s="167">
        <v>1</v>
      </c>
      <c r="AM10" s="167">
        <v>1</v>
      </c>
      <c r="AN10" s="167">
        <v>1</v>
      </c>
      <c r="AO10" s="167">
        <v>1</v>
      </c>
      <c r="AP10" s="167">
        <v>1</v>
      </c>
      <c r="AQ10" s="167">
        <v>0</v>
      </c>
      <c r="AR10" s="167">
        <v>0</v>
      </c>
      <c r="AS10" s="173">
        <v>0.7</v>
      </c>
      <c r="AT10" s="178" t="s">
        <v>535</v>
      </c>
      <c r="AU10" s="152">
        <v>9.1999999999999993</v>
      </c>
      <c r="AV10" s="178">
        <v>0.11</v>
      </c>
      <c r="AW10" s="174">
        <v>1.7</v>
      </c>
      <c r="AX10" s="174" t="s">
        <v>540</v>
      </c>
      <c r="AY10" s="174">
        <v>24</v>
      </c>
      <c r="AZ10" s="174">
        <v>20.100000000000001</v>
      </c>
      <c r="BA10" s="174"/>
      <c r="BB10" s="174">
        <v>17</v>
      </c>
      <c r="BC10" s="174"/>
      <c r="BD10" s="174"/>
      <c r="BE10" s="174">
        <v>4.8</v>
      </c>
      <c r="BF10" s="174">
        <v>5.2</v>
      </c>
      <c r="BG10" s="174">
        <v>5.5</v>
      </c>
      <c r="BH10" s="174">
        <v>5.8</v>
      </c>
      <c r="BI10" s="174">
        <v>6.2</v>
      </c>
      <c r="BJ10" s="174">
        <v>2.53E-2</v>
      </c>
      <c r="BK10" s="174">
        <v>2.8299999999999999E-2</v>
      </c>
      <c r="BL10" s="174">
        <v>3.04E-2</v>
      </c>
      <c r="BM10" s="174">
        <v>3.2500000000000001E-2</v>
      </c>
      <c r="BN10" s="174">
        <v>3.5299999999999998E-2</v>
      </c>
      <c r="BO10" s="174"/>
      <c r="BP10" s="174"/>
      <c r="BQ10" s="174"/>
      <c r="BR10" s="174"/>
      <c r="BS10" s="174"/>
      <c r="BT10" s="174">
        <v>46</v>
      </c>
      <c r="BU10" s="174">
        <v>29</v>
      </c>
      <c r="BV10" s="174">
        <v>29</v>
      </c>
      <c r="BW10" s="174">
        <v>32</v>
      </c>
      <c r="BX10" s="174">
        <v>36</v>
      </c>
      <c r="BY10" s="174">
        <v>42</v>
      </c>
      <c r="BZ10" s="174">
        <v>36</v>
      </c>
      <c r="CA10" s="174">
        <v>38</v>
      </c>
      <c r="CB10" s="174">
        <v>59</v>
      </c>
      <c r="CC10" s="174">
        <v>80</v>
      </c>
      <c r="CD10" s="174">
        <v>127</v>
      </c>
      <c r="CE10" s="174">
        <v>4.4000000000000004</v>
      </c>
      <c r="CF10" s="174">
        <v>10.199999999999999</v>
      </c>
      <c r="CG10" s="174">
        <v>1.6</v>
      </c>
      <c r="CH10" s="175">
        <v>3.1298692752097471E-5</v>
      </c>
    </row>
    <row r="11" spans="1:86" x14ac:dyDescent="0.3">
      <c r="A11" s="152" t="s">
        <v>63</v>
      </c>
      <c r="B11" s="162">
        <v>1</v>
      </c>
      <c r="C11" s="160" t="s">
        <v>28</v>
      </c>
      <c r="D11" s="152">
        <v>24726.251557448941</v>
      </c>
      <c r="F11" s="152" t="s">
        <v>47</v>
      </c>
      <c r="G11" s="179">
        <v>0</v>
      </c>
      <c r="H11" s="160" t="s">
        <v>48</v>
      </c>
      <c r="I11" s="152" t="s">
        <v>540</v>
      </c>
      <c r="J11" s="167">
        <v>6</v>
      </c>
      <c r="K11" s="168">
        <v>-3.4</v>
      </c>
      <c r="L11" s="169" t="s">
        <v>541</v>
      </c>
      <c r="M11" s="67" t="s">
        <v>57</v>
      </c>
      <c r="N11" s="167">
        <v>9.8999999999999986</v>
      </c>
      <c r="O11" s="170">
        <v>0</v>
      </c>
      <c r="P11" s="170">
        <v>0</v>
      </c>
      <c r="Q11" s="167">
        <v>30</v>
      </c>
      <c r="R11" s="167">
        <v>25</v>
      </c>
      <c r="S11" s="167">
        <v>1.3</v>
      </c>
      <c r="T11" s="167">
        <v>0</v>
      </c>
      <c r="U11" s="171">
        <v>0</v>
      </c>
      <c r="V11" s="171">
        <v>0</v>
      </c>
      <c r="W11" s="167">
        <v>0</v>
      </c>
      <c r="X11" s="167">
        <v>12900</v>
      </c>
      <c r="Y11" s="167">
        <v>0</v>
      </c>
      <c r="Z11" s="167">
        <v>80.999999999999972</v>
      </c>
      <c r="AA11" s="167">
        <v>1</v>
      </c>
      <c r="AB11" s="167">
        <v>4800</v>
      </c>
      <c r="AC11" s="170">
        <v>87000</v>
      </c>
      <c r="AD11" s="172">
        <v>14393.939393939398</v>
      </c>
      <c r="AE11" s="170">
        <v>0.3</v>
      </c>
      <c r="AF11" s="170">
        <v>0</v>
      </c>
      <c r="AG11" s="170">
        <v>0</v>
      </c>
      <c r="AH11" s="170">
        <v>0</v>
      </c>
      <c r="AI11" s="170">
        <v>0</v>
      </c>
      <c r="AJ11" s="167">
        <v>20.000000000000007</v>
      </c>
      <c r="AK11" s="167">
        <v>1</v>
      </c>
      <c r="AL11" s="167">
        <v>1</v>
      </c>
      <c r="AM11" s="167">
        <v>1</v>
      </c>
      <c r="AN11" s="167">
        <v>1</v>
      </c>
      <c r="AO11" s="167">
        <v>1</v>
      </c>
      <c r="AP11" s="167">
        <v>1</v>
      </c>
      <c r="AQ11" s="167">
        <v>0</v>
      </c>
      <c r="AR11" s="167">
        <v>63</v>
      </c>
      <c r="AS11" s="173">
        <v>0.56896599999999997</v>
      </c>
      <c r="AT11" s="152" t="s">
        <v>535</v>
      </c>
      <c r="AU11" s="152">
        <v>9.1999999999999993</v>
      </c>
      <c r="AV11" s="152">
        <v>0.11</v>
      </c>
      <c r="AW11" s="174">
        <v>2.6</v>
      </c>
      <c r="AX11" s="174" t="s">
        <v>540</v>
      </c>
      <c r="AY11" s="174">
        <v>24</v>
      </c>
      <c r="AZ11" s="174">
        <v>20.100000000000001</v>
      </c>
      <c r="BA11" s="174"/>
      <c r="BB11" s="174">
        <v>17</v>
      </c>
      <c r="BC11" s="174"/>
      <c r="BD11" s="174"/>
      <c r="BE11" s="174">
        <v>0.6</v>
      </c>
      <c r="BF11" s="174">
        <v>1</v>
      </c>
      <c r="BG11" s="174">
        <v>1.3</v>
      </c>
      <c r="BH11" s="174">
        <v>1.6</v>
      </c>
      <c r="BI11" s="174">
        <v>2</v>
      </c>
      <c r="BJ11" s="174">
        <v>1.3100000000000001E-2</v>
      </c>
      <c r="BK11" s="174">
        <v>1.61E-2</v>
      </c>
      <c r="BL11" s="174">
        <v>1.8200000000000001E-2</v>
      </c>
      <c r="BM11" s="174">
        <v>2.0199999999999999E-2</v>
      </c>
      <c r="BN11" s="174">
        <v>2.3099999999999999E-2</v>
      </c>
      <c r="BO11" s="174"/>
      <c r="BP11" s="174"/>
      <c r="BQ11" s="174"/>
      <c r="BR11" s="174"/>
      <c r="BS11" s="174"/>
      <c r="BT11" s="174">
        <v>46</v>
      </c>
      <c r="BU11" s="174">
        <v>29</v>
      </c>
      <c r="BV11" s="174">
        <v>29</v>
      </c>
      <c r="BW11" s="174">
        <v>32</v>
      </c>
      <c r="BX11" s="174">
        <v>36</v>
      </c>
      <c r="BY11" s="174">
        <v>42</v>
      </c>
      <c r="BZ11" s="174">
        <v>31</v>
      </c>
      <c r="CA11" s="174">
        <v>33</v>
      </c>
      <c r="CB11" s="174">
        <v>54</v>
      </c>
      <c r="CC11" s="174">
        <v>75</v>
      </c>
      <c r="CD11" s="174">
        <v>122</v>
      </c>
      <c r="CE11" s="174">
        <v>4.4000000000000004</v>
      </c>
      <c r="CF11" s="174">
        <v>10.199999999999999</v>
      </c>
      <c r="CG11" s="174">
        <v>1.6</v>
      </c>
      <c r="CH11" s="175">
        <v>3.1298692752097471E-5</v>
      </c>
    </row>
    <row r="12" spans="1:86" x14ac:dyDescent="0.3">
      <c r="A12" s="152" t="s">
        <v>66</v>
      </c>
      <c r="B12" s="166">
        <v>9</v>
      </c>
      <c r="C12" s="160" t="s">
        <v>28</v>
      </c>
      <c r="D12" s="152">
        <v>0</v>
      </c>
      <c r="E12" s="183"/>
      <c r="F12" s="178" t="s">
        <v>73</v>
      </c>
      <c r="G12" s="179">
        <v>2891.7203797290813</v>
      </c>
      <c r="H12" s="160" t="s">
        <v>48</v>
      </c>
      <c r="I12" s="152" t="s">
        <v>540</v>
      </c>
      <c r="J12" s="167">
        <v>7</v>
      </c>
      <c r="K12" s="168">
        <v>-4.4000000000000004</v>
      </c>
      <c r="L12" s="169" t="s">
        <v>541</v>
      </c>
      <c r="M12" s="67" t="s">
        <v>57</v>
      </c>
      <c r="N12" s="167">
        <v>9.8999999999999986</v>
      </c>
      <c r="O12" s="170">
        <v>0</v>
      </c>
      <c r="P12" s="170">
        <v>0</v>
      </c>
      <c r="Q12" s="167">
        <v>30</v>
      </c>
      <c r="R12" s="167">
        <v>25</v>
      </c>
      <c r="S12" s="167">
        <v>1.3</v>
      </c>
      <c r="T12" s="167">
        <v>0</v>
      </c>
      <c r="U12" s="171">
        <v>0</v>
      </c>
      <c r="V12" s="171">
        <v>0</v>
      </c>
      <c r="W12" s="167">
        <v>0</v>
      </c>
      <c r="X12" s="167">
        <v>12900</v>
      </c>
      <c r="Y12" s="167">
        <v>0</v>
      </c>
      <c r="Z12" s="167">
        <v>80.999999999999972</v>
      </c>
      <c r="AA12" s="167">
        <v>1</v>
      </c>
      <c r="AB12" s="167">
        <v>4800</v>
      </c>
      <c r="AC12" s="170">
        <v>101393.93939393941</v>
      </c>
      <c r="AD12" s="172">
        <v>14393.93939393939</v>
      </c>
      <c r="AE12" s="170">
        <v>0.3</v>
      </c>
      <c r="AF12" s="170">
        <v>0</v>
      </c>
      <c r="AG12" s="170">
        <v>0</v>
      </c>
      <c r="AH12" s="170">
        <v>0</v>
      </c>
      <c r="AI12" s="170">
        <v>0</v>
      </c>
      <c r="AJ12" s="167">
        <v>20.000000000000007</v>
      </c>
      <c r="AK12" s="167">
        <v>1</v>
      </c>
      <c r="AL12" s="167">
        <v>1</v>
      </c>
      <c r="AM12" s="167">
        <v>1</v>
      </c>
      <c r="AN12" s="167">
        <v>1</v>
      </c>
      <c r="AO12" s="167">
        <v>1</v>
      </c>
      <c r="AP12" s="167">
        <v>1</v>
      </c>
      <c r="AQ12" s="167">
        <v>0</v>
      </c>
      <c r="AR12" s="167">
        <v>63</v>
      </c>
      <c r="AS12" s="173">
        <v>0.60344799999999998</v>
      </c>
      <c r="AT12" s="152" t="s">
        <v>535</v>
      </c>
      <c r="AU12" s="152">
        <v>9.1999999999999993</v>
      </c>
      <c r="AV12" s="152">
        <v>0.41</v>
      </c>
      <c r="AW12" s="174">
        <v>2.6</v>
      </c>
      <c r="AX12" s="174" t="s">
        <v>544</v>
      </c>
      <c r="AY12" s="174">
        <v>33</v>
      </c>
      <c r="AZ12" s="174">
        <v>18.899999999999999</v>
      </c>
      <c r="BA12" s="174">
        <v>24</v>
      </c>
      <c r="BB12" s="174">
        <v>38</v>
      </c>
      <c r="BC12" s="174">
        <v>4</v>
      </c>
      <c r="BD12" s="174">
        <v>1.9</v>
      </c>
      <c r="BE12" s="174">
        <v>0.4</v>
      </c>
      <c r="BF12" s="174">
        <v>0.5</v>
      </c>
      <c r="BG12" s="174">
        <v>0.6</v>
      </c>
      <c r="BH12" s="174">
        <v>0.8</v>
      </c>
      <c r="BI12" s="174">
        <v>0.9</v>
      </c>
      <c r="BJ12" s="174">
        <v>0.01</v>
      </c>
      <c r="BK12" s="174">
        <v>0.01</v>
      </c>
      <c r="BL12" s="174">
        <v>1.0800000000000001E-2</v>
      </c>
      <c r="BM12" s="174">
        <v>1.26E-2</v>
      </c>
      <c r="BN12" s="174">
        <v>4.1399999999999999E-2</v>
      </c>
      <c r="BO12" s="174">
        <v>16</v>
      </c>
      <c r="BP12" s="174">
        <v>27</v>
      </c>
      <c r="BQ12" s="174">
        <v>32</v>
      </c>
      <c r="BR12" s="174">
        <v>39</v>
      </c>
      <c r="BS12" s="174">
        <v>57</v>
      </c>
      <c r="BT12" s="174"/>
      <c r="BU12" s="174"/>
      <c r="BV12" s="174"/>
      <c r="BW12" s="174"/>
      <c r="BX12" s="174"/>
      <c r="BY12" s="174"/>
      <c r="BZ12" s="174">
        <v>27</v>
      </c>
      <c r="CA12" s="174">
        <v>27</v>
      </c>
      <c r="CB12" s="174">
        <v>27</v>
      </c>
      <c r="CC12" s="174">
        <v>28</v>
      </c>
      <c r="CD12" s="174">
        <v>28</v>
      </c>
      <c r="CE12" s="174">
        <v>3.2</v>
      </c>
      <c r="CF12" s="174">
        <v>9.6</v>
      </c>
      <c r="CG12" s="174">
        <v>1.3</v>
      </c>
      <c r="CH12" s="175">
        <v>2.0327452023345781E-9</v>
      </c>
    </row>
    <row r="13" spans="1:86" x14ac:dyDescent="0.3">
      <c r="A13" s="152" t="s">
        <v>40</v>
      </c>
      <c r="B13" s="162">
        <v>78</v>
      </c>
      <c r="C13" s="160" t="s">
        <v>397</v>
      </c>
      <c r="D13" s="152">
        <v>5239.6506589399823</v>
      </c>
      <c r="E13" s="183"/>
      <c r="F13" s="176" t="s">
        <v>50</v>
      </c>
      <c r="I13" s="152" t="s">
        <v>540</v>
      </c>
      <c r="J13" s="167">
        <v>8</v>
      </c>
      <c r="K13" s="168">
        <v>-6.4</v>
      </c>
      <c r="L13" s="169" t="s">
        <v>541</v>
      </c>
      <c r="M13" s="67" t="s">
        <v>57</v>
      </c>
      <c r="N13" s="167">
        <v>9.8999999999999986</v>
      </c>
      <c r="O13" s="170">
        <v>0</v>
      </c>
      <c r="P13" s="170">
        <v>0</v>
      </c>
      <c r="Q13" s="167">
        <v>30</v>
      </c>
      <c r="R13" s="167">
        <v>25</v>
      </c>
      <c r="S13" s="167">
        <v>1.3</v>
      </c>
      <c r="T13" s="167">
        <v>0</v>
      </c>
      <c r="U13" s="171">
        <v>0</v>
      </c>
      <c r="V13" s="171">
        <v>0</v>
      </c>
      <c r="W13" s="167">
        <v>0</v>
      </c>
      <c r="X13" s="167">
        <v>12900</v>
      </c>
      <c r="Y13" s="167">
        <v>0</v>
      </c>
      <c r="Z13" s="167">
        <v>80.999999999999972</v>
      </c>
      <c r="AA13" s="167">
        <v>1</v>
      </c>
      <c r="AB13" s="167">
        <v>4800</v>
      </c>
      <c r="AC13" s="170">
        <v>130181.81818181819</v>
      </c>
      <c r="AD13" s="172">
        <v>14393.939393939394</v>
      </c>
      <c r="AE13" s="170">
        <v>0.3</v>
      </c>
      <c r="AF13" s="170">
        <v>0</v>
      </c>
      <c r="AG13" s="170">
        <v>0</v>
      </c>
      <c r="AH13" s="170">
        <v>0</v>
      </c>
      <c r="AI13" s="170">
        <v>0</v>
      </c>
      <c r="AJ13" s="167">
        <v>20.000000000000007</v>
      </c>
      <c r="AK13" s="167">
        <v>1</v>
      </c>
      <c r="AL13" s="167">
        <v>1</v>
      </c>
      <c r="AM13" s="167">
        <v>1</v>
      </c>
      <c r="AN13" s="167">
        <v>1</v>
      </c>
      <c r="AO13" s="167">
        <v>1</v>
      </c>
      <c r="AP13" s="167">
        <v>1</v>
      </c>
      <c r="AQ13" s="167">
        <v>0</v>
      </c>
      <c r="AR13" s="167">
        <v>63</v>
      </c>
      <c r="AS13" s="173">
        <v>0.63793100000000003</v>
      </c>
      <c r="AT13" s="178" t="s">
        <v>535</v>
      </c>
      <c r="AU13" s="152">
        <v>9.1999999999999993</v>
      </c>
      <c r="AV13" s="152">
        <v>0.41</v>
      </c>
      <c r="AW13" s="174">
        <v>3</v>
      </c>
      <c r="AX13" s="174" t="s">
        <v>544</v>
      </c>
      <c r="AY13" s="174">
        <v>33</v>
      </c>
      <c r="AZ13" s="174">
        <v>18.899999999999999</v>
      </c>
      <c r="BA13" s="174">
        <v>24</v>
      </c>
      <c r="BB13" s="174">
        <v>38</v>
      </c>
      <c r="BC13" s="174">
        <v>4</v>
      </c>
      <c r="BD13" s="174">
        <v>1.9</v>
      </c>
      <c r="BE13" s="174">
        <v>0.7</v>
      </c>
      <c r="BF13" s="174">
        <v>0.8</v>
      </c>
      <c r="BG13" s="174">
        <v>0.9</v>
      </c>
      <c r="BH13" s="174">
        <v>1</v>
      </c>
      <c r="BI13" s="174">
        <v>1.1000000000000001</v>
      </c>
      <c r="BJ13" s="174">
        <v>0.01</v>
      </c>
      <c r="BK13" s="174">
        <v>0.01</v>
      </c>
      <c r="BL13" s="174">
        <v>1.0800000000000001E-2</v>
      </c>
      <c r="BM13" s="174">
        <v>1.26E-2</v>
      </c>
      <c r="BN13" s="174">
        <v>4.1399999999999999E-2</v>
      </c>
      <c r="BO13" s="174">
        <v>32</v>
      </c>
      <c r="BP13" s="174">
        <v>42</v>
      </c>
      <c r="BQ13" s="174">
        <v>48</v>
      </c>
      <c r="BR13" s="174">
        <v>55</v>
      </c>
      <c r="BS13" s="174">
        <v>73</v>
      </c>
      <c r="BT13" s="174"/>
      <c r="BU13" s="174"/>
      <c r="BV13" s="174"/>
      <c r="BW13" s="174"/>
      <c r="BX13" s="174"/>
      <c r="BY13" s="174"/>
      <c r="BZ13" s="174">
        <v>29</v>
      </c>
      <c r="CA13" s="174">
        <v>29</v>
      </c>
      <c r="CB13" s="174">
        <v>29</v>
      </c>
      <c r="CC13" s="174">
        <v>30</v>
      </c>
      <c r="CD13" s="174">
        <v>30</v>
      </c>
      <c r="CE13" s="174">
        <v>3.2</v>
      </c>
      <c r="CF13" s="174">
        <v>9.6</v>
      </c>
      <c r="CG13" s="174">
        <v>1.3</v>
      </c>
      <c r="CH13" s="175">
        <v>2.0327452023345781E-9</v>
      </c>
    </row>
    <row r="14" spans="1:86" x14ac:dyDescent="0.3">
      <c r="A14" s="152" t="s">
        <v>41</v>
      </c>
      <c r="B14" s="183">
        <v>355000</v>
      </c>
      <c r="C14" s="160" t="s">
        <v>396</v>
      </c>
      <c r="F14" s="152" t="s">
        <v>51</v>
      </c>
      <c r="G14" s="184" t="s">
        <v>52</v>
      </c>
      <c r="H14" s="160" t="s">
        <v>56</v>
      </c>
      <c r="I14" s="152" t="s">
        <v>540</v>
      </c>
      <c r="J14" s="167">
        <v>9</v>
      </c>
      <c r="K14" s="168">
        <v>-10</v>
      </c>
      <c r="L14" s="169" t="s">
        <v>542</v>
      </c>
      <c r="M14" s="67" t="s">
        <v>57</v>
      </c>
      <c r="N14" s="167">
        <v>9.8999999999999986</v>
      </c>
      <c r="O14" s="170">
        <v>0</v>
      </c>
      <c r="P14" s="170">
        <v>0</v>
      </c>
      <c r="Q14" s="167">
        <v>29</v>
      </c>
      <c r="R14" s="167">
        <v>24</v>
      </c>
      <c r="S14" s="167">
        <v>1</v>
      </c>
      <c r="T14" s="167">
        <v>0</v>
      </c>
      <c r="U14" s="171">
        <v>0</v>
      </c>
      <c r="V14" s="171">
        <v>0</v>
      </c>
      <c r="W14" s="167">
        <v>0</v>
      </c>
      <c r="X14" s="167">
        <v>11700</v>
      </c>
      <c r="Y14" s="167">
        <v>0</v>
      </c>
      <c r="Z14" s="167">
        <v>78.199999999999974</v>
      </c>
      <c r="AA14" s="167">
        <v>1</v>
      </c>
      <c r="AB14" s="167">
        <v>4420</v>
      </c>
      <c r="AC14" s="170">
        <v>177000</v>
      </c>
      <c r="AD14" s="172">
        <v>-36666.666666666686</v>
      </c>
      <c r="AE14" s="170">
        <v>0.3</v>
      </c>
      <c r="AF14" s="170">
        <v>0</v>
      </c>
      <c r="AG14" s="170">
        <v>0</v>
      </c>
      <c r="AH14" s="170">
        <v>0</v>
      </c>
      <c r="AI14" s="170">
        <v>0</v>
      </c>
      <c r="AJ14" s="167">
        <v>18.400000000000006</v>
      </c>
      <c r="AK14" s="167">
        <v>1</v>
      </c>
      <c r="AL14" s="167">
        <v>1</v>
      </c>
      <c r="AM14" s="167">
        <v>1</v>
      </c>
      <c r="AN14" s="167">
        <v>1</v>
      </c>
      <c r="AO14" s="167">
        <v>1</v>
      </c>
      <c r="AP14" s="167">
        <v>1</v>
      </c>
      <c r="AQ14" s="167">
        <v>0</v>
      </c>
      <c r="AR14" s="167">
        <v>57</v>
      </c>
      <c r="AS14" s="173">
        <v>0.63793100000000003</v>
      </c>
      <c r="AT14" s="152" t="s">
        <v>535</v>
      </c>
      <c r="AU14" s="152">
        <v>9.1999999999999993</v>
      </c>
      <c r="AV14" s="152">
        <v>0.41</v>
      </c>
      <c r="AW14" s="174">
        <v>3</v>
      </c>
      <c r="AX14" s="174" t="s">
        <v>544</v>
      </c>
      <c r="AY14" s="174">
        <v>33</v>
      </c>
      <c r="AZ14" s="174">
        <v>18.899999999999999</v>
      </c>
      <c r="BA14" s="174">
        <v>24</v>
      </c>
      <c r="BB14" s="174">
        <v>38</v>
      </c>
      <c r="BC14" s="174">
        <v>4</v>
      </c>
      <c r="BD14" s="174">
        <v>1.9</v>
      </c>
      <c r="BE14" s="174">
        <v>0.5</v>
      </c>
      <c r="BF14" s="174">
        <v>0.8</v>
      </c>
      <c r="BG14" s="174">
        <v>1</v>
      </c>
      <c r="BH14" s="174">
        <v>1.3</v>
      </c>
      <c r="BI14" s="174">
        <v>2</v>
      </c>
      <c r="BJ14" s="174">
        <v>6.0100000000000001E-2</v>
      </c>
      <c r="BK14" s="174">
        <v>7.0800000000000002E-2</v>
      </c>
      <c r="BL14" s="174">
        <v>7.7899999999999997E-2</v>
      </c>
      <c r="BM14" s="174">
        <v>8.5000000000000006E-2</v>
      </c>
      <c r="BN14" s="174">
        <v>9.5699999999999993E-2</v>
      </c>
      <c r="BO14" s="174">
        <v>31</v>
      </c>
      <c r="BP14" s="174">
        <v>38</v>
      </c>
      <c r="BQ14" s="174">
        <v>52</v>
      </c>
      <c r="BR14" s="174">
        <v>71</v>
      </c>
      <c r="BS14" s="174">
        <v>127</v>
      </c>
      <c r="BT14" s="174"/>
      <c r="BU14" s="174"/>
      <c r="BV14" s="174"/>
      <c r="BW14" s="174"/>
      <c r="BX14" s="174"/>
      <c r="BY14" s="174"/>
      <c r="BZ14" s="174">
        <v>35</v>
      </c>
      <c r="CA14" s="174">
        <v>35</v>
      </c>
      <c r="CB14" s="174">
        <v>36</v>
      </c>
      <c r="CC14" s="174">
        <v>36</v>
      </c>
      <c r="CD14" s="174">
        <v>52</v>
      </c>
      <c r="CE14" s="174">
        <v>8.5</v>
      </c>
      <c r="CF14" s="174">
        <v>22.6</v>
      </c>
      <c r="CG14" s="174">
        <v>2.2999999999999998</v>
      </c>
      <c r="CH14" s="175">
        <v>2.0038857557683548E-9</v>
      </c>
    </row>
    <row r="15" spans="1:86" x14ac:dyDescent="0.3">
      <c r="A15" s="152" t="s">
        <v>42</v>
      </c>
      <c r="B15" s="185">
        <v>207000000</v>
      </c>
      <c r="C15" s="160" t="s">
        <v>396</v>
      </c>
      <c r="I15" s="152" t="s">
        <v>540</v>
      </c>
      <c r="J15" s="167">
        <v>10</v>
      </c>
      <c r="K15" s="168">
        <v>-10.6</v>
      </c>
      <c r="L15" s="169" t="s">
        <v>545</v>
      </c>
      <c r="M15" s="67" t="s">
        <v>57</v>
      </c>
      <c r="N15" s="167">
        <v>9.8999999999999986</v>
      </c>
      <c r="O15" s="170">
        <v>0</v>
      </c>
      <c r="P15" s="170">
        <v>0</v>
      </c>
      <c r="Q15" s="167">
        <v>30</v>
      </c>
      <c r="R15" s="167">
        <v>25</v>
      </c>
      <c r="S15" s="167">
        <v>1.2</v>
      </c>
      <c r="T15" s="167">
        <v>0</v>
      </c>
      <c r="U15" s="171">
        <v>0</v>
      </c>
      <c r="V15" s="171">
        <v>0</v>
      </c>
      <c r="W15" s="167">
        <v>0</v>
      </c>
      <c r="X15" s="167">
        <v>17600</v>
      </c>
      <c r="Y15" s="167">
        <v>0</v>
      </c>
      <c r="Z15" s="167">
        <v>80.999999999999972</v>
      </c>
      <c r="AA15" s="167">
        <v>1</v>
      </c>
      <c r="AB15" s="167">
        <v>4800</v>
      </c>
      <c r="AC15" s="170">
        <v>161000</v>
      </c>
      <c r="AD15" s="172">
        <v>79999.999999999869</v>
      </c>
      <c r="AE15" s="170">
        <v>0.3</v>
      </c>
      <c r="AF15" s="170">
        <v>0</v>
      </c>
      <c r="AG15" s="170">
        <v>0</v>
      </c>
      <c r="AH15" s="170">
        <v>0</v>
      </c>
      <c r="AI15" s="170">
        <v>0</v>
      </c>
      <c r="AJ15" s="167">
        <v>20.000000000000007</v>
      </c>
      <c r="AK15" s="167">
        <v>1</v>
      </c>
      <c r="AL15" s="167">
        <v>1</v>
      </c>
      <c r="AM15" s="167">
        <v>1</v>
      </c>
      <c r="AN15" s="167">
        <v>1</v>
      </c>
      <c r="AO15" s="167">
        <v>1</v>
      </c>
      <c r="AP15" s="167">
        <v>1</v>
      </c>
      <c r="AQ15" s="167">
        <v>0</v>
      </c>
      <c r="AR15" s="167">
        <v>67</v>
      </c>
      <c r="AS15" s="173">
        <v>0.63793100000000003</v>
      </c>
      <c r="AT15" s="152" t="s">
        <v>535</v>
      </c>
      <c r="AU15" s="152">
        <v>9.1999999999999993</v>
      </c>
      <c r="AV15" s="152">
        <v>0.41</v>
      </c>
      <c r="AW15" s="174">
        <v>3.4</v>
      </c>
      <c r="AX15" s="174" t="s">
        <v>544</v>
      </c>
      <c r="AY15" s="174">
        <v>33</v>
      </c>
      <c r="AZ15" s="174">
        <v>18.899999999999999</v>
      </c>
      <c r="BA15" s="174">
        <v>24</v>
      </c>
      <c r="BB15" s="174">
        <v>38</v>
      </c>
      <c r="BC15" s="174">
        <v>4</v>
      </c>
      <c r="BD15" s="174">
        <v>1.9</v>
      </c>
      <c r="BE15" s="174">
        <v>1.9</v>
      </c>
      <c r="BF15" s="174">
        <v>2.2000000000000002</v>
      </c>
      <c r="BG15" s="174">
        <v>2.4</v>
      </c>
      <c r="BH15" s="174">
        <v>2.7</v>
      </c>
      <c r="BI15" s="174">
        <v>3.4</v>
      </c>
      <c r="BJ15" s="174">
        <v>8.1199999999999994E-2</v>
      </c>
      <c r="BK15" s="174">
        <v>9.1899999999999996E-2</v>
      </c>
      <c r="BL15" s="174">
        <v>9.9000000000000005E-2</v>
      </c>
      <c r="BM15" s="174">
        <v>0.1062</v>
      </c>
      <c r="BN15" s="174">
        <v>0.1168</v>
      </c>
      <c r="BO15" s="174">
        <v>93</v>
      </c>
      <c r="BP15" s="174">
        <v>116</v>
      </c>
      <c r="BQ15" s="174">
        <v>130</v>
      </c>
      <c r="BR15" s="174">
        <v>149</v>
      </c>
      <c r="BS15" s="174">
        <v>205</v>
      </c>
      <c r="BT15" s="174"/>
      <c r="BU15" s="174"/>
      <c r="BV15" s="174"/>
      <c r="BW15" s="174"/>
      <c r="BX15" s="174"/>
      <c r="BY15" s="174"/>
      <c r="BZ15" s="174">
        <v>38</v>
      </c>
      <c r="CA15" s="174">
        <v>38</v>
      </c>
      <c r="CB15" s="174">
        <v>47</v>
      </c>
      <c r="CC15" s="174">
        <v>57</v>
      </c>
      <c r="CD15" s="174">
        <v>82</v>
      </c>
      <c r="CE15" s="174">
        <v>8.5</v>
      </c>
      <c r="CF15" s="174">
        <v>22.6</v>
      </c>
      <c r="CG15" s="174">
        <v>2.2999999999999998</v>
      </c>
      <c r="CH15" s="175">
        <v>2.0038857557683548E-9</v>
      </c>
    </row>
    <row r="16" spans="1:86" x14ac:dyDescent="0.3">
      <c r="A16" s="152" t="s">
        <v>43</v>
      </c>
      <c r="B16" s="185">
        <v>79000000</v>
      </c>
      <c r="C16" s="160" t="s">
        <v>396</v>
      </c>
      <c r="D16" s="186">
        <v>11640.460886670813</v>
      </c>
      <c r="E16" s="187"/>
      <c r="I16" s="152" t="s">
        <v>540</v>
      </c>
      <c r="J16" s="167">
        <v>11</v>
      </c>
      <c r="K16" s="168">
        <v>-11.3</v>
      </c>
      <c r="L16" s="169" t="s">
        <v>546</v>
      </c>
      <c r="M16" s="67" t="s">
        <v>57</v>
      </c>
      <c r="N16" s="167">
        <v>9.8999999999999986</v>
      </c>
      <c r="O16" s="170">
        <v>0</v>
      </c>
      <c r="P16" s="170">
        <v>0</v>
      </c>
      <c r="Q16" s="167">
        <v>31</v>
      </c>
      <c r="R16" s="167">
        <v>26</v>
      </c>
      <c r="S16" s="167">
        <v>1.3</v>
      </c>
      <c r="T16" s="167">
        <v>0</v>
      </c>
      <c r="U16" s="171">
        <v>0</v>
      </c>
      <c r="V16" s="171">
        <v>0</v>
      </c>
      <c r="W16" s="167">
        <v>0</v>
      </c>
      <c r="X16" s="167">
        <v>24300</v>
      </c>
      <c r="Y16" s="167">
        <v>0</v>
      </c>
      <c r="Z16" s="167">
        <v>83.999999999999972</v>
      </c>
      <c r="AA16" s="167">
        <v>1</v>
      </c>
      <c r="AB16" s="167">
        <v>5760</v>
      </c>
      <c r="AC16" s="170">
        <v>218000</v>
      </c>
      <c r="AD16" s="172">
        <v>-23333.333333333372</v>
      </c>
      <c r="AE16" s="170">
        <v>0.3</v>
      </c>
      <c r="AF16" s="170">
        <v>0</v>
      </c>
      <c r="AG16" s="170">
        <v>0</v>
      </c>
      <c r="AH16" s="170">
        <v>0</v>
      </c>
      <c r="AI16" s="170">
        <v>0</v>
      </c>
      <c r="AJ16" s="167">
        <v>24.000000000000007</v>
      </c>
      <c r="AK16" s="167">
        <v>1</v>
      </c>
      <c r="AL16" s="167">
        <v>1</v>
      </c>
      <c r="AM16" s="167">
        <v>1</v>
      </c>
      <c r="AN16" s="167">
        <v>1</v>
      </c>
      <c r="AO16" s="167">
        <v>1</v>
      </c>
      <c r="AP16" s="167">
        <v>1</v>
      </c>
      <c r="AQ16" s="167">
        <v>0</v>
      </c>
      <c r="AR16" s="167">
        <v>75</v>
      </c>
      <c r="AS16" s="173">
        <v>0.63793100000000003</v>
      </c>
      <c r="AT16" s="178" t="s">
        <v>535</v>
      </c>
      <c r="AU16" s="152">
        <v>9.1999999999999993</v>
      </c>
      <c r="AV16" s="152">
        <v>0.41</v>
      </c>
      <c r="AW16" s="188">
        <v>3.4</v>
      </c>
      <c r="AX16" s="188" t="s">
        <v>540</v>
      </c>
      <c r="AY16" s="188">
        <v>23</v>
      </c>
      <c r="AZ16" s="188">
        <v>19.899999999999999</v>
      </c>
      <c r="BA16" s="188"/>
      <c r="BB16" s="188">
        <v>22</v>
      </c>
      <c r="BC16" s="188"/>
      <c r="BD16" s="188"/>
      <c r="BE16" s="188">
        <v>4</v>
      </c>
      <c r="BF16" s="188">
        <v>5.4</v>
      </c>
      <c r="BG16" s="188">
        <v>6.3</v>
      </c>
      <c r="BH16" s="188">
        <v>8.8000000000000007</v>
      </c>
      <c r="BI16" s="188">
        <v>10.4</v>
      </c>
      <c r="BJ16" s="188">
        <v>2.5399999999999999E-2</v>
      </c>
      <c r="BK16" s="188">
        <v>3.44E-2</v>
      </c>
      <c r="BL16" s="188">
        <v>4.0399999999999998E-2</v>
      </c>
      <c r="BM16" s="188">
        <v>5.57E-2</v>
      </c>
      <c r="BN16" s="188">
        <v>6.6299999999999998E-2</v>
      </c>
      <c r="BO16" s="188"/>
      <c r="BP16" s="188"/>
      <c r="BQ16" s="188"/>
      <c r="BR16" s="188"/>
      <c r="BS16" s="188"/>
      <c r="BT16" s="188">
        <v>63</v>
      </c>
      <c r="BU16" s="188">
        <v>29</v>
      </c>
      <c r="BV16" s="188">
        <v>30</v>
      </c>
      <c r="BW16" s="188">
        <v>34</v>
      </c>
      <c r="BX16" s="188">
        <v>38</v>
      </c>
      <c r="BY16" s="188">
        <v>44</v>
      </c>
      <c r="BZ16" s="188">
        <v>33</v>
      </c>
      <c r="CA16" s="188">
        <v>38</v>
      </c>
      <c r="CB16" s="188">
        <v>87</v>
      </c>
      <c r="CC16" s="188">
        <v>137</v>
      </c>
      <c r="CD16" s="188">
        <v>247</v>
      </c>
      <c r="CE16" s="188">
        <v>12.9</v>
      </c>
      <c r="CF16" s="188">
        <v>7.2</v>
      </c>
      <c r="CG16" s="188">
        <v>1.3</v>
      </c>
      <c r="CH16" s="189">
        <v>4.9483834258669668E-5</v>
      </c>
    </row>
    <row r="17" spans="1:86" s="178" customFormat="1" x14ac:dyDescent="0.3">
      <c r="A17" s="152" t="s">
        <v>74</v>
      </c>
      <c r="B17" s="162">
        <v>0.53</v>
      </c>
      <c r="C17" s="160"/>
      <c r="D17" s="190">
        <v>-552772.83884647035</v>
      </c>
      <c r="E17" s="164"/>
      <c r="I17" s="152" t="s">
        <v>540</v>
      </c>
      <c r="J17" s="167">
        <v>12</v>
      </c>
      <c r="K17" s="168">
        <v>-12.2</v>
      </c>
      <c r="L17" s="169" t="s">
        <v>547</v>
      </c>
      <c r="M17" s="67" t="s">
        <v>57</v>
      </c>
      <c r="N17" s="167">
        <v>9.8999999999999986</v>
      </c>
      <c r="O17" s="170">
        <v>0</v>
      </c>
      <c r="P17" s="170">
        <v>0</v>
      </c>
      <c r="Q17" s="167">
        <v>31</v>
      </c>
      <c r="R17" s="167">
        <v>26</v>
      </c>
      <c r="S17" s="167">
        <v>1.2</v>
      </c>
      <c r="T17" s="167">
        <v>0</v>
      </c>
      <c r="U17" s="171">
        <v>0</v>
      </c>
      <c r="V17" s="171">
        <v>0</v>
      </c>
      <c r="W17" s="167">
        <v>0</v>
      </c>
      <c r="X17" s="167">
        <v>23700</v>
      </c>
      <c r="Y17" s="167">
        <v>0</v>
      </c>
      <c r="Z17" s="167">
        <v>83.999999999999972</v>
      </c>
      <c r="AA17" s="167">
        <v>1</v>
      </c>
      <c r="AB17" s="167">
        <v>5760</v>
      </c>
      <c r="AC17" s="170">
        <v>192000</v>
      </c>
      <c r="AD17" s="172">
        <v>36153.846153846134</v>
      </c>
      <c r="AE17" s="170">
        <v>0.3</v>
      </c>
      <c r="AF17" s="170">
        <v>0</v>
      </c>
      <c r="AG17" s="170">
        <v>0</v>
      </c>
      <c r="AH17" s="170">
        <v>0</v>
      </c>
      <c r="AI17" s="170">
        <v>0</v>
      </c>
      <c r="AJ17" s="167">
        <v>24.000000000000007</v>
      </c>
      <c r="AK17" s="167">
        <v>1</v>
      </c>
      <c r="AL17" s="167">
        <v>1</v>
      </c>
      <c r="AM17" s="167">
        <v>1</v>
      </c>
      <c r="AN17" s="167">
        <v>1</v>
      </c>
      <c r="AO17" s="167">
        <v>1</v>
      </c>
      <c r="AP17" s="167">
        <v>1</v>
      </c>
      <c r="AQ17" s="167">
        <v>0</v>
      </c>
      <c r="AR17" s="167">
        <v>74</v>
      </c>
      <c r="AS17" s="173">
        <v>0.63793100000000003</v>
      </c>
      <c r="AT17" s="152" t="s">
        <v>535</v>
      </c>
      <c r="AU17" s="152">
        <v>9.1999999999999993</v>
      </c>
      <c r="AV17" s="178">
        <v>0.41</v>
      </c>
      <c r="AW17" s="188">
        <v>10</v>
      </c>
      <c r="AX17" s="188" t="s">
        <v>540</v>
      </c>
      <c r="AY17" s="188">
        <v>23</v>
      </c>
      <c r="AZ17" s="188">
        <v>19.899999999999999</v>
      </c>
      <c r="BA17" s="188"/>
      <c r="BB17" s="188">
        <v>22</v>
      </c>
      <c r="BC17" s="188"/>
      <c r="BD17" s="188"/>
      <c r="BE17" s="188">
        <v>11.3</v>
      </c>
      <c r="BF17" s="188">
        <v>12.7</v>
      </c>
      <c r="BG17" s="188">
        <v>13.7</v>
      </c>
      <c r="BH17" s="188">
        <v>17.600000000000001</v>
      </c>
      <c r="BI17" s="188">
        <v>19.2</v>
      </c>
      <c r="BJ17" s="188">
        <v>5.2900000000000003E-2</v>
      </c>
      <c r="BK17" s="188">
        <v>6.1800000000000001E-2</v>
      </c>
      <c r="BL17" s="188">
        <v>6.7799999999999999E-2</v>
      </c>
      <c r="BM17" s="188">
        <v>8.8599999999999998E-2</v>
      </c>
      <c r="BN17" s="188">
        <v>9.9199999999999997E-2</v>
      </c>
      <c r="BO17" s="188"/>
      <c r="BP17" s="188"/>
      <c r="BQ17" s="188"/>
      <c r="BR17" s="188"/>
      <c r="BS17" s="188"/>
      <c r="BT17" s="188">
        <v>63</v>
      </c>
      <c r="BU17" s="188">
        <v>29</v>
      </c>
      <c r="BV17" s="188">
        <v>30</v>
      </c>
      <c r="BW17" s="188">
        <v>34</v>
      </c>
      <c r="BX17" s="188">
        <v>38</v>
      </c>
      <c r="BY17" s="188">
        <v>44</v>
      </c>
      <c r="BZ17" s="188">
        <v>127</v>
      </c>
      <c r="CA17" s="188">
        <v>132</v>
      </c>
      <c r="CB17" s="188">
        <v>182</v>
      </c>
      <c r="CC17" s="188">
        <v>231</v>
      </c>
      <c r="CD17" s="188">
        <v>341</v>
      </c>
      <c r="CE17" s="188">
        <v>12.9</v>
      </c>
      <c r="CF17" s="188">
        <v>7.2</v>
      </c>
      <c r="CG17" s="188">
        <v>1.3</v>
      </c>
      <c r="CH17" s="189">
        <v>4.9483834258669668E-5</v>
      </c>
    </row>
    <row r="18" spans="1:86" x14ac:dyDescent="0.3">
      <c r="A18" s="153" t="s">
        <v>25</v>
      </c>
      <c r="B18" s="153" t="s">
        <v>26</v>
      </c>
      <c r="C18" s="153" t="s">
        <v>27</v>
      </c>
      <c r="D18" s="191">
        <v>29121.297723129272</v>
      </c>
      <c r="E18" s="192"/>
      <c r="I18" s="152" t="s">
        <v>540</v>
      </c>
      <c r="J18" s="167">
        <v>13</v>
      </c>
      <c r="K18" s="168">
        <v>-13.5</v>
      </c>
      <c r="L18" s="169" t="s">
        <v>548</v>
      </c>
      <c r="M18" s="67" t="s">
        <v>57</v>
      </c>
      <c r="N18" s="167">
        <v>9.8999999999999986</v>
      </c>
      <c r="O18" s="170">
        <v>0</v>
      </c>
      <c r="P18" s="170">
        <v>0</v>
      </c>
      <c r="Q18" s="167">
        <v>31</v>
      </c>
      <c r="R18" s="167">
        <v>26</v>
      </c>
      <c r="S18" s="167">
        <v>1.3</v>
      </c>
      <c r="T18" s="167">
        <v>0</v>
      </c>
      <c r="U18" s="171">
        <v>0</v>
      </c>
      <c r="V18" s="171">
        <v>0</v>
      </c>
      <c r="W18" s="167">
        <v>0</v>
      </c>
      <c r="X18" s="167">
        <v>27800</v>
      </c>
      <c r="Y18" s="167">
        <v>0</v>
      </c>
      <c r="Z18" s="167">
        <v>83.999999999999972</v>
      </c>
      <c r="AA18" s="167">
        <v>1</v>
      </c>
      <c r="AB18" s="167">
        <v>5760</v>
      </c>
      <c r="AC18" s="170">
        <v>236000</v>
      </c>
      <c r="AD18" s="172">
        <v>-11000</v>
      </c>
      <c r="AE18" s="170">
        <v>0.3</v>
      </c>
      <c r="AF18" s="170">
        <v>0</v>
      </c>
      <c r="AG18" s="170">
        <v>0</v>
      </c>
      <c r="AH18" s="170">
        <v>0</v>
      </c>
      <c r="AI18" s="170">
        <v>0</v>
      </c>
      <c r="AJ18" s="167">
        <v>24.000000000000007</v>
      </c>
      <c r="AK18" s="167">
        <v>1</v>
      </c>
      <c r="AL18" s="167">
        <v>1</v>
      </c>
      <c r="AM18" s="167">
        <v>1</v>
      </c>
      <c r="AN18" s="167">
        <v>1</v>
      </c>
      <c r="AO18" s="167">
        <v>1</v>
      </c>
      <c r="AP18" s="167">
        <v>1</v>
      </c>
      <c r="AQ18" s="167">
        <v>0</v>
      </c>
      <c r="AR18" s="167">
        <v>78</v>
      </c>
      <c r="AS18" s="173">
        <v>0.63793100000000003</v>
      </c>
      <c r="AT18" s="152" t="s">
        <v>535</v>
      </c>
      <c r="AU18" s="152">
        <v>9.1999999999999993</v>
      </c>
      <c r="AV18" s="152">
        <v>0.41</v>
      </c>
      <c r="AW18" s="174">
        <v>10</v>
      </c>
      <c r="AX18" s="174" t="s">
        <v>540</v>
      </c>
      <c r="AY18" s="174">
        <v>23</v>
      </c>
      <c r="AZ18" s="174">
        <v>19.899999999999999</v>
      </c>
      <c r="BA18" s="174"/>
      <c r="BB18" s="174">
        <v>22</v>
      </c>
      <c r="BC18" s="174"/>
      <c r="BD18" s="174"/>
      <c r="BE18" s="174">
        <v>11</v>
      </c>
      <c r="BF18" s="174">
        <v>12.2</v>
      </c>
      <c r="BG18" s="174">
        <v>13</v>
      </c>
      <c r="BH18" s="174">
        <v>16.600000000000001</v>
      </c>
      <c r="BI18" s="174">
        <v>18</v>
      </c>
      <c r="BJ18" s="174">
        <v>5.16E-2</v>
      </c>
      <c r="BK18" s="174">
        <v>5.79E-2</v>
      </c>
      <c r="BL18" s="174">
        <v>6.2100000000000002E-2</v>
      </c>
      <c r="BM18" s="174">
        <v>7.9600000000000004E-2</v>
      </c>
      <c r="BN18" s="174">
        <v>8.7099999999999997E-2</v>
      </c>
      <c r="BO18" s="174"/>
      <c r="BP18" s="174"/>
      <c r="BQ18" s="174"/>
      <c r="BR18" s="174"/>
      <c r="BS18" s="174"/>
      <c r="BT18" s="174">
        <v>57</v>
      </c>
      <c r="BU18" s="174">
        <v>29</v>
      </c>
      <c r="BV18" s="174">
        <v>29</v>
      </c>
      <c r="BW18" s="174">
        <v>33</v>
      </c>
      <c r="BX18" s="174">
        <v>36</v>
      </c>
      <c r="BY18" s="174">
        <v>43</v>
      </c>
      <c r="BZ18" s="174">
        <v>110</v>
      </c>
      <c r="CA18" s="174">
        <v>117</v>
      </c>
      <c r="CB18" s="174">
        <v>177</v>
      </c>
      <c r="CC18" s="174">
        <v>238</v>
      </c>
      <c r="CD18" s="174">
        <v>374</v>
      </c>
      <c r="CE18" s="174">
        <v>11.7</v>
      </c>
      <c r="CF18" s="174">
        <v>4.5</v>
      </c>
      <c r="CG18" s="174">
        <v>1</v>
      </c>
      <c r="CH18" s="175">
        <v>1.2184227830774831E-5</v>
      </c>
    </row>
    <row r="19" spans="1:86" x14ac:dyDescent="0.3">
      <c r="A19" s="164" t="s">
        <v>36</v>
      </c>
      <c r="B19" s="164" t="s">
        <v>29</v>
      </c>
      <c r="C19" s="164" t="s">
        <v>53</v>
      </c>
      <c r="D19" s="161">
        <v>0</v>
      </c>
      <c r="E19" s="153"/>
      <c r="I19" s="152" t="s">
        <v>557</v>
      </c>
      <c r="J19" s="167">
        <v>14</v>
      </c>
      <c r="K19" s="168">
        <v>-14.5</v>
      </c>
      <c r="L19" s="169" t="s">
        <v>549</v>
      </c>
      <c r="M19" s="67" t="s">
        <v>58</v>
      </c>
      <c r="N19" s="167">
        <v>8.8999999999999986</v>
      </c>
      <c r="O19" s="170">
        <v>159</v>
      </c>
      <c r="P19" s="170">
        <v>5.2</v>
      </c>
      <c r="Q19" s="167">
        <v>0</v>
      </c>
      <c r="R19" s="167" t="e">
        <v>#N/A</v>
      </c>
      <c r="S19" s="167">
        <v>1.2</v>
      </c>
      <c r="T19" s="167">
        <v>0</v>
      </c>
      <c r="U19" s="171">
        <v>1.9E-2</v>
      </c>
      <c r="V19" s="171">
        <v>0</v>
      </c>
      <c r="W19" s="167">
        <v>0.5</v>
      </c>
      <c r="X19" s="167">
        <v>15600</v>
      </c>
      <c r="Y19" s="167">
        <v>0</v>
      </c>
      <c r="Z19" s="167" t="e">
        <v>#N/A</v>
      </c>
      <c r="AA19" s="167">
        <v>1</v>
      </c>
      <c r="AB19" s="167" t="e">
        <v>#N/A</v>
      </c>
      <c r="AC19" s="170">
        <v>78000</v>
      </c>
      <c r="AD19" s="172">
        <v>2800</v>
      </c>
      <c r="AE19" s="170">
        <v>0.3</v>
      </c>
      <c r="AF19" s="170">
        <v>0</v>
      </c>
      <c r="AG19" s="170">
        <v>0</v>
      </c>
      <c r="AH19" s="170">
        <v>0</v>
      </c>
      <c r="AI19" s="170">
        <v>0</v>
      </c>
      <c r="AJ19" s="167" t="e">
        <v>#N/A</v>
      </c>
      <c r="AK19" s="167">
        <v>1</v>
      </c>
      <c r="AL19" s="167">
        <v>1</v>
      </c>
      <c r="AM19" s="167">
        <v>1</v>
      </c>
      <c r="AN19" s="167">
        <v>1</v>
      </c>
      <c r="AO19" s="167">
        <v>1</v>
      </c>
      <c r="AP19" s="167">
        <v>1</v>
      </c>
      <c r="AQ19" s="167">
        <v>0</v>
      </c>
      <c r="AR19" s="167">
        <v>0</v>
      </c>
      <c r="AS19" s="173">
        <v>1</v>
      </c>
      <c r="AT19" s="152" t="s">
        <v>543</v>
      </c>
      <c r="AU19" s="152">
        <v>9.1999999999999993</v>
      </c>
      <c r="AV19" s="152">
        <v>0.41</v>
      </c>
      <c r="AW19" s="174">
        <v>10.6</v>
      </c>
      <c r="AX19" s="174" t="s">
        <v>540</v>
      </c>
      <c r="AY19" s="174">
        <v>23</v>
      </c>
      <c r="AZ19" s="174">
        <v>19.899999999999999</v>
      </c>
      <c r="BA19" s="174"/>
      <c r="BB19" s="174">
        <v>22</v>
      </c>
      <c r="BC19" s="174"/>
      <c r="BD19" s="174"/>
      <c r="BE19" s="174">
        <v>4.5</v>
      </c>
      <c r="BF19" s="174">
        <v>5.7</v>
      </c>
      <c r="BG19" s="174">
        <v>6.5</v>
      </c>
      <c r="BH19" s="174">
        <v>8.8000000000000007</v>
      </c>
      <c r="BI19" s="174">
        <v>10.199999999999999</v>
      </c>
      <c r="BJ19" s="174">
        <v>3.2099999999999997E-2</v>
      </c>
      <c r="BK19" s="174">
        <v>3.8300000000000001E-2</v>
      </c>
      <c r="BL19" s="174">
        <v>4.2500000000000003E-2</v>
      </c>
      <c r="BM19" s="174">
        <v>5.6099999999999997E-2</v>
      </c>
      <c r="BN19" s="174">
        <v>6.3600000000000004E-2</v>
      </c>
      <c r="BO19" s="174"/>
      <c r="BP19" s="174"/>
      <c r="BQ19" s="174"/>
      <c r="BR19" s="174"/>
      <c r="BS19" s="174"/>
      <c r="BT19" s="174">
        <v>57</v>
      </c>
      <c r="BU19" s="174">
        <v>29</v>
      </c>
      <c r="BV19" s="174">
        <v>29</v>
      </c>
      <c r="BW19" s="174">
        <v>33</v>
      </c>
      <c r="BX19" s="174">
        <v>36</v>
      </c>
      <c r="BY19" s="174">
        <v>43</v>
      </c>
      <c r="BZ19" s="174">
        <v>88</v>
      </c>
      <c r="CA19" s="174">
        <v>95</v>
      </c>
      <c r="CB19" s="174">
        <v>155</v>
      </c>
      <c r="CC19" s="174">
        <v>216</v>
      </c>
      <c r="CD19" s="174">
        <v>352</v>
      </c>
      <c r="CE19" s="174">
        <v>11.7</v>
      </c>
      <c r="CF19" s="174">
        <v>4.5</v>
      </c>
      <c r="CG19" s="174">
        <v>1</v>
      </c>
      <c r="CH19" s="175">
        <v>1.2184227830774831E-5</v>
      </c>
    </row>
    <row r="20" spans="1:86" x14ac:dyDescent="0.3">
      <c r="A20" s="192">
        <v>1</v>
      </c>
      <c r="B20" s="192">
        <v>0</v>
      </c>
      <c r="C20" s="193">
        <v>0.09</v>
      </c>
      <c r="D20" s="194">
        <v>2891.7203797290813</v>
      </c>
      <c r="I20" s="152" t="s">
        <v>557</v>
      </c>
      <c r="J20" s="167">
        <v>15</v>
      </c>
      <c r="K20" s="168">
        <v>-27</v>
      </c>
      <c r="L20" s="169" t="s">
        <v>550</v>
      </c>
      <c r="M20" s="67" t="s">
        <v>58</v>
      </c>
      <c r="N20" s="167">
        <v>8.8999999999999986</v>
      </c>
      <c r="O20" s="170">
        <v>235</v>
      </c>
      <c r="P20" s="170">
        <v>18.2</v>
      </c>
      <c r="Q20" s="167">
        <v>0</v>
      </c>
      <c r="R20" s="167" t="e">
        <v>#N/A</v>
      </c>
      <c r="S20" s="167">
        <v>1.2</v>
      </c>
      <c r="T20" s="167">
        <v>0</v>
      </c>
      <c r="U20" s="171">
        <v>1.9E-2</v>
      </c>
      <c r="V20" s="171">
        <v>0</v>
      </c>
      <c r="W20" s="167">
        <v>0.5</v>
      </c>
      <c r="X20" s="167">
        <v>22800</v>
      </c>
      <c r="Y20" s="167">
        <v>0</v>
      </c>
      <c r="Z20" s="167" t="e">
        <v>#N/A</v>
      </c>
      <c r="AA20" s="167">
        <v>1</v>
      </c>
      <c r="AB20" s="167" t="e">
        <v>#N/A</v>
      </c>
      <c r="AC20" s="170">
        <v>120000</v>
      </c>
      <c r="AD20" s="172">
        <v>9000</v>
      </c>
      <c r="AE20" s="170">
        <v>0.3</v>
      </c>
      <c r="AF20" s="170">
        <v>0</v>
      </c>
      <c r="AG20" s="170">
        <v>0</v>
      </c>
      <c r="AH20" s="170">
        <v>0</v>
      </c>
      <c r="AI20" s="170">
        <v>0</v>
      </c>
      <c r="AJ20" s="167" t="e">
        <v>#N/A</v>
      </c>
      <c r="AK20" s="167">
        <v>1</v>
      </c>
      <c r="AL20" s="167">
        <v>1</v>
      </c>
      <c r="AM20" s="167">
        <v>1</v>
      </c>
      <c r="AN20" s="167">
        <v>1</v>
      </c>
      <c r="AO20" s="167">
        <v>1</v>
      </c>
      <c r="AP20" s="167">
        <v>1</v>
      </c>
      <c r="AQ20" s="167">
        <v>0</v>
      </c>
      <c r="AR20" s="167">
        <v>0</v>
      </c>
      <c r="AS20" s="173">
        <v>1</v>
      </c>
      <c r="AT20" s="152" t="s">
        <v>543</v>
      </c>
      <c r="AU20" s="152">
        <v>9.1999999999999993</v>
      </c>
      <c r="AV20" s="152">
        <v>0.41</v>
      </c>
      <c r="AW20" s="174">
        <v>10.6</v>
      </c>
      <c r="AX20" s="174" t="s">
        <v>540</v>
      </c>
      <c r="AY20" s="174">
        <v>23</v>
      </c>
      <c r="AZ20" s="174">
        <v>19.899999999999999</v>
      </c>
      <c r="BA20" s="174"/>
      <c r="BB20" s="174">
        <v>22</v>
      </c>
      <c r="BC20" s="174"/>
      <c r="BD20" s="174"/>
      <c r="BE20" s="174">
        <v>4.2</v>
      </c>
      <c r="BF20" s="174">
        <v>5.9</v>
      </c>
      <c r="BG20" s="174">
        <v>7.2</v>
      </c>
      <c r="BH20" s="174">
        <v>10.1</v>
      </c>
      <c r="BI20" s="174">
        <v>12.2</v>
      </c>
      <c r="BJ20" s="174">
        <v>2.9499999999999998E-2</v>
      </c>
      <c r="BK20" s="174">
        <v>3.8600000000000002E-2</v>
      </c>
      <c r="BL20" s="174">
        <v>4.4699999999999997E-2</v>
      </c>
      <c r="BM20" s="174">
        <v>6.0999999999999999E-2</v>
      </c>
      <c r="BN20" s="174">
        <v>7.1900000000000006E-2</v>
      </c>
      <c r="BO20" s="174"/>
      <c r="BP20" s="174"/>
      <c r="BQ20" s="174"/>
      <c r="BR20" s="174"/>
      <c r="BS20" s="174"/>
      <c r="BT20" s="174">
        <v>67</v>
      </c>
      <c r="BU20" s="174">
        <v>29</v>
      </c>
      <c r="BV20" s="174">
        <v>30</v>
      </c>
      <c r="BW20" s="174">
        <v>34</v>
      </c>
      <c r="BX20" s="174">
        <v>38</v>
      </c>
      <c r="BY20" s="174">
        <v>45</v>
      </c>
      <c r="BZ20" s="174">
        <v>85</v>
      </c>
      <c r="CA20" s="174">
        <v>92</v>
      </c>
      <c r="CB20" s="174">
        <v>161</v>
      </c>
      <c r="CC20" s="174">
        <v>230</v>
      </c>
      <c r="CD20" s="174">
        <v>385</v>
      </c>
      <c r="CE20" s="174">
        <v>17.600000000000001</v>
      </c>
      <c r="CF20" s="174">
        <v>5.8</v>
      </c>
      <c r="CG20" s="174">
        <v>1.2</v>
      </c>
      <c r="CH20" s="175">
        <v>2.843075248671839E-5</v>
      </c>
    </row>
    <row r="21" spans="1:86" x14ac:dyDescent="0.3">
      <c r="A21" s="192"/>
      <c r="B21" s="192"/>
      <c r="D21" s="161"/>
      <c r="I21" s="152" t="s">
        <v>557</v>
      </c>
      <c r="J21" s="167">
        <v>16</v>
      </c>
      <c r="K21" s="168">
        <v>-32</v>
      </c>
      <c r="L21" s="169" t="s">
        <v>551</v>
      </c>
      <c r="M21" s="67" t="s">
        <v>58</v>
      </c>
      <c r="N21" s="167">
        <v>8.5</v>
      </c>
      <c r="O21" s="170">
        <v>506</v>
      </c>
      <c r="P21" s="170">
        <v>-118.46153846153872</v>
      </c>
      <c r="Q21" s="167">
        <v>0</v>
      </c>
      <c r="R21" s="167" t="e">
        <v>#N/A</v>
      </c>
      <c r="S21" s="167">
        <v>1.3</v>
      </c>
      <c r="T21" s="167">
        <v>0</v>
      </c>
      <c r="U21" s="171">
        <v>1.9E-2</v>
      </c>
      <c r="V21" s="171">
        <v>0</v>
      </c>
      <c r="W21" s="167">
        <v>0.25</v>
      </c>
      <c r="X21" s="167">
        <v>35300</v>
      </c>
      <c r="Y21" s="167">
        <v>0</v>
      </c>
      <c r="Z21" s="167" t="e">
        <v>#N/A</v>
      </c>
      <c r="AA21" s="167">
        <v>1</v>
      </c>
      <c r="AB21" s="167" t="e">
        <v>#N/A</v>
      </c>
      <c r="AC21" s="170">
        <v>254000</v>
      </c>
      <c r="AD21" s="172">
        <v>-58461.538461538585</v>
      </c>
      <c r="AE21" s="170">
        <v>0.3</v>
      </c>
      <c r="AF21" s="170">
        <v>0</v>
      </c>
      <c r="AG21" s="170">
        <v>0</v>
      </c>
      <c r="AH21" s="170">
        <v>0</v>
      </c>
      <c r="AI21" s="170">
        <v>0</v>
      </c>
      <c r="AJ21" s="167" t="e">
        <v>#N/A</v>
      </c>
      <c r="AK21" s="167">
        <v>1</v>
      </c>
      <c r="AL21" s="167">
        <v>1</v>
      </c>
      <c r="AM21" s="167">
        <v>1</v>
      </c>
      <c r="AN21" s="167">
        <v>1</v>
      </c>
      <c r="AO21" s="167">
        <v>1</v>
      </c>
      <c r="AP21" s="167">
        <v>1</v>
      </c>
      <c r="AQ21" s="167">
        <v>0</v>
      </c>
      <c r="AR21" s="167">
        <v>0</v>
      </c>
      <c r="AS21" s="173">
        <v>1</v>
      </c>
      <c r="AT21" s="178" t="s">
        <v>543</v>
      </c>
      <c r="AU21" s="152">
        <v>9.1999999999999993</v>
      </c>
      <c r="AV21" s="152">
        <v>0.41</v>
      </c>
      <c r="AW21" s="174">
        <v>11.3</v>
      </c>
      <c r="AX21" s="174" t="s">
        <v>540</v>
      </c>
      <c r="AY21" s="174">
        <v>23</v>
      </c>
      <c r="AZ21" s="174">
        <v>19.899999999999999</v>
      </c>
      <c r="BA21" s="174"/>
      <c r="BB21" s="174">
        <v>22</v>
      </c>
      <c r="BC21" s="174"/>
      <c r="BD21" s="174"/>
      <c r="BE21" s="174">
        <v>19.2</v>
      </c>
      <c r="BF21" s="174">
        <v>21</v>
      </c>
      <c r="BG21" s="174">
        <v>22.2</v>
      </c>
      <c r="BH21" s="174">
        <v>28.1</v>
      </c>
      <c r="BI21" s="174">
        <v>30.2</v>
      </c>
      <c r="BJ21" s="174">
        <v>9.06E-2</v>
      </c>
      <c r="BK21" s="174">
        <v>9.9699999999999997E-2</v>
      </c>
      <c r="BL21" s="174">
        <v>0.10580000000000001</v>
      </c>
      <c r="BM21" s="174">
        <v>0.1343</v>
      </c>
      <c r="BN21" s="174">
        <v>0.1452</v>
      </c>
      <c r="BO21" s="174"/>
      <c r="BP21" s="174"/>
      <c r="BQ21" s="174"/>
      <c r="BR21" s="174"/>
      <c r="BS21" s="174"/>
      <c r="BT21" s="174">
        <v>67</v>
      </c>
      <c r="BU21" s="174">
        <v>29</v>
      </c>
      <c r="BV21" s="174">
        <v>30</v>
      </c>
      <c r="BW21" s="174">
        <v>34</v>
      </c>
      <c r="BX21" s="174">
        <v>38</v>
      </c>
      <c r="BY21" s="174">
        <v>45</v>
      </c>
      <c r="BZ21" s="174">
        <v>140</v>
      </c>
      <c r="CA21" s="174">
        <v>148</v>
      </c>
      <c r="CB21" s="174">
        <v>217</v>
      </c>
      <c r="CC21" s="174">
        <v>286</v>
      </c>
      <c r="CD21" s="174">
        <v>441</v>
      </c>
      <c r="CE21" s="174">
        <v>17.600000000000001</v>
      </c>
      <c r="CF21" s="174">
        <v>5.8</v>
      </c>
      <c r="CG21" s="174">
        <v>1.2</v>
      </c>
      <c r="CH21" s="175">
        <v>2.843075248671839E-5</v>
      </c>
    </row>
    <row r="22" spans="1:86" x14ac:dyDescent="0.3">
      <c r="A22" s="192"/>
      <c r="B22" s="192"/>
      <c r="D22" s="153"/>
      <c r="I22" s="152" t="s">
        <v>557</v>
      </c>
      <c r="J22" s="167">
        <v>17</v>
      </c>
      <c r="K22" s="168">
        <v>-33.299999999999997</v>
      </c>
      <c r="L22" s="169" t="s">
        <v>552</v>
      </c>
      <c r="M22" s="67" t="s">
        <v>58</v>
      </c>
      <c r="N22" s="167">
        <v>8.5</v>
      </c>
      <c r="O22" s="170">
        <v>327</v>
      </c>
      <c r="P22" s="170">
        <v>98.571428571428171</v>
      </c>
      <c r="Q22" s="167">
        <v>0</v>
      </c>
      <c r="R22" s="167" t="e">
        <v>#N/A</v>
      </c>
      <c r="S22" s="167">
        <v>1.2</v>
      </c>
      <c r="T22" s="167">
        <v>0</v>
      </c>
      <c r="U22" s="171">
        <v>1.9E-2</v>
      </c>
      <c r="V22" s="171">
        <v>0</v>
      </c>
      <c r="W22" s="167">
        <v>0.25</v>
      </c>
      <c r="X22" s="167">
        <v>28800</v>
      </c>
      <c r="Y22" s="167">
        <v>0</v>
      </c>
      <c r="Z22" s="167" t="e">
        <v>#N/A</v>
      </c>
      <c r="AA22" s="167">
        <v>1</v>
      </c>
      <c r="AB22" s="167" t="e">
        <v>#N/A</v>
      </c>
      <c r="AC22" s="170">
        <v>166000</v>
      </c>
      <c r="AD22" s="172">
        <v>48571.428571428376</v>
      </c>
      <c r="AE22" s="170">
        <v>0.3</v>
      </c>
      <c r="AF22" s="170">
        <v>0</v>
      </c>
      <c r="AG22" s="170">
        <v>0</v>
      </c>
      <c r="AH22" s="170">
        <v>0</v>
      </c>
      <c r="AI22" s="170">
        <v>0</v>
      </c>
      <c r="AJ22" s="167" t="e">
        <v>#N/A</v>
      </c>
      <c r="AK22" s="167">
        <v>1</v>
      </c>
      <c r="AL22" s="167">
        <v>1</v>
      </c>
      <c r="AM22" s="167">
        <v>1</v>
      </c>
      <c r="AN22" s="167">
        <v>1</v>
      </c>
      <c r="AO22" s="167">
        <v>1</v>
      </c>
      <c r="AP22" s="167">
        <v>1</v>
      </c>
      <c r="AQ22" s="167">
        <v>0</v>
      </c>
      <c r="AR22" s="167">
        <v>0</v>
      </c>
      <c r="AS22" s="173">
        <v>1</v>
      </c>
      <c r="AT22" s="152" t="s">
        <v>543</v>
      </c>
      <c r="AU22" s="152">
        <v>9.1999999999999993</v>
      </c>
      <c r="AV22" s="152">
        <v>0.41</v>
      </c>
      <c r="AW22" s="174">
        <v>11.3</v>
      </c>
      <c r="AX22" s="174" t="s">
        <v>540</v>
      </c>
      <c r="AY22" s="174">
        <v>23</v>
      </c>
      <c r="AZ22" s="174">
        <v>19.899999999999999</v>
      </c>
      <c r="BA22" s="174"/>
      <c r="BB22" s="174">
        <v>22</v>
      </c>
      <c r="BC22" s="174"/>
      <c r="BD22" s="174"/>
      <c r="BE22" s="174">
        <v>19.100000000000001</v>
      </c>
      <c r="BF22" s="174">
        <v>21.3</v>
      </c>
      <c r="BG22" s="174">
        <v>22.7</v>
      </c>
      <c r="BH22" s="174">
        <v>29.1</v>
      </c>
      <c r="BI22" s="174">
        <v>31.7</v>
      </c>
      <c r="BJ22" s="174">
        <v>7.1199999999999999E-2</v>
      </c>
      <c r="BK22" s="174">
        <v>8.0199999999999994E-2</v>
      </c>
      <c r="BL22" s="174">
        <v>8.6300000000000002E-2</v>
      </c>
      <c r="BM22" s="174">
        <v>0.1109</v>
      </c>
      <c r="BN22" s="174">
        <v>0.12180000000000001</v>
      </c>
      <c r="BO22" s="174"/>
      <c r="BP22" s="174"/>
      <c r="BQ22" s="174"/>
      <c r="BR22" s="174"/>
      <c r="BS22" s="174"/>
      <c r="BT22" s="174">
        <v>75</v>
      </c>
      <c r="BU22" s="174">
        <v>29</v>
      </c>
      <c r="BV22" s="174">
        <v>31</v>
      </c>
      <c r="BW22" s="174">
        <v>35</v>
      </c>
      <c r="BX22" s="174">
        <v>39</v>
      </c>
      <c r="BY22" s="174">
        <v>46</v>
      </c>
      <c r="BZ22" s="174">
        <v>135</v>
      </c>
      <c r="CA22" s="174">
        <v>142</v>
      </c>
      <c r="CB22" s="174">
        <v>218</v>
      </c>
      <c r="CC22" s="174">
        <v>294</v>
      </c>
      <c r="CD22" s="174">
        <v>464</v>
      </c>
      <c r="CE22" s="174">
        <v>24.3</v>
      </c>
      <c r="CF22" s="174">
        <v>7.1</v>
      </c>
      <c r="CG22" s="174">
        <v>1.3</v>
      </c>
      <c r="CH22" s="175">
        <v>9.7266068320518839E-5</v>
      </c>
    </row>
    <row r="23" spans="1:86" x14ac:dyDescent="0.3">
      <c r="A23" s="192"/>
      <c r="B23" s="192"/>
      <c r="D23" s="195">
        <v>15714.622197005599</v>
      </c>
      <c r="I23" s="152" t="s">
        <v>557</v>
      </c>
      <c r="J23" s="167">
        <v>18</v>
      </c>
      <c r="K23" s="168">
        <v>-34</v>
      </c>
      <c r="L23" s="169" t="s">
        <v>553</v>
      </c>
      <c r="M23" s="67" t="s">
        <v>58</v>
      </c>
      <c r="N23" s="167">
        <v>8.5</v>
      </c>
      <c r="O23" s="170">
        <v>502</v>
      </c>
      <c r="P23" s="170">
        <v>0</v>
      </c>
      <c r="Q23" s="167">
        <v>0</v>
      </c>
      <c r="R23" s="167" t="e">
        <v>#N/A</v>
      </c>
      <c r="S23" s="167">
        <v>1.4</v>
      </c>
      <c r="T23" s="167">
        <v>0</v>
      </c>
      <c r="U23" s="171">
        <v>1.9E-2</v>
      </c>
      <c r="V23" s="171">
        <v>0</v>
      </c>
      <c r="W23" s="167">
        <v>0.25</v>
      </c>
      <c r="X23" s="167">
        <v>40300</v>
      </c>
      <c r="Y23" s="167">
        <v>0</v>
      </c>
      <c r="Z23" s="167" t="e">
        <v>#N/A</v>
      </c>
      <c r="AA23" s="167">
        <v>1</v>
      </c>
      <c r="AB23" s="167" t="e">
        <v>#N/A</v>
      </c>
      <c r="AC23" s="170">
        <v>264000</v>
      </c>
      <c r="AD23" s="172">
        <v>0</v>
      </c>
      <c r="AE23" s="170">
        <v>0.3</v>
      </c>
      <c r="AF23" s="170">
        <v>0</v>
      </c>
      <c r="AG23" s="170">
        <v>0</v>
      </c>
      <c r="AH23" s="170">
        <v>0</v>
      </c>
      <c r="AI23" s="170">
        <v>0</v>
      </c>
      <c r="AJ23" s="167" t="e">
        <v>#N/A</v>
      </c>
      <c r="AK23" s="167">
        <v>1</v>
      </c>
      <c r="AL23" s="167">
        <v>1</v>
      </c>
      <c r="AM23" s="167">
        <v>1</v>
      </c>
      <c r="AN23" s="167">
        <v>1</v>
      </c>
      <c r="AO23" s="167">
        <v>1</v>
      </c>
      <c r="AP23" s="167">
        <v>1</v>
      </c>
      <c r="AQ23" s="167">
        <v>0</v>
      </c>
      <c r="AR23" s="167">
        <v>0</v>
      </c>
      <c r="AS23" s="173">
        <v>1</v>
      </c>
      <c r="AT23" s="152" t="s">
        <v>543</v>
      </c>
      <c r="AU23" s="152">
        <v>9.1999999999999993</v>
      </c>
      <c r="AV23" s="152">
        <v>0.41</v>
      </c>
      <c r="AW23" s="174">
        <v>12.2</v>
      </c>
      <c r="AX23" s="174" t="s">
        <v>540</v>
      </c>
      <c r="AY23" s="174">
        <v>23</v>
      </c>
      <c r="AZ23" s="174">
        <v>19.899999999999999</v>
      </c>
      <c r="BA23" s="174"/>
      <c r="BB23" s="174">
        <v>22</v>
      </c>
      <c r="BC23" s="174"/>
      <c r="BD23" s="174"/>
      <c r="BE23" s="174">
        <v>9.6</v>
      </c>
      <c r="BF23" s="174">
        <v>11.8</v>
      </c>
      <c r="BG23" s="174">
        <v>13.2</v>
      </c>
      <c r="BH23" s="174">
        <v>17.7</v>
      </c>
      <c r="BI23" s="174">
        <v>20.3</v>
      </c>
      <c r="BJ23" s="174">
        <v>4.9799999999999997E-2</v>
      </c>
      <c r="BK23" s="174">
        <v>5.8799999999999998E-2</v>
      </c>
      <c r="BL23" s="174">
        <v>6.4899999999999999E-2</v>
      </c>
      <c r="BM23" s="174">
        <v>8.5199999999999998E-2</v>
      </c>
      <c r="BN23" s="174">
        <v>9.6100000000000005E-2</v>
      </c>
      <c r="BO23" s="174"/>
      <c r="BP23" s="174"/>
      <c r="BQ23" s="174"/>
      <c r="BR23" s="174"/>
      <c r="BS23" s="174"/>
      <c r="BT23" s="174">
        <v>75</v>
      </c>
      <c r="BU23" s="174">
        <v>29</v>
      </c>
      <c r="BV23" s="174">
        <v>31</v>
      </c>
      <c r="BW23" s="174">
        <v>35</v>
      </c>
      <c r="BX23" s="174">
        <v>39</v>
      </c>
      <c r="BY23" s="174">
        <v>46</v>
      </c>
      <c r="BZ23" s="174">
        <v>114</v>
      </c>
      <c r="CA23" s="174">
        <v>121</v>
      </c>
      <c r="CB23" s="174">
        <v>197</v>
      </c>
      <c r="CC23" s="174">
        <v>273</v>
      </c>
      <c r="CD23" s="174">
        <v>443</v>
      </c>
      <c r="CE23" s="174">
        <v>24.3</v>
      </c>
      <c r="CF23" s="174">
        <v>7.1</v>
      </c>
      <c r="CG23" s="174">
        <v>1.3</v>
      </c>
      <c r="CH23" s="175">
        <v>9.7266068320518839E-5</v>
      </c>
    </row>
    <row r="24" spans="1:86" x14ac:dyDescent="0.3">
      <c r="A24" s="192"/>
      <c r="B24" s="192"/>
      <c r="D24" s="195">
        <v>-746243.33244273497</v>
      </c>
      <c r="I24" s="152" t="s">
        <v>557</v>
      </c>
      <c r="J24" s="167">
        <v>19</v>
      </c>
      <c r="K24" s="168">
        <v>-36.5</v>
      </c>
      <c r="L24" s="169" t="s">
        <v>553</v>
      </c>
      <c r="M24" s="67" t="s">
        <v>58</v>
      </c>
      <c r="N24" s="167">
        <v>8.6999999999999993</v>
      </c>
      <c r="O24" s="170">
        <v>739</v>
      </c>
      <c r="P24" s="170">
        <v>0</v>
      </c>
      <c r="Q24" s="167">
        <v>0</v>
      </c>
      <c r="R24" s="167" t="e">
        <v>#N/A</v>
      </c>
      <c r="S24" s="167">
        <v>1.5</v>
      </c>
      <c r="T24" s="167">
        <v>0</v>
      </c>
      <c r="U24" s="171">
        <v>1.9E-2</v>
      </c>
      <c r="V24" s="171">
        <v>0</v>
      </c>
      <c r="W24" s="167">
        <v>0.25</v>
      </c>
      <c r="X24" s="167">
        <v>58900</v>
      </c>
      <c r="Y24" s="167">
        <v>0</v>
      </c>
      <c r="Z24" s="167" t="e">
        <v>#N/A</v>
      </c>
      <c r="AA24" s="167">
        <v>1</v>
      </c>
      <c r="AB24" s="167" t="e">
        <v>#N/A</v>
      </c>
      <c r="AC24" s="170">
        <v>405000</v>
      </c>
      <c r="AD24" s="172">
        <v>0</v>
      </c>
      <c r="AE24" s="170">
        <v>0.3</v>
      </c>
      <c r="AF24" s="170">
        <v>0</v>
      </c>
      <c r="AG24" s="170">
        <v>0</v>
      </c>
      <c r="AH24" s="170">
        <v>0</v>
      </c>
      <c r="AI24" s="170">
        <v>0</v>
      </c>
      <c r="AJ24" s="167" t="e">
        <v>#N/A</v>
      </c>
      <c r="AK24" s="167">
        <v>1</v>
      </c>
      <c r="AL24" s="167">
        <v>1</v>
      </c>
      <c r="AM24" s="167">
        <v>1</v>
      </c>
      <c r="AN24" s="167">
        <v>1</v>
      </c>
      <c r="AO24" s="167">
        <v>1</v>
      </c>
      <c r="AP24" s="167">
        <v>1</v>
      </c>
      <c r="AQ24" s="167">
        <v>0</v>
      </c>
      <c r="AR24" s="167">
        <v>0</v>
      </c>
      <c r="AS24" s="173">
        <v>1</v>
      </c>
      <c r="AT24" s="152" t="s">
        <v>543</v>
      </c>
      <c r="AU24" s="152">
        <v>9.1999999999999993</v>
      </c>
      <c r="AV24" s="152">
        <v>0.41</v>
      </c>
      <c r="AW24" s="174">
        <v>12.2</v>
      </c>
      <c r="AX24" s="174" t="s">
        <v>540</v>
      </c>
      <c r="AY24" s="174">
        <v>23</v>
      </c>
      <c r="AZ24" s="174">
        <v>19.899999999999999</v>
      </c>
      <c r="BA24" s="174"/>
      <c r="BB24" s="174">
        <v>22</v>
      </c>
      <c r="BC24" s="174"/>
      <c r="BD24" s="174"/>
      <c r="BE24" s="174">
        <v>8.8000000000000007</v>
      </c>
      <c r="BF24" s="174">
        <v>10.9</v>
      </c>
      <c r="BG24" s="174">
        <v>12.3</v>
      </c>
      <c r="BH24" s="174">
        <v>16.5</v>
      </c>
      <c r="BI24" s="174">
        <v>19.100000000000001</v>
      </c>
      <c r="BJ24" s="174">
        <v>4.99E-2</v>
      </c>
      <c r="BK24" s="174">
        <v>5.9799999999999999E-2</v>
      </c>
      <c r="BL24" s="174">
        <v>6.6500000000000004E-2</v>
      </c>
      <c r="BM24" s="174">
        <v>8.7800000000000003E-2</v>
      </c>
      <c r="BN24" s="174">
        <v>9.98E-2</v>
      </c>
      <c r="BO24" s="174"/>
      <c r="BP24" s="174"/>
      <c r="BQ24" s="174"/>
      <c r="BR24" s="174"/>
      <c r="BS24" s="174"/>
      <c r="BT24" s="174">
        <v>74</v>
      </c>
      <c r="BU24" s="174">
        <v>29</v>
      </c>
      <c r="BV24" s="174">
        <v>31</v>
      </c>
      <c r="BW24" s="174">
        <v>35</v>
      </c>
      <c r="BX24" s="174">
        <v>39</v>
      </c>
      <c r="BY24" s="174">
        <v>45</v>
      </c>
      <c r="BZ24" s="174">
        <v>106</v>
      </c>
      <c r="CA24" s="174">
        <v>114</v>
      </c>
      <c r="CB24" s="174">
        <v>192</v>
      </c>
      <c r="CC24" s="174">
        <v>271</v>
      </c>
      <c r="CD24" s="174">
        <v>448</v>
      </c>
      <c r="CE24" s="174">
        <v>23.7</v>
      </c>
      <c r="CF24" s="174">
        <v>6.3</v>
      </c>
      <c r="CG24" s="174">
        <v>1.2</v>
      </c>
      <c r="CH24" s="175">
        <v>5.1042259205858373E-5</v>
      </c>
    </row>
    <row r="25" spans="1:86" x14ac:dyDescent="0.3">
      <c r="A25" s="192"/>
      <c r="B25" s="192"/>
      <c r="D25" s="195">
        <v>32033.4274954422</v>
      </c>
      <c r="I25" s="152" t="s">
        <v>557</v>
      </c>
      <c r="J25" s="167">
        <v>20</v>
      </c>
      <c r="K25" s="168">
        <v>-39.799999999999997</v>
      </c>
      <c r="L25" s="169" t="s">
        <v>553</v>
      </c>
      <c r="M25" s="67" t="s">
        <v>58</v>
      </c>
      <c r="N25" s="167">
        <v>8.6999999999999993</v>
      </c>
      <c r="O25" s="170">
        <v>515</v>
      </c>
      <c r="P25" s="170">
        <v>-45.833333333333222</v>
      </c>
      <c r="Q25" s="167">
        <v>0</v>
      </c>
      <c r="R25" s="167" t="e">
        <v>#N/A</v>
      </c>
      <c r="S25" s="167">
        <v>1.3</v>
      </c>
      <c r="T25" s="167">
        <v>0</v>
      </c>
      <c r="U25" s="171">
        <v>1.9E-2</v>
      </c>
      <c r="V25" s="171">
        <v>0</v>
      </c>
      <c r="W25" s="167">
        <v>0.25</v>
      </c>
      <c r="X25" s="167">
        <v>37400</v>
      </c>
      <c r="Y25" s="167">
        <v>0</v>
      </c>
      <c r="Z25" s="167" t="e">
        <v>#N/A</v>
      </c>
      <c r="AA25" s="167">
        <v>1</v>
      </c>
      <c r="AB25" s="167" t="e">
        <v>#N/A</v>
      </c>
      <c r="AC25" s="170">
        <v>265000</v>
      </c>
      <c r="AD25" s="172">
        <v>-23333.333333333278</v>
      </c>
      <c r="AE25" s="170">
        <v>0.3</v>
      </c>
      <c r="AF25" s="170">
        <v>0</v>
      </c>
      <c r="AG25" s="170">
        <v>0</v>
      </c>
      <c r="AH25" s="170">
        <v>0</v>
      </c>
      <c r="AI25" s="170">
        <v>0</v>
      </c>
      <c r="AJ25" s="167" t="e">
        <v>#N/A</v>
      </c>
      <c r="AK25" s="167">
        <v>1</v>
      </c>
      <c r="AL25" s="167">
        <v>1</v>
      </c>
      <c r="AM25" s="167">
        <v>1</v>
      </c>
      <c r="AN25" s="167">
        <v>1</v>
      </c>
      <c r="AO25" s="167">
        <v>1</v>
      </c>
      <c r="AP25" s="167">
        <v>1</v>
      </c>
      <c r="AQ25" s="167">
        <v>0</v>
      </c>
      <c r="AR25" s="167">
        <v>0</v>
      </c>
      <c r="AS25" s="173">
        <v>1</v>
      </c>
      <c r="AT25" s="178" t="s">
        <v>543</v>
      </c>
      <c r="AU25" s="152">
        <v>9.1999999999999993</v>
      </c>
      <c r="AV25" s="152">
        <v>0.41</v>
      </c>
      <c r="AW25" s="174">
        <v>13.5</v>
      </c>
      <c r="AX25" s="174" t="s">
        <v>540</v>
      </c>
      <c r="AY25" s="174">
        <v>23</v>
      </c>
      <c r="AZ25" s="174">
        <v>19.899999999999999</v>
      </c>
      <c r="BA25" s="174"/>
      <c r="BB25" s="174">
        <v>22</v>
      </c>
      <c r="BC25" s="174"/>
      <c r="BD25" s="174"/>
      <c r="BE25" s="174">
        <v>19.100000000000001</v>
      </c>
      <c r="BF25" s="174">
        <v>21.2</v>
      </c>
      <c r="BG25" s="174">
        <v>22.7</v>
      </c>
      <c r="BH25" s="174">
        <v>29</v>
      </c>
      <c r="BI25" s="174">
        <v>31.5</v>
      </c>
      <c r="BJ25" s="174">
        <v>8.2500000000000004E-2</v>
      </c>
      <c r="BK25" s="174">
        <v>9.2399999999999996E-2</v>
      </c>
      <c r="BL25" s="174">
        <v>9.9099999999999994E-2</v>
      </c>
      <c r="BM25" s="174">
        <v>0.127</v>
      </c>
      <c r="BN25" s="174">
        <v>0.1389</v>
      </c>
      <c r="BO25" s="174"/>
      <c r="BP25" s="174"/>
      <c r="BQ25" s="174"/>
      <c r="BR25" s="174"/>
      <c r="BS25" s="174"/>
      <c r="BT25" s="174">
        <v>74</v>
      </c>
      <c r="BU25" s="174">
        <v>29</v>
      </c>
      <c r="BV25" s="174">
        <v>31</v>
      </c>
      <c r="BW25" s="174">
        <v>35</v>
      </c>
      <c r="BX25" s="174">
        <v>39</v>
      </c>
      <c r="BY25" s="174">
        <v>45</v>
      </c>
      <c r="BZ25" s="174">
        <v>152</v>
      </c>
      <c r="CA25" s="174">
        <v>161</v>
      </c>
      <c r="CB25" s="174">
        <v>239</v>
      </c>
      <c r="CC25" s="174">
        <v>318</v>
      </c>
      <c r="CD25" s="174">
        <v>495</v>
      </c>
      <c r="CE25" s="174">
        <v>23.7</v>
      </c>
      <c r="CF25" s="174">
        <v>6.3</v>
      </c>
      <c r="CG25" s="174">
        <v>1.2</v>
      </c>
      <c r="CH25" s="175">
        <v>5.1042259205858373E-5</v>
      </c>
    </row>
    <row r="26" spans="1:86" x14ac:dyDescent="0.3">
      <c r="A26" s="192"/>
      <c r="B26" s="192"/>
      <c r="D26" s="153">
        <v>0</v>
      </c>
      <c r="F26" s="152" t="s">
        <v>554</v>
      </c>
      <c r="I26" s="152" t="s">
        <v>557</v>
      </c>
      <c r="J26" s="167">
        <v>21</v>
      </c>
      <c r="K26" s="168">
        <v>-41</v>
      </c>
      <c r="L26" s="169" t="s">
        <v>553</v>
      </c>
      <c r="M26" s="67" t="s">
        <v>58</v>
      </c>
      <c r="N26" s="167">
        <v>8.6999999999999993</v>
      </c>
      <c r="O26" s="170">
        <v>573</v>
      </c>
      <c r="P26" s="170">
        <v>-101</v>
      </c>
      <c r="Q26" s="167">
        <v>0</v>
      </c>
      <c r="R26" s="167" t="e">
        <v>#N/A</v>
      </c>
      <c r="S26" s="167">
        <v>1.4</v>
      </c>
      <c r="T26" s="167">
        <v>0</v>
      </c>
      <c r="U26" s="171">
        <v>1.9E-2</v>
      </c>
      <c r="V26" s="171">
        <v>0</v>
      </c>
      <c r="W26" s="167">
        <v>0.25</v>
      </c>
      <c r="X26" s="167">
        <v>49500</v>
      </c>
      <c r="Y26" s="167">
        <v>0</v>
      </c>
      <c r="Z26" s="167" t="e">
        <v>#N/A</v>
      </c>
      <c r="AA26" s="167">
        <v>1</v>
      </c>
      <c r="AB26" s="167" t="e">
        <v>#N/A</v>
      </c>
      <c r="AC26" s="170">
        <v>296000</v>
      </c>
      <c r="AD26" s="172">
        <v>-51000</v>
      </c>
      <c r="AE26" s="170">
        <v>0.3</v>
      </c>
      <c r="AF26" s="170">
        <v>0</v>
      </c>
      <c r="AG26" s="170">
        <v>0</v>
      </c>
      <c r="AH26" s="170">
        <v>0</v>
      </c>
      <c r="AI26" s="170">
        <v>0</v>
      </c>
      <c r="AJ26" s="167" t="e">
        <v>#N/A</v>
      </c>
      <c r="AK26" s="167">
        <v>1</v>
      </c>
      <c r="AL26" s="167">
        <v>1</v>
      </c>
      <c r="AM26" s="167">
        <v>1</v>
      </c>
      <c r="AN26" s="167">
        <v>1</v>
      </c>
      <c r="AO26" s="167">
        <v>1</v>
      </c>
      <c r="AP26" s="167">
        <v>1</v>
      </c>
      <c r="AQ26" s="167">
        <v>0</v>
      </c>
      <c r="AR26" s="167">
        <v>0</v>
      </c>
      <c r="AS26" s="173">
        <v>1</v>
      </c>
      <c r="AT26" s="152" t="s">
        <v>543</v>
      </c>
      <c r="AU26" s="152">
        <v>9.1999999999999993</v>
      </c>
      <c r="AV26" s="152">
        <v>0.41</v>
      </c>
      <c r="AW26" s="174">
        <v>13.5</v>
      </c>
      <c r="AX26" s="174" t="s">
        <v>540</v>
      </c>
      <c r="AY26" s="174">
        <v>23</v>
      </c>
      <c r="AZ26" s="174">
        <v>19.899999999999999</v>
      </c>
      <c r="BA26" s="174"/>
      <c r="BB26" s="174">
        <v>22</v>
      </c>
      <c r="BC26" s="174"/>
      <c r="BD26" s="174"/>
      <c r="BE26" s="174">
        <v>18.100000000000001</v>
      </c>
      <c r="BF26" s="174">
        <v>20.399999999999999</v>
      </c>
      <c r="BG26" s="174">
        <v>22</v>
      </c>
      <c r="BH26" s="174">
        <v>28.3</v>
      </c>
      <c r="BI26" s="174">
        <v>33.4</v>
      </c>
      <c r="BJ26" s="174">
        <v>4.4900000000000002E-2</v>
      </c>
      <c r="BK26" s="174">
        <v>5.9400000000000001E-2</v>
      </c>
      <c r="BL26" s="174">
        <v>6.9099999999999995E-2</v>
      </c>
      <c r="BM26" s="174">
        <v>9.4600000000000004E-2</v>
      </c>
      <c r="BN26" s="174">
        <v>0.13039999999999999</v>
      </c>
      <c r="BO26" s="174"/>
      <c r="BP26" s="174"/>
      <c r="BQ26" s="174"/>
      <c r="BR26" s="174"/>
      <c r="BS26" s="174"/>
      <c r="BT26" s="174">
        <v>78</v>
      </c>
      <c r="BU26" s="174">
        <v>29</v>
      </c>
      <c r="BV26" s="174">
        <v>31</v>
      </c>
      <c r="BW26" s="174">
        <v>35</v>
      </c>
      <c r="BX26" s="174">
        <v>39</v>
      </c>
      <c r="BY26" s="174">
        <v>46</v>
      </c>
      <c r="BZ26" s="174">
        <v>144</v>
      </c>
      <c r="CA26" s="174">
        <v>153</v>
      </c>
      <c r="CB26" s="174">
        <v>236</v>
      </c>
      <c r="CC26" s="174">
        <v>320</v>
      </c>
      <c r="CD26" s="174">
        <v>509</v>
      </c>
      <c r="CE26" s="174">
        <v>27.8</v>
      </c>
      <c r="CF26" s="174">
        <v>6.6</v>
      </c>
      <c r="CG26" s="174">
        <v>1.3</v>
      </c>
      <c r="CH26" s="175">
        <v>9.5475430613206473E-5</v>
      </c>
    </row>
    <row r="27" spans="1:86" x14ac:dyDescent="0.3">
      <c r="A27" s="192"/>
      <c r="B27" s="192"/>
      <c r="D27" s="195">
        <v>3903.82251263426</v>
      </c>
      <c r="F27" s="152" t="s">
        <v>555</v>
      </c>
      <c r="I27" s="152" t="s">
        <v>557</v>
      </c>
      <c r="J27" s="152">
        <v>22</v>
      </c>
      <c r="K27" s="152">
        <v>-42</v>
      </c>
      <c r="L27" s="196" t="s">
        <v>553</v>
      </c>
      <c r="M27" s="196" t="s">
        <v>58</v>
      </c>
      <c r="N27" s="167">
        <v>8.6999999999999993</v>
      </c>
      <c r="O27" s="170">
        <v>709</v>
      </c>
      <c r="P27" s="167">
        <v>0</v>
      </c>
      <c r="Q27" s="167">
        <v>0</v>
      </c>
      <c r="R27" s="197" t="e">
        <v>#N/A</v>
      </c>
      <c r="S27" s="167">
        <v>1.4</v>
      </c>
      <c r="T27" s="167">
        <v>0</v>
      </c>
      <c r="U27" s="167">
        <v>1.9E-2</v>
      </c>
      <c r="V27" s="167">
        <v>0</v>
      </c>
      <c r="W27" s="167">
        <v>0.25</v>
      </c>
      <c r="X27" s="167">
        <v>51700</v>
      </c>
      <c r="Y27" s="167">
        <v>0</v>
      </c>
      <c r="Z27" s="167" t="e">
        <v>#N/A</v>
      </c>
      <c r="AA27" s="167">
        <v>1</v>
      </c>
      <c r="AB27" s="167" t="e">
        <v>#N/A</v>
      </c>
      <c r="AC27" s="167">
        <v>389000</v>
      </c>
      <c r="AD27" s="167">
        <v>0</v>
      </c>
      <c r="AE27" s="152">
        <v>0.3</v>
      </c>
      <c r="AF27" s="152">
        <v>0</v>
      </c>
      <c r="AG27" s="152">
        <v>0</v>
      </c>
      <c r="AH27" s="152">
        <v>0</v>
      </c>
      <c r="AI27" s="167">
        <v>0</v>
      </c>
      <c r="AJ27" s="167" t="e">
        <v>#N/A</v>
      </c>
      <c r="AK27" s="167">
        <v>1</v>
      </c>
      <c r="AL27" s="167">
        <v>1</v>
      </c>
      <c r="AM27" s="167">
        <v>1</v>
      </c>
      <c r="AN27" s="167">
        <v>1</v>
      </c>
      <c r="AO27" s="167">
        <v>1</v>
      </c>
      <c r="AP27" s="167">
        <v>1</v>
      </c>
      <c r="AQ27" s="152">
        <v>0</v>
      </c>
      <c r="AR27" s="152">
        <v>0</v>
      </c>
      <c r="AS27" s="152">
        <v>1</v>
      </c>
      <c r="AT27" s="152" t="s">
        <v>543</v>
      </c>
      <c r="AU27" s="152">
        <v>9.1999999999999993</v>
      </c>
      <c r="AV27" s="152">
        <v>0.41</v>
      </c>
      <c r="AW27" s="174">
        <v>14.5</v>
      </c>
      <c r="AX27" s="174" t="s">
        <v>540</v>
      </c>
      <c r="AY27" s="174">
        <v>23</v>
      </c>
      <c r="AZ27" s="174">
        <v>19.899999999999999</v>
      </c>
      <c r="BA27" s="174"/>
      <c r="BB27" s="174">
        <v>22</v>
      </c>
      <c r="BC27" s="174"/>
      <c r="BD27" s="174"/>
      <c r="BE27" s="174">
        <v>12.6</v>
      </c>
      <c r="BF27" s="174">
        <v>14.9</v>
      </c>
      <c r="BG27" s="174">
        <v>16.5</v>
      </c>
      <c r="BH27" s="174">
        <v>21.7</v>
      </c>
      <c r="BI27" s="174">
        <v>26.7</v>
      </c>
      <c r="BJ27" s="174">
        <v>7.2300000000000003E-2</v>
      </c>
      <c r="BK27" s="174">
        <v>8.6800000000000002E-2</v>
      </c>
      <c r="BL27" s="174">
        <v>9.6600000000000005E-2</v>
      </c>
      <c r="BM27" s="174">
        <v>0.1275</v>
      </c>
      <c r="BN27" s="174">
        <v>0.1633</v>
      </c>
      <c r="BO27" s="174"/>
      <c r="BP27" s="174"/>
      <c r="BQ27" s="174"/>
      <c r="BR27" s="174"/>
      <c r="BS27" s="174"/>
      <c r="BT27" s="174">
        <v>78</v>
      </c>
      <c r="BU27" s="174">
        <v>29</v>
      </c>
      <c r="BV27" s="174">
        <v>31</v>
      </c>
      <c r="BW27" s="174">
        <v>35</v>
      </c>
      <c r="BX27" s="174">
        <v>39</v>
      </c>
      <c r="BY27" s="174">
        <v>46</v>
      </c>
      <c r="BZ27" s="174">
        <v>133</v>
      </c>
      <c r="CA27" s="174">
        <v>142</v>
      </c>
      <c r="CB27" s="174">
        <v>225</v>
      </c>
      <c r="CC27" s="174">
        <v>309</v>
      </c>
      <c r="CD27" s="174">
        <v>498</v>
      </c>
      <c r="CE27" s="174">
        <v>27.8</v>
      </c>
      <c r="CF27" s="174">
        <v>6.6</v>
      </c>
      <c r="CG27" s="174">
        <v>1.3</v>
      </c>
      <c r="CH27" s="175">
        <v>9.5475430613206473E-5</v>
      </c>
    </row>
    <row r="28" spans="1:86" x14ac:dyDescent="0.3">
      <c r="A28" s="192"/>
      <c r="B28" s="192"/>
      <c r="D28" s="153"/>
      <c r="F28" s="152" t="s">
        <v>556</v>
      </c>
      <c r="I28" s="152" t="s">
        <v>557</v>
      </c>
      <c r="J28" s="152">
        <v>23</v>
      </c>
      <c r="K28" s="152">
        <v>-45</v>
      </c>
      <c r="L28" s="196" t="s">
        <v>553</v>
      </c>
      <c r="M28" s="196" t="s">
        <v>58</v>
      </c>
      <c r="N28" s="167">
        <v>8.6999999999999993</v>
      </c>
      <c r="O28" s="170">
        <v>1200</v>
      </c>
      <c r="P28" s="167">
        <v>0</v>
      </c>
      <c r="Q28" s="167">
        <v>0</v>
      </c>
      <c r="R28" s="197" t="e">
        <v>#N/A</v>
      </c>
      <c r="S28" s="167">
        <v>1.8</v>
      </c>
      <c r="T28" s="167">
        <v>0</v>
      </c>
      <c r="U28" s="167">
        <v>1.9E-2</v>
      </c>
      <c r="V28" s="167">
        <v>0</v>
      </c>
      <c r="W28" s="167">
        <v>0.25</v>
      </c>
      <c r="X28" s="167">
        <v>102300</v>
      </c>
      <c r="Y28" s="167">
        <v>0</v>
      </c>
      <c r="Z28" s="167" t="e">
        <v>#N/A</v>
      </c>
      <c r="AA28" s="167">
        <v>1</v>
      </c>
      <c r="AB28" s="167" t="e">
        <v>#N/A</v>
      </c>
      <c r="AC28" s="167">
        <v>762000</v>
      </c>
      <c r="AD28" s="167">
        <v>0</v>
      </c>
      <c r="AE28" s="152">
        <v>0.3</v>
      </c>
      <c r="AF28" s="152">
        <v>0</v>
      </c>
      <c r="AG28" s="152">
        <v>0</v>
      </c>
      <c r="AH28" s="152">
        <v>0</v>
      </c>
      <c r="AI28" s="167">
        <v>0</v>
      </c>
      <c r="AJ28" s="167" t="e">
        <v>#N/A</v>
      </c>
      <c r="AK28" s="167">
        <v>1</v>
      </c>
      <c r="AL28" s="167">
        <v>1</v>
      </c>
      <c r="AM28" s="167">
        <v>1</v>
      </c>
      <c r="AN28" s="167">
        <v>1</v>
      </c>
      <c r="AO28" s="167">
        <v>1</v>
      </c>
      <c r="AP28" s="167">
        <v>1</v>
      </c>
      <c r="AQ28" s="152">
        <v>0</v>
      </c>
      <c r="AR28" s="152">
        <v>0</v>
      </c>
      <c r="AS28" s="152">
        <v>1</v>
      </c>
      <c r="AT28" s="178" t="s">
        <v>543</v>
      </c>
      <c r="AU28" s="152">
        <v>9.1999999999999993</v>
      </c>
      <c r="AV28" s="152">
        <v>0.41</v>
      </c>
      <c r="AW28" s="188">
        <v>14.5</v>
      </c>
      <c r="AX28" s="188" t="s">
        <v>557</v>
      </c>
      <c r="AY28" s="188">
        <v>36</v>
      </c>
      <c r="AZ28" s="188">
        <v>18.899999999999999</v>
      </c>
      <c r="BA28" s="188">
        <v>57</v>
      </c>
      <c r="BB28" s="188">
        <v>74</v>
      </c>
      <c r="BC28" s="188">
        <v>3</v>
      </c>
      <c r="BD28" s="188">
        <v>1.9</v>
      </c>
      <c r="BE28" s="188">
        <v>2.8</v>
      </c>
      <c r="BF28" s="188">
        <v>3.3</v>
      </c>
      <c r="BG28" s="188">
        <v>3.7</v>
      </c>
      <c r="BH28" s="188">
        <v>4.0999999999999996</v>
      </c>
      <c r="BI28" s="188">
        <v>4.7</v>
      </c>
      <c r="BJ28" s="188">
        <v>5.96E-2</v>
      </c>
      <c r="BK28" s="188">
        <v>7.1199999999999999E-2</v>
      </c>
      <c r="BL28" s="188">
        <v>7.9000000000000001E-2</v>
      </c>
      <c r="BM28" s="188">
        <v>8.6900000000000005E-2</v>
      </c>
      <c r="BN28" s="188">
        <v>9.8500000000000004E-2</v>
      </c>
      <c r="BO28" s="188">
        <v>101</v>
      </c>
      <c r="BP28" s="188">
        <v>159</v>
      </c>
      <c r="BQ28" s="188">
        <v>190</v>
      </c>
      <c r="BR28" s="188">
        <v>222</v>
      </c>
      <c r="BS28" s="188">
        <v>327</v>
      </c>
      <c r="BT28" s="188"/>
      <c r="BU28" s="188"/>
      <c r="BV28" s="188"/>
      <c r="BW28" s="188"/>
      <c r="BX28" s="188"/>
      <c r="BY28" s="188"/>
      <c r="BZ28" s="188">
        <v>61</v>
      </c>
      <c r="CA28" s="188">
        <v>61</v>
      </c>
      <c r="CB28" s="188">
        <v>78</v>
      </c>
      <c r="CC28" s="188">
        <v>102</v>
      </c>
      <c r="CD28" s="188">
        <v>162</v>
      </c>
      <c r="CE28" s="188">
        <v>15.6</v>
      </c>
      <c r="CF28" s="188">
        <v>7</v>
      </c>
      <c r="CG28" s="188">
        <v>1.2</v>
      </c>
      <c r="CH28" s="189">
        <v>3.394639827889471E-10</v>
      </c>
    </row>
    <row r="29" spans="1:86" x14ac:dyDescent="0.3">
      <c r="A29" s="192"/>
      <c r="B29" s="192"/>
      <c r="D29" s="153"/>
      <c r="F29" s="152" t="s">
        <v>558</v>
      </c>
      <c r="L29" s="196"/>
      <c r="M29" s="196" t="s">
        <v>395</v>
      </c>
      <c r="N29" s="167"/>
      <c r="O29" s="170"/>
      <c r="P29" s="167"/>
      <c r="Q29" s="167"/>
      <c r="R29" s="197"/>
      <c r="S29" s="167"/>
      <c r="T29" s="167"/>
      <c r="U29" s="167"/>
      <c r="V29" s="167"/>
      <c r="W29" s="167"/>
      <c r="X29" s="167"/>
      <c r="Y29" s="167"/>
      <c r="Z29" s="167"/>
      <c r="AA29" s="167"/>
      <c r="AB29" s="167"/>
      <c r="AC29" s="167"/>
      <c r="AD29" s="167"/>
      <c r="AI29" s="167"/>
      <c r="AJ29" s="167"/>
      <c r="AK29" s="167"/>
      <c r="AL29" s="167"/>
      <c r="AM29" s="167"/>
      <c r="AN29" s="167"/>
      <c r="AO29" s="167"/>
      <c r="AP29" s="167"/>
      <c r="AW29" s="188">
        <v>27</v>
      </c>
      <c r="AX29" s="188" t="s">
        <v>557</v>
      </c>
      <c r="AY29" s="188">
        <v>36</v>
      </c>
      <c r="AZ29" s="188">
        <v>18.899999999999999</v>
      </c>
      <c r="BA29" s="188">
        <v>57</v>
      </c>
      <c r="BB29" s="188">
        <v>74</v>
      </c>
      <c r="BC29" s="188">
        <v>3</v>
      </c>
      <c r="BD29" s="188">
        <v>1.9</v>
      </c>
      <c r="BE29" s="188">
        <v>4.2</v>
      </c>
      <c r="BF29" s="188">
        <v>4.7</v>
      </c>
      <c r="BG29" s="188">
        <v>5.0999999999999996</v>
      </c>
      <c r="BH29" s="188">
        <v>5.5</v>
      </c>
      <c r="BI29" s="188">
        <v>6.1</v>
      </c>
      <c r="BJ29" s="188">
        <v>9.5699999999999993E-2</v>
      </c>
      <c r="BK29" s="188">
        <v>0.1074</v>
      </c>
      <c r="BL29" s="188">
        <v>0.1152</v>
      </c>
      <c r="BM29" s="188">
        <v>0.123</v>
      </c>
      <c r="BN29" s="188">
        <v>0.13469999999999999</v>
      </c>
      <c r="BO29" s="188">
        <v>166</v>
      </c>
      <c r="BP29" s="188">
        <v>224</v>
      </c>
      <c r="BQ29" s="188">
        <v>255</v>
      </c>
      <c r="BR29" s="188">
        <v>287</v>
      </c>
      <c r="BS29" s="188">
        <v>392</v>
      </c>
      <c r="BT29" s="188"/>
      <c r="BU29" s="188"/>
      <c r="BV29" s="188"/>
      <c r="BW29" s="188"/>
      <c r="BX29" s="188"/>
      <c r="BY29" s="188"/>
      <c r="BZ29" s="188">
        <v>84</v>
      </c>
      <c r="CA29" s="188">
        <v>89</v>
      </c>
      <c r="CB29" s="188">
        <v>113</v>
      </c>
      <c r="CC29" s="188">
        <v>137</v>
      </c>
      <c r="CD29" s="188">
        <v>196</v>
      </c>
      <c r="CE29" s="188">
        <v>15.6</v>
      </c>
      <c r="CF29" s="188">
        <v>7</v>
      </c>
      <c r="CG29" s="188">
        <v>1.2</v>
      </c>
      <c r="CH29" s="189">
        <v>3.394639827889471E-10</v>
      </c>
    </row>
    <row r="30" spans="1:86" x14ac:dyDescent="0.3">
      <c r="A30" s="192"/>
      <c r="B30" s="192"/>
      <c r="D30" s="153"/>
      <c r="F30" s="152" t="s">
        <v>558</v>
      </c>
      <c r="L30" s="196"/>
      <c r="M30" s="196" t="s">
        <v>395</v>
      </c>
      <c r="N30" s="167"/>
      <c r="O30" s="170"/>
      <c r="P30" s="167"/>
      <c r="Q30" s="167"/>
      <c r="R30" s="197"/>
      <c r="S30" s="167"/>
      <c r="T30" s="167"/>
      <c r="U30" s="167"/>
      <c r="V30" s="167"/>
      <c r="W30" s="167"/>
      <c r="X30" s="167"/>
      <c r="Y30" s="167"/>
      <c r="Z30" s="167"/>
      <c r="AA30" s="167"/>
      <c r="AB30" s="167"/>
      <c r="AC30" s="167"/>
      <c r="AD30" s="167"/>
      <c r="AI30" s="167"/>
      <c r="AJ30" s="167"/>
      <c r="AK30" s="167"/>
      <c r="AL30" s="167"/>
      <c r="AM30" s="167"/>
      <c r="AN30" s="167"/>
      <c r="AO30" s="167"/>
      <c r="AP30" s="167"/>
      <c r="AW30" s="188">
        <v>27</v>
      </c>
      <c r="AX30" s="188" t="s">
        <v>557</v>
      </c>
      <c r="AY30" s="188">
        <v>36</v>
      </c>
      <c r="AZ30" s="188">
        <v>18.899999999999999</v>
      </c>
      <c r="BA30" s="188">
        <v>57</v>
      </c>
      <c r="BB30" s="188">
        <v>74</v>
      </c>
      <c r="BC30" s="188">
        <v>3</v>
      </c>
      <c r="BD30" s="188">
        <v>1.9</v>
      </c>
      <c r="BE30" s="188">
        <v>4.0999999999999996</v>
      </c>
      <c r="BF30" s="188">
        <v>4.9000000000000004</v>
      </c>
      <c r="BG30" s="188">
        <v>5.4</v>
      </c>
      <c r="BH30" s="188">
        <v>6</v>
      </c>
      <c r="BI30" s="188">
        <v>6.7</v>
      </c>
      <c r="BJ30" s="188">
        <v>9.2299999999999993E-2</v>
      </c>
      <c r="BK30" s="188">
        <v>0.1086</v>
      </c>
      <c r="BL30" s="188">
        <v>0.1196</v>
      </c>
      <c r="BM30" s="188">
        <v>0.1305</v>
      </c>
      <c r="BN30" s="188">
        <v>0.1474</v>
      </c>
      <c r="BO30" s="188">
        <v>144</v>
      </c>
      <c r="BP30" s="188">
        <v>235</v>
      </c>
      <c r="BQ30" s="188">
        <v>271</v>
      </c>
      <c r="BR30" s="188">
        <v>307</v>
      </c>
      <c r="BS30" s="188">
        <v>425</v>
      </c>
      <c r="BT30" s="188"/>
      <c r="BU30" s="188"/>
      <c r="BV30" s="188"/>
      <c r="BW30" s="188"/>
      <c r="BX30" s="188"/>
      <c r="BY30" s="188"/>
      <c r="BZ30" s="188">
        <v>84</v>
      </c>
      <c r="CA30" s="188">
        <v>84</v>
      </c>
      <c r="CB30" s="188">
        <v>120</v>
      </c>
      <c r="CC30" s="188">
        <v>155</v>
      </c>
      <c r="CD30" s="188">
        <v>243</v>
      </c>
      <c r="CE30" s="188">
        <v>22.8</v>
      </c>
      <c r="CF30" s="188">
        <v>7.2</v>
      </c>
      <c r="CG30" s="188">
        <v>1.2</v>
      </c>
      <c r="CH30" s="189">
        <v>3.4329349955242621E-10</v>
      </c>
    </row>
    <row r="31" spans="1:86" x14ac:dyDescent="0.3">
      <c r="A31" s="192"/>
      <c r="B31" s="192"/>
      <c r="D31" s="153"/>
      <c r="F31" s="152" t="s">
        <v>559</v>
      </c>
      <c r="L31" s="196"/>
      <c r="M31" s="196" t="s">
        <v>395</v>
      </c>
      <c r="N31" s="167"/>
      <c r="O31" s="170"/>
      <c r="P31" s="167"/>
      <c r="Q31" s="167"/>
      <c r="R31" s="197"/>
      <c r="S31" s="167"/>
      <c r="T31" s="167"/>
      <c r="U31" s="167"/>
      <c r="V31" s="167"/>
      <c r="W31" s="167"/>
      <c r="X31" s="167"/>
      <c r="Y31" s="167"/>
      <c r="Z31" s="167"/>
      <c r="AA31" s="167"/>
      <c r="AB31" s="167"/>
      <c r="AC31" s="167"/>
      <c r="AD31" s="167"/>
      <c r="AI31" s="167"/>
      <c r="AJ31" s="167"/>
      <c r="AK31" s="167"/>
      <c r="AL31" s="167"/>
      <c r="AM31" s="167"/>
      <c r="AN31" s="167"/>
      <c r="AO31" s="167"/>
      <c r="AP31" s="167"/>
      <c r="AW31" s="188">
        <v>32</v>
      </c>
      <c r="AX31" s="188" t="s">
        <v>557</v>
      </c>
      <c r="AY31" s="188">
        <v>36</v>
      </c>
      <c r="AZ31" s="188">
        <v>18.899999999999999</v>
      </c>
      <c r="BA31" s="188">
        <v>57</v>
      </c>
      <c r="BB31" s="188">
        <v>74</v>
      </c>
      <c r="BC31" s="188">
        <v>3</v>
      </c>
      <c r="BD31" s="188">
        <v>1.9</v>
      </c>
      <c r="BE31" s="188">
        <v>5.8</v>
      </c>
      <c r="BF31" s="188">
        <v>6.6</v>
      </c>
      <c r="BG31" s="188">
        <v>7.1</v>
      </c>
      <c r="BH31" s="188">
        <v>7.7</v>
      </c>
      <c r="BI31" s="188">
        <v>8.4</v>
      </c>
      <c r="BJ31" s="188">
        <v>0.12570000000000001</v>
      </c>
      <c r="BK31" s="188">
        <v>0.14199999999999999</v>
      </c>
      <c r="BL31" s="188">
        <v>0.153</v>
      </c>
      <c r="BM31" s="188">
        <v>0.16400000000000001</v>
      </c>
      <c r="BN31" s="188">
        <v>0.18079999999999999</v>
      </c>
      <c r="BO31" s="188">
        <v>235</v>
      </c>
      <c r="BP31" s="188">
        <v>326</v>
      </c>
      <c r="BQ31" s="188">
        <v>361</v>
      </c>
      <c r="BR31" s="188">
        <v>398</v>
      </c>
      <c r="BS31" s="188">
        <v>515</v>
      </c>
      <c r="BT31" s="188"/>
      <c r="BU31" s="188"/>
      <c r="BV31" s="188"/>
      <c r="BW31" s="188"/>
      <c r="BX31" s="188"/>
      <c r="BY31" s="188"/>
      <c r="BZ31" s="188">
        <v>107</v>
      </c>
      <c r="CA31" s="188">
        <v>129</v>
      </c>
      <c r="CB31" s="188">
        <v>165</v>
      </c>
      <c r="CC31" s="188">
        <v>200</v>
      </c>
      <c r="CD31" s="188">
        <v>288</v>
      </c>
      <c r="CE31" s="188">
        <v>22.8</v>
      </c>
      <c r="CF31" s="188">
        <v>7.2</v>
      </c>
      <c r="CG31" s="188">
        <v>1.2</v>
      </c>
      <c r="CH31" s="189">
        <v>3.4329349955242621E-10</v>
      </c>
    </row>
    <row r="32" spans="1:86" x14ac:dyDescent="0.3">
      <c r="A32" s="192"/>
      <c r="B32" s="192"/>
      <c r="D32" s="153"/>
      <c r="F32" s="152" t="s">
        <v>560</v>
      </c>
      <c r="L32" s="196"/>
      <c r="M32" s="196" t="s">
        <v>395</v>
      </c>
      <c r="N32" s="167"/>
      <c r="O32" s="170"/>
      <c r="P32" s="167"/>
      <c r="Q32" s="167"/>
      <c r="R32" s="19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I32" s="167"/>
      <c r="AJ32" s="167"/>
      <c r="AK32" s="167"/>
      <c r="AL32" s="167"/>
      <c r="AM32" s="167"/>
      <c r="AN32" s="167"/>
      <c r="AO32" s="167"/>
      <c r="AP32" s="167"/>
      <c r="AW32" s="174">
        <v>32</v>
      </c>
      <c r="AX32" s="174" t="s">
        <v>557</v>
      </c>
      <c r="AY32" s="174">
        <v>34</v>
      </c>
      <c r="AZ32" s="174">
        <v>18.5</v>
      </c>
      <c r="BA32" s="174">
        <v>39</v>
      </c>
      <c r="BB32" s="174">
        <v>66</v>
      </c>
      <c r="BC32" s="174">
        <v>3</v>
      </c>
      <c r="BD32" s="174">
        <v>1.9</v>
      </c>
      <c r="BE32" s="174">
        <v>8.5</v>
      </c>
      <c r="BF32" s="174">
        <v>9.6</v>
      </c>
      <c r="BG32" s="174">
        <v>10.3</v>
      </c>
      <c r="BH32" s="174">
        <v>11.1</v>
      </c>
      <c r="BI32" s="174">
        <v>12.4</v>
      </c>
      <c r="BJ32" s="174">
        <v>0.18099999999999999</v>
      </c>
      <c r="BK32" s="174">
        <v>0.2044</v>
      </c>
      <c r="BL32" s="174">
        <v>0.22009999999999999</v>
      </c>
      <c r="BM32" s="174">
        <v>0.23580000000000001</v>
      </c>
      <c r="BN32" s="174">
        <v>0.26440000000000002</v>
      </c>
      <c r="BO32" s="174">
        <v>400</v>
      </c>
      <c r="BP32" s="174">
        <v>506</v>
      </c>
      <c r="BQ32" s="174">
        <v>540</v>
      </c>
      <c r="BR32" s="174">
        <v>579</v>
      </c>
      <c r="BS32" s="174">
        <v>719</v>
      </c>
      <c r="BT32" s="174"/>
      <c r="BU32" s="174"/>
      <c r="BV32" s="174"/>
      <c r="BW32" s="174"/>
      <c r="BX32" s="174"/>
      <c r="BY32" s="174"/>
      <c r="BZ32" s="174">
        <v>167</v>
      </c>
      <c r="CA32" s="174">
        <v>192</v>
      </c>
      <c r="CB32" s="174">
        <v>254</v>
      </c>
      <c r="CC32" s="174">
        <v>316</v>
      </c>
      <c r="CD32" s="174">
        <v>459</v>
      </c>
      <c r="CE32" s="174">
        <v>35.299999999999997</v>
      </c>
      <c r="CF32" s="174">
        <v>10.1</v>
      </c>
      <c r="CG32" s="174">
        <v>1.3</v>
      </c>
      <c r="CH32" s="175">
        <v>7.1703452642004872E-10</v>
      </c>
    </row>
    <row r="33" spans="1:86" x14ac:dyDescent="0.3">
      <c r="A33" s="192"/>
      <c r="B33" s="192"/>
      <c r="D33" s="153"/>
      <c r="F33" s="152" t="s">
        <v>561</v>
      </c>
      <c r="L33" s="196"/>
      <c r="M33" s="196" t="s">
        <v>395</v>
      </c>
      <c r="N33" s="167"/>
      <c r="O33" s="170"/>
      <c r="P33" s="167"/>
      <c r="Q33" s="167"/>
      <c r="R33" s="197"/>
      <c r="S33" s="167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I33" s="167"/>
      <c r="AJ33" s="167"/>
      <c r="AK33" s="167"/>
      <c r="AL33" s="167"/>
      <c r="AM33" s="167"/>
      <c r="AN33" s="167"/>
      <c r="AO33" s="167"/>
      <c r="AP33" s="167"/>
      <c r="AW33" s="174">
        <v>33.299999999999997</v>
      </c>
      <c r="AX33" s="174" t="s">
        <v>557</v>
      </c>
      <c r="AY33" s="174">
        <v>34</v>
      </c>
      <c r="AZ33" s="174">
        <v>18.5</v>
      </c>
      <c r="BA33" s="174">
        <v>39</v>
      </c>
      <c r="BB33" s="174">
        <v>66</v>
      </c>
      <c r="BC33" s="174">
        <v>3</v>
      </c>
      <c r="BD33" s="174">
        <v>1.9</v>
      </c>
      <c r="BE33" s="174">
        <v>5.8</v>
      </c>
      <c r="BF33" s="174">
        <v>6.8</v>
      </c>
      <c r="BG33" s="174">
        <v>7.6</v>
      </c>
      <c r="BH33" s="174">
        <v>8.4</v>
      </c>
      <c r="BI33" s="174">
        <v>9.6999999999999993</v>
      </c>
      <c r="BJ33" s="174">
        <v>0.1318</v>
      </c>
      <c r="BK33" s="174">
        <v>0.15529999999999999</v>
      </c>
      <c r="BL33" s="174">
        <v>0.17100000000000001</v>
      </c>
      <c r="BM33" s="174">
        <v>0.18659999999999999</v>
      </c>
      <c r="BN33" s="174">
        <v>0.21529999999999999</v>
      </c>
      <c r="BO33" s="174">
        <v>246</v>
      </c>
      <c r="BP33" s="174">
        <v>352</v>
      </c>
      <c r="BQ33" s="174">
        <v>386</v>
      </c>
      <c r="BR33" s="174">
        <v>425</v>
      </c>
      <c r="BS33" s="174">
        <v>565</v>
      </c>
      <c r="BT33" s="174"/>
      <c r="BU33" s="174"/>
      <c r="BV33" s="174"/>
      <c r="BW33" s="174"/>
      <c r="BX33" s="174"/>
      <c r="BY33" s="174"/>
      <c r="BZ33" s="174">
        <v>98</v>
      </c>
      <c r="CA33" s="174">
        <v>116</v>
      </c>
      <c r="CB33" s="174">
        <v>178</v>
      </c>
      <c r="CC33" s="174">
        <v>240</v>
      </c>
      <c r="CD33" s="174">
        <v>383</v>
      </c>
      <c r="CE33" s="174">
        <v>35.299999999999997</v>
      </c>
      <c r="CF33" s="174">
        <v>10.1</v>
      </c>
      <c r="CG33" s="174">
        <v>1.3</v>
      </c>
      <c r="CH33" s="175">
        <v>7.1703452642004872E-10</v>
      </c>
    </row>
    <row r="34" spans="1:86" x14ac:dyDescent="0.3">
      <c r="F34" s="152" t="s">
        <v>562</v>
      </c>
      <c r="L34" s="196"/>
      <c r="M34" s="196" t="s">
        <v>395</v>
      </c>
      <c r="N34" s="167"/>
      <c r="O34" s="170"/>
      <c r="P34" s="167"/>
      <c r="Q34" s="167"/>
      <c r="R34" s="197"/>
      <c r="S34" s="167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I34" s="167"/>
      <c r="AJ34" s="167"/>
      <c r="AK34" s="167"/>
      <c r="AL34" s="167"/>
      <c r="AM34" s="167"/>
      <c r="AN34" s="167"/>
      <c r="AO34" s="167"/>
      <c r="AP34" s="167"/>
      <c r="AW34" s="174">
        <v>33.299999999999997</v>
      </c>
      <c r="AX34" s="174" t="s">
        <v>557</v>
      </c>
      <c r="AY34" s="174">
        <v>34</v>
      </c>
      <c r="AZ34" s="174">
        <v>18.5</v>
      </c>
      <c r="BA34" s="174">
        <v>39</v>
      </c>
      <c r="BB34" s="174">
        <v>66</v>
      </c>
      <c r="BC34" s="174">
        <v>3</v>
      </c>
      <c r="BD34" s="174">
        <v>1.9</v>
      </c>
      <c r="BE34" s="174">
        <v>5.6</v>
      </c>
      <c r="BF34" s="174">
        <v>6.5</v>
      </c>
      <c r="BG34" s="174">
        <v>7.2</v>
      </c>
      <c r="BH34" s="174">
        <v>7.8</v>
      </c>
      <c r="BI34" s="174">
        <v>8.8000000000000007</v>
      </c>
      <c r="BJ34" s="174">
        <v>0.1171</v>
      </c>
      <c r="BK34" s="174">
        <v>0.13919999999999999</v>
      </c>
      <c r="BL34" s="174">
        <v>0.154</v>
      </c>
      <c r="BM34" s="174">
        <v>0.16880000000000001</v>
      </c>
      <c r="BN34" s="174">
        <v>0.19089999999999999</v>
      </c>
      <c r="BO34" s="174">
        <v>218</v>
      </c>
      <c r="BP34" s="174">
        <v>327</v>
      </c>
      <c r="BQ34" s="174">
        <v>362</v>
      </c>
      <c r="BR34" s="174">
        <v>400</v>
      </c>
      <c r="BS34" s="174">
        <v>517</v>
      </c>
      <c r="BT34" s="174"/>
      <c r="BU34" s="174"/>
      <c r="BV34" s="174"/>
      <c r="BW34" s="174"/>
      <c r="BX34" s="174"/>
      <c r="BY34" s="174"/>
      <c r="BZ34" s="174">
        <v>95</v>
      </c>
      <c r="CA34" s="174">
        <v>114</v>
      </c>
      <c r="CB34" s="174">
        <v>166</v>
      </c>
      <c r="CC34" s="174">
        <v>219</v>
      </c>
      <c r="CD34" s="174">
        <v>338</v>
      </c>
      <c r="CE34" s="174">
        <v>28.8</v>
      </c>
      <c r="CF34" s="174">
        <v>8</v>
      </c>
      <c r="CG34" s="174">
        <v>1.2</v>
      </c>
      <c r="CH34" s="175">
        <v>2.689115497112654E-10</v>
      </c>
    </row>
    <row r="35" spans="1:86" x14ac:dyDescent="0.3">
      <c r="F35" s="152" t="s">
        <v>563</v>
      </c>
      <c r="L35" s="196"/>
      <c r="M35" s="196" t="s">
        <v>395</v>
      </c>
      <c r="N35" s="167"/>
      <c r="O35" s="170"/>
      <c r="P35" s="167"/>
      <c r="Q35" s="167"/>
      <c r="R35" s="197"/>
      <c r="S35" s="167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I35" s="167"/>
      <c r="AJ35" s="167"/>
      <c r="AK35" s="167"/>
      <c r="AL35" s="167"/>
      <c r="AM35" s="167"/>
      <c r="AN35" s="167"/>
      <c r="AO35" s="167"/>
      <c r="AP35" s="167"/>
      <c r="AW35" s="174">
        <v>34</v>
      </c>
      <c r="AX35" s="174" t="s">
        <v>557</v>
      </c>
      <c r="AY35" s="174">
        <v>34</v>
      </c>
      <c r="AZ35" s="174">
        <v>18.5</v>
      </c>
      <c r="BA35" s="174">
        <v>39</v>
      </c>
      <c r="BB35" s="174">
        <v>66</v>
      </c>
      <c r="BC35" s="174">
        <v>3</v>
      </c>
      <c r="BD35" s="174">
        <v>1.9</v>
      </c>
      <c r="BE35" s="174">
        <v>6.8</v>
      </c>
      <c r="BF35" s="174">
        <v>7.7</v>
      </c>
      <c r="BG35" s="174">
        <v>8.4</v>
      </c>
      <c r="BH35" s="174">
        <v>9.1</v>
      </c>
      <c r="BI35" s="174">
        <v>10</v>
      </c>
      <c r="BJ35" s="174">
        <v>0.17699999999999999</v>
      </c>
      <c r="BK35" s="174">
        <v>0.19919999999999999</v>
      </c>
      <c r="BL35" s="174">
        <v>0.214</v>
      </c>
      <c r="BM35" s="174">
        <v>0.2288</v>
      </c>
      <c r="BN35" s="174">
        <v>0.25090000000000001</v>
      </c>
      <c r="BO35" s="174">
        <v>286</v>
      </c>
      <c r="BP35" s="174">
        <v>396</v>
      </c>
      <c r="BQ35" s="174">
        <v>431</v>
      </c>
      <c r="BR35" s="174">
        <v>468</v>
      </c>
      <c r="BS35" s="174">
        <v>586</v>
      </c>
      <c r="BT35" s="174"/>
      <c r="BU35" s="174"/>
      <c r="BV35" s="174"/>
      <c r="BW35" s="174"/>
      <c r="BX35" s="174"/>
      <c r="BY35" s="174"/>
      <c r="BZ35" s="174">
        <v>126</v>
      </c>
      <c r="CA35" s="174">
        <v>148</v>
      </c>
      <c r="CB35" s="174">
        <v>200</v>
      </c>
      <c r="CC35" s="174">
        <v>253</v>
      </c>
      <c r="CD35" s="174">
        <v>372</v>
      </c>
      <c r="CE35" s="174">
        <v>28.8</v>
      </c>
      <c r="CF35" s="174">
        <v>8</v>
      </c>
      <c r="CG35" s="174">
        <v>1.2</v>
      </c>
      <c r="CH35" s="175">
        <v>2.689115497112654E-10</v>
      </c>
    </row>
    <row r="36" spans="1:86" x14ac:dyDescent="0.3">
      <c r="F36" s="152" t="s">
        <v>564</v>
      </c>
      <c r="L36" s="196"/>
      <c r="M36" s="196" t="s">
        <v>395</v>
      </c>
      <c r="N36" s="167"/>
      <c r="O36" s="170"/>
      <c r="P36" s="167"/>
      <c r="Q36" s="167"/>
      <c r="R36" s="19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I36" s="167"/>
      <c r="AJ36" s="167"/>
      <c r="AK36" s="167"/>
      <c r="AL36" s="167"/>
      <c r="AM36" s="167"/>
      <c r="AN36" s="167"/>
      <c r="AO36" s="167"/>
      <c r="AP36" s="167"/>
      <c r="AW36" s="174">
        <v>34</v>
      </c>
      <c r="AX36" s="174" t="s">
        <v>557</v>
      </c>
      <c r="AY36" s="174">
        <v>34</v>
      </c>
      <c r="AZ36" s="174">
        <v>18.5</v>
      </c>
      <c r="BA36" s="174">
        <v>39</v>
      </c>
      <c r="BB36" s="174">
        <v>66</v>
      </c>
      <c r="BC36" s="174">
        <v>3</v>
      </c>
      <c r="BD36" s="174">
        <v>1.9</v>
      </c>
      <c r="BE36" s="174">
        <v>6.4</v>
      </c>
      <c r="BF36" s="174">
        <v>9</v>
      </c>
      <c r="BG36" s="174">
        <v>10.7</v>
      </c>
      <c r="BH36" s="174">
        <v>12.5</v>
      </c>
      <c r="BI36" s="174">
        <v>16.8</v>
      </c>
      <c r="BJ36" s="174">
        <v>0.1086</v>
      </c>
      <c r="BK36" s="174">
        <v>0.15210000000000001</v>
      </c>
      <c r="BL36" s="174">
        <v>0.18110000000000001</v>
      </c>
      <c r="BM36" s="174">
        <v>0.2102</v>
      </c>
      <c r="BN36" s="174">
        <v>0.28100000000000003</v>
      </c>
      <c r="BO36" s="174">
        <v>334</v>
      </c>
      <c r="BP36" s="174">
        <v>502</v>
      </c>
      <c r="BQ36" s="174">
        <v>557</v>
      </c>
      <c r="BR36" s="174">
        <v>614</v>
      </c>
      <c r="BS36" s="174">
        <v>917</v>
      </c>
      <c r="BT36" s="174"/>
      <c r="BU36" s="174"/>
      <c r="BV36" s="174"/>
      <c r="BW36" s="174"/>
      <c r="BX36" s="174"/>
      <c r="BY36" s="174"/>
      <c r="BZ36" s="174">
        <v>158</v>
      </c>
      <c r="CA36" s="174">
        <v>195</v>
      </c>
      <c r="CB36" s="174">
        <v>264</v>
      </c>
      <c r="CC36" s="174">
        <v>334</v>
      </c>
      <c r="CD36" s="174">
        <v>548</v>
      </c>
      <c r="CE36" s="174">
        <v>40.299999999999997</v>
      </c>
      <c r="CF36" s="174">
        <v>10.5</v>
      </c>
      <c r="CG36" s="174">
        <v>1.4</v>
      </c>
      <c r="CH36" s="175">
        <v>1.297690305426019E-9</v>
      </c>
    </row>
    <row r="37" spans="1:86" x14ac:dyDescent="0.3">
      <c r="F37" s="152" t="s">
        <v>553</v>
      </c>
      <c r="L37" s="196"/>
      <c r="AE37" s="167"/>
      <c r="AF37" s="167" t="s">
        <v>394</v>
      </c>
      <c r="AG37" s="167" t="s">
        <v>393</v>
      </c>
      <c r="AH37" s="167" t="s">
        <v>59</v>
      </c>
      <c r="AW37" s="174">
        <v>36.5</v>
      </c>
      <c r="AX37" s="174" t="s">
        <v>557</v>
      </c>
      <c r="AY37" s="174">
        <v>34</v>
      </c>
      <c r="AZ37" s="174">
        <v>18.5</v>
      </c>
      <c r="BA37" s="174">
        <v>39</v>
      </c>
      <c r="BB37" s="174">
        <v>66</v>
      </c>
      <c r="BC37" s="174">
        <v>3</v>
      </c>
      <c r="BD37" s="174">
        <v>1.9</v>
      </c>
      <c r="BE37" s="174">
        <v>6.4</v>
      </c>
      <c r="BF37" s="174">
        <v>9</v>
      </c>
      <c r="BG37" s="174">
        <v>10.7</v>
      </c>
      <c r="BH37" s="174">
        <v>12.5</v>
      </c>
      <c r="BI37" s="174">
        <v>16.8</v>
      </c>
      <c r="BJ37" s="174">
        <v>0.1086</v>
      </c>
      <c r="BK37" s="174">
        <v>0.15210000000000001</v>
      </c>
      <c r="BL37" s="174">
        <v>0.18110000000000001</v>
      </c>
      <c r="BM37" s="174">
        <v>0.2102</v>
      </c>
      <c r="BN37" s="174">
        <v>0.28100000000000003</v>
      </c>
      <c r="BO37" s="174">
        <v>334</v>
      </c>
      <c r="BP37" s="174">
        <v>502</v>
      </c>
      <c r="BQ37" s="174">
        <v>557</v>
      </c>
      <c r="BR37" s="174">
        <v>614</v>
      </c>
      <c r="BS37" s="174">
        <v>917</v>
      </c>
      <c r="BT37" s="174"/>
      <c r="BU37" s="174"/>
      <c r="BV37" s="174"/>
      <c r="BW37" s="174"/>
      <c r="BX37" s="174"/>
      <c r="BY37" s="174"/>
      <c r="BZ37" s="174">
        <v>158</v>
      </c>
      <c r="CA37" s="174">
        <v>195</v>
      </c>
      <c r="CB37" s="174">
        <v>264</v>
      </c>
      <c r="CC37" s="174">
        <v>334</v>
      </c>
      <c r="CD37" s="174">
        <v>548</v>
      </c>
      <c r="CE37" s="174">
        <v>40.299999999999997</v>
      </c>
      <c r="CF37" s="174">
        <v>10.5</v>
      </c>
      <c r="CG37" s="174">
        <v>1.4</v>
      </c>
      <c r="CH37" s="175">
        <v>1.297690305426019E-9</v>
      </c>
    </row>
    <row r="38" spans="1:86" x14ac:dyDescent="0.3">
      <c r="F38" s="152" t="s">
        <v>553</v>
      </c>
      <c r="L38" s="196"/>
      <c r="AE38" s="152" t="s">
        <v>392</v>
      </c>
      <c r="AF38" s="152" t="s">
        <v>391</v>
      </c>
      <c r="AG38" s="152" t="s">
        <v>390</v>
      </c>
      <c r="AR38" s="152">
        <v>0.16853899999999999</v>
      </c>
      <c r="AW38" s="188">
        <v>36.5</v>
      </c>
      <c r="AX38" s="188" t="s">
        <v>557</v>
      </c>
      <c r="AY38" s="188">
        <v>30</v>
      </c>
      <c r="AZ38" s="188">
        <v>18.7</v>
      </c>
      <c r="BA38" s="188">
        <v>55</v>
      </c>
      <c r="BB38" s="188">
        <v>79</v>
      </c>
      <c r="BC38" s="188">
        <v>3</v>
      </c>
      <c r="BD38" s="188">
        <v>1.9</v>
      </c>
      <c r="BE38" s="188">
        <v>10.8</v>
      </c>
      <c r="BF38" s="188">
        <v>13.6</v>
      </c>
      <c r="BG38" s="188">
        <v>15.5</v>
      </c>
      <c r="BH38" s="188">
        <v>17.399999999999999</v>
      </c>
      <c r="BI38" s="188">
        <v>21.1</v>
      </c>
      <c r="BJ38" s="188">
        <v>0.1507</v>
      </c>
      <c r="BK38" s="188">
        <v>0.21110000000000001</v>
      </c>
      <c r="BL38" s="188">
        <v>0.25130000000000002</v>
      </c>
      <c r="BM38" s="188">
        <v>0.29160000000000003</v>
      </c>
      <c r="BN38" s="188">
        <v>0.34210000000000002</v>
      </c>
      <c r="BO38" s="188">
        <v>574</v>
      </c>
      <c r="BP38" s="188">
        <v>739</v>
      </c>
      <c r="BQ38" s="188">
        <v>821</v>
      </c>
      <c r="BR38" s="188">
        <v>904</v>
      </c>
      <c r="BS38" s="188">
        <v>1165</v>
      </c>
      <c r="BT38" s="188"/>
      <c r="BU38" s="188"/>
      <c r="BV38" s="188"/>
      <c r="BW38" s="188"/>
      <c r="BX38" s="188"/>
      <c r="BY38" s="188"/>
      <c r="BZ38" s="188">
        <v>243</v>
      </c>
      <c r="CA38" s="188">
        <v>333</v>
      </c>
      <c r="CB38" s="188">
        <v>405</v>
      </c>
      <c r="CC38" s="188">
        <v>478</v>
      </c>
      <c r="CD38" s="188">
        <v>694</v>
      </c>
      <c r="CE38" s="188">
        <v>58.9</v>
      </c>
      <c r="CF38" s="188">
        <v>14.5</v>
      </c>
      <c r="CG38" s="188">
        <v>1.5</v>
      </c>
      <c r="CH38" s="189">
        <v>3.6842635555802979E-9</v>
      </c>
    </row>
    <row r="39" spans="1:86" x14ac:dyDescent="0.3">
      <c r="F39" s="152" t="s">
        <v>553</v>
      </c>
      <c r="L39" s="196"/>
      <c r="AE39" s="152">
        <v>15</v>
      </c>
      <c r="AF39" s="152">
        <v>48</v>
      </c>
      <c r="AG39" s="152">
        <v>1900</v>
      </c>
      <c r="AH39" s="152">
        <v>8</v>
      </c>
      <c r="AR39" s="152">
        <v>0.29729699999999998</v>
      </c>
      <c r="AW39" s="188">
        <v>39.799999999999997</v>
      </c>
      <c r="AX39" s="188" t="s">
        <v>557</v>
      </c>
      <c r="AY39" s="188">
        <v>30</v>
      </c>
      <c r="AZ39" s="188">
        <v>18.7</v>
      </c>
      <c r="BA39" s="188">
        <v>55</v>
      </c>
      <c r="BB39" s="188">
        <v>79</v>
      </c>
      <c r="BC39" s="188">
        <v>3</v>
      </c>
      <c r="BD39" s="188">
        <v>1.9</v>
      </c>
      <c r="BE39" s="188">
        <v>10.8</v>
      </c>
      <c r="BF39" s="188">
        <v>13.6</v>
      </c>
      <c r="BG39" s="188">
        <v>15.5</v>
      </c>
      <c r="BH39" s="188">
        <v>17.399999999999999</v>
      </c>
      <c r="BI39" s="188">
        <v>21.1</v>
      </c>
      <c r="BJ39" s="188">
        <v>0.1507</v>
      </c>
      <c r="BK39" s="188">
        <v>0.21110000000000001</v>
      </c>
      <c r="BL39" s="188">
        <v>0.25130000000000002</v>
      </c>
      <c r="BM39" s="188">
        <v>0.29160000000000003</v>
      </c>
      <c r="BN39" s="188">
        <v>0.34210000000000002</v>
      </c>
      <c r="BO39" s="188">
        <v>574</v>
      </c>
      <c r="BP39" s="188">
        <v>739</v>
      </c>
      <c r="BQ39" s="188">
        <v>821</v>
      </c>
      <c r="BR39" s="188">
        <v>904</v>
      </c>
      <c r="BS39" s="188">
        <v>1165</v>
      </c>
      <c r="BT39" s="188"/>
      <c r="BU39" s="188"/>
      <c r="BV39" s="188"/>
      <c r="BW39" s="188"/>
      <c r="BX39" s="188"/>
      <c r="BY39" s="188"/>
      <c r="BZ39" s="188">
        <v>243</v>
      </c>
      <c r="CA39" s="188">
        <v>333</v>
      </c>
      <c r="CB39" s="188">
        <v>405</v>
      </c>
      <c r="CC39" s="188">
        <v>478</v>
      </c>
      <c r="CD39" s="188">
        <v>694</v>
      </c>
      <c r="CE39" s="188">
        <v>58.9</v>
      </c>
      <c r="CF39" s="188">
        <v>14.5</v>
      </c>
      <c r="CG39" s="188">
        <v>1.5</v>
      </c>
      <c r="CH39" s="189">
        <v>3.6842635555802979E-9</v>
      </c>
    </row>
    <row r="40" spans="1:86" x14ac:dyDescent="0.3">
      <c r="F40" s="152" t="s">
        <v>553</v>
      </c>
      <c r="L40" s="196"/>
      <c r="AE40" s="152">
        <v>16</v>
      </c>
      <c r="AF40" s="152">
        <f>AF39+3.8</f>
        <v>51.8</v>
      </c>
      <c r="AG40" s="152">
        <f>AG39+200</f>
        <v>2100</v>
      </c>
      <c r="AH40" s="152">
        <f>AH39+0.8</f>
        <v>8.8000000000000007</v>
      </c>
      <c r="AR40" s="152">
        <v>0.43835600000000002</v>
      </c>
      <c r="AW40" s="174">
        <v>39.799999999999997</v>
      </c>
      <c r="AX40" s="174" t="s">
        <v>557</v>
      </c>
      <c r="AY40" s="174">
        <v>30</v>
      </c>
      <c r="AZ40" s="174">
        <v>18.7</v>
      </c>
      <c r="BA40" s="174">
        <v>55</v>
      </c>
      <c r="BB40" s="174">
        <v>79</v>
      </c>
      <c r="BC40" s="174">
        <v>3</v>
      </c>
      <c r="BD40" s="174">
        <v>1.9</v>
      </c>
      <c r="BE40" s="174">
        <v>8.6</v>
      </c>
      <c r="BF40" s="174">
        <v>9.8000000000000007</v>
      </c>
      <c r="BG40" s="174">
        <v>10.7</v>
      </c>
      <c r="BH40" s="174">
        <v>11.6</v>
      </c>
      <c r="BI40" s="174">
        <v>13</v>
      </c>
      <c r="BJ40" s="174">
        <v>0.16189999999999999</v>
      </c>
      <c r="BK40" s="174">
        <v>0.18679999999999999</v>
      </c>
      <c r="BL40" s="174">
        <v>0.20349999999999999</v>
      </c>
      <c r="BM40" s="174">
        <v>0.22009999999999999</v>
      </c>
      <c r="BN40" s="174">
        <v>0.2697</v>
      </c>
      <c r="BO40" s="174">
        <v>386</v>
      </c>
      <c r="BP40" s="174">
        <v>515</v>
      </c>
      <c r="BQ40" s="174">
        <v>552</v>
      </c>
      <c r="BR40" s="174">
        <v>592</v>
      </c>
      <c r="BS40" s="174">
        <v>740</v>
      </c>
      <c r="BT40" s="174"/>
      <c r="BU40" s="174"/>
      <c r="BV40" s="174"/>
      <c r="BW40" s="174"/>
      <c r="BX40" s="174"/>
      <c r="BY40" s="174"/>
      <c r="BZ40" s="174">
        <v>164</v>
      </c>
      <c r="CA40" s="174">
        <v>194</v>
      </c>
      <c r="CB40" s="174">
        <v>265</v>
      </c>
      <c r="CC40" s="174">
        <v>336</v>
      </c>
      <c r="CD40" s="174">
        <v>500</v>
      </c>
      <c r="CE40" s="174">
        <v>37.4</v>
      </c>
      <c r="CF40" s="174">
        <v>8.8000000000000007</v>
      </c>
      <c r="CG40" s="174">
        <v>1.3</v>
      </c>
      <c r="CH40" s="175">
        <v>4.6804948559431741E-10</v>
      </c>
    </row>
    <row r="41" spans="1:86" x14ac:dyDescent="0.3">
      <c r="F41" s="152" t="s">
        <v>553</v>
      </c>
      <c r="L41" s="196"/>
      <c r="AE41" s="152">
        <v>17</v>
      </c>
      <c r="AF41" s="152">
        <f>AF40+3.8</f>
        <v>55.599999999999994</v>
      </c>
      <c r="AG41" s="152">
        <f>AG40+200</f>
        <v>2300</v>
      </c>
      <c r="AH41" s="152">
        <f>AH40+0.8</f>
        <v>9.6000000000000014</v>
      </c>
      <c r="AR41" s="152">
        <v>0.29729699999999998</v>
      </c>
      <c r="AW41" s="174">
        <v>41</v>
      </c>
      <c r="AX41" s="174" t="s">
        <v>557</v>
      </c>
      <c r="AY41" s="174">
        <v>30</v>
      </c>
      <c r="AZ41" s="174">
        <v>18.7</v>
      </c>
      <c r="BA41" s="174">
        <v>55</v>
      </c>
      <c r="BB41" s="174">
        <v>79</v>
      </c>
      <c r="BC41" s="174">
        <v>3</v>
      </c>
      <c r="BD41" s="174">
        <v>1.9</v>
      </c>
      <c r="BE41" s="174">
        <v>7.6</v>
      </c>
      <c r="BF41" s="174">
        <v>8.9</v>
      </c>
      <c r="BG41" s="174">
        <v>9.6999999999999993</v>
      </c>
      <c r="BH41" s="174">
        <v>10.6</v>
      </c>
      <c r="BI41" s="174">
        <v>12</v>
      </c>
      <c r="BJ41" s="174">
        <v>0.159</v>
      </c>
      <c r="BK41" s="174">
        <v>0.18390000000000001</v>
      </c>
      <c r="BL41" s="174">
        <v>0.20050000000000001</v>
      </c>
      <c r="BM41" s="174">
        <v>0.2172</v>
      </c>
      <c r="BN41" s="174">
        <v>0.26679999999999998</v>
      </c>
      <c r="BO41" s="174">
        <v>330</v>
      </c>
      <c r="BP41" s="174">
        <v>460</v>
      </c>
      <c r="BQ41" s="174">
        <v>496</v>
      </c>
      <c r="BR41" s="174">
        <v>537</v>
      </c>
      <c r="BS41" s="174">
        <v>684</v>
      </c>
      <c r="BT41" s="174"/>
      <c r="BU41" s="174"/>
      <c r="BV41" s="174"/>
      <c r="BW41" s="174"/>
      <c r="BX41" s="174"/>
      <c r="BY41" s="174"/>
      <c r="BZ41" s="174">
        <v>136</v>
      </c>
      <c r="CA41" s="174">
        <v>166</v>
      </c>
      <c r="CB41" s="174">
        <v>237</v>
      </c>
      <c r="CC41" s="174">
        <v>308</v>
      </c>
      <c r="CD41" s="174">
        <v>472</v>
      </c>
      <c r="CE41" s="174">
        <v>37.4</v>
      </c>
      <c r="CF41" s="174">
        <v>8.8000000000000007</v>
      </c>
      <c r="CG41" s="174">
        <v>1.3</v>
      </c>
      <c r="CH41" s="175">
        <v>4.6804948559431741E-10</v>
      </c>
    </row>
    <row r="42" spans="1:86" x14ac:dyDescent="0.3">
      <c r="F42" s="152" t="s">
        <v>553</v>
      </c>
      <c r="L42" s="196"/>
      <c r="AE42" s="152">
        <v>18</v>
      </c>
      <c r="AF42" s="152">
        <f>AF41+3.8</f>
        <v>59.399999999999991</v>
      </c>
      <c r="AG42" s="152">
        <f>AG41+200</f>
        <v>2500</v>
      </c>
      <c r="AH42" s="152">
        <f>AH41+0.8</f>
        <v>10.400000000000002</v>
      </c>
      <c r="AR42" s="152">
        <v>0.324324</v>
      </c>
      <c r="AW42" s="174">
        <v>41</v>
      </c>
      <c r="AX42" s="174" t="s">
        <v>557</v>
      </c>
      <c r="AY42" s="174">
        <v>30</v>
      </c>
      <c r="AZ42" s="174">
        <v>18.7</v>
      </c>
      <c r="BA42" s="174">
        <v>55</v>
      </c>
      <c r="BB42" s="174">
        <v>79</v>
      </c>
      <c r="BC42" s="174">
        <v>3</v>
      </c>
      <c r="BD42" s="174">
        <v>1.9</v>
      </c>
      <c r="BE42" s="174">
        <v>9.6</v>
      </c>
      <c r="BF42" s="174">
        <v>10.9</v>
      </c>
      <c r="BG42" s="174">
        <v>11.8</v>
      </c>
      <c r="BH42" s="174">
        <v>12.7</v>
      </c>
      <c r="BI42" s="174">
        <v>16</v>
      </c>
      <c r="BJ42" s="174">
        <v>0.17230000000000001</v>
      </c>
      <c r="BK42" s="174">
        <v>0.1963</v>
      </c>
      <c r="BL42" s="174">
        <v>0.21240000000000001</v>
      </c>
      <c r="BM42" s="174">
        <v>0.22850000000000001</v>
      </c>
      <c r="BN42" s="174">
        <v>0.26019999999999999</v>
      </c>
      <c r="BO42" s="174">
        <v>433</v>
      </c>
      <c r="BP42" s="174">
        <v>573</v>
      </c>
      <c r="BQ42" s="174">
        <v>612</v>
      </c>
      <c r="BR42" s="174">
        <v>664</v>
      </c>
      <c r="BS42" s="174">
        <v>881</v>
      </c>
      <c r="BT42" s="174"/>
      <c r="BU42" s="174"/>
      <c r="BV42" s="174"/>
      <c r="BW42" s="174"/>
      <c r="BX42" s="174"/>
      <c r="BY42" s="174"/>
      <c r="BZ42" s="174">
        <v>187</v>
      </c>
      <c r="CA42" s="174">
        <v>224</v>
      </c>
      <c r="CB42" s="174">
        <v>296</v>
      </c>
      <c r="CC42" s="174">
        <v>370</v>
      </c>
      <c r="CD42" s="174">
        <v>554</v>
      </c>
      <c r="CE42" s="174">
        <v>49.5</v>
      </c>
      <c r="CF42" s="174">
        <v>11.3</v>
      </c>
      <c r="CG42" s="174">
        <v>1.4</v>
      </c>
      <c r="CH42" s="175">
        <v>1.5721777437081191E-9</v>
      </c>
    </row>
    <row r="43" spans="1:86" x14ac:dyDescent="0.3">
      <c r="F43" s="152" t="s">
        <v>553</v>
      </c>
      <c r="L43" s="196"/>
      <c r="AE43" s="152">
        <v>19</v>
      </c>
      <c r="AF43" s="152">
        <f>AF42+3.8</f>
        <v>63.199999999999989</v>
      </c>
      <c r="AG43" s="152">
        <f>AG42+200</f>
        <v>2700</v>
      </c>
      <c r="AH43" s="152">
        <f>AH42+0.8</f>
        <v>11.200000000000003</v>
      </c>
      <c r="AR43" s="152">
        <v>0.324324</v>
      </c>
      <c r="AW43" s="174">
        <v>42</v>
      </c>
      <c r="AX43" s="174" t="s">
        <v>557</v>
      </c>
      <c r="AY43" s="174">
        <v>30</v>
      </c>
      <c r="AZ43" s="174">
        <v>18.7</v>
      </c>
      <c r="BA43" s="174">
        <v>55</v>
      </c>
      <c r="BB43" s="174">
        <v>79</v>
      </c>
      <c r="BC43" s="174">
        <v>3</v>
      </c>
      <c r="BD43" s="174">
        <v>1.9</v>
      </c>
      <c r="BE43" s="174">
        <v>7.8</v>
      </c>
      <c r="BF43" s="174">
        <v>9.1</v>
      </c>
      <c r="BG43" s="174">
        <v>10</v>
      </c>
      <c r="BH43" s="174">
        <v>10.9</v>
      </c>
      <c r="BI43" s="174">
        <v>14.2</v>
      </c>
      <c r="BJ43" s="174">
        <v>0.1479</v>
      </c>
      <c r="BK43" s="174">
        <v>0.1719</v>
      </c>
      <c r="BL43" s="174">
        <v>0.188</v>
      </c>
      <c r="BM43" s="174">
        <v>0.20399999999999999</v>
      </c>
      <c r="BN43" s="174">
        <v>0.23580000000000001</v>
      </c>
      <c r="BO43" s="174">
        <v>332</v>
      </c>
      <c r="BP43" s="174">
        <v>472</v>
      </c>
      <c r="BQ43" s="174">
        <v>512</v>
      </c>
      <c r="BR43" s="174">
        <v>564</v>
      </c>
      <c r="BS43" s="174">
        <v>781</v>
      </c>
      <c r="BT43" s="174"/>
      <c r="BU43" s="174"/>
      <c r="BV43" s="174"/>
      <c r="BW43" s="174"/>
      <c r="BX43" s="174"/>
      <c r="BY43" s="174"/>
      <c r="BZ43" s="174">
        <v>136</v>
      </c>
      <c r="CA43" s="174">
        <v>173</v>
      </c>
      <c r="CB43" s="174">
        <v>245</v>
      </c>
      <c r="CC43" s="174">
        <v>319</v>
      </c>
      <c r="CD43" s="174">
        <v>503</v>
      </c>
      <c r="CE43" s="174">
        <v>49.5</v>
      </c>
      <c r="CF43" s="174">
        <v>11.3</v>
      </c>
      <c r="CG43" s="174">
        <v>1.4</v>
      </c>
      <c r="CH43" s="175">
        <v>1.5721777437081191E-9</v>
      </c>
    </row>
    <row r="44" spans="1:86" x14ac:dyDescent="0.3">
      <c r="F44" s="152" t="s">
        <v>553</v>
      </c>
      <c r="L44" s="196"/>
      <c r="AE44" s="152">
        <v>20</v>
      </c>
      <c r="AF44" s="152">
        <f>AF43+3.8</f>
        <v>66.999999999999986</v>
      </c>
      <c r="AG44" s="152">
        <f>AG43+200</f>
        <v>2900</v>
      </c>
      <c r="AH44" s="152">
        <f>AH43+0.8</f>
        <v>12.000000000000004</v>
      </c>
      <c r="AR44" s="152">
        <v>0.35135100000000002</v>
      </c>
      <c r="AW44" s="174">
        <v>42</v>
      </c>
      <c r="AX44" s="174" t="s">
        <v>557</v>
      </c>
      <c r="AY44" s="174">
        <v>30</v>
      </c>
      <c r="AZ44" s="174">
        <v>18.7</v>
      </c>
      <c r="BA44" s="174">
        <v>55</v>
      </c>
      <c r="BB44" s="174">
        <v>79</v>
      </c>
      <c r="BC44" s="174">
        <v>3</v>
      </c>
      <c r="BD44" s="174">
        <v>1.9</v>
      </c>
      <c r="BE44" s="174">
        <v>9</v>
      </c>
      <c r="BF44" s="174">
        <v>12.6</v>
      </c>
      <c r="BG44" s="174">
        <v>15</v>
      </c>
      <c r="BH44" s="174">
        <v>17.5</v>
      </c>
      <c r="BI44" s="174">
        <v>23.6</v>
      </c>
      <c r="BJ44" s="174">
        <v>0.14829999999999999</v>
      </c>
      <c r="BK44" s="174">
        <v>0.20760000000000001</v>
      </c>
      <c r="BL44" s="174">
        <v>0.2472</v>
      </c>
      <c r="BM44" s="174">
        <v>0.2868</v>
      </c>
      <c r="BN44" s="174">
        <v>0.36299999999999999</v>
      </c>
      <c r="BO44" s="174">
        <v>472</v>
      </c>
      <c r="BP44" s="174">
        <v>709</v>
      </c>
      <c r="BQ44" s="174">
        <v>787</v>
      </c>
      <c r="BR44" s="174">
        <v>867</v>
      </c>
      <c r="BS44" s="174">
        <v>1200</v>
      </c>
      <c r="BT44" s="174"/>
      <c r="BU44" s="174"/>
      <c r="BV44" s="174"/>
      <c r="BW44" s="174"/>
      <c r="BX44" s="174"/>
      <c r="BY44" s="174"/>
      <c r="BZ44" s="174">
        <v>233</v>
      </c>
      <c r="CA44" s="174">
        <v>320</v>
      </c>
      <c r="CB44" s="174">
        <v>389</v>
      </c>
      <c r="CC44" s="174">
        <v>457</v>
      </c>
      <c r="CD44" s="174">
        <v>730</v>
      </c>
      <c r="CE44" s="174">
        <v>51.7</v>
      </c>
      <c r="CF44" s="174">
        <v>11.4</v>
      </c>
      <c r="CG44" s="174">
        <v>1.4</v>
      </c>
      <c r="CH44" s="175">
        <v>1.299270603612855E-9</v>
      </c>
    </row>
    <row r="45" spans="1:86" x14ac:dyDescent="0.3">
      <c r="F45" s="152" t="s">
        <v>553</v>
      </c>
      <c r="L45" s="196"/>
      <c r="AE45" s="152">
        <v>21</v>
      </c>
      <c r="AF45" s="152">
        <f>AF44+2.8</f>
        <v>69.799999999999983</v>
      </c>
      <c r="AG45" s="152">
        <f>AG44+380</f>
        <v>3280</v>
      </c>
      <c r="AH45" s="152">
        <f>AH44+1.6</f>
        <v>13.600000000000003</v>
      </c>
      <c r="AR45" s="152">
        <v>0.40540500000000002</v>
      </c>
      <c r="AW45" s="174">
        <v>45</v>
      </c>
      <c r="AX45" s="174" t="s">
        <v>557</v>
      </c>
      <c r="AY45" s="174">
        <v>30</v>
      </c>
      <c r="AZ45" s="174">
        <v>18.7</v>
      </c>
      <c r="BA45" s="174">
        <v>55</v>
      </c>
      <c r="BB45" s="174">
        <v>79</v>
      </c>
      <c r="BC45" s="174">
        <v>3</v>
      </c>
      <c r="BD45" s="174">
        <v>1.9</v>
      </c>
      <c r="BE45" s="174">
        <v>9</v>
      </c>
      <c r="BF45" s="174">
        <v>12.6</v>
      </c>
      <c r="BG45" s="174">
        <v>15</v>
      </c>
      <c r="BH45" s="174">
        <v>17.5</v>
      </c>
      <c r="BI45" s="174">
        <v>23.6</v>
      </c>
      <c r="BJ45" s="174">
        <v>0.14829999999999999</v>
      </c>
      <c r="BK45" s="174">
        <v>0.20760000000000001</v>
      </c>
      <c r="BL45" s="174">
        <v>0.2472</v>
      </c>
      <c r="BM45" s="174">
        <v>0.2868</v>
      </c>
      <c r="BN45" s="174">
        <v>0.36299999999999999</v>
      </c>
      <c r="BO45" s="174">
        <v>472</v>
      </c>
      <c r="BP45" s="174">
        <v>709</v>
      </c>
      <c r="BQ45" s="174">
        <v>787</v>
      </c>
      <c r="BR45" s="174">
        <v>867</v>
      </c>
      <c r="BS45" s="174">
        <v>1200</v>
      </c>
      <c r="BT45" s="174"/>
      <c r="BU45" s="174"/>
      <c r="BV45" s="174"/>
      <c r="BW45" s="174"/>
      <c r="BX45" s="174"/>
      <c r="BY45" s="174"/>
      <c r="BZ45" s="174">
        <v>233</v>
      </c>
      <c r="CA45" s="174">
        <v>320</v>
      </c>
      <c r="CB45" s="174">
        <v>389</v>
      </c>
      <c r="CC45" s="174">
        <v>457</v>
      </c>
      <c r="CD45" s="174">
        <v>730</v>
      </c>
      <c r="CE45" s="174">
        <v>51.7</v>
      </c>
      <c r="CF45" s="174">
        <v>11.4</v>
      </c>
      <c r="CG45" s="174">
        <v>1.4</v>
      </c>
      <c r="CH45" s="175">
        <v>1.299270603612855E-9</v>
      </c>
    </row>
    <row r="46" spans="1:86" x14ac:dyDescent="0.3">
      <c r="F46" s="152" t="s">
        <v>553</v>
      </c>
      <c r="L46" s="196"/>
      <c r="AE46" s="152">
        <v>22</v>
      </c>
      <c r="AF46" s="152">
        <f>AF45+2.8</f>
        <v>72.59999999999998</v>
      </c>
      <c r="AG46" s="152">
        <f>AG45+380</f>
        <v>3660</v>
      </c>
      <c r="AH46" s="152">
        <f>AH45+1.6</f>
        <v>15.200000000000003</v>
      </c>
      <c r="AR46" s="152">
        <v>1.55789</v>
      </c>
      <c r="AW46" s="174">
        <v>45</v>
      </c>
      <c r="AX46" s="174" t="s">
        <v>557</v>
      </c>
      <c r="AY46" s="174">
        <v>30</v>
      </c>
      <c r="AZ46" s="174">
        <v>18.7</v>
      </c>
      <c r="BA46" s="174">
        <v>55</v>
      </c>
      <c r="BB46" s="174">
        <v>79</v>
      </c>
      <c r="BC46" s="174">
        <v>3</v>
      </c>
      <c r="BD46" s="174">
        <v>1.9</v>
      </c>
      <c r="BE46" s="174">
        <v>16</v>
      </c>
      <c r="BF46" s="174">
        <v>22.4</v>
      </c>
      <c r="BG46" s="174">
        <v>26.8</v>
      </c>
      <c r="BH46" s="174">
        <v>31.1</v>
      </c>
      <c r="BI46" s="174">
        <v>38.6</v>
      </c>
      <c r="BJ46" s="174">
        <v>0.15229999999999999</v>
      </c>
      <c r="BK46" s="174">
        <v>0.2132</v>
      </c>
      <c r="BL46" s="174">
        <v>0.25390000000000001</v>
      </c>
      <c r="BM46" s="174">
        <v>0.29459999999999997</v>
      </c>
      <c r="BN46" s="174">
        <v>0.376</v>
      </c>
      <c r="BO46" s="174">
        <v>861</v>
      </c>
      <c r="BP46" s="174">
        <v>1200</v>
      </c>
      <c r="BQ46" s="174">
        <v>1200</v>
      </c>
      <c r="BR46" s="174">
        <v>1200</v>
      </c>
      <c r="BS46" s="174">
        <v>1200</v>
      </c>
      <c r="BT46" s="174"/>
      <c r="BU46" s="174"/>
      <c r="BV46" s="174"/>
      <c r="BW46" s="174"/>
      <c r="BX46" s="174"/>
      <c r="BY46" s="174"/>
      <c r="BZ46" s="174">
        <v>457</v>
      </c>
      <c r="CA46" s="174">
        <v>686</v>
      </c>
      <c r="CB46" s="174">
        <v>762</v>
      </c>
      <c r="CC46" s="174">
        <v>839</v>
      </c>
      <c r="CD46" s="174">
        <v>1000</v>
      </c>
      <c r="CE46" s="174">
        <v>102.3</v>
      </c>
      <c r="CF46" s="174">
        <v>20.7</v>
      </c>
      <c r="CG46" s="174">
        <v>1.8</v>
      </c>
      <c r="CH46" s="175">
        <v>2.037873947633578E-8</v>
      </c>
    </row>
    <row r="47" spans="1:86" x14ac:dyDescent="0.3">
      <c r="L47" s="196"/>
      <c r="AE47" s="152">
        <v>23</v>
      </c>
      <c r="AF47" s="152">
        <f>AF46+2.8</f>
        <v>75.399999999999977</v>
      </c>
      <c r="AG47" s="152">
        <f>AG46+380</f>
        <v>4040</v>
      </c>
      <c r="AH47" s="152">
        <f>AH46+1.6</f>
        <v>16.800000000000004</v>
      </c>
      <c r="AR47" s="152">
        <v>1.55789</v>
      </c>
      <c r="AW47" s="174">
        <v>50</v>
      </c>
      <c r="AX47" s="174" t="s">
        <v>557</v>
      </c>
      <c r="AY47" s="174">
        <v>30</v>
      </c>
      <c r="AZ47" s="174">
        <v>18.7</v>
      </c>
      <c r="BA47" s="174">
        <v>55</v>
      </c>
      <c r="BB47" s="174">
        <v>79</v>
      </c>
      <c r="BC47" s="174">
        <v>3</v>
      </c>
      <c r="BD47" s="174">
        <v>1.9</v>
      </c>
      <c r="BE47" s="174">
        <v>16</v>
      </c>
      <c r="BF47" s="174">
        <v>22.4</v>
      </c>
      <c r="BG47" s="174">
        <v>26.8</v>
      </c>
      <c r="BH47" s="174">
        <v>31.1</v>
      </c>
      <c r="BI47" s="174">
        <v>38.6</v>
      </c>
      <c r="BJ47" s="174">
        <v>0.15229999999999999</v>
      </c>
      <c r="BK47" s="174">
        <v>0.2132</v>
      </c>
      <c r="BL47" s="174">
        <v>0.25390000000000001</v>
      </c>
      <c r="BM47" s="174">
        <v>0.29459999999999997</v>
      </c>
      <c r="BN47" s="174">
        <v>0.376</v>
      </c>
      <c r="BO47" s="174">
        <v>861</v>
      </c>
      <c r="BP47" s="174">
        <v>1200</v>
      </c>
      <c r="BQ47" s="174">
        <v>1200</v>
      </c>
      <c r="BR47" s="174">
        <v>1200</v>
      </c>
      <c r="BS47" s="174">
        <v>1200</v>
      </c>
      <c r="BT47" s="174"/>
      <c r="BU47" s="174"/>
      <c r="BV47" s="174"/>
      <c r="BW47" s="174"/>
      <c r="BX47" s="174"/>
      <c r="BY47" s="174"/>
      <c r="BZ47" s="174">
        <v>457</v>
      </c>
      <c r="CA47" s="174">
        <v>686</v>
      </c>
      <c r="CB47" s="174">
        <v>762</v>
      </c>
      <c r="CC47" s="174">
        <v>839</v>
      </c>
      <c r="CD47" s="174">
        <v>1000</v>
      </c>
      <c r="CE47" s="174">
        <v>102.3</v>
      </c>
      <c r="CF47" s="174">
        <v>20.7</v>
      </c>
      <c r="CG47" s="174">
        <v>1.8</v>
      </c>
      <c r="CH47" s="175">
        <v>2.037873947633578E-8</v>
      </c>
    </row>
    <row r="48" spans="1:86" x14ac:dyDescent="0.3">
      <c r="L48" s="196"/>
      <c r="AE48" s="152">
        <v>24</v>
      </c>
      <c r="AF48" s="152">
        <f>AF47+2.8</f>
        <v>78.199999999999974</v>
      </c>
      <c r="AG48" s="152">
        <f>AG47+380</f>
        <v>4420</v>
      </c>
      <c r="AH48" s="152">
        <f>AH47+1.6</f>
        <v>18.400000000000006</v>
      </c>
      <c r="AR48" s="152">
        <v>1.55789</v>
      </c>
      <c r="AW48" s="174"/>
      <c r="AX48" s="174"/>
      <c r="AY48" s="174"/>
      <c r="AZ48" s="174"/>
      <c r="BA48" s="174"/>
      <c r="BB48" s="174"/>
      <c r="BC48" s="174"/>
      <c r="BD48" s="174"/>
      <c r="BE48" s="174"/>
      <c r="BF48" s="174"/>
      <c r="BG48" s="174"/>
      <c r="BH48" s="174"/>
      <c r="BI48" s="174"/>
      <c r="BJ48" s="174"/>
      <c r="BK48" s="174"/>
      <c r="BL48" s="174"/>
      <c r="BM48" s="174"/>
      <c r="BN48" s="174"/>
      <c r="BO48" s="174"/>
      <c r="BP48" s="174"/>
      <c r="BQ48" s="174"/>
      <c r="BR48" s="174"/>
      <c r="BS48" s="174"/>
      <c r="BT48" s="174"/>
      <c r="BU48" s="174"/>
      <c r="BV48" s="174"/>
      <c r="BW48" s="174"/>
      <c r="BX48" s="174"/>
      <c r="BY48" s="174"/>
      <c r="BZ48" s="174"/>
      <c r="CA48" s="174"/>
      <c r="CB48" s="174"/>
      <c r="CC48" s="174"/>
      <c r="CD48" s="174"/>
      <c r="CE48" s="174"/>
      <c r="CF48" s="174"/>
      <c r="CG48" s="174"/>
      <c r="CH48" s="175"/>
    </row>
    <row r="49" spans="6:86" x14ac:dyDescent="0.3">
      <c r="L49" s="196"/>
      <c r="AE49" s="152">
        <v>25</v>
      </c>
      <c r="AF49" s="152">
        <f>AF48+2.8</f>
        <v>80.999999999999972</v>
      </c>
      <c r="AG49" s="152">
        <v>4800</v>
      </c>
      <c r="AH49" s="152">
        <f>AH48+1.6</f>
        <v>20.000000000000007</v>
      </c>
      <c r="AR49" s="152">
        <v>1.55789</v>
      </c>
      <c r="AW49" s="174"/>
      <c r="AX49" s="174"/>
      <c r="AY49" s="174"/>
      <c r="AZ49" s="174"/>
      <c r="BA49" s="174"/>
      <c r="BB49" s="174"/>
      <c r="BC49" s="174"/>
      <c r="BD49" s="174"/>
      <c r="BE49" s="174"/>
      <c r="BF49" s="174"/>
      <c r="BG49" s="174"/>
      <c r="BH49" s="174"/>
      <c r="BI49" s="174"/>
      <c r="BJ49" s="174"/>
      <c r="BK49" s="174"/>
      <c r="BL49" s="174"/>
      <c r="BM49" s="174"/>
      <c r="BN49" s="174"/>
      <c r="BO49" s="174"/>
      <c r="BP49" s="174"/>
      <c r="BQ49" s="174"/>
      <c r="BR49" s="174"/>
      <c r="BS49" s="174"/>
      <c r="BT49" s="174"/>
      <c r="BU49" s="174"/>
      <c r="BV49" s="174"/>
      <c r="BW49" s="174"/>
      <c r="BX49" s="174"/>
      <c r="BY49" s="174"/>
      <c r="BZ49" s="174"/>
      <c r="CA49" s="174"/>
      <c r="CB49" s="174"/>
      <c r="CC49" s="174"/>
      <c r="CD49" s="174"/>
      <c r="CE49" s="174"/>
      <c r="CF49" s="174"/>
      <c r="CG49" s="174"/>
      <c r="CH49" s="175"/>
    </row>
    <row r="50" spans="6:86" x14ac:dyDescent="0.3">
      <c r="F50" s="152">
        <v>0.28431400000000001</v>
      </c>
      <c r="L50" s="196"/>
      <c r="AE50" s="152">
        <v>26</v>
      </c>
      <c r="AF50" s="152">
        <f>AF49+3</f>
        <v>83.999999999999972</v>
      </c>
      <c r="AG50" s="152">
        <f>AG49+960</f>
        <v>5760</v>
      </c>
      <c r="AH50" s="152">
        <f>AH49+4</f>
        <v>24.000000000000007</v>
      </c>
      <c r="AR50" s="152">
        <v>1.55789</v>
      </c>
      <c r="AW50" s="174"/>
      <c r="AX50" s="174"/>
      <c r="AY50" s="174"/>
      <c r="AZ50" s="174"/>
      <c r="BA50" s="174"/>
      <c r="BB50" s="174"/>
      <c r="BC50" s="174"/>
      <c r="BD50" s="174"/>
      <c r="BE50" s="174"/>
      <c r="BF50" s="174"/>
      <c r="BG50" s="174"/>
      <c r="BH50" s="174"/>
      <c r="BI50" s="174"/>
      <c r="BJ50" s="174"/>
      <c r="BK50" s="174"/>
      <c r="BL50" s="174"/>
      <c r="BM50" s="174"/>
      <c r="BN50" s="174"/>
      <c r="BO50" s="174"/>
      <c r="BP50" s="174"/>
      <c r="BQ50" s="174"/>
      <c r="BR50" s="174"/>
      <c r="BS50" s="174"/>
      <c r="BT50" s="174"/>
      <c r="BU50" s="174"/>
      <c r="BV50" s="174"/>
      <c r="BW50" s="174"/>
      <c r="BX50" s="174"/>
      <c r="BY50" s="174"/>
      <c r="BZ50" s="174"/>
      <c r="CA50" s="174"/>
      <c r="CB50" s="174"/>
      <c r="CC50" s="174"/>
      <c r="CD50" s="174"/>
      <c r="CE50" s="174"/>
      <c r="CF50" s="174"/>
      <c r="CG50" s="174"/>
      <c r="CH50" s="175"/>
    </row>
    <row r="51" spans="6:86" x14ac:dyDescent="0.3">
      <c r="F51" s="152">
        <v>0.28431400000000001</v>
      </c>
      <c r="L51" s="196"/>
      <c r="AE51" s="152">
        <v>27</v>
      </c>
      <c r="AF51" s="152">
        <f>AF50+3</f>
        <v>86.999999999999972</v>
      </c>
      <c r="AG51" s="152">
        <f>AG50+960</f>
        <v>6720</v>
      </c>
      <c r="AH51" s="152">
        <f>AH50+4</f>
        <v>28.000000000000007</v>
      </c>
      <c r="AR51" s="152">
        <v>1.55789</v>
      </c>
      <c r="AW51" s="174"/>
      <c r="AX51" s="174"/>
      <c r="AY51" s="174"/>
      <c r="AZ51" s="174"/>
      <c r="BA51" s="174"/>
      <c r="BB51" s="174"/>
      <c r="BC51" s="174"/>
      <c r="BD51" s="174"/>
      <c r="BE51" s="174"/>
      <c r="BF51" s="174"/>
      <c r="BG51" s="174"/>
      <c r="BH51" s="174"/>
      <c r="BI51" s="174"/>
      <c r="BJ51" s="174"/>
      <c r="BK51" s="174"/>
      <c r="BL51" s="174"/>
      <c r="BM51" s="174"/>
      <c r="BN51" s="174"/>
      <c r="BO51" s="174"/>
      <c r="BP51" s="174"/>
      <c r="BQ51" s="174"/>
      <c r="BR51" s="174"/>
      <c r="BS51" s="174"/>
      <c r="BT51" s="174"/>
      <c r="BU51" s="174"/>
      <c r="BV51" s="174"/>
      <c r="BW51" s="174"/>
      <c r="BX51" s="174"/>
      <c r="BY51" s="174"/>
      <c r="BZ51" s="174"/>
      <c r="CA51" s="174"/>
      <c r="CB51" s="174"/>
      <c r="CC51" s="174"/>
      <c r="CD51" s="174"/>
      <c r="CE51" s="174"/>
      <c r="CF51" s="174"/>
      <c r="CG51" s="174"/>
      <c r="CH51" s="175"/>
    </row>
    <row r="52" spans="6:86" x14ac:dyDescent="0.3">
      <c r="F52" s="152">
        <v>0.56896599999999997</v>
      </c>
      <c r="L52" s="196"/>
      <c r="AE52" s="152">
        <v>28</v>
      </c>
      <c r="AF52" s="152">
        <f>AF51+3</f>
        <v>89.999999999999972</v>
      </c>
      <c r="AG52" s="152">
        <f>AG51+960</f>
        <v>7680</v>
      </c>
      <c r="AH52" s="152">
        <f>AH51+4</f>
        <v>32.000000000000007</v>
      </c>
      <c r="AR52" s="152">
        <v>1.55789</v>
      </c>
      <c r="AW52" s="174"/>
      <c r="AX52" s="174"/>
      <c r="AY52" s="174"/>
      <c r="AZ52" s="174"/>
      <c r="BA52" s="174"/>
      <c r="BB52" s="174"/>
      <c r="BC52" s="174"/>
      <c r="BD52" s="174"/>
      <c r="BE52" s="174"/>
      <c r="BF52" s="174"/>
      <c r="BG52" s="174"/>
      <c r="BH52" s="174"/>
      <c r="BI52" s="174"/>
      <c r="BJ52" s="174"/>
      <c r="BK52" s="174"/>
      <c r="BL52" s="174"/>
      <c r="BM52" s="174"/>
      <c r="BN52" s="174"/>
      <c r="BO52" s="174"/>
      <c r="BP52" s="174"/>
      <c r="BQ52" s="174"/>
      <c r="BR52" s="174"/>
      <c r="BS52" s="174"/>
      <c r="BT52" s="174"/>
      <c r="BU52" s="174"/>
      <c r="BV52" s="174"/>
      <c r="BW52" s="174"/>
      <c r="BX52" s="174"/>
      <c r="BY52" s="174"/>
      <c r="BZ52" s="174"/>
      <c r="CA52" s="174"/>
      <c r="CB52" s="174"/>
      <c r="CC52" s="174"/>
      <c r="CD52" s="174"/>
      <c r="CE52" s="174"/>
      <c r="CF52" s="174"/>
      <c r="CG52" s="174"/>
      <c r="CH52" s="175"/>
    </row>
    <row r="53" spans="6:86" x14ac:dyDescent="0.3">
      <c r="F53" s="152">
        <v>0.7</v>
      </c>
      <c r="L53" s="196"/>
      <c r="AE53" s="152">
        <v>29</v>
      </c>
      <c r="AF53" s="152">
        <f>AF52+3</f>
        <v>92.999999999999972</v>
      </c>
      <c r="AG53" s="152">
        <f>AG52+960</f>
        <v>8640</v>
      </c>
      <c r="AH53" s="152">
        <f>AH52+4</f>
        <v>36.000000000000007</v>
      </c>
      <c r="AR53" s="152">
        <v>1.55789</v>
      </c>
      <c r="AW53" s="174"/>
      <c r="AX53" s="174"/>
      <c r="AY53" s="174"/>
      <c r="AZ53" s="174"/>
      <c r="BA53" s="174"/>
      <c r="BB53" s="174"/>
      <c r="BC53" s="174"/>
      <c r="BD53" s="174"/>
      <c r="BE53" s="174"/>
      <c r="BF53" s="174"/>
      <c r="BG53" s="174"/>
      <c r="BH53" s="174"/>
      <c r="BI53" s="174"/>
      <c r="BJ53" s="174"/>
      <c r="BK53" s="174"/>
      <c r="BL53" s="174"/>
      <c r="BM53" s="174"/>
      <c r="BN53" s="174"/>
      <c r="BO53" s="174"/>
      <c r="BP53" s="174"/>
      <c r="BQ53" s="174"/>
      <c r="BR53" s="174"/>
      <c r="BS53" s="174"/>
      <c r="BT53" s="174"/>
      <c r="BU53" s="174"/>
      <c r="BV53" s="174"/>
      <c r="BW53" s="174"/>
      <c r="BX53" s="174"/>
      <c r="BY53" s="174"/>
      <c r="BZ53" s="174"/>
      <c r="CA53" s="174"/>
      <c r="CB53" s="174"/>
      <c r="CC53" s="174"/>
      <c r="CD53" s="174"/>
      <c r="CE53" s="174"/>
      <c r="CF53" s="174"/>
      <c r="CG53" s="174"/>
      <c r="CH53" s="175"/>
    </row>
    <row r="54" spans="6:86" x14ac:dyDescent="0.3">
      <c r="F54" s="152">
        <v>0.7</v>
      </c>
      <c r="L54" s="196"/>
      <c r="AE54" s="152">
        <v>30</v>
      </c>
      <c r="AF54" s="152">
        <f>AF53+3</f>
        <v>95.999999999999972</v>
      </c>
      <c r="AG54" s="152">
        <f>AG53+960</f>
        <v>9600</v>
      </c>
      <c r="AH54" s="152">
        <f>AH53+4</f>
        <v>40.000000000000007</v>
      </c>
      <c r="AW54" s="174"/>
      <c r="AX54" s="174"/>
      <c r="AY54" s="174"/>
      <c r="AZ54" s="174"/>
      <c r="BA54" s="174"/>
      <c r="BB54" s="174"/>
      <c r="BC54" s="174"/>
      <c r="BD54" s="174"/>
      <c r="BE54" s="174"/>
      <c r="BF54" s="174"/>
      <c r="BG54" s="174"/>
      <c r="BH54" s="174"/>
      <c r="BI54" s="174"/>
      <c r="BJ54" s="174"/>
      <c r="BK54" s="174"/>
      <c r="BL54" s="174"/>
      <c r="BM54" s="174"/>
      <c r="BN54" s="174"/>
      <c r="BO54" s="174"/>
      <c r="BP54" s="174"/>
      <c r="BQ54" s="174"/>
      <c r="BR54" s="174"/>
      <c r="BS54" s="174"/>
      <c r="BT54" s="174"/>
      <c r="BU54" s="174"/>
      <c r="BV54" s="174"/>
      <c r="BW54" s="174"/>
      <c r="BX54" s="174"/>
      <c r="BY54" s="174"/>
      <c r="BZ54" s="174"/>
      <c r="CA54" s="174"/>
      <c r="CB54" s="174"/>
      <c r="CC54" s="174"/>
      <c r="CD54" s="174"/>
      <c r="CE54" s="174"/>
      <c r="CF54" s="174"/>
      <c r="CG54" s="174"/>
      <c r="CH54" s="175"/>
    </row>
    <row r="55" spans="6:86" x14ac:dyDescent="0.3">
      <c r="F55" s="152">
        <v>0.56896599999999997</v>
      </c>
      <c r="L55" s="196"/>
      <c r="AE55" s="152">
        <v>31</v>
      </c>
      <c r="AF55" s="152">
        <f>AF54+3.8</f>
        <v>99.799999999999969</v>
      </c>
      <c r="AG55" s="152">
        <f>AG54+480</f>
        <v>10080</v>
      </c>
      <c r="AH55" s="152">
        <f>AH54+2</f>
        <v>42.000000000000007</v>
      </c>
      <c r="AW55" s="174"/>
      <c r="AX55" s="174"/>
      <c r="AY55" s="174"/>
      <c r="AZ55" s="174"/>
      <c r="BA55" s="174"/>
      <c r="BB55" s="174"/>
      <c r="BC55" s="174"/>
      <c r="BD55" s="174"/>
      <c r="BE55" s="174"/>
      <c r="BF55" s="174"/>
      <c r="BG55" s="174"/>
      <c r="BH55" s="174"/>
      <c r="BI55" s="174"/>
      <c r="BJ55" s="174"/>
      <c r="BK55" s="174"/>
      <c r="BL55" s="174"/>
      <c r="BM55" s="174"/>
      <c r="BN55" s="174"/>
      <c r="BO55" s="174"/>
      <c r="BP55" s="174"/>
      <c r="BQ55" s="174"/>
      <c r="BR55" s="174"/>
      <c r="BS55" s="174"/>
      <c r="BT55" s="174"/>
      <c r="BU55" s="174"/>
      <c r="BV55" s="174"/>
      <c r="BW55" s="174"/>
      <c r="BX55" s="174"/>
      <c r="BY55" s="174"/>
      <c r="BZ55" s="174"/>
      <c r="CA55" s="174"/>
      <c r="CB55" s="174"/>
      <c r="CC55" s="174"/>
      <c r="CD55" s="174"/>
      <c r="CE55" s="174"/>
      <c r="CF55" s="174"/>
      <c r="CG55" s="174"/>
      <c r="CH55" s="175"/>
    </row>
    <row r="56" spans="6:86" x14ac:dyDescent="0.3">
      <c r="F56" s="152">
        <v>0.60344799999999998</v>
      </c>
      <c r="L56" s="196"/>
      <c r="AE56" s="152">
        <v>32</v>
      </c>
      <c r="AF56" s="152">
        <f>AF55+3.8</f>
        <v>103.59999999999997</v>
      </c>
      <c r="AG56" s="152">
        <f>AG55+480</f>
        <v>10560</v>
      </c>
      <c r="AH56" s="152">
        <f>AH55+2</f>
        <v>44.000000000000007</v>
      </c>
      <c r="AW56" s="174"/>
      <c r="AX56" s="174"/>
      <c r="AY56" s="174"/>
      <c r="AZ56" s="174"/>
      <c r="BA56" s="174"/>
      <c r="BB56" s="174"/>
      <c r="BC56" s="174"/>
      <c r="BD56" s="174"/>
      <c r="BE56" s="174"/>
      <c r="BF56" s="174"/>
      <c r="BG56" s="174"/>
      <c r="BH56" s="174"/>
      <c r="BI56" s="174"/>
      <c r="BJ56" s="174"/>
      <c r="BK56" s="174"/>
      <c r="BL56" s="174"/>
      <c r="BM56" s="174"/>
      <c r="BN56" s="174"/>
      <c r="BO56" s="174"/>
      <c r="BP56" s="174"/>
      <c r="BQ56" s="174"/>
      <c r="BR56" s="174"/>
      <c r="BS56" s="174"/>
      <c r="BT56" s="174"/>
      <c r="BU56" s="174"/>
      <c r="BV56" s="174"/>
      <c r="BW56" s="174"/>
      <c r="BX56" s="174"/>
      <c r="BY56" s="174"/>
      <c r="BZ56" s="174"/>
      <c r="CA56" s="174"/>
      <c r="CB56" s="174"/>
      <c r="CC56" s="174"/>
      <c r="CD56" s="174"/>
      <c r="CE56" s="174"/>
      <c r="CF56" s="174"/>
      <c r="CG56" s="174"/>
      <c r="CH56" s="175"/>
    </row>
    <row r="57" spans="6:86" x14ac:dyDescent="0.3">
      <c r="F57" s="152">
        <v>0.63793100000000003</v>
      </c>
      <c r="L57" s="196"/>
      <c r="AE57" s="152">
        <v>33</v>
      </c>
      <c r="AF57" s="152">
        <f>AF56+3.8</f>
        <v>107.39999999999996</v>
      </c>
      <c r="AG57" s="152">
        <f>AG56+480</f>
        <v>11040</v>
      </c>
      <c r="AH57" s="152">
        <f>AH56+2</f>
        <v>46.000000000000007</v>
      </c>
      <c r="AW57" s="174"/>
      <c r="AX57" s="174"/>
      <c r="AY57" s="174"/>
      <c r="AZ57" s="174"/>
      <c r="BA57" s="174"/>
      <c r="BB57" s="174"/>
      <c r="BC57" s="174"/>
      <c r="BD57" s="174"/>
      <c r="BE57" s="174"/>
      <c r="BF57" s="174"/>
      <c r="BG57" s="174"/>
      <c r="BH57" s="174"/>
      <c r="BI57" s="174"/>
      <c r="BJ57" s="174"/>
      <c r="BK57" s="174"/>
      <c r="BL57" s="174"/>
      <c r="BM57" s="174"/>
      <c r="BN57" s="174"/>
      <c r="BO57" s="174"/>
      <c r="BP57" s="174"/>
      <c r="BQ57" s="174"/>
      <c r="BR57" s="174"/>
      <c r="BS57" s="174"/>
      <c r="BT57" s="174"/>
      <c r="BU57" s="174"/>
      <c r="BV57" s="174"/>
      <c r="BW57" s="174"/>
      <c r="BX57" s="174"/>
      <c r="BY57" s="174"/>
      <c r="BZ57" s="174"/>
      <c r="CA57" s="174"/>
      <c r="CB57" s="174"/>
      <c r="CC57" s="174"/>
      <c r="CD57" s="174"/>
      <c r="CE57" s="174"/>
      <c r="CF57" s="174"/>
      <c r="CG57" s="174"/>
      <c r="CH57" s="175"/>
    </row>
    <row r="58" spans="6:86" x14ac:dyDescent="0.3">
      <c r="F58" s="152">
        <v>0.63793100000000003</v>
      </c>
      <c r="L58" s="196"/>
      <c r="AE58" s="152">
        <v>34</v>
      </c>
      <c r="AF58" s="152">
        <f>AF57+3.8</f>
        <v>111.19999999999996</v>
      </c>
      <c r="AG58" s="152">
        <f>AG57+480</f>
        <v>11520</v>
      </c>
      <c r="AH58" s="152">
        <f>AH57+2</f>
        <v>48.000000000000007</v>
      </c>
      <c r="AW58" s="174"/>
      <c r="AX58" s="174"/>
      <c r="AY58" s="174"/>
      <c r="AZ58" s="174"/>
      <c r="BA58" s="174"/>
      <c r="BB58" s="174"/>
      <c r="BC58" s="174"/>
      <c r="BD58" s="174"/>
      <c r="BE58" s="174"/>
      <c r="BF58" s="174"/>
      <c r="BG58" s="174"/>
      <c r="BH58" s="174"/>
      <c r="BI58" s="174"/>
      <c r="BJ58" s="174"/>
      <c r="BK58" s="174"/>
      <c r="BL58" s="174"/>
      <c r="BM58" s="174"/>
      <c r="BN58" s="174"/>
      <c r="BO58" s="174"/>
      <c r="BP58" s="174"/>
      <c r="BQ58" s="174"/>
      <c r="BR58" s="174"/>
      <c r="BS58" s="174"/>
      <c r="BT58" s="174"/>
      <c r="BU58" s="174"/>
      <c r="BV58" s="174"/>
      <c r="BW58" s="174"/>
      <c r="BX58" s="174"/>
      <c r="BY58" s="174"/>
      <c r="BZ58" s="174"/>
      <c r="CA58" s="174"/>
      <c r="CB58" s="174"/>
      <c r="CC58" s="174"/>
      <c r="CD58" s="174"/>
      <c r="CE58" s="174"/>
      <c r="CF58" s="174"/>
      <c r="CG58" s="174"/>
      <c r="CH58" s="175"/>
    </row>
    <row r="59" spans="6:86" x14ac:dyDescent="0.3">
      <c r="F59" s="152">
        <v>0.63793100000000003</v>
      </c>
      <c r="L59" s="196"/>
      <c r="AE59" s="152">
        <v>35</v>
      </c>
      <c r="AF59" s="152">
        <f>AF58+3.8</f>
        <v>114.99999999999996</v>
      </c>
      <c r="AG59" s="152">
        <f>AG58+480</f>
        <v>12000</v>
      </c>
      <c r="AH59" s="152">
        <f>AH58+2</f>
        <v>50.000000000000007</v>
      </c>
      <c r="AW59" s="174"/>
      <c r="AX59" s="174"/>
      <c r="AY59" s="174"/>
      <c r="AZ59" s="174"/>
      <c r="BA59" s="174"/>
      <c r="BB59" s="174"/>
      <c r="BC59" s="174"/>
      <c r="BD59" s="174"/>
      <c r="BE59" s="174"/>
      <c r="BF59" s="174"/>
      <c r="BG59" s="174"/>
      <c r="BH59" s="174"/>
      <c r="BI59" s="174"/>
      <c r="BJ59" s="174"/>
      <c r="BK59" s="174"/>
      <c r="BL59" s="174"/>
      <c r="BM59" s="174"/>
      <c r="BN59" s="174"/>
      <c r="BO59" s="174"/>
      <c r="BP59" s="174"/>
      <c r="BQ59" s="174"/>
      <c r="BR59" s="174"/>
      <c r="BS59" s="174"/>
      <c r="BT59" s="174"/>
      <c r="BU59" s="174"/>
      <c r="BV59" s="174"/>
      <c r="BW59" s="174"/>
      <c r="BX59" s="174"/>
      <c r="BY59" s="174"/>
      <c r="BZ59" s="174"/>
      <c r="CA59" s="174"/>
      <c r="CB59" s="174"/>
      <c r="CC59" s="174"/>
      <c r="CD59" s="174"/>
      <c r="CE59" s="174"/>
      <c r="CF59" s="174"/>
      <c r="CG59" s="174"/>
      <c r="CH59" s="175"/>
    </row>
    <row r="60" spans="6:86" x14ac:dyDescent="0.3">
      <c r="F60" s="152">
        <v>0.63793100000000003</v>
      </c>
      <c r="L60" s="196"/>
      <c r="AW60" s="174"/>
      <c r="AX60" s="174"/>
      <c r="AY60" s="174"/>
      <c r="AZ60" s="174"/>
      <c r="BA60" s="174"/>
      <c r="BB60" s="174"/>
      <c r="BC60" s="174"/>
      <c r="BD60" s="174"/>
      <c r="BE60" s="174"/>
      <c r="BF60" s="174"/>
      <c r="BG60" s="174"/>
      <c r="BH60" s="174"/>
      <c r="BI60" s="174"/>
      <c r="BJ60" s="174"/>
      <c r="BK60" s="174"/>
      <c r="BL60" s="174"/>
      <c r="BM60" s="174"/>
      <c r="BN60" s="174"/>
      <c r="BO60" s="174"/>
      <c r="BP60" s="174"/>
      <c r="BQ60" s="174"/>
      <c r="BR60" s="174"/>
      <c r="BS60" s="174"/>
      <c r="BT60" s="174"/>
      <c r="BU60" s="174"/>
      <c r="BV60" s="174"/>
      <c r="BW60" s="174"/>
      <c r="BX60" s="174"/>
      <c r="BY60" s="174"/>
      <c r="BZ60" s="174"/>
      <c r="CA60" s="174"/>
      <c r="CB60" s="174"/>
      <c r="CC60" s="174"/>
      <c r="CD60" s="174"/>
      <c r="CE60" s="174"/>
      <c r="CF60" s="174"/>
      <c r="CG60" s="174"/>
      <c r="CH60" s="175"/>
    </row>
    <row r="61" spans="6:86" x14ac:dyDescent="0.3">
      <c r="F61" s="152">
        <v>0.63793100000000003</v>
      </c>
      <c r="L61" s="196"/>
      <c r="AW61" s="174"/>
      <c r="AX61" s="174"/>
      <c r="AY61" s="174"/>
      <c r="AZ61" s="174"/>
      <c r="BA61" s="174"/>
      <c r="BB61" s="174"/>
      <c r="BC61" s="174"/>
      <c r="BD61" s="174"/>
      <c r="BE61" s="174"/>
      <c r="BF61" s="174"/>
      <c r="BG61" s="174"/>
      <c r="BH61" s="174"/>
      <c r="BI61" s="174"/>
      <c r="BJ61" s="174"/>
      <c r="BK61" s="174"/>
      <c r="BL61" s="174"/>
      <c r="BM61" s="174"/>
      <c r="BN61" s="174"/>
      <c r="BO61" s="174"/>
      <c r="BP61" s="174"/>
      <c r="BQ61" s="174"/>
      <c r="BR61" s="174"/>
      <c r="BS61" s="174"/>
      <c r="BT61" s="174"/>
      <c r="BU61" s="174"/>
      <c r="BV61" s="174"/>
      <c r="BW61" s="174"/>
      <c r="BX61" s="174"/>
      <c r="BY61" s="174"/>
      <c r="BZ61" s="174"/>
      <c r="CA61" s="174"/>
      <c r="CB61" s="174"/>
      <c r="CC61" s="174"/>
      <c r="CD61" s="174"/>
      <c r="CE61" s="174"/>
      <c r="CF61" s="174"/>
      <c r="CG61" s="174"/>
      <c r="CH61" s="175"/>
    </row>
    <row r="62" spans="6:86" x14ac:dyDescent="0.3">
      <c r="F62" s="152">
        <v>0.63793100000000003</v>
      </c>
      <c r="L62" s="196"/>
      <c r="AW62" s="174"/>
      <c r="AX62" s="174"/>
      <c r="AY62" s="174"/>
      <c r="AZ62" s="174"/>
      <c r="BA62" s="174"/>
      <c r="BB62" s="174"/>
      <c r="BC62" s="174"/>
      <c r="BD62" s="174"/>
      <c r="BE62" s="174"/>
      <c r="BF62" s="174"/>
      <c r="BG62" s="174"/>
      <c r="BH62" s="174"/>
      <c r="BI62" s="174"/>
      <c r="BJ62" s="174"/>
      <c r="BK62" s="174"/>
      <c r="BL62" s="174"/>
      <c r="BM62" s="174"/>
      <c r="BN62" s="174"/>
      <c r="BO62" s="174"/>
      <c r="BP62" s="174"/>
      <c r="BQ62" s="174"/>
      <c r="BR62" s="174"/>
      <c r="BS62" s="174"/>
      <c r="BT62" s="174"/>
      <c r="BU62" s="174"/>
      <c r="BV62" s="174"/>
      <c r="BW62" s="174"/>
      <c r="BX62" s="174"/>
      <c r="BY62" s="174"/>
      <c r="BZ62" s="174"/>
      <c r="CA62" s="174"/>
      <c r="CB62" s="174"/>
      <c r="CC62" s="174"/>
      <c r="CD62" s="174"/>
      <c r="CE62" s="174"/>
      <c r="CF62" s="174"/>
      <c r="CG62" s="174"/>
      <c r="CH62" s="175"/>
    </row>
    <row r="63" spans="6:86" x14ac:dyDescent="0.3">
      <c r="F63" s="152">
        <v>1</v>
      </c>
      <c r="L63" s="196"/>
      <c r="AW63" s="174"/>
      <c r="AX63" s="174"/>
      <c r="AY63" s="174"/>
      <c r="AZ63" s="174"/>
      <c r="BA63" s="174"/>
      <c r="BB63" s="174"/>
      <c r="BC63" s="174"/>
      <c r="BD63" s="174"/>
      <c r="BE63" s="174"/>
      <c r="BF63" s="174"/>
      <c r="BG63" s="174"/>
      <c r="BH63" s="174"/>
      <c r="BI63" s="174"/>
      <c r="BJ63" s="174"/>
      <c r="BK63" s="174"/>
      <c r="BL63" s="174"/>
      <c r="BM63" s="174"/>
      <c r="BN63" s="174"/>
      <c r="BO63" s="174"/>
      <c r="BP63" s="174"/>
      <c r="BQ63" s="174"/>
      <c r="BR63" s="174"/>
      <c r="BS63" s="174"/>
      <c r="BT63" s="174"/>
      <c r="BU63" s="174"/>
      <c r="BV63" s="174"/>
      <c r="BW63" s="174"/>
      <c r="BX63" s="174"/>
      <c r="BY63" s="174"/>
      <c r="BZ63" s="174"/>
      <c r="CA63" s="174"/>
      <c r="CB63" s="174"/>
      <c r="CC63" s="174"/>
      <c r="CD63" s="174"/>
      <c r="CE63" s="174"/>
      <c r="CF63" s="174"/>
      <c r="CG63" s="174"/>
      <c r="CH63" s="175"/>
    </row>
    <row r="64" spans="6:86" x14ac:dyDescent="0.3">
      <c r="F64" s="152">
        <v>1</v>
      </c>
      <c r="L64" s="196"/>
      <c r="AW64" s="174"/>
      <c r="AX64" s="174"/>
      <c r="AY64" s="174"/>
      <c r="AZ64" s="174"/>
      <c r="BA64" s="174"/>
      <c r="BB64" s="174"/>
      <c r="BC64" s="174"/>
      <c r="BD64" s="174"/>
      <c r="BE64" s="174"/>
      <c r="BF64" s="174"/>
      <c r="BG64" s="174"/>
      <c r="BH64" s="174"/>
      <c r="BI64" s="174"/>
      <c r="BJ64" s="174"/>
      <c r="BK64" s="174"/>
      <c r="BL64" s="174"/>
      <c r="BM64" s="174"/>
      <c r="BN64" s="174"/>
      <c r="BO64" s="174"/>
      <c r="BP64" s="174"/>
      <c r="BQ64" s="174"/>
      <c r="BR64" s="174"/>
      <c r="BS64" s="174"/>
      <c r="BT64" s="174"/>
      <c r="BU64" s="174"/>
      <c r="BV64" s="174"/>
      <c r="BW64" s="174"/>
      <c r="BX64" s="174"/>
      <c r="BY64" s="174"/>
      <c r="BZ64" s="174"/>
      <c r="CA64" s="174"/>
      <c r="CB64" s="174"/>
      <c r="CC64" s="174"/>
      <c r="CD64" s="174"/>
      <c r="CE64" s="174"/>
      <c r="CF64" s="174"/>
      <c r="CG64" s="174"/>
      <c r="CH64" s="175"/>
    </row>
    <row r="65" spans="6:86" x14ac:dyDescent="0.3">
      <c r="F65" s="152">
        <v>1</v>
      </c>
      <c r="L65" s="196"/>
      <c r="AW65" s="174"/>
      <c r="AX65" s="174"/>
      <c r="AY65" s="174"/>
      <c r="AZ65" s="174"/>
      <c r="BA65" s="174"/>
      <c r="BB65" s="174"/>
      <c r="BC65" s="174"/>
      <c r="BD65" s="174"/>
      <c r="BE65" s="174"/>
      <c r="BF65" s="174"/>
      <c r="BG65" s="174"/>
      <c r="BH65" s="174"/>
      <c r="BI65" s="174"/>
      <c r="BJ65" s="174"/>
      <c r="BK65" s="174"/>
      <c r="BL65" s="174"/>
      <c r="BM65" s="174"/>
      <c r="BN65" s="174"/>
      <c r="BO65" s="174"/>
      <c r="BP65" s="174"/>
      <c r="BQ65" s="174"/>
      <c r="BR65" s="174"/>
      <c r="BS65" s="174"/>
      <c r="BT65" s="174"/>
      <c r="BU65" s="174"/>
      <c r="BV65" s="174"/>
      <c r="BW65" s="174"/>
      <c r="BX65" s="174"/>
      <c r="BY65" s="174"/>
      <c r="BZ65" s="174"/>
      <c r="CA65" s="174"/>
      <c r="CB65" s="174"/>
      <c r="CC65" s="174"/>
      <c r="CD65" s="174"/>
      <c r="CE65" s="174"/>
      <c r="CF65" s="174"/>
      <c r="CG65" s="174"/>
      <c r="CH65" s="175"/>
    </row>
    <row r="66" spans="6:86" x14ac:dyDescent="0.3">
      <c r="F66" s="152">
        <v>1</v>
      </c>
      <c r="L66" s="196"/>
      <c r="AW66" s="174"/>
      <c r="AX66" s="174"/>
      <c r="AY66" s="174"/>
      <c r="AZ66" s="174"/>
      <c r="BA66" s="174"/>
      <c r="BB66" s="174"/>
      <c r="BC66" s="174"/>
      <c r="BD66" s="174"/>
      <c r="BE66" s="174"/>
      <c r="BF66" s="174"/>
      <c r="BG66" s="174"/>
      <c r="BH66" s="174"/>
      <c r="BI66" s="174"/>
      <c r="BJ66" s="174"/>
      <c r="BK66" s="174"/>
      <c r="BL66" s="174"/>
      <c r="BM66" s="174"/>
      <c r="BN66" s="174"/>
      <c r="BO66" s="174"/>
      <c r="BP66" s="174"/>
      <c r="BQ66" s="174"/>
      <c r="BR66" s="174"/>
      <c r="BS66" s="174"/>
      <c r="BT66" s="174"/>
      <c r="BU66" s="174"/>
      <c r="BV66" s="174"/>
      <c r="BW66" s="174"/>
      <c r="BX66" s="174"/>
      <c r="BY66" s="174"/>
      <c r="BZ66" s="174"/>
      <c r="CA66" s="174"/>
      <c r="CB66" s="174"/>
      <c r="CC66" s="174"/>
      <c r="CD66" s="174"/>
      <c r="CE66" s="174"/>
      <c r="CF66" s="174"/>
      <c r="CG66" s="174"/>
      <c r="CH66" s="175"/>
    </row>
    <row r="67" spans="6:86" x14ac:dyDescent="0.3">
      <c r="F67" s="152">
        <v>1</v>
      </c>
      <c r="L67" s="196"/>
      <c r="AW67" s="174"/>
      <c r="AX67" s="174"/>
      <c r="AY67" s="174"/>
      <c r="AZ67" s="174"/>
      <c r="BA67" s="174"/>
      <c r="BB67" s="174"/>
      <c r="BC67" s="174"/>
      <c r="BD67" s="174"/>
      <c r="BE67" s="174"/>
      <c r="BF67" s="174"/>
      <c r="BG67" s="174"/>
      <c r="BH67" s="174"/>
      <c r="BI67" s="174"/>
      <c r="BJ67" s="174"/>
      <c r="BK67" s="174"/>
      <c r="BL67" s="174"/>
      <c r="BM67" s="174"/>
      <c r="BN67" s="174"/>
      <c r="BO67" s="174"/>
      <c r="BP67" s="174"/>
      <c r="BQ67" s="174"/>
      <c r="BR67" s="174"/>
      <c r="BS67" s="174"/>
      <c r="BT67" s="174"/>
      <c r="BU67" s="174"/>
      <c r="BV67" s="174"/>
      <c r="BW67" s="174"/>
      <c r="BX67" s="174"/>
      <c r="BY67" s="174"/>
      <c r="BZ67" s="174"/>
      <c r="CA67" s="174"/>
      <c r="CB67" s="174"/>
      <c r="CC67" s="174"/>
      <c r="CD67" s="174"/>
      <c r="CE67" s="174"/>
      <c r="CF67" s="174"/>
      <c r="CG67" s="174"/>
      <c r="CH67" s="175"/>
    </row>
    <row r="68" spans="6:86" x14ac:dyDescent="0.3">
      <c r="F68" s="152">
        <v>1</v>
      </c>
      <c r="L68" s="196"/>
      <c r="AW68" s="174"/>
      <c r="AX68" s="174"/>
      <c r="AY68" s="174"/>
      <c r="AZ68" s="174"/>
      <c r="BA68" s="174"/>
      <c r="BB68" s="174"/>
      <c r="BC68" s="174"/>
      <c r="BD68" s="174"/>
      <c r="BE68" s="174"/>
      <c r="BF68" s="174"/>
      <c r="BG68" s="174"/>
      <c r="BH68" s="174"/>
      <c r="BI68" s="174"/>
      <c r="BJ68" s="174"/>
      <c r="BK68" s="174"/>
      <c r="BL68" s="174"/>
      <c r="BM68" s="174"/>
      <c r="BN68" s="174"/>
      <c r="BO68" s="174"/>
      <c r="BP68" s="174"/>
      <c r="BQ68" s="174"/>
      <c r="BR68" s="174"/>
      <c r="BS68" s="174"/>
      <c r="BT68" s="174"/>
      <c r="BU68" s="174"/>
      <c r="BV68" s="174"/>
      <c r="BW68" s="174"/>
      <c r="BX68" s="174"/>
      <c r="BY68" s="174"/>
      <c r="BZ68" s="174"/>
      <c r="CA68" s="174"/>
      <c r="CB68" s="174"/>
      <c r="CC68" s="174"/>
      <c r="CD68" s="174"/>
      <c r="CE68" s="174"/>
      <c r="CF68" s="174"/>
      <c r="CG68" s="174"/>
      <c r="CH68" s="175"/>
    </row>
    <row r="69" spans="6:86" x14ac:dyDescent="0.3">
      <c r="F69" s="152">
        <v>1</v>
      </c>
      <c r="L69" s="196"/>
    </row>
    <row r="70" spans="6:86" x14ac:dyDescent="0.3">
      <c r="F70" s="152">
        <v>1</v>
      </c>
      <c r="L70" s="196"/>
    </row>
    <row r="71" spans="6:86" x14ac:dyDescent="0.3">
      <c r="F71" s="152">
        <v>1</v>
      </c>
      <c r="L71" s="196"/>
    </row>
    <row r="72" spans="6:86" x14ac:dyDescent="0.3">
      <c r="F72" s="152">
        <v>1</v>
      </c>
      <c r="L72" s="196"/>
    </row>
    <row r="73" spans="6:86" x14ac:dyDescent="0.3">
      <c r="L73" s="196"/>
    </row>
    <row r="74" spans="6:86" x14ac:dyDescent="0.3">
      <c r="L74" s="196"/>
    </row>
    <row r="75" spans="6:86" x14ac:dyDescent="0.3">
      <c r="L75" s="196"/>
    </row>
    <row r="76" spans="6:86" x14ac:dyDescent="0.3">
      <c r="L76" s="196"/>
    </row>
    <row r="77" spans="6:86" x14ac:dyDescent="0.3">
      <c r="L77" s="196"/>
    </row>
    <row r="78" spans="6:86" x14ac:dyDescent="0.3">
      <c r="L78" s="196"/>
    </row>
    <row r="79" spans="6:86" x14ac:dyDescent="0.3">
      <c r="L79" s="196"/>
    </row>
    <row r="80" spans="6:86" x14ac:dyDescent="0.3">
      <c r="L80" s="196"/>
    </row>
    <row r="81" spans="12:12" x14ac:dyDescent="0.3">
      <c r="L81" s="196"/>
    </row>
    <row r="82" spans="12:12" x14ac:dyDescent="0.3">
      <c r="L82" s="196"/>
    </row>
    <row r="83" spans="12:12" x14ac:dyDescent="0.3">
      <c r="L83" s="196"/>
    </row>
    <row r="84" spans="12:12" x14ac:dyDescent="0.3">
      <c r="L84" s="196"/>
    </row>
    <row r="85" spans="12:12" x14ac:dyDescent="0.3">
      <c r="L85" s="196"/>
    </row>
    <row r="86" spans="12:12" x14ac:dyDescent="0.3">
      <c r="L86" s="196"/>
    </row>
    <row r="87" spans="12:12" x14ac:dyDescent="0.3">
      <c r="L87" s="196"/>
    </row>
    <row r="88" spans="12:12" x14ac:dyDescent="0.3">
      <c r="L88" s="196"/>
    </row>
    <row r="89" spans="12:12" x14ac:dyDescent="0.3">
      <c r="L89" s="196"/>
    </row>
    <row r="90" spans="12:12" x14ac:dyDescent="0.3">
      <c r="L90" s="196"/>
    </row>
    <row r="91" spans="12:12" x14ac:dyDescent="0.3">
      <c r="L91" s="196"/>
    </row>
    <row r="92" spans="12:12" x14ac:dyDescent="0.3">
      <c r="L92" s="196"/>
    </row>
    <row r="93" spans="12:12" x14ac:dyDescent="0.3">
      <c r="L93" s="196"/>
    </row>
    <row r="94" spans="12:12" x14ac:dyDescent="0.3">
      <c r="L94" s="196"/>
    </row>
    <row r="95" spans="12:12" x14ac:dyDescent="0.3">
      <c r="L95" s="196"/>
    </row>
    <row r="96" spans="12:12" x14ac:dyDescent="0.3">
      <c r="L96" s="196"/>
    </row>
    <row r="97" spans="12:12" x14ac:dyDescent="0.3">
      <c r="L97" s="196"/>
    </row>
    <row r="98" spans="12:12" x14ac:dyDescent="0.3">
      <c r="L98" s="196"/>
    </row>
    <row r="99" spans="12:12" x14ac:dyDescent="0.3">
      <c r="L99" s="196"/>
    </row>
    <row r="100" spans="12:12" x14ac:dyDescent="0.3">
      <c r="L100" s="196"/>
    </row>
    <row r="101" spans="12:12" x14ac:dyDescent="0.3">
      <c r="L101" s="196"/>
    </row>
    <row r="102" spans="12:12" x14ac:dyDescent="0.3">
      <c r="L102" s="196"/>
    </row>
    <row r="103" spans="12:12" x14ac:dyDescent="0.3">
      <c r="L103" s="196"/>
    </row>
    <row r="104" spans="12:12" x14ac:dyDescent="0.3">
      <c r="L104" s="196"/>
    </row>
    <row r="105" spans="12:12" x14ac:dyDescent="0.3">
      <c r="L105" s="196"/>
    </row>
    <row r="106" spans="12:12" x14ac:dyDescent="0.3">
      <c r="L106" s="196"/>
    </row>
    <row r="107" spans="12:12" x14ac:dyDescent="0.3">
      <c r="L107" s="196"/>
    </row>
    <row r="108" spans="12:12" x14ac:dyDescent="0.3">
      <c r="L108" s="196"/>
    </row>
    <row r="109" spans="12:12" x14ac:dyDescent="0.3">
      <c r="L109" s="196"/>
    </row>
    <row r="110" spans="12:12" x14ac:dyDescent="0.3">
      <c r="L110" s="196"/>
    </row>
    <row r="111" spans="12:12" x14ac:dyDescent="0.3">
      <c r="L111" s="196"/>
    </row>
    <row r="112" spans="12:12" x14ac:dyDescent="0.3">
      <c r="L112" s="196"/>
    </row>
    <row r="113" spans="12:12" x14ac:dyDescent="0.3">
      <c r="L113" s="196"/>
    </row>
    <row r="114" spans="12:12" x14ac:dyDescent="0.3">
      <c r="L114" s="196"/>
    </row>
    <row r="115" spans="12:12" x14ac:dyDescent="0.3">
      <c r="L115" s="196"/>
    </row>
    <row r="116" spans="12:12" x14ac:dyDescent="0.3">
      <c r="L116" s="196"/>
    </row>
    <row r="117" spans="12:12" x14ac:dyDescent="0.3">
      <c r="L117" s="196"/>
    </row>
    <row r="118" spans="12:12" x14ac:dyDescent="0.3">
      <c r="L118" s="196"/>
    </row>
    <row r="119" spans="12:12" x14ac:dyDescent="0.3">
      <c r="L119" s="196"/>
    </row>
    <row r="120" spans="12:12" x14ac:dyDescent="0.3">
      <c r="L120" s="196"/>
    </row>
    <row r="121" spans="12:12" x14ac:dyDescent="0.3">
      <c r="L121" s="196"/>
    </row>
    <row r="122" spans="12:12" x14ac:dyDescent="0.3">
      <c r="L122" s="196"/>
    </row>
    <row r="123" spans="12:12" x14ac:dyDescent="0.3">
      <c r="L123" s="196"/>
    </row>
    <row r="124" spans="12:12" x14ac:dyDescent="0.3">
      <c r="L124" s="196"/>
    </row>
    <row r="125" spans="12:12" x14ac:dyDescent="0.3">
      <c r="L125" s="196"/>
    </row>
    <row r="126" spans="12:12" x14ac:dyDescent="0.3">
      <c r="L126" s="196"/>
    </row>
    <row r="127" spans="12:12" x14ac:dyDescent="0.3">
      <c r="L127" s="196"/>
    </row>
    <row r="128" spans="12:12" x14ac:dyDescent="0.3">
      <c r="L128" s="196"/>
    </row>
    <row r="129" spans="12:12" x14ac:dyDescent="0.3">
      <c r="L129" s="196"/>
    </row>
    <row r="130" spans="12:12" x14ac:dyDescent="0.3">
      <c r="L130" s="196"/>
    </row>
    <row r="131" spans="12:12" x14ac:dyDescent="0.3">
      <c r="L131" s="196"/>
    </row>
    <row r="132" spans="12:12" x14ac:dyDescent="0.3">
      <c r="L132" s="196"/>
    </row>
    <row r="133" spans="12:12" x14ac:dyDescent="0.3">
      <c r="L133" s="196"/>
    </row>
    <row r="134" spans="12:12" x14ac:dyDescent="0.3">
      <c r="L134" s="196"/>
    </row>
    <row r="135" spans="12:12" x14ac:dyDescent="0.3">
      <c r="L135" s="196"/>
    </row>
    <row r="136" spans="12:12" x14ac:dyDescent="0.3">
      <c r="L136" s="196"/>
    </row>
    <row r="137" spans="12:12" x14ac:dyDescent="0.3">
      <c r="L137" s="196"/>
    </row>
    <row r="138" spans="12:12" x14ac:dyDescent="0.3">
      <c r="L138" s="196"/>
    </row>
    <row r="139" spans="12:12" x14ac:dyDescent="0.3">
      <c r="L139" s="196"/>
    </row>
    <row r="140" spans="12:12" x14ac:dyDescent="0.3">
      <c r="L140" s="196"/>
    </row>
    <row r="141" spans="12:12" x14ac:dyDescent="0.3">
      <c r="L141" s="196"/>
    </row>
    <row r="142" spans="12:12" x14ac:dyDescent="0.3">
      <c r="L142" s="196"/>
    </row>
    <row r="143" spans="12:12" x14ac:dyDescent="0.3">
      <c r="L143" s="196"/>
    </row>
    <row r="144" spans="12:12" x14ac:dyDescent="0.3">
      <c r="L144" s="196"/>
    </row>
    <row r="145" spans="12:12" x14ac:dyDescent="0.3">
      <c r="L145" s="196"/>
    </row>
    <row r="146" spans="12:12" x14ac:dyDescent="0.3">
      <c r="L146" s="196"/>
    </row>
    <row r="147" spans="12:12" x14ac:dyDescent="0.3">
      <c r="L147" s="196"/>
    </row>
    <row r="148" spans="12:12" x14ac:dyDescent="0.3">
      <c r="L148" s="196"/>
    </row>
    <row r="149" spans="12:12" x14ac:dyDescent="0.3">
      <c r="L149" s="196"/>
    </row>
    <row r="150" spans="12:12" x14ac:dyDescent="0.3">
      <c r="L150" s="196"/>
    </row>
    <row r="151" spans="12:12" x14ac:dyDescent="0.3">
      <c r="L151" s="196"/>
    </row>
    <row r="152" spans="12:12" x14ac:dyDescent="0.3">
      <c r="L152" s="196"/>
    </row>
    <row r="153" spans="12:12" x14ac:dyDescent="0.3">
      <c r="L153" s="196"/>
    </row>
    <row r="154" spans="12:12" x14ac:dyDescent="0.3">
      <c r="L154" s="196"/>
    </row>
    <row r="155" spans="12:12" x14ac:dyDescent="0.3">
      <c r="L155" s="196"/>
    </row>
    <row r="156" spans="12:12" x14ac:dyDescent="0.3">
      <c r="L156" s="196"/>
    </row>
    <row r="157" spans="12:12" x14ac:dyDescent="0.3">
      <c r="L157" s="196"/>
    </row>
    <row r="158" spans="12:12" x14ac:dyDescent="0.3">
      <c r="L158" s="196"/>
    </row>
    <row r="159" spans="12:12" x14ac:dyDescent="0.3">
      <c r="L159" s="196"/>
    </row>
    <row r="160" spans="12:12" x14ac:dyDescent="0.3">
      <c r="L160" s="196"/>
    </row>
    <row r="161" spans="12:12" x14ac:dyDescent="0.3">
      <c r="L161" s="196"/>
    </row>
    <row r="162" spans="12:12" x14ac:dyDescent="0.3">
      <c r="L162" s="196"/>
    </row>
    <row r="163" spans="12:12" x14ac:dyDescent="0.3">
      <c r="L163" s="196"/>
    </row>
    <row r="164" spans="12:12" x14ac:dyDescent="0.3">
      <c r="L164" s="196"/>
    </row>
    <row r="165" spans="12:12" x14ac:dyDescent="0.3">
      <c r="L165" s="196"/>
    </row>
    <row r="166" spans="12:12" x14ac:dyDescent="0.3">
      <c r="L166" s="196"/>
    </row>
    <row r="167" spans="12:12" x14ac:dyDescent="0.3">
      <c r="L167" s="196"/>
    </row>
    <row r="168" spans="12:12" x14ac:dyDescent="0.3">
      <c r="L168" s="196"/>
    </row>
    <row r="169" spans="12:12" x14ac:dyDescent="0.3">
      <c r="L169" s="196"/>
    </row>
    <row r="170" spans="12:12" x14ac:dyDescent="0.3">
      <c r="L170" s="196"/>
    </row>
    <row r="171" spans="12:12" x14ac:dyDescent="0.3">
      <c r="L171" s="196"/>
    </row>
    <row r="172" spans="12:12" x14ac:dyDescent="0.3">
      <c r="L172" s="196"/>
    </row>
    <row r="173" spans="12:12" x14ac:dyDescent="0.3">
      <c r="L173" s="196"/>
    </row>
    <row r="174" spans="12:12" x14ac:dyDescent="0.3">
      <c r="L174" s="196"/>
    </row>
    <row r="175" spans="12:12" x14ac:dyDescent="0.3">
      <c r="L175" s="196"/>
    </row>
    <row r="176" spans="12:12" x14ac:dyDescent="0.3">
      <c r="L176" s="196"/>
    </row>
    <row r="177" spans="12:12" x14ac:dyDescent="0.3">
      <c r="L177" s="196"/>
    </row>
    <row r="178" spans="12:12" x14ac:dyDescent="0.3">
      <c r="L178" s="196"/>
    </row>
    <row r="179" spans="12:12" x14ac:dyDescent="0.3">
      <c r="L179" s="196"/>
    </row>
    <row r="180" spans="12:12" x14ac:dyDescent="0.3">
      <c r="L180" s="196"/>
    </row>
    <row r="181" spans="12:12" x14ac:dyDescent="0.3">
      <c r="L181" s="196"/>
    </row>
    <row r="182" spans="12:12" x14ac:dyDescent="0.3">
      <c r="L182" s="196"/>
    </row>
    <row r="183" spans="12:12" x14ac:dyDescent="0.3">
      <c r="L183" s="196"/>
    </row>
    <row r="184" spans="12:12" x14ac:dyDescent="0.3">
      <c r="L184" s="196"/>
    </row>
    <row r="185" spans="12:12" x14ac:dyDescent="0.3">
      <c r="L185" s="196"/>
    </row>
    <row r="186" spans="12:12" x14ac:dyDescent="0.3">
      <c r="L186" s="196"/>
    </row>
    <row r="187" spans="12:12" x14ac:dyDescent="0.3">
      <c r="L187" s="196"/>
    </row>
    <row r="188" spans="12:12" x14ac:dyDescent="0.3">
      <c r="L188" s="196"/>
    </row>
    <row r="189" spans="12:12" x14ac:dyDescent="0.3">
      <c r="L189" s="196"/>
    </row>
    <row r="190" spans="12:12" x14ac:dyDescent="0.3">
      <c r="L190" s="196"/>
    </row>
    <row r="191" spans="12:12" x14ac:dyDescent="0.3">
      <c r="L191" s="196"/>
    </row>
    <row r="192" spans="12:12" x14ac:dyDescent="0.3">
      <c r="L192" s="196"/>
    </row>
    <row r="193" spans="12:12" x14ac:dyDescent="0.3">
      <c r="L193" s="196"/>
    </row>
    <row r="194" spans="12:12" x14ac:dyDescent="0.3">
      <c r="L194" s="196"/>
    </row>
    <row r="195" spans="12:12" x14ac:dyDescent="0.3">
      <c r="L195" s="196"/>
    </row>
    <row r="196" spans="12:12" x14ac:dyDescent="0.3">
      <c r="L196" s="196"/>
    </row>
    <row r="197" spans="12:12" x14ac:dyDescent="0.3">
      <c r="L197" s="196"/>
    </row>
    <row r="198" spans="12:12" x14ac:dyDescent="0.3">
      <c r="L198" s="196"/>
    </row>
    <row r="199" spans="12:12" x14ac:dyDescent="0.3">
      <c r="L199" s="196"/>
    </row>
    <row r="200" spans="12:12" x14ac:dyDescent="0.3">
      <c r="L200" s="196"/>
    </row>
    <row r="201" spans="12:12" x14ac:dyDescent="0.3">
      <c r="L201" s="196"/>
    </row>
    <row r="202" spans="12:12" x14ac:dyDescent="0.3">
      <c r="L202" s="196"/>
    </row>
    <row r="203" spans="12:12" x14ac:dyDescent="0.3">
      <c r="L203" s="196"/>
    </row>
    <row r="204" spans="12:12" x14ac:dyDescent="0.3">
      <c r="L204" s="196"/>
    </row>
    <row r="205" spans="12:12" x14ac:dyDescent="0.3">
      <c r="L205" s="196"/>
    </row>
    <row r="206" spans="12:12" x14ac:dyDescent="0.3">
      <c r="L206" s="196"/>
    </row>
    <row r="207" spans="12:12" x14ac:dyDescent="0.3">
      <c r="L207" s="196"/>
    </row>
    <row r="208" spans="12:12" x14ac:dyDescent="0.3">
      <c r="L208" s="196"/>
    </row>
    <row r="209" spans="12:12" x14ac:dyDescent="0.3">
      <c r="L209" s="196"/>
    </row>
    <row r="210" spans="12:12" x14ac:dyDescent="0.3">
      <c r="L210" s="196"/>
    </row>
    <row r="211" spans="12:12" x14ac:dyDescent="0.3">
      <c r="L211" s="196"/>
    </row>
    <row r="212" spans="12:12" x14ac:dyDescent="0.3">
      <c r="L212" s="196"/>
    </row>
    <row r="213" spans="12:12" x14ac:dyDescent="0.3">
      <c r="L213" s="196"/>
    </row>
    <row r="214" spans="12:12" x14ac:dyDescent="0.3">
      <c r="L214" s="196"/>
    </row>
    <row r="215" spans="12:12" x14ac:dyDescent="0.3">
      <c r="L215" s="196"/>
    </row>
    <row r="216" spans="12:12" x14ac:dyDescent="0.3">
      <c r="L216" s="196"/>
    </row>
    <row r="217" spans="12:12" x14ac:dyDescent="0.3">
      <c r="L217" s="196"/>
    </row>
    <row r="218" spans="12:12" x14ac:dyDescent="0.3">
      <c r="L218" s="196"/>
    </row>
    <row r="219" spans="12:12" x14ac:dyDescent="0.3">
      <c r="L219" s="196"/>
    </row>
    <row r="220" spans="12:12" x14ac:dyDescent="0.3">
      <c r="L220" s="196"/>
    </row>
    <row r="221" spans="12:12" x14ac:dyDescent="0.3">
      <c r="L221" s="196"/>
    </row>
    <row r="222" spans="12:12" x14ac:dyDescent="0.3">
      <c r="L222" s="196"/>
    </row>
    <row r="223" spans="12:12" x14ac:dyDescent="0.3">
      <c r="L223" s="196"/>
    </row>
    <row r="224" spans="12:12" x14ac:dyDescent="0.3">
      <c r="L224" s="196"/>
    </row>
    <row r="225" spans="12:12" x14ac:dyDescent="0.3">
      <c r="L225" s="196"/>
    </row>
    <row r="226" spans="12:12" x14ac:dyDescent="0.3">
      <c r="L226" s="196"/>
    </row>
    <row r="227" spans="12:12" x14ac:dyDescent="0.3">
      <c r="L227" s="196"/>
    </row>
    <row r="228" spans="12:12" x14ac:dyDescent="0.3">
      <c r="L228" s="196"/>
    </row>
    <row r="229" spans="12:12" x14ac:dyDescent="0.3">
      <c r="L229" s="196"/>
    </row>
    <row r="230" spans="12:12" x14ac:dyDescent="0.3">
      <c r="L230" s="196"/>
    </row>
    <row r="231" spans="12:12" x14ac:dyDescent="0.3">
      <c r="L231" s="196"/>
    </row>
    <row r="232" spans="12:12" x14ac:dyDescent="0.3">
      <c r="L232" s="196"/>
    </row>
    <row r="233" spans="12:12" x14ac:dyDescent="0.3">
      <c r="L233" s="196"/>
    </row>
    <row r="234" spans="12:12" x14ac:dyDescent="0.3">
      <c r="L234" s="196"/>
    </row>
    <row r="235" spans="12:12" x14ac:dyDescent="0.3">
      <c r="L235" s="196"/>
    </row>
    <row r="236" spans="12:12" x14ac:dyDescent="0.3">
      <c r="L236" s="196"/>
    </row>
    <row r="237" spans="12:12" x14ac:dyDescent="0.3">
      <c r="L237" s="196"/>
    </row>
    <row r="238" spans="12:12" x14ac:dyDescent="0.3">
      <c r="L238" s="196"/>
    </row>
    <row r="239" spans="12:12" x14ac:dyDescent="0.3">
      <c r="L239" s="196"/>
    </row>
    <row r="240" spans="12:12" x14ac:dyDescent="0.3">
      <c r="L240" s="196"/>
    </row>
    <row r="241" spans="12:12" x14ac:dyDescent="0.3">
      <c r="L241" s="196"/>
    </row>
    <row r="242" spans="12:12" x14ac:dyDescent="0.3">
      <c r="L242" s="196"/>
    </row>
    <row r="243" spans="12:12" x14ac:dyDescent="0.3">
      <c r="L243" s="196"/>
    </row>
    <row r="244" spans="12:12" x14ac:dyDescent="0.3">
      <c r="L244" s="196"/>
    </row>
    <row r="245" spans="12:12" x14ac:dyDescent="0.3">
      <c r="L245" s="196"/>
    </row>
    <row r="246" spans="12:12" x14ac:dyDescent="0.3">
      <c r="L246" s="196"/>
    </row>
    <row r="247" spans="12:12" x14ac:dyDescent="0.3">
      <c r="L247" s="196"/>
    </row>
    <row r="248" spans="12:12" x14ac:dyDescent="0.3">
      <c r="L248" s="196"/>
    </row>
    <row r="249" spans="12:12" x14ac:dyDescent="0.3">
      <c r="L249" s="196"/>
    </row>
    <row r="250" spans="12:12" x14ac:dyDescent="0.3">
      <c r="L250" s="196"/>
    </row>
    <row r="251" spans="12:12" x14ac:dyDescent="0.3">
      <c r="L251" s="196"/>
    </row>
    <row r="252" spans="12:12" x14ac:dyDescent="0.3">
      <c r="L252" s="196"/>
    </row>
    <row r="253" spans="12:12" x14ac:dyDescent="0.3">
      <c r="L253" s="196"/>
    </row>
    <row r="254" spans="12:12" x14ac:dyDescent="0.3">
      <c r="L254" s="196"/>
    </row>
    <row r="255" spans="12:12" x14ac:dyDescent="0.3">
      <c r="L255" s="196"/>
    </row>
  </sheetData>
  <mergeCells count="2">
    <mergeCell ref="R3:S3"/>
    <mergeCell ref="U3:V3"/>
  </mergeCells>
  <phoneticPr fontId="26" type="noConversion"/>
  <conditionalFormatting sqref="AM27:AP36 Q27:Q36 N27:N36">
    <cfRule type="expression" dxfId="118" priority="12">
      <formula>$L27="API sand"</formula>
    </cfRule>
  </conditionalFormatting>
  <conditionalFormatting sqref="R27:S36 AB27:AB35 AJ27:AL36 Z27:Z36 N27:N36">
    <cfRule type="expression" dxfId="117" priority="11">
      <formula>$M27="API sand"</formula>
    </cfRule>
  </conditionalFormatting>
  <conditionalFormatting sqref="R27:T36 Z27:AB35 AK27:AL36 N27:N36">
    <cfRule type="expression" dxfId="116" priority="10">
      <formula>$M27="API clay"</formula>
    </cfRule>
  </conditionalFormatting>
  <conditionalFormatting sqref="U27:W36 AM27:AP36 N27:P36">
    <cfRule type="expression" dxfId="115" priority="7">
      <formula>$L27="Stiff clay w/o free water"</formula>
    </cfRule>
    <cfRule type="expression" dxfId="114" priority="9">
      <formula>$L27="API clay"</formula>
    </cfRule>
  </conditionalFormatting>
  <conditionalFormatting sqref="U27:Y36 AM27:AP36 N27:P36">
    <cfRule type="expression" dxfId="113" priority="8">
      <formula>$L27="Kirsch soft clay"</formula>
    </cfRule>
  </conditionalFormatting>
  <conditionalFormatting sqref="U27:Y36 AM27:AP36 N27:P36">
    <cfRule type="expression" dxfId="112" priority="6">
      <formula>$L27="Kirsch stiff clay"</formula>
    </cfRule>
  </conditionalFormatting>
  <conditionalFormatting sqref="AM27:AP36 Q27:Q36 X27:Y36 N27:N36">
    <cfRule type="expression" dxfId="111" priority="5">
      <formula>$L27="Kirsch sand"</formula>
    </cfRule>
  </conditionalFormatting>
  <conditionalFormatting sqref="AC27:AD36 AI27:AI36 AM27:AP36 N27:N36">
    <cfRule type="expression" dxfId="110" priority="4">
      <formula>$L27="Modified Weak rock"</formula>
    </cfRule>
  </conditionalFormatting>
  <conditionalFormatting sqref="AM27:AP36 N27:P36 U27:V36">
    <cfRule type="expression" dxfId="109" priority="3">
      <formula>$L27="Reese stiff clay"</formula>
    </cfRule>
  </conditionalFormatting>
  <conditionalFormatting sqref="AB36">
    <cfRule type="expression" dxfId="108" priority="2">
      <formula>$M36="API sand"</formula>
    </cfRule>
  </conditionalFormatting>
  <conditionalFormatting sqref="Z36:AB36">
    <cfRule type="expression" dxfId="107" priority="1">
      <formula>$M36="API clay"</formula>
    </cfRule>
  </conditionalFormatting>
  <conditionalFormatting sqref="AE37:AH37">
    <cfRule type="expression" dxfId="106" priority="13">
      <formula>#REF!="Modified Weak rock"</formula>
    </cfRule>
  </conditionalFormatting>
  <dataValidations count="3">
    <dataValidation type="list" showInputMessage="1" showErrorMessage="1" sqref="M27:M36" xr:uid="{267367D3-CE70-411D-8B6F-94A73FFF1410}">
      <formula1>"',API sand,API clay"</formula1>
    </dataValidation>
    <dataValidation type="list" showInputMessage="1" showErrorMessage="1" sqref="L27:L255" xr:uid="{01EBD249-DC38-4755-87EE-9E43A8008BBD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L6:M26" xr:uid="{4B3C9098-F4BF-4030-A020-C71178DFC059}"/>
  </dataValidations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49165-9781-4B59-B45F-4B220D515255}">
  <dimension ref="A1"/>
  <sheetViews>
    <sheetView workbookViewId="0">
      <selection activeCell="J41" sqref="J41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441CD-C35B-491C-B5C8-16E8D10CD067}">
  <sheetPr codeName="Sheet6">
    <tabColor theme="7" tint="0.59999389629810485"/>
  </sheetPr>
  <dimension ref="A1:AS255"/>
  <sheetViews>
    <sheetView zoomScaleNormal="100" workbookViewId="0">
      <selection activeCell="L18" sqref="L18"/>
    </sheetView>
  </sheetViews>
  <sheetFormatPr defaultColWidth="9.109375" defaultRowHeight="14.4" x14ac:dyDescent="0.3"/>
  <cols>
    <col min="1" max="1" width="18" style="66" bestFit="1" customWidth="1"/>
    <col min="2" max="2" width="13.6640625" style="66" customWidth="1"/>
    <col min="3" max="3" width="13.5546875" style="66" customWidth="1"/>
    <col min="4" max="5" width="14" style="66" customWidth="1"/>
    <col min="6" max="6" width="13" style="66" bestFit="1" customWidth="1"/>
    <col min="7" max="7" width="13.5546875" style="66" customWidth="1"/>
    <col min="8" max="8" width="11" style="66" bestFit="1" customWidth="1"/>
    <col min="9" max="9" width="15.6640625" style="66" bestFit="1" customWidth="1"/>
    <col min="10" max="10" width="10.33203125" style="66" customWidth="1"/>
    <col min="11" max="11" width="11.5546875" style="66" bestFit="1" customWidth="1"/>
    <col min="12" max="12" width="27.6640625" style="66" customWidth="1"/>
    <col min="13" max="13" width="11.6640625" style="66" bestFit="1" customWidth="1"/>
    <col min="14" max="14" width="11" style="66" bestFit="1" customWidth="1"/>
    <col min="15" max="15" width="9.33203125" style="66" customWidth="1"/>
    <col min="16" max="16" width="10.5546875" style="66" customWidth="1"/>
    <col min="17" max="18" width="9.5546875" style="66" bestFit="1" customWidth="1"/>
    <col min="19" max="20" width="6.5546875" style="66" customWidth="1"/>
    <col min="21" max="21" width="13.33203125" style="66" customWidth="1"/>
    <col min="22" max="22" width="19.44140625" style="66" customWidth="1"/>
    <col min="23" max="23" width="6.5546875" style="66" customWidth="1"/>
    <col min="24" max="24" width="11.6640625" style="66" customWidth="1"/>
    <col min="25" max="25" width="8.44140625" style="66" bestFit="1" customWidth="1"/>
    <col min="26" max="26" width="11.6640625" style="66" customWidth="1"/>
    <col min="27" max="27" width="11" style="66" bestFit="1" customWidth="1"/>
    <col min="28" max="28" width="10.5546875" style="66" customWidth="1"/>
    <col min="29" max="29" width="14.6640625" style="66" customWidth="1"/>
    <col min="30" max="30" width="11.6640625" style="66" customWidth="1"/>
    <col min="31" max="31" width="10.33203125" style="66" customWidth="1"/>
    <col min="32" max="32" width="8.33203125" style="66" customWidth="1"/>
    <col min="33" max="33" width="13.6640625" style="66" customWidth="1"/>
    <col min="34" max="34" width="8.44140625" style="66" customWidth="1"/>
    <col min="35" max="35" width="7.6640625" style="66" customWidth="1"/>
    <col min="36" max="36" width="8.5546875" style="66" customWidth="1"/>
    <col min="37" max="37" width="11.33203125" style="66" bestFit="1" customWidth="1"/>
    <col min="38" max="38" width="11.44140625" style="66" bestFit="1" customWidth="1"/>
    <col min="39" max="39" width="11.6640625" style="66" bestFit="1" customWidth="1"/>
    <col min="40" max="40" width="11.5546875" style="66" bestFit="1" customWidth="1"/>
    <col min="41" max="42" width="11.5546875" style="66" customWidth="1"/>
    <col min="43" max="16384" width="9.109375" style="66"/>
  </cols>
  <sheetData>
    <row r="1" spans="1:45" x14ac:dyDescent="0.3">
      <c r="A1" s="37" t="str">
        <f ca="1">TRIM(MID(CELL("filename",A1),FIND("]",CELL("filename",A1),1)+1,255))</f>
        <v>Loc_69L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5" x14ac:dyDescent="0.3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5" s="68" customFormat="1" ht="15" customHeight="1" x14ac:dyDescent="0.3">
      <c r="A3"/>
      <c r="B3"/>
      <c r="C3"/>
      <c r="D3"/>
      <c r="E3"/>
      <c r="F3" s="37" t="s">
        <v>37</v>
      </c>
      <c r="G3"/>
      <c r="H3"/>
      <c r="I3"/>
      <c r="J3" s="37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5" x14ac:dyDescent="0.3">
      <c r="A4" t="s">
        <v>54</v>
      </c>
      <c r="B4">
        <f>COUNTIF(J:J,"&gt;0")</f>
        <v>11</v>
      </c>
      <c r="C4" t="s">
        <v>402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408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407</v>
      </c>
      <c r="AP4" t="s">
        <v>406</v>
      </c>
      <c r="AQ4" t="s">
        <v>405</v>
      </c>
      <c r="AR4" t="s">
        <v>404</v>
      </c>
      <c r="AS4" s="66" t="s">
        <v>403</v>
      </c>
    </row>
    <row r="5" spans="1:45" ht="16.2" x14ac:dyDescent="0.3">
      <c r="A5" t="s">
        <v>55</v>
      </c>
      <c r="B5">
        <f ca="1">COUNTIF(A:A,"&gt;0")</f>
        <v>1</v>
      </c>
      <c r="C5" t="s">
        <v>402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401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400</v>
      </c>
      <c r="AR5" t="s">
        <v>399</v>
      </c>
    </row>
    <row r="6" spans="1:45" x14ac:dyDescent="0.3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s="79" t="s">
        <v>382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66">
        <v>0.4</v>
      </c>
    </row>
    <row r="7" spans="1:45" x14ac:dyDescent="0.3">
      <c r="A7" s="37" t="s">
        <v>23</v>
      </c>
      <c r="B7"/>
      <c r="C7"/>
      <c r="D7"/>
      <c r="E7"/>
      <c r="F7" s="37" t="s">
        <v>44</v>
      </c>
      <c r="G7"/>
      <c r="H7"/>
      <c r="I7"/>
      <c r="J7">
        <v>2</v>
      </c>
      <c r="K7">
        <v>-0.65</v>
      </c>
      <c r="L7" t="s">
        <v>351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66">
        <v>0.4</v>
      </c>
    </row>
    <row r="8" spans="1:45" x14ac:dyDescent="0.3">
      <c r="A8" t="s">
        <v>24</v>
      </c>
      <c r="B8">
        <v>0</v>
      </c>
      <c r="C8" t="s">
        <v>398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330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66">
        <v>0.4</v>
      </c>
    </row>
    <row r="9" spans="1:45" x14ac:dyDescent="0.3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343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66">
        <v>0.4</v>
      </c>
    </row>
    <row r="10" spans="1:45" s="69" customFormat="1" x14ac:dyDescent="0.3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355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66">
        <v>0.4</v>
      </c>
    </row>
    <row r="11" spans="1:45" x14ac:dyDescent="0.3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333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66">
        <v>0.2</v>
      </c>
    </row>
    <row r="12" spans="1:45" x14ac:dyDescent="0.3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s="79" t="s">
        <v>382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66">
        <v>0.4</v>
      </c>
    </row>
    <row r="13" spans="1:45" x14ac:dyDescent="0.3">
      <c r="A13" t="s">
        <v>40</v>
      </c>
      <c r="B13">
        <v>78</v>
      </c>
      <c r="C13" t="s">
        <v>397</v>
      </c>
      <c r="D13"/>
      <c r="E13"/>
      <c r="F13" s="37" t="s">
        <v>50</v>
      </c>
      <c r="G13"/>
      <c r="H13"/>
      <c r="I13"/>
      <c r="J13">
        <v>8</v>
      </c>
      <c r="K13">
        <v>-38.1</v>
      </c>
      <c r="L13" t="s">
        <v>357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66">
        <v>0.4</v>
      </c>
    </row>
    <row r="14" spans="1:45" x14ac:dyDescent="0.3">
      <c r="A14" t="s">
        <v>41</v>
      </c>
      <c r="B14">
        <v>355000</v>
      </c>
      <c r="C14" t="s">
        <v>396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357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66">
        <v>0.4</v>
      </c>
    </row>
    <row r="15" spans="1:45" x14ac:dyDescent="0.3">
      <c r="A15" t="s">
        <v>42</v>
      </c>
      <c r="B15">
        <v>207000000</v>
      </c>
      <c r="C15" t="s">
        <v>396</v>
      </c>
      <c r="D15"/>
      <c r="E15"/>
      <c r="F15"/>
      <c r="G15"/>
      <c r="H15"/>
      <c r="I15"/>
      <c r="J15">
        <v>10</v>
      </c>
      <c r="K15">
        <v>-48.8</v>
      </c>
      <c r="L15" t="s">
        <v>357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66">
        <v>0.4</v>
      </c>
    </row>
    <row r="16" spans="1:45" x14ac:dyDescent="0.3">
      <c r="A16" t="s">
        <v>43</v>
      </c>
      <c r="B16">
        <v>79000000</v>
      </c>
      <c r="C16" t="s">
        <v>396</v>
      </c>
      <c r="D16"/>
      <c r="E16"/>
      <c r="F16"/>
      <c r="G16"/>
      <c r="H16"/>
      <c r="I16"/>
      <c r="J16">
        <v>11</v>
      </c>
      <c r="K16">
        <v>-65.5</v>
      </c>
      <c r="L16" s="79" t="s">
        <v>382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66">
        <v>0.4</v>
      </c>
    </row>
    <row r="17" spans="1:45" s="69" customFormat="1" x14ac:dyDescent="0.3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66"/>
    </row>
    <row r="18" spans="1:45" ht="22.5" customHeight="1" x14ac:dyDescent="0.3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5" x14ac:dyDescent="0.3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5" x14ac:dyDescent="0.3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5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5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5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5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5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5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5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5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5" x14ac:dyDescent="0.3">
      <c r="A29"/>
      <c r="B29"/>
      <c r="C29"/>
      <c r="D29"/>
      <c r="E29"/>
      <c r="F29"/>
      <c r="G29"/>
      <c r="H29"/>
      <c r="I29"/>
      <c r="J29"/>
      <c r="K29"/>
      <c r="L29"/>
      <c r="M29" t="s">
        <v>395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5" x14ac:dyDescent="0.3">
      <c r="A30"/>
      <c r="B30"/>
      <c r="C30"/>
      <c r="D30"/>
      <c r="E30"/>
      <c r="F30"/>
      <c r="G30"/>
      <c r="H30"/>
      <c r="I30"/>
      <c r="J30"/>
      <c r="K30"/>
      <c r="L30"/>
      <c r="M30" t="s">
        <v>395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5" x14ac:dyDescent="0.3">
      <c r="A31"/>
      <c r="B31"/>
      <c r="C31"/>
      <c r="D31"/>
      <c r="E31"/>
      <c r="F31"/>
      <c r="G31"/>
      <c r="H31"/>
      <c r="I31"/>
      <c r="J31"/>
      <c r="K31"/>
      <c r="L31"/>
      <c r="M31" t="s">
        <v>395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5" x14ac:dyDescent="0.3">
      <c r="A32"/>
      <c r="B32"/>
      <c r="C32"/>
      <c r="D32"/>
      <c r="E32"/>
      <c r="F32"/>
      <c r="G32"/>
      <c r="H32"/>
      <c r="I32"/>
      <c r="J32"/>
      <c r="K32"/>
      <c r="L32"/>
      <c r="M32" t="s">
        <v>395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3">
      <c r="A33"/>
      <c r="B33"/>
      <c r="C33"/>
      <c r="D33"/>
      <c r="E33"/>
      <c r="F33"/>
      <c r="G33"/>
      <c r="H33"/>
      <c r="I33"/>
      <c r="J33"/>
      <c r="K33"/>
      <c r="L33"/>
      <c r="M33" t="s">
        <v>395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3">
      <c r="A34"/>
      <c r="B34"/>
      <c r="C34"/>
      <c r="D34"/>
      <c r="E34"/>
      <c r="F34"/>
      <c r="G34"/>
      <c r="H34"/>
      <c r="I34"/>
      <c r="J34"/>
      <c r="K34"/>
      <c r="L34"/>
      <c r="M34" t="s">
        <v>395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3">
      <c r="A35"/>
      <c r="B35"/>
      <c r="C35"/>
      <c r="D35"/>
      <c r="E35"/>
      <c r="F35"/>
      <c r="G35"/>
      <c r="H35"/>
      <c r="I35"/>
      <c r="J35"/>
      <c r="K35"/>
      <c r="L35"/>
      <c r="M35" t="s">
        <v>395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3">
      <c r="A36"/>
      <c r="B36"/>
      <c r="C36"/>
      <c r="D36"/>
      <c r="E36"/>
      <c r="F36"/>
      <c r="G36"/>
      <c r="H36"/>
      <c r="I36"/>
      <c r="J36"/>
      <c r="K36"/>
      <c r="L36"/>
      <c r="M36" t="s">
        <v>395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3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394</v>
      </c>
      <c r="AG37" t="s">
        <v>393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3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392</v>
      </c>
      <c r="AF38" t="s">
        <v>391</v>
      </c>
      <c r="AG38" t="s">
        <v>390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3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3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3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3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3">
      <c r="L63" s="67"/>
    </row>
    <row r="64" spans="1:44" x14ac:dyDescent="0.3">
      <c r="L64" s="67"/>
    </row>
    <row r="65" spans="12:12" x14ac:dyDescent="0.3">
      <c r="L65" s="67"/>
    </row>
    <row r="66" spans="12:12" x14ac:dyDescent="0.3">
      <c r="L66" s="67"/>
    </row>
    <row r="67" spans="12:12" x14ac:dyDescent="0.3">
      <c r="L67" s="67"/>
    </row>
    <row r="68" spans="12:12" x14ac:dyDescent="0.3">
      <c r="L68" s="67"/>
    </row>
    <row r="69" spans="12:12" x14ac:dyDescent="0.3">
      <c r="L69" s="67"/>
    </row>
    <row r="70" spans="12:12" x14ac:dyDescent="0.3">
      <c r="L70" s="67"/>
    </row>
    <row r="71" spans="12:12" x14ac:dyDescent="0.3">
      <c r="L71" s="67"/>
    </row>
    <row r="72" spans="12:12" x14ac:dyDescent="0.3">
      <c r="L72" s="67"/>
    </row>
    <row r="73" spans="12:12" x14ac:dyDescent="0.3">
      <c r="L73" s="67"/>
    </row>
    <row r="74" spans="12:12" x14ac:dyDescent="0.3">
      <c r="L74" s="67"/>
    </row>
    <row r="75" spans="12:12" x14ac:dyDescent="0.3">
      <c r="L75" s="67"/>
    </row>
    <row r="76" spans="12:12" x14ac:dyDescent="0.3">
      <c r="L76" s="67"/>
    </row>
    <row r="77" spans="12:12" x14ac:dyDescent="0.3">
      <c r="L77" s="67"/>
    </row>
    <row r="78" spans="12:12" x14ac:dyDescent="0.3">
      <c r="L78" s="67"/>
    </row>
    <row r="79" spans="12:12" x14ac:dyDescent="0.3">
      <c r="L79" s="67"/>
    </row>
    <row r="80" spans="12:12" x14ac:dyDescent="0.3">
      <c r="L80" s="67"/>
    </row>
    <row r="81" spans="12:12" x14ac:dyDescent="0.3">
      <c r="L81" s="67"/>
    </row>
    <row r="82" spans="12:12" x14ac:dyDescent="0.3">
      <c r="L82" s="67"/>
    </row>
    <row r="83" spans="12:12" x14ac:dyDescent="0.3">
      <c r="L83" s="67"/>
    </row>
    <row r="84" spans="12:12" x14ac:dyDescent="0.3">
      <c r="L84" s="67"/>
    </row>
    <row r="85" spans="12:12" x14ac:dyDescent="0.3">
      <c r="L85" s="67"/>
    </row>
    <row r="86" spans="12:12" x14ac:dyDescent="0.3">
      <c r="L86" s="67"/>
    </row>
    <row r="87" spans="12:12" x14ac:dyDescent="0.3">
      <c r="L87" s="67"/>
    </row>
    <row r="88" spans="12:12" x14ac:dyDescent="0.3">
      <c r="L88" s="67"/>
    </row>
    <row r="89" spans="12:12" x14ac:dyDescent="0.3">
      <c r="L89" s="67"/>
    </row>
    <row r="90" spans="12:12" x14ac:dyDescent="0.3">
      <c r="L90" s="67"/>
    </row>
    <row r="91" spans="12:12" x14ac:dyDescent="0.3">
      <c r="L91" s="67"/>
    </row>
    <row r="92" spans="12:12" x14ac:dyDescent="0.3">
      <c r="L92" s="67"/>
    </row>
    <row r="93" spans="12:12" x14ac:dyDescent="0.3">
      <c r="L93" s="67"/>
    </row>
    <row r="94" spans="12:12" x14ac:dyDescent="0.3">
      <c r="L94" s="67"/>
    </row>
    <row r="95" spans="12:12" x14ac:dyDescent="0.3">
      <c r="L95" s="67"/>
    </row>
    <row r="96" spans="12:12" x14ac:dyDescent="0.3">
      <c r="L96" s="67"/>
    </row>
    <row r="97" spans="12:12" x14ac:dyDescent="0.3">
      <c r="L97" s="67"/>
    </row>
    <row r="98" spans="12:12" x14ac:dyDescent="0.3">
      <c r="L98" s="67"/>
    </row>
    <row r="99" spans="12:12" x14ac:dyDescent="0.3">
      <c r="L99" s="67"/>
    </row>
    <row r="100" spans="12:12" x14ac:dyDescent="0.3">
      <c r="L100" s="67"/>
    </row>
    <row r="101" spans="12:12" x14ac:dyDescent="0.3">
      <c r="L101" s="67"/>
    </row>
    <row r="102" spans="12:12" x14ac:dyDescent="0.3">
      <c r="L102" s="67"/>
    </row>
    <row r="103" spans="12:12" x14ac:dyDescent="0.3">
      <c r="L103" s="67"/>
    </row>
    <row r="104" spans="12:12" x14ac:dyDescent="0.3">
      <c r="L104" s="67"/>
    </row>
    <row r="105" spans="12:12" x14ac:dyDescent="0.3">
      <c r="L105" s="67"/>
    </row>
    <row r="106" spans="12:12" x14ac:dyDescent="0.3">
      <c r="L106" s="67"/>
    </row>
    <row r="107" spans="12:12" x14ac:dyDescent="0.3">
      <c r="L107" s="67"/>
    </row>
    <row r="108" spans="12:12" x14ac:dyDescent="0.3">
      <c r="L108" s="67"/>
    </row>
    <row r="109" spans="12:12" x14ac:dyDescent="0.3">
      <c r="L109" s="67"/>
    </row>
    <row r="110" spans="12:12" x14ac:dyDescent="0.3">
      <c r="L110" s="67"/>
    </row>
    <row r="111" spans="12:12" x14ac:dyDescent="0.3">
      <c r="L111" s="67"/>
    </row>
    <row r="112" spans="12:12" x14ac:dyDescent="0.3">
      <c r="L112" s="67"/>
    </row>
    <row r="113" spans="12:12" x14ac:dyDescent="0.3">
      <c r="L113" s="67"/>
    </row>
    <row r="114" spans="12:12" x14ac:dyDescent="0.3">
      <c r="L114" s="67"/>
    </row>
    <row r="115" spans="12:12" x14ac:dyDescent="0.3">
      <c r="L115" s="67"/>
    </row>
    <row r="116" spans="12:12" x14ac:dyDescent="0.3">
      <c r="L116" s="67"/>
    </row>
    <row r="117" spans="12:12" x14ac:dyDescent="0.3">
      <c r="L117" s="67"/>
    </row>
    <row r="118" spans="12:12" x14ac:dyDescent="0.3">
      <c r="L118" s="67"/>
    </row>
    <row r="119" spans="12:12" x14ac:dyDescent="0.3">
      <c r="L119" s="67"/>
    </row>
    <row r="120" spans="12:12" x14ac:dyDescent="0.3">
      <c r="L120" s="67"/>
    </row>
    <row r="121" spans="12:12" x14ac:dyDescent="0.3">
      <c r="L121" s="67"/>
    </row>
    <row r="122" spans="12:12" x14ac:dyDescent="0.3">
      <c r="L122" s="67"/>
    </row>
    <row r="123" spans="12:12" x14ac:dyDescent="0.3">
      <c r="L123" s="67"/>
    </row>
    <row r="124" spans="12:12" x14ac:dyDescent="0.3">
      <c r="L124" s="67"/>
    </row>
    <row r="125" spans="12:12" x14ac:dyDescent="0.3">
      <c r="L125" s="67"/>
    </row>
    <row r="126" spans="12:12" x14ac:dyDescent="0.3">
      <c r="L126" s="67"/>
    </row>
    <row r="127" spans="12:12" x14ac:dyDescent="0.3">
      <c r="L127" s="67"/>
    </row>
    <row r="128" spans="12:12" x14ac:dyDescent="0.3">
      <c r="L128" s="67"/>
    </row>
    <row r="129" spans="12:12" x14ac:dyDescent="0.3">
      <c r="L129" s="67"/>
    </row>
    <row r="130" spans="12:12" x14ac:dyDescent="0.3">
      <c r="L130" s="67"/>
    </row>
    <row r="131" spans="12:12" x14ac:dyDescent="0.3">
      <c r="L131" s="67"/>
    </row>
    <row r="132" spans="12:12" x14ac:dyDescent="0.3">
      <c r="L132" s="67"/>
    </row>
    <row r="133" spans="12:12" x14ac:dyDescent="0.3">
      <c r="L133" s="67"/>
    </row>
    <row r="134" spans="12:12" x14ac:dyDescent="0.3">
      <c r="L134" s="67"/>
    </row>
    <row r="135" spans="12:12" x14ac:dyDescent="0.3">
      <c r="L135" s="67"/>
    </row>
    <row r="136" spans="12:12" x14ac:dyDescent="0.3">
      <c r="L136" s="67"/>
    </row>
    <row r="137" spans="12:12" x14ac:dyDescent="0.3">
      <c r="L137" s="67"/>
    </row>
    <row r="138" spans="12:12" x14ac:dyDescent="0.3">
      <c r="L138" s="67"/>
    </row>
    <row r="139" spans="12:12" x14ac:dyDescent="0.3">
      <c r="L139" s="67"/>
    </row>
    <row r="140" spans="12:12" x14ac:dyDescent="0.3">
      <c r="L140" s="67"/>
    </row>
    <row r="141" spans="12:12" x14ac:dyDescent="0.3">
      <c r="L141" s="67"/>
    </row>
    <row r="142" spans="12:12" x14ac:dyDescent="0.3">
      <c r="L142" s="67"/>
    </row>
    <row r="143" spans="12:12" x14ac:dyDescent="0.3">
      <c r="L143" s="67"/>
    </row>
    <row r="144" spans="12:12" x14ac:dyDescent="0.3">
      <c r="L144" s="67"/>
    </row>
    <row r="145" spans="12:12" x14ac:dyDescent="0.3">
      <c r="L145" s="67"/>
    </row>
    <row r="146" spans="12:12" x14ac:dyDescent="0.3">
      <c r="L146" s="67"/>
    </row>
    <row r="147" spans="12:12" x14ac:dyDescent="0.3">
      <c r="L147" s="67"/>
    </row>
    <row r="148" spans="12:12" x14ac:dyDescent="0.3">
      <c r="L148" s="67"/>
    </row>
    <row r="149" spans="12:12" x14ac:dyDescent="0.3">
      <c r="L149" s="67"/>
    </row>
    <row r="150" spans="12:12" x14ac:dyDescent="0.3">
      <c r="L150" s="67"/>
    </row>
    <row r="151" spans="12:12" x14ac:dyDescent="0.3">
      <c r="L151" s="67"/>
    </row>
    <row r="152" spans="12:12" x14ac:dyDescent="0.3">
      <c r="L152" s="67"/>
    </row>
    <row r="153" spans="12:12" x14ac:dyDescent="0.3">
      <c r="L153" s="67"/>
    </row>
    <row r="154" spans="12:12" x14ac:dyDescent="0.3">
      <c r="L154" s="67"/>
    </row>
    <row r="155" spans="12:12" x14ac:dyDescent="0.3">
      <c r="L155" s="67"/>
    </row>
    <row r="156" spans="12:12" x14ac:dyDescent="0.3">
      <c r="L156" s="67"/>
    </row>
    <row r="157" spans="12:12" x14ac:dyDescent="0.3">
      <c r="L157" s="67"/>
    </row>
    <row r="158" spans="12:12" x14ac:dyDescent="0.3">
      <c r="L158" s="67"/>
    </row>
    <row r="159" spans="12:12" x14ac:dyDescent="0.3">
      <c r="L159" s="67"/>
    </row>
    <row r="160" spans="12:12" x14ac:dyDescent="0.3">
      <c r="L160" s="67"/>
    </row>
    <row r="161" spans="12:12" x14ac:dyDescent="0.3">
      <c r="L161" s="67"/>
    </row>
    <row r="162" spans="12:12" x14ac:dyDescent="0.3">
      <c r="L162" s="67"/>
    </row>
    <row r="163" spans="12:12" x14ac:dyDescent="0.3">
      <c r="L163" s="67"/>
    </row>
    <row r="164" spans="12:12" x14ac:dyDescent="0.3">
      <c r="L164" s="67"/>
    </row>
    <row r="165" spans="12:12" x14ac:dyDescent="0.3">
      <c r="L165" s="67"/>
    </row>
    <row r="166" spans="12:12" x14ac:dyDescent="0.3">
      <c r="L166" s="67"/>
    </row>
    <row r="167" spans="12:12" x14ac:dyDescent="0.3">
      <c r="L167" s="67"/>
    </row>
    <row r="168" spans="12:12" x14ac:dyDescent="0.3">
      <c r="L168" s="67"/>
    </row>
    <row r="169" spans="12:12" x14ac:dyDescent="0.3">
      <c r="L169" s="67"/>
    </row>
    <row r="170" spans="12:12" x14ac:dyDescent="0.3">
      <c r="L170" s="67"/>
    </row>
    <row r="171" spans="12:12" x14ac:dyDescent="0.3">
      <c r="L171" s="67"/>
    </row>
    <row r="172" spans="12:12" x14ac:dyDescent="0.3">
      <c r="L172" s="67"/>
    </row>
    <row r="173" spans="12:12" x14ac:dyDescent="0.3">
      <c r="L173" s="67"/>
    </row>
    <row r="174" spans="12:12" x14ac:dyDescent="0.3">
      <c r="L174" s="67"/>
    </row>
    <row r="175" spans="12:12" x14ac:dyDescent="0.3">
      <c r="L175" s="67"/>
    </row>
    <row r="176" spans="12:12" x14ac:dyDescent="0.3">
      <c r="L176" s="67"/>
    </row>
    <row r="177" spans="12:12" x14ac:dyDescent="0.3">
      <c r="L177" s="67"/>
    </row>
    <row r="178" spans="12:12" x14ac:dyDescent="0.3">
      <c r="L178" s="67"/>
    </row>
    <row r="179" spans="12:12" x14ac:dyDescent="0.3">
      <c r="L179" s="67"/>
    </row>
    <row r="180" spans="12:12" x14ac:dyDescent="0.3">
      <c r="L180" s="67"/>
    </row>
    <row r="181" spans="12:12" x14ac:dyDescent="0.3">
      <c r="L181" s="67"/>
    </row>
    <row r="182" spans="12:12" x14ac:dyDescent="0.3">
      <c r="L182" s="67"/>
    </row>
    <row r="183" spans="12:12" x14ac:dyDescent="0.3">
      <c r="L183" s="67"/>
    </row>
    <row r="184" spans="12:12" x14ac:dyDescent="0.3">
      <c r="L184" s="67"/>
    </row>
    <row r="185" spans="12:12" x14ac:dyDescent="0.3">
      <c r="L185" s="67"/>
    </row>
    <row r="186" spans="12:12" x14ac:dyDescent="0.3">
      <c r="L186" s="67"/>
    </row>
    <row r="187" spans="12:12" x14ac:dyDescent="0.3">
      <c r="L187" s="67"/>
    </row>
    <row r="188" spans="12:12" x14ac:dyDescent="0.3">
      <c r="L188" s="67"/>
    </row>
    <row r="189" spans="12:12" x14ac:dyDescent="0.3">
      <c r="L189" s="67"/>
    </row>
    <row r="190" spans="12:12" x14ac:dyDescent="0.3">
      <c r="L190" s="67"/>
    </row>
    <row r="191" spans="12:12" x14ac:dyDescent="0.3">
      <c r="L191" s="67"/>
    </row>
    <row r="192" spans="12:12" x14ac:dyDescent="0.3">
      <c r="L192" s="67"/>
    </row>
    <row r="193" spans="12:12" x14ac:dyDescent="0.3">
      <c r="L193" s="67"/>
    </row>
    <row r="194" spans="12:12" x14ac:dyDescent="0.3">
      <c r="L194" s="67"/>
    </row>
    <row r="195" spans="12:12" x14ac:dyDescent="0.3">
      <c r="L195" s="67"/>
    </row>
    <row r="196" spans="12:12" x14ac:dyDescent="0.3">
      <c r="L196" s="67"/>
    </row>
    <row r="197" spans="12:12" x14ac:dyDescent="0.3">
      <c r="L197" s="67"/>
    </row>
    <row r="198" spans="12:12" x14ac:dyDescent="0.3">
      <c r="L198" s="67"/>
    </row>
    <row r="199" spans="12:12" x14ac:dyDescent="0.3">
      <c r="L199" s="67"/>
    </row>
    <row r="200" spans="12:12" x14ac:dyDescent="0.3">
      <c r="L200" s="67"/>
    </row>
    <row r="201" spans="12:12" x14ac:dyDescent="0.3">
      <c r="L201" s="67"/>
    </row>
    <row r="202" spans="12:12" x14ac:dyDescent="0.3">
      <c r="L202" s="67"/>
    </row>
    <row r="203" spans="12:12" x14ac:dyDescent="0.3">
      <c r="L203" s="67"/>
    </row>
    <row r="204" spans="12:12" x14ac:dyDescent="0.3">
      <c r="L204" s="67"/>
    </row>
    <row r="205" spans="12:12" x14ac:dyDescent="0.3">
      <c r="L205" s="67"/>
    </row>
    <row r="206" spans="12:12" x14ac:dyDescent="0.3">
      <c r="L206" s="67"/>
    </row>
    <row r="207" spans="12:12" x14ac:dyDescent="0.3">
      <c r="L207" s="67"/>
    </row>
    <row r="208" spans="12:12" x14ac:dyDescent="0.3">
      <c r="L208" s="67"/>
    </row>
    <row r="209" spans="12:12" x14ac:dyDescent="0.3">
      <c r="L209" s="67"/>
    </row>
    <row r="210" spans="12:12" x14ac:dyDescent="0.3">
      <c r="L210" s="67"/>
    </row>
    <row r="211" spans="12:12" x14ac:dyDescent="0.3">
      <c r="L211" s="67"/>
    </row>
    <row r="212" spans="12:12" x14ac:dyDescent="0.3">
      <c r="L212" s="67"/>
    </row>
    <row r="213" spans="12:12" x14ac:dyDescent="0.3">
      <c r="L213" s="67"/>
    </row>
    <row r="214" spans="12:12" x14ac:dyDescent="0.3">
      <c r="L214" s="67"/>
    </row>
    <row r="215" spans="12:12" x14ac:dyDescent="0.3">
      <c r="L215" s="67"/>
    </row>
    <row r="216" spans="12:12" x14ac:dyDescent="0.3">
      <c r="L216" s="67"/>
    </row>
    <row r="217" spans="12:12" x14ac:dyDescent="0.3">
      <c r="L217" s="67"/>
    </row>
    <row r="218" spans="12:12" x14ac:dyDescent="0.3">
      <c r="L218" s="67"/>
    </row>
    <row r="219" spans="12:12" x14ac:dyDescent="0.3">
      <c r="L219" s="67"/>
    </row>
    <row r="220" spans="12:12" x14ac:dyDescent="0.3">
      <c r="L220" s="67"/>
    </row>
    <row r="221" spans="12:12" x14ac:dyDescent="0.3">
      <c r="L221" s="67"/>
    </row>
    <row r="222" spans="12:12" x14ac:dyDescent="0.3">
      <c r="L222" s="67"/>
    </row>
    <row r="223" spans="12:12" x14ac:dyDescent="0.3">
      <c r="L223" s="67"/>
    </row>
    <row r="224" spans="12:12" x14ac:dyDescent="0.3">
      <c r="L224" s="67"/>
    </row>
    <row r="225" spans="12:12" x14ac:dyDescent="0.3">
      <c r="L225" s="67"/>
    </row>
    <row r="226" spans="12:12" x14ac:dyDescent="0.3">
      <c r="L226" s="67"/>
    </row>
    <row r="227" spans="12:12" x14ac:dyDescent="0.3">
      <c r="L227" s="67"/>
    </row>
    <row r="228" spans="12:12" x14ac:dyDescent="0.3">
      <c r="L228" s="67"/>
    </row>
    <row r="229" spans="12:12" x14ac:dyDescent="0.3">
      <c r="L229" s="67"/>
    </row>
    <row r="230" spans="12:12" x14ac:dyDescent="0.3">
      <c r="L230" s="67"/>
    </row>
    <row r="231" spans="12:12" x14ac:dyDescent="0.3">
      <c r="L231" s="67"/>
    </row>
    <row r="232" spans="12:12" x14ac:dyDescent="0.3">
      <c r="L232" s="67"/>
    </row>
    <row r="233" spans="12:12" x14ac:dyDescent="0.3">
      <c r="L233" s="67"/>
    </row>
    <row r="234" spans="12:12" x14ac:dyDescent="0.3">
      <c r="L234" s="67"/>
    </row>
    <row r="235" spans="12:12" x14ac:dyDescent="0.3">
      <c r="L235" s="67"/>
    </row>
    <row r="236" spans="12:12" x14ac:dyDescent="0.3">
      <c r="L236" s="67"/>
    </row>
    <row r="237" spans="12:12" x14ac:dyDescent="0.3">
      <c r="L237" s="67"/>
    </row>
    <row r="238" spans="12:12" x14ac:dyDescent="0.3">
      <c r="L238" s="67"/>
    </row>
    <row r="239" spans="12:12" x14ac:dyDescent="0.3">
      <c r="L239" s="67"/>
    </row>
    <row r="240" spans="12:12" x14ac:dyDescent="0.3">
      <c r="L240" s="67"/>
    </row>
    <row r="241" spans="12:12" x14ac:dyDescent="0.3">
      <c r="L241" s="67"/>
    </row>
    <row r="242" spans="12:12" x14ac:dyDescent="0.3">
      <c r="L242" s="67"/>
    </row>
    <row r="243" spans="12:12" x14ac:dyDescent="0.3">
      <c r="L243" s="67"/>
    </row>
    <row r="244" spans="12:12" x14ac:dyDescent="0.3">
      <c r="L244" s="67"/>
    </row>
    <row r="245" spans="12:12" x14ac:dyDescent="0.3">
      <c r="L245" s="67"/>
    </row>
    <row r="246" spans="12:12" x14ac:dyDescent="0.3">
      <c r="L246" s="67"/>
    </row>
    <row r="247" spans="12:12" x14ac:dyDescent="0.3">
      <c r="L247" s="67"/>
    </row>
    <row r="248" spans="12:12" x14ac:dyDescent="0.3">
      <c r="L248" s="67"/>
    </row>
    <row r="249" spans="12:12" x14ac:dyDescent="0.3">
      <c r="L249" s="67"/>
    </row>
    <row r="250" spans="12:12" x14ac:dyDescent="0.3">
      <c r="L250" s="67"/>
    </row>
    <row r="251" spans="12:12" x14ac:dyDescent="0.3">
      <c r="L251" s="67"/>
    </row>
    <row r="252" spans="12:12" x14ac:dyDescent="0.3">
      <c r="L252" s="67"/>
    </row>
    <row r="253" spans="12:12" x14ac:dyDescent="0.3">
      <c r="L253" s="67"/>
    </row>
    <row r="254" spans="12:12" x14ac:dyDescent="0.3">
      <c r="L254" s="67"/>
    </row>
    <row r="255" spans="12:12" x14ac:dyDescent="0.3">
      <c r="L255" s="67"/>
    </row>
  </sheetData>
  <conditionalFormatting sqref="T17 AJ17 R17 AB17 Y17:Z17 AM17:AQ17 AM29:AP36">
    <cfRule type="expression" dxfId="105" priority="52">
      <formula>$L17="API sand"</formula>
    </cfRule>
  </conditionalFormatting>
  <conditionalFormatting sqref="R29:S36 AB29:AB35 AK17:AL17">
    <cfRule type="expression" dxfId="104" priority="51">
      <formula>$M17="API sand"</formula>
    </cfRule>
  </conditionalFormatting>
  <conditionalFormatting sqref="R29:T36 AB29:AB35 AK17:AL17">
    <cfRule type="expression" dxfId="103" priority="50">
      <formula>$M17="API clay"</formula>
    </cfRule>
  </conditionalFormatting>
  <conditionalFormatting sqref="U29:W36 AA17 AE17:AI17 V17 AM17:AP17 AM29:AP36">
    <cfRule type="expression" dxfId="102" priority="47">
      <formula>$L17="Stiff clay w/o free water"</formula>
    </cfRule>
    <cfRule type="expression" dxfId="101" priority="49">
      <formula>$L17="API clay"</formula>
    </cfRule>
  </conditionalFormatting>
  <conditionalFormatting sqref="U29:Y36 AA17 AE17:AI17 V17 AM17:AP17 AM29:AP36">
    <cfRule type="expression" dxfId="100" priority="48">
      <formula>$L17="Kirsch soft clay"</formula>
    </cfRule>
  </conditionalFormatting>
  <conditionalFormatting sqref="U29:Y36 AA17 AE17:AI17 V17 AM17:AP17 AM29:AP36">
    <cfRule type="expression" dxfId="99" priority="46">
      <formula>$L17="Kirsch stiff clay"</formula>
    </cfRule>
  </conditionalFormatting>
  <conditionalFormatting sqref="T17 AJ17 R17 AB17 Y17:Z17 AM17:AQ17 AM29:AP36">
    <cfRule type="expression" dxfId="98" priority="45">
      <formula>$L17="Kirsch sand"</formula>
    </cfRule>
  </conditionalFormatting>
  <conditionalFormatting sqref="AM17:AP17 AM29:AP36">
    <cfRule type="expression" dxfId="97" priority="44">
      <formula>$L17="Modified Weak rock"</formula>
    </cfRule>
  </conditionalFormatting>
  <conditionalFormatting sqref="U29:V36 AA17 AE17:AI17 V17 AM17:AP17 AM29:AP36">
    <cfRule type="expression" dxfId="96" priority="43">
      <formula>$L17="Reese stiff clay"</formula>
    </cfRule>
  </conditionalFormatting>
  <conditionalFormatting sqref="N30:N36 Q29:Q36">
    <cfRule type="expression" dxfId="95" priority="42">
      <formula>$L29="API sand"</formula>
    </cfRule>
  </conditionalFormatting>
  <conditionalFormatting sqref="N30:N36 AB36 AJ29:AL36 Z29:Z36">
    <cfRule type="expression" dxfId="94" priority="41">
      <formula>$M29="API sand"</formula>
    </cfRule>
  </conditionalFormatting>
  <conditionalFormatting sqref="Z36:AB36 AK29:AL36 N30:N36 Z29:AA35">
    <cfRule type="expression" dxfId="93" priority="40">
      <formula>$M29="API clay"</formula>
    </cfRule>
  </conditionalFormatting>
  <conditionalFormatting sqref="N30:P36 O29:P29">
    <cfRule type="expression" dxfId="92" priority="37">
      <formula>$L29="Stiff clay w/o free water"</formula>
    </cfRule>
    <cfRule type="expression" dxfId="91" priority="39">
      <formula>$L29="API clay"</formula>
    </cfRule>
  </conditionalFormatting>
  <conditionalFormatting sqref="N30:P36 O29:P29">
    <cfRule type="expression" dxfId="90" priority="38">
      <formula>$L29="Kirsch soft clay"</formula>
    </cfRule>
  </conditionalFormatting>
  <conditionalFormatting sqref="N30:P36 O29:P29">
    <cfRule type="expression" dxfId="89" priority="36">
      <formula>$L29="Kirsch stiff clay"</formula>
    </cfRule>
  </conditionalFormatting>
  <conditionalFormatting sqref="N30:N36 Q29:Q36 X29:Y36">
    <cfRule type="expression" dxfId="88" priority="35">
      <formula>$L29="Kirsch sand"</formula>
    </cfRule>
  </conditionalFormatting>
  <conditionalFormatting sqref="N30:N36 AC29:AD36 AI29:AI36">
    <cfRule type="expression" dxfId="87" priority="34">
      <formula>$L29="Modified Weak rock"</formula>
    </cfRule>
  </conditionalFormatting>
  <conditionalFormatting sqref="N30:P36 O29:P29">
    <cfRule type="expression" dxfId="86" priority="33">
      <formula>$L29="Reese stiff clay"</formula>
    </cfRule>
  </conditionalFormatting>
  <conditionalFormatting sqref="AA17 AE17:AI17 V17 AM17:AP17">
    <cfRule type="expression" dxfId="85" priority="32">
      <formula>$L17="PISA clay"</formula>
    </cfRule>
  </conditionalFormatting>
  <conditionalFormatting sqref="AM17:AP17">
    <cfRule type="expression" dxfId="84" priority="31">
      <formula>$L17="PISA sand"</formula>
    </cfRule>
  </conditionalFormatting>
  <conditionalFormatting sqref="AE37:AH37">
    <cfRule type="expression" dxfId="83" priority="53">
      <formula>$L19="Modified Weak rock"</formula>
    </cfRule>
  </conditionalFormatting>
  <conditionalFormatting sqref="Q17 S17 W17">
    <cfRule type="expression" dxfId="82" priority="30">
      <formula>$L17="API sand"</formula>
    </cfRule>
  </conditionalFormatting>
  <conditionalFormatting sqref="O17:P17">
    <cfRule type="expression" dxfId="81" priority="27">
      <formula>$L17="Stiff clay w/o free water"</formula>
    </cfRule>
    <cfRule type="expression" dxfId="80" priority="29">
      <formula>$L17="API clay"</formula>
    </cfRule>
  </conditionalFormatting>
  <conditionalFormatting sqref="O17:P17">
    <cfRule type="expression" dxfId="79" priority="28">
      <formula>$L17="Kirsch soft clay"</formula>
    </cfRule>
  </conditionalFormatting>
  <conditionalFormatting sqref="O17:P17">
    <cfRule type="expression" dxfId="78" priority="26">
      <formula>$L17="Kirsch stiff clay"</formula>
    </cfRule>
  </conditionalFormatting>
  <conditionalFormatting sqref="Q17 S17 W17">
    <cfRule type="expression" dxfId="77" priority="25">
      <formula>$L17="Kirsch sand"</formula>
    </cfRule>
  </conditionalFormatting>
  <conditionalFormatting sqref="O17:P17">
    <cfRule type="expression" dxfId="76" priority="24">
      <formula>$L17="Reese stiff clay"</formula>
    </cfRule>
  </conditionalFormatting>
  <conditionalFormatting sqref="O17:P17">
    <cfRule type="expression" dxfId="75" priority="23">
      <formula>$L17="PISA clay"</formula>
    </cfRule>
  </conditionalFormatting>
  <conditionalFormatting sqref="AD17">
    <cfRule type="expression" dxfId="74" priority="20">
      <formula>$L17="Stiff clay w/o free water"</formula>
    </cfRule>
    <cfRule type="expression" dxfId="73" priority="22">
      <formula>$L17="API clay"</formula>
    </cfRule>
  </conditionalFormatting>
  <conditionalFormatting sqref="AD17">
    <cfRule type="expression" dxfId="72" priority="21">
      <formula>$L17="Kirsch soft clay"</formula>
    </cfRule>
  </conditionalFormatting>
  <conditionalFormatting sqref="AD17">
    <cfRule type="expression" dxfId="71" priority="19">
      <formula>$L17="Kirsch stiff clay"</formula>
    </cfRule>
  </conditionalFormatting>
  <conditionalFormatting sqref="AD17">
    <cfRule type="expression" dxfId="70" priority="18">
      <formula>$L17="Reese stiff clay"</formula>
    </cfRule>
  </conditionalFormatting>
  <conditionalFormatting sqref="AD17">
    <cfRule type="expression" dxfId="69" priority="17">
      <formula>$L17="PISA clay"</formula>
    </cfRule>
  </conditionalFormatting>
  <conditionalFormatting sqref="AC17">
    <cfRule type="expression" dxfId="68" priority="14">
      <formula>$L17="Stiff clay w/o free water"</formula>
    </cfRule>
    <cfRule type="expression" dxfId="67" priority="16">
      <formula>$L17="API clay"</formula>
    </cfRule>
  </conditionalFormatting>
  <conditionalFormatting sqref="AC17">
    <cfRule type="expression" dxfId="66" priority="15">
      <formula>$L17="Kirsch soft clay"</formula>
    </cfRule>
  </conditionalFormatting>
  <conditionalFormatting sqref="AC17">
    <cfRule type="expression" dxfId="65" priority="13">
      <formula>$L17="Kirsch stiff clay"</formula>
    </cfRule>
  </conditionalFormatting>
  <conditionalFormatting sqref="AC17">
    <cfRule type="expression" dxfId="64" priority="12">
      <formula>$L17="Reese stiff clay"</formula>
    </cfRule>
  </conditionalFormatting>
  <conditionalFormatting sqref="AC17">
    <cfRule type="expression" dxfId="63" priority="11">
      <formula>$L17="PISA clay"</formula>
    </cfRule>
  </conditionalFormatting>
  <conditionalFormatting sqref="X17">
    <cfRule type="expression" dxfId="62" priority="10">
      <formula>$L17="API sand"</formula>
    </cfRule>
  </conditionalFormatting>
  <conditionalFormatting sqref="X17">
    <cfRule type="expression" dxfId="61" priority="9">
      <formula>$L17="Kirsch sand"</formula>
    </cfRule>
  </conditionalFormatting>
  <conditionalFormatting sqref="U17">
    <cfRule type="expression" dxfId="60" priority="6">
      <formula>$L17="Stiff clay w/o free water"</formula>
    </cfRule>
    <cfRule type="expression" dxfId="59" priority="8">
      <formula>$L17="API clay"</formula>
    </cfRule>
  </conditionalFormatting>
  <conditionalFormatting sqref="U17">
    <cfRule type="expression" dxfId="58" priority="7">
      <formula>$L17="Kirsch soft clay"</formula>
    </cfRule>
  </conditionalFormatting>
  <conditionalFormatting sqref="U17">
    <cfRule type="expression" dxfId="57" priority="5">
      <formula>$L17="Kirsch stiff clay"</formula>
    </cfRule>
  </conditionalFormatting>
  <conditionalFormatting sqref="U17">
    <cfRule type="expression" dxfId="56" priority="4">
      <formula>$L17="Reese stiff clay"</formula>
    </cfRule>
  </conditionalFormatting>
  <conditionalFormatting sqref="U17">
    <cfRule type="expression" dxfId="55" priority="3">
      <formula>$L17="PISA clay"</formula>
    </cfRule>
  </conditionalFormatting>
  <conditionalFormatting sqref="AR17">
    <cfRule type="expression" dxfId="54" priority="2">
      <formula>$L17="API sand"</formula>
    </cfRule>
  </conditionalFormatting>
  <conditionalFormatting sqref="AR17">
    <cfRule type="expression" dxfId="53" priority="1">
      <formula>$L17="Kirsch sand"</formula>
    </cfRule>
  </conditionalFormatting>
  <dataValidations count="3">
    <dataValidation type="list" showInputMessage="1" showErrorMessage="1" sqref="M18:M36" xr:uid="{0E050491-033A-459E-A264-6067247925EA}">
      <formula1>"',API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6:M17" xr:uid="{E20D3C3C-A18D-43C1-A1F2-31DD14FC86D6}">
      <formula1>"Zero soil,API sand,API clay"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1806D5-F839-4B9A-AFF4-A8FFE80D1D7F}">
          <x14:formula1>
            <xm:f>DataFilter!$A$2:$A$3526</xm:f>
          </x14:formula1>
          <xm:sqref>L6 L16 L12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F8E50-9ACD-4FFF-B3E6-6F08EF4F966E}">
  <sheetPr codeName="Sheet7">
    <tabColor theme="7" tint="0.59999389629810485"/>
  </sheetPr>
  <dimension ref="A1:AV255"/>
  <sheetViews>
    <sheetView topLeftCell="W1" zoomScaleNormal="100" workbookViewId="0">
      <selection activeCell="AT4" sqref="AT4:AV4"/>
    </sheetView>
  </sheetViews>
  <sheetFormatPr defaultColWidth="9.109375" defaultRowHeight="14.4" x14ac:dyDescent="0.3"/>
  <cols>
    <col min="1" max="1" width="18" style="66" bestFit="1" customWidth="1"/>
    <col min="2" max="2" width="13.6640625" style="66" customWidth="1"/>
    <col min="3" max="3" width="13.5546875" style="66" customWidth="1"/>
    <col min="4" max="5" width="14" style="66" customWidth="1"/>
    <col min="6" max="6" width="13" style="66" bestFit="1" customWidth="1"/>
    <col min="7" max="7" width="13.5546875" style="66" customWidth="1"/>
    <col min="8" max="8" width="11" style="66" bestFit="1" customWidth="1"/>
    <col min="9" max="9" width="15.6640625" style="66" bestFit="1" customWidth="1"/>
    <col min="10" max="10" width="10.33203125" style="66" customWidth="1"/>
    <col min="11" max="11" width="11.5546875" style="66" bestFit="1" customWidth="1"/>
    <col min="12" max="12" width="27.6640625" style="66" customWidth="1"/>
    <col min="13" max="13" width="11.6640625" style="66" bestFit="1" customWidth="1"/>
    <col min="14" max="14" width="11" style="66" bestFit="1" customWidth="1"/>
    <col min="15" max="15" width="9.33203125" style="66" customWidth="1"/>
    <col min="16" max="16" width="10.5546875" style="66" customWidth="1"/>
    <col min="17" max="18" width="9.5546875" style="66" bestFit="1" customWidth="1"/>
    <col min="19" max="20" width="6.5546875" style="66" customWidth="1"/>
    <col min="21" max="21" width="13.33203125" style="66" customWidth="1"/>
    <col min="22" max="22" width="19.44140625" style="66" customWidth="1"/>
    <col min="23" max="23" width="6.5546875" style="66" customWidth="1"/>
    <col min="24" max="24" width="11.6640625" style="66" customWidth="1"/>
    <col min="25" max="25" width="8.44140625" style="66" bestFit="1" customWidth="1"/>
    <col min="26" max="26" width="11.6640625" style="66" customWidth="1"/>
    <col min="27" max="27" width="11" style="66" bestFit="1" customWidth="1"/>
    <col min="28" max="28" width="10.5546875" style="66" customWidth="1"/>
    <col min="29" max="29" width="14.6640625" style="66" customWidth="1"/>
    <col min="30" max="30" width="11.6640625" style="66" customWidth="1"/>
    <col min="31" max="31" width="10.33203125" style="66" customWidth="1"/>
    <col min="32" max="32" width="8.33203125" style="66" customWidth="1"/>
    <col min="33" max="33" width="13.6640625" style="66" customWidth="1"/>
    <col min="34" max="34" width="8.44140625" style="66" customWidth="1"/>
    <col min="35" max="35" width="7.6640625" style="66" customWidth="1"/>
    <col min="36" max="36" width="8.5546875" style="66" customWidth="1"/>
    <col min="37" max="37" width="11.33203125" style="66" bestFit="1" customWidth="1"/>
    <col min="38" max="38" width="11.44140625" style="66" bestFit="1" customWidth="1"/>
    <col min="39" max="39" width="11.6640625" style="66" bestFit="1" customWidth="1"/>
    <col min="40" max="40" width="11.5546875" style="66" bestFit="1" customWidth="1"/>
    <col min="41" max="42" width="11.5546875" style="66" customWidth="1"/>
    <col min="43" max="45" width="9.109375" style="66"/>
    <col min="46" max="46" width="21" style="66" bestFit="1" customWidth="1"/>
    <col min="47" max="47" width="6.33203125" style="66" customWidth="1"/>
    <col min="48" max="16384" width="9.109375" style="66"/>
  </cols>
  <sheetData>
    <row r="1" spans="1:48" x14ac:dyDescent="0.3">
      <c r="A1" s="37" t="str">
        <f ca="1">TRIM(MID(CELL("filename",A1),FIND("]",CELL("filename",A1),1)+1,255))</f>
        <v>benchmark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8" x14ac:dyDescent="0.3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8" s="68" customFormat="1" ht="15" customHeight="1" x14ac:dyDescent="0.3">
      <c r="A3"/>
      <c r="B3"/>
      <c r="C3"/>
      <c r="D3"/>
      <c r="E3"/>
      <c r="F3" s="37" t="s">
        <v>37</v>
      </c>
      <c r="G3"/>
      <c r="H3"/>
      <c r="I3"/>
      <c r="J3" s="37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8" x14ac:dyDescent="0.3">
      <c r="A4" t="s">
        <v>54</v>
      </c>
      <c r="B4">
        <f>COUNTIF(J:J,"&gt;0")</f>
        <v>11</v>
      </c>
      <c r="C4" t="s">
        <v>402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408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407</v>
      </c>
      <c r="AP4" t="s">
        <v>406</v>
      </c>
      <c r="AQ4" t="s">
        <v>405</v>
      </c>
      <c r="AR4" t="s">
        <v>404</v>
      </c>
      <c r="AS4" s="66" t="s">
        <v>403</v>
      </c>
      <c r="AT4" s="66" t="s">
        <v>487</v>
      </c>
      <c r="AU4" s="66" t="s">
        <v>480</v>
      </c>
      <c r="AV4" s="66" t="s">
        <v>488</v>
      </c>
    </row>
    <row r="5" spans="1:48" ht="16.2" x14ac:dyDescent="0.3">
      <c r="A5" t="s">
        <v>55</v>
      </c>
      <c r="B5">
        <f ca="1">COUNTIF(A:A,"&gt;0")</f>
        <v>1</v>
      </c>
      <c r="C5" t="s">
        <v>402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401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400</v>
      </c>
      <c r="AR5" t="s">
        <v>399</v>
      </c>
    </row>
    <row r="6" spans="1:48" x14ac:dyDescent="0.3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t="s">
        <v>382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66">
        <v>0.4</v>
      </c>
      <c r="AT6" s="66" t="s">
        <v>489</v>
      </c>
      <c r="AU6" s="66">
        <v>5.2</v>
      </c>
      <c r="AV6" s="66">
        <v>0.2</v>
      </c>
    </row>
    <row r="7" spans="1:48" x14ac:dyDescent="0.3">
      <c r="A7" s="37" t="s">
        <v>23</v>
      </c>
      <c r="B7"/>
      <c r="C7"/>
      <c r="D7"/>
      <c r="E7"/>
      <c r="F7" s="37" t="s">
        <v>44</v>
      </c>
      <c r="G7"/>
      <c r="H7"/>
      <c r="I7"/>
      <c r="J7">
        <v>2</v>
      </c>
      <c r="K7">
        <v>-0.65</v>
      </c>
      <c r="L7" t="s">
        <v>351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66">
        <v>0.4</v>
      </c>
      <c r="AT7" s="66" t="s">
        <v>490</v>
      </c>
      <c r="AU7" s="66">
        <v>5.2</v>
      </c>
      <c r="AV7" s="66">
        <v>0.1</v>
      </c>
    </row>
    <row r="8" spans="1:48" x14ac:dyDescent="0.3">
      <c r="A8" t="s">
        <v>24</v>
      </c>
      <c r="B8">
        <v>0</v>
      </c>
      <c r="C8" t="s">
        <v>398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330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66">
        <v>0.4</v>
      </c>
      <c r="AT8" s="66" t="s">
        <v>489</v>
      </c>
      <c r="AU8" s="66">
        <v>5.2</v>
      </c>
      <c r="AV8" s="66">
        <v>0.3</v>
      </c>
    </row>
    <row r="9" spans="1:48" x14ac:dyDescent="0.3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343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66">
        <v>0.4</v>
      </c>
      <c r="AT9" s="66" t="s">
        <v>490</v>
      </c>
      <c r="AU9" s="66">
        <v>5.2</v>
      </c>
      <c r="AV9" s="66">
        <v>0.2</v>
      </c>
    </row>
    <row r="10" spans="1:48" s="69" customFormat="1" x14ac:dyDescent="0.3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355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66">
        <v>0.4</v>
      </c>
      <c r="AT10" s="66" t="s">
        <v>489</v>
      </c>
      <c r="AU10" s="66">
        <v>5.2</v>
      </c>
      <c r="AV10" s="66">
        <v>0.2</v>
      </c>
    </row>
    <row r="11" spans="1:48" x14ac:dyDescent="0.3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333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66">
        <v>0.2</v>
      </c>
      <c r="AT11" s="66" t="s">
        <v>490</v>
      </c>
      <c r="AU11" s="66">
        <v>5.2</v>
      </c>
      <c r="AV11" s="66">
        <v>0.2</v>
      </c>
    </row>
    <row r="12" spans="1:48" x14ac:dyDescent="0.3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t="s">
        <v>382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66">
        <v>0.4</v>
      </c>
      <c r="AT12" s="66" t="s">
        <v>489</v>
      </c>
      <c r="AU12" s="66">
        <v>5.2</v>
      </c>
      <c r="AV12" s="66">
        <v>0.2</v>
      </c>
    </row>
    <row r="13" spans="1:48" x14ac:dyDescent="0.3">
      <c r="A13" t="s">
        <v>40</v>
      </c>
      <c r="B13">
        <v>78</v>
      </c>
      <c r="C13" t="s">
        <v>397</v>
      </c>
      <c r="D13"/>
      <c r="E13"/>
      <c r="F13" s="37" t="s">
        <v>50</v>
      </c>
      <c r="G13"/>
      <c r="H13"/>
      <c r="I13"/>
      <c r="J13">
        <v>8</v>
      </c>
      <c r="K13">
        <v>-38.1</v>
      </c>
      <c r="L13" t="s">
        <v>357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66">
        <v>0.4</v>
      </c>
      <c r="AT13" s="66" t="s">
        <v>490</v>
      </c>
      <c r="AU13" s="66">
        <v>5.2</v>
      </c>
      <c r="AV13" s="66">
        <v>0.2</v>
      </c>
    </row>
    <row r="14" spans="1:48" x14ac:dyDescent="0.3">
      <c r="A14" t="s">
        <v>41</v>
      </c>
      <c r="B14">
        <v>355000</v>
      </c>
      <c r="C14" t="s">
        <v>396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357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66">
        <v>0.4</v>
      </c>
      <c r="AT14" s="66" t="s">
        <v>489</v>
      </c>
      <c r="AU14" s="66">
        <v>5.2</v>
      </c>
      <c r="AV14" s="66">
        <v>0.2</v>
      </c>
    </row>
    <row r="15" spans="1:48" x14ac:dyDescent="0.3">
      <c r="A15" t="s">
        <v>42</v>
      </c>
      <c r="B15">
        <v>207000000</v>
      </c>
      <c r="C15" t="s">
        <v>396</v>
      </c>
      <c r="D15"/>
      <c r="E15"/>
      <c r="F15"/>
      <c r="G15"/>
      <c r="H15"/>
      <c r="I15"/>
      <c r="J15">
        <v>10</v>
      </c>
      <c r="K15">
        <v>-48.8</v>
      </c>
      <c r="L15" t="s">
        <v>357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66">
        <v>0.4</v>
      </c>
      <c r="AT15" s="66" t="s">
        <v>490</v>
      </c>
      <c r="AU15" s="66">
        <v>5.2</v>
      </c>
      <c r="AV15" s="66">
        <v>0.2</v>
      </c>
    </row>
    <row r="16" spans="1:48" x14ac:dyDescent="0.3">
      <c r="A16" t="s">
        <v>43</v>
      </c>
      <c r="B16">
        <v>79000000</v>
      </c>
      <c r="C16" t="s">
        <v>396</v>
      </c>
      <c r="D16"/>
      <c r="E16"/>
      <c r="F16"/>
      <c r="G16"/>
      <c r="H16"/>
      <c r="I16"/>
      <c r="J16">
        <v>11</v>
      </c>
      <c r="K16">
        <v>-65.5</v>
      </c>
      <c r="L16" t="s">
        <v>382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66">
        <v>0.4</v>
      </c>
      <c r="AT16" s="66" t="s">
        <v>489</v>
      </c>
      <c r="AU16" s="66">
        <v>5.2</v>
      </c>
      <c r="AV16" s="66">
        <v>0.2</v>
      </c>
    </row>
    <row r="17" spans="1:46" s="69" customFormat="1" x14ac:dyDescent="0.3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66"/>
      <c r="AT17" s="66"/>
    </row>
    <row r="18" spans="1:46" ht="22.5" customHeight="1" x14ac:dyDescent="0.3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6" x14ac:dyDescent="0.3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6" x14ac:dyDescent="0.3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6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6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6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6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6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6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6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6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6" x14ac:dyDescent="0.3">
      <c r="A29"/>
      <c r="B29"/>
      <c r="C29"/>
      <c r="D29"/>
      <c r="E29"/>
      <c r="F29"/>
      <c r="G29"/>
      <c r="H29"/>
      <c r="I29"/>
      <c r="J29"/>
      <c r="K29"/>
      <c r="L29"/>
      <c r="M29" t="s">
        <v>395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6" x14ac:dyDescent="0.3">
      <c r="A30"/>
      <c r="B30"/>
      <c r="C30"/>
      <c r="D30"/>
      <c r="E30"/>
      <c r="F30"/>
      <c r="G30"/>
      <c r="H30"/>
      <c r="I30"/>
      <c r="J30"/>
      <c r="K30"/>
      <c r="L30"/>
      <c r="M30" t="s">
        <v>395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6" x14ac:dyDescent="0.3">
      <c r="A31"/>
      <c r="B31"/>
      <c r="C31"/>
      <c r="D31"/>
      <c r="E31"/>
      <c r="F31"/>
      <c r="G31"/>
      <c r="H31"/>
      <c r="I31"/>
      <c r="J31"/>
      <c r="K31"/>
      <c r="L31"/>
      <c r="M31" t="s">
        <v>395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6" x14ac:dyDescent="0.3">
      <c r="A32"/>
      <c r="B32"/>
      <c r="C32"/>
      <c r="D32"/>
      <c r="E32"/>
      <c r="F32"/>
      <c r="G32"/>
      <c r="H32"/>
      <c r="I32"/>
      <c r="J32"/>
      <c r="K32"/>
      <c r="L32"/>
      <c r="M32" t="s">
        <v>395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3">
      <c r="A33"/>
      <c r="B33"/>
      <c r="C33"/>
      <c r="D33"/>
      <c r="E33"/>
      <c r="F33"/>
      <c r="G33"/>
      <c r="H33"/>
      <c r="I33"/>
      <c r="J33"/>
      <c r="K33"/>
      <c r="L33"/>
      <c r="M33" t="s">
        <v>395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3">
      <c r="A34"/>
      <c r="B34"/>
      <c r="C34"/>
      <c r="D34"/>
      <c r="E34"/>
      <c r="F34"/>
      <c r="G34"/>
      <c r="H34"/>
      <c r="I34"/>
      <c r="J34"/>
      <c r="K34"/>
      <c r="L34"/>
      <c r="M34" t="s">
        <v>395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3">
      <c r="A35"/>
      <c r="B35"/>
      <c r="C35"/>
      <c r="D35"/>
      <c r="E35"/>
      <c r="F35"/>
      <c r="G35"/>
      <c r="H35"/>
      <c r="I35"/>
      <c r="J35"/>
      <c r="K35"/>
      <c r="L35"/>
      <c r="M35" t="s">
        <v>395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3">
      <c r="A36"/>
      <c r="B36"/>
      <c r="C36"/>
      <c r="D36"/>
      <c r="E36"/>
      <c r="F36"/>
      <c r="G36"/>
      <c r="H36"/>
      <c r="I36"/>
      <c r="J36"/>
      <c r="K36"/>
      <c r="L36"/>
      <c r="M36" t="s">
        <v>395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3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394</v>
      </c>
      <c r="AG37" t="s">
        <v>393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3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392</v>
      </c>
      <c r="AF38" t="s">
        <v>391</v>
      </c>
      <c r="AG38" t="s">
        <v>390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3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3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3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3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3">
      <c r="L63" s="67"/>
    </row>
    <row r="64" spans="1:44" x14ac:dyDescent="0.3">
      <c r="L64" s="67"/>
    </row>
    <row r="65" spans="12:12" x14ac:dyDescent="0.3">
      <c r="L65" s="67"/>
    </row>
    <row r="66" spans="12:12" x14ac:dyDescent="0.3">
      <c r="L66" s="67"/>
    </row>
    <row r="67" spans="12:12" x14ac:dyDescent="0.3">
      <c r="L67" s="67"/>
    </row>
    <row r="68" spans="12:12" x14ac:dyDescent="0.3">
      <c r="L68" s="67"/>
    </row>
    <row r="69" spans="12:12" x14ac:dyDescent="0.3">
      <c r="L69" s="67"/>
    </row>
    <row r="70" spans="12:12" x14ac:dyDescent="0.3">
      <c r="L70" s="67"/>
    </row>
    <row r="71" spans="12:12" x14ac:dyDescent="0.3">
      <c r="L71" s="67"/>
    </row>
    <row r="72" spans="12:12" x14ac:dyDescent="0.3">
      <c r="L72" s="67"/>
    </row>
    <row r="73" spans="12:12" x14ac:dyDescent="0.3">
      <c r="L73" s="67"/>
    </row>
    <row r="74" spans="12:12" x14ac:dyDescent="0.3">
      <c r="L74" s="67"/>
    </row>
    <row r="75" spans="12:12" x14ac:dyDescent="0.3">
      <c r="L75" s="67"/>
    </row>
    <row r="76" spans="12:12" x14ac:dyDescent="0.3">
      <c r="L76" s="67"/>
    </row>
    <row r="77" spans="12:12" x14ac:dyDescent="0.3">
      <c r="L77" s="67"/>
    </row>
    <row r="78" spans="12:12" x14ac:dyDescent="0.3">
      <c r="L78" s="67"/>
    </row>
    <row r="79" spans="12:12" x14ac:dyDescent="0.3">
      <c r="L79" s="67"/>
    </row>
    <row r="80" spans="12:12" x14ac:dyDescent="0.3">
      <c r="L80" s="67"/>
    </row>
    <row r="81" spans="12:12" x14ac:dyDescent="0.3">
      <c r="L81" s="67"/>
    </row>
    <row r="82" spans="12:12" x14ac:dyDescent="0.3">
      <c r="L82" s="67"/>
    </row>
    <row r="83" spans="12:12" x14ac:dyDescent="0.3">
      <c r="L83" s="67"/>
    </row>
    <row r="84" spans="12:12" x14ac:dyDescent="0.3">
      <c r="L84" s="67"/>
    </row>
    <row r="85" spans="12:12" x14ac:dyDescent="0.3">
      <c r="L85" s="67"/>
    </row>
    <row r="86" spans="12:12" x14ac:dyDescent="0.3">
      <c r="L86" s="67"/>
    </row>
    <row r="87" spans="12:12" x14ac:dyDescent="0.3">
      <c r="L87" s="67"/>
    </row>
    <row r="88" spans="12:12" x14ac:dyDescent="0.3">
      <c r="L88" s="67"/>
    </row>
    <row r="89" spans="12:12" x14ac:dyDescent="0.3">
      <c r="L89" s="67"/>
    </row>
    <row r="90" spans="12:12" x14ac:dyDescent="0.3">
      <c r="L90" s="67"/>
    </row>
    <row r="91" spans="12:12" x14ac:dyDescent="0.3">
      <c r="L91" s="67"/>
    </row>
    <row r="92" spans="12:12" x14ac:dyDescent="0.3">
      <c r="L92" s="67"/>
    </row>
    <row r="93" spans="12:12" x14ac:dyDescent="0.3">
      <c r="L93" s="67"/>
    </row>
    <row r="94" spans="12:12" x14ac:dyDescent="0.3">
      <c r="L94" s="67"/>
    </row>
    <row r="95" spans="12:12" x14ac:dyDescent="0.3">
      <c r="L95" s="67"/>
    </row>
    <row r="96" spans="12:12" x14ac:dyDescent="0.3">
      <c r="L96" s="67"/>
    </row>
    <row r="97" spans="12:12" x14ac:dyDescent="0.3">
      <c r="L97" s="67"/>
    </row>
    <row r="98" spans="12:12" x14ac:dyDescent="0.3">
      <c r="L98" s="67"/>
    </row>
    <row r="99" spans="12:12" x14ac:dyDescent="0.3">
      <c r="L99" s="67"/>
    </row>
    <row r="100" spans="12:12" x14ac:dyDescent="0.3">
      <c r="L100" s="67"/>
    </row>
    <row r="101" spans="12:12" x14ac:dyDescent="0.3">
      <c r="L101" s="67"/>
    </row>
    <row r="102" spans="12:12" x14ac:dyDescent="0.3">
      <c r="L102" s="67"/>
    </row>
    <row r="103" spans="12:12" x14ac:dyDescent="0.3">
      <c r="L103" s="67"/>
    </row>
    <row r="104" spans="12:12" x14ac:dyDescent="0.3">
      <c r="L104" s="67"/>
    </row>
    <row r="105" spans="12:12" x14ac:dyDescent="0.3">
      <c r="L105" s="67"/>
    </row>
    <row r="106" spans="12:12" x14ac:dyDescent="0.3">
      <c r="L106" s="67"/>
    </row>
    <row r="107" spans="12:12" x14ac:dyDescent="0.3">
      <c r="L107" s="67"/>
    </row>
    <row r="108" spans="12:12" x14ac:dyDescent="0.3">
      <c r="L108" s="67"/>
    </row>
    <row r="109" spans="12:12" x14ac:dyDescent="0.3">
      <c r="L109" s="67"/>
    </row>
    <row r="110" spans="12:12" x14ac:dyDescent="0.3">
      <c r="L110" s="67"/>
    </row>
    <row r="111" spans="12:12" x14ac:dyDescent="0.3">
      <c r="L111" s="67"/>
    </row>
    <row r="112" spans="12:12" x14ac:dyDescent="0.3">
      <c r="L112" s="67"/>
    </row>
    <row r="113" spans="12:12" x14ac:dyDescent="0.3">
      <c r="L113" s="67"/>
    </row>
    <row r="114" spans="12:12" x14ac:dyDescent="0.3">
      <c r="L114" s="67"/>
    </row>
    <row r="115" spans="12:12" x14ac:dyDescent="0.3">
      <c r="L115" s="67"/>
    </row>
    <row r="116" spans="12:12" x14ac:dyDescent="0.3">
      <c r="L116" s="67"/>
    </row>
    <row r="117" spans="12:12" x14ac:dyDescent="0.3">
      <c r="L117" s="67"/>
    </row>
    <row r="118" spans="12:12" x14ac:dyDescent="0.3">
      <c r="L118" s="67"/>
    </row>
    <row r="119" spans="12:12" x14ac:dyDescent="0.3">
      <c r="L119" s="67"/>
    </row>
    <row r="120" spans="12:12" x14ac:dyDescent="0.3">
      <c r="L120" s="67"/>
    </row>
    <row r="121" spans="12:12" x14ac:dyDescent="0.3">
      <c r="L121" s="67"/>
    </row>
    <row r="122" spans="12:12" x14ac:dyDescent="0.3">
      <c r="L122" s="67"/>
    </row>
    <row r="123" spans="12:12" x14ac:dyDescent="0.3">
      <c r="L123" s="67"/>
    </row>
    <row r="124" spans="12:12" x14ac:dyDescent="0.3">
      <c r="L124" s="67"/>
    </row>
    <row r="125" spans="12:12" x14ac:dyDescent="0.3">
      <c r="L125" s="67"/>
    </row>
    <row r="126" spans="12:12" x14ac:dyDescent="0.3">
      <c r="L126" s="67"/>
    </row>
    <row r="127" spans="12:12" x14ac:dyDescent="0.3">
      <c r="L127" s="67"/>
    </row>
    <row r="128" spans="12:12" x14ac:dyDescent="0.3">
      <c r="L128" s="67"/>
    </row>
    <row r="129" spans="12:12" x14ac:dyDescent="0.3">
      <c r="L129" s="67"/>
    </row>
    <row r="130" spans="12:12" x14ac:dyDescent="0.3">
      <c r="L130" s="67"/>
    </row>
    <row r="131" spans="12:12" x14ac:dyDescent="0.3">
      <c r="L131" s="67"/>
    </row>
    <row r="132" spans="12:12" x14ac:dyDescent="0.3">
      <c r="L132" s="67"/>
    </row>
    <row r="133" spans="12:12" x14ac:dyDescent="0.3">
      <c r="L133" s="67"/>
    </row>
    <row r="134" spans="12:12" x14ac:dyDescent="0.3">
      <c r="L134" s="67"/>
    </row>
    <row r="135" spans="12:12" x14ac:dyDescent="0.3">
      <c r="L135" s="67"/>
    </row>
    <row r="136" spans="12:12" x14ac:dyDescent="0.3">
      <c r="L136" s="67"/>
    </row>
    <row r="137" spans="12:12" x14ac:dyDescent="0.3">
      <c r="L137" s="67"/>
    </row>
    <row r="138" spans="12:12" x14ac:dyDescent="0.3">
      <c r="L138" s="67"/>
    </row>
    <row r="139" spans="12:12" x14ac:dyDescent="0.3">
      <c r="L139" s="67"/>
    </row>
    <row r="140" spans="12:12" x14ac:dyDescent="0.3">
      <c r="L140" s="67"/>
    </row>
    <row r="141" spans="12:12" x14ac:dyDescent="0.3">
      <c r="L141" s="67"/>
    </row>
    <row r="142" spans="12:12" x14ac:dyDescent="0.3">
      <c r="L142" s="67"/>
    </row>
    <row r="143" spans="12:12" x14ac:dyDescent="0.3">
      <c r="L143" s="67"/>
    </row>
    <row r="144" spans="12:12" x14ac:dyDescent="0.3">
      <c r="L144" s="67"/>
    </row>
    <row r="145" spans="12:12" x14ac:dyDescent="0.3">
      <c r="L145" s="67"/>
    </row>
    <row r="146" spans="12:12" x14ac:dyDescent="0.3">
      <c r="L146" s="67"/>
    </row>
    <row r="147" spans="12:12" x14ac:dyDescent="0.3">
      <c r="L147" s="67"/>
    </row>
    <row r="148" spans="12:12" x14ac:dyDescent="0.3">
      <c r="L148" s="67"/>
    </row>
    <row r="149" spans="12:12" x14ac:dyDescent="0.3">
      <c r="L149" s="67"/>
    </row>
    <row r="150" spans="12:12" x14ac:dyDescent="0.3">
      <c r="L150" s="67"/>
    </row>
    <row r="151" spans="12:12" x14ac:dyDescent="0.3">
      <c r="L151" s="67"/>
    </row>
    <row r="152" spans="12:12" x14ac:dyDescent="0.3">
      <c r="L152" s="67"/>
    </row>
    <row r="153" spans="12:12" x14ac:dyDescent="0.3">
      <c r="L153" s="67"/>
    </row>
    <row r="154" spans="12:12" x14ac:dyDescent="0.3">
      <c r="L154" s="67"/>
    </row>
    <row r="155" spans="12:12" x14ac:dyDescent="0.3">
      <c r="L155" s="67"/>
    </row>
    <row r="156" spans="12:12" x14ac:dyDescent="0.3">
      <c r="L156" s="67"/>
    </row>
    <row r="157" spans="12:12" x14ac:dyDescent="0.3">
      <c r="L157" s="67"/>
    </row>
    <row r="158" spans="12:12" x14ac:dyDescent="0.3">
      <c r="L158" s="67"/>
    </row>
    <row r="159" spans="12:12" x14ac:dyDescent="0.3">
      <c r="L159" s="67"/>
    </row>
    <row r="160" spans="12:12" x14ac:dyDescent="0.3">
      <c r="L160" s="67"/>
    </row>
    <row r="161" spans="12:12" x14ac:dyDescent="0.3">
      <c r="L161" s="67"/>
    </row>
    <row r="162" spans="12:12" x14ac:dyDescent="0.3">
      <c r="L162" s="67"/>
    </row>
    <row r="163" spans="12:12" x14ac:dyDescent="0.3">
      <c r="L163" s="67"/>
    </row>
    <row r="164" spans="12:12" x14ac:dyDescent="0.3">
      <c r="L164" s="67"/>
    </row>
    <row r="165" spans="12:12" x14ac:dyDescent="0.3">
      <c r="L165" s="67"/>
    </row>
    <row r="166" spans="12:12" x14ac:dyDescent="0.3">
      <c r="L166" s="67"/>
    </row>
    <row r="167" spans="12:12" x14ac:dyDescent="0.3">
      <c r="L167" s="67"/>
    </row>
    <row r="168" spans="12:12" x14ac:dyDescent="0.3">
      <c r="L168" s="67"/>
    </row>
    <row r="169" spans="12:12" x14ac:dyDescent="0.3">
      <c r="L169" s="67"/>
    </row>
    <row r="170" spans="12:12" x14ac:dyDescent="0.3">
      <c r="L170" s="67"/>
    </row>
    <row r="171" spans="12:12" x14ac:dyDescent="0.3">
      <c r="L171" s="67"/>
    </row>
    <row r="172" spans="12:12" x14ac:dyDescent="0.3">
      <c r="L172" s="67"/>
    </row>
    <row r="173" spans="12:12" x14ac:dyDescent="0.3">
      <c r="L173" s="67"/>
    </row>
    <row r="174" spans="12:12" x14ac:dyDescent="0.3">
      <c r="L174" s="67"/>
    </row>
    <row r="175" spans="12:12" x14ac:dyDescent="0.3">
      <c r="L175" s="67"/>
    </row>
    <row r="176" spans="12:12" x14ac:dyDescent="0.3">
      <c r="L176" s="67"/>
    </row>
    <row r="177" spans="12:12" x14ac:dyDescent="0.3">
      <c r="L177" s="67"/>
    </row>
    <row r="178" spans="12:12" x14ac:dyDescent="0.3">
      <c r="L178" s="67"/>
    </row>
    <row r="179" spans="12:12" x14ac:dyDescent="0.3">
      <c r="L179" s="67"/>
    </row>
    <row r="180" spans="12:12" x14ac:dyDescent="0.3">
      <c r="L180" s="67"/>
    </row>
    <row r="181" spans="12:12" x14ac:dyDescent="0.3">
      <c r="L181" s="67"/>
    </row>
    <row r="182" spans="12:12" x14ac:dyDescent="0.3">
      <c r="L182" s="67"/>
    </row>
    <row r="183" spans="12:12" x14ac:dyDescent="0.3">
      <c r="L183" s="67"/>
    </row>
    <row r="184" spans="12:12" x14ac:dyDescent="0.3">
      <c r="L184" s="67"/>
    </row>
    <row r="185" spans="12:12" x14ac:dyDescent="0.3">
      <c r="L185" s="67"/>
    </row>
    <row r="186" spans="12:12" x14ac:dyDescent="0.3">
      <c r="L186" s="67"/>
    </row>
    <row r="187" spans="12:12" x14ac:dyDescent="0.3">
      <c r="L187" s="67"/>
    </row>
    <row r="188" spans="12:12" x14ac:dyDescent="0.3">
      <c r="L188" s="67"/>
    </row>
    <row r="189" spans="12:12" x14ac:dyDescent="0.3">
      <c r="L189" s="67"/>
    </row>
    <row r="190" spans="12:12" x14ac:dyDescent="0.3">
      <c r="L190" s="67"/>
    </row>
    <row r="191" spans="12:12" x14ac:dyDescent="0.3">
      <c r="L191" s="67"/>
    </row>
    <row r="192" spans="12:12" x14ac:dyDescent="0.3">
      <c r="L192" s="67"/>
    </row>
    <row r="193" spans="12:12" x14ac:dyDescent="0.3">
      <c r="L193" s="67"/>
    </row>
    <row r="194" spans="12:12" x14ac:dyDescent="0.3">
      <c r="L194" s="67"/>
    </row>
    <row r="195" spans="12:12" x14ac:dyDescent="0.3">
      <c r="L195" s="67"/>
    </row>
    <row r="196" spans="12:12" x14ac:dyDescent="0.3">
      <c r="L196" s="67"/>
    </row>
    <row r="197" spans="12:12" x14ac:dyDescent="0.3">
      <c r="L197" s="67"/>
    </row>
    <row r="198" spans="12:12" x14ac:dyDescent="0.3">
      <c r="L198" s="67"/>
    </row>
    <row r="199" spans="12:12" x14ac:dyDescent="0.3">
      <c r="L199" s="67"/>
    </row>
    <row r="200" spans="12:12" x14ac:dyDescent="0.3">
      <c r="L200" s="67"/>
    </row>
    <row r="201" spans="12:12" x14ac:dyDescent="0.3">
      <c r="L201" s="67"/>
    </row>
    <row r="202" spans="12:12" x14ac:dyDescent="0.3">
      <c r="L202" s="67"/>
    </row>
    <row r="203" spans="12:12" x14ac:dyDescent="0.3">
      <c r="L203" s="67"/>
    </row>
    <row r="204" spans="12:12" x14ac:dyDescent="0.3">
      <c r="L204" s="67"/>
    </row>
    <row r="205" spans="12:12" x14ac:dyDescent="0.3">
      <c r="L205" s="67"/>
    </row>
    <row r="206" spans="12:12" x14ac:dyDescent="0.3">
      <c r="L206" s="67"/>
    </row>
    <row r="207" spans="12:12" x14ac:dyDescent="0.3">
      <c r="L207" s="67"/>
    </row>
    <row r="208" spans="12:12" x14ac:dyDescent="0.3">
      <c r="L208" s="67"/>
    </row>
    <row r="209" spans="12:12" x14ac:dyDescent="0.3">
      <c r="L209" s="67"/>
    </row>
    <row r="210" spans="12:12" x14ac:dyDescent="0.3">
      <c r="L210" s="67"/>
    </row>
    <row r="211" spans="12:12" x14ac:dyDescent="0.3">
      <c r="L211" s="67"/>
    </row>
    <row r="212" spans="12:12" x14ac:dyDescent="0.3">
      <c r="L212" s="67"/>
    </row>
    <row r="213" spans="12:12" x14ac:dyDescent="0.3">
      <c r="L213" s="67"/>
    </row>
    <row r="214" spans="12:12" x14ac:dyDescent="0.3">
      <c r="L214" s="67"/>
    </row>
    <row r="215" spans="12:12" x14ac:dyDescent="0.3">
      <c r="L215" s="67"/>
    </row>
    <row r="216" spans="12:12" x14ac:dyDescent="0.3">
      <c r="L216" s="67"/>
    </row>
    <row r="217" spans="12:12" x14ac:dyDescent="0.3">
      <c r="L217" s="67"/>
    </row>
    <row r="218" spans="12:12" x14ac:dyDescent="0.3">
      <c r="L218" s="67"/>
    </row>
    <row r="219" spans="12:12" x14ac:dyDescent="0.3">
      <c r="L219" s="67"/>
    </row>
    <row r="220" spans="12:12" x14ac:dyDescent="0.3">
      <c r="L220" s="67"/>
    </row>
    <row r="221" spans="12:12" x14ac:dyDescent="0.3">
      <c r="L221" s="67"/>
    </row>
    <row r="222" spans="12:12" x14ac:dyDescent="0.3">
      <c r="L222" s="67"/>
    </row>
    <row r="223" spans="12:12" x14ac:dyDescent="0.3">
      <c r="L223" s="67"/>
    </row>
    <row r="224" spans="12:12" x14ac:dyDescent="0.3">
      <c r="L224" s="67"/>
    </row>
    <row r="225" spans="12:12" x14ac:dyDescent="0.3">
      <c r="L225" s="67"/>
    </row>
    <row r="226" spans="12:12" x14ac:dyDescent="0.3">
      <c r="L226" s="67"/>
    </row>
    <row r="227" spans="12:12" x14ac:dyDescent="0.3">
      <c r="L227" s="67"/>
    </row>
    <row r="228" spans="12:12" x14ac:dyDescent="0.3">
      <c r="L228" s="67"/>
    </row>
    <row r="229" spans="12:12" x14ac:dyDescent="0.3">
      <c r="L229" s="67"/>
    </row>
    <row r="230" spans="12:12" x14ac:dyDescent="0.3">
      <c r="L230" s="67"/>
    </row>
    <row r="231" spans="12:12" x14ac:dyDescent="0.3">
      <c r="L231" s="67"/>
    </row>
    <row r="232" spans="12:12" x14ac:dyDescent="0.3">
      <c r="L232" s="67"/>
    </row>
    <row r="233" spans="12:12" x14ac:dyDescent="0.3">
      <c r="L233" s="67"/>
    </row>
    <row r="234" spans="12:12" x14ac:dyDescent="0.3">
      <c r="L234" s="67"/>
    </row>
    <row r="235" spans="12:12" x14ac:dyDescent="0.3">
      <c r="L235" s="67"/>
    </row>
    <row r="236" spans="12:12" x14ac:dyDescent="0.3">
      <c r="L236" s="67"/>
    </row>
    <row r="237" spans="12:12" x14ac:dyDescent="0.3">
      <c r="L237" s="67"/>
    </row>
    <row r="238" spans="12:12" x14ac:dyDescent="0.3">
      <c r="L238" s="67"/>
    </row>
    <row r="239" spans="12:12" x14ac:dyDescent="0.3">
      <c r="L239" s="67"/>
    </row>
    <row r="240" spans="12:12" x14ac:dyDescent="0.3">
      <c r="L240" s="67"/>
    </row>
    <row r="241" spans="12:12" x14ac:dyDescent="0.3">
      <c r="L241" s="67"/>
    </row>
    <row r="242" spans="12:12" x14ac:dyDescent="0.3">
      <c r="L242" s="67"/>
    </row>
    <row r="243" spans="12:12" x14ac:dyDescent="0.3">
      <c r="L243" s="67"/>
    </row>
    <row r="244" spans="12:12" x14ac:dyDescent="0.3">
      <c r="L244" s="67"/>
    </row>
    <row r="245" spans="12:12" x14ac:dyDescent="0.3">
      <c r="L245" s="67"/>
    </row>
    <row r="246" spans="12:12" x14ac:dyDescent="0.3">
      <c r="L246" s="67"/>
    </row>
    <row r="247" spans="12:12" x14ac:dyDescent="0.3">
      <c r="L247" s="67"/>
    </row>
    <row r="248" spans="12:12" x14ac:dyDescent="0.3">
      <c r="L248" s="67"/>
    </row>
    <row r="249" spans="12:12" x14ac:dyDescent="0.3">
      <c r="L249" s="67"/>
    </row>
    <row r="250" spans="12:12" x14ac:dyDescent="0.3">
      <c r="L250" s="67"/>
    </row>
    <row r="251" spans="12:12" x14ac:dyDescent="0.3">
      <c r="L251" s="67"/>
    </row>
    <row r="252" spans="12:12" x14ac:dyDescent="0.3">
      <c r="L252" s="67"/>
    </row>
    <row r="253" spans="12:12" x14ac:dyDescent="0.3">
      <c r="L253" s="67"/>
    </row>
    <row r="254" spans="12:12" x14ac:dyDescent="0.3">
      <c r="L254" s="67"/>
    </row>
    <row r="255" spans="12:12" x14ac:dyDescent="0.3">
      <c r="L255" s="67"/>
    </row>
  </sheetData>
  <conditionalFormatting sqref="T17 AJ17 R17 AB17 Y17:Z17 AM17:AQ17 AM29:AP36">
    <cfRule type="expression" dxfId="52" priority="52">
      <formula>$L17="API sand"</formula>
    </cfRule>
  </conditionalFormatting>
  <conditionalFormatting sqref="R29:S36 AB29:AB35 AK17:AL17">
    <cfRule type="expression" dxfId="51" priority="51">
      <formula>$M17="API sand"</formula>
    </cfRule>
  </conditionalFormatting>
  <conditionalFormatting sqref="R29:T36 AB29:AB35 AK17:AL17">
    <cfRule type="expression" dxfId="50" priority="50">
      <formula>$M17="API clay"</formula>
    </cfRule>
  </conditionalFormatting>
  <conditionalFormatting sqref="U29:W36 AA17 AE17:AI17 V17 AM17:AP17 AM29:AP36">
    <cfRule type="expression" dxfId="49" priority="47">
      <formula>$L17="Stiff clay w/o free water"</formula>
    </cfRule>
    <cfRule type="expression" dxfId="48" priority="49">
      <formula>$L17="API clay"</formula>
    </cfRule>
  </conditionalFormatting>
  <conditionalFormatting sqref="U29:Y36 AA17 AE17:AI17 V17 AM17:AP17 AM29:AP36">
    <cfRule type="expression" dxfId="47" priority="48">
      <formula>$L17="Kirsch soft clay"</formula>
    </cfRule>
  </conditionalFormatting>
  <conditionalFormatting sqref="U29:Y36 AA17 AE17:AI17 V17 AM17:AP17 AM29:AP36">
    <cfRule type="expression" dxfId="46" priority="46">
      <formula>$L17="Kirsch stiff clay"</formula>
    </cfRule>
  </conditionalFormatting>
  <conditionalFormatting sqref="T17 AJ17 R17 AB17 Y17:Z17 AM17:AQ17 AM29:AP36">
    <cfRule type="expression" dxfId="45" priority="45">
      <formula>$L17="Kirsch sand"</formula>
    </cfRule>
  </conditionalFormatting>
  <conditionalFormatting sqref="AM17:AP17 AM29:AP36">
    <cfRule type="expression" dxfId="44" priority="44">
      <formula>$L17="Modified Weak rock"</formula>
    </cfRule>
  </conditionalFormatting>
  <conditionalFormatting sqref="U29:V36 AA17 AE17:AI17 V17 AM17:AP17 AM29:AP36">
    <cfRule type="expression" dxfId="43" priority="43">
      <formula>$L17="Reese stiff clay"</formula>
    </cfRule>
  </conditionalFormatting>
  <conditionalFormatting sqref="N30:N36 Q29:Q36">
    <cfRule type="expression" dxfId="42" priority="42">
      <formula>$L29="API sand"</formula>
    </cfRule>
  </conditionalFormatting>
  <conditionalFormatting sqref="N30:N36 AB36 AJ29:AL36 Z29:Z36">
    <cfRule type="expression" dxfId="41" priority="41">
      <formula>$M29="API sand"</formula>
    </cfRule>
  </conditionalFormatting>
  <conditionalFormatting sqref="Z36:AB36 AK29:AL36 N30:N36 Z29:AA35">
    <cfRule type="expression" dxfId="40" priority="40">
      <formula>$M29="API clay"</formula>
    </cfRule>
  </conditionalFormatting>
  <conditionalFormatting sqref="N30:P36 O29:P29">
    <cfRule type="expression" dxfId="39" priority="37">
      <formula>$L29="Stiff clay w/o free water"</formula>
    </cfRule>
    <cfRule type="expression" dxfId="38" priority="39">
      <formula>$L29="API clay"</formula>
    </cfRule>
  </conditionalFormatting>
  <conditionalFormatting sqref="N30:P36 O29:P29">
    <cfRule type="expression" dxfId="37" priority="38">
      <formula>$L29="Kirsch soft clay"</formula>
    </cfRule>
  </conditionalFormatting>
  <conditionalFormatting sqref="N30:P36 O29:P29">
    <cfRule type="expression" dxfId="36" priority="36">
      <formula>$L29="Kirsch stiff clay"</formula>
    </cfRule>
  </conditionalFormatting>
  <conditionalFormatting sqref="N30:N36 Q29:Q36 X29:Y36">
    <cfRule type="expression" dxfId="35" priority="35">
      <formula>$L29="Kirsch sand"</formula>
    </cfRule>
  </conditionalFormatting>
  <conditionalFormatting sqref="N30:N36 AC29:AD36 AI29:AI36">
    <cfRule type="expression" dxfId="34" priority="34">
      <formula>$L29="Modified Weak rock"</formula>
    </cfRule>
  </conditionalFormatting>
  <conditionalFormatting sqref="N30:P36 O29:P29">
    <cfRule type="expression" dxfId="33" priority="33">
      <formula>$L29="Reese stiff clay"</formula>
    </cfRule>
  </conditionalFormatting>
  <conditionalFormatting sqref="AA17 AE17:AI17 V17 AM17:AP17">
    <cfRule type="expression" dxfId="32" priority="32">
      <formula>$L17="PISA clay"</formula>
    </cfRule>
  </conditionalFormatting>
  <conditionalFormatting sqref="AM17:AP17">
    <cfRule type="expression" dxfId="31" priority="31">
      <formula>$L17="PISA sand"</formula>
    </cfRule>
  </conditionalFormatting>
  <conditionalFormatting sqref="AE37:AH37">
    <cfRule type="expression" dxfId="30" priority="53">
      <formula>$L19="Modified Weak rock"</formula>
    </cfRule>
  </conditionalFormatting>
  <conditionalFormatting sqref="Q17 S17 W17">
    <cfRule type="expression" dxfId="29" priority="30">
      <formula>$L17="API sand"</formula>
    </cfRule>
  </conditionalFormatting>
  <conditionalFormatting sqref="O17:P17">
    <cfRule type="expression" dxfId="28" priority="27">
      <formula>$L17="Stiff clay w/o free water"</formula>
    </cfRule>
    <cfRule type="expression" dxfId="27" priority="29">
      <formula>$L17="API clay"</formula>
    </cfRule>
  </conditionalFormatting>
  <conditionalFormatting sqref="O17:P17">
    <cfRule type="expression" dxfId="26" priority="28">
      <formula>$L17="Kirsch soft clay"</formula>
    </cfRule>
  </conditionalFormatting>
  <conditionalFormatting sqref="O17:P17">
    <cfRule type="expression" dxfId="25" priority="26">
      <formula>$L17="Kirsch stiff clay"</formula>
    </cfRule>
  </conditionalFormatting>
  <conditionalFormatting sqref="Q17 S17 W17">
    <cfRule type="expression" dxfId="24" priority="25">
      <formula>$L17="Kirsch sand"</formula>
    </cfRule>
  </conditionalFormatting>
  <conditionalFormatting sqref="O17:P17">
    <cfRule type="expression" dxfId="23" priority="24">
      <formula>$L17="Reese stiff clay"</formula>
    </cfRule>
  </conditionalFormatting>
  <conditionalFormatting sqref="O17:P17">
    <cfRule type="expression" dxfId="22" priority="23">
      <formula>$L17="PISA clay"</formula>
    </cfRule>
  </conditionalFormatting>
  <conditionalFormatting sqref="AD17">
    <cfRule type="expression" dxfId="21" priority="20">
      <formula>$L17="Stiff clay w/o free water"</formula>
    </cfRule>
    <cfRule type="expression" dxfId="20" priority="22">
      <formula>$L17="API clay"</formula>
    </cfRule>
  </conditionalFormatting>
  <conditionalFormatting sqref="AD17">
    <cfRule type="expression" dxfId="19" priority="21">
      <formula>$L17="Kirsch soft clay"</formula>
    </cfRule>
  </conditionalFormatting>
  <conditionalFormatting sqref="AD17">
    <cfRule type="expression" dxfId="18" priority="19">
      <formula>$L17="Kirsch stiff clay"</formula>
    </cfRule>
  </conditionalFormatting>
  <conditionalFormatting sqref="AD17">
    <cfRule type="expression" dxfId="17" priority="18">
      <formula>$L17="Reese stiff clay"</formula>
    </cfRule>
  </conditionalFormatting>
  <conditionalFormatting sqref="AD17">
    <cfRule type="expression" dxfId="16" priority="17">
      <formula>$L17="PISA clay"</formula>
    </cfRule>
  </conditionalFormatting>
  <conditionalFormatting sqref="AC17">
    <cfRule type="expression" dxfId="15" priority="14">
      <formula>$L17="Stiff clay w/o free water"</formula>
    </cfRule>
    <cfRule type="expression" dxfId="14" priority="16">
      <formula>$L17="API clay"</formula>
    </cfRule>
  </conditionalFormatting>
  <conditionalFormatting sqref="AC17">
    <cfRule type="expression" dxfId="13" priority="15">
      <formula>$L17="Kirsch soft clay"</formula>
    </cfRule>
  </conditionalFormatting>
  <conditionalFormatting sqref="AC17">
    <cfRule type="expression" dxfId="12" priority="13">
      <formula>$L17="Kirsch stiff clay"</formula>
    </cfRule>
  </conditionalFormatting>
  <conditionalFormatting sqref="AC17">
    <cfRule type="expression" dxfId="11" priority="12">
      <formula>$L17="Reese stiff clay"</formula>
    </cfRule>
  </conditionalFormatting>
  <conditionalFormatting sqref="AC17">
    <cfRule type="expression" dxfId="10" priority="11">
      <formula>$L17="PISA clay"</formula>
    </cfRule>
  </conditionalFormatting>
  <conditionalFormatting sqref="X17">
    <cfRule type="expression" dxfId="9" priority="10">
      <formula>$L17="API sand"</formula>
    </cfRule>
  </conditionalFormatting>
  <conditionalFormatting sqref="X17">
    <cfRule type="expression" dxfId="8" priority="9">
      <formula>$L17="Kirsch sand"</formula>
    </cfRule>
  </conditionalFormatting>
  <conditionalFormatting sqref="U17">
    <cfRule type="expression" dxfId="7" priority="6">
      <formula>$L17="Stiff clay w/o free water"</formula>
    </cfRule>
    <cfRule type="expression" dxfId="6" priority="8">
      <formula>$L17="API clay"</formula>
    </cfRule>
  </conditionalFormatting>
  <conditionalFormatting sqref="U17">
    <cfRule type="expression" dxfId="5" priority="7">
      <formula>$L17="Kirsch soft clay"</formula>
    </cfRule>
  </conditionalFormatting>
  <conditionalFormatting sqref="U17">
    <cfRule type="expression" dxfId="4" priority="5">
      <formula>$L17="Kirsch stiff clay"</formula>
    </cfRule>
  </conditionalFormatting>
  <conditionalFormatting sqref="U17">
    <cfRule type="expression" dxfId="3" priority="4">
      <formula>$L17="Reese stiff clay"</formula>
    </cfRule>
  </conditionalFormatting>
  <conditionalFormatting sqref="U17">
    <cfRule type="expression" dxfId="2" priority="3">
      <formula>$L17="PISA clay"</formula>
    </cfRule>
  </conditionalFormatting>
  <conditionalFormatting sqref="AR17">
    <cfRule type="expression" dxfId="1" priority="2">
      <formula>$L17="API sand"</formula>
    </cfRule>
  </conditionalFormatting>
  <conditionalFormatting sqref="AR17">
    <cfRule type="expression" dxfId="0" priority="1">
      <formula>$L17="Kirsch sand"</formula>
    </cfRule>
  </conditionalFormatting>
  <dataValidations count="3">
    <dataValidation type="list" showInputMessage="1" showErrorMessage="1" sqref="M6:M17" xr:uid="{E20D3C3C-A18D-43C1-A1F2-31DD14FC86D6}">
      <formula1>"Zero soil,API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18:M36" xr:uid="{0E050491-033A-459E-A264-6067247925EA}">
      <formula1>"',API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34C3E-4205-4CEA-A98E-977F15C65C34}">
  <sheetPr codeName="Sheet4"/>
  <dimension ref="B2:M9"/>
  <sheetViews>
    <sheetView workbookViewId="0">
      <selection activeCell="L7" sqref="L7"/>
    </sheetView>
  </sheetViews>
  <sheetFormatPr defaultRowHeight="14.4" x14ac:dyDescent="0.3"/>
  <sheetData>
    <row r="2" spans="2:13" ht="15" thickBot="1" x14ac:dyDescent="0.35">
      <c r="B2" s="35" t="s">
        <v>118</v>
      </c>
      <c r="C2" s="35" t="s">
        <v>423</v>
      </c>
      <c r="D2" s="35" t="s">
        <v>119</v>
      </c>
      <c r="E2" s="36" t="s">
        <v>181</v>
      </c>
      <c r="F2" s="141" t="s">
        <v>112</v>
      </c>
      <c r="G2" s="8" t="s">
        <v>107</v>
      </c>
      <c r="H2" s="5" t="s">
        <v>109</v>
      </c>
      <c r="I2" s="5" t="s">
        <v>111</v>
      </c>
      <c r="J2" s="5" t="s">
        <v>112</v>
      </c>
      <c r="K2" s="10" t="s">
        <v>114</v>
      </c>
      <c r="L2" s="203" t="s">
        <v>1768</v>
      </c>
      <c r="M2" s="203" t="s">
        <v>1774</v>
      </c>
    </row>
    <row r="3" spans="2:13" x14ac:dyDescent="0.3">
      <c r="B3" s="2" t="s">
        <v>182</v>
      </c>
      <c r="C3" s="26" t="s">
        <v>81</v>
      </c>
      <c r="D3" s="29" t="s">
        <v>120</v>
      </c>
      <c r="E3" t="s">
        <v>464</v>
      </c>
      <c r="F3" s="142" t="s">
        <v>462</v>
      </c>
      <c r="G3" t="s">
        <v>108</v>
      </c>
      <c r="H3" t="s">
        <v>110</v>
      </c>
      <c r="I3" t="s">
        <v>427</v>
      </c>
      <c r="J3" t="s">
        <v>113</v>
      </c>
      <c r="K3" t="s">
        <v>115</v>
      </c>
      <c r="L3" t="s">
        <v>1771</v>
      </c>
      <c r="M3" t="s">
        <v>1775</v>
      </c>
    </row>
    <row r="4" spans="2:13" x14ac:dyDescent="0.3">
      <c r="B4" s="2" t="s">
        <v>183</v>
      </c>
      <c r="C4" s="26" t="s">
        <v>184</v>
      </c>
      <c r="D4" s="29" t="s">
        <v>186</v>
      </c>
      <c r="E4" t="s">
        <v>463</v>
      </c>
      <c r="F4" s="142" t="s">
        <v>465</v>
      </c>
      <c r="G4" t="s">
        <v>424</v>
      </c>
      <c r="H4" t="s">
        <v>426</v>
      </c>
      <c r="I4" t="s">
        <v>428</v>
      </c>
      <c r="J4" t="s">
        <v>433</v>
      </c>
      <c r="K4" t="s">
        <v>434</v>
      </c>
      <c r="L4" t="s">
        <v>1772</v>
      </c>
      <c r="M4" t="s">
        <v>1776</v>
      </c>
    </row>
    <row r="5" spans="2:13" x14ac:dyDescent="0.3">
      <c r="B5" s="28" t="s">
        <v>185</v>
      </c>
      <c r="C5" s="2"/>
      <c r="D5" s="29" t="s">
        <v>187</v>
      </c>
      <c r="H5" t="s">
        <v>425</v>
      </c>
      <c r="I5" t="s">
        <v>429</v>
      </c>
      <c r="K5" t="s">
        <v>424</v>
      </c>
      <c r="L5" t="s">
        <v>1773</v>
      </c>
    </row>
    <row r="6" spans="2:13" x14ac:dyDescent="0.3">
      <c r="B6" s="2"/>
      <c r="C6" s="2"/>
      <c r="D6" s="29" t="s">
        <v>188</v>
      </c>
      <c r="I6" t="s">
        <v>430</v>
      </c>
      <c r="L6" t="s">
        <v>1815</v>
      </c>
    </row>
    <row r="7" spans="2:13" x14ac:dyDescent="0.3">
      <c r="B7" s="2"/>
      <c r="I7" t="s">
        <v>209</v>
      </c>
    </row>
    <row r="8" spans="2:13" x14ac:dyDescent="0.3">
      <c r="B8" s="2"/>
      <c r="I8" t="s">
        <v>431</v>
      </c>
    </row>
    <row r="9" spans="2:13" x14ac:dyDescent="0.3">
      <c r="I9" t="s">
        <v>432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AE098-9169-4123-9E08-4D5B5F64416A}">
  <sheetPr codeName="Sheet5"/>
  <dimension ref="A1:AN20"/>
  <sheetViews>
    <sheetView workbookViewId="0">
      <selection activeCell="A2" sqref="A2"/>
    </sheetView>
  </sheetViews>
  <sheetFormatPr defaultRowHeight="14.4" x14ac:dyDescent="0.3"/>
  <cols>
    <col min="1" max="3" width="18.6640625" customWidth="1"/>
    <col min="10" max="41" width="18.33203125" customWidth="1"/>
  </cols>
  <sheetData>
    <row r="1" spans="1:40" x14ac:dyDescent="0.3">
      <c r="A1" s="37" t="s">
        <v>420</v>
      </c>
    </row>
    <row r="3" spans="1:40" x14ac:dyDescent="0.3">
      <c r="F3" s="37" t="s">
        <v>37</v>
      </c>
      <c r="J3" s="37" t="s">
        <v>22</v>
      </c>
    </row>
    <row r="4" spans="1:40" x14ac:dyDescent="0.3">
      <c r="A4" t="s">
        <v>54</v>
      </c>
      <c r="B4">
        <v>12</v>
      </c>
      <c r="F4" t="s">
        <v>38</v>
      </c>
      <c r="G4">
        <v>0</v>
      </c>
      <c r="H4" t="s">
        <v>28</v>
      </c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</row>
    <row r="5" spans="1:40" x14ac:dyDescent="0.3">
      <c r="A5" t="s">
        <v>55</v>
      </c>
      <c r="B5">
        <v>1</v>
      </c>
      <c r="F5" t="s">
        <v>39</v>
      </c>
      <c r="G5">
        <v>0</v>
      </c>
      <c r="H5" t="s">
        <v>28</v>
      </c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192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</row>
    <row r="6" spans="1:40" x14ac:dyDescent="0.3">
      <c r="F6" t="s">
        <v>60</v>
      </c>
      <c r="G6">
        <v>36.700000000000003</v>
      </c>
      <c r="H6" t="s">
        <v>28</v>
      </c>
      <c r="J6">
        <v>1</v>
      </c>
      <c r="K6">
        <v>0</v>
      </c>
      <c r="L6" t="s">
        <v>382</v>
      </c>
      <c r="M6" t="s">
        <v>58</v>
      </c>
      <c r="N6">
        <v>10.199999999999999</v>
      </c>
      <c r="O6">
        <v>13</v>
      </c>
      <c r="P6">
        <v>0</v>
      </c>
      <c r="Q6">
        <v>0</v>
      </c>
      <c r="R6">
        <v>0</v>
      </c>
      <c r="S6">
        <v>3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10500</v>
      </c>
      <c r="AD6">
        <v>0</v>
      </c>
      <c r="AE6">
        <v>0.25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</row>
    <row r="7" spans="1:40" x14ac:dyDescent="0.3">
      <c r="A7" s="37" t="s">
        <v>23</v>
      </c>
      <c r="F7" s="37" t="s">
        <v>44</v>
      </c>
      <c r="J7">
        <v>2</v>
      </c>
      <c r="K7">
        <v>-0.65</v>
      </c>
      <c r="L7" t="s">
        <v>351</v>
      </c>
      <c r="M7" t="s">
        <v>57</v>
      </c>
      <c r="N7">
        <v>9.3999999999999986</v>
      </c>
      <c r="O7">
        <v>1</v>
      </c>
      <c r="P7">
        <v>0</v>
      </c>
      <c r="Q7">
        <v>40</v>
      </c>
      <c r="R7"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73158</v>
      </c>
      <c r="AD7">
        <v>0</v>
      </c>
      <c r="AE7">
        <v>0.25</v>
      </c>
      <c r="AF7">
        <v>0</v>
      </c>
      <c r="AG7">
        <v>0</v>
      </c>
      <c r="AH7">
        <v>0</v>
      </c>
      <c r="AI7">
        <v>0</v>
      </c>
      <c r="AJ7">
        <v>0</v>
      </c>
      <c r="AK7">
        <v>1</v>
      </c>
      <c r="AL7">
        <v>1</v>
      </c>
      <c r="AM7">
        <v>1</v>
      </c>
      <c r="AN7">
        <v>1</v>
      </c>
    </row>
    <row r="8" spans="1:40" x14ac:dyDescent="0.3">
      <c r="A8" t="s">
        <v>24</v>
      </c>
      <c r="B8">
        <v>0</v>
      </c>
      <c r="F8" t="s">
        <v>45</v>
      </c>
      <c r="G8">
        <v>0</v>
      </c>
      <c r="H8" t="s">
        <v>48</v>
      </c>
      <c r="J8">
        <v>3</v>
      </c>
      <c r="K8">
        <v>-4.2</v>
      </c>
      <c r="L8" t="s">
        <v>330</v>
      </c>
      <c r="M8" t="s">
        <v>57</v>
      </c>
      <c r="N8">
        <v>10</v>
      </c>
      <c r="O8">
        <v>1</v>
      </c>
      <c r="P8">
        <v>0</v>
      </c>
      <c r="Q8">
        <v>37</v>
      </c>
      <c r="R8"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81358</v>
      </c>
      <c r="AD8">
        <v>0</v>
      </c>
      <c r="AE8">
        <v>0.25</v>
      </c>
      <c r="AF8">
        <v>0</v>
      </c>
      <c r="AG8">
        <v>0</v>
      </c>
      <c r="AH8">
        <v>0</v>
      </c>
      <c r="AI8">
        <v>0</v>
      </c>
      <c r="AJ8">
        <v>0</v>
      </c>
      <c r="AK8">
        <v>1</v>
      </c>
      <c r="AL8">
        <v>1</v>
      </c>
      <c r="AM8">
        <v>1</v>
      </c>
      <c r="AN8">
        <v>1</v>
      </c>
    </row>
    <row r="9" spans="1:40" x14ac:dyDescent="0.3">
      <c r="A9" t="s">
        <v>61</v>
      </c>
      <c r="B9">
        <v>41</v>
      </c>
      <c r="F9" t="s">
        <v>72</v>
      </c>
      <c r="G9">
        <v>0</v>
      </c>
      <c r="H9" t="s">
        <v>49</v>
      </c>
      <c r="J9">
        <v>4</v>
      </c>
      <c r="K9">
        <v>-6</v>
      </c>
      <c r="L9" t="s">
        <v>343</v>
      </c>
      <c r="M9" t="s">
        <v>57</v>
      </c>
      <c r="N9">
        <v>9.8999999999999986</v>
      </c>
      <c r="O9">
        <v>1</v>
      </c>
      <c r="P9">
        <v>0</v>
      </c>
      <c r="Q9">
        <v>39</v>
      </c>
      <c r="R9"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99305</v>
      </c>
      <c r="AD9">
        <v>0</v>
      </c>
      <c r="AE9">
        <v>0.25</v>
      </c>
      <c r="AF9">
        <v>0</v>
      </c>
      <c r="AG9">
        <v>0</v>
      </c>
      <c r="AH9">
        <v>0</v>
      </c>
      <c r="AI9">
        <v>0</v>
      </c>
      <c r="AJ9">
        <v>0</v>
      </c>
      <c r="AK9">
        <v>1</v>
      </c>
      <c r="AL9">
        <v>1</v>
      </c>
      <c r="AM9">
        <v>1</v>
      </c>
      <c r="AN9">
        <v>1</v>
      </c>
    </row>
    <row r="10" spans="1:40" x14ac:dyDescent="0.3">
      <c r="A10" t="s">
        <v>62</v>
      </c>
      <c r="B10">
        <v>41</v>
      </c>
      <c r="F10" t="s">
        <v>46</v>
      </c>
      <c r="G10">
        <v>0</v>
      </c>
      <c r="H10" t="s">
        <v>48</v>
      </c>
      <c r="J10">
        <v>5</v>
      </c>
      <c r="K10">
        <v>-9</v>
      </c>
      <c r="L10" t="s">
        <v>355</v>
      </c>
      <c r="M10" t="s">
        <v>57</v>
      </c>
      <c r="N10">
        <v>9.8999999999999986</v>
      </c>
      <c r="O10">
        <v>1</v>
      </c>
      <c r="P10">
        <v>0</v>
      </c>
      <c r="Q10">
        <v>40</v>
      </c>
      <c r="R10"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109714</v>
      </c>
      <c r="AD10">
        <v>0</v>
      </c>
      <c r="AE10">
        <v>0.25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1</v>
      </c>
      <c r="AL10">
        <v>1</v>
      </c>
      <c r="AM10">
        <v>1</v>
      </c>
      <c r="AN10">
        <v>1</v>
      </c>
    </row>
    <row r="11" spans="1:40" x14ac:dyDescent="0.3">
      <c r="A11" t="s">
        <v>63</v>
      </c>
      <c r="B11">
        <v>1</v>
      </c>
      <c r="F11" t="s">
        <v>47</v>
      </c>
      <c r="G11">
        <v>0</v>
      </c>
      <c r="H11" t="s">
        <v>48</v>
      </c>
      <c r="J11">
        <v>6</v>
      </c>
      <c r="K11">
        <v>-12.9</v>
      </c>
      <c r="L11" t="s">
        <v>333</v>
      </c>
      <c r="M11" t="s">
        <v>57</v>
      </c>
      <c r="N11">
        <v>8.5</v>
      </c>
      <c r="O11">
        <v>1</v>
      </c>
      <c r="P11">
        <v>0</v>
      </c>
      <c r="Q11">
        <v>26</v>
      </c>
      <c r="R11"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90226</v>
      </c>
      <c r="AD11">
        <v>0</v>
      </c>
      <c r="AE11">
        <v>0.25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1</v>
      </c>
      <c r="AL11">
        <v>1</v>
      </c>
      <c r="AM11">
        <v>1</v>
      </c>
      <c r="AN11">
        <v>1</v>
      </c>
    </row>
    <row r="12" spans="1:40" x14ac:dyDescent="0.3">
      <c r="A12" t="s">
        <v>66</v>
      </c>
      <c r="B12">
        <v>9.6999999999999993</v>
      </c>
      <c r="F12" t="s">
        <v>73</v>
      </c>
      <c r="G12">
        <v>0</v>
      </c>
      <c r="H12" t="s">
        <v>48</v>
      </c>
      <c r="J12">
        <v>7</v>
      </c>
      <c r="K12">
        <v>-25</v>
      </c>
      <c r="L12" t="s">
        <v>382</v>
      </c>
      <c r="M12" t="s">
        <v>58</v>
      </c>
      <c r="N12">
        <v>8.5</v>
      </c>
      <c r="O12">
        <v>187.23</v>
      </c>
      <c r="P12">
        <v>0</v>
      </c>
      <c r="Q12">
        <v>0</v>
      </c>
      <c r="R12">
        <v>0</v>
      </c>
      <c r="S12">
        <v>1.9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242980.9160305344</v>
      </c>
      <c r="AD12">
        <v>0</v>
      </c>
      <c r="AE12">
        <v>0.25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</row>
    <row r="13" spans="1:40" x14ac:dyDescent="0.3">
      <c r="A13" t="s">
        <v>40</v>
      </c>
      <c r="B13">
        <v>78</v>
      </c>
      <c r="F13" s="37" t="s">
        <v>50</v>
      </c>
      <c r="J13">
        <v>8</v>
      </c>
      <c r="K13">
        <v>-28.5</v>
      </c>
      <c r="L13" t="s">
        <v>382</v>
      </c>
      <c r="M13" t="s">
        <v>58</v>
      </c>
      <c r="N13">
        <v>8.5</v>
      </c>
      <c r="O13">
        <v>225.7</v>
      </c>
      <c r="P13">
        <v>0</v>
      </c>
      <c r="Q13">
        <v>0</v>
      </c>
      <c r="R13">
        <v>0</v>
      </c>
      <c r="S13">
        <v>1.9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292942.74809160299</v>
      </c>
      <c r="AD13">
        <v>0</v>
      </c>
      <c r="AE13">
        <v>0.25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1</v>
      </c>
      <c r="AL13">
        <v>1</v>
      </c>
      <c r="AM13">
        <v>1</v>
      </c>
      <c r="AN13">
        <v>1</v>
      </c>
    </row>
    <row r="14" spans="1:40" x14ac:dyDescent="0.3">
      <c r="A14" t="s">
        <v>41</v>
      </c>
      <c r="B14">
        <v>355000</v>
      </c>
      <c r="F14" t="s">
        <v>51</v>
      </c>
      <c r="G14" t="s">
        <v>52</v>
      </c>
      <c r="H14" t="s">
        <v>56</v>
      </c>
      <c r="J14">
        <v>9</v>
      </c>
      <c r="K14">
        <v>-32</v>
      </c>
      <c r="L14" t="s">
        <v>382</v>
      </c>
      <c r="M14" t="s">
        <v>58</v>
      </c>
      <c r="N14">
        <v>8.5</v>
      </c>
      <c r="O14">
        <v>264.2</v>
      </c>
      <c r="P14">
        <v>0</v>
      </c>
      <c r="Q14">
        <v>0</v>
      </c>
      <c r="R14">
        <v>0</v>
      </c>
      <c r="S14">
        <v>1.9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342904.58015267178</v>
      </c>
      <c r="AD14">
        <v>0</v>
      </c>
      <c r="AE14">
        <v>0.25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1</v>
      </c>
      <c r="AL14">
        <v>1</v>
      </c>
      <c r="AM14">
        <v>1</v>
      </c>
      <c r="AN14">
        <v>1</v>
      </c>
    </row>
    <row r="15" spans="1:40" x14ac:dyDescent="0.3">
      <c r="A15" t="s">
        <v>42</v>
      </c>
      <c r="B15">
        <v>207000000</v>
      </c>
      <c r="J15">
        <v>10</v>
      </c>
      <c r="K15">
        <v>-35.5</v>
      </c>
      <c r="L15" t="s">
        <v>382</v>
      </c>
      <c r="M15" t="s">
        <v>58</v>
      </c>
      <c r="N15">
        <v>8.5</v>
      </c>
      <c r="O15">
        <v>297.70999999999998</v>
      </c>
      <c r="P15">
        <v>0</v>
      </c>
      <c r="Q15">
        <v>0</v>
      </c>
      <c r="R15">
        <v>0</v>
      </c>
      <c r="S15">
        <v>1.9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386442.74809160299</v>
      </c>
      <c r="AD15">
        <v>0</v>
      </c>
      <c r="AE15">
        <v>0.25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1</v>
      </c>
      <c r="AL15">
        <v>1</v>
      </c>
      <c r="AM15">
        <v>1</v>
      </c>
      <c r="AN15">
        <v>1</v>
      </c>
    </row>
    <row r="16" spans="1:40" x14ac:dyDescent="0.3">
      <c r="A16" t="s">
        <v>43</v>
      </c>
      <c r="B16">
        <v>79000000</v>
      </c>
      <c r="J16">
        <v>11</v>
      </c>
      <c r="K16">
        <v>-38.1</v>
      </c>
      <c r="L16" t="s">
        <v>357</v>
      </c>
      <c r="M16" t="s">
        <v>57</v>
      </c>
      <c r="N16">
        <v>9</v>
      </c>
      <c r="O16">
        <v>1</v>
      </c>
      <c r="P16">
        <v>0</v>
      </c>
      <c r="Q16">
        <v>28</v>
      </c>
      <c r="R16">
        <v>23</v>
      </c>
      <c r="S16">
        <v>1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109487</v>
      </c>
      <c r="AD16">
        <v>0</v>
      </c>
      <c r="AE16">
        <v>0.25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</row>
    <row r="17" spans="1:40" x14ac:dyDescent="0.3">
      <c r="A17" t="s">
        <v>74</v>
      </c>
      <c r="B17">
        <v>0.53</v>
      </c>
      <c r="J17">
        <v>12</v>
      </c>
      <c r="K17">
        <v>-44</v>
      </c>
      <c r="L17" t="s">
        <v>357</v>
      </c>
      <c r="M17" t="s">
        <v>57</v>
      </c>
      <c r="N17">
        <v>9</v>
      </c>
      <c r="O17">
        <v>1</v>
      </c>
      <c r="P17">
        <v>0</v>
      </c>
      <c r="Q17">
        <v>28</v>
      </c>
      <c r="R17">
        <v>23</v>
      </c>
      <c r="S17">
        <v>1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115307</v>
      </c>
      <c r="AD17">
        <v>0</v>
      </c>
      <c r="AE17">
        <v>0.25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1</v>
      </c>
      <c r="AL17">
        <v>1</v>
      </c>
      <c r="AM17">
        <v>1</v>
      </c>
      <c r="AN17">
        <v>1</v>
      </c>
    </row>
    <row r="18" spans="1:40" x14ac:dyDescent="0.3">
      <c r="A18" t="s">
        <v>25</v>
      </c>
      <c r="B18" t="s">
        <v>26</v>
      </c>
      <c r="C18" t="s">
        <v>27</v>
      </c>
    </row>
    <row r="19" spans="1:40" x14ac:dyDescent="0.3">
      <c r="A19" t="s">
        <v>36</v>
      </c>
      <c r="B19" t="s">
        <v>29</v>
      </c>
      <c r="C19" t="s">
        <v>53</v>
      </c>
    </row>
    <row r="20" spans="1:40" x14ac:dyDescent="0.3">
      <c r="A20">
        <v>1</v>
      </c>
      <c r="B20">
        <v>0</v>
      </c>
      <c r="C20">
        <v>0.09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4F15E-3320-4E9D-893F-25E4AB4B300F}">
  <sheetPr codeName="Sheet54"/>
  <dimension ref="A1:M50"/>
  <sheetViews>
    <sheetView workbookViewId="0">
      <selection activeCell="J4" sqref="J4"/>
    </sheetView>
  </sheetViews>
  <sheetFormatPr defaultColWidth="9.109375" defaultRowHeight="11.4" x14ac:dyDescent="0.2"/>
  <cols>
    <col min="1" max="1" width="18.88671875" style="2" bestFit="1" customWidth="1"/>
    <col min="2" max="5" width="9.109375" style="2"/>
    <col min="6" max="6" width="3.44140625" style="2" customWidth="1"/>
    <col min="7" max="7" width="3.5546875" style="2" customWidth="1"/>
    <col min="8" max="8" width="20.44140625" style="2" customWidth="1"/>
    <col min="9" max="16384" width="9.109375" style="2"/>
  </cols>
  <sheetData>
    <row r="1" spans="1:13" ht="12" thickBot="1" x14ac:dyDescent="0.25">
      <c r="A1" s="244"/>
      <c r="B1" s="245"/>
      <c r="C1" s="62">
        <v>0</v>
      </c>
      <c r="D1" s="63">
        <v>1</v>
      </c>
      <c r="E1" s="64">
        <v>2</v>
      </c>
      <c r="F1" s="24"/>
      <c r="H1" s="244"/>
      <c r="I1" s="245"/>
      <c r="J1" s="62">
        <v>0</v>
      </c>
      <c r="K1" s="63">
        <v>1</v>
      </c>
      <c r="L1" s="64">
        <v>2</v>
      </c>
      <c r="M1" s="24"/>
    </row>
    <row r="2" spans="1:13" ht="12" thickBot="1" x14ac:dyDescent="0.25">
      <c r="A2" s="246"/>
      <c r="B2" s="247"/>
      <c r="C2" s="22" t="s">
        <v>75</v>
      </c>
      <c r="D2" s="61" t="s">
        <v>75</v>
      </c>
      <c r="E2" s="60" t="s">
        <v>75</v>
      </c>
      <c r="H2" s="246"/>
      <c r="I2" s="247"/>
      <c r="J2" s="22" t="s">
        <v>76</v>
      </c>
      <c r="K2" s="61" t="s">
        <v>76</v>
      </c>
      <c r="L2" s="60" t="s">
        <v>76</v>
      </c>
    </row>
    <row r="3" spans="1:13" x14ac:dyDescent="0.2">
      <c r="A3" s="240" t="s">
        <v>176</v>
      </c>
      <c r="B3" s="50" t="s">
        <v>83</v>
      </c>
      <c r="C3" s="51">
        <v>30</v>
      </c>
      <c r="D3" s="51">
        <f>-40/1</f>
        <v>-40</v>
      </c>
      <c r="E3" s="52">
        <v>-5555</v>
      </c>
      <c r="H3" s="240" t="s">
        <v>176</v>
      </c>
      <c r="I3" s="50" t="s">
        <v>83</v>
      </c>
      <c r="J3" s="51">
        <v>700</v>
      </c>
      <c r="K3" s="51">
        <v>0</v>
      </c>
      <c r="L3" s="52">
        <v>-5555</v>
      </c>
    </row>
    <row r="4" spans="1:13" x14ac:dyDescent="0.2">
      <c r="A4" s="241"/>
      <c r="B4" s="23" t="s">
        <v>134</v>
      </c>
      <c r="C4" s="53">
        <v>-5555</v>
      </c>
      <c r="D4" s="53">
        <v>30</v>
      </c>
      <c r="E4" s="54">
        <v>-5555</v>
      </c>
      <c r="H4" s="241"/>
      <c r="I4" s="23" t="s">
        <v>134</v>
      </c>
      <c r="J4" s="53">
        <v>-5555</v>
      </c>
      <c r="K4" s="53">
        <v>200</v>
      </c>
      <c r="L4" s="54">
        <v>-5555</v>
      </c>
    </row>
    <row r="5" spans="1:13" x14ac:dyDescent="0.2">
      <c r="A5" s="241"/>
      <c r="B5" s="23" t="s">
        <v>135</v>
      </c>
      <c r="C5" s="53">
        <v>-5555</v>
      </c>
      <c r="D5" s="55">
        <v>-5555</v>
      </c>
      <c r="E5" s="54">
        <v>-5555</v>
      </c>
      <c r="H5" s="241"/>
      <c r="I5" s="23" t="s">
        <v>135</v>
      </c>
      <c r="J5" s="53">
        <v>-5555</v>
      </c>
      <c r="K5" s="55">
        <v>-5555</v>
      </c>
      <c r="L5" s="54">
        <v>-5555</v>
      </c>
    </row>
    <row r="6" spans="1:13" x14ac:dyDescent="0.2">
      <c r="A6" s="241"/>
      <c r="B6" s="23" t="s">
        <v>136</v>
      </c>
      <c r="C6" s="53">
        <v>3</v>
      </c>
      <c r="D6" s="53">
        <v>-120</v>
      </c>
      <c r="E6" s="54">
        <v>7.2110000000000003</v>
      </c>
      <c r="H6" s="241"/>
      <c r="I6" s="23" t="s">
        <v>136</v>
      </c>
      <c r="J6" s="53">
        <v>15</v>
      </c>
      <c r="K6" s="53">
        <v>300</v>
      </c>
      <c r="L6" s="54">
        <v>15.832000000000001</v>
      </c>
    </row>
    <row r="7" spans="1:13" x14ac:dyDescent="0.2">
      <c r="A7" s="241"/>
      <c r="B7" s="23" t="s">
        <v>84</v>
      </c>
      <c r="C7" s="53">
        <v>-5555</v>
      </c>
      <c r="D7" s="53">
        <v>1</v>
      </c>
      <c r="E7" s="54">
        <v>-11.798</v>
      </c>
      <c r="H7" s="241"/>
      <c r="I7" s="23" t="s">
        <v>84</v>
      </c>
      <c r="J7" s="53">
        <v>-5555</v>
      </c>
      <c r="K7" s="53">
        <v>120</v>
      </c>
      <c r="L7" s="54">
        <v>-4.0789999999999997</v>
      </c>
    </row>
    <row r="8" spans="1:13" x14ac:dyDescent="0.2">
      <c r="A8" s="241"/>
      <c r="B8" s="23" t="s">
        <v>86</v>
      </c>
      <c r="C8" s="53">
        <v>-5555</v>
      </c>
      <c r="D8" s="55">
        <v>-5555</v>
      </c>
      <c r="E8" s="54">
        <v>-2.44</v>
      </c>
      <c r="H8" s="241"/>
      <c r="I8" s="23" t="s">
        <v>86</v>
      </c>
      <c r="J8" s="53">
        <v>-5555</v>
      </c>
      <c r="K8" s="55">
        <v>-5555</v>
      </c>
      <c r="L8" s="54">
        <v>-0.161</v>
      </c>
    </row>
    <row r="9" spans="1:13" x14ac:dyDescent="0.2">
      <c r="A9" s="241"/>
      <c r="B9" s="23" t="s">
        <v>85</v>
      </c>
      <c r="C9" s="53">
        <v>0.1</v>
      </c>
      <c r="D9" s="53">
        <v>-35</v>
      </c>
      <c r="E9" s="54">
        <v>-5555</v>
      </c>
      <c r="H9" s="241"/>
      <c r="I9" s="23" t="s">
        <v>85</v>
      </c>
      <c r="J9" s="53">
        <v>12</v>
      </c>
      <c r="K9" s="53">
        <v>50</v>
      </c>
      <c r="L9" s="54">
        <v>-5555</v>
      </c>
    </row>
    <row r="10" spans="1:13" x14ac:dyDescent="0.2">
      <c r="A10" s="241"/>
      <c r="B10" s="23" t="s">
        <v>137</v>
      </c>
      <c r="C10" s="53">
        <v>-5555</v>
      </c>
      <c r="D10" s="53">
        <v>0.2</v>
      </c>
      <c r="E10" s="54">
        <v>-5555</v>
      </c>
      <c r="H10" s="241"/>
      <c r="I10" s="23" t="s">
        <v>137</v>
      </c>
      <c r="J10" s="53">
        <v>-5555</v>
      </c>
      <c r="K10" s="53">
        <v>50</v>
      </c>
      <c r="L10" s="54">
        <v>-5555</v>
      </c>
    </row>
    <row r="11" spans="1:13" x14ac:dyDescent="0.2">
      <c r="A11" s="241"/>
      <c r="B11" s="23" t="s">
        <v>138</v>
      </c>
      <c r="C11" s="53">
        <v>-5555</v>
      </c>
      <c r="D11" s="55">
        <v>-5555</v>
      </c>
      <c r="E11" s="54">
        <v>-5555</v>
      </c>
      <c r="H11" s="241"/>
      <c r="I11" s="23" t="s">
        <v>138</v>
      </c>
      <c r="J11" s="53">
        <v>-5555</v>
      </c>
      <c r="K11" s="55">
        <v>-5555</v>
      </c>
      <c r="L11" s="54">
        <v>-5555</v>
      </c>
    </row>
    <row r="12" spans="1:13" x14ac:dyDescent="0.2">
      <c r="A12" s="241"/>
      <c r="B12" s="23" t="s">
        <v>139</v>
      </c>
      <c r="C12" s="53">
        <v>0</v>
      </c>
      <c r="D12" s="53">
        <v>-1.5</v>
      </c>
      <c r="E12" s="54">
        <v>-5555</v>
      </c>
      <c r="H12" s="241"/>
      <c r="I12" s="23" t="s">
        <v>139</v>
      </c>
      <c r="J12" s="53">
        <v>1</v>
      </c>
      <c r="K12" s="53">
        <v>0</v>
      </c>
      <c r="L12" s="54">
        <v>-5555</v>
      </c>
    </row>
    <row r="13" spans="1:13" x14ac:dyDescent="0.2">
      <c r="A13" s="241"/>
      <c r="B13" s="23" t="s">
        <v>140</v>
      </c>
      <c r="C13" s="53">
        <v>-5555</v>
      </c>
      <c r="D13" s="53">
        <v>0</v>
      </c>
      <c r="E13" s="54">
        <v>-5555</v>
      </c>
      <c r="H13" s="241"/>
      <c r="I13" s="23" t="s">
        <v>140</v>
      </c>
      <c r="J13" s="53">
        <v>-5555</v>
      </c>
      <c r="K13" s="53">
        <v>1</v>
      </c>
      <c r="L13" s="54">
        <v>-5555</v>
      </c>
    </row>
    <row r="14" spans="1:13" ht="12" thickBot="1" x14ac:dyDescent="0.25">
      <c r="A14" s="242"/>
      <c r="B14" s="56" t="s">
        <v>141</v>
      </c>
      <c r="C14" s="57">
        <v>-5555</v>
      </c>
      <c r="D14" s="58">
        <v>-5555</v>
      </c>
      <c r="E14" s="59">
        <v>-5555</v>
      </c>
      <c r="H14" s="242"/>
      <c r="I14" s="56" t="s">
        <v>141</v>
      </c>
      <c r="J14" s="57">
        <v>-5555</v>
      </c>
      <c r="K14" s="58">
        <v>-5555</v>
      </c>
      <c r="L14" s="59">
        <v>-5555</v>
      </c>
    </row>
    <row r="15" spans="1:13" x14ac:dyDescent="0.2">
      <c r="A15" s="243" t="s">
        <v>177</v>
      </c>
      <c r="B15" s="50" t="s">
        <v>87</v>
      </c>
      <c r="C15" s="51">
        <v>5</v>
      </c>
      <c r="D15" s="51">
        <v>-10</v>
      </c>
      <c r="E15" s="52">
        <v>-5555</v>
      </c>
      <c r="H15" s="243" t="s">
        <v>177</v>
      </c>
      <c r="I15" s="50" t="s">
        <v>87</v>
      </c>
      <c r="J15" s="51">
        <v>40</v>
      </c>
      <c r="K15" s="51">
        <v>0</v>
      </c>
      <c r="L15" s="52">
        <v>-5555</v>
      </c>
    </row>
    <row r="16" spans="1:13" x14ac:dyDescent="0.2">
      <c r="A16" s="238"/>
      <c r="B16" s="23" t="s">
        <v>142</v>
      </c>
      <c r="C16" s="53">
        <v>-5555</v>
      </c>
      <c r="D16" s="53">
        <v>5</v>
      </c>
      <c r="E16" s="54">
        <v>-5555</v>
      </c>
      <c r="H16" s="238"/>
      <c r="I16" s="23" t="s">
        <v>142</v>
      </c>
      <c r="J16" s="53">
        <v>-5555</v>
      </c>
      <c r="K16" s="53">
        <v>50</v>
      </c>
      <c r="L16" s="54">
        <v>-5555</v>
      </c>
    </row>
    <row r="17" spans="1:12" x14ac:dyDescent="0.2">
      <c r="A17" s="238"/>
      <c r="B17" s="23" t="s">
        <v>89</v>
      </c>
      <c r="C17" s="53">
        <v>-5555</v>
      </c>
      <c r="D17" s="55">
        <v>-5555</v>
      </c>
      <c r="E17" s="54">
        <v>-5555</v>
      </c>
      <c r="H17" s="238"/>
      <c r="I17" s="23" t="s">
        <v>89</v>
      </c>
      <c r="J17" s="53">
        <v>-5555</v>
      </c>
      <c r="K17" s="55">
        <v>-5555</v>
      </c>
      <c r="L17" s="54">
        <v>-5555</v>
      </c>
    </row>
    <row r="18" spans="1:12" x14ac:dyDescent="0.2">
      <c r="A18" s="238"/>
      <c r="B18" s="23" t="s">
        <v>143</v>
      </c>
      <c r="C18" s="53">
        <v>0.02</v>
      </c>
      <c r="D18" s="53">
        <v>-0.1</v>
      </c>
      <c r="E18" s="54">
        <v>-5555</v>
      </c>
      <c r="H18" s="238"/>
      <c r="I18" s="23" t="s">
        <v>143</v>
      </c>
      <c r="J18" s="53">
        <v>0.6</v>
      </c>
      <c r="K18" s="53">
        <v>0.1</v>
      </c>
      <c r="L18" s="54">
        <v>-5555</v>
      </c>
    </row>
    <row r="19" spans="1:12" x14ac:dyDescent="0.2">
      <c r="A19" s="238"/>
      <c r="B19" s="23" t="s">
        <v>144</v>
      </c>
      <c r="C19" s="53">
        <v>-5555</v>
      </c>
      <c r="D19" s="53">
        <v>0.1</v>
      </c>
      <c r="E19" s="54">
        <v>-5555</v>
      </c>
      <c r="H19" s="238"/>
      <c r="I19" s="23" t="s">
        <v>144</v>
      </c>
      <c r="J19" s="53">
        <v>-5555</v>
      </c>
      <c r="K19" s="53">
        <v>1</v>
      </c>
      <c r="L19" s="54">
        <v>-5555</v>
      </c>
    </row>
    <row r="20" spans="1:12" x14ac:dyDescent="0.2">
      <c r="A20" s="238"/>
      <c r="B20" s="23" t="s">
        <v>145</v>
      </c>
      <c r="C20" s="53">
        <v>-5555</v>
      </c>
      <c r="D20" s="55">
        <v>-5555</v>
      </c>
      <c r="E20" s="54">
        <v>-5555</v>
      </c>
      <c r="H20" s="238"/>
      <c r="I20" s="23" t="s">
        <v>145</v>
      </c>
      <c r="J20" s="53">
        <v>-5555</v>
      </c>
      <c r="K20" s="55">
        <v>-5555</v>
      </c>
      <c r="L20" s="54">
        <v>-5555</v>
      </c>
    </row>
    <row r="21" spans="1:12" x14ac:dyDescent="0.2">
      <c r="A21" s="238"/>
      <c r="B21" s="23" t="s">
        <v>146</v>
      </c>
      <c r="C21" s="53">
        <v>0.01</v>
      </c>
      <c r="D21" s="53">
        <v>-0.2</v>
      </c>
      <c r="E21" s="54">
        <v>-5555</v>
      </c>
      <c r="H21" s="238"/>
      <c r="I21" s="23" t="s">
        <v>146</v>
      </c>
      <c r="J21" s="53">
        <v>40</v>
      </c>
      <c r="K21" s="53">
        <v>0</v>
      </c>
      <c r="L21" s="54">
        <v>-5555</v>
      </c>
    </row>
    <row r="22" spans="1:12" x14ac:dyDescent="0.2">
      <c r="A22" s="238"/>
      <c r="B22" s="23" t="s">
        <v>147</v>
      </c>
      <c r="C22" s="53">
        <v>-5555</v>
      </c>
      <c r="D22" s="53">
        <v>0.01</v>
      </c>
      <c r="E22" s="54">
        <v>-5555</v>
      </c>
      <c r="H22" s="238"/>
      <c r="I22" s="23" t="s">
        <v>147</v>
      </c>
      <c r="J22" s="53">
        <v>-5555</v>
      </c>
      <c r="K22" s="53">
        <v>1</v>
      </c>
      <c r="L22" s="54">
        <v>-5555</v>
      </c>
    </row>
    <row r="23" spans="1:12" x14ac:dyDescent="0.2">
      <c r="A23" s="238"/>
      <c r="B23" s="23" t="s">
        <v>148</v>
      </c>
      <c r="C23" s="53">
        <v>-5555</v>
      </c>
      <c r="D23" s="55">
        <v>-5555</v>
      </c>
      <c r="E23" s="54">
        <v>-5555</v>
      </c>
      <c r="H23" s="238"/>
      <c r="I23" s="23" t="s">
        <v>148</v>
      </c>
      <c r="J23" s="53">
        <v>-5555</v>
      </c>
      <c r="K23" s="55">
        <v>-5555</v>
      </c>
      <c r="L23" s="54">
        <v>-5555</v>
      </c>
    </row>
    <row r="24" spans="1:12" x14ac:dyDescent="0.2">
      <c r="A24" s="238"/>
      <c r="B24" s="23" t="s">
        <v>149</v>
      </c>
      <c r="C24" s="53">
        <v>0</v>
      </c>
      <c r="D24" s="53">
        <v>0</v>
      </c>
      <c r="E24" s="54">
        <v>-5555</v>
      </c>
      <c r="H24" s="238"/>
      <c r="I24" s="23" t="s">
        <v>149</v>
      </c>
      <c r="J24" s="53">
        <v>1</v>
      </c>
      <c r="K24" s="53">
        <v>1</v>
      </c>
      <c r="L24" s="54">
        <v>-5555</v>
      </c>
    </row>
    <row r="25" spans="1:12" x14ac:dyDescent="0.2">
      <c r="A25" s="238"/>
      <c r="B25" s="23" t="s">
        <v>150</v>
      </c>
      <c r="C25" s="53">
        <v>-5555</v>
      </c>
      <c r="D25" s="53">
        <v>0</v>
      </c>
      <c r="E25" s="54">
        <v>-5555</v>
      </c>
      <c r="H25" s="238"/>
      <c r="I25" s="23" t="s">
        <v>150</v>
      </c>
      <c r="J25" s="53">
        <v>-5555</v>
      </c>
      <c r="K25" s="53">
        <v>1</v>
      </c>
      <c r="L25" s="54">
        <v>-5555</v>
      </c>
    </row>
    <row r="26" spans="1:12" ht="12" thickBot="1" x14ac:dyDescent="0.25">
      <c r="A26" s="239"/>
      <c r="B26" s="56" t="s">
        <v>152</v>
      </c>
      <c r="C26" s="57">
        <v>-5555</v>
      </c>
      <c r="D26" s="58">
        <v>-5555</v>
      </c>
      <c r="E26" s="59">
        <v>-5555</v>
      </c>
      <c r="H26" s="239"/>
      <c r="I26" s="56" t="s">
        <v>152</v>
      </c>
      <c r="J26" s="57">
        <v>-5555</v>
      </c>
      <c r="K26" s="58">
        <v>-5555</v>
      </c>
      <c r="L26" s="59">
        <v>-5555</v>
      </c>
    </row>
    <row r="27" spans="1:12" x14ac:dyDescent="0.2">
      <c r="A27" s="240" t="s">
        <v>178</v>
      </c>
      <c r="B27" s="50" t="s">
        <v>90</v>
      </c>
      <c r="C27" s="51">
        <v>1</v>
      </c>
      <c r="D27" s="51">
        <v>-7.5</v>
      </c>
      <c r="E27" s="52">
        <v>-5555</v>
      </c>
      <c r="H27" s="240" t="s">
        <v>178</v>
      </c>
      <c r="I27" s="50" t="s">
        <v>90</v>
      </c>
      <c r="J27" s="51">
        <v>40</v>
      </c>
      <c r="K27" s="51">
        <v>7</v>
      </c>
      <c r="L27" s="52">
        <v>-5555</v>
      </c>
    </row>
    <row r="28" spans="1:12" x14ac:dyDescent="0.2">
      <c r="A28" s="241"/>
      <c r="B28" s="23" t="s">
        <v>153</v>
      </c>
      <c r="C28" s="53">
        <v>-5555</v>
      </c>
      <c r="D28" s="53">
        <v>0</v>
      </c>
      <c r="E28" s="54">
        <v>-5555</v>
      </c>
      <c r="H28" s="241"/>
      <c r="I28" s="23" t="s">
        <v>153</v>
      </c>
      <c r="J28" s="53">
        <v>-5555</v>
      </c>
      <c r="K28" s="53">
        <v>150</v>
      </c>
      <c r="L28" s="54">
        <v>-5555</v>
      </c>
    </row>
    <row r="29" spans="1:12" x14ac:dyDescent="0.2">
      <c r="A29" s="241"/>
      <c r="B29" s="23" t="s">
        <v>154</v>
      </c>
      <c r="C29" s="53">
        <v>-5555</v>
      </c>
      <c r="D29" s="55">
        <v>-5555</v>
      </c>
      <c r="E29" s="54">
        <v>-5555</v>
      </c>
      <c r="H29" s="241"/>
      <c r="I29" s="23" t="s">
        <v>154</v>
      </c>
      <c r="J29" s="53">
        <v>-5555</v>
      </c>
      <c r="K29" s="55">
        <v>-5555</v>
      </c>
      <c r="L29" s="54">
        <v>-5555</v>
      </c>
    </row>
    <row r="30" spans="1:12" x14ac:dyDescent="0.2">
      <c r="A30" s="241"/>
      <c r="B30" s="23" t="s">
        <v>155</v>
      </c>
      <c r="C30" s="53">
        <v>0.02</v>
      </c>
      <c r="D30" s="53">
        <v>-0.5</v>
      </c>
      <c r="E30" s="54">
        <v>-5555</v>
      </c>
      <c r="H30" s="241"/>
      <c r="I30" s="23" t="s">
        <v>155</v>
      </c>
      <c r="J30" s="53">
        <v>0.5</v>
      </c>
      <c r="K30" s="53">
        <v>0.1</v>
      </c>
      <c r="L30" s="54">
        <v>-5555</v>
      </c>
    </row>
    <row r="31" spans="1:12" x14ac:dyDescent="0.2">
      <c r="A31" s="241"/>
      <c r="B31" s="23" t="s">
        <v>156</v>
      </c>
      <c r="C31" s="53">
        <v>-5555</v>
      </c>
      <c r="D31" s="53">
        <v>0.3</v>
      </c>
      <c r="E31" s="54">
        <v>-5555</v>
      </c>
      <c r="H31" s="241"/>
      <c r="I31" s="23" t="s">
        <v>156</v>
      </c>
      <c r="J31" s="53">
        <v>-5555</v>
      </c>
      <c r="K31" s="53">
        <v>5</v>
      </c>
      <c r="L31" s="54">
        <v>-5555</v>
      </c>
    </row>
    <row r="32" spans="1:12" x14ac:dyDescent="0.2">
      <c r="A32" s="241"/>
      <c r="B32" s="23" t="s">
        <v>157</v>
      </c>
      <c r="C32" s="53">
        <v>-5555</v>
      </c>
      <c r="D32" s="55">
        <v>-5555</v>
      </c>
      <c r="E32" s="54">
        <v>-5555</v>
      </c>
      <c r="H32" s="241"/>
      <c r="I32" s="23" t="s">
        <v>157</v>
      </c>
      <c r="J32" s="53">
        <v>-5555</v>
      </c>
      <c r="K32" s="55">
        <v>-5555</v>
      </c>
      <c r="L32" s="54">
        <v>-5555</v>
      </c>
    </row>
    <row r="33" spans="1:12" x14ac:dyDescent="0.2">
      <c r="A33" s="241"/>
      <c r="B33" s="23" t="s">
        <v>158</v>
      </c>
      <c r="C33" s="53">
        <v>1E-3</v>
      </c>
      <c r="D33" s="53">
        <v>-1.5</v>
      </c>
      <c r="E33" s="54">
        <v>-5555</v>
      </c>
      <c r="H33" s="241"/>
      <c r="I33" s="23" t="s">
        <v>158</v>
      </c>
      <c r="J33" s="53">
        <v>0.1</v>
      </c>
      <c r="K33" s="53">
        <v>0.01</v>
      </c>
      <c r="L33" s="54">
        <v>-5555</v>
      </c>
    </row>
    <row r="34" spans="1:12" x14ac:dyDescent="0.2">
      <c r="A34" s="241"/>
      <c r="B34" s="23" t="s">
        <v>159</v>
      </c>
      <c r="C34" s="53">
        <v>-5555</v>
      </c>
      <c r="D34" s="53">
        <v>-0.05</v>
      </c>
      <c r="E34" s="54">
        <v>-5555</v>
      </c>
      <c r="H34" s="241"/>
      <c r="I34" s="23" t="s">
        <v>159</v>
      </c>
      <c r="J34" s="53">
        <v>-5555</v>
      </c>
      <c r="K34" s="53">
        <v>10</v>
      </c>
      <c r="L34" s="54">
        <v>-5555</v>
      </c>
    </row>
    <row r="35" spans="1:12" x14ac:dyDescent="0.2">
      <c r="A35" s="241"/>
      <c r="B35" s="23" t="s">
        <v>160</v>
      </c>
      <c r="C35" s="53">
        <v>-5555</v>
      </c>
      <c r="D35" s="55">
        <v>-5555</v>
      </c>
      <c r="E35" s="54">
        <v>-5555</v>
      </c>
      <c r="H35" s="241"/>
      <c r="I35" s="23" t="s">
        <v>160</v>
      </c>
      <c r="J35" s="53">
        <v>-5555</v>
      </c>
      <c r="K35" s="55">
        <v>-5555</v>
      </c>
      <c r="L35" s="54">
        <v>-5555</v>
      </c>
    </row>
    <row r="36" spans="1:12" x14ac:dyDescent="0.2">
      <c r="A36" s="241"/>
      <c r="B36" s="23" t="s">
        <v>161</v>
      </c>
      <c r="C36" s="53">
        <v>0</v>
      </c>
      <c r="D36" s="53">
        <v>-0.3</v>
      </c>
      <c r="E36" s="54">
        <v>-5555</v>
      </c>
      <c r="H36" s="241"/>
      <c r="I36" s="23" t="s">
        <v>161</v>
      </c>
      <c r="J36" s="53">
        <v>1</v>
      </c>
      <c r="K36" s="53">
        <v>0.2</v>
      </c>
      <c r="L36" s="54">
        <v>-5555</v>
      </c>
    </row>
    <row r="37" spans="1:12" x14ac:dyDescent="0.2">
      <c r="A37" s="241"/>
      <c r="B37" s="23" t="s">
        <v>162</v>
      </c>
      <c r="C37" s="53">
        <v>-5555</v>
      </c>
      <c r="D37" s="53">
        <v>0</v>
      </c>
      <c r="E37" s="54">
        <v>-5555</v>
      </c>
      <c r="H37" s="241"/>
      <c r="I37" s="23" t="s">
        <v>162</v>
      </c>
      <c r="J37" s="53">
        <v>-5555</v>
      </c>
      <c r="K37" s="53">
        <v>1.5</v>
      </c>
      <c r="L37" s="54">
        <v>-5555</v>
      </c>
    </row>
    <row r="38" spans="1:12" ht="12" thickBot="1" x14ac:dyDescent="0.25">
      <c r="A38" s="242"/>
      <c r="B38" s="56" t="s">
        <v>163</v>
      </c>
      <c r="C38" s="57">
        <v>-5555</v>
      </c>
      <c r="D38" s="58">
        <v>-5555</v>
      </c>
      <c r="E38" s="59">
        <v>-5555</v>
      </c>
      <c r="H38" s="242"/>
      <c r="I38" s="56" t="s">
        <v>163</v>
      </c>
      <c r="J38" s="57">
        <v>-5555</v>
      </c>
      <c r="K38" s="58">
        <v>-5555</v>
      </c>
      <c r="L38" s="59">
        <v>-5555</v>
      </c>
    </row>
    <row r="39" spans="1:12" x14ac:dyDescent="0.2">
      <c r="A39" s="238" t="s">
        <v>179</v>
      </c>
      <c r="B39" s="23" t="s">
        <v>164</v>
      </c>
      <c r="C39" s="53">
        <v>35</v>
      </c>
      <c r="D39" s="53">
        <v>-350</v>
      </c>
      <c r="E39" s="54">
        <v>-5555</v>
      </c>
      <c r="H39" s="238" t="s">
        <v>179</v>
      </c>
      <c r="I39" s="23" t="s">
        <v>164</v>
      </c>
      <c r="J39" s="53">
        <v>2100</v>
      </c>
      <c r="K39" s="53">
        <v>500</v>
      </c>
      <c r="L39" s="54">
        <v>-5555</v>
      </c>
    </row>
    <row r="40" spans="1:12" x14ac:dyDescent="0.2">
      <c r="A40" s="238"/>
      <c r="B40" s="23" t="s">
        <v>165</v>
      </c>
      <c r="C40" s="53">
        <v>-5555</v>
      </c>
      <c r="D40" s="53">
        <v>-1000</v>
      </c>
      <c r="E40" s="54">
        <v>-5555</v>
      </c>
      <c r="H40" s="238"/>
      <c r="I40" s="23" t="s">
        <v>165</v>
      </c>
      <c r="J40" s="53">
        <v>-5555</v>
      </c>
      <c r="K40" s="53">
        <v>1500</v>
      </c>
      <c r="L40" s="54">
        <v>-5555</v>
      </c>
    </row>
    <row r="41" spans="1:12" x14ac:dyDescent="0.2">
      <c r="A41" s="238"/>
      <c r="B41" s="23" t="s">
        <v>166</v>
      </c>
      <c r="C41" s="53">
        <v>-5555</v>
      </c>
      <c r="D41" s="55">
        <v>-5555</v>
      </c>
      <c r="E41" s="54">
        <v>-5555</v>
      </c>
      <c r="H41" s="238"/>
      <c r="I41" s="23" t="s">
        <v>166</v>
      </c>
      <c r="J41" s="53">
        <v>-5555</v>
      </c>
      <c r="K41" s="55">
        <v>-5555</v>
      </c>
      <c r="L41" s="54">
        <v>-5555</v>
      </c>
    </row>
    <row r="42" spans="1:12" x14ac:dyDescent="0.2">
      <c r="A42" s="238"/>
      <c r="B42" s="23" t="s">
        <v>167</v>
      </c>
      <c r="C42" s="53">
        <v>1E-3</v>
      </c>
      <c r="D42" s="53">
        <v>-0.5</v>
      </c>
      <c r="E42" s="54">
        <v>-5555</v>
      </c>
      <c r="H42" s="238"/>
      <c r="I42" s="23" t="s">
        <v>167</v>
      </c>
      <c r="J42" s="53">
        <v>0.4</v>
      </c>
      <c r="K42" s="53">
        <v>0.5</v>
      </c>
      <c r="L42" s="54">
        <v>-5555</v>
      </c>
    </row>
    <row r="43" spans="1:12" x14ac:dyDescent="0.2">
      <c r="A43" s="238"/>
      <c r="B43" s="23" t="s">
        <v>168</v>
      </c>
      <c r="C43" s="53">
        <v>-5555</v>
      </c>
      <c r="D43" s="53">
        <v>1E-3</v>
      </c>
      <c r="E43" s="54">
        <v>-5555</v>
      </c>
      <c r="H43" s="238"/>
      <c r="I43" s="23" t="s">
        <v>168</v>
      </c>
      <c r="J43" s="53">
        <v>-5555</v>
      </c>
      <c r="K43" s="53">
        <v>5</v>
      </c>
      <c r="L43" s="54">
        <v>-5555</v>
      </c>
    </row>
    <row r="44" spans="1:12" x14ac:dyDescent="0.2">
      <c r="A44" s="238"/>
      <c r="B44" s="23" t="s">
        <v>169</v>
      </c>
      <c r="C44" s="53">
        <v>-5555</v>
      </c>
      <c r="D44" s="55">
        <v>-5555</v>
      </c>
      <c r="E44" s="54">
        <v>-5555</v>
      </c>
      <c r="H44" s="238"/>
      <c r="I44" s="23" t="s">
        <v>169</v>
      </c>
      <c r="J44" s="53">
        <v>-5555</v>
      </c>
      <c r="K44" s="55">
        <v>-5555</v>
      </c>
      <c r="L44" s="54">
        <v>-5555</v>
      </c>
    </row>
    <row r="45" spans="1:12" x14ac:dyDescent="0.2">
      <c r="A45" s="238"/>
      <c r="B45" s="23" t="s">
        <v>88</v>
      </c>
      <c r="C45" s="53">
        <v>1E-4</v>
      </c>
      <c r="D45" s="53">
        <v>0</v>
      </c>
      <c r="E45" s="54">
        <v>-5555</v>
      </c>
      <c r="H45" s="238"/>
      <c r="I45" s="23" t="s">
        <v>88</v>
      </c>
      <c r="J45" s="53">
        <v>1</v>
      </c>
      <c r="K45" s="53">
        <v>0.01</v>
      </c>
      <c r="L45" s="54">
        <v>-5555</v>
      </c>
    </row>
    <row r="46" spans="1:12" x14ac:dyDescent="0.2">
      <c r="A46" s="238"/>
      <c r="B46" s="23" t="s">
        <v>170</v>
      </c>
      <c r="C46" s="53">
        <v>-5555</v>
      </c>
      <c r="D46" s="53">
        <v>-0.03</v>
      </c>
      <c r="E46" s="54">
        <v>-5555</v>
      </c>
      <c r="H46" s="238"/>
      <c r="I46" s="23" t="s">
        <v>170</v>
      </c>
      <c r="J46" s="53">
        <v>-5555</v>
      </c>
      <c r="K46" s="53">
        <v>0.02</v>
      </c>
      <c r="L46" s="54">
        <v>-5555</v>
      </c>
    </row>
    <row r="47" spans="1:12" x14ac:dyDescent="0.2">
      <c r="A47" s="238"/>
      <c r="B47" s="23" t="s">
        <v>171</v>
      </c>
      <c r="C47" s="53">
        <v>-5555</v>
      </c>
      <c r="D47" s="55">
        <v>-5555</v>
      </c>
      <c r="E47" s="54">
        <v>-5555</v>
      </c>
      <c r="H47" s="238"/>
      <c r="I47" s="23" t="s">
        <v>171</v>
      </c>
      <c r="J47" s="53">
        <v>-5555</v>
      </c>
      <c r="K47" s="55">
        <v>-5555</v>
      </c>
      <c r="L47" s="54">
        <v>-5555</v>
      </c>
    </row>
    <row r="48" spans="1:12" x14ac:dyDescent="0.2">
      <c r="A48" s="238"/>
      <c r="B48" s="23" t="s">
        <v>172</v>
      </c>
      <c r="C48" s="53">
        <v>0</v>
      </c>
      <c r="D48" s="53">
        <v>-0.5</v>
      </c>
      <c r="E48" s="54">
        <v>-5555</v>
      </c>
      <c r="H48" s="238"/>
      <c r="I48" s="23" t="s">
        <v>172</v>
      </c>
      <c r="J48" s="53">
        <v>1</v>
      </c>
      <c r="K48" s="53">
        <v>0.5</v>
      </c>
      <c r="L48" s="54">
        <v>-5555</v>
      </c>
    </row>
    <row r="49" spans="1:12" x14ac:dyDescent="0.2">
      <c r="A49" s="238"/>
      <c r="B49" s="23" t="s">
        <v>173</v>
      </c>
      <c r="C49" s="53">
        <v>-5555</v>
      </c>
      <c r="D49" s="53">
        <v>-0.5</v>
      </c>
      <c r="E49" s="54">
        <v>-5555</v>
      </c>
      <c r="H49" s="238"/>
      <c r="I49" s="23" t="s">
        <v>173</v>
      </c>
      <c r="J49" s="53">
        <v>-5555</v>
      </c>
      <c r="K49" s="53">
        <v>4</v>
      </c>
      <c r="L49" s="54">
        <v>-5555</v>
      </c>
    </row>
    <row r="50" spans="1:12" ht="12" thickBot="1" x14ac:dyDescent="0.25">
      <c r="A50" s="239"/>
      <c r="B50" s="56" t="s">
        <v>174</v>
      </c>
      <c r="C50" s="57">
        <v>-5555</v>
      </c>
      <c r="D50" s="58">
        <v>-5555</v>
      </c>
      <c r="E50" s="59">
        <v>-5555</v>
      </c>
      <c r="H50" s="239"/>
      <c r="I50" s="56" t="s">
        <v>174</v>
      </c>
      <c r="J50" s="57">
        <v>-5555</v>
      </c>
      <c r="K50" s="58">
        <v>-5555</v>
      </c>
      <c r="L50" s="59">
        <v>-5555</v>
      </c>
    </row>
  </sheetData>
  <mergeCells count="10">
    <mergeCell ref="A1:B2"/>
    <mergeCell ref="H1:I2"/>
    <mergeCell ref="A3:A14"/>
    <mergeCell ref="A15:A26"/>
    <mergeCell ref="A27:A38"/>
    <mergeCell ref="A39:A50"/>
    <mergeCell ref="H3:H14"/>
    <mergeCell ref="H15:H26"/>
    <mergeCell ref="H27:H38"/>
    <mergeCell ref="H39:H50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77A65-9D66-4D96-B556-F1EBC0A1EC49}">
  <sheetPr codeName="Sheet55"/>
  <dimension ref="A1:M50"/>
  <sheetViews>
    <sheetView workbookViewId="0">
      <selection activeCell="S20" sqref="S20"/>
    </sheetView>
  </sheetViews>
  <sheetFormatPr defaultColWidth="9.109375" defaultRowHeight="11.4" x14ac:dyDescent="0.2"/>
  <cols>
    <col min="1" max="1" width="18.88671875" style="2" bestFit="1" customWidth="1"/>
    <col min="2" max="5" width="9.109375" style="2"/>
    <col min="6" max="6" width="4.5546875" style="2" customWidth="1"/>
    <col min="7" max="7" width="4.109375" style="2" customWidth="1"/>
    <col min="8" max="8" width="22.88671875" style="2" customWidth="1"/>
    <col min="9" max="16384" width="9.109375" style="2"/>
  </cols>
  <sheetData>
    <row r="1" spans="1:13" ht="12" thickBot="1" x14ac:dyDescent="0.25">
      <c r="A1" s="244"/>
      <c r="B1" s="245"/>
      <c r="C1" s="62">
        <v>0</v>
      </c>
      <c r="D1" s="63">
        <v>1</v>
      </c>
      <c r="E1" s="64">
        <v>2</v>
      </c>
      <c r="F1" s="24"/>
      <c r="H1" s="244"/>
      <c r="I1" s="245"/>
      <c r="J1" s="62">
        <v>0</v>
      </c>
      <c r="K1" s="63">
        <v>1</v>
      </c>
      <c r="L1" s="64">
        <v>2</v>
      </c>
      <c r="M1" s="24"/>
    </row>
    <row r="2" spans="1:13" ht="12" thickBot="1" x14ac:dyDescent="0.25">
      <c r="A2" s="246"/>
      <c r="B2" s="247"/>
      <c r="C2" s="22" t="s">
        <v>75</v>
      </c>
      <c r="D2" s="61" t="s">
        <v>75</v>
      </c>
      <c r="E2" s="60" t="s">
        <v>75</v>
      </c>
      <c r="H2" s="246"/>
      <c r="I2" s="247"/>
      <c r="J2" s="22" t="s">
        <v>76</v>
      </c>
      <c r="K2" s="61" t="s">
        <v>76</v>
      </c>
      <c r="L2" s="60" t="s">
        <v>76</v>
      </c>
    </row>
    <row r="3" spans="1:13" x14ac:dyDescent="0.2">
      <c r="A3" s="240" t="s">
        <v>176</v>
      </c>
      <c r="B3" s="50" t="s">
        <v>83</v>
      </c>
      <c r="C3" s="51">
        <v>0</v>
      </c>
      <c r="D3" s="51">
        <f>-40/1</f>
        <v>-40</v>
      </c>
      <c r="E3" s="52">
        <v>-5555</v>
      </c>
      <c r="H3" s="240" t="s">
        <v>176</v>
      </c>
      <c r="I3" s="50" t="s">
        <v>83</v>
      </c>
      <c r="J3" s="51">
        <v>1000</v>
      </c>
      <c r="K3" s="51">
        <v>0</v>
      </c>
      <c r="L3" s="52">
        <v>-5555</v>
      </c>
    </row>
    <row r="4" spans="1:13" x14ac:dyDescent="0.2">
      <c r="A4" s="241"/>
      <c r="B4" s="23" t="s">
        <v>134</v>
      </c>
      <c r="C4" s="53">
        <v>-5555</v>
      </c>
      <c r="D4" s="53">
        <v>30</v>
      </c>
      <c r="E4" s="54">
        <v>-5555</v>
      </c>
      <c r="H4" s="241"/>
      <c r="I4" s="23" t="s">
        <v>134</v>
      </c>
      <c r="J4" s="53">
        <v>-5555</v>
      </c>
      <c r="K4" s="53">
        <v>1000</v>
      </c>
      <c r="L4" s="54">
        <v>-5555</v>
      </c>
    </row>
    <row r="5" spans="1:13" x14ac:dyDescent="0.2">
      <c r="A5" s="241"/>
      <c r="B5" s="23" t="s">
        <v>135</v>
      </c>
      <c r="C5" s="53">
        <v>-5555</v>
      </c>
      <c r="D5" s="55">
        <v>-5555</v>
      </c>
      <c r="E5" s="54">
        <v>-5555</v>
      </c>
      <c r="H5" s="241"/>
      <c r="I5" s="23" t="s">
        <v>135</v>
      </c>
      <c r="J5" s="53">
        <v>-5555</v>
      </c>
      <c r="K5" s="55">
        <v>-5555</v>
      </c>
      <c r="L5" s="54">
        <v>-5555</v>
      </c>
    </row>
    <row r="6" spans="1:13" x14ac:dyDescent="0.2">
      <c r="A6" s="241"/>
      <c r="B6" s="23" t="s">
        <v>136</v>
      </c>
      <c r="C6" s="53">
        <v>3</v>
      </c>
      <c r="D6" s="53">
        <v>0</v>
      </c>
      <c r="E6" s="54">
        <v>7.2110000000000003</v>
      </c>
      <c r="H6" s="241"/>
      <c r="I6" s="23" t="s">
        <v>136</v>
      </c>
      <c r="J6" s="53">
        <v>15</v>
      </c>
      <c r="K6" s="53">
        <v>3</v>
      </c>
      <c r="L6" s="54">
        <v>15.832000000000001</v>
      </c>
    </row>
    <row r="7" spans="1:13" x14ac:dyDescent="0.2">
      <c r="A7" s="241"/>
      <c r="B7" s="23" t="s">
        <v>84</v>
      </c>
      <c r="C7" s="53">
        <v>-5555</v>
      </c>
      <c r="D7" s="53">
        <v>3</v>
      </c>
      <c r="E7" s="54">
        <v>-11.798</v>
      </c>
      <c r="H7" s="241"/>
      <c r="I7" s="23" t="s">
        <v>84</v>
      </c>
      <c r="J7" s="53">
        <v>-5555</v>
      </c>
      <c r="K7" s="53">
        <v>8</v>
      </c>
      <c r="L7" s="54">
        <v>-4.0789999999999997</v>
      </c>
    </row>
    <row r="8" spans="1:13" x14ac:dyDescent="0.2">
      <c r="A8" s="241"/>
      <c r="B8" s="23" t="s">
        <v>86</v>
      </c>
      <c r="C8" s="53">
        <v>-5555</v>
      </c>
      <c r="D8" s="55">
        <v>-5555</v>
      </c>
      <c r="E8" s="54">
        <v>-2.44</v>
      </c>
      <c r="H8" s="241"/>
      <c r="I8" s="23" t="s">
        <v>86</v>
      </c>
      <c r="J8" s="53">
        <v>-5555</v>
      </c>
      <c r="K8" s="55">
        <v>-5555</v>
      </c>
      <c r="L8" s="54">
        <v>-0.161</v>
      </c>
    </row>
    <row r="9" spans="1:13" x14ac:dyDescent="0.2">
      <c r="A9" s="241"/>
      <c r="B9" s="23" t="s">
        <v>85</v>
      </c>
      <c r="C9" s="53">
        <v>0.1</v>
      </c>
      <c r="D9" s="53">
        <v>-2.4</v>
      </c>
      <c r="E9" s="54">
        <v>-5555</v>
      </c>
      <c r="H9" s="241"/>
      <c r="I9" s="23" t="s">
        <v>85</v>
      </c>
      <c r="J9" s="53">
        <v>12</v>
      </c>
      <c r="K9" s="53">
        <v>0.5</v>
      </c>
      <c r="L9" s="54">
        <v>-5555</v>
      </c>
    </row>
    <row r="10" spans="1:13" x14ac:dyDescent="0.2">
      <c r="A10" s="241"/>
      <c r="B10" s="23" t="s">
        <v>137</v>
      </c>
      <c r="C10" s="53">
        <v>-5555</v>
      </c>
      <c r="D10" s="53">
        <v>0.5</v>
      </c>
      <c r="E10" s="54">
        <v>-5555</v>
      </c>
      <c r="H10" s="241"/>
      <c r="I10" s="23" t="s">
        <v>137</v>
      </c>
      <c r="J10" s="53">
        <v>-5555</v>
      </c>
      <c r="K10" s="53">
        <v>14.4</v>
      </c>
      <c r="L10" s="54">
        <v>-5555</v>
      </c>
    </row>
    <row r="11" spans="1:13" x14ac:dyDescent="0.2">
      <c r="A11" s="241"/>
      <c r="B11" s="23" t="s">
        <v>138</v>
      </c>
      <c r="C11" s="53">
        <v>-5555</v>
      </c>
      <c r="D11" s="55">
        <v>-5555</v>
      </c>
      <c r="E11" s="54">
        <v>-5555</v>
      </c>
      <c r="H11" s="241"/>
      <c r="I11" s="23" t="s">
        <v>138</v>
      </c>
      <c r="J11" s="53">
        <v>-5555</v>
      </c>
      <c r="K11" s="55">
        <v>-5555</v>
      </c>
      <c r="L11" s="54">
        <v>-5555</v>
      </c>
    </row>
    <row r="12" spans="1:13" x14ac:dyDescent="0.2">
      <c r="A12" s="241"/>
      <c r="B12" s="23" t="s">
        <v>139</v>
      </c>
      <c r="C12" s="53">
        <v>0</v>
      </c>
      <c r="D12" s="53">
        <v>-1.5</v>
      </c>
      <c r="E12" s="54">
        <v>-5555</v>
      </c>
      <c r="H12" s="241"/>
      <c r="I12" s="23" t="s">
        <v>139</v>
      </c>
      <c r="J12" s="53">
        <v>1</v>
      </c>
      <c r="K12" s="53">
        <v>0</v>
      </c>
      <c r="L12" s="54">
        <v>-5555</v>
      </c>
    </row>
    <row r="13" spans="1:13" x14ac:dyDescent="0.2">
      <c r="A13" s="241"/>
      <c r="B13" s="23" t="s">
        <v>140</v>
      </c>
      <c r="C13" s="53">
        <v>-5555</v>
      </c>
      <c r="D13" s="53">
        <v>0</v>
      </c>
      <c r="E13" s="54">
        <v>-5555</v>
      </c>
      <c r="H13" s="241"/>
      <c r="I13" s="23" t="s">
        <v>140</v>
      </c>
      <c r="J13" s="53">
        <v>-5555</v>
      </c>
      <c r="K13" s="53">
        <v>1</v>
      </c>
      <c r="L13" s="54">
        <v>-5555</v>
      </c>
    </row>
    <row r="14" spans="1:13" ht="12" thickBot="1" x14ac:dyDescent="0.25">
      <c r="A14" s="242"/>
      <c r="B14" s="56" t="s">
        <v>141</v>
      </c>
      <c r="C14" s="57">
        <v>-5555</v>
      </c>
      <c r="D14" s="58">
        <v>-5555</v>
      </c>
      <c r="E14" s="59">
        <v>-5555</v>
      </c>
      <c r="H14" s="242"/>
      <c r="I14" s="56" t="s">
        <v>141</v>
      </c>
      <c r="J14" s="57">
        <v>-5555</v>
      </c>
      <c r="K14" s="58">
        <v>-5555</v>
      </c>
      <c r="L14" s="59">
        <v>-5555</v>
      </c>
    </row>
    <row r="15" spans="1:13" x14ac:dyDescent="0.2">
      <c r="A15" s="243" t="s">
        <v>177</v>
      </c>
      <c r="B15" s="50" t="s">
        <v>87</v>
      </c>
      <c r="C15" s="51">
        <v>5</v>
      </c>
      <c r="D15" s="51">
        <v>-10</v>
      </c>
      <c r="E15" s="52">
        <v>-5555</v>
      </c>
      <c r="H15" s="243" t="s">
        <v>177</v>
      </c>
      <c r="I15" s="50" t="s">
        <v>87</v>
      </c>
      <c r="J15" s="51">
        <v>40</v>
      </c>
      <c r="K15" s="51">
        <v>0</v>
      </c>
      <c r="L15" s="52">
        <v>-5555</v>
      </c>
    </row>
    <row r="16" spans="1:13" x14ac:dyDescent="0.2">
      <c r="A16" s="238"/>
      <c r="B16" s="23" t="s">
        <v>142</v>
      </c>
      <c r="C16" s="53">
        <v>-5555</v>
      </c>
      <c r="D16" s="53">
        <v>5</v>
      </c>
      <c r="E16" s="54">
        <v>-5555</v>
      </c>
      <c r="H16" s="238"/>
      <c r="I16" s="23" t="s">
        <v>142</v>
      </c>
      <c r="J16" s="53">
        <v>-5555</v>
      </c>
      <c r="K16" s="53">
        <v>50</v>
      </c>
      <c r="L16" s="54">
        <v>-5555</v>
      </c>
    </row>
    <row r="17" spans="1:12" x14ac:dyDescent="0.2">
      <c r="A17" s="238"/>
      <c r="B17" s="23" t="s">
        <v>89</v>
      </c>
      <c r="C17" s="53">
        <v>-5555</v>
      </c>
      <c r="D17" s="55">
        <v>-5555</v>
      </c>
      <c r="E17" s="54">
        <v>-5555</v>
      </c>
      <c r="H17" s="238"/>
      <c r="I17" s="23" t="s">
        <v>89</v>
      </c>
      <c r="J17" s="53">
        <v>-5555</v>
      </c>
      <c r="K17" s="55">
        <v>-5555</v>
      </c>
      <c r="L17" s="54">
        <v>-5555</v>
      </c>
    </row>
    <row r="18" spans="1:12" x14ac:dyDescent="0.2">
      <c r="A18" s="238"/>
      <c r="B18" s="23" t="s">
        <v>143</v>
      </c>
      <c r="C18" s="53">
        <v>0.02</v>
      </c>
      <c r="D18" s="53">
        <v>-0.1</v>
      </c>
      <c r="E18" s="54">
        <v>-5555</v>
      </c>
      <c r="H18" s="238"/>
      <c r="I18" s="23" t="s">
        <v>143</v>
      </c>
      <c r="J18" s="53">
        <v>0.6</v>
      </c>
      <c r="K18" s="53">
        <v>0.1</v>
      </c>
      <c r="L18" s="54">
        <v>-5555</v>
      </c>
    </row>
    <row r="19" spans="1:12" x14ac:dyDescent="0.2">
      <c r="A19" s="238"/>
      <c r="B19" s="23" t="s">
        <v>144</v>
      </c>
      <c r="C19" s="53">
        <v>-5555</v>
      </c>
      <c r="D19" s="53">
        <v>0.1</v>
      </c>
      <c r="E19" s="54">
        <v>-5555</v>
      </c>
      <c r="H19" s="238"/>
      <c r="I19" s="23" t="s">
        <v>144</v>
      </c>
      <c r="J19" s="53">
        <v>-5555</v>
      </c>
      <c r="K19" s="53">
        <v>1</v>
      </c>
      <c r="L19" s="54">
        <v>-5555</v>
      </c>
    </row>
    <row r="20" spans="1:12" x14ac:dyDescent="0.2">
      <c r="A20" s="238"/>
      <c r="B20" s="23" t="s">
        <v>145</v>
      </c>
      <c r="C20" s="53">
        <v>-5555</v>
      </c>
      <c r="D20" s="55">
        <v>-5555</v>
      </c>
      <c r="E20" s="54">
        <v>-5555</v>
      </c>
      <c r="H20" s="238"/>
      <c r="I20" s="23" t="s">
        <v>145</v>
      </c>
      <c r="J20" s="53">
        <v>-5555</v>
      </c>
      <c r="K20" s="55">
        <v>-5555</v>
      </c>
      <c r="L20" s="54">
        <v>-5555</v>
      </c>
    </row>
    <row r="21" spans="1:12" x14ac:dyDescent="0.2">
      <c r="A21" s="238"/>
      <c r="B21" s="23" t="s">
        <v>146</v>
      </c>
      <c r="C21" s="53">
        <v>0.01</v>
      </c>
      <c r="D21" s="53">
        <v>-0.2</v>
      </c>
      <c r="E21" s="54">
        <v>-5555</v>
      </c>
      <c r="H21" s="238"/>
      <c r="I21" s="23" t="s">
        <v>146</v>
      </c>
      <c r="J21" s="53">
        <v>0.45</v>
      </c>
      <c r="K21" s="53">
        <v>0</v>
      </c>
      <c r="L21" s="54">
        <v>-5555</v>
      </c>
    </row>
    <row r="22" spans="1:12" x14ac:dyDescent="0.2">
      <c r="A22" s="238"/>
      <c r="B22" s="23" t="s">
        <v>147</v>
      </c>
      <c r="C22" s="53">
        <v>-5555</v>
      </c>
      <c r="D22" s="53">
        <v>0.01</v>
      </c>
      <c r="E22" s="54">
        <v>-5555</v>
      </c>
      <c r="H22" s="238"/>
      <c r="I22" s="23" t="s">
        <v>147</v>
      </c>
      <c r="J22" s="53">
        <v>-5555</v>
      </c>
      <c r="K22" s="53">
        <v>1</v>
      </c>
      <c r="L22" s="54">
        <v>-5555</v>
      </c>
    </row>
    <row r="23" spans="1:12" x14ac:dyDescent="0.2">
      <c r="A23" s="238"/>
      <c r="B23" s="23" t="s">
        <v>148</v>
      </c>
      <c r="C23" s="53">
        <v>-5555</v>
      </c>
      <c r="D23" s="55">
        <v>-5555</v>
      </c>
      <c r="E23" s="54">
        <v>-5555</v>
      </c>
      <c r="H23" s="238"/>
      <c r="I23" s="23" t="s">
        <v>148</v>
      </c>
      <c r="J23" s="53">
        <v>-5555</v>
      </c>
      <c r="K23" s="55">
        <v>-5555</v>
      </c>
      <c r="L23" s="54">
        <v>-5555</v>
      </c>
    </row>
    <row r="24" spans="1:12" x14ac:dyDescent="0.2">
      <c r="A24" s="238"/>
      <c r="B24" s="23" t="s">
        <v>149</v>
      </c>
      <c r="C24" s="53">
        <v>0</v>
      </c>
      <c r="D24" s="53">
        <v>0</v>
      </c>
      <c r="E24" s="54">
        <v>-5555</v>
      </c>
      <c r="H24" s="238"/>
      <c r="I24" s="23" t="s">
        <v>149</v>
      </c>
      <c r="J24" s="53">
        <v>1</v>
      </c>
      <c r="K24" s="53">
        <v>1</v>
      </c>
      <c r="L24" s="54">
        <v>-5555</v>
      </c>
    </row>
    <row r="25" spans="1:12" x14ac:dyDescent="0.2">
      <c r="A25" s="238"/>
      <c r="B25" s="23" t="s">
        <v>150</v>
      </c>
      <c r="C25" s="53">
        <v>-5555</v>
      </c>
      <c r="D25" s="53">
        <v>0</v>
      </c>
      <c r="E25" s="54">
        <v>-5555</v>
      </c>
      <c r="H25" s="238"/>
      <c r="I25" s="23" t="s">
        <v>150</v>
      </c>
      <c r="J25" s="53">
        <v>-5555</v>
      </c>
      <c r="K25" s="53">
        <v>1</v>
      </c>
      <c r="L25" s="54">
        <v>-5555</v>
      </c>
    </row>
    <row r="26" spans="1:12" ht="12" thickBot="1" x14ac:dyDescent="0.25">
      <c r="A26" s="239"/>
      <c r="B26" s="56" t="s">
        <v>152</v>
      </c>
      <c r="C26" s="57">
        <v>-5555</v>
      </c>
      <c r="D26" s="58">
        <v>-5555</v>
      </c>
      <c r="E26" s="59">
        <v>-5555</v>
      </c>
      <c r="H26" s="239"/>
      <c r="I26" s="56" t="s">
        <v>152</v>
      </c>
      <c r="J26" s="57">
        <v>-5555</v>
      </c>
      <c r="K26" s="58">
        <v>-5555</v>
      </c>
      <c r="L26" s="59">
        <v>-5555</v>
      </c>
    </row>
    <row r="27" spans="1:12" x14ac:dyDescent="0.2">
      <c r="A27" s="240" t="s">
        <v>178</v>
      </c>
      <c r="B27" s="50" t="s">
        <v>90</v>
      </c>
      <c r="C27" s="51">
        <v>1</v>
      </c>
      <c r="D27" s="51">
        <v>-7.5</v>
      </c>
      <c r="E27" s="52">
        <v>-5555</v>
      </c>
      <c r="H27" s="240" t="s">
        <v>178</v>
      </c>
      <c r="I27" s="50" t="s">
        <v>90</v>
      </c>
      <c r="J27" s="51">
        <v>40</v>
      </c>
      <c r="K27" s="51">
        <v>7</v>
      </c>
      <c r="L27" s="52">
        <v>-5555</v>
      </c>
    </row>
    <row r="28" spans="1:12" x14ac:dyDescent="0.2">
      <c r="A28" s="241"/>
      <c r="B28" s="23" t="s">
        <v>153</v>
      </c>
      <c r="C28" s="53">
        <v>-5555</v>
      </c>
      <c r="D28" s="53">
        <v>0</v>
      </c>
      <c r="E28" s="54">
        <v>-5555</v>
      </c>
      <c r="H28" s="241"/>
      <c r="I28" s="23" t="s">
        <v>153</v>
      </c>
      <c r="J28" s="53">
        <v>-5555</v>
      </c>
      <c r="K28" s="53">
        <v>50</v>
      </c>
      <c r="L28" s="54">
        <v>-5555</v>
      </c>
    </row>
    <row r="29" spans="1:12" x14ac:dyDescent="0.2">
      <c r="A29" s="241"/>
      <c r="B29" s="23" t="s">
        <v>154</v>
      </c>
      <c r="C29" s="53">
        <v>-5555</v>
      </c>
      <c r="D29" s="55">
        <v>-5555</v>
      </c>
      <c r="E29" s="54">
        <v>-5555</v>
      </c>
      <c r="H29" s="241"/>
      <c r="I29" s="23" t="s">
        <v>154</v>
      </c>
      <c r="J29" s="53">
        <v>-5555</v>
      </c>
      <c r="K29" s="55">
        <v>-5555</v>
      </c>
      <c r="L29" s="54">
        <v>-5555</v>
      </c>
    </row>
    <row r="30" spans="1:12" x14ac:dyDescent="0.2">
      <c r="A30" s="241"/>
      <c r="B30" s="23" t="s">
        <v>155</v>
      </c>
      <c r="C30" s="53">
        <v>0.02</v>
      </c>
      <c r="D30" s="53">
        <v>0</v>
      </c>
      <c r="E30" s="54">
        <v>-5555</v>
      </c>
      <c r="H30" s="241"/>
      <c r="I30" s="23" t="s">
        <v>155</v>
      </c>
      <c r="J30" s="53">
        <v>0.5</v>
      </c>
      <c r="K30" s="53">
        <v>0.1</v>
      </c>
      <c r="L30" s="54">
        <v>-5555</v>
      </c>
    </row>
    <row r="31" spans="1:12" x14ac:dyDescent="0.2">
      <c r="A31" s="241"/>
      <c r="B31" s="23" t="s">
        <v>156</v>
      </c>
      <c r="C31" s="53">
        <v>-5555</v>
      </c>
      <c r="D31" s="53">
        <v>0.3</v>
      </c>
      <c r="E31" s="54">
        <v>-5555</v>
      </c>
      <c r="H31" s="241"/>
      <c r="I31" s="23" t="s">
        <v>156</v>
      </c>
      <c r="J31" s="53">
        <v>-5555</v>
      </c>
      <c r="K31" s="53">
        <v>0</v>
      </c>
      <c r="L31" s="54">
        <v>-5555</v>
      </c>
    </row>
    <row r="32" spans="1:12" x14ac:dyDescent="0.2">
      <c r="A32" s="241"/>
      <c r="B32" s="23" t="s">
        <v>157</v>
      </c>
      <c r="C32" s="53">
        <v>-5555</v>
      </c>
      <c r="D32" s="55">
        <v>-5555</v>
      </c>
      <c r="E32" s="54">
        <v>-5555</v>
      </c>
      <c r="H32" s="241"/>
      <c r="I32" s="23" t="s">
        <v>157</v>
      </c>
      <c r="J32" s="53">
        <v>-5555</v>
      </c>
      <c r="K32" s="55">
        <v>-5555</v>
      </c>
      <c r="L32" s="54">
        <v>-5555</v>
      </c>
    </row>
    <row r="33" spans="1:12" x14ac:dyDescent="0.2">
      <c r="A33" s="241"/>
      <c r="B33" s="23" t="s">
        <v>158</v>
      </c>
      <c r="C33" s="53">
        <v>1E-3</v>
      </c>
      <c r="D33" s="53">
        <v>-1.5</v>
      </c>
      <c r="E33" s="54">
        <v>-5555</v>
      </c>
      <c r="H33" s="241"/>
      <c r="I33" s="23" t="s">
        <v>158</v>
      </c>
      <c r="J33" s="53">
        <v>0.1</v>
      </c>
      <c r="K33" s="53">
        <v>0.01</v>
      </c>
      <c r="L33" s="54">
        <v>-5555</v>
      </c>
    </row>
    <row r="34" spans="1:12" x14ac:dyDescent="0.2">
      <c r="A34" s="241"/>
      <c r="B34" s="23" t="s">
        <v>159</v>
      </c>
      <c r="C34" s="53">
        <v>-5555</v>
      </c>
      <c r="D34" s="53">
        <v>-0.05</v>
      </c>
      <c r="E34" s="54">
        <v>-5555</v>
      </c>
      <c r="H34" s="241"/>
      <c r="I34" s="23" t="s">
        <v>159</v>
      </c>
      <c r="J34" s="53">
        <v>-5555</v>
      </c>
      <c r="K34" s="53">
        <v>0.2</v>
      </c>
      <c r="L34" s="54">
        <v>-5555</v>
      </c>
    </row>
    <row r="35" spans="1:12" x14ac:dyDescent="0.2">
      <c r="A35" s="241"/>
      <c r="B35" s="23" t="s">
        <v>160</v>
      </c>
      <c r="C35" s="53">
        <v>-5555</v>
      </c>
      <c r="D35" s="55">
        <v>-5555</v>
      </c>
      <c r="E35" s="54">
        <v>-5555</v>
      </c>
      <c r="H35" s="241"/>
      <c r="I35" s="23" t="s">
        <v>160</v>
      </c>
      <c r="J35" s="53">
        <v>-5555</v>
      </c>
      <c r="K35" s="55">
        <v>-5555</v>
      </c>
      <c r="L35" s="54">
        <v>-5555</v>
      </c>
    </row>
    <row r="36" spans="1:12" x14ac:dyDescent="0.2">
      <c r="A36" s="241"/>
      <c r="B36" s="23" t="s">
        <v>161</v>
      </c>
      <c r="C36" s="53">
        <v>0</v>
      </c>
      <c r="D36" s="53">
        <v>-0.3</v>
      </c>
      <c r="E36" s="54">
        <v>-5555</v>
      </c>
      <c r="H36" s="241"/>
      <c r="I36" s="23" t="s">
        <v>161</v>
      </c>
      <c r="J36" s="53">
        <v>1</v>
      </c>
      <c r="K36" s="53">
        <v>0.2</v>
      </c>
      <c r="L36" s="54">
        <v>-5555</v>
      </c>
    </row>
    <row r="37" spans="1:12" x14ac:dyDescent="0.2">
      <c r="A37" s="241"/>
      <c r="B37" s="23" t="s">
        <v>162</v>
      </c>
      <c r="C37" s="53">
        <v>-5555</v>
      </c>
      <c r="D37" s="53">
        <v>0</v>
      </c>
      <c r="E37" s="54">
        <v>-5555</v>
      </c>
      <c r="H37" s="241"/>
      <c r="I37" s="23" t="s">
        <v>162</v>
      </c>
      <c r="J37" s="53">
        <v>-5555</v>
      </c>
      <c r="K37" s="53">
        <v>1.5</v>
      </c>
      <c r="L37" s="54">
        <v>-5555</v>
      </c>
    </row>
    <row r="38" spans="1:12" ht="12" thickBot="1" x14ac:dyDescent="0.25">
      <c r="A38" s="242"/>
      <c r="B38" s="56" t="s">
        <v>163</v>
      </c>
      <c r="C38" s="57">
        <v>-5555</v>
      </c>
      <c r="D38" s="58">
        <v>-5555</v>
      </c>
      <c r="E38" s="59">
        <v>-5555</v>
      </c>
      <c r="H38" s="242"/>
      <c r="I38" s="56" t="s">
        <v>163</v>
      </c>
      <c r="J38" s="57">
        <v>-5555</v>
      </c>
      <c r="K38" s="58">
        <v>-5555</v>
      </c>
      <c r="L38" s="59">
        <v>-5555</v>
      </c>
    </row>
    <row r="39" spans="1:12" x14ac:dyDescent="0.2">
      <c r="A39" s="238" t="s">
        <v>179</v>
      </c>
      <c r="B39" s="23" t="s">
        <v>164</v>
      </c>
      <c r="C39" s="53">
        <v>200</v>
      </c>
      <c r="D39" s="53">
        <v>-350</v>
      </c>
      <c r="E39" s="54">
        <v>-5555</v>
      </c>
      <c r="H39" s="238" t="s">
        <v>179</v>
      </c>
      <c r="I39" s="23" t="s">
        <v>164</v>
      </c>
      <c r="J39" s="53">
        <v>1200</v>
      </c>
      <c r="K39" s="53">
        <v>500</v>
      </c>
      <c r="L39" s="54">
        <v>-5555</v>
      </c>
    </row>
    <row r="40" spans="1:12" x14ac:dyDescent="0.2">
      <c r="A40" s="238"/>
      <c r="B40" s="23" t="s">
        <v>165</v>
      </c>
      <c r="C40" s="53">
        <v>-5555</v>
      </c>
      <c r="D40" s="53">
        <v>-1000</v>
      </c>
      <c r="E40" s="54">
        <v>-5555</v>
      </c>
      <c r="H40" s="238"/>
      <c r="I40" s="23" t="s">
        <v>165</v>
      </c>
      <c r="J40" s="53">
        <v>-5555</v>
      </c>
      <c r="K40" s="53">
        <v>1500</v>
      </c>
      <c r="L40" s="54">
        <v>-5555</v>
      </c>
    </row>
    <row r="41" spans="1:12" x14ac:dyDescent="0.2">
      <c r="A41" s="238"/>
      <c r="B41" s="23" t="s">
        <v>166</v>
      </c>
      <c r="C41" s="53">
        <v>-5555</v>
      </c>
      <c r="D41" s="55">
        <v>-5555</v>
      </c>
      <c r="E41" s="54">
        <v>-5555</v>
      </c>
      <c r="H41" s="238"/>
      <c r="I41" s="23" t="s">
        <v>166</v>
      </c>
      <c r="J41" s="53">
        <v>-5555</v>
      </c>
      <c r="K41" s="55">
        <v>-5555</v>
      </c>
      <c r="L41" s="54">
        <v>-5555</v>
      </c>
    </row>
    <row r="42" spans="1:12" x14ac:dyDescent="0.2">
      <c r="A42" s="238"/>
      <c r="B42" s="23" t="s">
        <v>167</v>
      </c>
      <c r="C42" s="53">
        <v>1E-3</v>
      </c>
      <c r="D42" s="53">
        <v>-0.05</v>
      </c>
      <c r="E42" s="54">
        <v>-5555</v>
      </c>
      <c r="H42" s="238"/>
      <c r="I42" s="23" t="s">
        <v>167</v>
      </c>
      <c r="J42" s="53">
        <v>0.4</v>
      </c>
      <c r="K42" s="53">
        <v>0.05</v>
      </c>
      <c r="L42" s="54">
        <v>-5555</v>
      </c>
    </row>
    <row r="43" spans="1:12" x14ac:dyDescent="0.2">
      <c r="A43" s="238"/>
      <c r="B43" s="23" t="s">
        <v>168</v>
      </c>
      <c r="C43" s="53">
        <v>-5555</v>
      </c>
      <c r="D43" s="53">
        <v>1E-3</v>
      </c>
      <c r="E43" s="54">
        <v>-5555</v>
      </c>
      <c r="H43" s="238"/>
      <c r="I43" s="23" t="s">
        <v>168</v>
      </c>
      <c r="J43" s="53">
        <v>-5555</v>
      </c>
      <c r="K43" s="53">
        <v>0.4</v>
      </c>
      <c r="L43" s="54">
        <v>-5555</v>
      </c>
    </row>
    <row r="44" spans="1:12" x14ac:dyDescent="0.2">
      <c r="A44" s="238"/>
      <c r="B44" s="23" t="s">
        <v>169</v>
      </c>
      <c r="C44" s="53">
        <v>-5555</v>
      </c>
      <c r="D44" s="55">
        <v>-5555</v>
      </c>
      <c r="E44" s="54">
        <v>-5555</v>
      </c>
      <c r="H44" s="238"/>
      <c r="I44" s="23" t="s">
        <v>169</v>
      </c>
      <c r="J44" s="53">
        <v>-5555</v>
      </c>
      <c r="K44" s="55">
        <v>-5555</v>
      </c>
      <c r="L44" s="54">
        <v>-5555</v>
      </c>
    </row>
    <row r="45" spans="1:12" x14ac:dyDescent="0.2">
      <c r="A45" s="238"/>
      <c r="B45" s="23" t="s">
        <v>88</v>
      </c>
      <c r="C45" s="53">
        <v>1E-4</v>
      </c>
      <c r="D45" s="53">
        <v>0</v>
      </c>
      <c r="E45" s="54">
        <v>-5555</v>
      </c>
      <c r="H45" s="238"/>
      <c r="I45" s="23" t="s">
        <v>88</v>
      </c>
      <c r="J45" s="53">
        <v>0.02</v>
      </c>
      <c r="K45" s="53">
        <v>0.01</v>
      </c>
      <c r="L45" s="54">
        <v>-5555</v>
      </c>
    </row>
    <row r="46" spans="1:12" x14ac:dyDescent="0.2">
      <c r="A46" s="238"/>
      <c r="B46" s="23" t="s">
        <v>170</v>
      </c>
      <c r="C46" s="53">
        <v>-5555</v>
      </c>
      <c r="D46" s="53">
        <v>-0.03</v>
      </c>
      <c r="E46" s="54">
        <v>-5555</v>
      </c>
      <c r="H46" s="238"/>
      <c r="I46" s="23" t="s">
        <v>170</v>
      </c>
      <c r="J46" s="53">
        <v>-5555</v>
      </c>
      <c r="K46" s="53">
        <v>0.02</v>
      </c>
      <c r="L46" s="54">
        <v>-5555</v>
      </c>
    </row>
    <row r="47" spans="1:12" x14ac:dyDescent="0.2">
      <c r="A47" s="238"/>
      <c r="B47" s="23" t="s">
        <v>171</v>
      </c>
      <c r="C47" s="53">
        <v>-5555</v>
      </c>
      <c r="D47" s="55">
        <v>-5555</v>
      </c>
      <c r="E47" s="54">
        <v>-5555</v>
      </c>
      <c r="H47" s="238"/>
      <c r="I47" s="23" t="s">
        <v>171</v>
      </c>
      <c r="J47" s="53">
        <v>-5555</v>
      </c>
      <c r="K47" s="55">
        <v>-5555</v>
      </c>
      <c r="L47" s="54">
        <v>-5555</v>
      </c>
    </row>
    <row r="48" spans="1:12" x14ac:dyDescent="0.2">
      <c r="A48" s="238"/>
      <c r="B48" s="23" t="s">
        <v>172</v>
      </c>
      <c r="C48" s="53">
        <v>0</v>
      </c>
      <c r="D48" s="53">
        <v>-0.5</v>
      </c>
      <c r="E48" s="54">
        <v>-5555</v>
      </c>
      <c r="H48" s="238"/>
      <c r="I48" s="23" t="s">
        <v>172</v>
      </c>
      <c r="J48" s="53">
        <v>1</v>
      </c>
      <c r="K48" s="53">
        <v>0.5</v>
      </c>
      <c r="L48" s="54">
        <v>-5555</v>
      </c>
    </row>
    <row r="49" spans="1:12" x14ac:dyDescent="0.2">
      <c r="A49" s="238"/>
      <c r="B49" s="23" t="s">
        <v>173</v>
      </c>
      <c r="C49" s="53">
        <v>-5555</v>
      </c>
      <c r="D49" s="53">
        <v>-0.5</v>
      </c>
      <c r="E49" s="54">
        <v>-5555</v>
      </c>
      <c r="H49" s="238"/>
      <c r="I49" s="23" t="s">
        <v>173</v>
      </c>
      <c r="J49" s="53">
        <v>-5555</v>
      </c>
      <c r="K49" s="53">
        <v>4</v>
      </c>
      <c r="L49" s="54">
        <v>-5555</v>
      </c>
    </row>
    <row r="50" spans="1:12" ht="12" thickBot="1" x14ac:dyDescent="0.25">
      <c r="A50" s="239"/>
      <c r="B50" s="56" t="s">
        <v>174</v>
      </c>
      <c r="C50" s="57">
        <v>-5555</v>
      </c>
      <c r="D50" s="58">
        <v>-5555</v>
      </c>
      <c r="E50" s="59">
        <v>-5555</v>
      </c>
      <c r="H50" s="239"/>
      <c r="I50" s="56" t="s">
        <v>174</v>
      </c>
      <c r="J50" s="57">
        <v>-5555</v>
      </c>
      <c r="K50" s="58">
        <v>-5555</v>
      </c>
      <c r="L50" s="59">
        <v>-5555</v>
      </c>
    </row>
  </sheetData>
  <mergeCells count="10">
    <mergeCell ref="A1:B2"/>
    <mergeCell ref="H1:I2"/>
    <mergeCell ref="A3:A14"/>
    <mergeCell ref="A15:A26"/>
    <mergeCell ref="A27:A38"/>
    <mergeCell ref="A39:A50"/>
    <mergeCell ref="H3:H14"/>
    <mergeCell ref="H15:H26"/>
    <mergeCell ref="H27:H38"/>
    <mergeCell ref="H39:H50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991ECE-C2DE-4D88-9ACB-B6E84820A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Control Panel</vt:lpstr>
      <vt:lpstr>DataFilter</vt:lpstr>
      <vt:lpstr>Exchange</vt:lpstr>
      <vt:lpstr>Table Output</vt:lpstr>
      <vt:lpstr>S03_NGI_L40</vt:lpstr>
      <vt:lpstr>U03_NGI_L42</vt:lpstr>
      <vt:lpstr>L02_NGI_L40</vt:lpstr>
      <vt:lpstr>U05_AYBR_GHS_L37</vt:lpstr>
      <vt:lpstr>U05_AYBR_GHS_L42</vt:lpstr>
      <vt:lpstr>D2_34_2</vt:lpstr>
      <vt:lpstr>D2_34_NGI</vt:lpstr>
      <vt:lpstr>D2_34_ALS</vt:lpstr>
      <vt:lpstr>D2_34_NFA</vt:lpstr>
      <vt:lpstr>Sequence of the Load iteration </vt:lpstr>
      <vt:lpstr>Loc_69L</vt:lpstr>
      <vt:lpstr>benchmark</vt:lpstr>
      <vt:lpstr>Switch_options_hidden</vt:lpstr>
      <vt:lpstr>Loc_69L_old</vt:lpstr>
      <vt:lpstr>BoundParameters_HiddenSheetSAND</vt:lpstr>
      <vt:lpstr>BoundParameters_HiddenSheetCLAY</vt:lpstr>
    </vt:vector>
  </TitlesOfParts>
  <Company>COWI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Underlin Østergaard</dc:creator>
  <cp:lastModifiedBy>Majid Goodarzi</cp:lastModifiedBy>
  <dcterms:created xsi:type="dcterms:W3CDTF">2013-10-28T09:40:54Z</dcterms:created>
  <dcterms:modified xsi:type="dcterms:W3CDTF">2022-04-24T12:28:43Z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674f71c8-ee6d-45de-abc1-3fd3833933ae</vt:lpwstr>
  </property>
</Properties>
</file>