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B220E623-C4B5-49EC-93EE-7390C300B6F5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4" i="125" l="1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6" i="125"/>
  <c r="AO7" i="125"/>
  <c r="AO8" i="125"/>
  <c r="AO9" i="125"/>
  <c r="AO10" i="125"/>
  <c r="AO11" i="125"/>
  <c r="AO12" i="125"/>
  <c r="AO13" i="125"/>
  <c r="AO1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W6" i="125"/>
  <c r="X6" i="125"/>
  <c r="Y6" i="125"/>
  <c r="Z6" i="125"/>
  <c r="AA6" i="125"/>
  <c r="AB6" i="125"/>
  <c r="AC6" i="125"/>
  <c r="AD6" i="125"/>
  <c r="AE6" i="125"/>
  <c r="AF6" i="125"/>
  <c r="AG6" i="125"/>
  <c r="AH6" i="125"/>
  <c r="AI6" i="125"/>
  <c r="AJ6" i="125"/>
  <c r="AK6" i="125"/>
  <c r="AL6" i="125"/>
  <c r="W7" i="125"/>
  <c r="X7" i="125"/>
  <c r="Y7" i="125"/>
  <c r="Z7" i="125"/>
  <c r="AA7" i="125"/>
  <c r="AB7" i="125"/>
  <c r="AC7" i="125"/>
  <c r="AD7" i="125"/>
  <c r="AE7" i="125"/>
  <c r="AF7" i="125"/>
  <c r="AG7" i="125"/>
  <c r="AH7" i="125"/>
  <c r="AI7" i="125"/>
  <c r="AJ7" i="125"/>
  <c r="AK7" i="125"/>
  <c r="AL7" i="125"/>
  <c r="W8" i="125"/>
  <c r="X8" i="125"/>
  <c r="Y8" i="125"/>
  <c r="Z8" i="125"/>
  <c r="AA8" i="125"/>
  <c r="AB8" i="125"/>
  <c r="AC8" i="125"/>
  <c r="AD8" i="125"/>
  <c r="AE8" i="125"/>
  <c r="AF8" i="125"/>
  <c r="AG8" i="125"/>
  <c r="AH8" i="125"/>
  <c r="AI8" i="125"/>
  <c r="AJ8" i="125"/>
  <c r="AK8" i="125"/>
  <c r="AL8" i="125"/>
  <c r="W9" i="125"/>
  <c r="X9" i="125"/>
  <c r="Y9" i="125"/>
  <c r="Z9" i="125"/>
  <c r="AA9" i="125"/>
  <c r="AB9" i="125"/>
  <c r="AC9" i="125"/>
  <c r="AD9" i="125"/>
  <c r="AE9" i="125"/>
  <c r="AF9" i="125"/>
  <c r="AG9" i="125"/>
  <c r="AH9" i="125"/>
  <c r="AI9" i="125"/>
  <c r="AJ9" i="125"/>
  <c r="AK9" i="125"/>
  <c r="AL9" i="125"/>
  <c r="W10" i="125"/>
  <c r="X10" i="125"/>
  <c r="Y10" i="125"/>
  <c r="Z10" i="125"/>
  <c r="AA10" i="125"/>
  <c r="AB10" i="125"/>
  <c r="AC10" i="125"/>
  <c r="AD10" i="125"/>
  <c r="AE10" i="125"/>
  <c r="AF10" i="125"/>
  <c r="AG10" i="125"/>
  <c r="AH10" i="125"/>
  <c r="AI10" i="125"/>
  <c r="AJ10" i="125"/>
  <c r="AK10" i="125"/>
  <c r="AL10" i="125"/>
  <c r="W11" i="125"/>
  <c r="X11" i="125"/>
  <c r="Y11" i="125"/>
  <c r="Z11" i="125"/>
  <c r="AA11" i="125"/>
  <c r="AB11" i="125"/>
  <c r="AC11" i="125"/>
  <c r="AD11" i="125"/>
  <c r="AE11" i="125"/>
  <c r="AF11" i="125"/>
  <c r="AG11" i="125"/>
  <c r="AH11" i="125"/>
  <c r="AI11" i="125"/>
  <c r="AJ11" i="125"/>
  <c r="AK11" i="125"/>
  <c r="AL11" i="125"/>
  <c r="W12" i="125"/>
  <c r="X12" i="125"/>
  <c r="Y12" i="125"/>
  <c r="Z12" i="125"/>
  <c r="AA12" i="125"/>
  <c r="AB12" i="125"/>
  <c r="AC12" i="125"/>
  <c r="AD12" i="125"/>
  <c r="AE12" i="125"/>
  <c r="AF12" i="125"/>
  <c r="AG12" i="125"/>
  <c r="AH12" i="125"/>
  <c r="AI12" i="125"/>
  <c r="AJ12" i="125"/>
  <c r="AK12" i="125"/>
  <c r="AL12" i="125"/>
  <c r="W13" i="125"/>
  <c r="X13" i="125"/>
  <c r="Y13" i="125"/>
  <c r="Z13" i="125"/>
  <c r="AA13" i="125"/>
  <c r="AB13" i="125"/>
  <c r="AC13" i="125"/>
  <c r="AD13" i="125"/>
  <c r="AE13" i="125"/>
  <c r="AF13" i="125"/>
  <c r="AG13" i="125"/>
  <c r="AH13" i="125"/>
  <c r="AI13" i="125"/>
  <c r="AJ13" i="125"/>
  <c r="AK13" i="125"/>
  <c r="AL13" i="125"/>
  <c r="W14" i="125"/>
  <c r="X14" i="125"/>
  <c r="Y14" i="125"/>
  <c r="Z14" i="125"/>
  <c r="AA14" i="125"/>
  <c r="AB14" i="125"/>
  <c r="AC14" i="125"/>
  <c r="AD14" i="125"/>
  <c r="AE14" i="125"/>
  <c r="AF14" i="125"/>
  <c r="AG14" i="125"/>
  <c r="AH14" i="125"/>
  <c r="AI14" i="125"/>
  <c r="AJ14" i="125"/>
  <c r="AK14" i="125"/>
  <c r="AL14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5" i="125" l="1"/>
  <c r="L74" i="125" s="1"/>
  <c r="P83" i="125"/>
  <c r="N47" i="125"/>
  <c r="P77" i="125"/>
  <c r="N41" i="125"/>
  <c r="P42" i="125"/>
  <c r="L40" i="125"/>
  <c r="N76" i="125"/>
  <c r="Q5" i="125"/>
  <c r="P48" i="125"/>
  <c r="L46" i="125"/>
  <c r="N82" i="125"/>
  <c r="L75" i="125"/>
  <c r="L81" i="125"/>
  <c r="R5" i="125"/>
  <c r="O47" i="125"/>
  <c r="M46" i="125"/>
  <c r="O41" i="125"/>
  <c r="M40" i="125"/>
  <c r="O82" i="125"/>
  <c r="M81" i="125"/>
  <c r="O76" i="125"/>
  <c r="M75" i="125"/>
  <c r="M82" i="125"/>
  <c r="N48" i="125"/>
  <c r="P43" i="125"/>
  <c r="L41" i="125"/>
  <c r="L82" i="125"/>
  <c r="P78" i="125"/>
  <c r="N77" i="125"/>
  <c r="L76" i="125"/>
  <c r="O42" i="125"/>
  <c r="L47" i="125"/>
  <c r="N42" i="125"/>
  <c r="N83" i="125"/>
  <c r="M48" i="125"/>
  <c r="O43" i="125"/>
  <c r="M42" i="125"/>
  <c r="M83" i="125"/>
  <c r="O78" i="125"/>
  <c r="M77" i="125"/>
  <c r="P44" i="125"/>
  <c r="L42" i="125"/>
  <c r="L83" i="125"/>
  <c r="P79" i="125"/>
  <c r="N78" i="125"/>
  <c r="L77" i="125"/>
  <c r="L48" i="125"/>
  <c r="N43" i="125"/>
  <c r="AC5" i="125"/>
  <c r="O44" i="125"/>
  <c r="M43" i="125"/>
  <c r="O79" i="125"/>
  <c r="M78" i="125"/>
  <c r="O83" i="125"/>
  <c r="AB5" i="125"/>
  <c r="P45" i="125"/>
  <c r="N44" i="125"/>
  <c r="L43" i="125"/>
  <c r="P39" i="125"/>
  <c r="P80" i="125"/>
  <c r="N79" i="125"/>
  <c r="L78" i="125"/>
  <c r="P74" i="125"/>
  <c r="O48" i="125"/>
  <c r="M44" i="125"/>
  <c r="O39" i="125"/>
  <c r="O80" i="125"/>
  <c r="M79" i="125"/>
  <c r="O74" i="125"/>
  <c r="M76" i="125"/>
  <c r="O45" i="125"/>
  <c r="U5" i="125"/>
  <c r="P46" i="125"/>
  <c r="N45" i="125"/>
  <c r="L44" i="125"/>
  <c r="P40" i="125"/>
  <c r="N39" i="125"/>
  <c r="P81" i="125"/>
  <c r="N80" i="125"/>
  <c r="L79" i="125"/>
  <c r="P75" i="125"/>
  <c r="N74" i="125"/>
  <c r="M41" i="125"/>
  <c r="T5" i="125"/>
  <c r="O46" i="125"/>
  <c r="M45" i="125"/>
  <c r="O40" i="125"/>
  <c r="M39" i="125"/>
  <c r="O81" i="125"/>
  <c r="M80" i="125"/>
  <c r="O75" i="125"/>
  <c r="M74" i="125"/>
  <c r="M47" i="125"/>
  <c r="O77" i="125"/>
  <c r="S5" i="125"/>
  <c r="P47" i="125"/>
  <c r="N46" i="125"/>
  <c r="L45" i="125"/>
  <c r="P41" i="125"/>
  <c r="N40" i="125"/>
  <c r="L39" i="125"/>
  <c r="P82" i="125"/>
  <c r="N81" i="125"/>
  <c r="L80" i="125"/>
  <c r="P76" i="125"/>
  <c r="N7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F45" i="125" s="1"/>
  <c r="F80" i="125" s="1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X5" i="125" l="1"/>
  <c r="AL5" i="125"/>
  <c r="AF5" i="125"/>
  <c r="AI5" i="125"/>
  <c r="AA5" i="125"/>
  <c r="AO5" i="125"/>
  <c r="AE5" i="125"/>
  <c r="AD5" i="125"/>
  <c r="AG5" i="125"/>
  <c r="AJ5" i="125"/>
  <c r="AH5" i="125"/>
  <c r="Y5" i="125"/>
  <c r="AK5" i="125"/>
  <c r="W5" i="125"/>
  <c r="Z5" i="125"/>
  <c r="F48" i="125"/>
  <c r="F83" i="125" s="1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C4" i="125" l="1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<sst xmlns="http://schemas.openxmlformats.org/spreadsheetml/2006/main" count="1848" uniqueCount="478">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</sst>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  <tableStyle name="FKMV_style_2" pivot="0" count="7" xr9:uid="{1CBD89A1-94B2-445A-A0F4-05CE2395308B}">
      <tableStyleElement type="wholeTable" dxfId="154"/>
      <tableStyleElement type="totalRow" dxfId="153"/>
      <tableStyleElement type="fir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FKMV_style_no_header" pivot="0" count="8" xr9:uid="{CD166963-8293-4761-9835-30B0A7BBACF7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secondRowStripe" dxfId="141"/>
      <tableStyleElement type="firstColumnStripe" dxfId="140"/>
    </tableStyle>
    <tableStyle name="TableStyleLight9 2" pivot="0" count="9" xr9:uid="{DA6047FE-FBAE-4B42-870C-C23B7AE904CF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RowStripe" dxfId="134"/>
      <tableStyleElement type="secondRowStripe" dxfId="133"/>
      <tableStyleElement type="firstColumnStripe" dxfId="132"/>
      <tableStyleElement type="secondColumnStripe" dxfId="1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36195</xdr:colOff>
      <xdr:row>43</xdr:row>
      <xdr:rowOff>66675</xdr:rowOff>
    </xdr:from>
    <xdr:to>
      <xdr:col>2</xdr:col>
      <xdr:colOff>528955</xdr:colOff>
      <xdr:row>61</xdr:row>
      <xdr:rowOff>1121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" y="6943725"/>
          <a:ext cx="2944495" cy="3157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30" headerRowBorderDxfId="129" tableBorderDxfId="128" headerRowCellStyle="Normal 2" dataCellStyle="Normal 2">
  <autoFilter ref="E3:K34" xr:uid="{F2BBA6ED-B345-4E30-A8F2-060B345A733E}"/>
  <tableColumns count="7">
    <tableColumn id="1" xr3:uid="{414A84B1-08A7-4D5D-B5C2-577E6F30CC4C}" name="Layer switch" dataDxfId="12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6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tabSelected="1" zoomScaleNormal="100" workbookViewId="0">
      <selection activeCell="G17" sqref="G17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57" t="s">
        <v>77</v>
      </c>
      <c r="C2" s="158"/>
      <c r="K2" s="116" t="s">
        <v>78</v>
      </c>
      <c r="L2" s="117"/>
      <c r="M2" s="117"/>
      <c r="N2" s="117"/>
      <c r="O2" s="117"/>
      <c r="P2" s="117"/>
      <c r="Q2" s="117"/>
      <c r="R2" s="117"/>
      <c r="S2" s="117"/>
      <c r="T2" s="117"/>
      <c r="U2" s="118"/>
      <c r="W2" s="162" t="s">
        <v>461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4"/>
      <c r="AN2" s="159" t="s">
        <v>79</v>
      </c>
      <c r="AO2" s="160"/>
      <c r="AP2" s="160"/>
      <c r="AQ2" s="160"/>
      <c r="AR2" s="160"/>
      <c r="AS2" s="160"/>
      <c r="AT2" s="160"/>
      <c r="AU2" s="160"/>
      <c r="AV2" s="160"/>
      <c r="AW2" s="161"/>
    </row>
    <row r="3" spans="2:49" ht="13.5" customHeight="1" thickBot="1" x14ac:dyDescent="0.2">
      <c r="B3" s="107" t="s">
        <v>80</v>
      </c>
      <c r="C3" s="108" t="s">
        <v>184</v>
      </c>
      <c r="E3" s="149" t="s">
        <v>460</v>
      </c>
      <c r="F3" s="150" t="s">
        <v>455</v>
      </c>
      <c r="G3" s="151" t="s">
        <v>237</v>
      </c>
      <c r="H3" s="152" t="s">
        <v>440</v>
      </c>
      <c r="I3" s="152" t="s">
        <v>238</v>
      </c>
      <c r="J3" s="152" t="s">
        <v>441</v>
      </c>
      <c r="K3" s="153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02" t="s">
        <v>180</v>
      </c>
      <c r="R3" s="102" t="s">
        <v>180</v>
      </c>
      <c r="S3" s="102" t="s">
        <v>180</v>
      </c>
      <c r="T3" s="102" t="s">
        <v>180</v>
      </c>
      <c r="U3" s="103" t="s">
        <v>180</v>
      </c>
      <c r="V3" s="40"/>
      <c r="W3" s="119" t="s">
        <v>91</v>
      </c>
      <c r="X3" s="119" t="s">
        <v>92</v>
      </c>
      <c r="Y3" s="119" t="s">
        <v>93</v>
      </c>
      <c r="Z3" s="119" t="s">
        <v>94</v>
      </c>
      <c r="AA3" s="119" t="s">
        <v>95</v>
      </c>
      <c r="AB3" s="119" t="s">
        <v>96</v>
      </c>
      <c r="AC3" s="119" t="s">
        <v>97</v>
      </c>
      <c r="AD3" s="119" t="s">
        <v>98</v>
      </c>
      <c r="AE3" s="119" t="s">
        <v>99</v>
      </c>
      <c r="AF3" s="119" t="s">
        <v>100</v>
      </c>
      <c r="AG3" s="119" t="s">
        <v>101</v>
      </c>
      <c r="AH3" s="119" t="s">
        <v>102</v>
      </c>
      <c r="AI3" s="119" t="s">
        <v>103</v>
      </c>
      <c r="AJ3" s="119" t="s">
        <v>104</v>
      </c>
      <c r="AK3" s="119" t="s">
        <v>105</v>
      </c>
      <c r="AL3" s="119" t="s">
        <v>106</v>
      </c>
      <c r="AN3" s="132" t="s">
        <v>82</v>
      </c>
      <c r="AO3" s="133" t="s">
        <v>180</v>
      </c>
      <c r="AP3" s="133" t="s">
        <v>180</v>
      </c>
      <c r="AQ3" s="133" t="s">
        <v>180</v>
      </c>
      <c r="AR3" s="133" t="s">
        <v>180</v>
      </c>
      <c r="AS3" s="133" t="s">
        <v>180</v>
      </c>
      <c r="AT3" s="133" t="s">
        <v>180</v>
      </c>
      <c r="AU3" s="133" t="s">
        <v>180</v>
      </c>
      <c r="AV3" s="133" t="s">
        <v>180</v>
      </c>
      <c r="AW3" s="134" t="s">
        <v>180</v>
      </c>
    </row>
    <row r="4" spans="2:49" ht="12" thickBot="1" x14ac:dyDescent="0.2">
      <c r="B4" s="109" t="s">
        <v>112</v>
      </c>
      <c r="C4" s="110" t="s">
        <v>467</v>
      </c>
      <c r="E4" s="147">
        <v>1</v>
      </c>
      <c r="F4" s="146" t="s">
        <v>382</v>
      </c>
      <c r="G4" s="146" t="s">
        <v>244</v>
      </c>
      <c r="H4" s="146" t="s">
        <v>454</v>
      </c>
      <c r="I4" s="51">
        <v>0</v>
      </c>
      <c r="J4" s="147" t="s">
        <v>410</v>
      </c>
      <c r="K4" s="148">
        <v>1</v>
      </c>
      <c r="L4" s="24"/>
      <c r="M4" s="24"/>
      <c r="N4" s="24"/>
      <c r="O4" s="24"/>
      <c r="P4" s="24"/>
      <c r="Q4" s="24"/>
      <c r="R4" s="43"/>
      <c r="S4" s="43"/>
      <c r="T4" s="43"/>
      <c r="U4" s="90"/>
      <c r="W4" s="120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2"/>
      <c r="AN4" s="93">
        <f>IF(K4="","",K4)</f>
        <v>1</v>
      </c>
      <c r="AO4" s="135"/>
      <c r="AP4" s="135"/>
      <c r="AQ4" s="135"/>
      <c r="AR4" s="135"/>
      <c r="AS4" s="135"/>
      <c r="AT4" s="135"/>
      <c r="AU4" s="135"/>
      <c r="AV4" s="135"/>
      <c r="AW4" s="136"/>
    </row>
    <row r="5" spans="2:49" ht="12" thickBot="1" x14ac:dyDescent="0.2">
      <c r="B5" s="111" t="s">
        <v>107</v>
      </c>
      <c r="C5" s="112" t="s">
        <v>108</v>
      </c>
      <c r="E5" s="89">
        <v>1</v>
      </c>
      <c r="F5" s="96" t="s">
        <v>351</v>
      </c>
      <c r="G5" s="96" t="s">
        <v>244</v>
      </c>
      <c r="H5" s="96" t="s">
        <v>454</v>
      </c>
      <c r="I5" s="24">
        <v>1</v>
      </c>
      <c r="J5" s="96" t="s">
        <v>411</v>
      </c>
      <c r="K5" s="95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90"/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2"/>
      <c r="AN5" s="8">
        <f t="shared" ref="AN5:AN28" si="0">IF(K5="","",K5)</f>
        <v>2</v>
      </c>
      <c r="AO5" s="137"/>
      <c r="AP5" s="137"/>
      <c r="AQ5" s="137"/>
      <c r="AR5" s="137"/>
      <c r="AS5" s="137"/>
      <c r="AT5" s="137"/>
      <c r="AU5" s="137"/>
      <c r="AV5" s="137"/>
      <c r="AW5" s="138"/>
    </row>
    <row r="6" spans="2:49" ht="12" thickBot="1" x14ac:dyDescent="0.2">
      <c r="B6" s="109" t="s">
        <v>109</v>
      </c>
      <c r="C6" s="110" t="s">
        <v>110</v>
      </c>
      <c r="E6" s="89">
        <v>1</v>
      </c>
      <c r="F6" s="96" t="s">
        <v>330</v>
      </c>
      <c r="G6" s="96" t="s">
        <v>244</v>
      </c>
      <c r="H6" s="96" t="s">
        <v>454</v>
      </c>
      <c r="I6" s="24">
        <v>1</v>
      </c>
      <c r="J6" s="96" t="s">
        <v>412</v>
      </c>
      <c r="K6" s="95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90"/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  <c r="AN6" s="8">
        <f t="shared" si="0"/>
        <v>3</v>
      </c>
      <c r="AO6" s="137"/>
      <c r="AP6" s="137"/>
      <c r="AQ6" s="137"/>
      <c r="AR6" s="137"/>
      <c r="AS6" s="137"/>
      <c r="AT6" s="137"/>
      <c r="AU6" s="137"/>
      <c r="AV6" s="137"/>
      <c r="AW6" s="138"/>
    </row>
    <row r="7" spans="2:49" ht="12" thickBot="1" x14ac:dyDescent="0.2">
      <c r="B7" s="109" t="s">
        <v>111</v>
      </c>
      <c r="C7" s="110" t="s">
        <v>209</v>
      </c>
      <c r="E7" s="89">
        <v>1</v>
      </c>
      <c r="F7" s="96" t="s">
        <v>343</v>
      </c>
      <c r="G7" s="96" t="s">
        <v>244</v>
      </c>
      <c r="H7" s="96" t="s">
        <v>454</v>
      </c>
      <c r="I7" s="24">
        <v>1</v>
      </c>
      <c r="J7" s="96" t="s">
        <v>413</v>
      </c>
      <c r="K7" s="95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90"/>
      <c r="W7" s="120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2"/>
      <c r="AN7" s="8">
        <f t="shared" si="0"/>
        <v>4</v>
      </c>
      <c r="AO7" s="137"/>
      <c r="AP7" s="137"/>
      <c r="AQ7" s="137"/>
      <c r="AR7" s="137"/>
      <c r="AS7" s="137"/>
      <c r="AT7" s="137"/>
      <c r="AU7" s="137"/>
      <c r="AV7" s="137"/>
      <c r="AW7" s="138"/>
    </row>
    <row r="8" spans="2:49" ht="12" thickBot="1" x14ac:dyDescent="0.2">
      <c r="B8" s="109" t="s">
        <v>112</v>
      </c>
      <c r="C8" s="110" t="s">
        <v>113</v>
      </c>
      <c r="E8" s="89">
        <v>1</v>
      </c>
      <c r="F8" s="96" t="s">
        <v>355</v>
      </c>
      <c r="G8" s="96" t="s">
        <v>244</v>
      </c>
      <c r="H8" s="96" t="s">
        <v>454</v>
      </c>
      <c r="I8" s="24">
        <v>1</v>
      </c>
      <c r="J8" s="96" t="s">
        <v>414</v>
      </c>
      <c r="K8" s="95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90"/>
      <c r="W8" s="120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2"/>
      <c r="AN8" s="8">
        <f t="shared" si="0"/>
        <v>5</v>
      </c>
      <c r="AO8" s="137"/>
      <c r="AP8" s="137"/>
      <c r="AQ8" s="139"/>
      <c r="AR8" s="139"/>
      <c r="AS8" s="137"/>
      <c r="AT8" s="137"/>
      <c r="AU8" s="137"/>
      <c r="AV8" s="137"/>
      <c r="AW8" s="138"/>
    </row>
    <row r="9" spans="2:49" ht="12" thickBot="1" x14ac:dyDescent="0.2">
      <c r="B9" s="113" t="s">
        <v>114</v>
      </c>
      <c r="C9" s="114" t="s">
        <v>115</v>
      </c>
      <c r="E9" s="89">
        <v>1</v>
      </c>
      <c r="F9" s="96" t="s">
        <v>333</v>
      </c>
      <c r="G9" s="96" t="s">
        <v>244</v>
      </c>
      <c r="H9" s="96" t="s">
        <v>454</v>
      </c>
      <c r="I9" s="24">
        <v>1</v>
      </c>
      <c r="J9" s="96" t="s">
        <v>415</v>
      </c>
      <c r="K9" s="95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90"/>
      <c r="W9" s="120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2"/>
      <c r="AN9" s="8">
        <f t="shared" si="0"/>
        <v>6</v>
      </c>
      <c r="AO9" s="137"/>
      <c r="AP9" s="137"/>
      <c r="AQ9" s="137"/>
      <c r="AR9" s="137"/>
      <c r="AS9" s="137"/>
      <c r="AT9" s="137"/>
      <c r="AU9" s="137"/>
      <c r="AV9" s="137"/>
      <c r="AW9" s="138"/>
    </row>
    <row r="10" spans="2:49" ht="12" thickBot="1" x14ac:dyDescent="0.2">
      <c r="B10" s="157" t="s">
        <v>380</v>
      </c>
      <c r="C10" s="158"/>
      <c r="E10" s="89">
        <v>1</v>
      </c>
      <c r="F10" s="96" t="s">
        <v>382</v>
      </c>
      <c r="G10" s="96" t="s">
        <v>244</v>
      </c>
      <c r="H10" s="96" t="s">
        <v>454</v>
      </c>
      <c r="I10" s="24">
        <v>0</v>
      </c>
      <c r="J10" s="96" t="s">
        <v>416</v>
      </c>
      <c r="K10" s="95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90"/>
      <c r="W10" s="120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2"/>
      <c r="AN10" s="8">
        <f t="shared" si="0"/>
        <v>7</v>
      </c>
      <c r="AO10" s="137"/>
      <c r="AP10" s="137"/>
      <c r="AQ10" s="137"/>
      <c r="AR10" s="137"/>
      <c r="AS10" s="137"/>
      <c r="AT10" s="137"/>
      <c r="AU10" s="137"/>
      <c r="AV10" s="137"/>
      <c r="AW10" s="138"/>
    </row>
    <row r="11" spans="2:49" ht="12" thickBot="1" x14ac:dyDescent="0.2">
      <c r="B11" s="108" t="s">
        <v>194</v>
      </c>
      <c r="C11" s="108" t="s">
        <v>184</v>
      </c>
      <c r="E11" s="89">
        <v>1</v>
      </c>
      <c r="F11" s="96" t="s">
        <v>357</v>
      </c>
      <c r="G11" s="96" t="s">
        <v>244</v>
      </c>
      <c r="H11" s="96" t="s">
        <v>454</v>
      </c>
      <c r="I11" s="24">
        <v>1</v>
      </c>
      <c r="J11" s="96" t="s">
        <v>418</v>
      </c>
      <c r="K11" s="95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90"/>
      <c r="W11" s="120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2"/>
      <c r="AN11" s="8">
        <f t="shared" si="0"/>
        <v>8</v>
      </c>
      <c r="AO11" s="137"/>
      <c r="AP11" s="137"/>
      <c r="AQ11" s="137"/>
      <c r="AR11" s="137"/>
      <c r="AS11" s="137"/>
      <c r="AT11" s="137"/>
      <c r="AU11" s="137"/>
      <c r="AV11" s="137"/>
      <c r="AW11" s="138"/>
    </row>
    <row r="12" spans="2:49" ht="12" thickBot="1" x14ac:dyDescent="0.2">
      <c r="B12" s="110" t="s">
        <v>195</v>
      </c>
      <c r="C12" s="110" t="s">
        <v>184</v>
      </c>
      <c r="E12" s="89">
        <v>1</v>
      </c>
      <c r="F12" s="96" t="s">
        <v>357</v>
      </c>
      <c r="G12" s="96" t="s">
        <v>244</v>
      </c>
      <c r="H12" s="96" t="s">
        <v>454</v>
      </c>
      <c r="I12" s="24">
        <v>1</v>
      </c>
      <c r="J12" s="96" t="s">
        <v>438</v>
      </c>
      <c r="K12" s="95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90"/>
      <c r="W12" s="120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2"/>
      <c r="AN12" s="8">
        <f t="shared" si="0"/>
        <v>9</v>
      </c>
      <c r="AO12" s="137"/>
      <c r="AP12" s="137"/>
      <c r="AQ12" s="137"/>
      <c r="AR12" s="137"/>
      <c r="AS12" s="137"/>
      <c r="AT12" s="137"/>
      <c r="AU12" s="137"/>
      <c r="AV12" s="137"/>
      <c r="AW12" s="138"/>
    </row>
    <row r="13" spans="2:49" ht="12" thickBot="1" x14ac:dyDescent="0.2">
      <c r="B13" s="114" t="s">
        <v>196</v>
      </c>
      <c r="C13" s="114" t="s">
        <v>184</v>
      </c>
      <c r="E13" s="89">
        <v>1</v>
      </c>
      <c r="F13" s="96" t="s">
        <v>357</v>
      </c>
      <c r="G13" s="96" t="s">
        <v>244</v>
      </c>
      <c r="H13" s="96" t="s">
        <v>454</v>
      </c>
      <c r="I13" s="24">
        <v>1</v>
      </c>
      <c r="J13" s="96" t="s">
        <v>439</v>
      </c>
      <c r="K13" s="95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90"/>
      <c r="W13" s="120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2"/>
      <c r="AN13" s="8">
        <f t="shared" si="0"/>
        <v>10</v>
      </c>
      <c r="AO13" s="137"/>
      <c r="AP13" s="137"/>
      <c r="AQ13" s="137"/>
      <c r="AR13" s="137"/>
      <c r="AS13" s="137"/>
      <c r="AT13" s="137"/>
      <c r="AU13" s="137"/>
      <c r="AV13" s="137"/>
      <c r="AW13" s="138"/>
    </row>
    <row r="14" spans="2:49" ht="12" thickBot="1" x14ac:dyDescent="0.2">
      <c r="B14" s="157" t="s">
        <v>116</v>
      </c>
      <c r="C14" s="158"/>
      <c r="E14" s="89">
        <v>1</v>
      </c>
      <c r="F14" s="96" t="s">
        <v>382</v>
      </c>
      <c r="G14" s="96" t="s">
        <v>244</v>
      </c>
      <c r="H14" s="96" t="s">
        <v>454</v>
      </c>
      <c r="I14" s="24">
        <v>0</v>
      </c>
      <c r="J14" s="96" t="s">
        <v>417</v>
      </c>
      <c r="K14" s="95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90"/>
      <c r="W14" s="120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2"/>
      <c r="AN14" s="8">
        <f t="shared" si="0"/>
        <v>11</v>
      </c>
      <c r="AO14" s="137"/>
      <c r="AP14" s="137"/>
      <c r="AQ14" s="137"/>
      <c r="AR14" s="137"/>
      <c r="AS14" s="137"/>
      <c r="AT14" s="137"/>
      <c r="AU14" s="137"/>
      <c r="AV14" s="137"/>
      <c r="AW14" s="138"/>
    </row>
    <row r="15" spans="2:49" ht="12" thickBot="1" x14ac:dyDescent="0.2">
      <c r="B15" s="107" t="s">
        <v>117</v>
      </c>
      <c r="C15" s="108" t="s">
        <v>426</v>
      </c>
      <c r="E15" s="89"/>
      <c r="F15" s="96"/>
      <c r="G15" s="96"/>
      <c r="H15" s="24"/>
      <c r="I15" s="96"/>
      <c r="J15" s="96"/>
      <c r="K15" s="95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90"/>
      <c r="W15" s="120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2"/>
      <c r="AN15" s="8" t="str">
        <f t="shared" si="0"/>
        <v/>
      </c>
      <c r="AO15" s="137"/>
      <c r="AP15" s="137"/>
      <c r="AQ15" s="137"/>
      <c r="AR15" s="137"/>
      <c r="AS15" s="137"/>
      <c r="AT15" s="137"/>
      <c r="AU15" s="137"/>
      <c r="AV15" s="137"/>
      <c r="AW15" s="138"/>
    </row>
    <row r="16" spans="2:49" ht="12" thickBot="1" x14ac:dyDescent="0.2">
      <c r="B16" s="109" t="s">
        <v>118</v>
      </c>
      <c r="C16" s="110" t="s">
        <v>185</v>
      </c>
      <c r="E16" s="89"/>
      <c r="F16" s="24"/>
      <c r="G16" s="24"/>
      <c r="H16" s="24"/>
      <c r="I16" s="24"/>
      <c r="J16" s="24"/>
      <c r="K16" s="95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90"/>
      <c r="W16" s="120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2"/>
      <c r="AN16" s="8" t="str">
        <f t="shared" si="0"/>
        <v/>
      </c>
      <c r="AO16" s="137"/>
      <c r="AP16" s="137"/>
      <c r="AQ16" s="137"/>
      <c r="AR16" s="137"/>
      <c r="AS16" s="137"/>
      <c r="AT16" s="137"/>
      <c r="AU16" s="137"/>
      <c r="AV16" s="137"/>
      <c r="AW16" s="138"/>
    </row>
    <row r="17" spans="2:49" ht="12" thickBot="1" x14ac:dyDescent="0.2">
      <c r="B17" s="111" t="s">
        <v>119</v>
      </c>
      <c r="C17" s="112" t="s">
        <v>120</v>
      </c>
      <c r="E17" s="89"/>
      <c r="F17" s="24"/>
      <c r="G17" s="24"/>
      <c r="H17" s="24"/>
      <c r="I17" s="24"/>
      <c r="J17" s="24"/>
      <c r="K17" s="95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90"/>
      <c r="W17" s="120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2"/>
      <c r="AN17" s="8" t="str">
        <f t="shared" si="0"/>
        <v/>
      </c>
      <c r="AO17" s="137"/>
      <c r="AP17" s="137"/>
      <c r="AQ17" s="137"/>
      <c r="AR17" s="137"/>
      <c r="AS17" s="137"/>
      <c r="AT17" s="137"/>
      <c r="AU17" s="137"/>
      <c r="AV17" s="137"/>
      <c r="AW17" s="138"/>
    </row>
    <row r="18" spans="2:49" ht="12" thickBot="1" x14ac:dyDescent="0.2">
      <c r="B18" s="109" t="s">
        <v>181</v>
      </c>
      <c r="C18" s="110" t="s">
        <v>468</v>
      </c>
      <c r="E18" s="89"/>
      <c r="F18" s="24"/>
      <c r="G18" s="24"/>
      <c r="H18" s="24"/>
      <c r="I18" s="24"/>
      <c r="J18" s="24"/>
      <c r="K18" s="95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90"/>
      <c r="W18" s="120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2"/>
      <c r="AN18" s="8" t="str">
        <f t="shared" si="0"/>
        <v/>
      </c>
      <c r="AO18" s="137"/>
      <c r="AP18" s="137"/>
      <c r="AQ18" s="137"/>
      <c r="AR18" s="137"/>
      <c r="AS18" s="137"/>
      <c r="AT18" s="137"/>
      <c r="AU18" s="137"/>
      <c r="AV18" s="137"/>
      <c r="AW18" s="138"/>
    </row>
    <row r="19" spans="2:49" ht="12" thickBot="1" x14ac:dyDescent="0.2">
      <c r="B19" s="157" t="s">
        <v>443</v>
      </c>
      <c r="C19" s="158"/>
      <c r="E19" s="89"/>
      <c r="F19" s="24"/>
      <c r="G19" s="24"/>
      <c r="H19" s="24"/>
      <c r="I19" s="24"/>
      <c r="J19" s="24"/>
      <c r="K19" s="95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90"/>
      <c r="W19" s="120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2"/>
      <c r="AN19" s="8" t="str">
        <f t="shared" si="0"/>
        <v/>
      </c>
      <c r="AO19" s="137"/>
      <c r="AP19" s="137"/>
      <c r="AQ19" s="137"/>
      <c r="AR19" s="137"/>
      <c r="AS19" s="137"/>
      <c r="AT19" s="137"/>
      <c r="AU19" s="137"/>
      <c r="AV19" s="137"/>
      <c r="AW19" s="138"/>
    </row>
    <row r="20" spans="2:49" ht="12" thickBot="1" x14ac:dyDescent="0.2">
      <c r="B20" s="107" t="s">
        <v>381</v>
      </c>
      <c r="C20" s="108" t="s">
        <v>81</v>
      </c>
      <c r="E20" s="89"/>
      <c r="F20" s="24"/>
      <c r="G20" s="24"/>
      <c r="H20" s="24"/>
      <c r="I20" s="24"/>
      <c r="J20" s="24"/>
      <c r="K20" s="95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90"/>
      <c r="W20" s="120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2"/>
      <c r="AN20" s="8" t="str">
        <f t="shared" si="0"/>
        <v/>
      </c>
      <c r="AO20" s="137"/>
      <c r="AP20" s="137"/>
      <c r="AQ20" s="137"/>
      <c r="AR20" s="137"/>
      <c r="AS20" s="137"/>
      <c r="AT20" s="137"/>
      <c r="AU20" s="137"/>
      <c r="AV20" s="137"/>
      <c r="AW20" s="138"/>
    </row>
    <row r="21" spans="2:49" ht="12" thickBot="1" x14ac:dyDescent="0.2">
      <c r="B21" s="109" t="s">
        <v>389</v>
      </c>
      <c r="C21" s="110" t="s">
        <v>184</v>
      </c>
      <c r="E21" s="89"/>
      <c r="F21" s="24"/>
      <c r="G21" s="24"/>
      <c r="H21" s="24"/>
      <c r="I21" s="24"/>
      <c r="J21" s="24"/>
      <c r="K21" s="95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90"/>
      <c r="W21" s="120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2"/>
      <c r="AN21" s="8" t="str">
        <f t="shared" si="0"/>
        <v/>
      </c>
      <c r="AO21" s="137"/>
      <c r="AP21" s="137"/>
      <c r="AQ21" s="137"/>
      <c r="AR21" s="137"/>
      <c r="AS21" s="137"/>
      <c r="AT21" s="137"/>
      <c r="AU21" s="137"/>
      <c r="AV21" s="137"/>
      <c r="AW21" s="138"/>
    </row>
    <row r="22" spans="2:49" ht="12" thickBot="1" x14ac:dyDescent="0.2">
      <c r="B22" s="111" t="s">
        <v>237</v>
      </c>
      <c r="C22" s="112" t="s">
        <v>409</v>
      </c>
      <c r="E22" s="89"/>
      <c r="F22" s="24"/>
      <c r="G22" s="24"/>
      <c r="H22" s="24"/>
      <c r="I22" s="24"/>
      <c r="J22" s="24"/>
      <c r="K22" s="95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90"/>
      <c r="W22" s="120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2"/>
      <c r="AN22" s="8" t="str">
        <f t="shared" si="0"/>
        <v/>
      </c>
      <c r="AO22" s="137"/>
      <c r="AP22" s="137"/>
      <c r="AQ22" s="137"/>
      <c r="AR22" s="137"/>
      <c r="AS22" s="137"/>
      <c r="AT22" s="137"/>
      <c r="AU22" s="137"/>
      <c r="AV22" s="137"/>
      <c r="AW22" s="138"/>
    </row>
    <row r="23" spans="2:49" ht="12" thickBot="1" x14ac:dyDescent="0.2">
      <c r="B23" s="109" t="s">
        <v>440</v>
      </c>
      <c r="C23" s="115" t="s">
        <v>471</v>
      </c>
      <c r="E23" s="89"/>
      <c r="F23" s="24"/>
      <c r="G23" s="24"/>
      <c r="H23" s="24"/>
      <c r="I23" s="24"/>
      <c r="J23" s="24"/>
      <c r="K23" s="95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90"/>
      <c r="W23" s="120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2"/>
      <c r="AN23" s="8" t="str">
        <f t="shared" si="0"/>
        <v/>
      </c>
      <c r="AO23" s="137"/>
      <c r="AP23" s="137"/>
      <c r="AQ23" s="137"/>
      <c r="AR23" s="137"/>
      <c r="AS23" s="137"/>
      <c r="AT23" s="137"/>
      <c r="AU23" s="137"/>
      <c r="AV23" s="137"/>
      <c r="AW23" s="138"/>
    </row>
    <row r="24" spans="2:49" ht="12" thickBot="1" x14ac:dyDescent="0.2">
      <c r="B24" s="109" t="s">
        <v>238</v>
      </c>
      <c r="C24" s="115">
        <v>11</v>
      </c>
      <c r="E24" s="89"/>
      <c r="F24" s="24"/>
      <c r="G24" s="24"/>
      <c r="H24" s="24"/>
      <c r="I24" s="24"/>
      <c r="J24" s="24"/>
      <c r="K24" s="95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90"/>
      <c r="W24" s="120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2"/>
      <c r="AN24" s="8" t="str">
        <f t="shared" si="0"/>
        <v/>
      </c>
      <c r="AO24" s="137"/>
      <c r="AP24" s="137"/>
      <c r="AQ24" s="137"/>
      <c r="AR24" s="137"/>
      <c r="AS24" s="137"/>
      <c r="AT24" s="137"/>
      <c r="AU24" s="137"/>
      <c r="AV24" s="137"/>
      <c r="AW24" s="138"/>
    </row>
    <row r="25" spans="2:49" ht="15.75" thickBot="1" x14ac:dyDescent="0.2">
      <c r="B25" s="113" t="s">
        <v>444</v>
      </c>
      <c r="C25" s="114" t="s">
        <v>445</v>
      </c>
      <c r="E25" s="89"/>
      <c r="F25" s="24"/>
      <c r="G25" s="24"/>
      <c r="H25" s="24"/>
      <c r="I25" s="24"/>
      <c r="J25" s="24"/>
      <c r="K25" s="95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90"/>
      <c r="W25" s="120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2"/>
      <c r="AN25" s="8" t="str">
        <f t="shared" si="0"/>
        <v/>
      </c>
      <c r="AO25" s="140"/>
      <c r="AP25" s="141"/>
      <c r="AQ25" s="137"/>
      <c r="AR25" s="139"/>
      <c r="AS25" s="137"/>
      <c r="AT25" s="137"/>
      <c r="AU25" s="137"/>
      <c r="AV25" s="137"/>
      <c r="AW25" s="138"/>
    </row>
    <row r="26" spans="2:49" ht="15.75" thickBot="1" x14ac:dyDescent="0.2">
      <c r="E26" s="89"/>
      <c r="F26" s="24"/>
      <c r="G26" s="24"/>
      <c r="H26" s="24"/>
      <c r="I26" s="24"/>
      <c r="J26" s="24"/>
      <c r="K26" s="95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90"/>
      <c r="W26" s="120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2"/>
      <c r="AN26" s="8" t="str">
        <f t="shared" si="0"/>
        <v/>
      </c>
      <c r="AO26" s="140"/>
      <c r="AP26" s="141"/>
      <c r="AQ26" s="137"/>
      <c r="AR26" s="139"/>
      <c r="AS26" s="137"/>
      <c r="AT26" s="137"/>
      <c r="AU26" s="137"/>
      <c r="AV26" s="137"/>
      <c r="AW26" s="138"/>
    </row>
    <row r="27" spans="2:49" ht="12" thickBot="1" x14ac:dyDescent="0.2">
      <c r="E27" s="89"/>
      <c r="F27" s="24"/>
      <c r="G27" s="24"/>
      <c r="H27" s="24"/>
      <c r="I27" s="24"/>
      <c r="J27" s="24"/>
      <c r="K27" s="95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90"/>
      <c r="W27" s="120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2"/>
      <c r="AN27" s="8" t="str">
        <f t="shared" si="0"/>
        <v/>
      </c>
      <c r="AO27" s="137"/>
      <c r="AP27" s="137"/>
      <c r="AQ27" s="137"/>
      <c r="AR27" s="137"/>
      <c r="AS27" s="137"/>
      <c r="AT27" s="137"/>
      <c r="AU27" s="137"/>
      <c r="AV27" s="137"/>
      <c r="AW27" s="138"/>
    </row>
    <row r="28" spans="2:49" ht="12" thickBot="1" x14ac:dyDescent="0.2">
      <c r="E28" s="89"/>
      <c r="F28" s="24"/>
      <c r="G28" s="24"/>
      <c r="H28" s="24"/>
      <c r="I28" s="24"/>
      <c r="J28" s="24"/>
      <c r="K28" s="95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90"/>
      <c r="W28" s="120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2"/>
      <c r="AN28" s="8" t="str">
        <f t="shared" si="0"/>
        <v/>
      </c>
      <c r="AO28" s="137"/>
      <c r="AP28" s="137"/>
      <c r="AQ28" s="137"/>
      <c r="AR28" s="137"/>
      <c r="AS28" s="137"/>
      <c r="AT28" s="137"/>
      <c r="AU28" s="137"/>
      <c r="AV28" s="137"/>
      <c r="AW28" s="138"/>
    </row>
    <row r="29" spans="2:49" ht="12" thickBot="1" x14ac:dyDescent="0.2">
      <c r="E29" s="89"/>
      <c r="F29" s="24"/>
      <c r="G29" s="24"/>
      <c r="H29" s="24"/>
      <c r="I29" s="24"/>
      <c r="J29" s="24"/>
      <c r="K29" s="95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90"/>
      <c r="W29" s="120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2"/>
      <c r="AN29" s="8"/>
      <c r="AO29" s="137"/>
      <c r="AP29" s="137"/>
      <c r="AQ29" s="137"/>
      <c r="AR29" s="137"/>
      <c r="AS29" s="137"/>
      <c r="AT29" s="137"/>
      <c r="AU29" s="137"/>
      <c r="AV29" s="137"/>
      <c r="AW29" s="138"/>
    </row>
    <row r="30" spans="2:49" ht="15.75" thickBot="1" x14ac:dyDescent="0.2">
      <c r="B30" s="165" t="s">
        <v>121</v>
      </c>
      <c r="C30" s="166"/>
      <c r="E30" s="89"/>
      <c r="F30" s="24"/>
      <c r="G30" s="24"/>
      <c r="H30" s="24"/>
      <c r="I30" s="24"/>
      <c r="J30" s="24"/>
      <c r="K30" s="95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90"/>
      <c r="W30" s="120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2"/>
      <c r="AN30" s="8"/>
      <c r="AO30" s="140"/>
      <c r="AP30" s="141"/>
      <c r="AQ30" s="137"/>
      <c r="AR30" s="139"/>
      <c r="AS30" s="137"/>
      <c r="AT30" s="137"/>
      <c r="AU30" s="137"/>
      <c r="AV30" s="137"/>
      <c r="AW30" s="138"/>
    </row>
    <row r="31" spans="2:49" ht="12" thickBot="1" x14ac:dyDescent="0.2">
      <c r="B31" s="12" t="s">
        <v>122</v>
      </c>
      <c r="C31" s="97">
        <v>0.01</v>
      </c>
      <c r="E31" s="89"/>
      <c r="F31" s="24"/>
      <c r="G31" s="24"/>
      <c r="H31" s="24"/>
      <c r="I31" s="24"/>
      <c r="J31" s="24"/>
      <c r="K31" s="95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90"/>
      <c r="W31" s="120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2"/>
      <c r="AN31" s="8"/>
      <c r="AO31" s="137"/>
      <c r="AP31" s="137"/>
      <c r="AQ31" s="137"/>
      <c r="AR31" s="137"/>
      <c r="AS31" s="137"/>
      <c r="AT31" s="137"/>
      <c r="AU31" s="137"/>
      <c r="AV31" s="137"/>
      <c r="AW31" s="138"/>
    </row>
    <row r="32" spans="2:49" ht="12" thickBot="1" x14ac:dyDescent="0.2">
      <c r="B32" s="13" t="s">
        <v>123</v>
      </c>
      <c r="C32" s="98">
        <v>0.01</v>
      </c>
      <c r="E32" s="89"/>
      <c r="F32" s="24"/>
      <c r="G32" s="24"/>
      <c r="H32" s="24"/>
      <c r="I32" s="24"/>
      <c r="J32" s="24"/>
      <c r="K32" s="95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91"/>
      <c r="W32" s="123"/>
      <c r="X32" s="124"/>
      <c r="Y32" s="124"/>
      <c r="Z32" s="124"/>
      <c r="AA32" s="125"/>
      <c r="AB32" s="121"/>
      <c r="AC32" s="121"/>
      <c r="AD32" s="121"/>
      <c r="AE32" s="124"/>
      <c r="AF32" s="124"/>
      <c r="AG32" s="124"/>
      <c r="AH32" s="121"/>
      <c r="AI32" s="121"/>
      <c r="AJ32" s="121"/>
      <c r="AK32" s="121"/>
      <c r="AL32" s="122"/>
      <c r="AN32" s="8"/>
      <c r="AO32" s="137"/>
      <c r="AP32" s="137"/>
      <c r="AQ32" s="137"/>
      <c r="AR32" s="137"/>
      <c r="AS32" s="137"/>
      <c r="AT32" s="137"/>
      <c r="AU32" s="137"/>
      <c r="AV32" s="137"/>
      <c r="AW32" s="138"/>
    </row>
    <row r="33" spans="2:49" ht="15.75" thickBot="1" x14ac:dyDescent="0.2">
      <c r="B33" s="14" t="s">
        <v>124</v>
      </c>
      <c r="C33" s="99">
        <v>0.01</v>
      </c>
      <c r="E33" s="89"/>
      <c r="F33" s="24"/>
      <c r="G33" s="24"/>
      <c r="H33" s="24"/>
      <c r="I33" s="24"/>
      <c r="J33" s="24"/>
      <c r="K33" s="95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91"/>
      <c r="W33" s="123"/>
      <c r="X33" s="126"/>
      <c r="Y33" s="126"/>
      <c r="Z33" s="124"/>
      <c r="AA33" s="125"/>
      <c r="AB33" s="121"/>
      <c r="AC33" s="121"/>
      <c r="AD33" s="121"/>
      <c r="AE33" s="124"/>
      <c r="AF33" s="126"/>
      <c r="AG33" s="126"/>
      <c r="AH33" s="121"/>
      <c r="AI33" s="121"/>
      <c r="AJ33" s="121"/>
      <c r="AK33" s="121"/>
      <c r="AL33" s="122"/>
      <c r="AN33" s="8"/>
      <c r="AO33" s="140"/>
      <c r="AP33" s="141"/>
      <c r="AQ33" s="137"/>
      <c r="AR33" s="139"/>
      <c r="AS33" s="137"/>
      <c r="AT33" s="137"/>
      <c r="AU33" s="137"/>
      <c r="AV33" s="137"/>
      <c r="AW33" s="138"/>
    </row>
    <row r="34" spans="2:49" ht="12" thickBot="1" x14ac:dyDescent="0.2">
      <c r="B34" s="13" t="s">
        <v>125</v>
      </c>
      <c r="C34" s="100" t="s">
        <v>197</v>
      </c>
      <c r="E34" s="89"/>
      <c r="F34" s="24"/>
      <c r="G34" s="24"/>
      <c r="H34" s="24"/>
      <c r="I34" s="24"/>
      <c r="J34" s="24"/>
      <c r="K34" s="95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92"/>
      <c r="W34" s="127"/>
      <c r="X34" s="128"/>
      <c r="Y34" s="128"/>
      <c r="Z34" s="129"/>
      <c r="AA34" s="129"/>
      <c r="AB34" s="130"/>
      <c r="AC34" s="130"/>
      <c r="AD34" s="130"/>
      <c r="AE34" s="128"/>
      <c r="AF34" s="128"/>
      <c r="AG34" s="128"/>
      <c r="AH34" s="130"/>
      <c r="AI34" s="130"/>
      <c r="AJ34" s="130"/>
      <c r="AK34" s="130"/>
      <c r="AL34" s="131"/>
      <c r="AN34" s="94"/>
      <c r="AO34" s="142"/>
      <c r="AP34" s="142"/>
      <c r="AQ34" s="142"/>
      <c r="AR34" s="142"/>
      <c r="AS34" s="142"/>
      <c r="AT34" s="142"/>
      <c r="AU34" s="142"/>
      <c r="AV34" s="142"/>
      <c r="AW34" s="143"/>
    </row>
    <row r="35" spans="2:49" ht="12" thickBot="1" x14ac:dyDescent="0.2">
      <c r="B35" s="13" t="s">
        <v>126</v>
      </c>
      <c r="C35" s="100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98" t="s">
        <v>189</v>
      </c>
      <c r="D36" s="24"/>
      <c r="E36" s="24"/>
      <c r="F36" s="24"/>
      <c r="G36" s="24"/>
      <c r="H36" s="24"/>
      <c r="I36" s="24"/>
      <c r="J36" s="24"/>
      <c r="K36" s="154" t="s">
        <v>130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98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98" t="s">
        <v>189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65" t="s">
        <v>462</v>
      </c>
      <c r="C39" s="166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97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98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99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01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" x14ac:dyDescent="0.25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" x14ac:dyDescent="0.25"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11:47" ht="15" x14ac:dyDescent="0.25"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11:47" ht="15" x14ac:dyDescent="0.25"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11:47" ht="15" x14ac:dyDescent="0.25"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11:47" ht="15" x14ac:dyDescent="0.25"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11:47" ht="15" x14ac:dyDescent="0.25"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11:47" ht="15" x14ac:dyDescent="0.25"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11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11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11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11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11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11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11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11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11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11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154" t="s">
        <v>131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0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</mergeCells>
  <phoneticPr fontId="22" type="noConversion"/>
  <dataValidations count="8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88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88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88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88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88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88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88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I4" sqref="I4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154" t="s">
        <v>78</v>
      </c>
      <c r="L3" s="155"/>
      <c r="M3" s="155"/>
      <c r="N3" s="155"/>
      <c r="O3" s="155"/>
      <c r="P3" s="155"/>
      <c r="Q3" s="155"/>
      <c r="R3" s="155"/>
      <c r="S3" s="155"/>
      <c r="T3" s="155"/>
      <c r="U3" s="156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1</v>
      </c>
      <c r="E4" s="102" t="s">
        <v>460</v>
      </c>
      <c r="F4" s="104" t="s">
        <v>455</v>
      </c>
      <c r="G4" s="105" t="s">
        <v>237</v>
      </c>
      <c r="H4" s="106" t="s">
        <v>440</v>
      </c>
      <c r="I4" s="106" t="s">
        <v>238</v>
      </c>
      <c r="J4" s="106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Cowden_Clay</v>
      </c>
      <c r="G5" s="2" t="str">
        <f>IF(E5=1,IF('Control Panel'!G4="","",'Control Panel'!G4),"")</f>
        <v>PISA</v>
      </c>
      <c r="H5" s="2" t="str">
        <f>IF(E5=1,IF('Control Panel'!H4="","",'Control Panel'!H4),"")</f>
        <v>NA</v>
      </c>
      <c r="I5" s="2">
        <f>IF(E5=1,IF('Control Panel'!I4="","",'Control Panel'!I4),"")</f>
        <v>0</v>
      </c>
      <c r="J5" s="2" t="str">
        <f>IF(E5=1,IF('Control Panel'!J4="","",'Control Panel'!J4),"")</f>
        <v>Loc_69_Clay_1</v>
      </c>
      <c r="K5" s="26">
        <f>IF(E5=1,IF('Control Panel'!K4="","",'Control Panel'!K4),"")</f>
        <v>1</v>
      </c>
      <c r="L5" s="22">
        <f>IF($K5="","",IF(L$4="","",IF('Control Panel'!L4="",VLOOKUP($F5,'Table Output'!$A:$BW,MATCH(L$4,'Table Output'!$A$1:$BT$1,0),),'Control Panel'!L4)))</f>
        <v>200</v>
      </c>
      <c r="M5" s="22">
        <f>IF($K5="","",IF(M$4="","",IF('Control Panel'!M4="",VLOOKUP($F5,'Table Output'!$A:$BW,MATCH(M$4,'Table Output'!$A$1:$BT$1,0),),'Control Panel'!M4)))</f>
        <v>10.210000000000001</v>
      </c>
      <c r="N5" s="22">
        <f>IF($K5="","",IF(N$4="","",IF('Control Panel'!N4="",VLOOKUP($F5,'Table Output'!$A:$BW,MATCH(N$4,'Table Output'!$A$1:$BT$1,0),),'Control Panel'!N4)))</f>
        <v>-1.1000000000000001</v>
      </c>
      <c r="O5" s="22">
        <f>IF($K5="","",IF(O$4="","",IF('Control Panel'!O4="",VLOOKUP($F5,'Table Output'!$A:$BW,MATCH(O$4,'Table Output'!$A$1:$BT$1,0),),'Control Panel'!O4)))</f>
        <v>-0.05</v>
      </c>
      <c r="P5" s="22">
        <f>IF($K5="","",IF(P$4="","",IF('Control Panel'!P4="",VLOOKUP($F5,'Table Output'!$A:$BW,MATCH(P$4,'Table Output'!$A$1:$BT$1,0),),'Control Panel'!P4)))</f>
        <v>8.1199999999999992</v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>
        <f>IF($K5="","",IF('Control Panel'!W4="",VLOOKUP($F5,'Table Output'!$A$2:$BW$99998,MATCH(W$4,'Table Output'!$A$1:$BT$1,0),),'Control Panel'!W4))</f>
        <v>0</v>
      </c>
      <c r="X5" s="22">
        <f>IF($K5="","",IF('Control Panel'!X4="",VLOOKUP($F5,'Table Output'!$A$2:$BW$99998,MATCH(X$4,'Table Output'!$A$1:$BT$1,0),),'Control Panel'!X4))</f>
        <v>2</v>
      </c>
      <c r="Y5" s="22">
        <f>IF($K5="","",IF('Control Panel'!Y4="",VLOOKUP($F5,'Table Output'!$A$2:$BW$99998,MATCH(Y$4,'Table Output'!$A$1:$BT$1,0),),'Control Panel'!Y4))</f>
        <v>1</v>
      </c>
      <c r="Z5" s="22">
        <f>IF($K5="","",IF('Control Panel'!Z4="",VLOOKUP($F5,'Table Output'!$A$2:$BW$99998,MATCH(Z$4,'Table Output'!$A$1:$BT$1,0),),'Control Panel'!Z4))</f>
        <v>1</v>
      </c>
      <c r="AA5" s="22">
        <f>IF($K5="","",IF('Control Panel'!AA4="",VLOOKUP($F5,'Table Output'!$A$2:$BW$99998,MATCH(AA$4,'Table Output'!$A$1:$BT$1,0),),'Control Panel'!AA4))</f>
        <v>0</v>
      </c>
      <c r="AB5" s="22">
        <f>IF($K5="","",IF('Control Panel'!AB4="",VLOOKUP($F5,'Table Output'!$A$2:$BW$99998,MATCH(AB$4,'Table Output'!$A$1:$BT$1,0),),'Control Panel'!AB4))</f>
        <v>1</v>
      </c>
      <c r="AC5" s="22">
        <f>IF($K5="","",IF('Control Panel'!AC4="",VLOOKUP($F5,'Table Output'!$A$2:$BW$99998,MATCH(AC$4,'Table Output'!$A$1:$BT$1,0),),'Control Panel'!AC4))</f>
        <v>1</v>
      </c>
      <c r="AD5" s="22">
        <f>IF($K5="","",IF('Control Panel'!AD4="",VLOOKUP($F5,'Table Output'!$A$2:$BW$99998,MATCH(AD$4,'Table Output'!$A$1:$BT$1,0),),'Control Panel'!AD4))</f>
        <v>0</v>
      </c>
      <c r="AE5" s="22">
        <f>IF($K5="","",IF('Control Panel'!AE4="",VLOOKUP($F5,'Table Output'!$A$2:$BW$99998,MATCH(AE$4,'Table Output'!$A$1:$BT$1,0),),'Control Panel'!AE4))</f>
        <v>0</v>
      </c>
      <c r="AF5" s="22">
        <f>IF($K5="","",IF('Control Panel'!AF4="",VLOOKUP($F5,'Table Output'!$A$2:$BW$99998,MATCH(AF$4,'Table Output'!$A$1:$BT$1,0),),'Control Panel'!AF4))</f>
        <v>1</v>
      </c>
      <c r="AG5" s="22">
        <f>IF($K5="","",IF('Control Panel'!AG4="",VLOOKUP($F5,'Table Output'!$A$2:$BW$99998,MATCH(AG$4,'Table Output'!$A$1:$BT$1,0),),'Control Panel'!AG4))</f>
        <v>1</v>
      </c>
      <c r="AH5" s="22">
        <f>IF($K5="","",IF('Control Panel'!AH4="",VLOOKUP($F5,'Table Output'!$A$2:$BW$99998,MATCH(AH$4,'Table Output'!$A$1:$BT$1,0),),'Control Panel'!AH4))</f>
        <v>1</v>
      </c>
      <c r="AI5" s="22">
        <f>IF($K5="","",IF('Control Panel'!AI4="",VLOOKUP($F5,'Table Output'!$A$2:$BW$99998,MATCH(AI$4,'Table Output'!$A$1:$BT$1,0),),'Control Panel'!AI4))</f>
        <v>0</v>
      </c>
      <c r="AJ5" s="22">
        <f>IF($K5="","",IF('Control Panel'!AJ4="",VLOOKUP($F5,'Table Output'!$A$2:$BW$99998,MATCH(AJ$4,'Table Output'!$A$1:$BT$1,0),),'Control Panel'!AJ4))</f>
        <v>1</v>
      </c>
      <c r="AK5" s="22">
        <f>IF($K5="","",IF('Control Panel'!AK4="",VLOOKUP($F5,'Table Output'!$A$2:$BW$99998,MATCH(AK$4,'Table Output'!$A$1:$BT$1,0),),'Control Panel'!AK4))</f>
        <v>1</v>
      </c>
      <c r="AL5" s="22">
        <f>IF($K5="","",IF('Control Panel'!AL4="",VLOOKUP($F5,'Table Output'!$A$2:$BW$99998,MATCH(AL$4,'Table Output'!$A$1:$BT$1,0),),'Control Panel'!AL4))</f>
        <v>1</v>
      </c>
      <c r="AN5" s="35">
        <f>K5</f>
        <v>1</v>
      </c>
      <c r="AO5" s="32">
        <f>IF(AO$4="","",IF($K5="","",IF('Control Panel'!AO4="",VLOOKUP($F5,'Table Output'!$A$2:$BW$99998,MATCH(AO$4,'Table Output'!$A$1:$BT$1,0),FALSE),'Control Panel'!AO4)))</f>
        <v>1</v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D_10,D_200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11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154" t="s">
        <v>151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Cowden_Clay</v>
      </c>
      <c r="K38" s="5">
        <f>K5</f>
        <v>1</v>
      </c>
      <c r="L38" s="28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30</v>
      </c>
      <c r="M38" s="28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7.2110000000000003</v>
      </c>
      <c r="N38" s="28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-2.4</v>
      </c>
      <c r="O38" s="28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-1.5</v>
      </c>
      <c r="P38" s="28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>0.5</v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F45" s="2" t="str">
        <f t="shared" ref="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F46" s="2" t="str">
        <f t="shared" ref="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F47" s="2" t="str">
        <f t="shared" ref="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F48" s="2" t="str">
        <f t="shared" ref="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5:63" x14ac:dyDescent="0.15">
      <c r="F49" s="2" t="str">
        <f t="shared" ref="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5:63" x14ac:dyDescent="0.15">
      <c r="F50" s="2" t="str">
        <f t="shared" ref="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5:63" x14ac:dyDescent="0.15">
      <c r="F51" s="2" t="str">
        <f t="shared" ref="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5:63" x14ac:dyDescent="0.15">
      <c r="F52" s="2" t="str">
        <f t="shared" ref="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5:63" x14ac:dyDescent="0.15"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5:63" x14ac:dyDescent="0.15"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5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5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5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5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5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5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5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5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5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5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154" t="s">
        <v>175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>Cowden_Clay</v>
      </c>
      <c r="K73" s="5">
        <f>K38</f>
        <v>1</v>
      </c>
      <c r="L73" s="28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200</v>
      </c>
      <c r="M73" s="28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15.832000000000001</v>
      </c>
      <c r="N73" s="28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8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</v>
      </c>
      <c r="P73" s="28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>14.4</v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Sand_75</v>
      </c>
      <c r="K74" s="5">
        <f t="shared" ref="K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F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F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5" t="str">
        <f t="shared" ref="K90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44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45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45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67"/>
      <c r="B1" s="168"/>
      <c r="C1" s="63">
        <v>0</v>
      </c>
      <c r="D1" s="64">
        <v>1</v>
      </c>
      <c r="E1" s="65">
        <v>2</v>
      </c>
      <c r="F1" s="25"/>
      <c r="H1" s="167"/>
      <c r="I1" s="168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69"/>
      <c r="B2" s="170"/>
      <c r="C2" s="23" t="s">
        <v>75</v>
      </c>
      <c r="D2" s="62" t="s">
        <v>75</v>
      </c>
      <c r="E2" s="61" t="s">
        <v>75</v>
      </c>
      <c r="H2" s="169"/>
      <c r="I2" s="170"/>
      <c r="J2" s="23" t="s">
        <v>76</v>
      </c>
      <c r="K2" s="62" t="s">
        <v>76</v>
      </c>
      <c r="L2" s="61" t="s">
        <v>76</v>
      </c>
    </row>
    <row r="3" spans="1:13" x14ac:dyDescent="0.15">
      <c r="A3" s="171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71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172"/>
      <c r="B4" s="24" t="s">
        <v>134</v>
      </c>
      <c r="C4" s="54">
        <v>-5555</v>
      </c>
      <c r="D4" s="54">
        <v>30</v>
      </c>
      <c r="E4" s="55">
        <v>-5555</v>
      </c>
      <c r="H4" s="172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2"/>
      <c r="B5" s="24" t="s">
        <v>135</v>
      </c>
      <c r="C5" s="54">
        <v>-5555</v>
      </c>
      <c r="D5" s="56">
        <v>-5555</v>
      </c>
      <c r="E5" s="55">
        <v>-5555</v>
      </c>
      <c r="H5" s="172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2"/>
      <c r="B6" s="24" t="s">
        <v>136</v>
      </c>
      <c r="C6" s="54">
        <v>3</v>
      </c>
      <c r="D6" s="54">
        <v>-120</v>
      </c>
      <c r="E6" s="55">
        <v>7.2110000000000003</v>
      </c>
      <c r="H6" s="172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172"/>
      <c r="B7" s="24" t="s">
        <v>84</v>
      </c>
      <c r="C7" s="54">
        <v>-5555</v>
      </c>
      <c r="D7" s="54">
        <v>1</v>
      </c>
      <c r="E7" s="55">
        <v>-11.798</v>
      </c>
      <c r="H7" s="172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172"/>
      <c r="B8" s="24" t="s">
        <v>86</v>
      </c>
      <c r="C8" s="54">
        <v>-5555</v>
      </c>
      <c r="D8" s="56">
        <v>-5555</v>
      </c>
      <c r="E8" s="55">
        <v>-2.44</v>
      </c>
      <c r="H8" s="172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2"/>
      <c r="B9" s="24" t="s">
        <v>85</v>
      </c>
      <c r="C9" s="54">
        <v>0.1</v>
      </c>
      <c r="D9" s="54">
        <v>-35</v>
      </c>
      <c r="E9" s="55">
        <v>-5555</v>
      </c>
      <c r="H9" s="172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172"/>
      <c r="B10" s="24" t="s">
        <v>137</v>
      </c>
      <c r="C10" s="54">
        <v>-5555</v>
      </c>
      <c r="D10" s="54">
        <v>0.2</v>
      </c>
      <c r="E10" s="55">
        <v>-5555</v>
      </c>
      <c r="H10" s="172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172"/>
      <c r="B11" s="24" t="s">
        <v>138</v>
      </c>
      <c r="C11" s="54">
        <v>-5555</v>
      </c>
      <c r="D11" s="56">
        <v>-5555</v>
      </c>
      <c r="E11" s="55">
        <v>-5555</v>
      </c>
      <c r="H11" s="172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2"/>
      <c r="B12" s="24" t="s">
        <v>139</v>
      </c>
      <c r="C12" s="54">
        <v>0</v>
      </c>
      <c r="D12" s="54">
        <v>-1.5</v>
      </c>
      <c r="E12" s="55">
        <v>-5555</v>
      </c>
      <c r="H12" s="172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2"/>
      <c r="B13" s="24" t="s">
        <v>140</v>
      </c>
      <c r="C13" s="54">
        <v>-5555</v>
      </c>
      <c r="D13" s="54">
        <v>0</v>
      </c>
      <c r="E13" s="55">
        <v>-5555</v>
      </c>
      <c r="H13" s="172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3"/>
      <c r="B14" s="57" t="s">
        <v>141</v>
      </c>
      <c r="C14" s="58">
        <v>-5555</v>
      </c>
      <c r="D14" s="59">
        <v>-5555</v>
      </c>
      <c r="E14" s="60">
        <v>-5555</v>
      </c>
      <c r="H14" s="173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4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4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75"/>
      <c r="B16" s="24" t="s">
        <v>142</v>
      </c>
      <c r="C16" s="54">
        <v>-5555</v>
      </c>
      <c r="D16" s="54">
        <v>5</v>
      </c>
      <c r="E16" s="55">
        <v>-5555</v>
      </c>
      <c r="H16" s="175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75"/>
      <c r="B17" s="24" t="s">
        <v>89</v>
      </c>
      <c r="C17" s="54">
        <v>-5555</v>
      </c>
      <c r="D17" s="56">
        <v>-5555</v>
      </c>
      <c r="E17" s="55">
        <v>-5555</v>
      </c>
      <c r="H17" s="175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75"/>
      <c r="B18" s="24" t="s">
        <v>143</v>
      </c>
      <c r="C18" s="54">
        <v>0.02</v>
      </c>
      <c r="D18" s="54">
        <v>-0.1</v>
      </c>
      <c r="E18" s="55">
        <v>-5555</v>
      </c>
      <c r="H18" s="175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75"/>
      <c r="B19" s="24" t="s">
        <v>144</v>
      </c>
      <c r="C19" s="54">
        <v>-5555</v>
      </c>
      <c r="D19" s="54">
        <v>0.1</v>
      </c>
      <c r="E19" s="55">
        <v>-5555</v>
      </c>
      <c r="H19" s="175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75"/>
      <c r="B20" s="24" t="s">
        <v>145</v>
      </c>
      <c r="C20" s="54">
        <v>-5555</v>
      </c>
      <c r="D20" s="56">
        <v>-5555</v>
      </c>
      <c r="E20" s="55">
        <v>-5555</v>
      </c>
      <c r="H20" s="175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75"/>
      <c r="B21" s="24" t="s">
        <v>146</v>
      </c>
      <c r="C21" s="54">
        <v>0.01</v>
      </c>
      <c r="D21" s="54">
        <v>-0.2</v>
      </c>
      <c r="E21" s="55">
        <v>-5555</v>
      </c>
      <c r="H21" s="175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75"/>
      <c r="B22" s="24" t="s">
        <v>147</v>
      </c>
      <c r="C22" s="54">
        <v>-5555</v>
      </c>
      <c r="D22" s="54">
        <v>0.01</v>
      </c>
      <c r="E22" s="55">
        <v>-5555</v>
      </c>
      <c r="H22" s="175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75"/>
      <c r="B23" s="24" t="s">
        <v>148</v>
      </c>
      <c r="C23" s="54">
        <v>-5555</v>
      </c>
      <c r="D23" s="56">
        <v>-5555</v>
      </c>
      <c r="E23" s="55">
        <v>-5555</v>
      </c>
      <c r="H23" s="175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75"/>
      <c r="B24" s="24" t="s">
        <v>149</v>
      </c>
      <c r="C24" s="54">
        <v>0</v>
      </c>
      <c r="D24" s="54">
        <v>0</v>
      </c>
      <c r="E24" s="55">
        <v>-5555</v>
      </c>
      <c r="H24" s="175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75"/>
      <c r="B25" s="24" t="s">
        <v>150</v>
      </c>
      <c r="C25" s="54">
        <v>-5555</v>
      </c>
      <c r="D25" s="54">
        <v>0</v>
      </c>
      <c r="E25" s="55">
        <v>-5555</v>
      </c>
      <c r="H25" s="175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76"/>
      <c r="B26" s="57" t="s">
        <v>152</v>
      </c>
      <c r="C26" s="58">
        <v>-5555</v>
      </c>
      <c r="D26" s="59">
        <v>-5555</v>
      </c>
      <c r="E26" s="60">
        <v>-5555</v>
      </c>
      <c r="H26" s="176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71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71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2"/>
      <c r="B28" s="24" t="s">
        <v>153</v>
      </c>
      <c r="C28" s="54">
        <v>-5555</v>
      </c>
      <c r="D28" s="54">
        <v>0</v>
      </c>
      <c r="E28" s="55">
        <v>-5555</v>
      </c>
      <c r="H28" s="172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172"/>
      <c r="B29" s="24" t="s">
        <v>154</v>
      </c>
      <c r="C29" s="54">
        <v>-5555</v>
      </c>
      <c r="D29" s="56">
        <v>-5555</v>
      </c>
      <c r="E29" s="55">
        <v>-5555</v>
      </c>
      <c r="H29" s="172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2"/>
      <c r="B30" s="24" t="s">
        <v>155</v>
      </c>
      <c r="C30" s="54">
        <v>0.02</v>
      </c>
      <c r="D30" s="54">
        <v>-0.5</v>
      </c>
      <c r="E30" s="55">
        <v>-5555</v>
      </c>
      <c r="H30" s="172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2"/>
      <c r="B31" s="24" t="s">
        <v>156</v>
      </c>
      <c r="C31" s="54">
        <v>-5555</v>
      </c>
      <c r="D31" s="54">
        <v>0.3</v>
      </c>
      <c r="E31" s="55">
        <v>-5555</v>
      </c>
      <c r="H31" s="172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172"/>
      <c r="B32" s="24" t="s">
        <v>157</v>
      </c>
      <c r="C32" s="54">
        <v>-5555</v>
      </c>
      <c r="D32" s="56">
        <v>-5555</v>
      </c>
      <c r="E32" s="55">
        <v>-5555</v>
      </c>
      <c r="H32" s="172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2"/>
      <c r="B33" s="24" t="s">
        <v>158</v>
      </c>
      <c r="C33" s="54">
        <v>1E-3</v>
      </c>
      <c r="D33" s="54">
        <v>-1.5</v>
      </c>
      <c r="E33" s="55">
        <v>-5555</v>
      </c>
      <c r="H33" s="172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2"/>
      <c r="B34" s="24" t="s">
        <v>159</v>
      </c>
      <c r="C34" s="54">
        <v>-5555</v>
      </c>
      <c r="D34" s="54">
        <v>-0.05</v>
      </c>
      <c r="E34" s="55">
        <v>-5555</v>
      </c>
      <c r="H34" s="172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172"/>
      <c r="B35" s="24" t="s">
        <v>160</v>
      </c>
      <c r="C35" s="54">
        <v>-5555</v>
      </c>
      <c r="D35" s="56">
        <v>-5555</v>
      </c>
      <c r="E35" s="55">
        <v>-5555</v>
      </c>
      <c r="H35" s="172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2"/>
      <c r="B36" s="24" t="s">
        <v>161</v>
      </c>
      <c r="C36" s="54">
        <v>0</v>
      </c>
      <c r="D36" s="54">
        <v>-0.3</v>
      </c>
      <c r="E36" s="55">
        <v>-5555</v>
      </c>
      <c r="H36" s="172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2"/>
      <c r="B37" s="24" t="s">
        <v>162</v>
      </c>
      <c r="C37" s="54">
        <v>-5555</v>
      </c>
      <c r="D37" s="54">
        <v>0</v>
      </c>
      <c r="E37" s="55">
        <v>-5555</v>
      </c>
      <c r="H37" s="172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3"/>
      <c r="B38" s="57" t="s">
        <v>163</v>
      </c>
      <c r="C38" s="58">
        <v>-5555</v>
      </c>
      <c r="D38" s="59">
        <v>-5555</v>
      </c>
      <c r="E38" s="60">
        <v>-5555</v>
      </c>
      <c r="H38" s="173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75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75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75"/>
      <c r="B40" s="24" t="s">
        <v>165</v>
      </c>
      <c r="C40" s="54">
        <v>-5555</v>
      </c>
      <c r="D40" s="54">
        <v>-1000</v>
      </c>
      <c r="E40" s="55">
        <v>-5555</v>
      </c>
      <c r="H40" s="175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75"/>
      <c r="B41" s="24" t="s">
        <v>166</v>
      </c>
      <c r="C41" s="54">
        <v>-5555</v>
      </c>
      <c r="D41" s="56">
        <v>-5555</v>
      </c>
      <c r="E41" s="55">
        <v>-5555</v>
      </c>
      <c r="H41" s="175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75"/>
      <c r="B42" s="24" t="s">
        <v>167</v>
      </c>
      <c r="C42" s="54">
        <v>1E-3</v>
      </c>
      <c r="D42" s="54">
        <v>-0.5</v>
      </c>
      <c r="E42" s="55">
        <v>-5555</v>
      </c>
      <c r="H42" s="175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75"/>
      <c r="B43" s="24" t="s">
        <v>168</v>
      </c>
      <c r="C43" s="54">
        <v>-5555</v>
      </c>
      <c r="D43" s="54">
        <v>1E-3</v>
      </c>
      <c r="E43" s="55">
        <v>-5555</v>
      </c>
      <c r="H43" s="175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75"/>
      <c r="B44" s="24" t="s">
        <v>169</v>
      </c>
      <c r="C44" s="54">
        <v>-5555</v>
      </c>
      <c r="D44" s="56">
        <v>-5555</v>
      </c>
      <c r="E44" s="55">
        <v>-5555</v>
      </c>
      <c r="H44" s="175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75"/>
      <c r="B45" s="24" t="s">
        <v>88</v>
      </c>
      <c r="C45" s="54">
        <v>1E-4</v>
      </c>
      <c r="D45" s="54">
        <v>0</v>
      </c>
      <c r="E45" s="55">
        <v>-5555</v>
      </c>
      <c r="H45" s="175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75"/>
      <c r="B46" s="24" t="s">
        <v>170</v>
      </c>
      <c r="C46" s="54">
        <v>-5555</v>
      </c>
      <c r="D46" s="54">
        <v>-0.03</v>
      </c>
      <c r="E46" s="55">
        <v>-5555</v>
      </c>
      <c r="H46" s="175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75"/>
      <c r="B47" s="24" t="s">
        <v>171</v>
      </c>
      <c r="C47" s="54">
        <v>-5555</v>
      </c>
      <c r="D47" s="56">
        <v>-5555</v>
      </c>
      <c r="E47" s="55">
        <v>-5555</v>
      </c>
      <c r="H47" s="175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75"/>
      <c r="B48" s="24" t="s">
        <v>172</v>
      </c>
      <c r="C48" s="54">
        <v>0</v>
      </c>
      <c r="D48" s="54">
        <v>-0.5</v>
      </c>
      <c r="E48" s="55">
        <v>-5555</v>
      </c>
      <c r="H48" s="175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75"/>
      <c r="B49" s="24" t="s">
        <v>173</v>
      </c>
      <c r="C49" s="54">
        <v>-5555</v>
      </c>
      <c r="D49" s="54">
        <v>-0.5</v>
      </c>
      <c r="E49" s="55">
        <v>-5555</v>
      </c>
      <c r="H49" s="175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76"/>
      <c r="B50" s="57" t="s">
        <v>174</v>
      </c>
      <c r="C50" s="58">
        <v>-5555</v>
      </c>
      <c r="D50" s="59">
        <v>-5555</v>
      </c>
      <c r="E50" s="60">
        <v>-5555</v>
      </c>
      <c r="H50" s="176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67"/>
      <c r="B1" s="168"/>
      <c r="C1" s="63">
        <v>0</v>
      </c>
      <c r="D1" s="64">
        <v>1</v>
      </c>
      <c r="E1" s="65">
        <v>2</v>
      </c>
      <c r="F1" s="25"/>
      <c r="H1" s="167"/>
      <c r="I1" s="168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69"/>
      <c r="B2" s="170"/>
      <c r="C2" s="23" t="s">
        <v>75</v>
      </c>
      <c r="D2" s="62" t="s">
        <v>75</v>
      </c>
      <c r="E2" s="61" t="s">
        <v>75</v>
      </c>
      <c r="H2" s="169"/>
      <c r="I2" s="170"/>
      <c r="J2" s="23" t="s">
        <v>76</v>
      </c>
      <c r="K2" s="62" t="s">
        <v>76</v>
      </c>
      <c r="L2" s="61" t="s">
        <v>76</v>
      </c>
    </row>
    <row r="3" spans="1:13" x14ac:dyDescent="0.15">
      <c r="A3" s="171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71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172"/>
      <c r="B4" s="24" t="s">
        <v>134</v>
      </c>
      <c r="C4" s="54">
        <v>-5555</v>
      </c>
      <c r="D4" s="54">
        <v>30</v>
      </c>
      <c r="E4" s="55">
        <v>-5555</v>
      </c>
      <c r="H4" s="172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2"/>
      <c r="B5" s="24" t="s">
        <v>135</v>
      </c>
      <c r="C5" s="54">
        <v>-5555</v>
      </c>
      <c r="D5" s="56">
        <v>-5555</v>
      </c>
      <c r="E5" s="55">
        <v>-5555</v>
      </c>
      <c r="H5" s="172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2"/>
      <c r="B6" s="24" t="s">
        <v>136</v>
      </c>
      <c r="C6" s="54">
        <v>3</v>
      </c>
      <c r="D6" s="54">
        <v>0</v>
      </c>
      <c r="E6" s="55">
        <v>7.2110000000000003</v>
      </c>
      <c r="H6" s="172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172"/>
      <c r="B7" s="24" t="s">
        <v>84</v>
      </c>
      <c r="C7" s="54">
        <v>-5555</v>
      </c>
      <c r="D7" s="54">
        <v>3</v>
      </c>
      <c r="E7" s="55">
        <v>-11.798</v>
      </c>
      <c r="H7" s="172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172"/>
      <c r="B8" s="24" t="s">
        <v>86</v>
      </c>
      <c r="C8" s="54">
        <v>-5555</v>
      </c>
      <c r="D8" s="56">
        <v>-5555</v>
      </c>
      <c r="E8" s="55">
        <v>-2.44</v>
      </c>
      <c r="H8" s="172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2"/>
      <c r="B9" s="24" t="s">
        <v>85</v>
      </c>
      <c r="C9" s="54">
        <v>0.1</v>
      </c>
      <c r="D9" s="54">
        <v>-2.4</v>
      </c>
      <c r="E9" s="55">
        <v>-5555</v>
      </c>
      <c r="H9" s="172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172"/>
      <c r="B10" s="24" t="s">
        <v>137</v>
      </c>
      <c r="C10" s="54">
        <v>-5555</v>
      </c>
      <c r="D10" s="54">
        <v>0.5</v>
      </c>
      <c r="E10" s="55">
        <v>-5555</v>
      </c>
      <c r="H10" s="172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172"/>
      <c r="B11" s="24" t="s">
        <v>138</v>
      </c>
      <c r="C11" s="54">
        <v>-5555</v>
      </c>
      <c r="D11" s="56">
        <v>-5555</v>
      </c>
      <c r="E11" s="55">
        <v>-5555</v>
      </c>
      <c r="H11" s="172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2"/>
      <c r="B12" s="24" t="s">
        <v>139</v>
      </c>
      <c r="C12" s="54">
        <v>0</v>
      </c>
      <c r="D12" s="54">
        <v>-1.5</v>
      </c>
      <c r="E12" s="55">
        <v>-5555</v>
      </c>
      <c r="H12" s="172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2"/>
      <c r="B13" s="24" t="s">
        <v>140</v>
      </c>
      <c r="C13" s="54">
        <v>-5555</v>
      </c>
      <c r="D13" s="54">
        <v>0</v>
      </c>
      <c r="E13" s="55">
        <v>-5555</v>
      </c>
      <c r="H13" s="172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3"/>
      <c r="B14" s="57" t="s">
        <v>141</v>
      </c>
      <c r="C14" s="58">
        <v>-5555</v>
      </c>
      <c r="D14" s="59">
        <v>-5555</v>
      </c>
      <c r="E14" s="60">
        <v>-5555</v>
      </c>
      <c r="H14" s="173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4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4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75"/>
      <c r="B16" s="24" t="s">
        <v>142</v>
      </c>
      <c r="C16" s="54">
        <v>-5555</v>
      </c>
      <c r="D16" s="54">
        <v>5</v>
      </c>
      <c r="E16" s="55">
        <v>-5555</v>
      </c>
      <c r="H16" s="175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75"/>
      <c r="B17" s="24" t="s">
        <v>89</v>
      </c>
      <c r="C17" s="54">
        <v>-5555</v>
      </c>
      <c r="D17" s="56">
        <v>-5555</v>
      </c>
      <c r="E17" s="55">
        <v>-5555</v>
      </c>
      <c r="H17" s="175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75"/>
      <c r="B18" s="24" t="s">
        <v>143</v>
      </c>
      <c r="C18" s="54">
        <v>0.02</v>
      </c>
      <c r="D18" s="54">
        <v>-0.1</v>
      </c>
      <c r="E18" s="55">
        <v>-5555</v>
      </c>
      <c r="H18" s="175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75"/>
      <c r="B19" s="24" t="s">
        <v>144</v>
      </c>
      <c r="C19" s="54">
        <v>-5555</v>
      </c>
      <c r="D19" s="54">
        <v>0.1</v>
      </c>
      <c r="E19" s="55">
        <v>-5555</v>
      </c>
      <c r="H19" s="175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75"/>
      <c r="B20" s="24" t="s">
        <v>145</v>
      </c>
      <c r="C20" s="54">
        <v>-5555</v>
      </c>
      <c r="D20" s="56">
        <v>-5555</v>
      </c>
      <c r="E20" s="55">
        <v>-5555</v>
      </c>
      <c r="H20" s="175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75"/>
      <c r="B21" s="24" t="s">
        <v>146</v>
      </c>
      <c r="C21" s="54">
        <v>0.01</v>
      </c>
      <c r="D21" s="54">
        <v>-0.2</v>
      </c>
      <c r="E21" s="55">
        <v>-5555</v>
      </c>
      <c r="H21" s="175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75"/>
      <c r="B22" s="24" t="s">
        <v>147</v>
      </c>
      <c r="C22" s="54">
        <v>-5555</v>
      </c>
      <c r="D22" s="54">
        <v>0.01</v>
      </c>
      <c r="E22" s="55">
        <v>-5555</v>
      </c>
      <c r="H22" s="175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75"/>
      <c r="B23" s="24" t="s">
        <v>148</v>
      </c>
      <c r="C23" s="54">
        <v>-5555</v>
      </c>
      <c r="D23" s="56">
        <v>-5555</v>
      </c>
      <c r="E23" s="55">
        <v>-5555</v>
      </c>
      <c r="H23" s="175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75"/>
      <c r="B24" s="24" t="s">
        <v>149</v>
      </c>
      <c r="C24" s="54">
        <v>0</v>
      </c>
      <c r="D24" s="54">
        <v>0</v>
      </c>
      <c r="E24" s="55">
        <v>-5555</v>
      </c>
      <c r="H24" s="175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75"/>
      <c r="B25" s="24" t="s">
        <v>150</v>
      </c>
      <c r="C25" s="54">
        <v>-5555</v>
      </c>
      <c r="D25" s="54">
        <v>0</v>
      </c>
      <c r="E25" s="55">
        <v>-5555</v>
      </c>
      <c r="H25" s="175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76"/>
      <c r="B26" s="57" t="s">
        <v>152</v>
      </c>
      <c r="C26" s="58">
        <v>-5555</v>
      </c>
      <c r="D26" s="59">
        <v>-5555</v>
      </c>
      <c r="E26" s="60">
        <v>-5555</v>
      </c>
      <c r="H26" s="176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71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71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2"/>
      <c r="B28" s="24" t="s">
        <v>153</v>
      </c>
      <c r="C28" s="54">
        <v>-5555</v>
      </c>
      <c r="D28" s="54">
        <v>0</v>
      </c>
      <c r="E28" s="55">
        <v>-5555</v>
      </c>
      <c r="H28" s="172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172"/>
      <c r="B29" s="24" t="s">
        <v>154</v>
      </c>
      <c r="C29" s="54">
        <v>-5555</v>
      </c>
      <c r="D29" s="56">
        <v>-5555</v>
      </c>
      <c r="E29" s="55">
        <v>-5555</v>
      </c>
      <c r="H29" s="172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2"/>
      <c r="B30" s="24" t="s">
        <v>155</v>
      </c>
      <c r="C30" s="54">
        <v>0.02</v>
      </c>
      <c r="D30" s="54">
        <v>0</v>
      </c>
      <c r="E30" s="55">
        <v>-5555</v>
      </c>
      <c r="H30" s="172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2"/>
      <c r="B31" s="24" t="s">
        <v>156</v>
      </c>
      <c r="C31" s="54">
        <v>-5555</v>
      </c>
      <c r="D31" s="54">
        <v>0.3</v>
      </c>
      <c r="E31" s="55">
        <v>-5555</v>
      </c>
      <c r="H31" s="172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172"/>
      <c r="B32" s="24" t="s">
        <v>157</v>
      </c>
      <c r="C32" s="54">
        <v>-5555</v>
      </c>
      <c r="D32" s="56">
        <v>-5555</v>
      </c>
      <c r="E32" s="55">
        <v>-5555</v>
      </c>
      <c r="H32" s="172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2"/>
      <c r="B33" s="24" t="s">
        <v>158</v>
      </c>
      <c r="C33" s="54">
        <v>1E-3</v>
      </c>
      <c r="D33" s="54">
        <v>-1.5</v>
      </c>
      <c r="E33" s="55">
        <v>-5555</v>
      </c>
      <c r="H33" s="172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2"/>
      <c r="B34" s="24" t="s">
        <v>159</v>
      </c>
      <c r="C34" s="54">
        <v>-5555</v>
      </c>
      <c r="D34" s="54">
        <v>-0.05</v>
      </c>
      <c r="E34" s="55">
        <v>-5555</v>
      </c>
      <c r="H34" s="172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172"/>
      <c r="B35" s="24" t="s">
        <v>160</v>
      </c>
      <c r="C35" s="54">
        <v>-5555</v>
      </c>
      <c r="D35" s="56">
        <v>-5555</v>
      </c>
      <c r="E35" s="55">
        <v>-5555</v>
      </c>
      <c r="H35" s="172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2"/>
      <c r="B36" s="24" t="s">
        <v>161</v>
      </c>
      <c r="C36" s="54">
        <v>0</v>
      </c>
      <c r="D36" s="54">
        <v>-0.3</v>
      </c>
      <c r="E36" s="55">
        <v>-5555</v>
      </c>
      <c r="H36" s="172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2"/>
      <c r="B37" s="24" t="s">
        <v>162</v>
      </c>
      <c r="C37" s="54">
        <v>-5555</v>
      </c>
      <c r="D37" s="54">
        <v>0</v>
      </c>
      <c r="E37" s="55">
        <v>-5555</v>
      </c>
      <c r="H37" s="172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3"/>
      <c r="B38" s="57" t="s">
        <v>163</v>
      </c>
      <c r="C38" s="58">
        <v>-5555</v>
      </c>
      <c r="D38" s="59">
        <v>-5555</v>
      </c>
      <c r="E38" s="60">
        <v>-5555</v>
      </c>
      <c r="H38" s="173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75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75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75"/>
      <c r="B40" s="24" t="s">
        <v>165</v>
      </c>
      <c r="C40" s="54">
        <v>-5555</v>
      </c>
      <c r="D40" s="54">
        <v>-1000</v>
      </c>
      <c r="E40" s="55">
        <v>-5555</v>
      </c>
      <c r="H40" s="175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75"/>
      <c r="B41" s="24" t="s">
        <v>166</v>
      </c>
      <c r="C41" s="54">
        <v>-5555</v>
      </c>
      <c r="D41" s="56">
        <v>-5555</v>
      </c>
      <c r="E41" s="55">
        <v>-5555</v>
      </c>
      <c r="H41" s="175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75"/>
      <c r="B42" s="24" t="s">
        <v>167</v>
      </c>
      <c r="C42" s="54">
        <v>1E-3</v>
      </c>
      <c r="D42" s="54">
        <v>-0.05</v>
      </c>
      <c r="E42" s="55">
        <v>-5555</v>
      </c>
      <c r="H42" s="175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75"/>
      <c r="B43" s="24" t="s">
        <v>168</v>
      </c>
      <c r="C43" s="54">
        <v>-5555</v>
      </c>
      <c r="D43" s="54">
        <v>1E-3</v>
      </c>
      <c r="E43" s="55">
        <v>-5555</v>
      </c>
      <c r="H43" s="175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75"/>
      <c r="B44" s="24" t="s">
        <v>169</v>
      </c>
      <c r="C44" s="54">
        <v>-5555</v>
      </c>
      <c r="D44" s="56">
        <v>-5555</v>
      </c>
      <c r="E44" s="55">
        <v>-5555</v>
      </c>
      <c r="H44" s="175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75"/>
      <c r="B45" s="24" t="s">
        <v>88</v>
      </c>
      <c r="C45" s="54">
        <v>1E-4</v>
      </c>
      <c r="D45" s="54">
        <v>0</v>
      </c>
      <c r="E45" s="55">
        <v>-5555</v>
      </c>
      <c r="H45" s="175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75"/>
      <c r="B46" s="24" t="s">
        <v>170</v>
      </c>
      <c r="C46" s="54">
        <v>-5555</v>
      </c>
      <c r="D46" s="54">
        <v>-0.03</v>
      </c>
      <c r="E46" s="55">
        <v>-5555</v>
      </c>
      <c r="H46" s="175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75"/>
      <c r="B47" s="24" t="s">
        <v>171</v>
      </c>
      <c r="C47" s="54">
        <v>-5555</v>
      </c>
      <c r="D47" s="56">
        <v>-5555</v>
      </c>
      <c r="E47" s="55">
        <v>-5555</v>
      </c>
      <c r="H47" s="175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75"/>
      <c r="B48" s="24" t="s">
        <v>172</v>
      </c>
      <c r="C48" s="54">
        <v>0</v>
      </c>
      <c r="D48" s="54">
        <v>-0.5</v>
      </c>
      <c r="E48" s="55">
        <v>-5555</v>
      </c>
      <c r="H48" s="175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75"/>
      <c r="B49" s="24" t="s">
        <v>173</v>
      </c>
      <c r="C49" s="54">
        <v>-5555</v>
      </c>
      <c r="D49" s="54">
        <v>-0.5</v>
      </c>
      <c r="E49" s="55">
        <v>-5555</v>
      </c>
      <c r="H49" s="175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76"/>
      <c r="B50" s="57" t="s">
        <v>174</v>
      </c>
      <c r="C50" s="58">
        <v>-5555</v>
      </c>
      <c r="D50" s="59">
        <v>-5555</v>
      </c>
      <c r="E50" s="60">
        <v>-5555</v>
      </c>
      <c r="H50" s="176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2022-01-21T13:52:46Z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