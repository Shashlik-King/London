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_branch\COPCATPlaxis\excel\"/>
    </mc:Choice>
  </mc:AlternateContent>
  <xr:revisionPtr revIDLastSave="0" documentId="13_ncr:1_{2D3346E5-0078-46E7-B16B-EBC686419483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Switch_options_hidden" sheetId="227" r:id="rId6"/>
    <sheet name="Loc_69L_old" sheetId="226" r:id="rId7"/>
    <sheet name="BoundParameters_HiddenSheetSAND" sheetId="133" state="hidden" r:id="rId8"/>
    <sheet name="BoundParameters_HiddenSheetCLAY" sheetId="128" state="hidden" r:id="rId9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I4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<sst xmlns="http://schemas.openxmlformats.org/spreadsheetml/2006/main" count="1247" uniqueCount="440">
  <si>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</si>
  <si>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</si>
  <si>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</si>
  <si>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</si>
  <si>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</si>
  <si>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</si>
  <si>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</si>
  <si>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</si>
  <si>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</si>
  <si>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</si>
  <si>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</si>
  <si>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</si>
  <si>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</si>
  <si>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</si>
  <si>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</si>
  <si>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</si>
  <si>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</si>
  <si>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</si>
  <si>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</si>
  <si>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</si>
  <si>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</si>
  <si>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</si>
  <si>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</si>
  <si>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</si>
  <si>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</si>
  <si>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</si>
  <si>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</si>
  <si>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</si>
  <si>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</si>
  <si>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</si>
  <si>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</si>
  <si>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</si>
  <si>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</si>
  <si>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</si>
  <si>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</si>
  <si>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</si>
  <si>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</si>
  <si>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</si>
  <si>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</si>
  <si>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</si>
  <si>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</si>
  <si>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</si>
  <si>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</si>
  <si>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</si>
  <si>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</si>
  <si>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</si>
  <si>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</si>
  <si>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</si>
  <si>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</si>
  <si>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</si>
  <si>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</si>
  <si>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</si>
  <si>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</si>
  <si>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</si>
  <si>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</si>
  <si>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</si>
  <si>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</si>
  <si>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</si>
  <si>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</si>
  <si>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</si>
  <si>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</si>
  <si>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</si>
  <si>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</si>
  <si>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</si>
  <si>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</si>
  <si>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</si>
  <si>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</si>
  <si>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</si>
  <si>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</si>
  <si>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</si>
  <si>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</si>
  <si>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</si>
  <si>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</si>
  <si>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</si>
  <si>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</si>
  <si>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</si>
  <si>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</si>
  <si>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</si>
  <si>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</si>
  <si>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</si>
  <si>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</si>
  <si>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</si>
  <si>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</si>
  <si>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</si>
  <si>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</si>
  <si>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</si>
  <si>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</si>
  <si>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</si>
  <si>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</si>
  <si>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</si>
  <si>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</si>
  <si>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</si>
  <si>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</si>
  <si>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</si>
  <si>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</si>
  <si>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</si>
  <si>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</si>
  <si>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</si>
  <si>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</si>
  <si>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</si>
  <si>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</si>
  <si>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</si>
  <si>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</si>
  <si>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</si>
  <si>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</si>
  <si>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</si>
  <si>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</si>
  <si>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</si>
  <si>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</si>
  <si>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</si>
  <si>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</si>
  <si>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</si>
  <si>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</si>
  <si>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</si>
  <si>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</si>
  <si>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</si>
  <si>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</si>
  <si>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</si>
  <si>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</si>
  <si>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</si>
  <si>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</si>
  <si>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</si>
  <si>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</si>
  <si>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</si>
  <si>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</si>
  <si>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</si>
  <si>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</si>
  <si>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</si>
  <si>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</si>
  <si>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</si>
  <si>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</si>
  <si>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</si>
  <si>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</si>
  <si>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</si>
  <si>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</si>
  <si>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</si>
  <si>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</si>
  <si>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</si>
  <si>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</si>
  <si>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</si>
  <si>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</si>
  <si>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</si>
  <si>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</si>
  <si>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</si>
  <si>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</si>
  <si>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</si>
  <si>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</si>
  <si>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</si>
  <si>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</si>
  <si>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</si>
  <si>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</si>
  <si>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</si>
  <si>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</si>
  <si>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</si>
  <si>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</si>
  <si>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</si>
  <si>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</si>
  <si>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</si>
  <si>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</si>
  <si>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</si>
  <si>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</si>
  <si>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</si>
  <si>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</si>
  <si>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</si>
  <si>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</si>
  <si>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</si>
  <si>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</si>
  <si>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</si>
  <si>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</si>
  <si>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</si>
  <si>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</si>
  <si>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</si>
  <si>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</si>
  <si>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</si>
  <si>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</si>
  <si>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</si>
  <si>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</si>
  <si>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</si>
  <si>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</si>
  <si>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</si>
  <si>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</si>
  <si>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</si>
  <si>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</si>
  <si>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</si>
  <si>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</si>
  <si>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</si>
  <si>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</si>
  <si>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</si>
  <si>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</si>
  <si>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</si>
  <si>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</si>
  <si>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</si>
  <si>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</si>
  <si>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</si>
  <si>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</si>
  <si>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</si>
  <si>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</si>
  <si>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</si>
  <si>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</si>
  <si>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</si>
  <si>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</si>
  <si>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</si>
  <si>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</si>
  <si>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</si>
  <si>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</si>
  <si>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</si>
  <si>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</si>
  <si>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</si>
  <si>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</si>
  <si>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</si>
  <si>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</si>
  <si>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</si>
  <si>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</si>
  <si>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</si>
  <si>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</si>
  <si>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</si>
  <si>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</si>
  <si>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</si>
  <si>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</si>
  <si>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</si>
  <si>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</si>
  <si>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</si>
  <si>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</si>
  <si>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</si>
  <si>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</si>
  <si>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</si>
  <si>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</si>
  <si>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</si>
  <si>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</si>
  <si>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</si>
  <si>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</si>
  <si>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</si>
  <si>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</si>
  <si>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</si>
  <si>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</si>
  <si>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</si>
  <si>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</si>
  <si>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</si>
  <si>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</si>
  <si>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</si>
  <si>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</si>
  <si>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</si>
  <si>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</si>
  <si>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</si>
  <si>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</si>
  <si>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</si>
  <si>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</si>
  <si>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</si>
  <si>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</si>
  <si>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</si>
  <si>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</si>
  <si>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</si>
  <si>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</si>
  <si>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</si>
  <si>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</si>
  <si>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</si>
  <si>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</si>
  <si>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</si>
  <si>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</si>
  <si>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</si>
  <si>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</si>
  <si>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</si>
  <si>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</si>
  <si>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</si>
  <si>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</si>
  <si>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</si>
  <si>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</si>
  <si>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</si>
  <si>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</si>
  <si>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</si>
  <si>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</si>
  <si>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</si>
  <si>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</si>
  <si>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</si>
  <si>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</si>
  <si>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</si>
  <si>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</si>
  <si>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</si>
  <si>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</si>
  <si>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</si>
  <si>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</si>
  <si>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</si>
  <si>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</si>
  <si>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</si>
  <si>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</si>
  <si>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</si>
  <si>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</si>
  <si>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</si>
  <si>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</si>
  <si>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</si>
  <si>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</si>
  <si>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</si>
  <si>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</si>
  <si>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</si>
  <si>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</si>
  <si>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</si>
  <si>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</si>
  <si>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</si>
  <si>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</si>
  <si>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</si>
  <si>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</si>
  <si>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</si>
  <si>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</si>
  <si>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</si>
  <si>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</si>
  <si>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</si>
  <si>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</si>
  <si>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</si>
  <si>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</si>
  <si>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</si>
  <si>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</si>
  <si>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</si>
  <si>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</si>
  <si>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</si>
  <si>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</si>
  <si>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</si>
  <si>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</si>
  <si>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</si>
  <si>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</si>
  <si>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</si>
  <si>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</si>
  <si>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</si>
  <si>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</si>
  <si>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</si>
  <si>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</si>
  <si>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</si>
  <si>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</si>
  <si>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</si>
  <si>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</si>
  <si>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</si>
  <si>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</si>
  <si>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</si>
  <si>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</si>
  <si>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</si>
  <si>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</si>
  <si>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</si>
  <si>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</si>
  <si>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</si>
  <si>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</si>
  <si>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</si>
  <si>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</si>
  <si>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</si>
  <si>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</si>
  <si>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</si>
  <si>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</si>
  <si>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</si>
  <si>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</si>
  <si>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</si>
  <si>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</si>
  <si>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</si>
  <si>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</si>
  <si>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</si>
  <si>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</si>
  <si>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</si>
  <si>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</si>
  <si>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</si>
  <si>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</si>
  <si>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</si>
  <si>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</si>
  <si>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</si>
  <si>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</si>
  <si>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</si>
  <si>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</si>
  <si>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</si>
  <si>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</si>
  <si>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</si>
  <si>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</si>
  <si>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</si>
  <si>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</si>
  <si>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</si>
  <si>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</si>
  <si>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</si>
  <si>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</si>
  <si>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</si>
  <si>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</si>
  <si>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</si>
  <si>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</si>
  <si>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</si>
  <si>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</si>
  <si>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</si>
  <si>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</si>
  <si>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</si>
  <si>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</si>
  <si>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</si>
  <si>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</si>
  <si>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</si>
  <si>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</si>
  <si>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</si>
  <si>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</si>
  <si>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</si>
  <si>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Loc_69L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</si>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</sst>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3"/>
    <tableColumn id="2" xr3:uid="{0352DEE9-A2F6-4B8A-8599-04C147D10F35}" uniqueName="2" name="project" queryTableFieldId="2" dataDxfId="2"/>
    <tableColumn id="3" xr3:uid="{BF6C5043-F72C-4AE8-9579-515A96C3E5DA}" uniqueName="3" name="rev" queryTableFieldId="3"/>
    <tableColumn id="4" xr3:uid="{555920D1-D4C3-4246-B1CC-654778957766}" uniqueName="4" name="notes" queryTableFieldId="4" dataDxfId="1"/>
    <tableColumn id="5" xr3:uid="{3C8B1387-C128-40BC-85BE-2A2258FF5090}" uniqueName="5" name="soil_type" queryTableFieldId="71" dataDxfId="0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C32" sqref="C32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246</v>
      </c>
      <c r="G3" s="83" t="s">
        <v>247</v>
      </c>
      <c r="H3" s="111" t="s">
        <v>421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84" t="s">
        <v>392</v>
      </c>
      <c r="F4" s="84" t="s">
        <v>253</v>
      </c>
      <c r="G4" s="85">
        <v>0</v>
      </c>
      <c r="H4" s="110" t="s">
        <v>422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360</v>
      </c>
      <c r="F5" s="84" t="s">
        <v>253</v>
      </c>
      <c r="G5" s="85">
        <v>1</v>
      </c>
      <c r="H5" s="110" t="s">
        <v>423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339</v>
      </c>
      <c r="F6" s="84" t="s">
        <v>253</v>
      </c>
      <c r="G6" s="85">
        <v>1</v>
      </c>
      <c r="H6" s="110" t="s">
        <v>424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218</v>
      </c>
      <c r="E7" s="84" t="s">
        <v>352</v>
      </c>
      <c r="F7" s="84" t="s">
        <v>253</v>
      </c>
      <c r="G7" s="85">
        <v>1</v>
      </c>
      <c r="H7" s="110" t="s">
        <v>425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364</v>
      </c>
      <c r="F8" s="84" t="s">
        <v>253</v>
      </c>
      <c r="G8" s="85">
        <v>1</v>
      </c>
      <c r="H8" s="110" t="s">
        <v>426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342</v>
      </c>
      <c r="F9" s="84" t="s">
        <v>253</v>
      </c>
      <c r="G9" s="85">
        <v>1</v>
      </c>
      <c r="H9" s="110" t="s">
        <v>427</v>
      </c>
      <c r="I9" s="80">
        <v>6</v>
      </c>
      <c r="P9" s="65"/>
      <c r="Q9" s="65"/>
      <c r="R9" s="65"/>
      <c r="S9" s="65"/>
      <c r="T9" s="2">
        <v>1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392</v>
      </c>
      <c r="F10" s="84" t="s">
        <v>253</v>
      </c>
      <c r="G10" s="85">
        <v>0</v>
      </c>
      <c r="H10" s="110" t="s">
        <v>428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389</v>
      </c>
      <c r="C11" s="125"/>
      <c r="E11" s="84" t="s">
        <v>366</v>
      </c>
      <c r="F11" s="84" t="s">
        <v>253</v>
      </c>
      <c r="G11" s="85">
        <v>1</v>
      </c>
      <c r="H11" s="110" t="s">
        <v>429</v>
      </c>
      <c r="I11" s="80">
        <v>8</v>
      </c>
      <c r="P11" s="65"/>
      <c r="Q11" s="65"/>
      <c r="R11" s="65"/>
      <c r="S11" s="65"/>
      <c r="T11" s="2">
        <v>1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199</v>
      </c>
      <c r="C12" s="4" t="s">
        <v>187</v>
      </c>
      <c r="E12" s="84" t="s">
        <v>366</v>
      </c>
      <c r="F12" s="84" t="s">
        <v>253</v>
      </c>
      <c r="G12" s="85">
        <v>1</v>
      </c>
      <c r="H12" s="110" t="s">
        <v>430</v>
      </c>
      <c r="I12" s="80">
        <v>9</v>
      </c>
      <c r="P12" s="65"/>
      <c r="Q12" s="65"/>
      <c r="R12" s="65"/>
      <c r="S12" s="65"/>
      <c r="T12" s="2">
        <v>1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200</v>
      </c>
      <c r="C13" s="10" t="s">
        <v>187</v>
      </c>
      <c r="E13" s="84" t="s">
        <v>366</v>
      </c>
      <c r="F13" s="84" t="s">
        <v>253</v>
      </c>
      <c r="G13" s="85">
        <v>1</v>
      </c>
      <c r="H13" s="110" t="s">
        <v>431</v>
      </c>
      <c r="I13" s="80">
        <v>10</v>
      </c>
      <c r="P13" s="65"/>
      <c r="Q13" s="65"/>
      <c r="R13" s="65"/>
      <c r="S13" s="65"/>
      <c r="T13" s="2">
        <v>1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201</v>
      </c>
      <c r="C14" s="18" t="s">
        <v>187</v>
      </c>
      <c r="E14" s="86" t="s">
        <v>392</v>
      </c>
      <c r="F14" s="84" t="s">
        <v>253</v>
      </c>
      <c r="G14" s="85">
        <v>0</v>
      </c>
      <c r="H14" s="110" t="s">
        <v>432</v>
      </c>
      <c r="I14" s="80">
        <v>11</v>
      </c>
      <c r="P14" s="65"/>
      <c r="Q14" s="65"/>
      <c r="R14" s="65"/>
      <c r="S14" s="65"/>
      <c r="T14" s="2">
        <v>1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1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390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205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206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391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399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420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419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393</v>
      </c>
      <c r="B1" t="s">
        <v>394</v>
      </c>
      <c r="C1" t="s">
        <v>248</v>
      </c>
    </row>
    <row r="2" spans="1:3" x14ac:dyDescent="0.25">
      <c r="A2" s="77" t="s">
        <v>395</v>
      </c>
      <c r="B2" s="77" t="s">
        <v>253</v>
      </c>
      <c r="C2">
        <v>0</v>
      </c>
    </row>
    <row r="3" spans="1:3" x14ac:dyDescent="0.25">
      <c r="A3" s="77" t="s">
        <v>396</v>
      </c>
      <c r="B3" s="77" t="s">
        <v>266</v>
      </c>
      <c r="C3">
        <v>1</v>
      </c>
    </row>
    <row r="4" spans="1:3" x14ac:dyDescent="0.25">
      <c r="A4" s="77" t="s">
        <v>392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397</v>
      </c>
      <c r="B68" s="77" t="s">
        <v>266</v>
      </c>
      <c r="C68">
        <v>1</v>
      </c>
    </row>
    <row r="69" spans="1:3" x14ac:dyDescent="0.25">
      <c r="A69" s="77" t="s">
        <v>422</v>
      </c>
      <c r="B69" s="77" t="s">
        <v>420</v>
      </c>
      <c r="C69">
        <v>10</v>
      </c>
    </row>
    <row r="70" spans="1:3" x14ac:dyDescent="0.25">
      <c r="A70" s="77" t="s">
        <v>422</v>
      </c>
      <c r="B70" s="77" t="s">
        <v>420</v>
      </c>
      <c r="C70">
        <v>11</v>
      </c>
    </row>
    <row r="71" spans="1:3" x14ac:dyDescent="0.25">
      <c r="A71" s="77" t="s">
        <v>428</v>
      </c>
      <c r="B71" s="77" t="s">
        <v>420</v>
      </c>
      <c r="C71">
        <v>10</v>
      </c>
    </row>
    <row r="72" spans="1:3" x14ac:dyDescent="0.25">
      <c r="A72" s="77" t="s">
        <v>428</v>
      </c>
      <c r="B72" s="77" t="s">
        <v>420</v>
      </c>
      <c r="C72">
        <v>11</v>
      </c>
    </row>
    <row r="73" spans="1:3" x14ac:dyDescent="0.25">
      <c r="A73" s="77" t="s">
        <v>429</v>
      </c>
      <c r="B73" s="77" t="s">
        <v>420</v>
      </c>
      <c r="C73">
        <v>10</v>
      </c>
    </row>
    <row r="74" spans="1:3" x14ac:dyDescent="0.25">
      <c r="A74" s="77" t="s">
        <v>429</v>
      </c>
      <c r="B74" s="77" t="s">
        <v>420</v>
      </c>
      <c r="C74">
        <v>11</v>
      </c>
    </row>
    <row r="75" spans="1:3" x14ac:dyDescent="0.25">
      <c r="A75" s="77" t="s">
        <v>423</v>
      </c>
      <c r="B75" s="77" t="s">
        <v>420</v>
      </c>
      <c r="C75">
        <v>10</v>
      </c>
    </row>
    <row r="76" spans="1:3" x14ac:dyDescent="0.25">
      <c r="A76" s="77" t="s">
        <v>423</v>
      </c>
      <c r="B76" s="77" t="s">
        <v>420</v>
      </c>
      <c r="C76">
        <v>11</v>
      </c>
    </row>
    <row r="77" spans="1:3" x14ac:dyDescent="0.25">
      <c r="A77" s="77" t="s">
        <v>424</v>
      </c>
      <c r="B77" s="77" t="s">
        <v>420</v>
      </c>
      <c r="C77">
        <v>10</v>
      </c>
    </row>
    <row r="78" spans="1:3" x14ac:dyDescent="0.25">
      <c r="A78" s="77" t="s">
        <v>424</v>
      </c>
      <c r="B78" s="77" t="s">
        <v>420</v>
      </c>
      <c r="C78">
        <v>11</v>
      </c>
    </row>
    <row r="79" spans="1:3" x14ac:dyDescent="0.25">
      <c r="A79" s="77" t="s">
        <v>425</v>
      </c>
      <c r="B79" s="77" t="s">
        <v>420</v>
      </c>
      <c r="C79">
        <v>10</v>
      </c>
    </row>
    <row r="80" spans="1:3" x14ac:dyDescent="0.25">
      <c r="A80" s="77" t="s">
        <v>425</v>
      </c>
      <c r="B80" s="77" t="s">
        <v>420</v>
      </c>
      <c r="C80">
        <v>11</v>
      </c>
    </row>
    <row r="81" spans="1:3" x14ac:dyDescent="0.25">
      <c r="A81" s="77" t="s">
        <v>426</v>
      </c>
      <c r="B81" s="77" t="s">
        <v>420</v>
      </c>
      <c r="C81">
        <v>10</v>
      </c>
    </row>
    <row r="82" spans="1:3" x14ac:dyDescent="0.25">
      <c r="A82" s="77" t="s">
        <v>426</v>
      </c>
      <c r="B82" s="77" t="s">
        <v>420</v>
      </c>
      <c r="C82">
        <v>11</v>
      </c>
    </row>
    <row r="83" spans="1:3" x14ac:dyDescent="0.25">
      <c r="A83" s="77" t="s">
        <v>427</v>
      </c>
      <c r="B83" s="77" t="s">
        <v>420</v>
      </c>
      <c r="C83">
        <v>10</v>
      </c>
    </row>
    <row r="84" spans="1:3" x14ac:dyDescent="0.25">
      <c r="A84" s="77" t="s">
        <v>427</v>
      </c>
      <c r="B84" s="77" t="s">
        <v>420</v>
      </c>
      <c r="C84">
        <v>11</v>
      </c>
    </row>
    <row r="85" spans="1:3" x14ac:dyDescent="0.25">
      <c r="A85" s="77" t="s">
        <v>284</v>
      </c>
      <c r="B85" s="77" t="s">
        <v>285</v>
      </c>
      <c r="C85">
        <v>0</v>
      </c>
    </row>
    <row r="86" spans="1:3" x14ac:dyDescent="0.25">
      <c r="A86" s="77" t="s">
        <v>286</v>
      </c>
      <c r="B86" s="77" t="s">
        <v>285</v>
      </c>
      <c r="C86">
        <v>0</v>
      </c>
    </row>
    <row r="87" spans="1:3" x14ac:dyDescent="0.25">
      <c r="A87" s="77" t="s">
        <v>196</v>
      </c>
      <c r="B87" s="77" t="s">
        <v>285</v>
      </c>
      <c r="C87">
        <v>0</v>
      </c>
    </row>
    <row r="88" spans="1:3" x14ac:dyDescent="0.25">
      <c r="A88" s="77" t="s">
        <v>194</v>
      </c>
      <c r="B88" s="77" t="s">
        <v>285</v>
      </c>
      <c r="C88">
        <v>0</v>
      </c>
    </row>
    <row r="89" spans="1:3" x14ac:dyDescent="0.25">
      <c r="A89" s="77" t="s">
        <v>287</v>
      </c>
      <c r="B89" s="77" t="s">
        <v>253</v>
      </c>
      <c r="C89">
        <v>1</v>
      </c>
    </row>
    <row r="90" spans="1:3" x14ac:dyDescent="0.25">
      <c r="A90" s="77" t="s">
        <v>288</v>
      </c>
      <c r="B90" s="77" t="s">
        <v>253</v>
      </c>
      <c r="C90">
        <v>1</v>
      </c>
    </row>
    <row r="91" spans="1:3" x14ac:dyDescent="0.25">
      <c r="A91" s="77" t="s">
        <v>289</v>
      </c>
      <c r="B91" s="77" t="s">
        <v>253</v>
      </c>
      <c r="C91">
        <v>1</v>
      </c>
    </row>
    <row r="92" spans="1:3" x14ac:dyDescent="0.25">
      <c r="A92" s="77" t="s">
        <v>290</v>
      </c>
      <c r="B92" s="77" t="s">
        <v>253</v>
      </c>
      <c r="C92">
        <v>1</v>
      </c>
    </row>
    <row r="93" spans="1:3" x14ac:dyDescent="0.25">
      <c r="A93" s="77" t="s">
        <v>291</v>
      </c>
      <c r="B93" s="77" t="s">
        <v>253</v>
      </c>
      <c r="C93">
        <v>1</v>
      </c>
    </row>
    <row r="94" spans="1:3" x14ac:dyDescent="0.25">
      <c r="A94" s="77" t="s">
        <v>292</v>
      </c>
      <c r="B94" s="77" t="s">
        <v>253</v>
      </c>
      <c r="C94">
        <v>1</v>
      </c>
    </row>
    <row r="95" spans="1:3" x14ac:dyDescent="0.25">
      <c r="A95" s="77" t="s">
        <v>293</v>
      </c>
      <c r="B95" s="77" t="s">
        <v>253</v>
      </c>
      <c r="C95">
        <v>1</v>
      </c>
    </row>
    <row r="96" spans="1:3" x14ac:dyDescent="0.25">
      <c r="A96" s="77" t="s">
        <v>294</v>
      </c>
      <c r="B96" s="77" t="s">
        <v>253</v>
      </c>
      <c r="C96">
        <v>1</v>
      </c>
    </row>
    <row r="97" spans="1:3" x14ac:dyDescent="0.25">
      <c r="A97" s="77" t="s">
        <v>295</v>
      </c>
      <c r="B97" s="77" t="s">
        <v>253</v>
      </c>
      <c r="C97">
        <v>1</v>
      </c>
    </row>
    <row r="98" spans="1:3" x14ac:dyDescent="0.25">
      <c r="A98" s="77" t="s">
        <v>296</v>
      </c>
      <c r="B98" s="77" t="s">
        <v>253</v>
      </c>
      <c r="C98">
        <v>1</v>
      </c>
    </row>
    <row r="99" spans="1:3" x14ac:dyDescent="0.25">
      <c r="A99" s="77" t="s">
        <v>297</v>
      </c>
      <c r="B99" s="77" t="s">
        <v>253</v>
      </c>
      <c r="C99">
        <v>1</v>
      </c>
    </row>
    <row r="100" spans="1:3" x14ac:dyDescent="0.25">
      <c r="A100" s="77" t="s">
        <v>298</v>
      </c>
      <c r="B100" s="77" t="s">
        <v>253</v>
      </c>
      <c r="C100">
        <v>1</v>
      </c>
    </row>
    <row r="101" spans="1:3" x14ac:dyDescent="0.25">
      <c r="A101" s="77" t="s">
        <v>299</v>
      </c>
      <c r="B101" s="77" t="s">
        <v>253</v>
      </c>
      <c r="C101">
        <v>1</v>
      </c>
    </row>
    <row r="102" spans="1:3" x14ac:dyDescent="0.25">
      <c r="A102" s="77" t="s">
        <v>300</v>
      </c>
      <c r="B102" s="77" t="s">
        <v>253</v>
      </c>
      <c r="C102">
        <v>1</v>
      </c>
    </row>
    <row r="103" spans="1:3" x14ac:dyDescent="0.25">
      <c r="A103" s="77" t="s">
        <v>301</v>
      </c>
      <c r="B103" s="77" t="s">
        <v>253</v>
      </c>
      <c r="C103">
        <v>1</v>
      </c>
    </row>
    <row r="104" spans="1:3" x14ac:dyDescent="0.25">
      <c r="A104" s="77" t="s">
        <v>302</v>
      </c>
      <c r="B104" s="77" t="s">
        <v>253</v>
      </c>
      <c r="C104">
        <v>1</v>
      </c>
    </row>
    <row r="105" spans="1:3" x14ac:dyDescent="0.25">
      <c r="A105" s="77" t="s">
        <v>303</v>
      </c>
      <c r="B105" s="77" t="s">
        <v>253</v>
      </c>
      <c r="C105">
        <v>1</v>
      </c>
    </row>
    <row r="106" spans="1:3" x14ac:dyDescent="0.25">
      <c r="A106" s="77" t="s">
        <v>304</v>
      </c>
      <c r="B106" s="77" t="s">
        <v>253</v>
      </c>
      <c r="C106">
        <v>1</v>
      </c>
    </row>
    <row r="107" spans="1:3" x14ac:dyDescent="0.25">
      <c r="A107" s="77" t="s">
        <v>305</v>
      </c>
      <c r="B107" s="77" t="s">
        <v>253</v>
      </c>
      <c r="C107">
        <v>1</v>
      </c>
    </row>
    <row r="108" spans="1:3" x14ac:dyDescent="0.25">
      <c r="A108" s="77" t="s">
        <v>306</v>
      </c>
      <c r="B108" s="77" t="s">
        <v>253</v>
      </c>
      <c r="C108">
        <v>1</v>
      </c>
    </row>
    <row r="109" spans="1:3" x14ac:dyDescent="0.25">
      <c r="A109" s="77" t="s">
        <v>307</v>
      </c>
      <c r="B109" s="77" t="s">
        <v>253</v>
      </c>
      <c r="C109">
        <v>1</v>
      </c>
    </row>
    <row r="110" spans="1:3" x14ac:dyDescent="0.25">
      <c r="A110" s="77" t="s">
        <v>308</v>
      </c>
      <c r="B110" s="77" t="s">
        <v>253</v>
      </c>
      <c r="C110">
        <v>1</v>
      </c>
    </row>
    <row r="111" spans="1:3" x14ac:dyDescent="0.25">
      <c r="A111" s="77" t="s">
        <v>309</v>
      </c>
      <c r="B111" s="77" t="s">
        <v>253</v>
      </c>
      <c r="C111">
        <v>1</v>
      </c>
    </row>
    <row r="112" spans="1:3" x14ac:dyDescent="0.25">
      <c r="A112" s="77" t="s">
        <v>310</v>
      </c>
      <c r="B112" s="77" t="s">
        <v>253</v>
      </c>
      <c r="C112">
        <v>1</v>
      </c>
    </row>
    <row r="113" spans="1:3" x14ac:dyDescent="0.25">
      <c r="A113" s="77" t="s">
        <v>311</v>
      </c>
      <c r="B113" s="77" t="s">
        <v>253</v>
      </c>
      <c r="C113">
        <v>1</v>
      </c>
    </row>
    <row r="114" spans="1:3" x14ac:dyDescent="0.25">
      <c r="A114" s="77" t="s">
        <v>312</v>
      </c>
      <c r="B114" s="77" t="s">
        <v>253</v>
      </c>
      <c r="C114">
        <v>1</v>
      </c>
    </row>
    <row r="115" spans="1:3" x14ac:dyDescent="0.25">
      <c r="A115" s="77" t="s">
        <v>313</v>
      </c>
      <c r="B115" s="77" t="s">
        <v>253</v>
      </c>
      <c r="C115">
        <v>1</v>
      </c>
    </row>
    <row r="116" spans="1:3" x14ac:dyDescent="0.25">
      <c r="A116" s="77" t="s">
        <v>314</v>
      </c>
      <c r="B116" s="77" t="s">
        <v>253</v>
      </c>
      <c r="C116">
        <v>1</v>
      </c>
    </row>
    <row r="117" spans="1:3" x14ac:dyDescent="0.25">
      <c r="A117" s="77" t="s">
        <v>315</v>
      </c>
      <c r="B117" s="77" t="s">
        <v>253</v>
      </c>
      <c r="C117">
        <v>1</v>
      </c>
    </row>
    <row r="118" spans="1:3" x14ac:dyDescent="0.25">
      <c r="A118" s="77" t="s">
        <v>316</v>
      </c>
      <c r="B118" s="77" t="s">
        <v>253</v>
      </c>
      <c r="C118">
        <v>1</v>
      </c>
    </row>
    <row r="119" spans="1:3" x14ac:dyDescent="0.25">
      <c r="A119" s="77" t="s">
        <v>317</v>
      </c>
      <c r="B119" s="77" t="s">
        <v>253</v>
      </c>
      <c r="C119">
        <v>1</v>
      </c>
    </row>
    <row r="120" spans="1:3" x14ac:dyDescent="0.25">
      <c r="A120" s="77" t="s">
        <v>318</v>
      </c>
      <c r="B120" s="77" t="s">
        <v>253</v>
      </c>
      <c r="C120">
        <v>1</v>
      </c>
    </row>
    <row r="121" spans="1:3" x14ac:dyDescent="0.25">
      <c r="A121" s="77" t="s">
        <v>319</v>
      </c>
      <c r="B121" s="77" t="s">
        <v>253</v>
      </c>
      <c r="C121">
        <v>1</v>
      </c>
    </row>
    <row r="122" spans="1:3" x14ac:dyDescent="0.25">
      <c r="A122" s="77" t="s">
        <v>320</v>
      </c>
      <c r="B122" s="77" t="s">
        <v>253</v>
      </c>
      <c r="C122">
        <v>1</v>
      </c>
    </row>
    <row r="123" spans="1:3" x14ac:dyDescent="0.25">
      <c r="A123" s="77" t="s">
        <v>321</v>
      </c>
      <c r="B123" s="77" t="s">
        <v>253</v>
      </c>
      <c r="C123">
        <v>1</v>
      </c>
    </row>
    <row r="124" spans="1:3" x14ac:dyDescent="0.25">
      <c r="A124" s="77" t="s">
        <v>322</v>
      </c>
      <c r="B124" s="77" t="s">
        <v>253</v>
      </c>
      <c r="C124">
        <v>1</v>
      </c>
    </row>
    <row r="125" spans="1:3" x14ac:dyDescent="0.25">
      <c r="A125" s="77" t="s">
        <v>323</v>
      </c>
      <c r="B125" s="77" t="s">
        <v>253</v>
      </c>
      <c r="C125">
        <v>1</v>
      </c>
    </row>
    <row r="126" spans="1:3" x14ac:dyDescent="0.25">
      <c r="A126" s="77" t="s">
        <v>324</v>
      </c>
      <c r="B126" s="77" t="s">
        <v>253</v>
      </c>
      <c r="C126">
        <v>1</v>
      </c>
    </row>
    <row r="127" spans="1:3" x14ac:dyDescent="0.25">
      <c r="A127" s="77" t="s">
        <v>325</v>
      </c>
      <c r="B127" s="77" t="s">
        <v>253</v>
      </c>
      <c r="C127">
        <v>1</v>
      </c>
    </row>
    <row r="128" spans="1:3" x14ac:dyDescent="0.25">
      <c r="A128" s="77" t="s">
        <v>326</v>
      </c>
      <c r="B128" s="77" t="s">
        <v>253</v>
      </c>
      <c r="C128">
        <v>1</v>
      </c>
    </row>
    <row r="129" spans="1:3" x14ac:dyDescent="0.25">
      <c r="A129" s="77" t="s">
        <v>327</v>
      </c>
      <c r="B129" s="77" t="s">
        <v>253</v>
      </c>
      <c r="C129">
        <v>1</v>
      </c>
    </row>
    <row r="130" spans="1:3" x14ac:dyDescent="0.25">
      <c r="A130" s="77" t="s">
        <v>328</v>
      </c>
      <c r="B130" s="77" t="s">
        <v>253</v>
      </c>
      <c r="C130">
        <v>1</v>
      </c>
    </row>
    <row r="131" spans="1:3" x14ac:dyDescent="0.25">
      <c r="A131" s="77" t="s">
        <v>329</v>
      </c>
      <c r="B131" s="77" t="s">
        <v>253</v>
      </c>
      <c r="C131">
        <v>1</v>
      </c>
    </row>
    <row r="132" spans="1:3" x14ac:dyDescent="0.25">
      <c r="A132" s="77" t="s">
        <v>330</v>
      </c>
      <c r="B132" s="77" t="s">
        <v>253</v>
      </c>
      <c r="C132">
        <v>1</v>
      </c>
    </row>
    <row r="133" spans="1:3" x14ac:dyDescent="0.25">
      <c r="A133" s="77" t="s">
        <v>331</v>
      </c>
      <c r="B133" s="77" t="s">
        <v>253</v>
      </c>
      <c r="C133">
        <v>1</v>
      </c>
    </row>
    <row r="134" spans="1:3" x14ac:dyDescent="0.25">
      <c r="A134" s="77" t="s">
        <v>332</v>
      </c>
      <c r="B134" s="77" t="s">
        <v>253</v>
      </c>
      <c r="C134">
        <v>1</v>
      </c>
    </row>
    <row r="135" spans="1:3" x14ac:dyDescent="0.25">
      <c r="A135" s="77" t="s">
        <v>333</v>
      </c>
      <c r="B135" s="77" t="s">
        <v>253</v>
      </c>
      <c r="C135">
        <v>1</v>
      </c>
    </row>
    <row r="136" spans="1:3" x14ac:dyDescent="0.25">
      <c r="A136" s="77" t="s">
        <v>334</v>
      </c>
      <c r="B136" s="77" t="s">
        <v>253</v>
      </c>
      <c r="C136">
        <v>1</v>
      </c>
    </row>
    <row r="137" spans="1:3" x14ac:dyDescent="0.25">
      <c r="A137" s="77" t="s">
        <v>335</v>
      </c>
      <c r="B137" s="77" t="s">
        <v>253</v>
      </c>
      <c r="C137">
        <v>1</v>
      </c>
    </row>
    <row r="138" spans="1:3" x14ac:dyDescent="0.25">
      <c r="A138" s="77" t="s">
        <v>336</v>
      </c>
      <c r="B138" s="77" t="s">
        <v>253</v>
      </c>
      <c r="C138">
        <v>1</v>
      </c>
    </row>
    <row r="139" spans="1:3" x14ac:dyDescent="0.25">
      <c r="A139" s="77" t="s">
        <v>337</v>
      </c>
      <c r="B139" s="77" t="s">
        <v>253</v>
      </c>
      <c r="C139">
        <v>1</v>
      </c>
    </row>
    <row r="140" spans="1:3" x14ac:dyDescent="0.25">
      <c r="A140" s="77" t="s">
        <v>338</v>
      </c>
      <c r="B140" s="77" t="s">
        <v>253</v>
      </c>
      <c r="C140">
        <v>1</v>
      </c>
    </row>
    <row r="141" spans="1:3" x14ac:dyDescent="0.25">
      <c r="A141" s="77" t="s">
        <v>339</v>
      </c>
      <c r="B141" s="77" t="s">
        <v>253</v>
      </c>
      <c r="C141">
        <v>1</v>
      </c>
    </row>
    <row r="142" spans="1:3" x14ac:dyDescent="0.25">
      <c r="A142" s="77" t="s">
        <v>340</v>
      </c>
      <c r="B142" s="77" t="s">
        <v>253</v>
      </c>
      <c r="C142">
        <v>1</v>
      </c>
    </row>
    <row r="143" spans="1:3" x14ac:dyDescent="0.25">
      <c r="A143" s="77" t="s">
        <v>341</v>
      </c>
      <c r="B143" s="77" t="s">
        <v>253</v>
      </c>
      <c r="C143">
        <v>1</v>
      </c>
    </row>
    <row r="144" spans="1:3" x14ac:dyDescent="0.25">
      <c r="A144" s="77" t="s">
        <v>342</v>
      </c>
      <c r="B144" s="77" t="s">
        <v>253</v>
      </c>
      <c r="C144">
        <v>1</v>
      </c>
    </row>
    <row r="145" spans="1:3" x14ac:dyDescent="0.25">
      <c r="A145" s="77" t="s">
        <v>343</v>
      </c>
      <c r="B145" s="77" t="s">
        <v>253</v>
      </c>
      <c r="C145">
        <v>1</v>
      </c>
    </row>
    <row r="146" spans="1:3" x14ac:dyDescent="0.25">
      <c r="A146" s="77" t="s">
        <v>344</v>
      </c>
      <c r="B146" s="77" t="s">
        <v>253</v>
      </c>
      <c r="C146">
        <v>1</v>
      </c>
    </row>
    <row r="147" spans="1:3" x14ac:dyDescent="0.25">
      <c r="A147" s="77" t="s">
        <v>345</v>
      </c>
      <c r="B147" s="77" t="s">
        <v>253</v>
      </c>
      <c r="C147">
        <v>1</v>
      </c>
    </row>
    <row r="148" spans="1:3" x14ac:dyDescent="0.25">
      <c r="A148" s="77" t="s">
        <v>346</v>
      </c>
      <c r="B148" s="77" t="s">
        <v>253</v>
      </c>
      <c r="C148">
        <v>1</v>
      </c>
    </row>
    <row r="149" spans="1:3" x14ac:dyDescent="0.25">
      <c r="A149" s="77" t="s">
        <v>347</v>
      </c>
      <c r="B149" s="77" t="s">
        <v>253</v>
      </c>
      <c r="C149">
        <v>1</v>
      </c>
    </row>
    <row r="150" spans="1:3" x14ac:dyDescent="0.25">
      <c r="A150" s="77" t="s">
        <v>348</v>
      </c>
      <c r="B150" s="77" t="s">
        <v>253</v>
      </c>
      <c r="C150">
        <v>1</v>
      </c>
    </row>
    <row r="151" spans="1:3" x14ac:dyDescent="0.25">
      <c r="A151" s="77" t="s">
        <v>349</v>
      </c>
      <c r="B151" s="77" t="s">
        <v>253</v>
      </c>
      <c r="C151">
        <v>1</v>
      </c>
    </row>
    <row r="152" spans="1:3" x14ac:dyDescent="0.25">
      <c r="A152" s="77" t="s">
        <v>350</v>
      </c>
      <c r="B152" s="77" t="s">
        <v>253</v>
      </c>
      <c r="C152">
        <v>1</v>
      </c>
    </row>
    <row r="153" spans="1:3" x14ac:dyDescent="0.25">
      <c r="A153" s="77" t="s">
        <v>351</v>
      </c>
      <c r="B153" s="77" t="s">
        <v>253</v>
      </c>
      <c r="C153">
        <v>1</v>
      </c>
    </row>
    <row r="154" spans="1:3" x14ac:dyDescent="0.25">
      <c r="A154" s="77" t="s">
        <v>352</v>
      </c>
      <c r="B154" s="77" t="s">
        <v>253</v>
      </c>
      <c r="C154">
        <v>1</v>
      </c>
    </row>
    <row r="155" spans="1:3" x14ac:dyDescent="0.25">
      <c r="A155" s="77" t="s">
        <v>353</v>
      </c>
      <c r="B155" s="77" t="s">
        <v>253</v>
      </c>
      <c r="C155">
        <v>1</v>
      </c>
    </row>
    <row r="156" spans="1:3" x14ac:dyDescent="0.25">
      <c r="A156" s="77" t="s">
        <v>354</v>
      </c>
      <c r="B156" s="77" t="s">
        <v>253</v>
      </c>
      <c r="C156">
        <v>1</v>
      </c>
    </row>
    <row r="157" spans="1:3" x14ac:dyDescent="0.25">
      <c r="A157" s="77" t="s">
        <v>355</v>
      </c>
      <c r="B157" s="77" t="s">
        <v>253</v>
      </c>
      <c r="C157">
        <v>1</v>
      </c>
    </row>
    <row r="158" spans="1:3" x14ac:dyDescent="0.25">
      <c r="A158" s="77" t="s">
        <v>356</v>
      </c>
      <c r="B158" s="77" t="s">
        <v>253</v>
      </c>
      <c r="C158">
        <v>1</v>
      </c>
    </row>
    <row r="159" spans="1:3" x14ac:dyDescent="0.25">
      <c r="A159" s="77" t="s">
        <v>357</v>
      </c>
      <c r="B159" s="77" t="s">
        <v>253</v>
      </c>
      <c r="C159">
        <v>1</v>
      </c>
    </row>
    <row r="160" spans="1:3" x14ac:dyDescent="0.25">
      <c r="A160" s="77" t="s">
        <v>358</v>
      </c>
      <c r="B160" s="77" t="s">
        <v>253</v>
      </c>
      <c r="C160">
        <v>1</v>
      </c>
    </row>
    <row r="161" spans="1:3" x14ac:dyDescent="0.25">
      <c r="A161" s="77" t="s">
        <v>359</v>
      </c>
      <c r="B161" s="77" t="s">
        <v>253</v>
      </c>
      <c r="C161">
        <v>1</v>
      </c>
    </row>
    <row r="162" spans="1:3" x14ac:dyDescent="0.25">
      <c r="A162" s="77" t="s">
        <v>360</v>
      </c>
      <c r="B162" s="77" t="s">
        <v>253</v>
      </c>
      <c r="C162">
        <v>1</v>
      </c>
    </row>
    <row r="163" spans="1:3" x14ac:dyDescent="0.25">
      <c r="A163" s="77" t="s">
        <v>361</v>
      </c>
      <c r="B163" s="77" t="s">
        <v>253</v>
      </c>
      <c r="C163">
        <v>1</v>
      </c>
    </row>
    <row r="164" spans="1:3" x14ac:dyDescent="0.25">
      <c r="A164" s="77" t="s">
        <v>362</v>
      </c>
      <c r="B164" s="77" t="s">
        <v>253</v>
      </c>
      <c r="C164">
        <v>1</v>
      </c>
    </row>
    <row r="165" spans="1:3" x14ac:dyDescent="0.25">
      <c r="A165" s="77" t="s">
        <v>363</v>
      </c>
      <c r="B165" s="77" t="s">
        <v>253</v>
      </c>
      <c r="C165">
        <v>1</v>
      </c>
    </row>
    <row r="166" spans="1:3" x14ac:dyDescent="0.25">
      <c r="A166" s="77" t="s">
        <v>364</v>
      </c>
      <c r="B166" s="77" t="s">
        <v>253</v>
      </c>
      <c r="C166">
        <v>1</v>
      </c>
    </row>
    <row r="167" spans="1:3" x14ac:dyDescent="0.25">
      <c r="A167" s="77" t="s">
        <v>365</v>
      </c>
      <c r="B167" s="77" t="s">
        <v>253</v>
      </c>
      <c r="C167">
        <v>1</v>
      </c>
    </row>
    <row r="168" spans="1:3" x14ac:dyDescent="0.25">
      <c r="A168" s="77" t="s">
        <v>366</v>
      </c>
      <c r="B168" s="77" t="s">
        <v>253</v>
      </c>
      <c r="C168">
        <v>1</v>
      </c>
    </row>
    <row r="169" spans="1:3" x14ac:dyDescent="0.25">
      <c r="A169" s="77" t="s">
        <v>367</v>
      </c>
      <c r="B169" s="77" t="s">
        <v>253</v>
      </c>
      <c r="C169">
        <v>1</v>
      </c>
    </row>
    <row r="170" spans="1:3" x14ac:dyDescent="0.25">
      <c r="A170" s="77" t="s">
        <v>368</v>
      </c>
      <c r="B170" s="77" t="s">
        <v>253</v>
      </c>
      <c r="C170">
        <v>1</v>
      </c>
    </row>
    <row r="171" spans="1:3" x14ac:dyDescent="0.25">
      <c r="A171" s="77" t="s">
        <v>369</v>
      </c>
      <c r="B171" s="77" t="s">
        <v>253</v>
      </c>
      <c r="C171">
        <v>1</v>
      </c>
    </row>
    <row r="172" spans="1:3" x14ac:dyDescent="0.25">
      <c r="A172" s="77" t="s">
        <v>370</v>
      </c>
      <c r="B172" s="77" t="s">
        <v>253</v>
      </c>
      <c r="C172">
        <v>1</v>
      </c>
    </row>
    <row r="173" spans="1:3" x14ac:dyDescent="0.25">
      <c r="A173" s="77" t="s">
        <v>371</v>
      </c>
      <c r="B173" s="77" t="s">
        <v>253</v>
      </c>
      <c r="C173">
        <v>1</v>
      </c>
    </row>
    <row r="174" spans="1:3" x14ac:dyDescent="0.25">
      <c r="A174" s="77" t="s">
        <v>372</v>
      </c>
      <c r="B174" s="77" t="s">
        <v>253</v>
      </c>
      <c r="C174">
        <v>1</v>
      </c>
    </row>
    <row r="175" spans="1:3" x14ac:dyDescent="0.25">
      <c r="A175" s="77" t="s">
        <v>373</v>
      </c>
      <c r="B175" s="77" t="s">
        <v>253</v>
      </c>
      <c r="C175">
        <v>1</v>
      </c>
    </row>
    <row r="176" spans="1:3" x14ac:dyDescent="0.25">
      <c r="A176" s="77" t="s">
        <v>374</v>
      </c>
      <c r="B176" s="77" t="s">
        <v>253</v>
      </c>
      <c r="C176">
        <v>1</v>
      </c>
    </row>
    <row r="177" spans="1:3" x14ac:dyDescent="0.25">
      <c r="A177" s="77" t="s">
        <v>375</v>
      </c>
      <c r="B177" s="77" t="s">
        <v>253</v>
      </c>
      <c r="C177">
        <v>1</v>
      </c>
    </row>
    <row r="178" spans="1:3" x14ac:dyDescent="0.25">
      <c r="A178" s="77" t="s">
        <v>376</v>
      </c>
      <c r="B178" s="77" t="s">
        <v>253</v>
      </c>
      <c r="C178">
        <v>1</v>
      </c>
    </row>
    <row r="179" spans="1:3" x14ac:dyDescent="0.25">
      <c r="A179" s="77" t="s">
        <v>377</v>
      </c>
      <c r="B179" s="77" t="s">
        <v>253</v>
      </c>
      <c r="C179">
        <v>1</v>
      </c>
    </row>
    <row r="180" spans="1:3" x14ac:dyDescent="0.25">
      <c r="A180" s="77" t="s">
        <v>378</v>
      </c>
      <c r="B180" s="77" t="s">
        <v>253</v>
      </c>
      <c r="C180">
        <v>1</v>
      </c>
    </row>
    <row r="181" spans="1:3" x14ac:dyDescent="0.25">
      <c r="A181" s="77" t="s">
        <v>379</v>
      </c>
      <c r="B181" s="77" t="s">
        <v>253</v>
      </c>
      <c r="C181">
        <v>1</v>
      </c>
    </row>
    <row r="182" spans="1:3" x14ac:dyDescent="0.25">
      <c r="A182" s="77" t="s">
        <v>380</v>
      </c>
      <c r="B182" s="77" t="s">
        <v>253</v>
      </c>
      <c r="C182">
        <v>1</v>
      </c>
    </row>
    <row r="183" spans="1:3" x14ac:dyDescent="0.25">
      <c r="A183" s="77" t="s">
        <v>381</v>
      </c>
      <c r="B183" s="77" t="s">
        <v>253</v>
      </c>
      <c r="C183">
        <v>1</v>
      </c>
    </row>
    <row r="184" spans="1:3" x14ac:dyDescent="0.25">
      <c r="A184" s="77" t="s">
        <v>382</v>
      </c>
      <c r="B184" s="77" t="s">
        <v>253</v>
      </c>
      <c r="C184">
        <v>1</v>
      </c>
    </row>
    <row r="185" spans="1:3" x14ac:dyDescent="0.25">
      <c r="A185" s="77" t="s">
        <v>383</v>
      </c>
      <c r="B185" s="77" t="s">
        <v>253</v>
      </c>
      <c r="C185">
        <v>1</v>
      </c>
    </row>
    <row r="186" spans="1:3" x14ac:dyDescent="0.25">
      <c r="A186" s="77" t="s">
        <v>384</v>
      </c>
      <c r="B186" s="77" t="s">
        <v>253</v>
      </c>
      <c r="C186">
        <v>1</v>
      </c>
    </row>
    <row r="187" spans="1:3" x14ac:dyDescent="0.25">
      <c r="A187" s="77" t="s">
        <v>385</v>
      </c>
      <c r="B187" s="77" t="s">
        <v>253</v>
      </c>
      <c r="C187">
        <v>1</v>
      </c>
    </row>
    <row r="188" spans="1:3" x14ac:dyDescent="0.25">
      <c r="A188" s="77" t="s">
        <v>386</v>
      </c>
      <c r="B188" s="77" t="s">
        <v>253</v>
      </c>
      <c r="C188">
        <v>1</v>
      </c>
    </row>
    <row r="189" spans="1:3" x14ac:dyDescent="0.25">
      <c r="A189" s="77" t="s">
        <v>398</v>
      </c>
      <c r="B189" s="77" t="s">
        <v>266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393</v>
      </c>
      <c r="B1" t="s">
        <v>394</v>
      </c>
      <c r="C1" t="s">
        <v>248</v>
      </c>
      <c r="D1" t="s">
        <v>435</v>
      </c>
      <c r="E1" t="s">
        <v>436</v>
      </c>
      <c r="F1" t="s">
        <v>92</v>
      </c>
      <c r="G1" t="s">
        <v>84</v>
      </c>
      <c r="H1" t="s">
        <v>137</v>
      </c>
      <c r="I1" t="s">
        <v>138</v>
      </c>
      <c r="J1" t="s">
        <v>249</v>
      </c>
      <c r="K1" t="s">
        <v>250</v>
      </c>
      <c r="L1" t="s">
        <v>251</v>
      </c>
      <c r="M1" t="s">
        <v>252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392</v>
      </c>
      <c r="B2" s="77" t="s">
        <v>253</v>
      </c>
      <c r="C2">
        <v>0</v>
      </c>
      <c r="D2" s="77" t="s">
        <v>438</v>
      </c>
      <c r="E2" s="77" t="s">
        <v>388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339</v>
      </c>
      <c r="B3" s="77" t="s">
        <v>253</v>
      </c>
      <c r="C3">
        <v>1</v>
      </c>
      <c r="D3" s="77" t="s">
        <v>439</v>
      </c>
      <c r="E3" s="77" t="s">
        <v>387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342</v>
      </c>
      <c r="B4" s="77" t="s">
        <v>253</v>
      </c>
      <c r="C4">
        <v>1</v>
      </c>
      <c r="D4" s="77" t="s">
        <v>439</v>
      </c>
      <c r="E4" s="77" t="s">
        <v>387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352</v>
      </c>
      <c r="B5" s="77" t="s">
        <v>253</v>
      </c>
      <c r="C5">
        <v>1</v>
      </c>
      <c r="D5" s="77" t="s">
        <v>439</v>
      </c>
      <c r="E5" s="77" t="s">
        <v>387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360</v>
      </c>
      <c r="B6" s="77" t="s">
        <v>253</v>
      </c>
      <c r="C6">
        <v>1</v>
      </c>
      <c r="D6" s="77" t="s">
        <v>439</v>
      </c>
      <c r="E6" s="77" t="s">
        <v>387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364</v>
      </c>
      <c r="B7" s="77" t="s">
        <v>253</v>
      </c>
      <c r="C7">
        <v>1</v>
      </c>
      <c r="D7" s="77" t="s">
        <v>439</v>
      </c>
      <c r="E7" s="77" t="s">
        <v>387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366</v>
      </c>
      <c r="B8" s="77" t="s">
        <v>253</v>
      </c>
      <c r="C8">
        <v>1</v>
      </c>
      <c r="D8" s="77" t="s">
        <v>439</v>
      </c>
      <c r="E8" s="77" t="s">
        <v>387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433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Output'!$A$2:$BR$1048576,MATCH(J$4,'Table Output'!$A$1:$BQ$1,0),),'Control Panel'!J5)))</f>
        <v>77.017499999999998</v>
      </c>
      <c r="K6" s="36">
        <f>IF($I6="","",IF(K$4="","",IF('Control Panel'!K5="",VLOOKUP($E6,'Table Output'!$A$2:$BR$1048576,MATCH(K$4,'Table Output'!$A$1:$BQ$1,0),),'Control Panel'!K5)))</f>
        <v>-6.3375000000000004</v>
      </c>
      <c r="L6" s="36">
        <f>IF($I6="","",IF(L$4="","",IF('Control Panel'!L5="",VLOOKUP($E6,'Table Output'!$A$2:$BR$1048576,MATCH(L$4,'Table Output'!$A$1:$BQ$1,0),),'Control Panel'!L5)))</f>
        <v>-0.91779999999999995</v>
      </c>
      <c r="M6" s="36">
        <f>IF($I6="","",IF(M$4="","",IF('Control Panel'!M5="",VLOOKUP($E6,'Table Output'!$A$2:$BR$1048576,MATCH(M$4,'Table Output'!$A$1:$BQ$1,0),),'Control Panel'!M5)))</f>
        <v>0.96344750000000001</v>
      </c>
      <c r="N6" s="36">
        <f>IF($I6="","",IF(N$4="","",IF('Control Panel'!N5="",VLOOKUP($E6,'Table Output'!$A$2:$BR$1048576,MATCH(N$4,'Table Output'!$A$1:$BQ$1,0),),'Control Panel'!N5)))</f>
        <v>8.2063500000000005</v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Output'!$A$2:$BR$1048576,MATCH(J$4,'Table Output'!$A$1:$BQ$1,0),),'Control Panel'!J7)))</f>
        <v>83.465199999999996</v>
      </c>
      <c r="K8" s="36">
        <f>IF($I8="","",IF(K$4="","",IF('Control Panel'!K7="",VLOOKUP($E8,'Table Output'!$A$2:$BR$1048576,MATCH(K$4,'Table Output'!$A$1:$BQ$1,0),),'Control Panel'!K7)))</f>
        <v>-5.7145000000000001</v>
      </c>
      <c r="L8" s="36">
        <f>IF($I8="","",IF(L$4="","",IF('Control Panel'!L7="",VLOOKUP($E8,'Table Output'!$A$2:$BR$1048576,MATCH(L$4,'Table Output'!$A$1:$BQ$1,0),),'Control Panel'!L7)))</f>
        <v>-0.91779999999999995</v>
      </c>
      <c r="M8" s="36">
        <f>IF($I8="","",IF(M$4="","",IF('Control Panel'!M7="",VLOOKUP($E8,'Table Output'!$A$2:$BR$1048576,MATCH(M$4,'Table Output'!$A$1:$BQ$1,0),),'Control Panel'!M7)))</f>
        <v>0.95911239999999998</v>
      </c>
      <c r="N8" s="36">
        <f>IF($I8="","",IF(N$4="","",IF('Control Panel'!N7="",VLOOKUP($E8,'Table Output'!$A$2:$BR$1048576,MATCH(N$4,'Table Output'!$A$1:$BQ$1,0),),'Control Panel'!N7)))</f>
        <v>8.2552240000000001</v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Output'!$A$2:$BR$1048576,MATCH(J$4,'Table Output'!$A$1:$BQ$1,0),),'Control Panel'!J8)))</f>
        <v>73.333100000000002</v>
      </c>
      <c r="K9" s="36">
        <f>IF($I9="","",IF(K$4="","",IF('Control Panel'!K8="",VLOOKUP($E9,'Table Output'!$A$2:$BR$1048576,MATCH(K$4,'Table Output'!$A$1:$BQ$1,0),),'Control Panel'!K8)))</f>
        <v>-6.6935000000000002</v>
      </c>
      <c r="L9" s="36">
        <f>IF($I9="","",IF(L$4="","",IF('Control Panel'!L8="",VLOOKUP($E9,'Table Output'!$A$2:$BR$1048576,MATCH(L$4,'Table Output'!$A$1:$BQ$1,0),),'Control Panel'!L8)))</f>
        <v>-0.91779999999999995</v>
      </c>
      <c r="M9" s="36">
        <f>IF($I9="","",IF(M$4="","",IF('Control Panel'!M8="",VLOOKUP($E9,'Table Output'!$A$2:$BR$1048576,MATCH(M$4,'Table Output'!$A$1:$BQ$1,0),),'Control Panel'!M8)))</f>
        <v>0.96592469999999997</v>
      </c>
      <c r="N9" s="36">
        <f>IF($I9="","",IF(N$4="","",IF('Control Panel'!N8="",VLOOKUP($E9,'Table Output'!$A$2:$BR$1048576,MATCH(N$4,'Table Output'!$A$1:$BQ$1,0),),'Control Panel'!N8)))</f>
        <v>8.1784219999999994</v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>Sand_59</v>
      </c>
      <c r="F10" s="2" t="str">
        <f>IF(T10=1,IF('Control Panel'!F9="","",'Control Panel'!F9),"")</f>
        <v>PISA</v>
      </c>
      <c r="G10" s="2">
        <f>IF(T10=1,IF('Control Panel'!G9="","",'Control Panel'!G9),"")</f>
        <v>1</v>
      </c>
      <c r="H10" s="2" t="str">
        <f>IF(T10=1,IF('Control Panel'!H9="","",'Control Panel'!H9),"")</f>
        <v>Loc_69_Sand_5</v>
      </c>
      <c r="I10" s="42">
        <f>IF(T10=1,IF('Control Panel'!I9="","",'Control Panel'!I9),"")</f>
        <v>6</v>
      </c>
      <c r="J10" s="36">
        <f>IF($I10="","",IF(J$4="","",IF('Control Panel'!J9="",VLOOKUP($E10,'Table Output'!$A$2:$BR$1048576,MATCH(J$4,'Table Output'!$A$1:$BQ$1,0),),'Control Panel'!J9)))</f>
        <v>91.755099999999999</v>
      </c>
      <c r="K10" s="36">
        <f>IF($I10="","",IF(K$4="","",IF('Control Panel'!K9="",VLOOKUP($E10,'Table Output'!$A$2:$BR$1048576,MATCH(K$4,'Table Output'!$A$1:$BQ$1,0),),'Control Panel'!K9)))</f>
        <v>-4.9135</v>
      </c>
      <c r="L10" s="36">
        <f>IF($I10="","",IF(L$4="","",IF('Control Panel'!L9="",VLOOKUP($E10,'Table Output'!$A$2:$BR$1048576,MATCH(L$4,'Table Output'!$A$1:$BQ$1,0),),'Control Panel'!L9)))</f>
        <v>-0.91779999999999995</v>
      </c>
      <c r="M10" s="36">
        <f>IF($I10="","",IF(M$4="","",IF('Control Panel'!M9="",VLOOKUP($E10,'Table Output'!$A$2:$BR$1048576,MATCH(M$4,'Table Output'!$A$1:$BQ$1,0),),'Control Panel'!M9)))</f>
        <v>0.95353869999999996</v>
      </c>
      <c r="N10" s="36">
        <f>IF($I10="","",IF(N$4="","",IF('Control Panel'!N9="",VLOOKUP($E10,'Table Output'!$A$2:$BR$1048576,MATCH(N$4,'Table Output'!$A$1:$BQ$1,0),),'Control Panel'!N9)))</f>
        <v>8.3180619999999994</v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1</v>
      </c>
      <c r="U10" s="36">
        <f>IF($I10="","",IF('Control Panel'!U9="",VLOOKUP($E10,'Table Output'!$A$2:$BR$99998,MATCH(U$4,'Table Output'!$A$1:$BQ$1,0),),'Control Panel'!U9))</f>
        <v>0</v>
      </c>
      <c r="V10" s="36">
        <f>IF($I10="","",IF('Control Panel'!V9="",VLOOKUP($E10,'Table Output'!$A$2:$BR$99998,MATCH(V$4,'Table Output'!$A$1:$BQ$1,0),),'Control Panel'!V9))</f>
        <v>1</v>
      </c>
      <c r="W10" s="36">
        <f>IF($I10="","",IF('Control Panel'!W9="",VLOOKUP($E10,'Table Output'!$A$2:$BR$99998,MATCH(W$4,'Table Output'!$A$1:$BQ$1,0),),'Control Panel'!W9))</f>
        <v>1</v>
      </c>
      <c r="X10" s="36">
        <f>IF($I10="","",IF('Control Panel'!X9="",VLOOKUP($E10,'Table Output'!$A$2:$BR$99998,MATCH(X$4,'Table Output'!$A$1:$BQ$1,0),),'Control Panel'!X9))</f>
        <v>0</v>
      </c>
      <c r="Y10" s="36">
        <f>IF($I10="","",IF('Control Panel'!Y9="",VLOOKUP($E10,'Table Output'!$A$2:$BR$99998,MATCH(Y$4,'Table Output'!$A$1:$BQ$1,0),),'Control Panel'!Y9))</f>
        <v>0</v>
      </c>
      <c r="Z10" s="36">
        <f>IF($I10="","",IF('Control Panel'!Z9="",VLOOKUP($E10,'Table Output'!$A$2:$BR$99998,MATCH(Z$4,'Table Output'!$A$1:$BQ$1,0),),'Control Panel'!Z9))</f>
        <v>1</v>
      </c>
      <c r="AA10" s="36">
        <f>IF($I10="","",IF('Control Panel'!AA9="",VLOOKUP($E10,'Table Output'!$A$2:$BR$99998,MATCH(AA$4,'Table Output'!$A$1:$BQ$1,0),),'Control Panel'!AA9))</f>
        <v>0</v>
      </c>
      <c r="AB10" s="36">
        <f>IF($I10="","",IF('Control Panel'!AB9="",VLOOKUP($E10,'Table Output'!$A$2:$BR$99998,MATCH(AB$4,'Table Output'!$A$1:$BQ$1,0),),'Control Panel'!AB9))</f>
        <v>0</v>
      </c>
      <c r="AC10" s="36">
        <f>IF($I10="","",IF('Control Panel'!AC9="",VLOOKUP($E10,'Table Output'!$A$2:$BR$99998,MATCH(AC$4,'Table Output'!$A$1:$BQ$1,0),),'Control Panel'!AC9))</f>
        <v>1</v>
      </c>
      <c r="AD10" s="36">
        <f>IF($I10="","",IF('Control Panel'!AD9="",VLOOKUP($E10,'Table Output'!$A$2:$BR$99998,MATCH(AD$4,'Table Output'!$A$1:$BQ$1,0),),'Control Panel'!AD9))</f>
        <v>1</v>
      </c>
      <c r="AE10" s="36">
        <f>IF($I10="","",IF('Control Panel'!AE9="",VLOOKUP($E10,'Table Output'!$A$2:$BR$99998,MATCH(AE$4,'Table Output'!$A$1:$BQ$1,0),),'Control Panel'!AE9))</f>
        <v>1</v>
      </c>
      <c r="AF10" s="36">
        <f>IF($I10="","",IF('Control Panel'!AF9="",VLOOKUP($E10,'Table Output'!$A$2:$BR$99998,MATCH(AF$4,'Table Output'!$A$1:$BQ$1,0),),'Control Panel'!AF9))</f>
        <v>1</v>
      </c>
      <c r="AG10" s="36">
        <f>IF($I10="","",IF('Control Panel'!AG9="",VLOOKUP($E10,'Table Output'!$A$2:$BR$99998,MATCH(AG$4,'Table Output'!$A$1:$BQ$1,0),),'Control Panel'!AG9))</f>
        <v>0</v>
      </c>
      <c r="AH10" s="36">
        <f>IF($I10="","",IF('Control Panel'!AH9="",VLOOKUP($E10,'Table Output'!$A$2:$BR$99998,MATCH(AH$4,'Table Output'!$A$1:$BQ$1,0),),'Control Panel'!AH9))</f>
        <v>1</v>
      </c>
      <c r="AI10" s="36">
        <f>IF($I10="","",IF('Control Panel'!AI9="",VLOOKUP($E10,'Table Output'!$A$2:$BR$99998,MATCH(AI$4,'Table Output'!$A$1:$BQ$1,0),),'Control Panel'!AI9))</f>
        <v>0</v>
      </c>
      <c r="AJ10" s="36">
        <f>IF($I10="","",IF('Control Panel'!AJ9="",VLOOKUP($E10,'Table Output'!$A$2:$BR$99998,MATCH(AJ$4,'Table Output'!$A$1:$BQ$1,0),),'Control Panel'!AJ9))</f>
        <v>0</v>
      </c>
      <c r="AL10" s="51">
        <f t="shared" si="0"/>
        <v>6</v>
      </c>
      <c r="AM10" s="48">
        <f>IF(AM$4="","",IF($I10="","",IF('Control Panel'!AM9="",VLOOKUP($E10,'Table Output'!$A$2:$BR$99998,MATCH(AM$4,'Table Output'!$A$1:$BQ$1,0),FALSE),'Control Panel'!AM9)))</f>
        <v>1</v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Output'!$A$2:$BR$1048576,MATCH(J$4,'Table Output'!$A$1:$BQ$1,0),),'Control Panel'!J10)))</f>
        <v>200</v>
      </c>
      <c r="K11" s="36">
        <f>IF($I11="","",IF(K$4="","",IF('Control Panel'!K10="",VLOOKUP($E11,'Table Output'!$A$2:$BR$1048576,MATCH(K$4,'Table Output'!$A$1:$BQ$1,0),),'Control Panel'!K10)))</f>
        <v>10.210000000000001</v>
      </c>
      <c r="L11" s="36">
        <f>IF($I11="","",IF(L$4="","",IF('Control Panel'!L10="",VLOOKUP($E11,'Table Output'!$A$2:$BR$1048576,MATCH(L$4,'Table Output'!$A$1:$BQ$1,0),),'Control Panel'!L10)))</f>
        <v>-1.1000000000000001</v>
      </c>
      <c r="M11" s="36">
        <f>IF($I11="","",IF(M$4="","",IF('Control Panel'!M10="",VLOOKUP($E11,'Table Output'!$A$2:$BR$1048576,MATCH(M$4,'Table Output'!$A$1:$BQ$1,0),),'Control Panel'!M10)))</f>
        <v>-0.05</v>
      </c>
      <c r="N11" s="36">
        <f>IF($I11="","",IF(N$4="","",IF('Control Panel'!N10="",VLOOKUP($E11,'Table Output'!$A$2:$BR$1048576,MATCH(N$4,'Table Output'!$A$1:$BQ$1,0),),'Control Panel'!N10)))</f>
        <v>8.1199999999999992</v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>Sand_80</v>
      </c>
      <c r="F12" s="2" t="str">
        <f>IF(T12=1,IF('Control Panel'!F11="","",'Control Panel'!F11),"")</f>
        <v>PISA</v>
      </c>
      <c r="G12" s="2">
        <f>IF(T12=1,IF('Control Panel'!G11="","",'Control Panel'!G11),"")</f>
        <v>1</v>
      </c>
      <c r="H12" s="2" t="str">
        <f>IF(T12=1,IF('Control Panel'!H11="","",'Control Panel'!H11),"")</f>
        <v>Loc_69_Clay_3</v>
      </c>
      <c r="I12" s="42">
        <f>IF(T12=1,IF('Control Panel'!I11="","",'Control Panel'!I11),"")</f>
        <v>8</v>
      </c>
      <c r="J12" s="36">
        <f>IF($I12="","",IF(J$4="","",IF('Control Panel'!J11="",VLOOKUP($E12,'Table Output'!$A$2:$BR$1048576,MATCH(J$4,'Table Output'!$A$1:$BQ$1,0),),'Control Panel'!J11)))</f>
        <v>72.412000000000006</v>
      </c>
      <c r="K12" s="36">
        <f>IF($I12="","",IF(K$4="","",IF('Control Panel'!K11="",VLOOKUP($E12,'Table Output'!$A$2:$BR$1048576,MATCH(K$4,'Table Output'!$A$1:$BQ$1,0),),'Control Panel'!K11)))</f>
        <v>-6.7824999999999998</v>
      </c>
      <c r="L12" s="36">
        <f>IF($I12="","",IF(L$4="","",IF('Control Panel'!L11="",VLOOKUP($E12,'Table Output'!$A$2:$BR$1048576,MATCH(L$4,'Table Output'!$A$1:$BQ$1,0),),'Control Panel'!L11)))</f>
        <v>-0.91779999999999995</v>
      </c>
      <c r="M12" s="36">
        <f>IF($I12="","",IF(M$4="","",IF('Control Panel'!M11="",VLOOKUP($E12,'Table Output'!$A$2:$BR$1048576,MATCH(M$4,'Table Output'!$A$1:$BQ$1,0),),'Control Panel'!M11)))</f>
        <v>0.96654399999999996</v>
      </c>
      <c r="N12" s="36">
        <f>IF($I12="","",IF(N$4="","",IF('Control Panel'!N11="",VLOOKUP($E12,'Table Output'!$A$2:$BR$1048576,MATCH(N$4,'Table Output'!$A$1:$BQ$1,0),),'Control Panel'!N11)))</f>
        <v>8.1714400000000005</v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1</v>
      </c>
      <c r="U12" s="36">
        <f>IF($I12="","",IF('Control Panel'!U11="",VLOOKUP($E12,'Table Output'!$A$2:$BR$99998,MATCH(U$4,'Table Output'!$A$1:$BQ$1,0),),'Control Panel'!U11))</f>
        <v>0</v>
      </c>
      <c r="V12" s="36">
        <f>IF($I12="","",IF('Control Panel'!V11="",VLOOKUP($E12,'Table Output'!$A$2:$BR$99998,MATCH(V$4,'Table Output'!$A$1:$BQ$1,0),),'Control Panel'!V11))</f>
        <v>1</v>
      </c>
      <c r="W12" s="36">
        <f>IF($I12="","",IF('Control Panel'!W11="",VLOOKUP($E12,'Table Output'!$A$2:$BR$99998,MATCH(W$4,'Table Output'!$A$1:$BQ$1,0),),'Control Panel'!W11))</f>
        <v>1</v>
      </c>
      <c r="X12" s="36">
        <f>IF($I12="","",IF('Control Panel'!X11="",VLOOKUP($E12,'Table Output'!$A$2:$BR$99998,MATCH(X$4,'Table Output'!$A$1:$BQ$1,0),),'Control Panel'!X11))</f>
        <v>0</v>
      </c>
      <c r="Y12" s="36">
        <f>IF($I12="","",IF('Control Panel'!Y11="",VLOOKUP($E12,'Table Output'!$A$2:$BR$99998,MATCH(Y$4,'Table Output'!$A$1:$BQ$1,0),),'Control Panel'!Y11))</f>
        <v>0</v>
      </c>
      <c r="Z12" s="36">
        <f>IF($I12="","",IF('Control Panel'!Z11="",VLOOKUP($E12,'Table Output'!$A$2:$BR$99998,MATCH(Z$4,'Table Output'!$A$1:$BQ$1,0),),'Control Panel'!Z11))</f>
        <v>1</v>
      </c>
      <c r="AA12" s="36">
        <f>IF($I12="","",IF('Control Panel'!AA11="",VLOOKUP($E12,'Table Output'!$A$2:$BR$99998,MATCH(AA$4,'Table Output'!$A$1:$BQ$1,0),),'Control Panel'!AA11))</f>
        <v>0</v>
      </c>
      <c r="AB12" s="36">
        <f>IF($I12="","",IF('Control Panel'!AB11="",VLOOKUP($E12,'Table Output'!$A$2:$BR$99998,MATCH(AB$4,'Table Output'!$A$1:$BQ$1,0),),'Control Panel'!AB11))</f>
        <v>0</v>
      </c>
      <c r="AC12" s="36">
        <f>IF($I12="","",IF('Control Panel'!AC11="",VLOOKUP($E12,'Table Output'!$A$2:$BR$99998,MATCH(AC$4,'Table Output'!$A$1:$BQ$1,0),),'Control Panel'!AC11))</f>
        <v>1</v>
      </c>
      <c r="AD12" s="36">
        <f>IF($I12="","",IF('Control Panel'!AD11="",VLOOKUP($E12,'Table Output'!$A$2:$BR$99998,MATCH(AD$4,'Table Output'!$A$1:$BQ$1,0),),'Control Panel'!AD11))</f>
        <v>1</v>
      </c>
      <c r="AE12" s="36">
        <f>IF($I12="","",IF('Control Panel'!AE11="",VLOOKUP($E12,'Table Output'!$A$2:$BR$99998,MATCH(AE$4,'Table Output'!$A$1:$BQ$1,0),),'Control Panel'!AE11))</f>
        <v>1</v>
      </c>
      <c r="AF12" s="36">
        <f>IF($I12="","",IF('Control Panel'!AF11="",VLOOKUP($E12,'Table Output'!$A$2:$BR$99998,MATCH(AF$4,'Table Output'!$A$1:$BQ$1,0),),'Control Panel'!AF11))</f>
        <v>1</v>
      </c>
      <c r="AG12" s="36">
        <f>IF($I12="","",IF('Control Panel'!AG11="",VLOOKUP($E12,'Table Output'!$A$2:$BR$99998,MATCH(AG$4,'Table Output'!$A$1:$BQ$1,0),),'Control Panel'!AG11))</f>
        <v>0</v>
      </c>
      <c r="AH12" s="36">
        <f>IF($I12="","",IF('Control Panel'!AH11="",VLOOKUP($E12,'Table Output'!$A$2:$BR$99998,MATCH(AH$4,'Table Output'!$A$1:$BQ$1,0),),'Control Panel'!AH11))</f>
        <v>1</v>
      </c>
      <c r="AI12" s="36">
        <f>IF($I12="","",IF('Control Panel'!AI11="",VLOOKUP($E12,'Table Output'!$A$2:$BR$99998,MATCH(AI$4,'Table Output'!$A$1:$BQ$1,0),),'Control Panel'!AI11))</f>
        <v>0</v>
      </c>
      <c r="AJ12" s="36">
        <f>IF($I12="","",IF('Control Panel'!AJ11="",VLOOKUP($E12,'Table Output'!$A$2:$BR$99998,MATCH(AJ$4,'Table Output'!$A$1:$BQ$1,0),),'Control Panel'!AJ11))</f>
        <v>0</v>
      </c>
      <c r="AL12" s="51">
        <f t="shared" si="0"/>
        <v>8</v>
      </c>
      <c r="AM12" s="48">
        <f>IF(AM$4="","",IF($I12="","",IF('Control Panel'!AM11="",VLOOKUP($E12,'Table Output'!$A$2:$BR$99998,MATCH(AM$4,'Table Output'!$A$1:$BQ$1,0),FALSE),'Control Panel'!AM11)))</f>
        <v>1</v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>Sand_80</v>
      </c>
      <c r="F13" s="2" t="str">
        <f>IF(T13=1,IF('Control Panel'!F12="","",'Control Panel'!F12),"")</f>
        <v>PISA</v>
      </c>
      <c r="G13" s="2">
        <f>IF(T13=1,IF('Control Panel'!G12="","",'Control Panel'!G12),"")</f>
        <v>1</v>
      </c>
      <c r="H13" s="2" t="str">
        <f>IF(T13=1,IF('Control Panel'!H12="","",'Control Panel'!H12),"")</f>
        <v>Loc_69_Clay_4</v>
      </c>
      <c r="I13" s="42">
        <f>IF(T13=1,IF('Control Panel'!I12="","",'Control Panel'!I12),"")</f>
        <v>9</v>
      </c>
      <c r="J13" s="36">
        <f>IF($I13="","",IF(J$4="","",IF('Control Panel'!J12="",VLOOKUP($E13,'Table Output'!$A$2:$BR$1048576,MATCH(J$4,'Table Output'!$A$1:$BQ$1,0),),'Control Panel'!J12)))</f>
        <v>72.412000000000006</v>
      </c>
      <c r="K13" s="36">
        <f>IF($I13="","",IF(K$4="","",IF('Control Panel'!K12="",VLOOKUP($E13,'Table Output'!$A$2:$BR$1048576,MATCH(K$4,'Table Output'!$A$1:$BQ$1,0),),'Control Panel'!K12)))</f>
        <v>-6.7824999999999998</v>
      </c>
      <c r="L13" s="36">
        <f>IF($I13="","",IF(L$4="","",IF('Control Panel'!L12="",VLOOKUP($E13,'Table Output'!$A$2:$BR$1048576,MATCH(L$4,'Table Output'!$A$1:$BQ$1,0),),'Control Panel'!L12)))</f>
        <v>-0.91779999999999995</v>
      </c>
      <c r="M13" s="36">
        <f>IF($I13="","",IF(M$4="","",IF('Control Panel'!M12="",VLOOKUP($E13,'Table Output'!$A$2:$BR$1048576,MATCH(M$4,'Table Output'!$A$1:$BQ$1,0),),'Control Panel'!M12)))</f>
        <v>0.96654399999999996</v>
      </c>
      <c r="N13" s="36">
        <f>IF($I13="","",IF(N$4="","",IF('Control Panel'!N12="",VLOOKUP($E13,'Table Output'!$A$2:$BR$1048576,MATCH(N$4,'Table Output'!$A$1:$BQ$1,0),),'Control Panel'!N12)))</f>
        <v>8.1714400000000005</v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1</v>
      </c>
      <c r="U13" s="36">
        <f>IF($I13="","",IF('Control Panel'!U12="",VLOOKUP($E13,'Table Output'!$A$2:$BR$99998,MATCH(U$4,'Table Output'!$A$1:$BQ$1,0),),'Control Panel'!U12))</f>
        <v>0</v>
      </c>
      <c r="V13" s="36">
        <f>IF($I13="","",IF('Control Panel'!V12="",VLOOKUP($E13,'Table Output'!$A$2:$BR$99998,MATCH(V$4,'Table Output'!$A$1:$BQ$1,0),),'Control Panel'!V12))</f>
        <v>1</v>
      </c>
      <c r="W13" s="36">
        <f>IF($I13="","",IF('Control Panel'!W12="",VLOOKUP($E13,'Table Output'!$A$2:$BR$99998,MATCH(W$4,'Table Output'!$A$1:$BQ$1,0),),'Control Panel'!W12))</f>
        <v>1</v>
      </c>
      <c r="X13" s="36">
        <f>IF($I13="","",IF('Control Panel'!X12="",VLOOKUP($E13,'Table Output'!$A$2:$BR$99998,MATCH(X$4,'Table Output'!$A$1:$BQ$1,0),),'Control Panel'!X12))</f>
        <v>0</v>
      </c>
      <c r="Y13" s="36">
        <f>IF($I13="","",IF('Control Panel'!Y12="",VLOOKUP($E13,'Table Output'!$A$2:$BR$99998,MATCH(Y$4,'Table Output'!$A$1:$BQ$1,0),),'Control Panel'!Y12))</f>
        <v>0</v>
      </c>
      <c r="Z13" s="36">
        <f>IF($I13="","",IF('Control Panel'!Z12="",VLOOKUP($E13,'Table Output'!$A$2:$BR$99998,MATCH(Z$4,'Table Output'!$A$1:$BQ$1,0),),'Control Panel'!Z12))</f>
        <v>1</v>
      </c>
      <c r="AA13" s="36">
        <f>IF($I13="","",IF('Control Panel'!AA12="",VLOOKUP($E13,'Table Output'!$A$2:$BR$99998,MATCH(AA$4,'Table Output'!$A$1:$BQ$1,0),),'Control Panel'!AA12))</f>
        <v>0</v>
      </c>
      <c r="AB13" s="36">
        <f>IF($I13="","",IF('Control Panel'!AB12="",VLOOKUP($E13,'Table Output'!$A$2:$BR$99998,MATCH(AB$4,'Table Output'!$A$1:$BQ$1,0),),'Control Panel'!AB12))</f>
        <v>0</v>
      </c>
      <c r="AC13" s="36">
        <f>IF($I13="","",IF('Control Panel'!AC12="",VLOOKUP($E13,'Table Output'!$A$2:$BR$99998,MATCH(AC$4,'Table Output'!$A$1:$BQ$1,0),),'Control Panel'!AC12))</f>
        <v>1</v>
      </c>
      <c r="AD13" s="36">
        <f>IF($I13="","",IF('Control Panel'!AD12="",VLOOKUP($E13,'Table Output'!$A$2:$BR$99998,MATCH(AD$4,'Table Output'!$A$1:$BQ$1,0),),'Control Panel'!AD12))</f>
        <v>1</v>
      </c>
      <c r="AE13" s="36">
        <f>IF($I13="","",IF('Control Panel'!AE12="",VLOOKUP($E13,'Table Output'!$A$2:$BR$99998,MATCH(AE$4,'Table Output'!$A$1:$BQ$1,0),),'Control Panel'!AE12))</f>
        <v>1</v>
      </c>
      <c r="AF13" s="36">
        <f>IF($I13="","",IF('Control Panel'!AF12="",VLOOKUP($E13,'Table Output'!$A$2:$BR$99998,MATCH(AF$4,'Table Output'!$A$1:$BQ$1,0),),'Control Panel'!AF12))</f>
        <v>1</v>
      </c>
      <c r="AG13" s="36">
        <f>IF($I13="","",IF('Control Panel'!AG12="",VLOOKUP($E13,'Table Output'!$A$2:$BR$99998,MATCH(AG$4,'Table Output'!$A$1:$BQ$1,0),),'Control Panel'!AG12))</f>
        <v>0</v>
      </c>
      <c r="AH13" s="36">
        <f>IF($I13="","",IF('Control Panel'!AH12="",VLOOKUP($E13,'Table Output'!$A$2:$BR$99998,MATCH(AH$4,'Table Output'!$A$1:$BQ$1,0),),'Control Panel'!AH12))</f>
        <v>1</v>
      </c>
      <c r="AI13" s="36">
        <f>IF($I13="","",IF('Control Panel'!AI12="",VLOOKUP($E13,'Table Output'!$A$2:$BR$99998,MATCH(AI$4,'Table Output'!$A$1:$BQ$1,0),),'Control Panel'!AI12))</f>
        <v>0</v>
      </c>
      <c r="AJ13" s="36">
        <f>IF($I13="","",IF('Control Panel'!AJ12="",VLOOKUP($E13,'Table Output'!$A$2:$BR$99998,MATCH(AJ$4,'Table Output'!$A$1:$BQ$1,0),),'Control Panel'!AJ12))</f>
        <v>0</v>
      </c>
      <c r="AL13" s="51">
        <f t="shared" si="0"/>
        <v>9</v>
      </c>
      <c r="AM13" s="48">
        <f>IF(AM$4="","",IF($I13="","",IF('Control Panel'!AM12="",VLOOKUP($E13,'Table Output'!$A$2:$BR$99998,MATCH(AM$4,'Table Output'!$A$1:$BQ$1,0),FALSE),'Control Panel'!AM12)))</f>
        <v>1</v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>Sand_80</v>
      </c>
      <c r="F14" s="2" t="str">
        <f>IF(T14=1,IF('Control Panel'!F13="","",'Control Panel'!F13),"")</f>
        <v>PISA</v>
      </c>
      <c r="G14" s="2">
        <f>IF(T14=1,IF('Control Panel'!G13="","",'Control Panel'!G13),"")</f>
        <v>1</v>
      </c>
      <c r="H14" s="2" t="str">
        <f>IF(T14=1,IF('Control Panel'!H13="","",'Control Panel'!H13),"")</f>
        <v>Loc_69_Clay_5</v>
      </c>
      <c r="I14" s="42">
        <f>IF(T14=1,IF('Control Panel'!I13="","",'Control Panel'!I13),"")</f>
        <v>10</v>
      </c>
      <c r="J14" s="36">
        <f>IF($I14="","",IF(J$4="","",IF('Control Panel'!J13="",VLOOKUP($E14,'Table Output'!$A$2:$BR$1048576,MATCH(J$4,'Table Output'!$A$1:$BQ$1,0),),'Control Panel'!J13)))</f>
        <v>72.412000000000006</v>
      </c>
      <c r="K14" s="36">
        <f>IF($I14="","",IF(K$4="","",IF('Control Panel'!K13="",VLOOKUP($E14,'Table Output'!$A$2:$BR$1048576,MATCH(K$4,'Table Output'!$A$1:$BQ$1,0),),'Control Panel'!K13)))</f>
        <v>-6.7824999999999998</v>
      </c>
      <c r="L14" s="36">
        <f>IF($I14="","",IF(L$4="","",IF('Control Panel'!L13="",VLOOKUP($E14,'Table Output'!$A$2:$BR$1048576,MATCH(L$4,'Table Output'!$A$1:$BQ$1,0),),'Control Panel'!L13)))</f>
        <v>-0.91779999999999995</v>
      </c>
      <c r="M14" s="36">
        <f>IF($I14="","",IF(M$4="","",IF('Control Panel'!M13="",VLOOKUP($E14,'Table Output'!$A$2:$BR$1048576,MATCH(M$4,'Table Output'!$A$1:$BQ$1,0),),'Control Panel'!M13)))</f>
        <v>0.96654399999999996</v>
      </c>
      <c r="N14" s="36">
        <f>IF($I14="","",IF(N$4="","",IF('Control Panel'!N13="",VLOOKUP($E14,'Table Output'!$A$2:$BR$1048576,MATCH(N$4,'Table Output'!$A$1:$BQ$1,0),),'Control Panel'!N13)))</f>
        <v>8.1714400000000005</v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1</v>
      </c>
      <c r="U14" s="36">
        <f>IF($I14="","",IF('Control Panel'!U13="",VLOOKUP($E14,'Table Output'!$A$2:$BR$99998,MATCH(U$4,'Table Output'!$A$1:$BQ$1,0),),'Control Panel'!U13))</f>
        <v>0</v>
      </c>
      <c r="V14" s="36">
        <f>IF($I14="","",IF('Control Panel'!V13="",VLOOKUP($E14,'Table Output'!$A$2:$BR$99998,MATCH(V$4,'Table Output'!$A$1:$BQ$1,0),),'Control Panel'!V13))</f>
        <v>1</v>
      </c>
      <c r="W14" s="36">
        <f>IF($I14="","",IF('Control Panel'!W13="",VLOOKUP($E14,'Table Output'!$A$2:$BR$99998,MATCH(W$4,'Table Output'!$A$1:$BQ$1,0),),'Control Panel'!W13))</f>
        <v>1</v>
      </c>
      <c r="X14" s="36">
        <f>IF($I14="","",IF('Control Panel'!X13="",VLOOKUP($E14,'Table Output'!$A$2:$BR$99998,MATCH(X$4,'Table Output'!$A$1:$BQ$1,0),),'Control Panel'!X13))</f>
        <v>0</v>
      </c>
      <c r="Y14" s="36">
        <f>IF($I14="","",IF('Control Panel'!Y13="",VLOOKUP($E14,'Table Output'!$A$2:$BR$99998,MATCH(Y$4,'Table Output'!$A$1:$BQ$1,0),),'Control Panel'!Y13))</f>
        <v>0</v>
      </c>
      <c r="Z14" s="36">
        <f>IF($I14="","",IF('Control Panel'!Z13="",VLOOKUP($E14,'Table Output'!$A$2:$BR$99998,MATCH(Z$4,'Table Output'!$A$1:$BQ$1,0),),'Control Panel'!Z13))</f>
        <v>1</v>
      </c>
      <c r="AA14" s="36">
        <f>IF($I14="","",IF('Control Panel'!AA13="",VLOOKUP($E14,'Table Output'!$A$2:$BR$99998,MATCH(AA$4,'Table Output'!$A$1:$BQ$1,0),),'Control Panel'!AA13))</f>
        <v>0</v>
      </c>
      <c r="AB14" s="36">
        <f>IF($I14="","",IF('Control Panel'!AB13="",VLOOKUP($E14,'Table Output'!$A$2:$BR$99998,MATCH(AB$4,'Table Output'!$A$1:$BQ$1,0),),'Control Panel'!AB13))</f>
        <v>0</v>
      </c>
      <c r="AC14" s="36">
        <f>IF($I14="","",IF('Control Panel'!AC13="",VLOOKUP($E14,'Table Output'!$A$2:$BR$99998,MATCH(AC$4,'Table Output'!$A$1:$BQ$1,0),),'Control Panel'!AC13))</f>
        <v>1</v>
      </c>
      <c r="AD14" s="36">
        <f>IF($I14="","",IF('Control Panel'!AD13="",VLOOKUP($E14,'Table Output'!$A$2:$BR$99998,MATCH(AD$4,'Table Output'!$A$1:$BQ$1,0),),'Control Panel'!AD13))</f>
        <v>1</v>
      </c>
      <c r="AE14" s="36">
        <f>IF($I14="","",IF('Control Panel'!AE13="",VLOOKUP($E14,'Table Output'!$A$2:$BR$99998,MATCH(AE$4,'Table Output'!$A$1:$BQ$1,0),),'Control Panel'!AE13))</f>
        <v>1</v>
      </c>
      <c r="AF14" s="36">
        <f>IF($I14="","",IF('Control Panel'!AF13="",VLOOKUP($E14,'Table Output'!$A$2:$BR$99998,MATCH(AF$4,'Table Output'!$A$1:$BQ$1,0),),'Control Panel'!AF13))</f>
        <v>1</v>
      </c>
      <c r="AG14" s="36">
        <f>IF($I14="","",IF('Control Panel'!AG13="",VLOOKUP($E14,'Table Output'!$A$2:$BR$99998,MATCH(AG$4,'Table Output'!$A$1:$BQ$1,0),),'Control Panel'!AG13))</f>
        <v>0</v>
      </c>
      <c r="AH14" s="36">
        <f>IF($I14="","",IF('Control Panel'!AH13="",VLOOKUP($E14,'Table Output'!$A$2:$BR$99998,MATCH(AH$4,'Table Output'!$A$1:$BQ$1,0),),'Control Panel'!AH13))</f>
        <v>1</v>
      </c>
      <c r="AI14" s="36">
        <f>IF($I14="","",IF('Control Panel'!AI13="",VLOOKUP($E14,'Table Output'!$A$2:$BR$99998,MATCH(AI$4,'Table Output'!$A$1:$BQ$1,0),),'Control Panel'!AI13))</f>
        <v>0</v>
      </c>
      <c r="AJ14" s="36">
        <f>IF($I14="","",IF('Control Panel'!AJ13="",VLOOKUP($E14,'Table Output'!$A$2:$BR$99998,MATCH(AJ$4,'Table Output'!$A$1:$BQ$1,0),),'Control Panel'!AJ13))</f>
        <v>0</v>
      </c>
      <c r="AL14" s="51">
        <f t="shared" si="0"/>
        <v>10</v>
      </c>
      <c r="AM14" s="48">
        <f>IF(AM$4="","",IF($I14="","",IF('Control Panel'!AM13="",VLOOKUP($E14,'Table Output'!$A$2:$BR$99998,MATCH(AM$4,'Table Output'!$A$1:$BQ$1,0),FALSE),'Control Panel'!AM13)))</f>
        <v>1</v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>Cowden_Clay</v>
      </c>
      <c r="F15" s="2" t="str">
        <f>IF(T15=1,IF('Control Panel'!F14="","",'Control Panel'!F14),"")</f>
        <v>PISA</v>
      </c>
      <c r="G15" s="2">
        <f>IF(T15=1,IF('Control Panel'!G14="","",'Control Panel'!G14),"")</f>
        <v>0</v>
      </c>
      <c r="H15" s="2" t="str">
        <f>IF(T15=1,IF('Control Panel'!H14="","",'Control Panel'!H14),"")</f>
        <v>Loc_69_Sand_6</v>
      </c>
      <c r="I15" s="42">
        <f>IF(T15=1,IF('Control Panel'!I14="","",'Control Panel'!I14),"")</f>
        <v>11</v>
      </c>
      <c r="J15" s="36">
        <f>IF($I15="","",IF(J$4="","",IF('Control Panel'!J14="",VLOOKUP($E15,'Table Output'!$A$2:$BR$1048576,MATCH(J$4,'Table Output'!$A$1:$BQ$1,0),),'Control Panel'!J14)))</f>
        <v>200</v>
      </c>
      <c r="K15" s="36">
        <f>IF($I15="","",IF(K$4="","",IF('Control Panel'!K14="",VLOOKUP($E15,'Table Output'!$A$2:$BR$1048576,MATCH(K$4,'Table Output'!$A$1:$BQ$1,0),),'Control Panel'!K14)))</f>
        <v>10.210000000000001</v>
      </c>
      <c r="L15" s="36">
        <f>IF($I15="","",IF(L$4="","",IF('Control Panel'!L14="",VLOOKUP($E15,'Table Output'!$A$2:$BR$1048576,MATCH(L$4,'Table Output'!$A$1:$BQ$1,0),),'Control Panel'!L14)))</f>
        <v>-1.1000000000000001</v>
      </c>
      <c r="M15" s="36">
        <f>IF($I15="","",IF(M$4="","",IF('Control Panel'!M14="",VLOOKUP($E15,'Table Output'!$A$2:$BR$1048576,MATCH(M$4,'Table Output'!$A$1:$BQ$1,0),),'Control Panel'!M14)))</f>
        <v>-0.05</v>
      </c>
      <c r="N15" s="36">
        <f>IF($I15="","",IF(N$4="","",IF('Control Panel'!N14="",VLOOKUP($E15,'Table Output'!$A$2:$BR$1048576,MATCH(N$4,'Table Output'!$A$1:$BQ$1,0),),'Control Panel'!N14)))</f>
        <v>8.1199999999999992</v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1</v>
      </c>
      <c r="U15" s="36">
        <f>IF($I15="","",IF('Control Panel'!U14="",VLOOKUP($E15,'Table Output'!$A$2:$BR$99998,MATCH(U$4,'Table Output'!$A$1:$BQ$1,0),),'Control Panel'!U14))</f>
        <v>0</v>
      </c>
      <c r="V15" s="36">
        <f>IF($I15="","",IF('Control Panel'!V14="",VLOOKUP($E15,'Table Output'!$A$2:$BR$99998,MATCH(V$4,'Table Output'!$A$1:$BQ$1,0),),'Control Panel'!V14))</f>
        <v>2</v>
      </c>
      <c r="W15" s="36">
        <f>IF($I15="","",IF('Control Panel'!W14="",VLOOKUP($E15,'Table Output'!$A$2:$BR$99998,MATCH(W$4,'Table Output'!$A$1:$BQ$1,0),),'Control Panel'!W14))</f>
        <v>1</v>
      </c>
      <c r="X15" s="36">
        <f>IF($I15="","",IF('Control Panel'!X14="",VLOOKUP($E15,'Table Output'!$A$2:$BR$99998,MATCH(X$4,'Table Output'!$A$1:$BQ$1,0),),'Control Panel'!X14))</f>
        <v>1</v>
      </c>
      <c r="Y15" s="36">
        <f>IF($I15="","",IF('Control Panel'!Y14="",VLOOKUP($E15,'Table Output'!$A$2:$BR$99998,MATCH(Y$4,'Table Output'!$A$1:$BQ$1,0),),'Control Panel'!Y14))</f>
        <v>0</v>
      </c>
      <c r="Z15" s="36">
        <f>IF($I15="","",IF('Control Panel'!Z14="",VLOOKUP($E15,'Table Output'!$A$2:$BR$99998,MATCH(Z$4,'Table Output'!$A$1:$BQ$1,0),),'Control Panel'!Z14))</f>
        <v>1</v>
      </c>
      <c r="AA15" s="36">
        <f>IF($I15="","",IF('Control Panel'!AA14="",VLOOKUP($E15,'Table Output'!$A$2:$BR$99998,MATCH(AA$4,'Table Output'!$A$1:$BQ$1,0),),'Control Panel'!AA14))</f>
        <v>1</v>
      </c>
      <c r="AB15" s="36">
        <f>IF($I15="","",IF('Control Panel'!AB14="",VLOOKUP($E15,'Table Output'!$A$2:$BR$99998,MATCH(AB$4,'Table Output'!$A$1:$BQ$1,0),),'Control Panel'!AB14))</f>
        <v>0</v>
      </c>
      <c r="AC15" s="36">
        <f>IF($I15="","",IF('Control Panel'!AC14="",VLOOKUP($E15,'Table Output'!$A$2:$BR$99998,MATCH(AC$4,'Table Output'!$A$1:$BQ$1,0),),'Control Panel'!AC14))</f>
        <v>0</v>
      </c>
      <c r="AD15" s="36">
        <f>IF($I15="","",IF('Control Panel'!AD14="",VLOOKUP($E15,'Table Output'!$A$2:$BR$99998,MATCH(AD$4,'Table Output'!$A$1:$BQ$1,0),),'Control Panel'!AD14))</f>
        <v>1</v>
      </c>
      <c r="AE15" s="36">
        <f>IF($I15="","",IF('Control Panel'!AE14="",VLOOKUP($E15,'Table Output'!$A$2:$BR$99998,MATCH(AE$4,'Table Output'!$A$1:$BQ$1,0),),'Control Panel'!AE14))</f>
        <v>1</v>
      </c>
      <c r="AF15" s="36">
        <f>IF($I15="","",IF('Control Panel'!AF14="",VLOOKUP($E15,'Table Output'!$A$2:$BR$99998,MATCH(AF$4,'Table Output'!$A$1:$BQ$1,0),),'Control Panel'!AF14))</f>
        <v>1</v>
      </c>
      <c r="AG15" s="36">
        <f>IF($I15="","",IF('Control Panel'!AG14="",VLOOKUP($E15,'Table Output'!$A$2:$BR$99998,MATCH(AG$4,'Table Output'!$A$1:$BQ$1,0),),'Control Panel'!AG14))</f>
        <v>0</v>
      </c>
      <c r="AH15" s="36">
        <f>IF($I15="","",IF('Control Panel'!AH14="",VLOOKUP($E15,'Table Output'!$A$2:$BR$99998,MATCH(AH$4,'Table Output'!$A$1:$BQ$1,0),),'Control Panel'!AH14))</f>
        <v>1</v>
      </c>
      <c r="AI15" s="36">
        <f>IF($I15="","",IF('Control Panel'!AI14="",VLOOKUP($E15,'Table Output'!$A$2:$BR$99998,MATCH(AI$4,'Table Output'!$A$1:$BQ$1,0),),'Control Panel'!AI14))</f>
        <v>1</v>
      </c>
      <c r="AJ15" s="36">
        <f>IF($I15="","",IF('Control Panel'!AJ14="",VLOOKUP($E15,'Table Output'!$A$2:$BR$99998,MATCH(AJ$4,'Table Output'!$A$1:$BQ$1,0),),'Control Panel'!AJ14))</f>
        <v>1</v>
      </c>
      <c r="AL15" s="51">
        <f t="shared" si="0"/>
        <v>11</v>
      </c>
      <c r="AM15" s="48">
        <f>IF(AM$4="","",IF($I15="","",IF('Control Panel'!AM14="",VLOOKUP($E15,'Table Output'!$A$2:$BR$99998,MATCH(AM$4,'Table Output'!$A$1:$BQ$1,0),FALSE),'Control Panel'!AM14)))</f>
        <v>1</v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1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Loc_69L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>-120</v>
      </c>
      <c r="L39" s="44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>-35</v>
      </c>
      <c r="M39" s="44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>0.2</v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>-120</v>
      </c>
      <c r="L41" s="44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>-35</v>
      </c>
      <c r="M41" s="44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>0.2</v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>-120</v>
      </c>
      <c r="L42" s="44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>-35</v>
      </c>
      <c r="M42" s="44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>0.2</v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>Sand_59</v>
      </c>
      <c r="I43" s="7">
        <f t="shared" si="4"/>
        <v>6</v>
      </c>
      <c r="J43" s="44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>30</v>
      </c>
      <c r="K43" s="44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>-120</v>
      </c>
      <c r="L43" s="44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>-35</v>
      </c>
      <c r="M43" s="44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>0</v>
      </c>
      <c r="N43" s="44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>0.2</v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>7.2110000000000003</v>
      </c>
      <c r="L44" s="44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>-2.4</v>
      </c>
      <c r="M44" s="44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>0.5</v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>Sand_80</v>
      </c>
      <c r="I45" s="7">
        <f t="shared" si="4"/>
        <v>8</v>
      </c>
      <c r="J45" s="44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>30</v>
      </c>
      <c r="K45" s="44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>-120</v>
      </c>
      <c r="L45" s="44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>-35</v>
      </c>
      <c r="M45" s="44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>0</v>
      </c>
      <c r="N45" s="44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>0.2</v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>Sand_80</v>
      </c>
      <c r="I46" s="7">
        <f t="shared" si="4"/>
        <v>9</v>
      </c>
      <c r="J46" s="44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>30</v>
      </c>
      <c r="K46" s="44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>-120</v>
      </c>
      <c r="L46" s="44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>-35</v>
      </c>
      <c r="M46" s="44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>0</v>
      </c>
      <c r="N46" s="44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>0.2</v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>Sand_80</v>
      </c>
      <c r="I47" s="7">
        <f t="shared" si="4"/>
        <v>10</v>
      </c>
      <c r="J47" s="44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>30</v>
      </c>
      <c r="K47" s="44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>-120</v>
      </c>
      <c r="L47" s="44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>-35</v>
      </c>
      <c r="M47" s="44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>0</v>
      </c>
      <c r="N47" s="44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>0.2</v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>Cowden_Clay</v>
      </c>
      <c r="I48" s="7">
        <f t="shared" si="4"/>
        <v>11</v>
      </c>
      <c r="J48" s="44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>30</v>
      </c>
      <c r="K48" s="44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>7.2110000000000003</v>
      </c>
      <c r="L48" s="44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>-2.4</v>
      </c>
      <c r="M48" s="44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>-1.5</v>
      </c>
      <c r="N48" s="44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>0.5</v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>300</v>
      </c>
      <c r="L74" s="44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>50</v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>300</v>
      </c>
      <c r="L76" s="44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>50</v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>300</v>
      </c>
      <c r="L77" s="44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>50</v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>Sand_59</v>
      </c>
      <c r="I78" s="7">
        <f t="shared" si="7"/>
        <v>6</v>
      </c>
      <c r="J78" s="44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>700</v>
      </c>
      <c r="K78" s="44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>300</v>
      </c>
      <c r="L78" s="44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>50</v>
      </c>
      <c r="M78" s="44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>1</v>
      </c>
      <c r="N78" s="44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>50</v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>15.832000000000001</v>
      </c>
      <c r="L79" s="44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>0.5</v>
      </c>
      <c r="M79" s="44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>14.4</v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>Sand_80</v>
      </c>
      <c r="I80" s="7">
        <f t="shared" si="7"/>
        <v>8</v>
      </c>
      <c r="J80" s="44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>700</v>
      </c>
      <c r="K80" s="44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>300</v>
      </c>
      <c r="L80" s="44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>50</v>
      </c>
      <c r="M80" s="44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>1</v>
      </c>
      <c r="N80" s="44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>50</v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>Sand_80</v>
      </c>
      <c r="I81" s="7">
        <f t="shared" si="7"/>
        <v>9</v>
      </c>
      <c r="J81" s="44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>700</v>
      </c>
      <c r="K81" s="44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>300</v>
      </c>
      <c r="L81" s="44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>50</v>
      </c>
      <c r="M81" s="44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>1</v>
      </c>
      <c r="N81" s="44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>50</v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>Sand_80</v>
      </c>
      <c r="I82" s="7">
        <f t="shared" si="7"/>
        <v>10</v>
      </c>
      <c r="J82" s="44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>700</v>
      </c>
      <c r="K82" s="44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>300</v>
      </c>
      <c r="L82" s="44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>50</v>
      </c>
      <c r="M82" s="44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>1</v>
      </c>
      <c r="N82" s="44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>50</v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>Cowden_Clay</v>
      </c>
      <c r="I83" s="7">
        <f t="shared" si="7"/>
        <v>11</v>
      </c>
      <c r="J83" s="44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>200</v>
      </c>
      <c r="K83" s="44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>15.832000000000001</v>
      </c>
      <c r="L83" s="44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>0.5</v>
      </c>
      <c r="M83" s="44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>0</v>
      </c>
      <c r="N83" s="44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>14.4</v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417</v>
      </c>
      <c r="AP4" t="s">
        <v>416</v>
      </c>
      <c r="AQ4" t="s">
        <v>415</v>
      </c>
      <c r="AR4" t="s">
        <v>414</v>
      </c>
      <c r="AS4" s="103" t="s">
        <v>413</v>
      </c>
    </row>
    <row r="5" spans="1:45" ht="17.25" x14ac:dyDescent="0.25">
      <c r="A5" t="s">
        <v>55</v>
      </c>
      <c r="B5">
        <f ca="1">COUNTIF(A:A,"&gt;0")</f>
        <v>1</v>
      </c>
      <c r="C5" t="s">
        <v>412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410</v>
      </c>
      <c r="AR5" t="s">
        <v>409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407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406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406</v>
      </c>
      <c r="D16"/>
      <c r="E16"/>
      <c r="F16"/>
      <c r="G16"/>
      <c r="H16"/>
      <c r="I16"/>
      <c r="J16">
        <v>11</v>
      </c>
      <c r="K16">
        <v>-65.5</v>
      </c>
      <c r="L16" t="s">
        <v>392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404</v>
      </c>
      <c r="AG37" t="s">
        <v>403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402</v>
      </c>
      <c r="AF38" t="s">
        <v>401</v>
      </c>
      <c r="AG38" t="s">
        <v>400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6" priority="52">
      <formula>$L17="API sand"</formula>
    </cfRule>
  </conditionalFormatting>
  <conditionalFormatting sqref="R29:S36 AB29:AB35 AK17:AL17">
    <cfRule type="expression" dxfId="55" priority="51">
      <formula>$M17="API sand"</formula>
    </cfRule>
  </conditionalFormatting>
  <conditionalFormatting sqref="R29:T36 AB29:AB35 AK17:AL17">
    <cfRule type="expression" dxfId="54" priority="50">
      <formula>$M17="API clay"</formula>
    </cfRule>
  </conditionalFormatting>
  <conditionalFormatting sqref="U29:W36 AA17 AE17:AI17 V17 AM17:AP17 AM29:AP36">
    <cfRule type="expression" dxfId="53" priority="47">
      <formula>$L17="Stiff clay w/o free water"</formula>
    </cfRule>
    <cfRule type="expression" dxfId="52" priority="49">
      <formula>$L17="API clay"</formula>
    </cfRule>
  </conditionalFormatting>
  <conditionalFormatting sqref="U29:Y36 AA17 AE17:AI17 V17 AM17:AP17 AM29:AP36">
    <cfRule type="expression" dxfId="51" priority="48">
      <formula>$L17="Kirsch soft clay"</formula>
    </cfRule>
  </conditionalFormatting>
  <conditionalFormatting sqref="U29:Y36 AA17 AE17:AI17 V17 AM17:AP17 AM29:AP36">
    <cfRule type="expression" dxfId="50" priority="46">
      <formula>$L17="Kirsch stiff clay"</formula>
    </cfRule>
  </conditionalFormatting>
  <conditionalFormatting sqref="T17 AJ17 R17 AB17 Y17:Z17 AM17:AQ17 AM29:AP36">
    <cfRule type="expression" dxfId="49" priority="45">
      <formula>$L17="Kirsch sand"</formula>
    </cfRule>
  </conditionalFormatting>
  <conditionalFormatting sqref="AM17:AP17 AM29:AP36">
    <cfRule type="expression" dxfId="48" priority="44">
      <formula>$L17="Modified Weak rock"</formula>
    </cfRule>
  </conditionalFormatting>
  <conditionalFormatting sqref="U29:V36 AA17 AE17:AI17 V17 AM17:AP17 AM29:AP36">
    <cfRule type="expression" dxfId="47" priority="43">
      <formula>$L17="Reese stiff clay"</formula>
    </cfRule>
  </conditionalFormatting>
  <conditionalFormatting sqref="N30:N36 Q29:Q36">
    <cfRule type="expression" dxfId="46" priority="42">
      <formula>$L29="API sand"</formula>
    </cfRule>
  </conditionalFormatting>
  <conditionalFormatting sqref="N30:N36 AB36 AJ29:AL36 Z29:Z36">
    <cfRule type="expression" dxfId="45" priority="41">
      <formula>$M29="API sand"</formula>
    </cfRule>
  </conditionalFormatting>
  <conditionalFormatting sqref="Z36:AB36 AK29:AL36 N30:N36 Z29:AA35">
    <cfRule type="expression" dxfId="44" priority="40">
      <formula>$M29="API clay"</formula>
    </cfRule>
  </conditionalFormatting>
  <conditionalFormatting sqref="N30:P36 O29:P29">
    <cfRule type="expression" dxfId="43" priority="37">
      <formula>$L29="Stiff clay w/o free water"</formula>
    </cfRule>
    <cfRule type="expression" dxfId="42" priority="39">
      <formula>$L29="API clay"</formula>
    </cfRule>
  </conditionalFormatting>
  <conditionalFormatting sqref="N30:P36 O29:P29">
    <cfRule type="expression" dxfId="41" priority="38">
      <formula>$L29="Kirsch soft clay"</formula>
    </cfRule>
  </conditionalFormatting>
  <conditionalFormatting sqref="N30:P36 O29:P29">
    <cfRule type="expression" dxfId="40" priority="36">
      <formula>$L29="Kirsch stiff clay"</formula>
    </cfRule>
  </conditionalFormatting>
  <conditionalFormatting sqref="N30:N36 Q29:Q36 X29:Y36">
    <cfRule type="expression" dxfId="39" priority="35">
      <formula>$L29="Kirsch sand"</formula>
    </cfRule>
  </conditionalFormatting>
  <conditionalFormatting sqref="N30:N36 AC29:AD36 AI29:AI36">
    <cfRule type="expression" dxfId="38" priority="34">
      <formula>$L29="Modified Weak rock"</formula>
    </cfRule>
  </conditionalFormatting>
  <conditionalFormatting sqref="N30:P36 O29:P29">
    <cfRule type="expression" dxfId="37" priority="33">
      <formula>$L29="Reese stiff clay"</formula>
    </cfRule>
  </conditionalFormatting>
  <conditionalFormatting sqref="AA17 AE17:AI17 V17 AM17:AP17">
    <cfRule type="expression" dxfId="36" priority="32">
      <formula>$L17="PISA clay"</formula>
    </cfRule>
  </conditionalFormatting>
  <conditionalFormatting sqref="AM17:AP17">
    <cfRule type="expression" dxfId="35" priority="31">
      <formula>$L17="PISA sand"</formula>
    </cfRule>
  </conditionalFormatting>
  <conditionalFormatting sqref="AE37:AH37">
    <cfRule type="expression" dxfId="34" priority="53">
      <formula>$L19="Modified Weak rock"</formula>
    </cfRule>
  </conditionalFormatting>
  <conditionalFormatting sqref="Q17 S17 W17">
    <cfRule type="expression" dxfId="33" priority="30">
      <formula>$L17="API sand"</formula>
    </cfRule>
  </conditionalFormatting>
  <conditionalFormatting sqref="O17:P17">
    <cfRule type="expression" dxfId="32" priority="27">
      <formula>$L17="Stiff clay w/o free water"</formula>
    </cfRule>
    <cfRule type="expression" dxfId="31" priority="29">
      <formula>$L17="API clay"</formula>
    </cfRule>
  </conditionalFormatting>
  <conditionalFormatting sqref="O17:P17">
    <cfRule type="expression" dxfId="30" priority="28">
      <formula>$L17="Kirsch soft clay"</formula>
    </cfRule>
  </conditionalFormatting>
  <conditionalFormatting sqref="O17:P17">
    <cfRule type="expression" dxfId="29" priority="26">
      <formula>$L17="Kirsch stiff clay"</formula>
    </cfRule>
  </conditionalFormatting>
  <conditionalFormatting sqref="Q17 S17 W17">
    <cfRule type="expression" dxfId="28" priority="25">
      <formula>$L17="Kirsch sand"</formula>
    </cfRule>
  </conditionalFormatting>
  <conditionalFormatting sqref="O17:P17">
    <cfRule type="expression" dxfId="27" priority="24">
      <formula>$L17="Reese stiff clay"</formula>
    </cfRule>
  </conditionalFormatting>
  <conditionalFormatting sqref="O17:P17">
    <cfRule type="expression" dxfId="26" priority="23">
      <formula>$L17="PISA clay"</formula>
    </cfRule>
  </conditionalFormatting>
  <conditionalFormatting sqref="AD17">
    <cfRule type="expression" dxfId="25" priority="20">
      <formula>$L17="Stiff clay w/o free water"</formula>
    </cfRule>
    <cfRule type="expression" dxfId="24" priority="22">
      <formula>$L17="API clay"</formula>
    </cfRule>
  </conditionalFormatting>
  <conditionalFormatting sqref="AD17">
    <cfRule type="expression" dxfId="23" priority="21">
      <formula>$L17="Kirsch soft clay"</formula>
    </cfRule>
  </conditionalFormatting>
  <conditionalFormatting sqref="AD17">
    <cfRule type="expression" dxfId="22" priority="19">
      <formula>$L17="Kirsch stiff clay"</formula>
    </cfRule>
  </conditionalFormatting>
  <conditionalFormatting sqref="AD17">
    <cfRule type="expression" dxfId="21" priority="18">
      <formula>$L17="Reese stiff clay"</formula>
    </cfRule>
  </conditionalFormatting>
  <conditionalFormatting sqref="AD17">
    <cfRule type="expression" dxfId="20" priority="17">
      <formula>$L17="PISA clay"</formula>
    </cfRule>
  </conditionalFormatting>
  <conditionalFormatting sqref="AC17">
    <cfRule type="expression" dxfId="19" priority="14">
      <formula>$L17="Stiff clay w/o free water"</formula>
    </cfRule>
    <cfRule type="expression" dxfId="18" priority="16">
      <formula>$L17="API clay"</formula>
    </cfRule>
  </conditionalFormatting>
  <conditionalFormatting sqref="AC17">
    <cfRule type="expression" dxfId="17" priority="15">
      <formula>$L17="Kirsch soft clay"</formula>
    </cfRule>
  </conditionalFormatting>
  <conditionalFormatting sqref="AC17">
    <cfRule type="expression" dxfId="16" priority="13">
      <formula>$L17="Kirsch stiff clay"</formula>
    </cfRule>
  </conditionalFormatting>
  <conditionalFormatting sqref="AC17">
    <cfRule type="expression" dxfId="15" priority="12">
      <formula>$L17="Reese stiff clay"</formula>
    </cfRule>
  </conditionalFormatting>
  <conditionalFormatting sqref="AC17">
    <cfRule type="expression" dxfId="14" priority="11">
      <formula>$L17="PISA clay"</formula>
    </cfRule>
  </conditionalFormatting>
  <conditionalFormatting sqref="X17">
    <cfRule type="expression" dxfId="13" priority="10">
      <formula>$L17="API sand"</formula>
    </cfRule>
  </conditionalFormatting>
  <conditionalFormatting sqref="X17">
    <cfRule type="expression" dxfId="12" priority="9">
      <formula>$L17="Kirsch sand"</formula>
    </cfRule>
  </conditionalFormatting>
  <conditionalFormatting sqref="U17">
    <cfRule type="expression" dxfId="11" priority="6">
      <formula>$L17="Stiff clay w/o free water"</formula>
    </cfRule>
    <cfRule type="expression" dxfId="10" priority="8">
      <formula>$L17="API clay"</formula>
    </cfRule>
  </conditionalFormatting>
  <conditionalFormatting sqref="U17">
    <cfRule type="expression" dxfId="9" priority="7">
      <formula>$L17="Kirsch soft clay"</formula>
    </cfRule>
  </conditionalFormatting>
  <conditionalFormatting sqref="U17">
    <cfRule type="expression" dxfId="8" priority="5">
      <formula>$L17="Kirsch stiff clay"</formula>
    </cfRule>
  </conditionalFormatting>
  <conditionalFormatting sqref="U17">
    <cfRule type="expression" dxfId="7" priority="4">
      <formula>$L17="Reese stiff clay"</formula>
    </cfRule>
  </conditionalFormatting>
  <conditionalFormatting sqref="U17">
    <cfRule type="expression" dxfId="6" priority="3">
      <formula>$L17="PISA clay"</formula>
    </cfRule>
  </conditionalFormatting>
  <conditionalFormatting sqref="AR17">
    <cfRule type="expression" dxfId="5" priority="2">
      <formula>$L17="API sand"</formula>
    </cfRule>
  </conditionalFormatting>
  <conditionalFormatting sqref="AR17">
    <cfRule type="expression" dxfId="4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C4" sqref="C4"/>
    </sheetView>
  </sheetViews>
  <sheetFormatPr defaultRowHeight="15" x14ac:dyDescent="0.25"/>
  <sheetData>
    <row r="2" spans="2:4" x14ac:dyDescent="0.25">
      <c r="B2" s="52" t="s">
        <v>120</v>
      </c>
      <c r="C2" s="52" t="s">
        <v>437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434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-120</v>
      </c>
      <c r="E6" s="91">
        <v>7.2110000000000003</v>
      </c>
      <c r="H6" s="135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1</v>
      </c>
      <c r="E7" s="91">
        <v>-11.798</v>
      </c>
      <c r="H7" s="135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-35</v>
      </c>
      <c r="E9" s="91">
        <v>-5555</v>
      </c>
      <c r="H9" s="135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0.2</v>
      </c>
      <c r="E10" s="91">
        <v>-5555</v>
      </c>
      <c r="H10" s="135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-0.5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0"/>
      <c r="B1" s="131"/>
      <c r="C1" s="99">
        <v>0</v>
      </c>
      <c r="D1" s="100">
        <v>1</v>
      </c>
      <c r="E1" s="101">
        <v>2</v>
      </c>
      <c r="F1" s="39"/>
      <c r="H1" s="130"/>
      <c r="I1" s="131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2"/>
      <c r="B2" s="133"/>
      <c r="C2" s="37" t="s">
        <v>75</v>
      </c>
      <c r="D2" s="98" t="s">
        <v>75</v>
      </c>
      <c r="E2" s="97" t="s">
        <v>75</v>
      </c>
      <c r="H2" s="132"/>
      <c r="I2" s="133"/>
      <c r="J2" s="37" t="s">
        <v>76</v>
      </c>
      <c r="K2" s="98" t="s">
        <v>76</v>
      </c>
      <c r="L2" s="97" t="s">
        <v>76</v>
      </c>
    </row>
    <row r="3" spans="1:13" x14ac:dyDescent="0.15">
      <c r="A3" s="134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4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5"/>
      <c r="B4" s="38" t="s">
        <v>137</v>
      </c>
      <c r="C4" s="90">
        <v>-5555</v>
      </c>
      <c r="D4" s="90">
        <v>30</v>
      </c>
      <c r="E4" s="91">
        <v>-5555</v>
      </c>
      <c r="H4" s="135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5"/>
      <c r="B5" s="38" t="s">
        <v>138</v>
      </c>
      <c r="C5" s="90">
        <v>-5555</v>
      </c>
      <c r="D5" s="92">
        <v>-5555</v>
      </c>
      <c r="E5" s="91">
        <v>-5555</v>
      </c>
      <c r="H5" s="135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5"/>
      <c r="B6" s="38" t="s">
        <v>139</v>
      </c>
      <c r="C6" s="90">
        <v>3</v>
      </c>
      <c r="D6" s="90">
        <v>0</v>
      </c>
      <c r="E6" s="91">
        <v>7.2110000000000003</v>
      </c>
      <c r="H6" s="135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5"/>
      <c r="B7" s="38" t="s">
        <v>85</v>
      </c>
      <c r="C7" s="90">
        <v>-5555</v>
      </c>
      <c r="D7" s="90">
        <v>3</v>
      </c>
      <c r="E7" s="91">
        <v>-11.798</v>
      </c>
      <c r="H7" s="135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5"/>
      <c r="B8" s="38" t="s">
        <v>87</v>
      </c>
      <c r="C8" s="90">
        <v>-5555</v>
      </c>
      <c r="D8" s="92">
        <v>-5555</v>
      </c>
      <c r="E8" s="91">
        <v>-2.44</v>
      </c>
      <c r="H8" s="135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5"/>
      <c r="B9" s="38" t="s">
        <v>86</v>
      </c>
      <c r="C9" s="90">
        <v>0.1</v>
      </c>
      <c r="D9" s="90">
        <v>-2.4</v>
      </c>
      <c r="E9" s="91">
        <v>-5555</v>
      </c>
      <c r="H9" s="135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5"/>
      <c r="B10" s="38" t="s">
        <v>140</v>
      </c>
      <c r="C10" s="90">
        <v>-5555</v>
      </c>
      <c r="D10" s="90">
        <v>0.5</v>
      </c>
      <c r="E10" s="91">
        <v>-5555</v>
      </c>
      <c r="H10" s="135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5"/>
      <c r="B11" s="38" t="s">
        <v>141</v>
      </c>
      <c r="C11" s="90">
        <v>-5555</v>
      </c>
      <c r="D11" s="92">
        <v>-5555</v>
      </c>
      <c r="E11" s="91">
        <v>-5555</v>
      </c>
      <c r="H11" s="135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5"/>
      <c r="B12" s="38" t="s">
        <v>142</v>
      </c>
      <c r="C12" s="90">
        <v>0</v>
      </c>
      <c r="D12" s="90">
        <v>-1.5</v>
      </c>
      <c r="E12" s="91">
        <v>-5555</v>
      </c>
      <c r="H12" s="135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5"/>
      <c r="B13" s="38" t="s">
        <v>143</v>
      </c>
      <c r="C13" s="90">
        <v>-5555</v>
      </c>
      <c r="D13" s="90">
        <v>0</v>
      </c>
      <c r="E13" s="91">
        <v>-5555</v>
      </c>
      <c r="H13" s="135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6"/>
      <c r="B14" s="93" t="s">
        <v>144</v>
      </c>
      <c r="C14" s="94">
        <v>-5555</v>
      </c>
      <c r="D14" s="95">
        <v>-5555</v>
      </c>
      <c r="E14" s="96">
        <v>-5555</v>
      </c>
      <c r="H14" s="136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7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7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4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4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5"/>
      <c r="B28" s="38" t="s">
        <v>156</v>
      </c>
      <c r="C28" s="90">
        <v>-5555</v>
      </c>
      <c r="D28" s="90">
        <v>0</v>
      </c>
      <c r="E28" s="91">
        <v>-5555</v>
      </c>
      <c r="H28" s="135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5"/>
      <c r="B29" s="38" t="s">
        <v>157</v>
      </c>
      <c r="C29" s="90">
        <v>-5555</v>
      </c>
      <c r="D29" s="92">
        <v>-5555</v>
      </c>
      <c r="E29" s="91">
        <v>-5555</v>
      </c>
      <c r="H29" s="135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5"/>
      <c r="B30" s="38" t="s">
        <v>158</v>
      </c>
      <c r="C30" s="90">
        <v>0.02</v>
      </c>
      <c r="D30" s="90">
        <v>0</v>
      </c>
      <c r="E30" s="91">
        <v>-5555</v>
      </c>
      <c r="H30" s="135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5"/>
      <c r="B31" s="38" t="s">
        <v>159</v>
      </c>
      <c r="C31" s="90">
        <v>-5555</v>
      </c>
      <c r="D31" s="90">
        <v>0.3</v>
      </c>
      <c r="E31" s="91">
        <v>-5555</v>
      </c>
      <c r="H31" s="135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5"/>
      <c r="B32" s="38" t="s">
        <v>160</v>
      </c>
      <c r="C32" s="90">
        <v>-5555</v>
      </c>
      <c r="D32" s="92">
        <v>-5555</v>
      </c>
      <c r="E32" s="91">
        <v>-5555</v>
      </c>
      <c r="H32" s="135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5"/>
      <c r="B33" s="38" t="s">
        <v>161</v>
      </c>
      <c r="C33" s="90">
        <v>1E-3</v>
      </c>
      <c r="D33" s="90">
        <v>-1.5</v>
      </c>
      <c r="E33" s="91">
        <v>-5555</v>
      </c>
      <c r="H33" s="135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5"/>
      <c r="B34" s="38" t="s">
        <v>162</v>
      </c>
      <c r="C34" s="90">
        <v>-5555</v>
      </c>
      <c r="D34" s="90">
        <v>-0.05</v>
      </c>
      <c r="E34" s="91">
        <v>-5555</v>
      </c>
      <c r="H34" s="135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5"/>
      <c r="B35" s="38" t="s">
        <v>163</v>
      </c>
      <c r="C35" s="90">
        <v>-5555</v>
      </c>
      <c r="D35" s="92">
        <v>-5555</v>
      </c>
      <c r="E35" s="91">
        <v>-5555</v>
      </c>
      <c r="H35" s="135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5"/>
      <c r="B36" s="38" t="s">
        <v>164</v>
      </c>
      <c r="C36" s="90">
        <v>0</v>
      </c>
      <c r="D36" s="90">
        <v>-0.3</v>
      </c>
      <c r="E36" s="91">
        <v>-5555</v>
      </c>
      <c r="H36" s="135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5"/>
      <c r="B37" s="38" t="s">
        <v>165</v>
      </c>
      <c r="C37" s="90">
        <v>-5555</v>
      </c>
      <c r="D37" s="90">
        <v>0</v>
      </c>
      <c r="E37" s="91">
        <v>-5555</v>
      </c>
      <c r="H37" s="135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6"/>
      <c r="B38" s="93" t="s">
        <v>166</v>
      </c>
      <c r="C38" s="94">
        <v>-5555</v>
      </c>
      <c r="D38" s="95">
        <v>-5555</v>
      </c>
      <c r="E38" s="96">
        <v>-5555</v>
      </c>
      <c r="H38" s="136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39:A50"/>
    <mergeCell ref="H3:H14"/>
    <mergeCell ref="H15:H26"/>
    <mergeCell ref="H27:H38"/>
    <mergeCell ref="H39:H50"/>
    <mergeCell ref="A1:B2"/>
    <mergeCell ref="H1:I2"/>
    <mergeCell ref="A3:A14"/>
    <mergeCell ref="A15:A26"/>
    <mergeCell ref="A27:A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Panel</vt:lpstr>
      <vt:lpstr>DataFilter</vt:lpstr>
      <vt:lpstr>Table Output</vt:lpstr>
      <vt:lpstr>Exchange</vt:lpstr>
      <vt:lpstr>Loc_69L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2021-11-19T11:31:59Z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