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_branch\COPCATPlaxis\excel\"/>
    </mc:Choice>
  </mc:AlternateContent>
  <xr:revisionPtr revIDLastSave="0" documentId="13_ncr:1_{23C6A016-997D-4512-8E51-481821AE4FC1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Switch_options_hidden" sheetId="227" r:id="rId6"/>
    <sheet name="Loc_69L_old" sheetId="226" r:id="rId7"/>
    <sheet name="BoundParameters_HiddenSheetSAND" sheetId="133" state="hidden" r:id="rId8"/>
    <sheet name="BoundParameters_HiddenSheetCLAY" sheetId="128" state="hidden" r:id="rId9"/>
  </sheets>
  <definedNames>
    <definedName name="ExternalData_1" localSheetId="2" hidden="1">'Table Output'!$A$1:$BQ$9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J50" i="125"/>
  <c r="R50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Q50" i="125" l="1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<sst xmlns="http://schemas.openxmlformats.org/spreadsheetml/2006/main" count="1254" uniqueCount="440">
  <si>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</si>
  <si>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</si>
  <si>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</si>
  <si>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</si>
  <si>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</si>
  <si>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</si>
  <si>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</si>
  <si>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</si>
  <si>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</si>
  <si>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</si>
  <si>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</si>
  <si>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</si>
  <si>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</si>
  <si>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</si>
  <si>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</si>
  <si>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</si>
  <si>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</si>
  <si>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</si>
  <si>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</si>
  <si>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</si>
  <si>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</si>
  <si>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</si>
  <si>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</si>
  <si>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</si>
  <si>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</si>
  <si>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</si>
  <si>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</si>
  <si>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</si>
  <si>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</si>
  <si>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</si>
  <si>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</si>
  <si>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</si>
  <si>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</si>
  <si>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</si>
  <si>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</si>
  <si>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</si>
  <si>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</si>
  <si>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</si>
  <si>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</si>
  <si>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</si>
  <si>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</si>
  <si>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</si>
  <si>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</si>
  <si>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</si>
  <si>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</si>
  <si>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</si>
  <si>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</si>
  <si>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</si>
  <si>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</si>
  <si>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</si>
  <si>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</si>
  <si>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</si>
  <si>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</si>
  <si>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</si>
  <si>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</si>
  <si>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</si>
  <si>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</si>
  <si>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</si>
  <si>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</si>
  <si>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</si>
  <si>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</si>
  <si>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</si>
  <si>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</si>
  <si>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</si>
  <si>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</si>
  <si>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</si>
  <si>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</si>
  <si>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</si>
  <si>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</si>
  <si>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</si>
  <si>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</si>
  <si>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</si>
  <si>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</si>
  <si>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</si>
  <si>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</si>
  <si>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</si>
  <si>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</si>
  <si>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</si>
  <si>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</si>
  <si>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</si>
  <si>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</si>
  <si>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</si>
  <si>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</si>
  <si>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</si>
  <si>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</si>
  <si>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</si>
  <si>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</si>
  <si>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</si>
  <si>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</si>
  <si>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</si>
  <si>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</si>
  <si>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</si>
  <si>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</si>
  <si>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</si>
  <si>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</si>
  <si>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</si>
  <si>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</si>
  <si>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</si>
  <si>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</si>
  <si>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</si>
  <si>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</si>
  <si>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</si>
  <si>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</si>
  <si>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</si>
  <si>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</si>
  <si>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</si>
  <si>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</si>
  <si>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</si>
  <si>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</si>
  <si>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</si>
  <si>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</si>
  <si>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</si>
  <si>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</si>
  <si>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</si>
  <si>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</si>
  <si>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</si>
  <si>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</si>
  <si>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</si>
  <si>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</si>
  <si>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</si>
  <si>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</si>
  <si>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</si>
  <si>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</si>
  <si>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</si>
  <si>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</si>
  <si>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</si>
  <si>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</si>
  <si>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</si>
  <si>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</si>
  <si>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</si>
  <si>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</si>
  <si>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</si>
  <si>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</si>
  <si>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</si>
  <si>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</si>
  <si>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</si>
  <si>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</si>
  <si>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</si>
  <si>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</si>
  <si>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</si>
  <si>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</si>
  <si>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</si>
  <si>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</si>
  <si>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</si>
  <si>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</si>
  <si>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</si>
  <si>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</si>
  <si>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</si>
  <si>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</si>
  <si>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</si>
  <si>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</si>
  <si>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</si>
  <si>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</si>
  <si>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</si>
  <si>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</si>
  <si>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</si>
  <si>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</si>
  <si>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</si>
  <si>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</si>
  <si>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</si>
  <si>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</si>
  <si>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</si>
  <si>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</si>
  <si>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</si>
  <si>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</si>
  <si>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</si>
  <si>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</si>
  <si>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</si>
  <si>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</si>
  <si>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</si>
  <si>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</si>
  <si>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</si>
  <si>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</si>
  <si>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</si>
  <si>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</si>
  <si>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</si>
  <si>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</si>
  <si>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</si>
  <si>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</si>
  <si>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</si>
  <si>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</si>
  <si>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</si>
  <si>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</si>
  <si>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</si>
  <si>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</si>
  <si>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</si>
  <si>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</si>
  <si>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</si>
  <si>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</si>
  <si>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</si>
  <si>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</si>
  <si>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</si>
  <si>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</si>
  <si>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</si>
  <si>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</si>
  <si>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</si>
  <si>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</si>
  <si>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</si>
  <si>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</si>
  <si>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</si>
  <si>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</si>
  <si>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</si>
  <si>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</si>
  <si>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</si>
  <si>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</si>
  <si>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</si>
  <si>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</si>
  <si>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</si>
  <si>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</si>
  <si>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</si>
  <si>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</si>
  <si>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</si>
  <si>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</si>
  <si>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</si>
  <si>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</si>
  <si>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</si>
  <si>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</si>
  <si>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</si>
  <si>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</si>
  <si>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</si>
  <si>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</si>
  <si>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</si>
  <si>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</si>
  <si>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</si>
  <si>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</si>
  <si>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</si>
  <si>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</si>
  <si>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</si>
  <si>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</si>
  <si>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</si>
  <si>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</si>
  <si>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</si>
  <si>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</si>
  <si>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</si>
  <si>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</si>
  <si>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</si>
  <si>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</si>
  <si>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</si>
  <si>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</si>
  <si>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</si>
  <si>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</si>
  <si>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</si>
  <si>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</si>
  <si>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</si>
  <si>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</si>
  <si>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</si>
  <si>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</si>
  <si>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</si>
  <si>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</si>
  <si>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</si>
  <si>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</si>
  <si>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</si>
  <si>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</si>
  <si>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</si>
  <si>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</si>
  <si>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</si>
  <si>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</si>
  <si>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</si>
  <si>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</si>
  <si>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</si>
  <si>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</si>
  <si>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</si>
  <si>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</si>
  <si>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</si>
  <si>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</si>
  <si>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</si>
  <si>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</si>
  <si>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</si>
  <si>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</si>
  <si>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</si>
  <si>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</si>
  <si>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</si>
  <si>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</si>
  <si>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</si>
  <si>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</si>
  <si>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</si>
  <si>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</si>
  <si>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</si>
  <si>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</si>
  <si>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</si>
  <si>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</si>
  <si>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</si>
  <si>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</si>
  <si>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</si>
  <si>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</si>
  <si>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</si>
  <si>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</si>
  <si>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</si>
  <si>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</si>
  <si>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</si>
  <si>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</si>
  <si>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</si>
  <si>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</si>
  <si>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</si>
  <si>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</si>
  <si>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</si>
  <si>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</si>
  <si>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</si>
  <si>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</si>
  <si>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</si>
  <si>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</si>
  <si>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</si>
  <si>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</si>
  <si>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</si>
  <si>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</si>
  <si>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</si>
  <si>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</si>
  <si>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</si>
  <si>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</si>
  <si>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</si>
  <si>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</si>
  <si>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</si>
  <si>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</si>
  <si>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</si>
  <si>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</si>
  <si>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</si>
  <si>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</si>
  <si>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</si>
  <si>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</si>
  <si>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</si>
  <si>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</si>
  <si>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</si>
  <si>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</si>
  <si>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</si>
  <si>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</si>
  <si>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</si>
  <si>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</si>
  <si>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</si>
  <si>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</si>
  <si>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</si>
  <si>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</si>
  <si>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</si>
  <si>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</si>
  <si>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</si>
  <si>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</si>
  <si>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</si>
  <si>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</si>
  <si>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</si>
  <si>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</si>
  <si>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</si>
  <si>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</si>
  <si>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</si>
  <si>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</si>
  <si>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</si>
  <si>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</si>
  <si>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</si>
  <si>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</si>
  <si>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</si>
  <si>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</si>
  <si>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</si>
  <si>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</si>
  <si>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</si>
  <si>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</si>
  <si>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</si>
  <si>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</si>
  <si>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</si>
  <si>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</si>
  <si>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</si>
  <si>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</si>
  <si>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</si>
  <si>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</si>
  <si>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</si>
  <si>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</si>
  <si>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</si>
  <si>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</si>
  <si>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</si>
  <si>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</si>
  <si>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</si>
  <si>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</si>
  <si>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</si>
  <si>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</si>
  <si>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</si>
  <si>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</si>
  <si>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</si>
  <si>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</si>
  <si>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</si>
  <si>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</si>
  <si>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</si>
  <si>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</si>
  <si>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</si>
  <si>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</si>
  <si>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</si>
  <si>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</si>
  <si>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</si>
  <si>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</si>
  <si>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</si>
  <si>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</si>
  <si>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</si>
  <si>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</si>
  <si>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</si>
  <si>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Loc_69L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</si>
  <si>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</si>
  <si>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</si>
  <si>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</si>
  <si>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</si>
  <si>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</si>
  <si>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</si>
  <si>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</si>
  <si>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</si>
  <si>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</si>
  <si>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</si>
  <si>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</si>
  <si>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</si>
  <si>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</si>
  <si>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</si>
  <si>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</si>
  <si>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</si>
  <si>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</si>
  <si>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</si>
  <si>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</si>
  <si>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</si>
  <si>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</si>
  <si>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</si>
  <si>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</si>
  <si>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</si>
  <si>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</si>
  <si>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</si>
  <si>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</si>
  <si>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</si>
  <si>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</si>
  <si>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</si>
  <si>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</si>
  <si>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</si>
  <si>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</si>
  <si>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</si>
  <si>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</si>
  <si>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</si>
  <si>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</si>
  <si>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</si>
  <si>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</si>
  <si>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</si>
  <si>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</si>
  <si>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</si>
  <si>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Loc_69_Sand_7</t>
  </si>
  <si>
    <t>Exchange sheet</t>
  </si>
  <si>
    <t>Loc_69L_old</t>
  </si>
  <si>
    <t>notes</t>
  </si>
  <si>
    <t>soil_type</t>
  </si>
  <si>
    <t>On/Off</t>
  </si>
  <si>
    <t>Pile_response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</si>
</sst>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9" tableType="queryTable" totalsRowShown="0">
  <autoFilter ref="A1:BQ9" xr:uid="{A5D94D1B-C464-4416-9FC1-BFC80439ADB3}"/>
  <tableColumns count="69">
    <tableColumn id="1" xr3:uid="{29D2CB5E-420C-4D47-A545-A4BDF692C1F1}" uniqueName="1" name="name" queryTableFieldId="1" dataDxfId="3"/>
    <tableColumn id="2" xr3:uid="{0352DEE9-A2F6-4B8A-8599-04C147D10F35}" uniqueName="2" name="project" queryTableFieldId="2" dataDxfId="2"/>
    <tableColumn id="3" xr3:uid="{BF6C5043-F72C-4AE8-9579-515A96C3E5DA}" uniqueName="3" name="rev" queryTableFieldId="3"/>
    <tableColumn id="4" xr3:uid="{555920D1-D4C3-4246-B1CC-654778957766}" uniqueName="4" name="notes" queryTableFieldId="4" dataDxfId="1"/>
    <tableColumn id="5" xr3:uid="{3C8B1387-C128-40BC-85BE-2A2258FF5090}" uniqueName="5" name="soil_type" queryTableFieldId="71" dataDxfId="0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C3" sqref="C3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16" t="s">
        <v>77</v>
      </c>
      <c r="C2" s="117"/>
      <c r="I2" s="113" t="s">
        <v>78</v>
      </c>
      <c r="J2" s="114"/>
      <c r="K2" s="114"/>
      <c r="L2" s="114"/>
      <c r="M2" s="114"/>
      <c r="N2" s="114"/>
      <c r="O2" s="114"/>
      <c r="P2" s="114"/>
      <c r="Q2" s="114"/>
      <c r="R2" s="114"/>
      <c r="S2" s="115"/>
      <c r="AL2" s="118" t="s">
        <v>79</v>
      </c>
      <c r="AM2" s="119"/>
      <c r="AN2" s="119"/>
      <c r="AO2" s="119"/>
      <c r="AP2" s="119"/>
      <c r="AQ2" s="119"/>
      <c r="AR2" s="119"/>
      <c r="AS2" s="119"/>
      <c r="AT2" s="119"/>
      <c r="AU2" s="120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246</v>
      </c>
      <c r="G3" s="83" t="s">
        <v>247</v>
      </c>
      <c r="H3" s="111" t="s">
        <v>421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187</v>
      </c>
      <c r="E4" s="84" t="s">
        <v>422</v>
      </c>
      <c r="F4" s="84" t="s">
        <v>420</v>
      </c>
      <c r="G4" s="85">
        <v>11</v>
      </c>
      <c r="H4" s="110" t="s">
        <v>422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423</v>
      </c>
      <c r="F5" s="84" t="s">
        <v>420</v>
      </c>
      <c r="G5" s="85">
        <v>11</v>
      </c>
      <c r="H5" s="110" t="s">
        <v>423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424</v>
      </c>
      <c r="F6" s="84" t="s">
        <v>420</v>
      </c>
      <c r="G6" s="85">
        <v>11</v>
      </c>
      <c r="H6" s="110" t="s">
        <v>424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218</v>
      </c>
      <c r="E7" s="84" t="s">
        <v>425</v>
      </c>
      <c r="F7" s="84" t="s">
        <v>420</v>
      </c>
      <c r="G7" s="85">
        <v>11</v>
      </c>
      <c r="H7" s="110" t="s">
        <v>425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426</v>
      </c>
      <c r="F8" s="84" t="s">
        <v>420</v>
      </c>
      <c r="G8" s="85">
        <v>11</v>
      </c>
      <c r="H8" s="110" t="s">
        <v>426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427</v>
      </c>
      <c r="F9" s="84" t="s">
        <v>420</v>
      </c>
      <c r="G9" s="85">
        <v>11</v>
      </c>
      <c r="H9" s="110" t="s">
        <v>427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428</v>
      </c>
      <c r="F10" s="84" t="s">
        <v>420</v>
      </c>
      <c r="G10" s="85">
        <v>11</v>
      </c>
      <c r="H10" s="110" t="s">
        <v>428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16" t="s">
        <v>389</v>
      </c>
      <c r="C11" s="117"/>
      <c r="E11" s="84" t="s">
        <v>429</v>
      </c>
      <c r="F11" s="84" t="s">
        <v>420</v>
      </c>
      <c r="G11" s="85">
        <v>11</v>
      </c>
      <c r="H11" s="110" t="s">
        <v>429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199</v>
      </c>
      <c r="C12" s="4" t="s">
        <v>187</v>
      </c>
      <c r="E12" s="84" t="s">
        <v>430</v>
      </c>
      <c r="F12" s="84" t="s">
        <v>420</v>
      </c>
      <c r="G12" s="85">
        <v>11</v>
      </c>
      <c r="H12" s="110" t="s">
        <v>430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200</v>
      </c>
      <c r="C13" s="10" t="s">
        <v>187</v>
      </c>
      <c r="E13" s="84" t="s">
        <v>431</v>
      </c>
      <c r="F13" s="84" t="s">
        <v>420</v>
      </c>
      <c r="G13" s="85">
        <v>11</v>
      </c>
      <c r="H13" s="110" t="s">
        <v>431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201</v>
      </c>
      <c r="C14" s="18" t="s">
        <v>187</v>
      </c>
      <c r="E14" s="86" t="s">
        <v>432</v>
      </c>
      <c r="F14" s="84" t="s">
        <v>420</v>
      </c>
      <c r="G14" s="85">
        <v>11</v>
      </c>
      <c r="H14" s="110" t="s">
        <v>432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 t="s">
        <v>433</v>
      </c>
      <c r="F15" s="84" t="s">
        <v>420</v>
      </c>
      <c r="G15" s="85">
        <v>11</v>
      </c>
      <c r="H15" s="110" t="s">
        <v>433</v>
      </c>
      <c r="I15" s="80">
        <v>12</v>
      </c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>
        <f t="shared" si="0"/>
        <v>12</v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390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1" t="s">
        <v>205</v>
      </c>
      <c r="C23" s="121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1" t="s">
        <v>206</v>
      </c>
      <c r="C27" s="121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14" t="s">
        <v>132</v>
      </c>
      <c r="J36" s="114"/>
      <c r="K36" s="114"/>
      <c r="L36" s="114"/>
      <c r="M36" s="114"/>
      <c r="N36" s="114"/>
      <c r="O36" s="114"/>
      <c r="P36" s="114"/>
      <c r="Q36" s="114"/>
      <c r="R36" s="114"/>
      <c r="S36" s="115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32" t="str">
        <f>J3</f>
        <v>y_u_1</v>
      </c>
      <c r="K37" s="133" t="str">
        <f t="shared" ref="K37:S37" si="1">K3</f>
        <v>p_u_1</v>
      </c>
      <c r="L37" s="133" t="str">
        <f t="shared" si="1"/>
        <v>k_p_1</v>
      </c>
      <c r="M37" s="133" t="str">
        <f>M3</f>
        <v>n_p_1</v>
      </c>
      <c r="N37" s="133" t="str">
        <f t="shared" si="1"/>
        <v>k_p_2</v>
      </c>
      <c r="O37" s="133" t="str">
        <f>O3</f>
        <v>NONE</v>
      </c>
      <c r="P37" s="133" t="str">
        <f t="shared" si="1"/>
        <v>NONE</v>
      </c>
      <c r="Q37" s="133" t="str">
        <f t="shared" si="1"/>
        <v>NONE</v>
      </c>
      <c r="R37" s="133" t="str">
        <f t="shared" si="1"/>
        <v>NONE</v>
      </c>
      <c r="S37" s="134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38">
        <f>IF(I4="","",I4)</f>
        <v>1</v>
      </c>
      <c r="J38" s="135"/>
      <c r="K38" s="135"/>
      <c r="L38" s="136"/>
      <c r="M38" s="136"/>
      <c r="N38" s="136"/>
      <c r="O38" s="136"/>
      <c r="P38" s="136"/>
      <c r="Q38" s="136"/>
      <c r="R38" s="136"/>
      <c r="S38" s="137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>
        <f t="shared" si="2"/>
        <v>12</v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391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399</v>
      </c>
      <c r="C53" s="4" t="s">
        <v>81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420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419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39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13" t="s">
        <v>133</v>
      </c>
      <c r="J71" s="114"/>
      <c r="K71" s="114"/>
      <c r="L71" s="114"/>
      <c r="M71" s="114"/>
      <c r="N71" s="114"/>
      <c r="O71" s="114"/>
      <c r="P71" s="114"/>
      <c r="Q71" s="114"/>
      <c r="R71" s="114"/>
      <c r="S71" s="115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38">
        <f>IF(I4="","",I4)</f>
        <v>1</v>
      </c>
      <c r="J73" s="136"/>
      <c r="K73" s="136"/>
      <c r="L73" s="136"/>
      <c r="M73" s="136"/>
      <c r="N73" s="136"/>
      <c r="O73" s="136"/>
      <c r="P73" s="136"/>
      <c r="Q73" s="136"/>
      <c r="R73" s="136"/>
      <c r="S73" s="137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>
        <f t="shared" si="4"/>
        <v>12</v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39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workbookViewId="0">
      <selection activeCell="B20" sqref="B20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393</v>
      </c>
      <c r="B1" t="s">
        <v>394</v>
      </c>
      <c r="C1" t="s">
        <v>248</v>
      </c>
    </row>
    <row r="2" spans="1:3" x14ac:dyDescent="0.25">
      <c r="A2" s="77" t="s">
        <v>395</v>
      </c>
      <c r="B2" s="77" t="s">
        <v>253</v>
      </c>
      <c r="C2">
        <v>0</v>
      </c>
    </row>
    <row r="3" spans="1:3" x14ac:dyDescent="0.25">
      <c r="A3" s="77" t="s">
        <v>396</v>
      </c>
      <c r="B3" s="77" t="s">
        <v>266</v>
      </c>
      <c r="C3">
        <v>1</v>
      </c>
    </row>
    <row r="4" spans="1:3" x14ac:dyDescent="0.25">
      <c r="A4" s="77" t="s">
        <v>392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397</v>
      </c>
      <c r="B68" s="77" t="s">
        <v>266</v>
      </c>
      <c r="C68">
        <v>1</v>
      </c>
    </row>
    <row r="69" spans="1:3" x14ac:dyDescent="0.25">
      <c r="A69" s="77" t="s">
        <v>422</v>
      </c>
      <c r="B69" s="77" t="s">
        <v>420</v>
      </c>
      <c r="C69">
        <v>10</v>
      </c>
    </row>
    <row r="70" spans="1:3" x14ac:dyDescent="0.25">
      <c r="A70" s="77" t="s">
        <v>422</v>
      </c>
      <c r="B70" s="77" t="s">
        <v>420</v>
      </c>
      <c r="C70">
        <v>11</v>
      </c>
    </row>
    <row r="71" spans="1:3" x14ac:dyDescent="0.25">
      <c r="A71" s="77" t="s">
        <v>428</v>
      </c>
      <c r="B71" s="77" t="s">
        <v>420</v>
      </c>
      <c r="C71">
        <v>10</v>
      </c>
    </row>
    <row r="72" spans="1:3" x14ac:dyDescent="0.25">
      <c r="A72" s="77" t="s">
        <v>428</v>
      </c>
      <c r="B72" s="77" t="s">
        <v>420</v>
      </c>
      <c r="C72">
        <v>11</v>
      </c>
    </row>
    <row r="73" spans="1:3" x14ac:dyDescent="0.25">
      <c r="A73" s="77" t="s">
        <v>429</v>
      </c>
      <c r="B73" s="77" t="s">
        <v>420</v>
      </c>
      <c r="C73">
        <v>10</v>
      </c>
    </row>
    <row r="74" spans="1:3" x14ac:dyDescent="0.25">
      <c r="A74" s="77" t="s">
        <v>429</v>
      </c>
      <c r="B74" s="77" t="s">
        <v>420</v>
      </c>
      <c r="C74">
        <v>11</v>
      </c>
    </row>
    <row r="75" spans="1:3" x14ac:dyDescent="0.25">
      <c r="A75" s="77" t="s">
        <v>423</v>
      </c>
      <c r="B75" s="77" t="s">
        <v>420</v>
      </c>
      <c r="C75">
        <v>10</v>
      </c>
    </row>
    <row r="76" spans="1:3" x14ac:dyDescent="0.25">
      <c r="A76" s="77" t="s">
        <v>423</v>
      </c>
      <c r="B76" s="77" t="s">
        <v>420</v>
      </c>
      <c r="C76">
        <v>11</v>
      </c>
    </row>
    <row r="77" spans="1:3" x14ac:dyDescent="0.25">
      <c r="A77" s="77" t="s">
        <v>424</v>
      </c>
      <c r="B77" s="77" t="s">
        <v>420</v>
      </c>
      <c r="C77">
        <v>10</v>
      </c>
    </row>
    <row r="78" spans="1:3" x14ac:dyDescent="0.25">
      <c r="A78" s="77" t="s">
        <v>424</v>
      </c>
      <c r="B78" s="77" t="s">
        <v>420</v>
      </c>
      <c r="C78">
        <v>11</v>
      </c>
    </row>
    <row r="79" spans="1:3" x14ac:dyDescent="0.25">
      <c r="A79" s="77" t="s">
        <v>425</v>
      </c>
      <c r="B79" s="77" t="s">
        <v>420</v>
      </c>
      <c r="C79">
        <v>10</v>
      </c>
    </row>
    <row r="80" spans="1:3" x14ac:dyDescent="0.25">
      <c r="A80" s="77" t="s">
        <v>425</v>
      </c>
      <c r="B80" s="77" t="s">
        <v>420</v>
      </c>
      <c r="C80">
        <v>11</v>
      </c>
    </row>
    <row r="81" spans="1:3" x14ac:dyDescent="0.25">
      <c r="A81" s="77" t="s">
        <v>426</v>
      </c>
      <c r="B81" s="77" t="s">
        <v>420</v>
      </c>
      <c r="C81">
        <v>10</v>
      </c>
    </row>
    <row r="82" spans="1:3" x14ac:dyDescent="0.25">
      <c r="A82" s="77" t="s">
        <v>426</v>
      </c>
      <c r="B82" s="77" t="s">
        <v>420</v>
      </c>
      <c r="C82">
        <v>11</v>
      </c>
    </row>
    <row r="83" spans="1:3" x14ac:dyDescent="0.25">
      <c r="A83" s="77" t="s">
        <v>427</v>
      </c>
      <c r="B83" s="77" t="s">
        <v>420</v>
      </c>
      <c r="C83">
        <v>10</v>
      </c>
    </row>
    <row r="84" spans="1:3" x14ac:dyDescent="0.25">
      <c r="A84" s="77" t="s">
        <v>427</v>
      </c>
      <c r="B84" s="77" t="s">
        <v>420</v>
      </c>
      <c r="C84">
        <v>11</v>
      </c>
    </row>
    <row r="85" spans="1:3" x14ac:dyDescent="0.25">
      <c r="A85" s="77" t="s">
        <v>284</v>
      </c>
      <c r="B85" s="77" t="s">
        <v>285</v>
      </c>
      <c r="C85">
        <v>0</v>
      </c>
    </row>
    <row r="86" spans="1:3" x14ac:dyDescent="0.25">
      <c r="A86" s="77" t="s">
        <v>286</v>
      </c>
      <c r="B86" s="77" t="s">
        <v>285</v>
      </c>
      <c r="C86">
        <v>0</v>
      </c>
    </row>
    <row r="87" spans="1:3" x14ac:dyDescent="0.25">
      <c r="A87" s="77" t="s">
        <v>196</v>
      </c>
      <c r="B87" s="77" t="s">
        <v>285</v>
      </c>
      <c r="C87">
        <v>0</v>
      </c>
    </row>
    <row r="88" spans="1:3" x14ac:dyDescent="0.25">
      <c r="A88" s="77" t="s">
        <v>194</v>
      </c>
      <c r="B88" s="77" t="s">
        <v>285</v>
      </c>
      <c r="C88">
        <v>0</v>
      </c>
    </row>
    <row r="89" spans="1:3" x14ac:dyDescent="0.25">
      <c r="A89" s="77" t="s">
        <v>287</v>
      </c>
      <c r="B89" s="77" t="s">
        <v>253</v>
      </c>
      <c r="C89">
        <v>1</v>
      </c>
    </row>
    <row r="90" spans="1:3" x14ac:dyDescent="0.25">
      <c r="A90" s="77" t="s">
        <v>288</v>
      </c>
      <c r="B90" s="77" t="s">
        <v>253</v>
      </c>
      <c r="C90">
        <v>1</v>
      </c>
    </row>
    <row r="91" spans="1:3" x14ac:dyDescent="0.25">
      <c r="A91" s="77" t="s">
        <v>289</v>
      </c>
      <c r="B91" s="77" t="s">
        <v>253</v>
      </c>
      <c r="C91">
        <v>1</v>
      </c>
    </row>
    <row r="92" spans="1:3" x14ac:dyDescent="0.25">
      <c r="A92" s="77" t="s">
        <v>290</v>
      </c>
      <c r="B92" s="77" t="s">
        <v>253</v>
      </c>
      <c r="C92">
        <v>1</v>
      </c>
    </row>
    <row r="93" spans="1:3" x14ac:dyDescent="0.25">
      <c r="A93" s="77" t="s">
        <v>291</v>
      </c>
      <c r="B93" s="77" t="s">
        <v>253</v>
      </c>
      <c r="C93">
        <v>1</v>
      </c>
    </row>
    <row r="94" spans="1:3" x14ac:dyDescent="0.25">
      <c r="A94" s="77" t="s">
        <v>292</v>
      </c>
      <c r="B94" s="77" t="s">
        <v>253</v>
      </c>
      <c r="C94">
        <v>1</v>
      </c>
    </row>
    <row r="95" spans="1:3" x14ac:dyDescent="0.25">
      <c r="A95" s="77" t="s">
        <v>293</v>
      </c>
      <c r="B95" s="77" t="s">
        <v>253</v>
      </c>
      <c r="C95">
        <v>1</v>
      </c>
    </row>
    <row r="96" spans="1:3" x14ac:dyDescent="0.25">
      <c r="A96" s="77" t="s">
        <v>294</v>
      </c>
      <c r="B96" s="77" t="s">
        <v>253</v>
      </c>
      <c r="C96">
        <v>1</v>
      </c>
    </row>
    <row r="97" spans="1:3" x14ac:dyDescent="0.25">
      <c r="A97" s="77" t="s">
        <v>295</v>
      </c>
      <c r="B97" s="77" t="s">
        <v>253</v>
      </c>
      <c r="C97">
        <v>1</v>
      </c>
    </row>
    <row r="98" spans="1:3" x14ac:dyDescent="0.25">
      <c r="A98" s="77" t="s">
        <v>296</v>
      </c>
      <c r="B98" s="77" t="s">
        <v>253</v>
      </c>
      <c r="C98">
        <v>1</v>
      </c>
    </row>
    <row r="99" spans="1:3" x14ac:dyDescent="0.25">
      <c r="A99" s="77" t="s">
        <v>297</v>
      </c>
      <c r="B99" s="77" t="s">
        <v>253</v>
      </c>
      <c r="C99">
        <v>1</v>
      </c>
    </row>
    <row r="100" spans="1:3" x14ac:dyDescent="0.25">
      <c r="A100" s="77" t="s">
        <v>298</v>
      </c>
      <c r="B100" s="77" t="s">
        <v>253</v>
      </c>
      <c r="C100">
        <v>1</v>
      </c>
    </row>
    <row r="101" spans="1:3" x14ac:dyDescent="0.25">
      <c r="A101" s="77" t="s">
        <v>299</v>
      </c>
      <c r="B101" s="77" t="s">
        <v>253</v>
      </c>
      <c r="C101">
        <v>1</v>
      </c>
    </row>
    <row r="102" spans="1:3" x14ac:dyDescent="0.25">
      <c r="A102" s="77" t="s">
        <v>300</v>
      </c>
      <c r="B102" s="77" t="s">
        <v>253</v>
      </c>
      <c r="C102">
        <v>1</v>
      </c>
    </row>
    <row r="103" spans="1:3" x14ac:dyDescent="0.25">
      <c r="A103" s="77" t="s">
        <v>301</v>
      </c>
      <c r="B103" s="77" t="s">
        <v>253</v>
      </c>
      <c r="C103">
        <v>1</v>
      </c>
    </row>
    <row r="104" spans="1:3" x14ac:dyDescent="0.25">
      <c r="A104" s="77" t="s">
        <v>302</v>
      </c>
      <c r="B104" s="77" t="s">
        <v>253</v>
      </c>
      <c r="C104">
        <v>1</v>
      </c>
    </row>
    <row r="105" spans="1:3" x14ac:dyDescent="0.25">
      <c r="A105" s="77" t="s">
        <v>303</v>
      </c>
      <c r="B105" s="77" t="s">
        <v>253</v>
      </c>
      <c r="C105">
        <v>1</v>
      </c>
    </row>
    <row r="106" spans="1:3" x14ac:dyDescent="0.25">
      <c r="A106" s="77" t="s">
        <v>304</v>
      </c>
      <c r="B106" s="77" t="s">
        <v>253</v>
      </c>
      <c r="C106">
        <v>1</v>
      </c>
    </row>
    <row r="107" spans="1:3" x14ac:dyDescent="0.25">
      <c r="A107" s="77" t="s">
        <v>305</v>
      </c>
      <c r="B107" s="77" t="s">
        <v>253</v>
      </c>
      <c r="C107">
        <v>1</v>
      </c>
    </row>
    <row r="108" spans="1:3" x14ac:dyDescent="0.25">
      <c r="A108" s="77" t="s">
        <v>306</v>
      </c>
      <c r="B108" s="77" t="s">
        <v>253</v>
      </c>
      <c r="C108">
        <v>1</v>
      </c>
    </row>
    <row r="109" spans="1:3" x14ac:dyDescent="0.25">
      <c r="A109" s="77" t="s">
        <v>307</v>
      </c>
      <c r="B109" s="77" t="s">
        <v>253</v>
      </c>
      <c r="C109">
        <v>1</v>
      </c>
    </row>
    <row r="110" spans="1:3" x14ac:dyDescent="0.25">
      <c r="A110" s="77" t="s">
        <v>308</v>
      </c>
      <c r="B110" s="77" t="s">
        <v>253</v>
      </c>
      <c r="C110">
        <v>1</v>
      </c>
    </row>
    <row r="111" spans="1:3" x14ac:dyDescent="0.25">
      <c r="A111" s="77" t="s">
        <v>309</v>
      </c>
      <c r="B111" s="77" t="s">
        <v>253</v>
      </c>
      <c r="C111">
        <v>1</v>
      </c>
    </row>
    <row r="112" spans="1:3" x14ac:dyDescent="0.25">
      <c r="A112" s="77" t="s">
        <v>310</v>
      </c>
      <c r="B112" s="77" t="s">
        <v>253</v>
      </c>
      <c r="C112">
        <v>1</v>
      </c>
    </row>
    <row r="113" spans="1:3" x14ac:dyDescent="0.25">
      <c r="A113" s="77" t="s">
        <v>311</v>
      </c>
      <c r="B113" s="77" t="s">
        <v>253</v>
      </c>
      <c r="C113">
        <v>1</v>
      </c>
    </row>
    <row r="114" spans="1:3" x14ac:dyDescent="0.25">
      <c r="A114" s="77" t="s">
        <v>312</v>
      </c>
      <c r="B114" s="77" t="s">
        <v>253</v>
      </c>
      <c r="C114">
        <v>1</v>
      </c>
    </row>
    <row r="115" spans="1:3" x14ac:dyDescent="0.25">
      <c r="A115" s="77" t="s">
        <v>313</v>
      </c>
      <c r="B115" s="77" t="s">
        <v>253</v>
      </c>
      <c r="C115">
        <v>1</v>
      </c>
    </row>
    <row r="116" spans="1:3" x14ac:dyDescent="0.25">
      <c r="A116" s="77" t="s">
        <v>314</v>
      </c>
      <c r="B116" s="77" t="s">
        <v>253</v>
      </c>
      <c r="C116">
        <v>1</v>
      </c>
    </row>
    <row r="117" spans="1:3" x14ac:dyDescent="0.25">
      <c r="A117" s="77" t="s">
        <v>315</v>
      </c>
      <c r="B117" s="77" t="s">
        <v>253</v>
      </c>
      <c r="C117">
        <v>1</v>
      </c>
    </row>
    <row r="118" spans="1:3" x14ac:dyDescent="0.25">
      <c r="A118" s="77" t="s">
        <v>316</v>
      </c>
      <c r="B118" s="77" t="s">
        <v>253</v>
      </c>
      <c r="C118">
        <v>1</v>
      </c>
    </row>
    <row r="119" spans="1:3" x14ac:dyDescent="0.25">
      <c r="A119" s="77" t="s">
        <v>317</v>
      </c>
      <c r="B119" s="77" t="s">
        <v>253</v>
      </c>
      <c r="C119">
        <v>1</v>
      </c>
    </row>
    <row r="120" spans="1:3" x14ac:dyDescent="0.25">
      <c r="A120" s="77" t="s">
        <v>318</v>
      </c>
      <c r="B120" s="77" t="s">
        <v>253</v>
      </c>
      <c r="C120">
        <v>1</v>
      </c>
    </row>
    <row r="121" spans="1:3" x14ac:dyDescent="0.25">
      <c r="A121" s="77" t="s">
        <v>319</v>
      </c>
      <c r="B121" s="77" t="s">
        <v>253</v>
      </c>
      <c r="C121">
        <v>1</v>
      </c>
    </row>
    <row r="122" spans="1:3" x14ac:dyDescent="0.25">
      <c r="A122" s="77" t="s">
        <v>320</v>
      </c>
      <c r="B122" s="77" t="s">
        <v>253</v>
      </c>
      <c r="C122">
        <v>1</v>
      </c>
    </row>
    <row r="123" spans="1:3" x14ac:dyDescent="0.25">
      <c r="A123" s="77" t="s">
        <v>321</v>
      </c>
      <c r="B123" s="77" t="s">
        <v>253</v>
      </c>
      <c r="C123">
        <v>1</v>
      </c>
    </row>
    <row r="124" spans="1:3" x14ac:dyDescent="0.25">
      <c r="A124" s="77" t="s">
        <v>322</v>
      </c>
      <c r="B124" s="77" t="s">
        <v>253</v>
      </c>
      <c r="C124">
        <v>1</v>
      </c>
    </row>
    <row r="125" spans="1:3" x14ac:dyDescent="0.25">
      <c r="A125" s="77" t="s">
        <v>323</v>
      </c>
      <c r="B125" s="77" t="s">
        <v>253</v>
      </c>
      <c r="C125">
        <v>1</v>
      </c>
    </row>
    <row r="126" spans="1:3" x14ac:dyDescent="0.25">
      <c r="A126" s="77" t="s">
        <v>324</v>
      </c>
      <c r="B126" s="77" t="s">
        <v>253</v>
      </c>
      <c r="C126">
        <v>1</v>
      </c>
    </row>
    <row r="127" spans="1:3" x14ac:dyDescent="0.25">
      <c r="A127" s="77" t="s">
        <v>325</v>
      </c>
      <c r="B127" s="77" t="s">
        <v>253</v>
      </c>
      <c r="C127">
        <v>1</v>
      </c>
    </row>
    <row r="128" spans="1:3" x14ac:dyDescent="0.25">
      <c r="A128" s="77" t="s">
        <v>326</v>
      </c>
      <c r="B128" s="77" t="s">
        <v>253</v>
      </c>
      <c r="C128">
        <v>1</v>
      </c>
    </row>
    <row r="129" spans="1:3" x14ac:dyDescent="0.25">
      <c r="A129" s="77" t="s">
        <v>327</v>
      </c>
      <c r="B129" s="77" t="s">
        <v>253</v>
      </c>
      <c r="C129">
        <v>1</v>
      </c>
    </row>
    <row r="130" spans="1:3" x14ac:dyDescent="0.25">
      <c r="A130" s="77" t="s">
        <v>328</v>
      </c>
      <c r="B130" s="77" t="s">
        <v>253</v>
      </c>
      <c r="C130">
        <v>1</v>
      </c>
    </row>
    <row r="131" spans="1:3" x14ac:dyDescent="0.25">
      <c r="A131" s="77" t="s">
        <v>329</v>
      </c>
      <c r="B131" s="77" t="s">
        <v>253</v>
      </c>
      <c r="C131">
        <v>1</v>
      </c>
    </row>
    <row r="132" spans="1:3" x14ac:dyDescent="0.25">
      <c r="A132" s="77" t="s">
        <v>330</v>
      </c>
      <c r="B132" s="77" t="s">
        <v>253</v>
      </c>
      <c r="C132">
        <v>1</v>
      </c>
    </row>
    <row r="133" spans="1:3" x14ac:dyDescent="0.25">
      <c r="A133" s="77" t="s">
        <v>331</v>
      </c>
      <c r="B133" s="77" t="s">
        <v>253</v>
      </c>
      <c r="C133">
        <v>1</v>
      </c>
    </row>
    <row r="134" spans="1:3" x14ac:dyDescent="0.25">
      <c r="A134" s="77" t="s">
        <v>332</v>
      </c>
      <c r="B134" s="77" t="s">
        <v>253</v>
      </c>
      <c r="C134">
        <v>1</v>
      </c>
    </row>
    <row r="135" spans="1:3" x14ac:dyDescent="0.25">
      <c r="A135" s="77" t="s">
        <v>333</v>
      </c>
      <c r="B135" s="77" t="s">
        <v>253</v>
      </c>
      <c r="C135">
        <v>1</v>
      </c>
    </row>
    <row r="136" spans="1:3" x14ac:dyDescent="0.25">
      <c r="A136" s="77" t="s">
        <v>334</v>
      </c>
      <c r="B136" s="77" t="s">
        <v>253</v>
      </c>
      <c r="C136">
        <v>1</v>
      </c>
    </row>
    <row r="137" spans="1:3" x14ac:dyDescent="0.25">
      <c r="A137" s="77" t="s">
        <v>335</v>
      </c>
      <c r="B137" s="77" t="s">
        <v>253</v>
      </c>
      <c r="C137">
        <v>1</v>
      </c>
    </row>
    <row r="138" spans="1:3" x14ac:dyDescent="0.25">
      <c r="A138" s="77" t="s">
        <v>336</v>
      </c>
      <c r="B138" s="77" t="s">
        <v>253</v>
      </c>
      <c r="C138">
        <v>1</v>
      </c>
    </row>
    <row r="139" spans="1:3" x14ac:dyDescent="0.25">
      <c r="A139" s="77" t="s">
        <v>337</v>
      </c>
      <c r="B139" s="77" t="s">
        <v>253</v>
      </c>
      <c r="C139">
        <v>1</v>
      </c>
    </row>
    <row r="140" spans="1:3" x14ac:dyDescent="0.25">
      <c r="A140" s="77" t="s">
        <v>338</v>
      </c>
      <c r="B140" s="77" t="s">
        <v>253</v>
      </c>
      <c r="C140">
        <v>1</v>
      </c>
    </row>
    <row r="141" spans="1:3" x14ac:dyDescent="0.25">
      <c r="A141" s="77" t="s">
        <v>339</v>
      </c>
      <c r="B141" s="77" t="s">
        <v>253</v>
      </c>
      <c r="C141">
        <v>1</v>
      </c>
    </row>
    <row r="142" spans="1:3" x14ac:dyDescent="0.25">
      <c r="A142" s="77" t="s">
        <v>340</v>
      </c>
      <c r="B142" s="77" t="s">
        <v>253</v>
      </c>
      <c r="C142">
        <v>1</v>
      </c>
    </row>
    <row r="143" spans="1:3" x14ac:dyDescent="0.25">
      <c r="A143" s="77" t="s">
        <v>341</v>
      </c>
      <c r="B143" s="77" t="s">
        <v>253</v>
      </c>
      <c r="C143">
        <v>1</v>
      </c>
    </row>
    <row r="144" spans="1:3" x14ac:dyDescent="0.25">
      <c r="A144" s="77" t="s">
        <v>342</v>
      </c>
      <c r="B144" s="77" t="s">
        <v>253</v>
      </c>
      <c r="C144">
        <v>1</v>
      </c>
    </row>
    <row r="145" spans="1:3" x14ac:dyDescent="0.25">
      <c r="A145" s="77" t="s">
        <v>343</v>
      </c>
      <c r="B145" s="77" t="s">
        <v>253</v>
      </c>
      <c r="C145">
        <v>1</v>
      </c>
    </row>
    <row r="146" spans="1:3" x14ac:dyDescent="0.25">
      <c r="A146" s="77" t="s">
        <v>344</v>
      </c>
      <c r="B146" s="77" t="s">
        <v>253</v>
      </c>
      <c r="C146">
        <v>1</v>
      </c>
    </row>
    <row r="147" spans="1:3" x14ac:dyDescent="0.25">
      <c r="A147" s="77" t="s">
        <v>345</v>
      </c>
      <c r="B147" s="77" t="s">
        <v>253</v>
      </c>
      <c r="C147">
        <v>1</v>
      </c>
    </row>
    <row r="148" spans="1:3" x14ac:dyDescent="0.25">
      <c r="A148" s="77" t="s">
        <v>346</v>
      </c>
      <c r="B148" s="77" t="s">
        <v>253</v>
      </c>
      <c r="C148">
        <v>1</v>
      </c>
    </row>
    <row r="149" spans="1:3" x14ac:dyDescent="0.25">
      <c r="A149" s="77" t="s">
        <v>347</v>
      </c>
      <c r="B149" s="77" t="s">
        <v>253</v>
      </c>
      <c r="C149">
        <v>1</v>
      </c>
    </row>
    <row r="150" spans="1:3" x14ac:dyDescent="0.25">
      <c r="A150" s="77" t="s">
        <v>348</v>
      </c>
      <c r="B150" s="77" t="s">
        <v>253</v>
      </c>
      <c r="C150">
        <v>1</v>
      </c>
    </row>
    <row r="151" spans="1:3" x14ac:dyDescent="0.25">
      <c r="A151" s="77" t="s">
        <v>349</v>
      </c>
      <c r="B151" s="77" t="s">
        <v>253</v>
      </c>
      <c r="C151">
        <v>1</v>
      </c>
    </row>
    <row r="152" spans="1:3" x14ac:dyDescent="0.25">
      <c r="A152" s="77" t="s">
        <v>350</v>
      </c>
      <c r="B152" s="77" t="s">
        <v>253</v>
      </c>
      <c r="C152">
        <v>1</v>
      </c>
    </row>
    <row r="153" spans="1:3" x14ac:dyDescent="0.25">
      <c r="A153" s="77" t="s">
        <v>351</v>
      </c>
      <c r="B153" s="77" t="s">
        <v>253</v>
      </c>
      <c r="C153">
        <v>1</v>
      </c>
    </row>
    <row r="154" spans="1:3" x14ac:dyDescent="0.25">
      <c r="A154" s="77" t="s">
        <v>352</v>
      </c>
      <c r="B154" s="77" t="s">
        <v>253</v>
      </c>
      <c r="C154">
        <v>1</v>
      </c>
    </row>
    <row r="155" spans="1:3" x14ac:dyDescent="0.25">
      <c r="A155" s="77" t="s">
        <v>353</v>
      </c>
      <c r="B155" s="77" t="s">
        <v>253</v>
      </c>
      <c r="C155">
        <v>1</v>
      </c>
    </row>
    <row r="156" spans="1:3" x14ac:dyDescent="0.25">
      <c r="A156" s="77" t="s">
        <v>354</v>
      </c>
      <c r="B156" s="77" t="s">
        <v>253</v>
      </c>
      <c r="C156">
        <v>1</v>
      </c>
    </row>
    <row r="157" spans="1:3" x14ac:dyDescent="0.25">
      <c r="A157" s="77" t="s">
        <v>355</v>
      </c>
      <c r="B157" s="77" t="s">
        <v>253</v>
      </c>
      <c r="C157">
        <v>1</v>
      </c>
    </row>
    <row r="158" spans="1:3" x14ac:dyDescent="0.25">
      <c r="A158" s="77" t="s">
        <v>356</v>
      </c>
      <c r="B158" s="77" t="s">
        <v>253</v>
      </c>
      <c r="C158">
        <v>1</v>
      </c>
    </row>
    <row r="159" spans="1:3" x14ac:dyDescent="0.25">
      <c r="A159" s="77" t="s">
        <v>357</v>
      </c>
      <c r="B159" s="77" t="s">
        <v>253</v>
      </c>
      <c r="C159">
        <v>1</v>
      </c>
    </row>
    <row r="160" spans="1:3" x14ac:dyDescent="0.25">
      <c r="A160" s="77" t="s">
        <v>358</v>
      </c>
      <c r="B160" s="77" t="s">
        <v>253</v>
      </c>
      <c r="C160">
        <v>1</v>
      </c>
    </row>
    <row r="161" spans="1:3" x14ac:dyDescent="0.25">
      <c r="A161" s="77" t="s">
        <v>359</v>
      </c>
      <c r="B161" s="77" t="s">
        <v>253</v>
      </c>
      <c r="C161">
        <v>1</v>
      </c>
    </row>
    <row r="162" spans="1:3" x14ac:dyDescent="0.25">
      <c r="A162" s="77" t="s">
        <v>360</v>
      </c>
      <c r="B162" s="77" t="s">
        <v>253</v>
      </c>
      <c r="C162">
        <v>1</v>
      </c>
    </row>
    <row r="163" spans="1:3" x14ac:dyDescent="0.25">
      <c r="A163" s="77" t="s">
        <v>361</v>
      </c>
      <c r="B163" s="77" t="s">
        <v>253</v>
      </c>
      <c r="C163">
        <v>1</v>
      </c>
    </row>
    <row r="164" spans="1:3" x14ac:dyDescent="0.25">
      <c r="A164" s="77" t="s">
        <v>362</v>
      </c>
      <c r="B164" s="77" t="s">
        <v>253</v>
      </c>
      <c r="C164">
        <v>1</v>
      </c>
    </row>
    <row r="165" spans="1:3" x14ac:dyDescent="0.25">
      <c r="A165" s="77" t="s">
        <v>363</v>
      </c>
      <c r="B165" s="77" t="s">
        <v>253</v>
      </c>
      <c r="C165">
        <v>1</v>
      </c>
    </row>
    <row r="166" spans="1:3" x14ac:dyDescent="0.25">
      <c r="A166" s="77" t="s">
        <v>364</v>
      </c>
      <c r="B166" s="77" t="s">
        <v>253</v>
      </c>
      <c r="C166">
        <v>1</v>
      </c>
    </row>
    <row r="167" spans="1:3" x14ac:dyDescent="0.25">
      <c r="A167" s="77" t="s">
        <v>365</v>
      </c>
      <c r="B167" s="77" t="s">
        <v>253</v>
      </c>
      <c r="C167">
        <v>1</v>
      </c>
    </row>
    <row r="168" spans="1:3" x14ac:dyDescent="0.25">
      <c r="A168" s="77" t="s">
        <v>366</v>
      </c>
      <c r="B168" s="77" t="s">
        <v>253</v>
      </c>
      <c r="C168">
        <v>1</v>
      </c>
    </row>
    <row r="169" spans="1:3" x14ac:dyDescent="0.25">
      <c r="A169" s="77" t="s">
        <v>367</v>
      </c>
      <c r="B169" s="77" t="s">
        <v>253</v>
      </c>
      <c r="C169">
        <v>1</v>
      </c>
    </row>
    <row r="170" spans="1:3" x14ac:dyDescent="0.25">
      <c r="A170" s="77" t="s">
        <v>368</v>
      </c>
      <c r="B170" s="77" t="s">
        <v>253</v>
      </c>
      <c r="C170">
        <v>1</v>
      </c>
    </row>
    <row r="171" spans="1:3" x14ac:dyDescent="0.25">
      <c r="A171" s="77" t="s">
        <v>369</v>
      </c>
      <c r="B171" s="77" t="s">
        <v>253</v>
      </c>
      <c r="C171">
        <v>1</v>
      </c>
    </row>
    <row r="172" spans="1:3" x14ac:dyDescent="0.25">
      <c r="A172" s="77" t="s">
        <v>370</v>
      </c>
      <c r="B172" s="77" t="s">
        <v>253</v>
      </c>
      <c r="C172">
        <v>1</v>
      </c>
    </row>
    <row r="173" spans="1:3" x14ac:dyDescent="0.25">
      <c r="A173" s="77" t="s">
        <v>371</v>
      </c>
      <c r="B173" s="77" t="s">
        <v>253</v>
      </c>
      <c r="C173">
        <v>1</v>
      </c>
    </row>
    <row r="174" spans="1:3" x14ac:dyDescent="0.25">
      <c r="A174" s="77" t="s">
        <v>372</v>
      </c>
      <c r="B174" s="77" t="s">
        <v>253</v>
      </c>
      <c r="C174">
        <v>1</v>
      </c>
    </row>
    <row r="175" spans="1:3" x14ac:dyDescent="0.25">
      <c r="A175" s="77" t="s">
        <v>373</v>
      </c>
      <c r="B175" s="77" t="s">
        <v>253</v>
      </c>
      <c r="C175">
        <v>1</v>
      </c>
    </row>
    <row r="176" spans="1:3" x14ac:dyDescent="0.25">
      <c r="A176" s="77" t="s">
        <v>374</v>
      </c>
      <c r="B176" s="77" t="s">
        <v>253</v>
      </c>
      <c r="C176">
        <v>1</v>
      </c>
    </row>
    <row r="177" spans="1:3" x14ac:dyDescent="0.25">
      <c r="A177" s="77" t="s">
        <v>375</v>
      </c>
      <c r="B177" s="77" t="s">
        <v>253</v>
      </c>
      <c r="C177">
        <v>1</v>
      </c>
    </row>
    <row r="178" spans="1:3" x14ac:dyDescent="0.25">
      <c r="A178" s="77" t="s">
        <v>376</v>
      </c>
      <c r="B178" s="77" t="s">
        <v>253</v>
      </c>
      <c r="C178">
        <v>1</v>
      </c>
    </row>
    <row r="179" spans="1:3" x14ac:dyDescent="0.25">
      <c r="A179" s="77" t="s">
        <v>377</v>
      </c>
      <c r="B179" s="77" t="s">
        <v>253</v>
      </c>
      <c r="C179">
        <v>1</v>
      </c>
    </row>
    <row r="180" spans="1:3" x14ac:dyDescent="0.25">
      <c r="A180" s="77" t="s">
        <v>378</v>
      </c>
      <c r="B180" s="77" t="s">
        <v>253</v>
      </c>
      <c r="C180">
        <v>1</v>
      </c>
    </row>
    <row r="181" spans="1:3" x14ac:dyDescent="0.25">
      <c r="A181" s="77" t="s">
        <v>379</v>
      </c>
      <c r="B181" s="77" t="s">
        <v>253</v>
      </c>
      <c r="C181">
        <v>1</v>
      </c>
    </row>
    <row r="182" spans="1:3" x14ac:dyDescent="0.25">
      <c r="A182" s="77" t="s">
        <v>380</v>
      </c>
      <c r="B182" s="77" t="s">
        <v>253</v>
      </c>
      <c r="C182">
        <v>1</v>
      </c>
    </row>
    <row r="183" spans="1:3" x14ac:dyDescent="0.25">
      <c r="A183" s="77" t="s">
        <v>381</v>
      </c>
      <c r="B183" s="77" t="s">
        <v>253</v>
      </c>
      <c r="C183">
        <v>1</v>
      </c>
    </row>
    <row r="184" spans="1:3" x14ac:dyDescent="0.25">
      <c r="A184" s="77" t="s">
        <v>382</v>
      </c>
      <c r="B184" s="77" t="s">
        <v>253</v>
      </c>
      <c r="C184">
        <v>1</v>
      </c>
    </row>
    <row r="185" spans="1:3" x14ac:dyDescent="0.25">
      <c r="A185" s="77" t="s">
        <v>383</v>
      </c>
      <c r="B185" s="77" t="s">
        <v>253</v>
      </c>
      <c r="C185">
        <v>1</v>
      </c>
    </row>
    <row r="186" spans="1:3" x14ac:dyDescent="0.25">
      <c r="A186" s="77" t="s">
        <v>384</v>
      </c>
      <c r="B186" s="77" t="s">
        <v>253</v>
      </c>
      <c r="C186">
        <v>1</v>
      </c>
    </row>
    <row r="187" spans="1:3" x14ac:dyDescent="0.25">
      <c r="A187" s="77" t="s">
        <v>385</v>
      </c>
      <c r="B187" s="77" t="s">
        <v>253</v>
      </c>
      <c r="C187">
        <v>1</v>
      </c>
    </row>
    <row r="188" spans="1:3" x14ac:dyDescent="0.25">
      <c r="A188" s="77" t="s">
        <v>386</v>
      </c>
      <c r="B188" s="77" t="s">
        <v>253</v>
      </c>
      <c r="C188">
        <v>1</v>
      </c>
    </row>
    <row r="189" spans="1:3" x14ac:dyDescent="0.25">
      <c r="A189" s="77" t="s">
        <v>398</v>
      </c>
      <c r="B189" s="77" t="s">
        <v>266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9"/>
  <sheetViews>
    <sheetView zoomScale="78" workbookViewId="0">
      <selection activeCell="C2" sqref="C2:C9"/>
    </sheetView>
  </sheetViews>
  <sheetFormatPr defaultRowHeight="15" x14ac:dyDescent="0.25"/>
  <cols>
    <col min="1" max="1" width="14.5703125" bestFit="1" customWidth="1"/>
    <col min="2" max="2" width="15.140625" bestFit="1" customWidth="1"/>
    <col min="3" max="3" width="6.5703125" bestFit="1" customWidth="1"/>
    <col min="4" max="4" width="13.710937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8" width="8.7109375" bestFit="1" customWidth="1"/>
    <col min="19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9.42578125" bestFit="1" customWidth="1"/>
    <col min="48" max="50" width="9" bestFit="1" customWidth="1"/>
    <col min="51" max="51" width="10.5703125" bestFit="1" customWidth="1"/>
    <col min="52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393</v>
      </c>
      <c r="B1" t="s">
        <v>394</v>
      </c>
      <c r="C1" t="s">
        <v>248</v>
      </c>
      <c r="D1" t="s">
        <v>436</v>
      </c>
      <c r="E1" t="s">
        <v>437</v>
      </c>
      <c r="F1" t="s">
        <v>92</v>
      </c>
      <c r="G1" t="s">
        <v>84</v>
      </c>
      <c r="H1" t="s">
        <v>137</v>
      </c>
      <c r="I1" t="s">
        <v>138</v>
      </c>
      <c r="J1" t="s">
        <v>249</v>
      </c>
      <c r="K1" t="s">
        <v>250</v>
      </c>
      <c r="L1" t="s">
        <v>251</v>
      </c>
      <c r="M1" t="s">
        <v>252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422</v>
      </c>
      <c r="B2" s="77" t="s">
        <v>420</v>
      </c>
      <c r="C2">
        <v>11</v>
      </c>
      <c r="D2" s="77" t="s">
        <v>439</v>
      </c>
      <c r="E2" s="77" t="s">
        <v>388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428</v>
      </c>
      <c r="B3" s="77" t="s">
        <v>420</v>
      </c>
      <c r="C3">
        <v>11</v>
      </c>
      <c r="D3" s="77" t="s">
        <v>439</v>
      </c>
      <c r="E3" s="77" t="s">
        <v>388</v>
      </c>
      <c r="F3">
        <v>0</v>
      </c>
      <c r="G3">
        <v>200</v>
      </c>
      <c r="H3">
        <v>0</v>
      </c>
      <c r="I3">
        <v>0</v>
      </c>
      <c r="J3">
        <v>2</v>
      </c>
      <c r="K3">
        <v>10.210000000000001</v>
      </c>
      <c r="L3">
        <v>-7.22</v>
      </c>
      <c r="M3">
        <v>-0.33</v>
      </c>
      <c r="N3">
        <v>1</v>
      </c>
      <c r="O3">
        <v>-1.1000000000000001</v>
      </c>
      <c r="P3">
        <v>8.1199999999999992</v>
      </c>
      <c r="Q3">
        <v>0</v>
      </c>
      <c r="R3">
        <v>1</v>
      </c>
      <c r="S3">
        <v>-0.05</v>
      </c>
      <c r="T3">
        <v>0.92</v>
      </c>
      <c r="U3">
        <v>0</v>
      </c>
      <c r="V3">
        <v>0</v>
      </c>
      <c r="W3">
        <v>10</v>
      </c>
      <c r="X3">
        <v>0</v>
      </c>
      <c r="Y3">
        <v>0</v>
      </c>
      <c r="Z3">
        <v>1</v>
      </c>
      <c r="AA3">
        <v>-0.04</v>
      </c>
      <c r="AB3">
        <v>0.38</v>
      </c>
      <c r="AC3">
        <v>0</v>
      </c>
      <c r="AD3">
        <v>1</v>
      </c>
      <c r="AE3">
        <v>-0.11</v>
      </c>
      <c r="AF3">
        <v>0.97</v>
      </c>
      <c r="AG3">
        <v>0</v>
      </c>
      <c r="AH3">
        <v>0</v>
      </c>
      <c r="AI3">
        <v>1E-4</v>
      </c>
      <c r="AJ3">
        <v>0</v>
      </c>
      <c r="AK3">
        <v>0</v>
      </c>
      <c r="AL3">
        <v>0</v>
      </c>
      <c r="AM3">
        <v>300</v>
      </c>
      <c r="AN3">
        <v>0</v>
      </c>
      <c r="AO3">
        <v>0</v>
      </c>
      <c r="AP3">
        <v>1</v>
      </c>
      <c r="AQ3">
        <v>7.0000000000000007E-2</v>
      </c>
      <c r="AR3">
        <v>0.6</v>
      </c>
      <c r="AS3">
        <v>0</v>
      </c>
      <c r="AT3">
        <v>1</v>
      </c>
      <c r="AU3">
        <v>-0.32</v>
      </c>
      <c r="AV3">
        <v>2.56</v>
      </c>
      <c r="AW3">
        <v>0</v>
      </c>
      <c r="AX3">
        <v>1</v>
      </c>
      <c r="AY3">
        <v>-0.03</v>
      </c>
      <c r="AZ3">
        <v>0.74</v>
      </c>
      <c r="BA3">
        <v>0</v>
      </c>
      <c r="BB3">
        <v>0</v>
      </c>
      <c r="BC3">
        <v>200</v>
      </c>
      <c r="BD3">
        <v>0</v>
      </c>
      <c r="BE3">
        <v>0</v>
      </c>
      <c r="BF3">
        <v>1</v>
      </c>
      <c r="BG3">
        <v>-0.08</v>
      </c>
      <c r="BH3">
        <v>0.65</v>
      </c>
      <c r="BI3">
        <v>0</v>
      </c>
      <c r="BJ3">
        <v>1</v>
      </c>
      <c r="BK3">
        <v>-3.0000000000000001E-3</v>
      </c>
      <c r="BL3">
        <v>0.2</v>
      </c>
      <c r="BM3">
        <v>0</v>
      </c>
      <c r="BN3">
        <v>1</v>
      </c>
      <c r="BO3">
        <v>-0.16</v>
      </c>
      <c r="BP3">
        <v>1.01</v>
      </c>
      <c r="BQ3">
        <v>0</v>
      </c>
    </row>
    <row r="4" spans="1:69" x14ac:dyDescent="0.25">
      <c r="A4" s="77" t="s">
        <v>423</v>
      </c>
      <c r="B4" s="77" t="s">
        <v>420</v>
      </c>
      <c r="C4">
        <v>11</v>
      </c>
      <c r="D4" s="77" t="s">
        <v>439</v>
      </c>
      <c r="E4" s="77" t="s">
        <v>387</v>
      </c>
      <c r="F4">
        <v>0</v>
      </c>
      <c r="G4">
        <v>77.017499999999998</v>
      </c>
      <c r="H4">
        <v>0</v>
      </c>
      <c r="I4">
        <v>0</v>
      </c>
      <c r="J4">
        <v>1</v>
      </c>
      <c r="K4">
        <v>-6.3375000000000004</v>
      </c>
      <c r="L4">
        <v>19.784199999999998</v>
      </c>
      <c r="M4">
        <v>0</v>
      </c>
      <c r="N4">
        <v>1</v>
      </c>
      <c r="O4">
        <v>-0.91779999999999995</v>
      </c>
      <c r="P4">
        <v>8.2064000000000004</v>
      </c>
      <c r="Q4">
        <v>0</v>
      </c>
      <c r="R4">
        <v>0</v>
      </c>
      <c r="S4">
        <v>0.96345000000000003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-4.7475000000000003E-2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-0.35685</v>
      </c>
      <c r="AN4">
        <v>2.6772</v>
      </c>
      <c r="AO4">
        <v>0</v>
      </c>
      <c r="AP4">
        <v>1</v>
      </c>
      <c r="AQ4">
        <v>-8.0570000000000003E-2</v>
      </c>
      <c r="AR4">
        <v>0.69921999999999995</v>
      </c>
      <c r="AS4">
        <v>0</v>
      </c>
      <c r="AT4">
        <v>1</v>
      </c>
      <c r="AU4">
        <v>-0.32987</v>
      </c>
      <c r="AV4">
        <v>4.2663000000000002</v>
      </c>
      <c r="AW4">
        <v>0</v>
      </c>
      <c r="AX4">
        <v>1</v>
      </c>
      <c r="AY4">
        <v>-4.7544000000000003E-2</v>
      </c>
      <c r="AZ4">
        <v>0.69782999999999995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-4.7828000000000002E-2</v>
      </c>
      <c r="BH4">
        <v>0.37806000000000001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0.67395000000000005</v>
      </c>
      <c r="BP4">
        <v>0</v>
      </c>
      <c r="BQ4">
        <v>0</v>
      </c>
    </row>
    <row r="5" spans="1:69" x14ac:dyDescent="0.25">
      <c r="A5" s="77" t="s">
        <v>429</v>
      </c>
      <c r="B5" s="77" t="s">
        <v>420</v>
      </c>
      <c r="C5">
        <v>11</v>
      </c>
      <c r="D5" s="77" t="s">
        <v>439</v>
      </c>
      <c r="E5" s="77" t="s">
        <v>387</v>
      </c>
      <c r="F5">
        <v>0</v>
      </c>
      <c r="G5">
        <v>72.412000000000006</v>
      </c>
      <c r="H5">
        <v>0</v>
      </c>
      <c r="I5">
        <v>0</v>
      </c>
      <c r="J5">
        <v>1</v>
      </c>
      <c r="K5">
        <v>-6.7824999999999998</v>
      </c>
      <c r="L5">
        <v>21.078700000000001</v>
      </c>
      <c r="M5">
        <v>0</v>
      </c>
      <c r="N5">
        <v>1</v>
      </c>
      <c r="O5">
        <v>-0.91779999999999995</v>
      </c>
      <c r="P5">
        <v>8.1714000000000002</v>
      </c>
      <c r="Q5">
        <v>0</v>
      </c>
      <c r="R5">
        <v>0</v>
      </c>
      <c r="S5">
        <v>0.96653999999999995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-3.7379999999999997E-2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-0.39194000000000001</v>
      </c>
      <c r="AN5">
        <v>2.8214000000000001</v>
      </c>
      <c r="AO5">
        <v>0</v>
      </c>
      <c r="AP5">
        <v>1</v>
      </c>
      <c r="AQ5">
        <v>-8.8599999999999998E-2</v>
      </c>
      <c r="AR5">
        <v>0.73919999999999997</v>
      </c>
      <c r="AS5">
        <v>0</v>
      </c>
      <c r="AT5">
        <v>1</v>
      </c>
      <c r="AU5">
        <v>-0.35132999999999998</v>
      </c>
      <c r="AV5">
        <v>4.117</v>
      </c>
      <c r="AW5">
        <v>0</v>
      </c>
      <c r="AX5">
        <v>1</v>
      </c>
      <c r="AY5">
        <v>-5.1046000000000001E-2</v>
      </c>
      <c r="AZ5">
        <v>0.73770000000000002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-5.2347999999999999E-2</v>
      </c>
      <c r="BH5">
        <v>0.39661000000000002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0.69887999999999995</v>
      </c>
      <c r="BP5">
        <v>0</v>
      </c>
      <c r="BQ5">
        <v>0</v>
      </c>
    </row>
    <row r="6" spans="1:69" x14ac:dyDescent="0.25">
      <c r="A6" s="77" t="s">
        <v>424</v>
      </c>
      <c r="B6" s="77" t="s">
        <v>420</v>
      </c>
      <c r="C6">
        <v>11</v>
      </c>
      <c r="D6" s="77" t="s">
        <v>439</v>
      </c>
      <c r="E6" s="77" t="s">
        <v>387</v>
      </c>
      <c r="F6">
        <v>0</v>
      </c>
      <c r="G6">
        <v>94.5184</v>
      </c>
      <c r="H6">
        <v>0</v>
      </c>
      <c r="I6">
        <v>0</v>
      </c>
      <c r="J6">
        <v>1</v>
      </c>
      <c r="K6">
        <v>-4.6464999999999996</v>
      </c>
      <c r="L6">
        <v>14.8651</v>
      </c>
      <c r="M6">
        <v>0</v>
      </c>
      <c r="N6">
        <v>1</v>
      </c>
      <c r="O6">
        <v>-0.91779999999999995</v>
      </c>
      <c r="P6">
        <v>8.3390000000000004</v>
      </c>
      <c r="Q6">
        <v>0</v>
      </c>
      <c r="R6">
        <v>0</v>
      </c>
      <c r="S6">
        <v>0.95167999999999997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-8.5835999999999996E-2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-0.22350999999999999</v>
      </c>
      <c r="AN6">
        <v>2.1295000000000002</v>
      </c>
      <c r="AO6">
        <v>0</v>
      </c>
      <c r="AP6">
        <v>1</v>
      </c>
      <c r="AQ6">
        <v>-5.0056000000000003E-2</v>
      </c>
      <c r="AR6">
        <v>0.54730000000000001</v>
      </c>
      <c r="AS6">
        <v>0</v>
      </c>
      <c r="AT6">
        <v>1</v>
      </c>
      <c r="AU6">
        <v>-0.24832000000000001</v>
      </c>
      <c r="AV6">
        <v>4.8334000000000001</v>
      </c>
      <c r="AW6">
        <v>0</v>
      </c>
      <c r="AX6">
        <v>1</v>
      </c>
      <c r="AY6">
        <v>-3.4234000000000001E-2</v>
      </c>
      <c r="AZ6">
        <v>0.54632000000000003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-3.065E-2</v>
      </c>
      <c r="BH6">
        <v>0.30757000000000001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0.57921999999999996</v>
      </c>
      <c r="BP6">
        <v>0</v>
      </c>
      <c r="BQ6">
        <v>0</v>
      </c>
    </row>
    <row r="7" spans="1:69" x14ac:dyDescent="0.25">
      <c r="A7" s="77" t="s">
        <v>425</v>
      </c>
      <c r="B7" s="77" t="s">
        <v>420</v>
      </c>
      <c r="C7">
        <v>11</v>
      </c>
      <c r="D7" s="77" t="s">
        <v>439</v>
      </c>
      <c r="E7" s="77" t="s">
        <v>387</v>
      </c>
      <c r="F7">
        <v>0</v>
      </c>
      <c r="G7">
        <v>83.465199999999996</v>
      </c>
      <c r="H7">
        <v>0</v>
      </c>
      <c r="I7">
        <v>0</v>
      </c>
      <c r="J7">
        <v>1</v>
      </c>
      <c r="K7">
        <v>-5.7145000000000001</v>
      </c>
      <c r="L7">
        <v>17.971900000000002</v>
      </c>
      <c r="M7">
        <v>0</v>
      </c>
      <c r="N7">
        <v>1</v>
      </c>
      <c r="O7">
        <v>-0.91779999999999995</v>
      </c>
      <c r="P7">
        <v>8.2552000000000003</v>
      </c>
      <c r="Q7">
        <v>0</v>
      </c>
      <c r="R7">
        <v>0</v>
      </c>
      <c r="S7">
        <v>0.95911000000000002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-6.1608000000000003E-2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-0.30771999999999999</v>
      </c>
      <c r="AN7">
        <v>2.4754</v>
      </c>
      <c r="AO7">
        <v>0</v>
      </c>
      <c r="AP7">
        <v>1</v>
      </c>
      <c r="AQ7">
        <v>-6.9328000000000001E-2</v>
      </c>
      <c r="AR7">
        <v>0.64324999999999999</v>
      </c>
      <c r="AS7">
        <v>0</v>
      </c>
      <c r="AT7">
        <v>1</v>
      </c>
      <c r="AU7">
        <v>-0.29982999999999999</v>
      </c>
      <c r="AV7">
        <v>4.4752000000000001</v>
      </c>
      <c r="AW7">
        <v>0</v>
      </c>
      <c r="AX7">
        <v>1</v>
      </c>
      <c r="AY7">
        <v>-4.2639999999999997E-2</v>
      </c>
      <c r="AZ7">
        <v>0.64200999999999997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-4.1499000000000001E-2</v>
      </c>
      <c r="BH7">
        <v>0.35209000000000001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0.63905000000000001</v>
      </c>
      <c r="BP7">
        <v>0</v>
      </c>
      <c r="BQ7">
        <v>0</v>
      </c>
    </row>
    <row r="8" spans="1:69" x14ac:dyDescent="0.25">
      <c r="A8" s="77" t="s">
        <v>426</v>
      </c>
      <c r="B8" s="77" t="s">
        <v>420</v>
      </c>
      <c r="C8">
        <v>11</v>
      </c>
      <c r="D8" s="77" t="s">
        <v>439</v>
      </c>
      <c r="E8" s="77" t="s">
        <v>387</v>
      </c>
      <c r="F8">
        <v>0</v>
      </c>
      <c r="G8">
        <v>73.333100000000002</v>
      </c>
      <c r="H8">
        <v>0</v>
      </c>
      <c r="I8">
        <v>0</v>
      </c>
      <c r="J8">
        <v>1</v>
      </c>
      <c r="K8">
        <v>-6.6935000000000002</v>
      </c>
      <c r="L8">
        <v>20.819800000000001</v>
      </c>
      <c r="M8">
        <v>0</v>
      </c>
      <c r="N8">
        <v>1</v>
      </c>
      <c r="O8">
        <v>-0.91779999999999995</v>
      </c>
      <c r="P8">
        <v>8.1783999999999999</v>
      </c>
      <c r="Q8">
        <v>0</v>
      </c>
      <c r="R8">
        <v>0</v>
      </c>
      <c r="S8">
        <v>0.96592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-3.9399000000000003E-2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-0.38491999999999998</v>
      </c>
      <c r="AN8">
        <v>2.7926000000000002</v>
      </c>
      <c r="AO8">
        <v>0</v>
      </c>
      <c r="AP8">
        <v>1</v>
      </c>
      <c r="AQ8">
        <v>-8.6994000000000002E-2</v>
      </c>
      <c r="AR8">
        <v>0.73119999999999996</v>
      </c>
      <c r="AS8">
        <v>0</v>
      </c>
      <c r="AT8">
        <v>1</v>
      </c>
      <c r="AU8">
        <v>-0.34704000000000002</v>
      </c>
      <c r="AV8">
        <v>4.1467999999999998</v>
      </c>
      <c r="AW8">
        <v>0</v>
      </c>
      <c r="AX8">
        <v>1</v>
      </c>
      <c r="AY8">
        <v>-5.0346000000000002E-2</v>
      </c>
      <c r="AZ8">
        <v>0.72972999999999999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-5.1443999999999997E-2</v>
      </c>
      <c r="BH8">
        <v>0.39290000000000003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0.69389000000000001</v>
      </c>
      <c r="BP8">
        <v>0</v>
      </c>
      <c r="BQ8">
        <v>0</v>
      </c>
    </row>
    <row r="9" spans="1:69" x14ac:dyDescent="0.25">
      <c r="A9" s="77" t="s">
        <v>427</v>
      </c>
      <c r="B9" s="77" t="s">
        <v>420</v>
      </c>
      <c r="C9">
        <v>11</v>
      </c>
      <c r="D9" s="77" t="s">
        <v>439</v>
      </c>
      <c r="E9" s="77" t="s">
        <v>387</v>
      </c>
      <c r="F9">
        <v>0</v>
      </c>
      <c r="G9">
        <v>91.755099999999999</v>
      </c>
      <c r="H9">
        <v>0</v>
      </c>
      <c r="I9">
        <v>0</v>
      </c>
      <c r="J9">
        <v>1</v>
      </c>
      <c r="K9">
        <v>-4.9135</v>
      </c>
      <c r="L9">
        <v>15.6418</v>
      </c>
      <c r="M9">
        <v>0</v>
      </c>
      <c r="N9">
        <v>1</v>
      </c>
      <c r="O9">
        <v>-0.91779999999999995</v>
      </c>
      <c r="P9">
        <v>8.3180999999999994</v>
      </c>
      <c r="Q9">
        <v>0</v>
      </c>
      <c r="R9">
        <v>0</v>
      </c>
      <c r="S9">
        <v>0.95354000000000005</v>
      </c>
      <c r="T9">
        <v>0</v>
      </c>
      <c r="U9">
        <v>0</v>
      </c>
      <c r="V9">
        <v>0</v>
      </c>
      <c r="W9">
        <v>20</v>
      </c>
      <c r="X9">
        <v>0</v>
      </c>
      <c r="Y9">
        <v>0</v>
      </c>
      <c r="Z9">
        <v>1</v>
      </c>
      <c r="AA9">
        <v>-7.9779000000000003E-2</v>
      </c>
      <c r="AB9">
        <v>0.26050000000000001</v>
      </c>
      <c r="AC9">
        <v>0</v>
      </c>
      <c r="AD9">
        <v>0</v>
      </c>
      <c r="AE9">
        <v>17</v>
      </c>
      <c r="AF9">
        <v>0</v>
      </c>
      <c r="AG9">
        <v>0</v>
      </c>
      <c r="AH9">
        <v>0</v>
      </c>
      <c r="AI9">
        <v>1E-4</v>
      </c>
      <c r="AJ9">
        <v>0</v>
      </c>
      <c r="AK9">
        <v>0</v>
      </c>
      <c r="AL9">
        <v>1</v>
      </c>
      <c r="AM9">
        <v>-0.24456</v>
      </c>
      <c r="AN9">
        <v>2.2160000000000002</v>
      </c>
      <c r="AO9">
        <v>0</v>
      </c>
      <c r="AP9">
        <v>1</v>
      </c>
      <c r="AQ9">
        <v>-5.4873999999999999E-2</v>
      </c>
      <c r="AR9">
        <v>0.57128000000000001</v>
      </c>
      <c r="AS9">
        <v>0</v>
      </c>
      <c r="AT9">
        <v>1</v>
      </c>
      <c r="AU9">
        <v>-0.26119999999999999</v>
      </c>
      <c r="AV9">
        <v>4.7439</v>
      </c>
      <c r="AW9">
        <v>0</v>
      </c>
      <c r="AX9">
        <v>1</v>
      </c>
      <c r="AY9">
        <v>-3.6334999999999999E-2</v>
      </c>
      <c r="AZ9">
        <v>0.57025000000000003</v>
      </c>
      <c r="BA9">
        <v>0</v>
      </c>
      <c r="BB9">
        <v>0</v>
      </c>
      <c r="BC9">
        <v>44.89</v>
      </c>
      <c r="BD9">
        <v>0</v>
      </c>
      <c r="BE9">
        <v>0</v>
      </c>
      <c r="BF9">
        <v>1</v>
      </c>
      <c r="BG9">
        <v>-3.3362000000000003E-2</v>
      </c>
      <c r="BH9">
        <v>0.31869999999999998</v>
      </c>
      <c r="BI9">
        <v>0</v>
      </c>
      <c r="BJ9">
        <v>0</v>
      </c>
      <c r="BK9">
        <v>0.35149999999999998</v>
      </c>
      <c r="BL9">
        <v>0</v>
      </c>
      <c r="BM9">
        <v>0</v>
      </c>
      <c r="BN9">
        <v>0</v>
      </c>
      <c r="BO9">
        <v>0.59416999999999998</v>
      </c>
      <c r="BP9">
        <v>0</v>
      </c>
      <c r="BQ9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H5" sqref="H5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434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13" t="s">
        <v>78</v>
      </c>
      <c r="J3" s="114"/>
      <c r="K3" s="114"/>
      <c r="L3" s="114"/>
      <c r="M3" s="114"/>
      <c r="N3" s="114"/>
      <c r="O3" s="114"/>
      <c r="P3" s="114"/>
      <c r="Q3" s="114"/>
      <c r="R3" s="114"/>
      <c r="S3" s="115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0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Loc_69_Clay_1</v>
      </c>
      <c r="F5" s="2" t="str">
        <f>IF(T5=1,IF('Control Panel'!F4="","",'Control Panel'!F4),"")</f>
        <v>Empire_Wind_1</v>
      </c>
      <c r="G5" s="2">
        <f>IF(T5=1,IF('Control Panel'!G4="","",'Control Panel'!G4),"")</f>
        <v>11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Loc_69_Sand_1</v>
      </c>
      <c r="F6" s="2" t="str">
        <f>IF(T6=1,IF('Control Panel'!F5="","",'Control Panel'!F5),"")</f>
        <v>Empire_Wind_1</v>
      </c>
      <c r="G6" s="2">
        <f>IF(T6=1,IF('Control Panel'!G5="","",'Control Panel'!G5),"")</f>
        <v>11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0.96345000000000003</v>
      </c>
      <c r="N6" s="36">
        <f>IF($I6="","",IF(N$4="","",IF('Control Panel'!N5="",VLOOKUP($E6,'Table Output'!$A$2:$BR$1048576,MATCH(N$4,'Table Output'!$A$1:$BQ$1,0),),'Control Panel'!N5)))</f>
        <v>8.2064000000000004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Loc_69_Sand_2</v>
      </c>
      <c r="F7" s="2" t="str">
        <f>IF(T7=1,IF('Control Panel'!F6="","",'Control Panel'!F6),"")</f>
        <v>Empire_Wind_1</v>
      </c>
      <c r="G7" s="2">
        <f>IF(T7=1,IF('Control Panel'!G6="","",'Control Panel'!G6),"")</f>
        <v>11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0.95167999999999997</v>
      </c>
      <c r="N7" s="36">
        <f>IF($I7="","",IF(N$4="","",IF('Control Panel'!N6="",VLOOKUP($E7,'Table Output'!$A$2:$BR$1048576,MATCH(N$4,'Table Output'!$A$1:$BQ$1,0),),'Control Panel'!N6)))</f>
        <v>8.3390000000000004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Loc_69_Sand_3</v>
      </c>
      <c r="F8" s="2" t="str">
        <f>IF(T8=1,IF('Control Panel'!F7="","",'Control Panel'!F7),"")</f>
        <v>Empire_Wind_1</v>
      </c>
      <c r="G8" s="2">
        <f>IF(T8=1,IF('Control Panel'!G7="","",'Control Panel'!G7),"")</f>
        <v>11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0.95911000000000002</v>
      </c>
      <c r="N8" s="36">
        <f>IF($I8="","",IF(N$4="","",IF('Control Panel'!N7="",VLOOKUP($E8,'Table Output'!$A$2:$BR$1048576,MATCH(N$4,'Table Output'!$A$1:$BQ$1,0),),'Control Panel'!N7)))</f>
        <v>8.2552000000000003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Loc_69_Sand_4</v>
      </c>
      <c r="F9" s="2" t="str">
        <f>IF(T9=1,IF('Control Panel'!F8="","",'Control Panel'!F8),"")</f>
        <v>Empire_Wind_1</v>
      </c>
      <c r="G9" s="2">
        <f>IF(T9=1,IF('Control Panel'!G8="","",'Control Panel'!G8),"")</f>
        <v>11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</v>
      </c>
      <c r="N9" s="36">
        <f>IF($I9="","",IF(N$4="","",IF('Control Panel'!N8="",VLOOKUP($E9,'Table Output'!$A$2:$BR$1048576,MATCH(N$4,'Table Output'!$A$1:$BQ$1,0),),'Control Panel'!N8)))</f>
        <v>8.1783999999999999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Loc_69_Sand_5</v>
      </c>
      <c r="F10" s="2" t="str">
        <f>IF(T10=1,IF('Control Panel'!F9="","",'Control Panel'!F9),"")</f>
        <v>Empire_Wind_1</v>
      </c>
      <c r="G10" s="2">
        <f>IF(T10=1,IF('Control Panel'!G9="","",'Control Panel'!G9),"")</f>
        <v>11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0.95354000000000005</v>
      </c>
      <c r="N10" s="36">
        <f>IF($I10="","",IF(N$4="","",IF('Control Panel'!N9="",VLOOKUP($E10,'Table Output'!$A$2:$BR$1048576,MATCH(N$4,'Table Output'!$A$1:$BQ$1,0),),'Control Panel'!N9)))</f>
        <v>8.3180999999999994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Loc_69_Clay_2</v>
      </c>
      <c r="F11" s="2" t="str">
        <f>IF(T11=1,IF('Control Panel'!F10="","",'Control Panel'!F10),"")</f>
        <v>Empire_Wind_1</v>
      </c>
      <c r="G11" s="2">
        <f>IF(T11=1,IF('Control Panel'!G10="","",'Control Panel'!G10),"")</f>
        <v>11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Loc_69_Clay_3</v>
      </c>
      <c r="F12" s="2" t="str">
        <f>IF(T12=1,IF('Control Panel'!F11="","",'Control Panel'!F11),"")</f>
        <v>Empire_Wind_1</v>
      </c>
      <c r="G12" s="2">
        <f>IF(T12=1,IF('Control Panel'!G11="","",'Control Panel'!G11),"")</f>
        <v>11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0.96653999999999995</v>
      </c>
      <c r="N12" s="36">
        <f>IF($I12="","",IF(N$4="","",IF('Control Panel'!N11="",VLOOKUP($E12,'Table Output'!$A$2:$BR$1048576,MATCH(N$4,'Table Output'!$A$1:$BQ$1,0),),'Control Panel'!N11)))</f>
        <v>8.1714000000000002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Loc_69_Clay_4</v>
      </c>
      <c r="F13" s="2" t="str">
        <f>IF(T13=1,IF('Control Panel'!F12="","",'Control Panel'!F12),"")</f>
        <v>Empire_Wind_1</v>
      </c>
      <c r="G13" s="2">
        <f>IF(T13=1,IF('Control Panel'!G12="","",'Control Panel'!G12),"")</f>
        <v>11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 t="e">
        <f>IF($I13="","",IF(J$4="","",IF('Control Panel'!J12="",VLOOKUP($E13,'Table Output'!$A$2:$BR$1048576,MATCH(J$4,'Table Output'!$A$1:$BQ$1,0),),'Control Panel'!J12)))</f>
        <v>#N/A</v>
      </c>
      <c r="K13" s="36" t="e">
        <f>IF($I13="","",IF(K$4="","",IF('Control Panel'!K12="",VLOOKUP($E13,'Table Output'!$A$2:$BR$1048576,MATCH(K$4,'Table Output'!$A$1:$BQ$1,0),),'Control Panel'!K12)))</f>
        <v>#N/A</v>
      </c>
      <c r="L13" s="36" t="e">
        <f>IF($I13="","",IF(L$4="","",IF('Control Panel'!L12="",VLOOKUP($E13,'Table Output'!$A$2:$BR$1048576,MATCH(L$4,'Table Output'!$A$1:$BQ$1,0),),'Control Panel'!L12)))</f>
        <v>#N/A</v>
      </c>
      <c r="M13" s="36" t="e">
        <f>IF($I13="","",IF(M$4="","",IF('Control Panel'!M12="",VLOOKUP($E13,'Table Output'!$A$2:$BR$1048576,MATCH(M$4,'Table Output'!$A$1:$BQ$1,0),),'Control Panel'!M12)))</f>
        <v>#N/A</v>
      </c>
      <c r="N13" s="36" t="e">
        <f>IF($I13="","",IF(N$4="","",IF('Control Panel'!N12="",VLOOKUP($E13,'Table Output'!$A$2:$BR$1048576,MATCH(N$4,'Table Output'!$A$1:$BQ$1,0),),'Control Panel'!N12)))</f>
        <v>#N/A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 t="e">
        <f>IF($I13="","",IF('Control Panel'!U12="",VLOOKUP($E13,'Table Output'!$A$2:$BR$99998,MATCH(U$4,'Table Output'!$A$1:$BQ$1,0),),'Control Panel'!U12))</f>
        <v>#N/A</v>
      </c>
      <c r="V13" s="36" t="e">
        <f>IF($I13="","",IF('Control Panel'!V12="",VLOOKUP($E13,'Table Output'!$A$2:$BR$99998,MATCH(V$4,'Table Output'!$A$1:$BQ$1,0),),'Control Panel'!V12))</f>
        <v>#N/A</v>
      </c>
      <c r="W13" s="36" t="e">
        <f>IF($I13="","",IF('Control Panel'!W12="",VLOOKUP($E13,'Table Output'!$A$2:$BR$99998,MATCH(W$4,'Table Output'!$A$1:$BQ$1,0),),'Control Panel'!W12))</f>
        <v>#N/A</v>
      </c>
      <c r="X13" s="36" t="e">
        <f>IF($I13="","",IF('Control Panel'!X12="",VLOOKUP($E13,'Table Output'!$A$2:$BR$99998,MATCH(X$4,'Table Output'!$A$1:$BQ$1,0),),'Control Panel'!X12))</f>
        <v>#N/A</v>
      </c>
      <c r="Y13" s="36" t="e">
        <f>IF($I13="","",IF('Control Panel'!Y12="",VLOOKUP($E13,'Table Output'!$A$2:$BR$99998,MATCH(Y$4,'Table Output'!$A$1:$BQ$1,0),),'Control Panel'!Y12))</f>
        <v>#N/A</v>
      </c>
      <c r="Z13" s="36" t="e">
        <f>IF($I13="","",IF('Control Panel'!Z12="",VLOOKUP($E13,'Table Output'!$A$2:$BR$99998,MATCH(Z$4,'Table Output'!$A$1:$BQ$1,0),),'Control Panel'!Z12))</f>
        <v>#N/A</v>
      </c>
      <c r="AA13" s="36" t="e">
        <f>IF($I13="","",IF('Control Panel'!AA12="",VLOOKUP($E13,'Table Output'!$A$2:$BR$99998,MATCH(AA$4,'Table Output'!$A$1:$BQ$1,0),),'Control Panel'!AA12))</f>
        <v>#N/A</v>
      </c>
      <c r="AB13" s="36" t="e">
        <f>IF($I13="","",IF('Control Panel'!AB12="",VLOOKUP($E13,'Table Output'!$A$2:$BR$99998,MATCH(AB$4,'Table Output'!$A$1:$BQ$1,0),),'Control Panel'!AB12))</f>
        <v>#N/A</v>
      </c>
      <c r="AC13" s="36" t="e">
        <f>IF($I13="","",IF('Control Panel'!AC12="",VLOOKUP($E13,'Table Output'!$A$2:$BR$99998,MATCH(AC$4,'Table Output'!$A$1:$BQ$1,0),),'Control Panel'!AC12))</f>
        <v>#N/A</v>
      </c>
      <c r="AD13" s="36" t="e">
        <f>IF($I13="","",IF('Control Panel'!AD12="",VLOOKUP($E13,'Table Output'!$A$2:$BR$99998,MATCH(AD$4,'Table Output'!$A$1:$BQ$1,0),),'Control Panel'!AD12))</f>
        <v>#N/A</v>
      </c>
      <c r="AE13" s="36" t="e">
        <f>IF($I13="","",IF('Control Panel'!AE12="",VLOOKUP($E13,'Table Output'!$A$2:$BR$99998,MATCH(AE$4,'Table Output'!$A$1:$BQ$1,0),),'Control Panel'!AE12))</f>
        <v>#N/A</v>
      </c>
      <c r="AF13" s="36" t="e">
        <f>IF($I13="","",IF('Control Panel'!AF12="",VLOOKUP($E13,'Table Output'!$A$2:$BR$99998,MATCH(AF$4,'Table Output'!$A$1:$BQ$1,0),),'Control Panel'!AF12))</f>
        <v>#N/A</v>
      </c>
      <c r="AG13" s="36" t="e">
        <f>IF($I13="","",IF('Control Panel'!AG12="",VLOOKUP($E13,'Table Output'!$A$2:$BR$99998,MATCH(AG$4,'Table Output'!$A$1:$BQ$1,0),),'Control Panel'!AG12))</f>
        <v>#N/A</v>
      </c>
      <c r="AH13" s="36" t="e">
        <f>IF($I13="","",IF('Control Panel'!AH12="",VLOOKUP($E13,'Table Output'!$A$2:$BR$99998,MATCH(AH$4,'Table Output'!$A$1:$BQ$1,0),),'Control Panel'!AH12))</f>
        <v>#N/A</v>
      </c>
      <c r="AI13" s="36" t="e">
        <f>IF($I13="","",IF('Control Panel'!AI12="",VLOOKUP($E13,'Table Output'!$A$2:$BR$99998,MATCH(AI$4,'Table Output'!$A$1:$BQ$1,0),),'Control Panel'!AI12))</f>
        <v>#N/A</v>
      </c>
      <c r="AJ13" s="36" t="e">
        <f>IF($I13="","",IF('Control Panel'!AJ12="",VLOOKUP($E13,'Table Output'!$A$2:$BR$99998,MATCH(AJ$4,'Table Output'!$A$1:$BQ$1,0),),'Control Panel'!AJ12))</f>
        <v>#N/A</v>
      </c>
      <c r="AL13" s="51">
        <f t="shared" si="0"/>
        <v>9</v>
      </c>
      <c r="AM13" s="48" t="e">
        <f>IF(AM$4="","",IF($I13="","",IF('Control Panel'!AM12="",VLOOKUP($E13,'Table Output'!$A$2:$BR$99998,MATCH(AM$4,'Table Output'!$A$1:$BQ$1,0),FALSE),'Control Panel'!AM12)))</f>
        <v>#N/A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Loc_69_Clay_5</v>
      </c>
      <c r="F14" s="2" t="str">
        <f>IF(T14=1,IF('Control Panel'!F13="","",'Control Panel'!F13),"")</f>
        <v>Empire_Wind_1</v>
      </c>
      <c r="G14" s="2">
        <f>IF(T14=1,IF('Control Panel'!G13="","",'Control Panel'!G13),"")</f>
        <v>11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 t="e">
        <f>IF($I14="","",IF(J$4="","",IF('Control Panel'!J13="",VLOOKUP($E14,'Table Output'!$A$2:$BR$1048576,MATCH(J$4,'Table Output'!$A$1:$BQ$1,0),),'Control Panel'!J13)))</f>
        <v>#N/A</v>
      </c>
      <c r="K14" s="36" t="e">
        <f>IF($I14="","",IF(K$4="","",IF('Control Panel'!K13="",VLOOKUP($E14,'Table Output'!$A$2:$BR$1048576,MATCH(K$4,'Table Output'!$A$1:$BQ$1,0),),'Control Panel'!K13)))</f>
        <v>#N/A</v>
      </c>
      <c r="L14" s="36" t="e">
        <f>IF($I14="","",IF(L$4="","",IF('Control Panel'!L13="",VLOOKUP($E14,'Table Output'!$A$2:$BR$1048576,MATCH(L$4,'Table Output'!$A$1:$BQ$1,0),),'Control Panel'!L13)))</f>
        <v>#N/A</v>
      </c>
      <c r="M14" s="36" t="e">
        <f>IF($I14="","",IF(M$4="","",IF('Control Panel'!M13="",VLOOKUP($E14,'Table Output'!$A$2:$BR$1048576,MATCH(M$4,'Table Output'!$A$1:$BQ$1,0),),'Control Panel'!M13)))</f>
        <v>#N/A</v>
      </c>
      <c r="N14" s="36" t="e">
        <f>IF($I14="","",IF(N$4="","",IF('Control Panel'!N13="",VLOOKUP($E14,'Table Output'!$A$2:$BR$1048576,MATCH(N$4,'Table Output'!$A$1:$BQ$1,0),),'Control Panel'!N13)))</f>
        <v>#N/A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 t="e">
        <f>IF($I14="","",IF('Control Panel'!U13="",VLOOKUP($E14,'Table Output'!$A$2:$BR$99998,MATCH(U$4,'Table Output'!$A$1:$BQ$1,0),),'Control Panel'!U13))</f>
        <v>#N/A</v>
      </c>
      <c r="V14" s="36" t="e">
        <f>IF($I14="","",IF('Control Panel'!V13="",VLOOKUP($E14,'Table Output'!$A$2:$BR$99998,MATCH(V$4,'Table Output'!$A$1:$BQ$1,0),),'Control Panel'!V13))</f>
        <v>#N/A</v>
      </c>
      <c r="W14" s="36" t="e">
        <f>IF($I14="","",IF('Control Panel'!W13="",VLOOKUP($E14,'Table Output'!$A$2:$BR$99998,MATCH(W$4,'Table Output'!$A$1:$BQ$1,0),),'Control Panel'!W13))</f>
        <v>#N/A</v>
      </c>
      <c r="X14" s="36" t="e">
        <f>IF($I14="","",IF('Control Panel'!X13="",VLOOKUP($E14,'Table Output'!$A$2:$BR$99998,MATCH(X$4,'Table Output'!$A$1:$BQ$1,0),),'Control Panel'!X13))</f>
        <v>#N/A</v>
      </c>
      <c r="Y14" s="36" t="e">
        <f>IF($I14="","",IF('Control Panel'!Y13="",VLOOKUP($E14,'Table Output'!$A$2:$BR$99998,MATCH(Y$4,'Table Output'!$A$1:$BQ$1,0),),'Control Panel'!Y13))</f>
        <v>#N/A</v>
      </c>
      <c r="Z14" s="36" t="e">
        <f>IF($I14="","",IF('Control Panel'!Z13="",VLOOKUP($E14,'Table Output'!$A$2:$BR$99998,MATCH(Z$4,'Table Output'!$A$1:$BQ$1,0),),'Control Panel'!Z13))</f>
        <v>#N/A</v>
      </c>
      <c r="AA14" s="36" t="e">
        <f>IF($I14="","",IF('Control Panel'!AA13="",VLOOKUP($E14,'Table Output'!$A$2:$BR$99998,MATCH(AA$4,'Table Output'!$A$1:$BQ$1,0),),'Control Panel'!AA13))</f>
        <v>#N/A</v>
      </c>
      <c r="AB14" s="36" t="e">
        <f>IF($I14="","",IF('Control Panel'!AB13="",VLOOKUP($E14,'Table Output'!$A$2:$BR$99998,MATCH(AB$4,'Table Output'!$A$1:$BQ$1,0),),'Control Panel'!AB13))</f>
        <v>#N/A</v>
      </c>
      <c r="AC14" s="36" t="e">
        <f>IF($I14="","",IF('Control Panel'!AC13="",VLOOKUP($E14,'Table Output'!$A$2:$BR$99998,MATCH(AC$4,'Table Output'!$A$1:$BQ$1,0),),'Control Panel'!AC13))</f>
        <v>#N/A</v>
      </c>
      <c r="AD14" s="36" t="e">
        <f>IF($I14="","",IF('Control Panel'!AD13="",VLOOKUP($E14,'Table Output'!$A$2:$BR$99998,MATCH(AD$4,'Table Output'!$A$1:$BQ$1,0),),'Control Panel'!AD13))</f>
        <v>#N/A</v>
      </c>
      <c r="AE14" s="36" t="e">
        <f>IF($I14="","",IF('Control Panel'!AE13="",VLOOKUP($E14,'Table Output'!$A$2:$BR$99998,MATCH(AE$4,'Table Output'!$A$1:$BQ$1,0),),'Control Panel'!AE13))</f>
        <v>#N/A</v>
      </c>
      <c r="AF14" s="36" t="e">
        <f>IF($I14="","",IF('Control Panel'!AF13="",VLOOKUP($E14,'Table Output'!$A$2:$BR$99998,MATCH(AF$4,'Table Output'!$A$1:$BQ$1,0),),'Control Panel'!AF13))</f>
        <v>#N/A</v>
      </c>
      <c r="AG14" s="36" t="e">
        <f>IF($I14="","",IF('Control Panel'!AG13="",VLOOKUP($E14,'Table Output'!$A$2:$BR$99998,MATCH(AG$4,'Table Output'!$A$1:$BQ$1,0),),'Control Panel'!AG13))</f>
        <v>#N/A</v>
      </c>
      <c r="AH14" s="36" t="e">
        <f>IF($I14="","",IF('Control Panel'!AH13="",VLOOKUP($E14,'Table Output'!$A$2:$BR$99998,MATCH(AH$4,'Table Output'!$A$1:$BQ$1,0),),'Control Panel'!AH13))</f>
        <v>#N/A</v>
      </c>
      <c r="AI14" s="36" t="e">
        <f>IF($I14="","",IF('Control Panel'!AI13="",VLOOKUP($E14,'Table Output'!$A$2:$BR$99998,MATCH(AI$4,'Table Output'!$A$1:$BQ$1,0),),'Control Panel'!AI13))</f>
        <v>#N/A</v>
      </c>
      <c r="AJ14" s="36" t="e">
        <f>IF($I14="","",IF('Control Panel'!AJ13="",VLOOKUP($E14,'Table Output'!$A$2:$BR$99998,MATCH(AJ$4,'Table Output'!$A$1:$BQ$1,0),),'Control Panel'!AJ13))</f>
        <v>#N/A</v>
      </c>
      <c r="AL14" s="51">
        <f t="shared" si="0"/>
        <v>10</v>
      </c>
      <c r="AM14" s="48" t="e">
        <f>IF(AM$4="","",IF($I14="","",IF('Control Panel'!AM13="",VLOOKUP($E14,'Table Output'!$A$2:$BR$99998,MATCH(AM$4,'Table Output'!$A$1:$BQ$1,0),FALSE),'Control Panel'!AM13)))</f>
        <v>#N/A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Loc_69_Sand_6</v>
      </c>
      <c r="F15" s="2" t="str">
        <f>IF(T15=1,IF('Control Panel'!F14="","",'Control Panel'!F14),"")</f>
        <v>Empire_Wind_1</v>
      </c>
      <c r="G15" s="2">
        <f>IF(T15=1,IF('Control Panel'!G14="","",'Control Panel'!G14),"")</f>
        <v>11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 t="e">
        <f>IF($I15="","",IF(J$4="","",IF('Control Panel'!J14="",VLOOKUP($E15,'Table Output'!$A$2:$BR$1048576,MATCH(J$4,'Table Output'!$A$1:$BQ$1,0),),'Control Panel'!J14)))</f>
        <v>#N/A</v>
      </c>
      <c r="K15" s="36" t="e">
        <f>IF($I15="","",IF(K$4="","",IF('Control Panel'!K14="",VLOOKUP($E15,'Table Output'!$A$2:$BR$1048576,MATCH(K$4,'Table Output'!$A$1:$BQ$1,0),),'Control Panel'!K14)))</f>
        <v>#N/A</v>
      </c>
      <c r="L15" s="36" t="e">
        <f>IF($I15="","",IF(L$4="","",IF('Control Panel'!L14="",VLOOKUP($E15,'Table Output'!$A$2:$BR$1048576,MATCH(L$4,'Table Output'!$A$1:$BQ$1,0),),'Control Panel'!L14)))</f>
        <v>#N/A</v>
      </c>
      <c r="M15" s="36" t="e">
        <f>IF($I15="","",IF(M$4="","",IF('Control Panel'!M14="",VLOOKUP($E15,'Table Output'!$A$2:$BR$1048576,MATCH(M$4,'Table Output'!$A$1:$BQ$1,0),),'Control Panel'!M14)))</f>
        <v>#N/A</v>
      </c>
      <c r="N15" s="36" t="e">
        <f>IF($I15="","",IF(N$4="","",IF('Control Panel'!N14="",VLOOKUP($E15,'Table Output'!$A$2:$BR$1048576,MATCH(N$4,'Table Output'!$A$1:$BQ$1,0),),'Control Panel'!N14)))</f>
        <v>#N/A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 t="e">
        <f>IF($I15="","",IF('Control Panel'!U14="",VLOOKUP($E15,'Table Output'!$A$2:$BR$99998,MATCH(U$4,'Table Output'!$A$1:$BQ$1,0),),'Control Panel'!U14))</f>
        <v>#N/A</v>
      </c>
      <c r="V15" s="36" t="e">
        <f>IF($I15="","",IF('Control Panel'!V14="",VLOOKUP($E15,'Table Output'!$A$2:$BR$99998,MATCH(V$4,'Table Output'!$A$1:$BQ$1,0),),'Control Panel'!V14))</f>
        <v>#N/A</v>
      </c>
      <c r="W15" s="36" t="e">
        <f>IF($I15="","",IF('Control Panel'!W14="",VLOOKUP($E15,'Table Output'!$A$2:$BR$99998,MATCH(W$4,'Table Output'!$A$1:$BQ$1,0),),'Control Panel'!W14))</f>
        <v>#N/A</v>
      </c>
      <c r="X15" s="36" t="e">
        <f>IF($I15="","",IF('Control Panel'!X14="",VLOOKUP($E15,'Table Output'!$A$2:$BR$99998,MATCH(X$4,'Table Output'!$A$1:$BQ$1,0),),'Control Panel'!X14))</f>
        <v>#N/A</v>
      </c>
      <c r="Y15" s="36" t="e">
        <f>IF($I15="","",IF('Control Panel'!Y14="",VLOOKUP($E15,'Table Output'!$A$2:$BR$99998,MATCH(Y$4,'Table Output'!$A$1:$BQ$1,0),),'Control Panel'!Y14))</f>
        <v>#N/A</v>
      </c>
      <c r="Z15" s="36" t="e">
        <f>IF($I15="","",IF('Control Panel'!Z14="",VLOOKUP($E15,'Table Output'!$A$2:$BR$99998,MATCH(Z$4,'Table Output'!$A$1:$BQ$1,0),),'Control Panel'!Z14))</f>
        <v>#N/A</v>
      </c>
      <c r="AA15" s="36" t="e">
        <f>IF($I15="","",IF('Control Panel'!AA14="",VLOOKUP($E15,'Table Output'!$A$2:$BR$99998,MATCH(AA$4,'Table Output'!$A$1:$BQ$1,0),),'Control Panel'!AA14))</f>
        <v>#N/A</v>
      </c>
      <c r="AB15" s="36" t="e">
        <f>IF($I15="","",IF('Control Panel'!AB14="",VLOOKUP($E15,'Table Output'!$A$2:$BR$99998,MATCH(AB$4,'Table Output'!$A$1:$BQ$1,0),),'Control Panel'!AB14))</f>
        <v>#N/A</v>
      </c>
      <c r="AC15" s="36" t="e">
        <f>IF($I15="","",IF('Control Panel'!AC14="",VLOOKUP($E15,'Table Output'!$A$2:$BR$99998,MATCH(AC$4,'Table Output'!$A$1:$BQ$1,0),),'Control Panel'!AC14))</f>
        <v>#N/A</v>
      </c>
      <c r="AD15" s="36" t="e">
        <f>IF($I15="","",IF('Control Panel'!AD14="",VLOOKUP($E15,'Table Output'!$A$2:$BR$99998,MATCH(AD$4,'Table Output'!$A$1:$BQ$1,0),),'Control Panel'!AD14))</f>
        <v>#N/A</v>
      </c>
      <c r="AE15" s="36" t="e">
        <f>IF($I15="","",IF('Control Panel'!AE14="",VLOOKUP($E15,'Table Output'!$A$2:$BR$99998,MATCH(AE$4,'Table Output'!$A$1:$BQ$1,0),),'Control Panel'!AE14))</f>
        <v>#N/A</v>
      </c>
      <c r="AF15" s="36" t="e">
        <f>IF($I15="","",IF('Control Panel'!AF14="",VLOOKUP($E15,'Table Output'!$A$2:$BR$99998,MATCH(AF$4,'Table Output'!$A$1:$BQ$1,0),),'Control Panel'!AF14))</f>
        <v>#N/A</v>
      </c>
      <c r="AG15" s="36" t="e">
        <f>IF($I15="","",IF('Control Panel'!AG14="",VLOOKUP($E15,'Table Output'!$A$2:$BR$99998,MATCH(AG$4,'Table Output'!$A$1:$BQ$1,0),),'Control Panel'!AG14))</f>
        <v>#N/A</v>
      </c>
      <c r="AH15" s="36" t="e">
        <f>IF($I15="","",IF('Control Panel'!AH14="",VLOOKUP($E15,'Table Output'!$A$2:$BR$99998,MATCH(AH$4,'Table Output'!$A$1:$BQ$1,0),),'Control Panel'!AH14))</f>
        <v>#N/A</v>
      </c>
      <c r="AI15" s="36" t="e">
        <f>IF($I15="","",IF('Control Panel'!AI14="",VLOOKUP($E15,'Table Output'!$A$2:$BR$99998,MATCH(AI$4,'Table Output'!$A$1:$BQ$1,0),),'Control Panel'!AI14))</f>
        <v>#N/A</v>
      </c>
      <c r="AJ15" s="36" t="e">
        <f>IF($I15="","",IF('Control Panel'!AJ14="",VLOOKUP($E15,'Table Output'!$A$2:$BR$99998,MATCH(AJ$4,'Table Output'!$A$1:$BQ$1,0),),'Control Panel'!AJ14))</f>
        <v>#N/A</v>
      </c>
      <c r="AL15" s="51">
        <f t="shared" si="0"/>
        <v>11</v>
      </c>
      <c r="AM15" s="48" t="e">
        <f>IF(AM$4="","",IF($I15="","",IF('Control Panel'!AM14="",VLOOKUP($E15,'Table Output'!$A$2:$BR$99998,MATCH(AM$4,'Table Output'!$A$1:$BQ$1,0),FALSE),'Control Panel'!AM14)))</f>
        <v>#N/A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>Loc_69_Sand_7</v>
      </c>
      <c r="F16" s="2" t="str">
        <f>IF(T16=1,IF('Control Panel'!F15="","",'Control Panel'!F15),"")</f>
        <v>Empire_Wind_1</v>
      </c>
      <c r="G16" s="2">
        <f>IF(T16=1,IF('Control Panel'!G15="","",'Control Panel'!G15),"")</f>
        <v>11</v>
      </c>
      <c r="H16" s="2" t="str">
        <f>IF(T16=1,IF('Control Panel'!H15="","",'Control Panel'!H15),"")</f>
        <v>Loc_69_Sand_7</v>
      </c>
      <c r="I16" s="42">
        <f>IF(T16=1,IF('Control Panel'!I15="","",'Control Panel'!I15),"")</f>
        <v>12</v>
      </c>
      <c r="J16" s="36" t="e">
        <f>IF($I16="","",IF(J$4="","",IF('Control Panel'!J15="",VLOOKUP($E16,'Table Output'!$A$2:$BR$1048576,MATCH(J$4,'Table Output'!$A$1:$BQ$1,0),),'Control Panel'!J15)))</f>
        <v>#N/A</v>
      </c>
      <c r="K16" s="36" t="e">
        <f>IF($I16="","",IF(K$4="","",IF('Control Panel'!K15="",VLOOKUP($E16,'Table Output'!$A$2:$BR$1048576,MATCH(K$4,'Table Output'!$A$1:$BQ$1,0),),'Control Panel'!K15)))</f>
        <v>#N/A</v>
      </c>
      <c r="L16" s="36" t="e">
        <f>IF($I16="","",IF(L$4="","",IF('Control Panel'!L15="",VLOOKUP($E16,'Table Output'!$A$2:$BR$1048576,MATCH(L$4,'Table Output'!$A$1:$BQ$1,0),),'Control Panel'!L15)))</f>
        <v>#N/A</v>
      </c>
      <c r="M16" s="36" t="e">
        <f>IF($I16="","",IF(M$4="","",IF('Control Panel'!M15="",VLOOKUP($E16,'Table Output'!$A$2:$BR$1048576,MATCH(M$4,'Table Output'!$A$1:$BQ$1,0),),'Control Panel'!M15)))</f>
        <v>#N/A</v>
      </c>
      <c r="N16" s="36" t="e">
        <f>IF($I16="","",IF(N$4="","",IF('Control Panel'!N15="",VLOOKUP($E16,'Table Output'!$A$2:$BR$1048576,MATCH(N$4,'Table Output'!$A$1:$BQ$1,0),),'Control Panel'!N15)))</f>
        <v>#N/A</v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e">
        <f>IF($I16="","",IF('Control Panel'!U15="",VLOOKUP($E16,'Table Output'!$A$2:$BR$99998,MATCH(U$4,'Table Output'!$A$1:$BQ$1,0),),'Control Panel'!U15))</f>
        <v>#N/A</v>
      </c>
      <c r="V16" s="36" t="e">
        <f>IF($I16="","",IF('Control Panel'!V15="",VLOOKUP($E16,'Table Output'!$A$2:$BR$99998,MATCH(V$4,'Table Output'!$A$1:$BQ$1,0),),'Control Panel'!V15))</f>
        <v>#N/A</v>
      </c>
      <c r="W16" s="36" t="e">
        <f>IF($I16="","",IF('Control Panel'!W15="",VLOOKUP($E16,'Table Output'!$A$2:$BR$99998,MATCH(W$4,'Table Output'!$A$1:$BQ$1,0),),'Control Panel'!W15))</f>
        <v>#N/A</v>
      </c>
      <c r="X16" s="36" t="e">
        <f>IF($I16="","",IF('Control Panel'!X15="",VLOOKUP($E16,'Table Output'!$A$2:$BR$99998,MATCH(X$4,'Table Output'!$A$1:$BQ$1,0),),'Control Panel'!X15))</f>
        <v>#N/A</v>
      </c>
      <c r="Y16" s="36" t="e">
        <f>IF($I16="","",IF('Control Panel'!Y15="",VLOOKUP($E16,'Table Output'!$A$2:$BR$99998,MATCH(Y$4,'Table Output'!$A$1:$BQ$1,0),),'Control Panel'!Y15))</f>
        <v>#N/A</v>
      </c>
      <c r="Z16" s="36" t="e">
        <f>IF($I16="","",IF('Control Panel'!Z15="",VLOOKUP($E16,'Table Output'!$A$2:$BR$99998,MATCH(Z$4,'Table Output'!$A$1:$BQ$1,0),),'Control Panel'!Z15))</f>
        <v>#N/A</v>
      </c>
      <c r="AA16" s="36" t="e">
        <f>IF($I16="","",IF('Control Panel'!AA15="",VLOOKUP($E16,'Table Output'!$A$2:$BR$99998,MATCH(AA$4,'Table Output'!$A$1:$BQ$1,0),),'Control Panel'!AA15))</f>
        <v>#N/A</v>
      </c>
      <c r="AB16" s="36" t="e">
        <f>IF($I16="","",IF('Control Panel'!AB15="",VLOOKUP($E16,'Table Output'!$A$2:$BR$99998,MATCH(AB$4,'Table Output'!$A$1:$BQ$1,0),),'Control Panel'!AB15))</f>
        <v>#N/A</v>
      </c>
      <c r="AC16" s="36" t="e">
        <f>IF($I16="","",IF('Control Panel'!AC15="",VLOOKUP($E16,'Table Output'!$A$2:$BR$99998,MATCH(AC$4,'Table Output'!$A$1:$BQ$1,0),),'Control Panel'!AC15))</f>
        <v>#N/A</v>
      </c>
      <c r="AD16" s="36" t="e">
        <f>IF($I16="","",IF('Control Panel'!AD15="",VLOOKUP($E16,'Table Output'!$A$2:$BR$99998,MATCH(AD$4,'Table Output'!$A$1:$BQ$1,0),),'Control Panel'!AD15))</f>
        <v>#N/A</v>
      </c>
      <c r="AE16" s="36" t="e">
        <f>IF($I16="","",IF('Control Panel'!AE15="",VLOOKUP($E16,'Table Output'!$A$2:$BR$99998,MATCH(AE$4,'Table Output'!$A$1:$BQ$1,0),),'Control Panel'!AE15))</f>
        <v>#N/A</v>
      </c>
      <c r="AF16" s="36" t="e">
        <f>IF($I16="","",IF('Control Panel'!AF15="",VLOOKUP($E16,'Table Output'!$A$2:$BR$99998,MATCH(AF$4,'Table Output'!$A$1:$BQ$1,0),),'Control Panel'!AF15))</f>
        <v>#N/A</v>
      </c>
      <c r="AG16" s="36" t="e">
        <f>IF($I16="","",IF('Control Panel'!AG15="",VLOOKUP($E16,'Table Output'!$A$2:$BR$99998,MATCH(AG$4,'Table Output'!$A$1:$BQ$1,0),),'Control Panel'!AG15))</f>
        <v>#N/A</v>
      </c>
      <c r="AH16" s="36" t="e">
        <f>IF($I16="","",IF('Control Panel'!AH15="",VLOOKUP($E16,'Table Output'!$A$2:$BR$99998,MATCH(AH$4,'Table Output'!$A$1:$BQ$1,0),),'Control Panel'!AH15))</f>
        <v>#N/A</v>
      </c>
      <c r="AI16" s="36" t="e">
        <f>IF($I16="","",IF('Control Panel'!AI15="",VLOOKUP($E16,'Table Output'!$A$2:$BR$99998,MATCH(AI$4,'Table Output'!$A$1:$BQ$1,0),),'Control Panel'!AI15))</f>
        <v>#N/A</v>
      </c>
      <c r="AJ16" s="36" t="e">
        <f>IF($I16="","",IF('Control Panel'!AJ15="",VLOOKUP($E16,'Table Output'!$A$2:$BR$99998,MATCH(AJ$4,'Table Output'!$A$1:$BQ$1,0),),'Control Panel'!AJ15))</f>
        <v>#N/A</v>
      </c>
      <c r="AL16" s="51">
        <f t="shared" si="0"/>
        <v>12</v>
      </c>
      <c r="AM16" s="48" t="e">
        <f>IF(AM$4="","",IF($I16="","",IF('Control Panel'!AM15="",VLOOKUP($E16,'Table Output'!$A$2:$BR$99998,MATCH(AM$4,'Table Output'!$A$1:$BQ$1,0),FALSE),'Control Panel'!AM15)))</f>
        <v>#N/A</v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Loc_69L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13" t="s">
        <v>154</v>
      </c>
      <c r="J36" s="114"/>
      <c r="K36" s="114"/>
      <c r="L36" s="114"/>
      <c r="M36" s="114"/>
      <c r="N36" s="114"/>
      <c r="O36" s="114"/>
      <c r="P36" s="114"/>
      <c r="Q36" s="114"/>
      <c r="R36" s="114"/>
      <c r="S36" s="115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Loc_69_Clay_1</v>
      </c>
      <c r="I38" s="7">
        <f>I5</f>
        <v>1</v>
      </c>
      <c r="J38" s="44">
        <f>IF($I38="","",IF(J$37="","",IF('Control Panel'!J38="",IF(VLOOKUP($E38,'Table Output'!$A$2:$E$99999,5,FALSE)="Sand",VLOOKUP(J$37,BoundParameters_HiddenSheetSAND!$B$3:$E$50,MATCH(VLOOKUP($I38,$I$5:$AJ$29,MATCH(VLOOKUP(J$37,$BH$3:$BI$50,2,FALSE),$I$4:$AJ$4,0),FALSE),BoundParameters_HiddenSheetCLAY!$B$1:$E$1,0),FALSE),IF(VLOOKUP($E38,'Table Output'!$A$2:$E$99999,5,FALSE)="Clay",VLOOKUP(J$37,BoundParameters_HiddenSheetCLAY!$B$3:$E$50,MATCH(VLOOKUP($I38,$I$5:$AJ$35,MATCH(VLOOKUP(J$37,$BH$3:$BI$50,2,FALSE),$I$4:$AJ$4,0),FALSE),BoundParameters_HiddenSheetCLAY!$B$1:$E$1,0),FALSE))),'Control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Output'!$A$2:$E$99999,5,FALSE)="Sand",VLOOKUP(K$37,BoundParameters_HiddenSheetSAND!$B$3:$E$50,MATCH(VLOOKUP($I38,$I$5:$AJ$29,MATCH(VLOOKUP(K$37,$BH$3:$BI$50,2,FALSE),$I$4:$AJ$4,0),FALSE),BoundParameters_HiddenSheetCLAY!$B$1:$E$1,0),FALSE),IF(VLOOKUP($E38,'Table Output'!$A$2:$E$99999,5,FALSE)="Clay",VLOOKUP(K$37,BoundParameters_HiddenSheetCLAY!$B$3:$E$50,MATCH(VLOOKUP($I38,$I$5:$AJ$35,MATCH(VLOOKUP(K$37,$BH$3:$BI$50,2,FALSE),$I$4:$AJ$4,0),FALSE),BoundParameters_HiddenSheetCLAY!$B$1:$E$1,0),FALSE))),'Control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Output'!$A$2:$E$99999,5,FALSE)="Sand",VLOOKUP(L$37,BoundParameters_HiddenSheetSAND!$B$3:$E$50,MATCH(VLOOKUP($I38,$I$5:$AJ$29,MATCH(VLOOKUP(L$37,$BH$3:$BI$50,2,FALSE),$I$4:$AJ$4,0),FALSE),BoundParameters_HiddenSheetCLAY!$B$1:$E$1,0),FALSE),IF(VLOOKUP($E38,'Table Output'!$A$2:$E$99999,5,FALSE)="Clay",VLOOKUP(L$37,BoundParameters_HiddenSheetCLAY!$B$3:$E$50,MATCH(VLOOKUP($I38,$I$5:$AJ$35,MATCH(VLOOKUP(L$37,$BH$3:$BI$50,2,FALSE),$I$4:$AJ$4,0),FALSE),BoundParameters_HiddenSheetCLAY!$B$1:$E$1,0),FALSE))),'Control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Output'!$A$2:$E$99999,5,FALSE)="Sand",VLOOKUP(M$37,BoundParameters_HiddenSheetSAND!$B$3:$E$50,MATCH(VLOOKUP($I38,$I$5:$AJ$29,MATCH(VLOOKUP(M$37,$BH$3:$BI$50,2,FALSE),$I$4:$AJ$4,0),FALSE),BoundParameters_HiddenSheetCLAY!$B$1:$E$1,0),FALSE),IF(VLOOKUP($E38,'Table Output'!$A$2:$E$99999,5,FALSE)="Clay",VLOOKUP(M$37,BoundParameters_HiddenSheetCLAY!$B$3:$E$50,MATCH(VLOOKUP($I38,$I$5:$AJ$35,MATCH(VLOOKUP(M$37,$BH$3:$BI$50,2,FALSE),$I$4:$AJ$4,0),FALSE),BoundParameters_HiddenSheetCLAY!$B$1:$E$1,0),FALSE))),'Control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Output'!$A$2:$E$99999,5,FALSE)="Sand",VLOOKUP(N$37,BoundParameters_HiddenSheetSAND!$B$3:$E$50,MATCH(VLOOKUP($I38,$I$5:$AJ$29,MATCH(VLOOKUP(N$37,$BH$3:$BI$50,2,FALSE),$I$4:$AJ$4,0),FALSE),BoundParameters_HiddenSheetCLAY!$B$1:$E$1,0),FALSE),IF(VLOOKUP($E38,'Table Output'!$A$2:$E$99999,5,FALSE)="Clay",VLOOKUP(N$37,BoundParameters_HiddenSheetCLAY!$B$3:$E$50,MATCH(VLOOKUP($I38,$I$5:$AJ$35,MATCH(VLOOKUP(N$37,$BH$3:$BI$50,2,FALSE),$I$4:$AJ$4,0),FALSE),BoundParameters_HiddenSheetCLAY!$B$1:$E$1,0),FALSE))),'Control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Output'!$A$2:$E$99999,5,FALSE)="Sand",VLOOKUP(O$37,BoundParameters_HiddenSheetSAND!$B$3:$E$50,MATCH(VLOOKUP($I38,$I$5:$AJ$29,MATCH(VLOOKUP(O$37,$BH$3:$BI$50,2,FALSE),$I$4:$AJ$4,0),FALSE),BoundParameters_HiddenSheetCLAY!$B$1:$E$1,0),FALSE),IF(VLOOKUP($E38,'Table Output'!$A$2:$E$99999,5,FALSE)="Clay",VLOOKUP(O$37,BoundParameters_HiddenSheetCLAY!$B$3:$E$50,MATCH(VLOOKUP($I38,$I$5:$AJ$35,MATCH(VLOOKUP(O$37,$BH$3:$BI$50,2,FALSE),$I$4:$AJ$4,0),FALSE),BoundParameters_HiddenSheetCLAY!$B$1:$E$1,0),FALSE))),'Control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Output'!$A$2:$E$99999,5,FALSE)="Sand",VLOOKUP(P$37,BoundParameters_HiddenSheetSAND!$B$3:$E$50,MATCH(VLOOKUP($I38,$I$5:$AJ$29,MATCH(VLOOKUP(P$37,$BH$3:$BI$50,2,FALSE),$I$4:$AJ$4,0),FALSE),BoundParameters_HiddenSheetCLAY!$B$1:$E$1,0),FALSE),IF(VLOOKUP($E38,'Table Output'!$A$2:$E$99999,5,FALSE)="Clay",VLOOKUP(P$37,BoundParameters_HiddenSheetCLAY!$B$3:$E$50,MATCH(VLOOKUP($I38,$I$5:$AJ$35,MATCH(VLOOKUP(P$37,$BH$3:$BI$50,2,FALSE),$I$4:$AJ$4,0),FALSE),BoundParameters_HiddenSheetCLAY!$B$1:$E$1,0),FALSE))),'Control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Output'!$A$2:$E$99999,5,FALSE)="Sand",VLOOKUP(Q$37,BoundParameters_HiddenSheetSAND!$B$3:$E$50,MATCH(VLOOKUP($I38,$I$5:$AJ$29,MATCH(VLOOKUP(Q$37,$BH$3:$BI$50,2,FALSE),$I$4:$AJ$4,0),FALSE),BoundParameters_HiddenSheetCLAY!$B$1:$E$1,0),FALSE),IF(VLOOKUP($E38,'Table Output'!$A$2:$E$99999,5,FALSE)="Clay",VLOOKUP(Q$37,BoundParameters_HiddenSheetCLAY!$B$3:$E$50,MATCH(VLOOKUP($I38,$I$5:$AJ$35,MATCH(VLOOKUP(Q$37,$BH$3:$BI$50,2,FALSE),$I$4:$AJ$4,0),FALSE),BoundParameters_HiddenSheetCLAY!$B$1:$E$1,0),FALSE))),'Control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Output'!$A$2:$E$99999,5,FALSE)="Sand",VLOOKUP(R$37,BoundParameters_HiddenSheetSAND!$B$3:$E$50,MATCH(VLOOKUP($I38,$I$5:$AJ$29,MATCH(VLOOKUP(R$37,$BH$3:$BI$50,2,FALSE),$I$4:$AJ$4,0),FALSE),BoundParameters_HiddenSheetCLAY!$B$1:$E$1,0),FALSE),IF(VLOOKUP($E38,'Table Output'!$A$2:$E$99999,5,FALSE)="Clay",VLOOKUP(R$37,BoundParameters_HiddenSheetCLAY!$B$3:$E$50,MATCH(VLOOKUP($I38,$I$5:$AJ$35,MATCH(VLOOKUP(R$37,$BH$3:$BI$50,2,FALSE),$I$4:$AJ$4,0),FALSE),BoundParameters_HiddenSheetCLAY!$B$1:$E$1,0),FALSE))),'Control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Output'!$A$2:$E$99999,5,FALSE)="Sand",VLOOKUP(S$37,BoundParameters_HiddenSheetSAND!$B$3:$E$50,MATCH(VLOOKUP($I38,$I$5:$AJ$29,MATCH(VLOOKUP(S$37,$BH$3:$BI$50,2,FALSE),$I$4:$AJ$4,0),FALSE),BoundParameters_HiddenSheetCLAY!$B$1:$E$1,0),FALSE),IF(VLOOKUP($E38,'Table Output'!$A$2:$E$99999,5,FALSE)="Clay",VLOOKUP(S$37,BoundParameters_HiddenSheetCLAY!$B$3:$E$50,MATCH(VLOOKUP($I38,$I$5:$AJ$35,MATCH(VLOOKUP(S$37,$BH$3:$BI$50,2,FALSE),$I$4:$AJ$4,0),FALSE),BoundParameters_HiddenSheetCLAY!$B$1:$E$1,0),FALSE))),'Control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Loc_69_Sand_1</v>
      </c>
      <c r="I39" s="7">
        <f t="shared" ref="I39:I62" si="4">I6</f>
        <v>2</v>
      </c>
      <c r="J39" s="44">
        <f>IF($I39="","",IF(J$37="","",IF('Control Panel'!J39="",IF(VLOOKUP($E39,'Table Output'!$A$2:$E$99999,5,FALSE)="Sand",VLOOKUP(J$37,BoundParameters_HiddenSheetSAND!$B$3:$E$50,MATCH(VLOOKUP($I39,$I$5:$AJ$29,MATCH(VLOOKUP(J$37,$BH$3:$BI$50,2,FALSE),$I$4:$AJ$4,0),FALSE),BoundParameters_HiddenSheetCLAY!$B$1:$E$1,0),FALSE),IF(VLOOKUP($E39,'Table Output'!$A$2:$E$99999,5,FALSE)="Clay",VLOOKUP(J$37,BoundParameters_HiddenSheetCLAY!$B$3:$E$50,MATCH(VLOOKUP($I39,$I$5:$AJ$35,MATCH(VLOOKUP(J$37,$BH$3:$BI$50,2,FALSE),$I$4:$AJ$4,0),FALSE),BoundParameters_HiddenSheetCLAY!$B$1:$E$1,0),FALSE))),'Control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Output'!$A$2:$E$99999,5,FALSE)="Sand",VLOOKUP(K$37,BoundParameters_HiddenSheetSAND!$B$3:$E$50,MATCH(VLOOKUP($I39,$I$5:$AJ$29,MATCH(VLOOKUP(K$37,$BH$3:$BI$50,2,FALSE),$I$4:$AJ$4,0),FALSE),BoundParameters_HiddenSheetCLAY!$B$1:$E$1,0),FALSE),IF(VLOOKUP($E39,'Table Output'!$A$2:$E$99999,5,FALSE)="Clay",VLOOKUP(K$37,BoundParameters_HiddenSheetCLAY!$B$3:$E$50,MATCH(VLOOKUP($I39,$I$5:$AJ$35,MATCH(VLOOKUP(K$37,$BH$3:$BI$50,2,FALSE),$I$4:$AJ$4,0),FALSE),BoundParameters_HiddenSheetCLAY!$B$1:$E$1,0),FALSE))),'Control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Output'!$A$2:$E$99999,5,FALSE)="Sand",VLOOKUP(L$37,BoundParameters_HiddenSheetSAND!$B$3:$E$50,MATCH(VLOOKUP($I39,$I$5:$AJ$29,MATCH(VLOOKUP(L$37,$BH$3:$BI$50,2,FALSE),$I$4:$AJ$4,0),FALSE),BoundParameters_HiddenSheetCLAY!$B$1:$E$1,0),FALSE),IF(VLOOKUP($E39,'Table Output'!$A$2:$E$99999,5,FALSE)="Clay",VLOOKUP(L$37,BoundParameters_HiddenSheetCLAY!$B$3:$E$50,MATCH(VLOOKUP($I39,$I$5:$AJ$35,MATCH(VLOOKUP(L$37,$BH$3:$BI$50,2,FALSE),$I$4:$AJ$4,0),FALSE),BoundParameters_HiddenSheetCLAY!$B$1:$E$1,0),FALSE))),'Control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Output'!$A$2:$E$99999,5,FALSE)="Sand",VLOOKUP(M$37,BoundParameters_HiddenSheetSAND!$B$3:$E$50,MATCH(VLOOKUP($I39,$I$5:$AJ$29,MATCH(VLOOKUP(M$37,$BH$3:$BI$50,2,FALSE),$I$4:$AJ$4,0),FALSE),BoundParameters_HiddenSheetCLAY!$B$1:$E$1,0),FALSE),IF(VLOOKUP($E39,'Table Output'!$A$2:$E$99999,5,FALSE)="Clay",VLOOKUP(M$37,BoundParameters_HiddenSheetCLAY!$B$3:$E$50,MATCH(VLOOKUP($I39,$I$5:$AJ$35,MATCH(VLOOKUP(M$37,$BH$3:$BI$50,2,FALSE),$I$4:$AJ$4,0),FALSE),BoundParameters_HiddenSheetCLAY!$B$1:$E$1,0),FALSE))),'Control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Output'!$A$2:$E$99999,5,FALSE)="Sand",VLOOKUP(N$37,BoundParameters_HiddenSheetSAND!$B$3:$E$50,MATCH(VLOOKUP($I39,$I$5:$AJ$29,MATCH(VLOOKUP(N$37,$BH$3:$BI$50,2,FALSE),$I$4:$AJ$4,0),FALSE),BoundParameters_HiddenSheetCLAY!$B$1:$E$1,0),FALSE),IF(VLOOKUP($E39,'Table Output'!$A$2:$E$99999,5,FALSE)="Clay",VLOOKUP(N$37,BoundParameters_HiddenSheetCLAY!$B$3:$E$50,MATCH(VLOOKUP($I39,$I$5:$AJ$35,MATCH(VLOOKUP(N$37,$BH$3:$BI$50,2,FALSE),$I$4:$AJ$4,0),FALSE),BoundParameters_HiddenSheetCLAY!$B$1:$E$1,0),FALSE))),'Control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Output'!$A$2:$E$99999,5,FALSE)="Sand",VLOOKUP(O$37,BoundParameters_HiddenSheetSAND!$B$3:$E$50,MATCH(VLOOKUP($I39,$I$5:$AJ$29,MATCH(VLOOKUP(O$37,$BH$3:$BI$50,2,FALSE),$I$4:$AJ$4,0),FALSE),BoundParameters_HiddenSheetCLAY!$B$1:$E$1,0),FALSE),IF(VLOOKUP($E39,'Table Output'!$A$2:$E$99999,5,FALSE)="Clay",VLOOKUP(O$37,BoundParameters_HiddenSheetCLAY!$B$3:$E$50,MATCH(VLOOKUP($I39,$I$5:$AJ$35,MATCH(VLOOKUP(O$37,$BH$3:$BI$50,2,FALSE),$I$4:$AJ$4,0),FALSE),BoundParameters_HiddenSheetCLAY!$B$1:$E$1,0),FALSE))),'Control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Output'!$A$2:$E$99999,5,FALSE)="Sand",VLOOKUP(P$37,BoundParameters_HiddenSheetSAND!$B$3:$E$50,MATCH(VLOOKUP($I39,$I$5:$AJ$29,MATCH(VLOOKUP(P$37,$BH$3:$BI$50,2,FALSE),$I$4:$AJ$4,0),FALSE),BoundParameters_HiddenSheetCLAY!$B$1:$E$1,0),FALSE),IF(VLOOKUP($E39,'Table Output'!$A$2:$E$99999,5,FALSE)="Clay",VLOOKUP(P$37,BoundParameters_HiddenSheetCLAY!$B$3:$E$50,MATCH(VLOOKUP($I39,$I$5:$AJ$35,MATCH(VLOOKUP(P$37,$BH$3:$BI$50,2,FALSE),$I$4:$AJ$4,0),FALSE),BoundParameters_HiddenSheetCLAY!$B$1:$E$1,0),FALSE))),'Control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Output'!$A$2:$E$99999,5,FALSE)="Sand",VLOOKUP(Q$37,BoundParameters_HiddenSheetSAND!$B$3:$E$50,MATCH(VLOOKUP($I39,$I$5:$AJ$29,MATCH(VLOOKUP(Q$37,$BH$3:$BI$50,2,FALSE),$I$4:$AJ$4,0),FALSE),BoundParameters_HiddenSheetCLAY!$B$1:$E$1,0),FALSE),IF(VLOOKUP($E39,'Table Output'!$A$2:$E$99999,5,FALSE)="Clay",VLOOKUP(Q$37,BoundParameters_HiddenSheetCLAY!$B$3:$E$50,MATCH(VLOOKUP($I39,$I$5:$AJ$35,MATCH(VLOOKUP(Q$37,$BH$3:$BI$50,2,FALSE),$I$4:$AJ$4,0),FALSE),BoundParameters_HiddenSheetCLAY!$B$1:$E$1,0),FALSE))),'Control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Output'!$A$2:$E$99999,5,FALSE)="Sand",VLOOKUP(R$37,BoundParameters_HiddenSheetSAND!$B$3:$E$50,MATCH(VLOOKUP($I39,$I$5:$AJ$29,MATCH(VLOOKUP(R$37,$BH$3:$BI$50,2,FALSE),$I$4:$AJ$4,0),FALSE),BoundParameters_HiddenSheetCLAY!$B$1:$E$1,0),FALSE),IF(VLOOKUP($E39,'Table Output'!$A$2:$E$99999,5,FALSE)="Clay",VLOOKUP(R$37,BoundParameters_HiddenSheetCLAY!$B$3:$E$50,MATCH(VLOOKUP($I39,$I$5:$AJ$35,MATCH(VLOOKUP(R$37,$BH$3:$BI$50,2,FALSE),$I$4:$AJ$4,0),FALSE),BoundParameters_HiddenSheetCLAY!$B$1:$E$1,0),FALSE))),'Control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Output'!$A$2:$E$99999,5,FALSE)="Sand",VLOOKUP(S$37,BoundParameters_HiddenSheetSAND!$B$3:$E$50,MATCH(VLOOKUP($I39,$I$5:$AJ$29,MATCH(VLOOKUP(S$37,$BH$3:$BI$50,2,FALSE),$I$4:$AJ$4,0),FALSE),BoundParameters_HiddenSheetCLAY!$B$1:$E$1,0),FALSE),IF(VLOOKUP($E39,'Table Output'!$A$2:$E$99999,5,FALSE)="Clay",VLOOKUP(S$37,BoundParameters_HiddenSheetCLAY!$B$3:$E$50,MATCH(VLOOKUP($I39,$I$5:$AJ$35,MATCH(VLOOKUP(S$37,$BH$3:$BI$50,2,FALSE),$I$4:$AJ$4,0),FALSE),BoundParameters_HiddenSheetCLAY!$B$1:$E$1,0),FALSE))),'Control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Loc_69_Sand_2</v>
      </c>
      <c r="I40" s="7">
        <f t="shared" si="4"/>
        <v>3</v>
      </c>
      <c r="J40" s="44">
        <f>IF($I40="","",IF(J$37="","",IF('Control Panel'!J40="",IF(VLOOKUP($E40,'Table Output'!$A$2:$E$99999,5,FALSE)="Sand",VLOOKUP(J$37,BoundParameters_HiddenSheetSAND!$B$3:$E$50,MATCH(VLOOKUP($I40,$I$5:$AJ$29,MATCH(VLOOKUP(J$37,$BH$3:$BI$50,2,FALSE),$I$4:$AJ$4,0),FALSE),BoundParameters_HiddenSheetCLAY!$B$1:$E$1,0),FALSE),IF(VLOOKUP($E40,'Table Output'!$A$2:$E$99999,5,FALSE)="Clay",VLOOKUP(J$37,BoundParameters_HiddenSheetCLAY!$B$3:$E$50,MATCH(VLOOKUP($I40,$I$5:$AJ$35,MATCH(VLOOKUP(J$37,$BH$3:$BI$50,2,FALSE),$I$4:$AJ$4,0),FALSE),BoundParameters_HiddenSheetCLAY!$B$1:$E$1,0),FALSE))),'Control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Output'!$A$2:$E$99999,5,FALSE)="Sand",VLOOKUP(K$37,BoundParameters_HiddenSheetSAND!$B$3:$E$50,MATCH(VLOOKUP($I40,$I$5:$AJ$29,MATCH(VLOOKUP(K$37,$BH$3:$BI$50,2,FALSE),$I$4:$AJ$4,0),FALSE),BoundParameters_HiddenSheetCLAY!$B$1:$E$1,0),FALSE),IF(VLOOKUP($E40,'Table Output'!$A$2:$E$99999,5,FALSE)="Clay",VLOOKUP(K$37,BoundParameters_HiddenSheetCLAY!$B$3:$E$50,MATCH(VLOOKUP($I40,$I$5:$AJ$35,MATCH(VLOOKUP(K$37,$BH$3:$BI$50,2,FALSE),$I$4:$AJ$4,0),FALSE),BoundParameters_HiddenSheetCLAY!$B$1:$E$1,0),FALSE))),'Control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Output'!$A$2:$E$99999,5,FALSE)="Sand",VLOOKUP(L$37,BoundParameters_HiddenSheetSAND!$B$3:$E$50,MATCH(VLOOKUP($I40,$I$5:$AJ$29,MATCH(VLOOKUP(L$37,$BH$3:$BI$50,2,FALSE),$I$4:$AJ$4,0),FALSE),BoundParameters_HiddenSheetCLAY!$B$1:$E$1,0),FALSE),IF(VLOOKUP($E40,'Table Output'!$A$2:$E$99999,5,FALSE)="Clay",VLOOKUP(L$37,BoundParameters_HiddenSheetCLAY!$B$3:$E$50,MATCH(VLOOKUP($I40,$I$5:$AJ$35,MATCH(VLOOKUP(L$37,$BH$3:$BI$50,2,FALSE),$I$4:$AJ$4,0),FALSE),BoundParameters_HiddenSheetCLAY!$B$1:$E$1,0),FALSE))),'Control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Output'!$A$2:$E$99999,5,FALSE)="Sand",VLOOKUP(M$37,BoundParameters_HiddenSheetSAND!$B$3:$E$50,MATCH(VLOOKUP($I40,$I$5:$AJ$29,MATCH(VLOOKUP(M$37,$BH$3:$BI$50,2,FALSE),$I$4:$AJ$4,0),FALSE),BoundParameters_HiddenSheetCLAY!$B$1:$E$1,0),FALSE),IF(VLOOKUP($E40,'Table Output'!$A$2:$E$99999,5,FALSE)="Clay",VLOOKUP(M$37,BoundParameters_HiddenSheetCLAY!$B$3:$E$50,MATCH(VLOOKUP($I40,$I$5:$AJ$35,MATCH(VLOOKUP(M$37,$BH$3:$BI$50,2,FALSE),$I$4:$AJ$4,0),FALSE),BoundParameters_HiddenSheetCLAY!$B$1:$E$1,0),FALSE))),'Control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Output'!$A$2:$E$99999,5,FALSE)="Sand",VLOOKUP(N$37,BoundParameters_HiddenSheetSAND!$B$3:$E$50,MATCH(VLOOKUP($I40,$I$5:$AJ$29,MATCH(VLOOKUP(N$37,$BH$3:$BI$50,2,FALSE),$I$4:$AJ$4,0),FALSE),BoundParameters_HiddenSheetCLAY!$B$1:$E$1,0),FALSE),IF(VLOOKUP($E40,'Table Output'!$A$2:$E$99999,5,FALSE)="Clay",VLOOKUP(N$37,BoundParameters_HiddenSheetCLAY!$B$3:$E$50,MATCH(VLOOKUP($I40,$I$5:$AJ$35,MATCH(VLOOKUP(N$37,$BH$3:$BI$50,2,FALSE),$I$4:$AJ$4,0),FALSE),BoundParameters_HiddenSheetCLAY!$B$1:$E$1,0),FALSE))),'Control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Output'!$A$2:$E$99999,5,FALSE)="Sand",VLOOKUP(O$37,BoundParameters_HiddenSheetSAND!$B$3:$E$50,MATCH(VLOOKUP($I40,$I$5:$AJ$29,MATCH(VLOOKUP(O$37,$BH$3:$BI$50,2,FALSE),$I$4:$AJ$4,0),FALSE),BoundParameters_HiddenSheetCLAY!$B$1:$E$1,0),FALSE),IF(VLOOKUP($E40,'Table Output'!$A$2:$E$99999,5,FALSE)="Clay",VLOOKUP(O$37,BoundParameters_HiddenSheetCLAY!$B$3:$E$50,MATCH(VLOOKUP($I40,$I$5:$AJ$35,MATCH(VLOOKUP(O$37,$BH$3:$BI$50,2,FALSE),$I$4:$AJ$4,0),FALSE),BoundParameters_HiddenSheetCLAY!$B$1:$E$1,0),FALSE))),'Control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Output'!$A$2:$E$99999,5,FALSE)="Sand",VLOOKUP(P$37,BoundParameters_HiddenSheetSAND!$B$3:$E$50,MATCH(VLOOKUP($I40,$I$5:$AJ$29,MATCH(VLOOKUP(P$37,$BH$3:$BI$50,2,FALSE),$I$4:$AJ$4,0),FALSE),BoundParameters_HiddenSheetCLAY!$B$1:$E$1,0),FALSE),IF(VLOOKUP($E40,'Table Output'!$A$2:$E$99999,5,FALSE)="Clay",VLOOKUP(P$37,BoundParameters_HiddenSheetCLAY!$B$3:$E$50,MATCH(VLOOKUP($I40,$I$5:$AJ$35,MATCH(VLOOKUP(P$37,$BH$3:$BI$50,2,FALSE),$I$4:$AJ$4,0),FALSE),BoundParameters_HiddenSheetCLAY!$B$1:$E$1,0),FALSE))),'Control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Output'!$A$2:$E$99999,5,FALSE)="Sand",VLOOKUP(Q$37,BoundParameters_HiddenSheetSAND!$B$3:$E$50,MATCH(VLOOKUP($I40,$I$5:$AJ$29,MATCH(VLOOKUP(Q$37,$BH$3:$BI$50,2,FALSE),$I$4:$AJ$4,0),FALSE),BoundParameters_HiddenSheetCLAY!$B$1:$E$1,0),FALSE),IF(VLOOKUP($E40,'Table Output'!$A$2:$E$99999,5,FALSE)="Clay",VLOOKUP(Q$37,BoundParameters_HiddenSheetCLAY!$B$3:$E$50,MATCH(VLOOKUP($I40,$I$5:$AJ$35,MATCH(VLOOKUP(Q$37,$BH$3:$BI$50,2,FALSE),$I$4:$AJ$4,0),FALSE),BoundParameters_HiddenSheetCLAY!$B$1:$E$1,0),FALSE))),'Control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Output'!$A$2:$E$99999,5,FALSE)="Sand",VLOOKUP(R$37,BoundParameters_HiddenSheetSAND!$B$3:$E$50,MATCH(VLOOKUP($I40,$I$5:$AJ$29,MATCH(VLOOKUP(R$37,$BH$3:$BI$50,2,FALSE),$I$4:$AJ$4,0),FALSE),BoundParameters_HiddenSheetCLAY!$B$1:$E$1,0),FALSE),IF(VLOOKUP($E40,'Table Output'!$A$2:$E$99999,5,FALSE)="Clay",VLOOKUP(R$37,BoundParameters_HiddenSheetCLAY!$B$3:$E$50,MATCH(VLOOKUP($I40,$I$5:$AJ$35,MATCH(VLOOKUP(R$37,$BH$3:$BI$50,2,FALSE),$I$4:$AJ$4,0),FALSE),BoundParameters_HiddenSheetCLAY!$B$1:$E$1,0),FALSE))),'Control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Output'!$A$2:$E$99999,5,FALSE)="Sand",VLOOKUP(S$37,BoundParameters_HiddenSheetSAND!$B$3:$E$50,MATCH(VLOOKUP($I40,$I$5:$AJ$29,MATCH(VLOOKUP(S$37,$BH$3:$BI$50,2,FALSE),$I$4:$AJ$4,0),FALSE),BoundParameters_HiddenSheetCLAY!$B$1:$E$1,0),FALSE),IF(VLOOKUP($E40,'Table Output'!$A$2:$E$99999,5,FALSE)="Clay",VLOOKUP(S$37,BoundParameters_HiddenSheetCLAY!$B$3:$E$50,MATCH(VLOOKUP($I40,$I$5:$AJ$35,MATCH(VLOOKUP(S$37,$BH$3:$BI$50,2,FALSE),$I$4:$AJ$4,0),FALSE),BoundParameters_HiddenSheetCLAY!$B$1:$E$1,0),FALSE))),'Control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Loc_69_Sand_3</v>
      </c>
      <c r="I41" s="7">
        <f t="shared" si="4"/>
        <v>4</v>
      </c>
      <c r="J41" s="44">
        <f>IF($I41="","",IF(J$37="","",IF('Control Panel'!J41="",IF(VLOOKUP($E41,'Table Output'!$A$2:$E$99999,5,FALSE)="Sand",VLOOKUP(J$37,BoundParameters_HiddenSheetSAND!$B$3:$E$50,MATCH(VLOOKUP($I41,$I$5:$AJ$29,MATCH(VLOOKUP(J$37,$BH$3:$BI$50,2,FALSE),$I$4:$AJ$4,0),FALSE),BoundParameters_HiddenSheetCLAY!$B$1:$E$1,0),FALSE),IF(VLOOKUP($E41,'Table Output'!$A$2:$E$99999,5,FALSE)="Clay",VLOOKUP(J$37,BoundParameters_HiddenSheetCLAY!$B$3:$E$50,MATCH(VLOOKUP($I41,$I$5:$AJ$35,MATCH(VLOOKUP(J$37,$BH$3:$BI$50,2,FALSE),$I$4:$AJ$4,0),FALSE),BoundParameters_HiddenSheetCLAY!$B$1:$E$1,0),FALSE))),'Control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Output'!$A$2:$E$99999,5,FALSE)="Sand",VLOOKUP(K$37,BoundParameters_HiddenSheetSAND!$B$3:$E$50,MATCH(VLOOKUP($I41,$I$5:$AJ$29,MATCH(VLOOKUP(K$37,$BH$3:$BI$50,2,FALSE),$I$4:$AJ$4,0),FALSE),BoundParameters_HiddenSheetCLAY!$B$1:$E$1,0),FALSE),IF(VLOOKUP($E41,'Table Output'!$A$2:$E$99999,5,FALSE)="Clay",VLOOKUP(K$37,BoundParameters_HiddenSheetCLAY!$B$3:$E$50,MATCH(VLOOKUP($I41,$I$5:$AJ$35,MATCH(VLOOKUP(K$37,$BH$3:$BI$50,2,FALSE),$I$4:$AJ$4,0),FALSE),BoundParameters_HiddenSheetCLAY!$B$1:$E$1,0),FALSE))),'Control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Output'!$A$2:$E$99999,5,FALSE)="Sand",VLOOKUP(L$37,BoundParameters_HiddenSheetSAND!$B$3:$E$50,MATCH(VLOOKUP($I41,$I$5:$AJ$29,MATCH(VLOOKUP(L$37,$BH$3:$BI$50,2,FALSE),$I$4:$AJ$4,0),FALSE),BoundParameters_HiddenSheetCLAY!$B$1:$E$1,0),FALSE),IF(VLOOKUP($E41,'Table Output'!$A$2:$E$99999,5,FALSE)="Clay",VLOOKUP(L$37,BoundParameters_HiddenSheetCLAY!$B$3:$E$50,MATCH(VLOOKUP($I41,$I$5:$AJ$35,MATCH(VLOOKUP(L$37,$BH$3:$BI$50,2,FALSE),$I$4:$AJ$4,0),FALSE),BoundParameters_HiddenSheetCLAY!$B$1:$E$1,0),FALSE))),'Control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Output'!$A$2:$E$99999,5,FALSE)="Sand",VLOOKUP(M$37,BoundParameters_HiddenSheetSAND!$B$3:$E$50,MATCH(VLOOKUP($I41,$I$5:$AJ$29,MATCH(VLOOKUP(M$37,$BH$3:$BI$50,2,FALSE),$I$4:$AJ$4,0),FALSE),BoundParameters_HiddenSheetCLAY!$B$1:$E$1,0),FALSE),IF(VLOOKUP($E41,'Table Output'!$A$2:$E$99999,5,FALSE)="Clay",VLOOKUP(M$37,BoundParameters_HiddenSheetCLAY!$B$3:$E$50,MATCH(VLOOKUP($I41,$I$5:$AJ$35,MATCH(VLOOKUP(M$37,$BH$3:$BI$50,2,FALSE),$I$4:$AJ$4,0),FALSE),BoundParameters_HiddenSheetCLAY!$B$1:$E$1,0),FALSE))),'Control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Output'!$A$2:$E$99999,5,FALSE)="Sand",VLOOKUP(N$37,BoundParameters_HiddenSheetSAND!$B$3:$E$50,MATCH(VLOOKUP($I41,$I$5:$AJ$29,MATCH(VLOOKUP(N$37,$BH$3:$BI$50,2,FALSE),$I$4:$AJ$4,0),FALSE),BoundParameters_HiddenSheetCLAY!$B$1:$E$1,0),FALSE),IF(VLOOKUP($E41,'Table Output'!$A$2:$E$99999,5,FALSE)="Clay",VLOOKUP(N$37,BoundParameters_HiddenSheetCLAY!$B$3:$E$50,MATCH(VLOOKUP($I41,$I$5:$AJ$35,MATCH(VLOOKUP(N$37,$BH$3:$BI$50,2,FALSE),$I$4:$AJ$4,0),FALSE),BoundParameters_HiddenSheetCLAY!$B$1:$E$1,0),FALSE))),'Control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Output'!$A$2:$E$99999,5,FALSE)="Sand",VLOOKUP(O$37,BoundParameters_HiddenSheetSAND!$B$3:$E$50,MATCH(VLOOKUP($I41,$I$5:$AJ$29,MATCH(VLOOKUP(O$37,$BH$3:$BI$50,2,FALSE),$I$4:$AJ$4,0),FALSE),BoundParameters_HiddenSheetCLAY!$B$1:$E$1,0),FALSE),IF(VLOOKUP($E41,'Table Output'!$A$2:$E$99999,5,FALSE)="Clay",VLOOKUP(O$37,BoundParameters_HiddenSheetCLAY!$B$3:$E$50,MATCH(VLOOKUP($I41,$I$5:$AJ$35,MATCH(VLOOKUP(O$37,$BH$3:$BI$50,2,FALSE),$I$4:$AJ$4,0),FALSE),BoundParameters_HiddenSheetCLAY!$B$1:$E$1,0),FALSE))),'Control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Output'!$A$2:$E$99999,5,FALSE)="Sand",VLOOKUP(P$37,BoundParameters_HiddenSheetSAND!$B$3:$E$50,MATCH(VLOOKUP($I41,$I$5:$AJ$29,MATCH(VLOOKUP(P$37,$BH$3:$BI$50,2,FALSE),$I$4:$AJ$4,0),FALSE),BoundParameters_HiddenSheetCLAY!$B$1:$E$1,0),FALSE),IF(VLOOKUP($E41,'Table Output'!$A$2:$E$99999,5,FALSE)="Clay",VLOOKUP(P$37,BoundParameters_HiddenSheetCLAY!$B$3:$E$50,MATCH(VLOOKUP($I41,$I$5:$AJ$35,MATCH(VLOOKUP(P$37,$BH$3:$BI$50,2,FALSE),$I$4:$AJ$4,0),FALSE),BoundParameters_HiddenSheetCLAY!$B$1:$E$1,0),FALSE))),'Control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Output'!$A$2:$E$99999,5,FALSE)="Sand",VLOOKUP(Q$37,BoundParameters_HiddenSheetSAND!$B$3:$E$50,MATCH(VLOOKUP($I41,$I$5:$AJ$29,MATCH(VLOOKUP(Q$37,$BH$3:$BI$50,2,FALSE),$I$4:$AJ$4,0),FALSE),BoundParameters_HiddenSheetCLAY!$B$1:$E$1,0),FALSE),IF(VLOOKUP($E41,'Table Output'!$A$2:$E$99999,5,FALSE)="Clay",VLOOKUP(Q$37,BoundParameters_HiddenSheetCLAY!$B$3:$E$50,MATCH(VLOOKUP($I41,$I$5:$AJ$35,MATCH(VLOOKUP(Q$37,$BH$3:$BI$50,2,FALSE),$I$4:$AJ$4,0),FALSE),BoundParameters_HiddenSheetCLAY!$B$1:$E$1,0),FALSE))),'Control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Output'!$A$2:$E$99999,5,FALSE)="Sand",VLOOKUP(R$37,BoundParameters_HiddenSheetSAND!$B$3:$E$50,MATCH(VLOOKUP($I41,$I$5:$AJ$29,MATCH(VLOOKUP(R$37,$BH$3:$BI$50,2,FALSE),$I$4:$AJ$4,0),FALSE),BoundParameters_HiddenSheetCLAY!$B$1:$E$1,0),FALSE),IF(VLOOKUP($E41,'Table Output'!$A$2:$E$99999,5,FALSE)="Clay",VLOOKUP(R$37,BoundParameters_HiddenSheetCLAY!$B$3:$E$50,MATCH(VLOOKUP($I41,$I$5:$AJ$35,MATCH(VLOOKUP(R$37,$BH$3:$BI$50,2,FALSE),$I$4:$AJ$4,0),FALSE),BoundParameters_HiddenSheetCLAY!$B$1:$E$1,0),FALSE))),'Control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Output'!$A$2:$E$99999,5,FALSE)="Sand",VLOOKUP(S$37,BoundParameters_HiddenSheetSAND!$B$3:$E$50,MATCH(VLOOKUP($I41,$I$5:$AJ$29,MATCH(VLOOKUP(S$37,$BH$3:$BI$50,2,FALSE),$I$4:$AJ$4,0),FALSE),BoundParameters_HiddenSheetCLAY!$B$1:$E$1,0),FALSE),IF(VLOOKUP($E41,'Table Output'!$A$2:$E$99999,5,FALSE)="Clay",VLOOKUP(S$37,BoundParameters_HiddenSheetCLAY!$B$3:$E$50,MATCH(VLOOKUP($I41,$I$5:$AJ$35,MATCH(VLOOKUP(S$37,$BH$3:$BI$50,2,FALSE),$I$4:$AJ$4,0),FALSE),BoundParameters_HiddenSheetCLAY!$B$1:$E$1,0),FALSE))),'Control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Loc_69_Sand_4</v>
      </c>
      <c r="I42" s="7">
        <f t="shared" si="4"/>
        <v>5</v>
      </c>
      <c r="J42" s="44">
        <f>IF($I42="","",IF(J$37="","",IF('Control Panel'!J42="",IF(VLOOKUP($E42,'Table Output'!$A$2:$E$99999,5,FALSE)="Sand",VLOOKUP(J$37,BoundParameters_HiddenSheetSAND!$B$3:$E$50,MATCH(VLOOKUP($I42,$I$5:$AJ$29,MATCH(VLOOKUP(J$37,$BH$3:$BI$50,2,FALSE),$I$4:$AJ$4,0),FALSE),BoundParameters_HiddenSheetCLAY!$B$1:$E$1,0),FALSE),IF(VLOOKUP($E42,'Table Output'!$A$2:$E$99999,5,FALSE)="Clay",VLOOKUP(J$37,BoundParameters_HiddenSheetCLAY!$B$3:$E$50,MATCH(VLOOKUP($I42,$I$5:$AJ$35,MATCH(VLOOKUP(J$37,$BH$3:$BI$50,2,FALSE),$I$4:$AJ$4,0),FALSE),BoundParameters_HiddenSheetCLAY!$B$1:$E$1,0),FALSE))),'Control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Output'!$A$2:$E$99999,5,FALSE)="Sand",VLOOKUP(K$37,BoundParameters_HiddenSheetSAND!$B$3:$E$50,MATCH(VLOOKUP($I42,$I$5:$AJ$29,MATCH(VLOOKUP(K$37,$BH$3:$BI$50,2,FALSE),$I$4:$AJ$4,0),FALSE),BoundParameters_HiddenSheetCLAY!$B$1:$E$1,0),FALSE),IF(VLOOKUP($E42,'Table Output'!$A$2:$E$99999,5,FALSE)="Clay",VLOOKUP(K$37,BoundParameters_HiddenSheetCLAY!$B$3:$E$50,MATCH(VLOOKUP($I42,$I$5:$AJ$35,MATCH(VLOOKUP(K$37,$BH$3:$BI$50,2,FALSE),$I$4:$AJ$4,0),FALSE),BoundParameters_HiddenSheetCLAY!$B$1:$E$1,0),FALSE))),'Control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Output'!$A$2:$E$99999,5,FALSE)="Sand",VLOOKUP(L$37,BoundParameters_HiddenSheetSAND!$B$3:$E$50,MATCH(VLOOKUP($I42,$I$5:$AJ$29,MATCH(VLOOKUP(L$37,$BH$3:$BI$50,2,FALSE),$I$4:$AJ$4,0),FALSE),BoundParameters_HiddenSheetCLAY!$B$1:$E$1,0),FALSE),IF(VLOOKUP($E42,'Table Output'!$A$2:$E$99999,5,FALSE)="Clay",VLOOKUP(L$37,BoundParameters_HiddenSheetCLAY!$B$3:$E$50,MATCH(VLOOKUP($I42,$I$5:$AJ$35,MATCH(VLOOKUP(L$37,$BH$3:$BI$50,2,FALSE),$I$4:$AJ$4,0),FALSE),BoundParameters_HiddenSheetCLAY!$B$1:$E$1,0),FALSE))),'Control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Output'!$A$2:$E$99999,5,FALSE)="Sand",VLOOKUP(M$37,BoundParameters_HiddenSheetSAND!$B$3:$E$50,MATCH(VLOOKUP($I42,$I$5:$AJ$29,MATCH(VLOOKUP(M$37,$BH$3:$BI$50,2,FALSE),$I$4:$AJ$4,0),FALSE),BoundParameters_HiddenSheetCLAY!$B$1:$E$1,0),FALSE),IF(VLOOKUP($E42,'Table Output'!$A$2:$E$99999,5,FALSE)="Clay",VLOOKUP(M$37,BoundParameters_HiddenSheetCLAY!$B$3:$E$50,MATCH(VLOOKUP($I42,$I$5:$AJ$35,MATCH(VLOOKUP(M$37,$BH$3:$BI$50,2,FALSE),$I$4:$AJ$4,0),FALSE),BoundParameters_HiddenSheetCLAY!$B$1:$E$1,0),FALSE))),'Control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Output'!$A$2:$E$99999,5,FALSE)="Sand",VLOOKUP(N$37,BoundParameters_HiddenSheetSAND!$B$3:$E$50,MATCH(VLOOKUP($I42,$I$5:$AJ$29,MATCH(VLOOKUP(N$37,$BH$3:$BI$50,2,FALSE),$I$4:$AJ$4,0),FALSE),BoundParameters_HiddenSheetCLAY!$B$1:$E$1,0),FALSE),IF(VLOOKUP($E42,'Table Output'!$A$2:$E$99999,5,FALSE)="Clay",VLOOKUP(N$37,BoundParameters_HiddenSheetCLAY!$B$3:$E$50,MATCH(VLOOKUP($I42,$I$5:$AJ$35,MATCH(VLOOKUP(N$37,$BH$3:$BI$50,2,FALSE),$I$4:$AJ$4,0),FALSE),BoundParameters_HiddenSheetCLAY!$B$1:$E$1,0),FALSE))),'Control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Output'!$A$2:$E$99999,5,FALSE)="Sand",VLOOKUP(O$37,BoundParameters_HiddenSheetSAND!$B$3:$E$50,MATCH(VLOOKUP($I42,$I$5:$AJ$29,MATCH(VLOOKUP(O$37,$BH$3:$BI$50,2,FALSE),$I$4:$AJ$4,0),FALSE),BoundParameters_HiddenSheetCLAY!$B$1:$E$1,0),FALSE),IF(VLOOKUP($E42,'Table Output'!$A$2:$E$99999,5,FALSE)="Clay",VLOOKUP(O$37,BoundParameters_HiddenSheetCLAY!$B$3:$E$50,MATCH(VLOOKUP($I42,$I$5:$AJ$35,MATCH(VLOOKUP(O$37,$BH$3:$BI$50,2,FALSE),$I$4:$AJ$4,0),FALSE),BoundParameters_HiddenSheetCLAY!$B$1:$E$1,0),FALSE))),'Control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Output'!$A$2:$E$99999,5,FALSE)="Sand",VLOOKUP(P$37,BoundParameters_HiddenSheetSAND!$B$3:$E$50,MATCH(VLOOKUP($I42,$I$5:$AJ$29,MATCH(VLOOKUP(P$37,$BH$3:$BI$50,2,FALSE),$I$4:$AJ$4,0),FALSE),BoundParameters_HiddenSheetCLAY!$B$1:$E$1,0),FALSE),IF(VLOOKUP($E42,'Table Output'!$A$2:$E$99999,5,FALSE)="Clay",VLOOKUP(P$37,BoundParameters_HiddenSheetCLAY!$B$3:$E$50,MATCH(VLOOKUP($I42,$I$5:$AJ$35,MATCH(VLOOKUP(P$37,$BH$3:$BI$50,2,FALSE),$I$4:$AJ$4,0),FALSE),BoundParameters_HiddenSheetCLAY!$B$1:$E$1,0),FALSE))),'Control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Output'!$A$2:$E$99999,5,FALSE)="Sand",VLOOKUP(Q$37,BoundParameters_HiddenSheetSAND!$B$3:$E$50,MATCH(VLOOKUP($I42,$I$5:$AJ$29,MATCH(VLOOKUP(Q$37,$BH$3:$BI$50,2,FALSE),$I$4:$AJ$4,0),FALSE),BoundParameters_HiddenSheetCLAY!$B$1:$E$1,0),FALSE),IF(VLOOKUP($E42,'Table Output'!$A$2:$E$99999,5,FALSE)="Clay",VLOOKUP(Q$37,BoundParameters_HiddenSheetCLAY!$B$3:$E$50,MATCH(VLOOKUP($I42,$I$5:$AJ$35,MATCH(VLOOKUP(Q$37,$BH$3:$BI$50,2,FALSE),$I$4:$AJ$4,0),FALSE),BoundParameters_HiddenSheetCLAY!$B$1:$E$1,0),FALSE))),'Control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Output'!$A$2:$E$99999,5,FALSE)="Sand",VLOOKUP(R$37,BoundParameters_HiddenSheetSAND!$B$3:$E$50,MATCH(VLOOKUP($I42,$I$5:$AJ$29,MATCH(VLOOKUP(R$37,$BH$3:$BI$50,2,FALSE),$I$4:$AJ$4,0),FALSE),BoundParameters_HiddenSheetCLAY!$B$1:$E$1,0),FALSE),IF(VLOOKUP($E42,'Table Output'!$A$2:$E$99999,5,FALSE)="Clay",VLOOKUP(R$37,BoundParameters_HiddenSheetCLAY!$B$3:$E$50,MATCH(VLOOKUP($I42,$I$5:$AJ$35,MATCH(VLOOKUP(R$37,$BH$3:$BI$50,2,FALSE),$I$4:$AJ$4,0),FALSE),BoundParameters_HiddenSheetCLAY!$B$1:$E$1,0),FALSE))),'Control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Output'!$A$2:$E$99999,5,FALSE)="Sand",VLOOKUP(S$37,BoundParameters_HiddenSheetSAND!$B$3:$E$50,MATCH(VLOOKUP($I42,$I$5:$AJ$29,MATCH(VLOOKUP(S$37,$BH$3:$BI$50,2,FALSE),$I$4:$AJ$4,0),FALSE),BoundParameters_HiddenSheetCLAY!$B$1:$E$1,0),FALSE),IF(VLOOKUP($E42,'Table Output'!$A$2:$E$99999,5,FALSE)="Clay",VLOOKUP(S$37,BoundParameters_HiddenSheetCLAY!$B$3:$E$50,MATCH(VLOOKUP($I42,$I$5:$AJ$35,MATCH(VLOOKUP(S$37,$BH$3:$BI$50,2,FALSE),$I$4:$AJ$4,0),FALSE),BoundParameters_HiddenSheetCLAY!$B$1:$E$1,0),FALSE))),'Control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Loc_69_Sand_5</v>
      </c>
      <c r="I43" s="7">
        <f t="shared" si="4"/>
        <v>6</v>
      </c>
      <c r="J43" s="44">
        <f>IF($I43="","",IF(J$37="","",IF('Control Panel'!J43="",IF(VLOOKUP($E43,'Table Output'!$A$2:$E$99999,5,FALSE)="Sand",VLOOKUP(J$37,BoundParameters_HiddenSheetSAND!$B$3:$E$50,MATCH(VLOOKUP($I43,$I$5:$AJ$29,MATCH(VLOOKUP(J$37,$BH$3:$BI$50,2,FALSE),$I$4:$AJ$4,0),FALSE),BoundParameters_HiddenSheetCLAY!$B$1:$E$1,0),FALSE),IF(VLOOKUP($E43,'Table Output'!$A$2:$E$99999,5,FALSE)="Clay",VLOOKUP(J$37,BoundParameters_HiddenSheetCLAY!$B$3:$E$50,MATCH(VLOOKUP($I43,$I$5:$AJ$35,MATCH(VLOOKUP(J$37,$BH$3:$BI$50,2,FALSE),$I$4:$AJ$4,0),FALSE),BoundParameters_HiddenSheetCLAY!$B$1:$E$1,0),FALSE))),'Control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Output'!$A$2:$E$99999,5,FALSE)="Sand",VLOOKUP(K$37,BoundParameters_HiddenSheetSAND!$B$3:$E$50,MATCH(VLOOKUP($I43,$I$5:$AJ$29,MATCH(VLOOKUP(K$37,$BH$3:$BI$50,2,FALSE),$I$4:$AJ$4,0),FALSE),BoundParameters_HiddenSheetCLAY!$B$1:$E$1,0),FALSE),IF(VLOOKUP($E43,'Table Output'!$A$2:$E$99999,5,FALSE)="Clay",VLOOKUP(K$37,BoundParameters_HiddenSheetCLAY!$B$3:$E$50,MATCH(VLOOKUP($I43,$I$5:$AJ$35,MATCH(VLOOKUP(K$37,$BH$3:$BI$50,2,FALSE),$I$4:$AJ$4,0),FALSE),BoundParameters_HiddenSheetCLAY!$B$1:$E$1,0),FALSE))),'Control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Output'!$A$2:$E$99999,5,FALSE)="Sand",VLOOKUP(L$37,BoundParameters_HiddenSheetSAND!$B$3:$E$50,MATCH(VLOOKUP($I43,$I$5:$AJ$29,MATCH(VLOOKUP(L$37,$BH$3:$BI$50,2,FALSE),$I$4:$AJ$4,0),FALSE),BoundParameters_HiddenSheetCLAY!$B$1:$E$1,0),FALSE),IF(VLOOKUP($E43,'Table Output'!$A$2:$E$99999,5,FALSE)="Clay",VLOOKUP(L$37,BoundParameters_HiddenSheetCLAY!$B$3:$E$50,MATCH(VLOOKUP($I43,$I$5:$AJ$35,MATCH(VLOOKUP(L$37,$BH$3:$BI$50,2,FALSE),$I$4:$AJ$4,0),FALSE),BoundParameters_HiddenSheetCLAY!$B$1:$E$1,0),FALSE))),'Control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Output'!$A$2:$E$99999,5,FALSE)="Sand",VLOOKUP(M$37,BoundParameters_HiddenSheetSAND!$B$3:$E$50,MATCH(VLOOKUP($I43,$I$5:$AJ$29,MATCH(VLOOKUP(M$37,$BH$3:$BI$50,2,FALSE),$I$4:$AJ$4,0),FALSE),BoundParameters_HiddenSheetCLAY!$B$1:$E$1,0),FALSE),IF(VLOOKUP($E43,'Table Output'!$A$2:$E$99999,5,FALSE)="Clay",VLOOKUP(M$37,BoundParameters_HiddenSheetCLAY!$B$3:$E$50,MATCH(VLOOKUP($I43,$I$5:$AJ$35,MATCH(VLOOKUP(M$37,$BH$3:$BI$50,2,FALSE),$I$4:$AJ$4,0),FALSE),BoundParameters_HiddenSheetCLAY!$B$1:$E$1,0),FALSE))),'Control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Output'!$A$2:$E$99999,5,FALSE)="Sand",VLOOKUP(N$37,BoundParameters_HiddenSheetSAND!$B$3:$E$50,MATCH(VLOOKUP($I43,$I$5:$AJ$29,MATCH(VLOOKUP(N$37,$BH$3:$BI$50,2,FALSE),$I$4:$AJ$4,0),FALSE),BoundParameters_HiddenSheetCLAY!$B$1:$E$1,0),FALSE),IF(VLOOKUP($E43,'Table Output'!$A$2:$E$99999,5,FALSE)="Clay",VLOOKUP(N$37,BoundParameters_HiddenSheetCLAY!$B$3:$E$50,MATCH(VLOOKUP($I43,$I$5:$AJ$35,MATCH(VLOOKUP(N$37,$BH$3:$BI$50,2,FALSE),$I$4:$AJ$4,0),FALSE),BoundParameters_HiddenSheetCLAY!$B$1:$E$1,0),FALSE))),'Control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Output'!$A$2:$E$99999,5,FALSE)="Sand",VLOOKUP(O$37,BoundParameters_HiddenSheetSAND!$B$3:$E$50,MATCH(VLOOKUP($I43,$I$5:$AJ$29,MATCH(VLOOKUP(O$37,$BH$3:$BI$50,2,FALSE),$I$4:$AJ$4,0),FALSE),BoundParameters_HiddenSheetCLAY!$B$1:$E$1,0),FALSE),IF(VLOOKUP($E43,'Table Output'!$A$2:$E$99999,5,FALSE)="Clay",VLOOKUP(O$37,BoundParameters_HiddenSheetCLAY!$B$3:$E$50,MATCH(VLOOKUP($I43,$I$5:$AJ$35,MATCH(VLOOKUP(O$37,$BH$3:$BI$50,2,FALSE),$I$4:$AJ$4,0),FALSE),BoundParameters_HiddenSheetCLAY!$B$1:$E$1,0),FALSE))),'Control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Output'!$A$2:$E$99999,5,FALSE)="Sand",VLOOKUP(P$37,BoundParameters_HiddenSheetSAND!$B$3:$E$50,MATCH(VLOOKUP($I43,$I$5:$AJ$29,MATCH(VLOOKUP(P$37,$BH$3:$BI$50,2,FALSE),$I$4:$AJ$4,0),FALSE),BoundParameters_HiddenSheetCLAY!$B$1:$E$1,0),FALSE),IF(VLOOKUP($E43,'Table Output'!$A$2:$E$99999,5,FALSE)="Clay",VLOOKUP(P$37,BoundParameters_HiddenSheetCLAY!$B$3:$E$50,MATCH(VLOOKUP($I43,$I$5:$AJ$35,MATCH(VLOOKUP(P$37,$BH$3:$BI$50,2,FALSE),$I$4:$AJ$4,0),FALSE),BoundParameters_HiddenSheetCLAY!$B$1:$E$1,0),FALSE))),'Control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Output'!$A$2:$E$99999,5,FALSE)="Sand",VLOOKUP(Q$37,BoundParameters_HiddenSheetSAND!$B$3:$E$50,MATCH(VLOOKUP($I43,$I$5:$AJ$29,MATCH(VLOOKUP(Q$37,$BH$3:$BI$50,2,FALSE),$I$4:$AJ$4,0),FALSE),BoundParameters_HiddenSheetCLAY!$B$1:$E$1,0),FALSE),IF(VLOOKUP($E43,'Table Output'!$A$2:$E$99999,5,FALSE)="Clay",VLOOKUP(Q$37,BoundParameters_HiddenSheetCLAY!$B$3:$E$50,MATCH(VLOOKUP($I43,$I$5:$AJ$35,MATCH(VLOOKUP(Q$37,$BH$3:$BI$50,2,FALSE),$I$4:$AJ$4,0),FALSE),BoundParameters_HiddenSheetCLAY!$B$1:$E$1,0),FALSE))),'Control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Output'!$A$2:$E$99999,5,FALSE)="Sand",VLOOKUP(R$37,BoundParameters_HiddenSheetSAND!$B$3:$E$50,MATCH(VLOOKUP($I43,$I$5:$AJ$29,MATCH(VLOOKUP(R$37,$BH$3:$BI$50,2,FALSE),$I$4:$AJ$4,0),FALSE),BoundParameters_HiddenSheetCLAY!$B$1:$E$1,0),FALSE),IF(VLOOKUP($E43,'Table Output'!$A$2:$E$99999,5,FALSE)="Clay",VLOOKUP(R$37,BoundParameters_HiddenSheetCLAY!$B$3:$E$50,MATCH(VLOOKUP($I43,$I$5:$AJ$35,MATCH(VLOOKUP(R$37,$BH$3:$BI$50,2,FALSE),$I$4:$AJ$4,0),FALSE),BoundParameters_HiddenSheetCLAY!$B$1:$E$1,0),FALSE))),'Control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Output'!$A$2:$E$99999,5,FALSE)="Sand",VLOOKUP(S$37,BoundParameters_HiddenSheetSAND!$B$3:$E$50,MATCH(VLOOKUP($I43,$I$5:$AJ$29,MATCH(VLOOKUP(S$37,$BH$3:$BI$50,2,FALSE),$I$4:$AJ$4,0),FALSE),BoundParameters_HiddenSheetCLAY!$B$1:$E$1,0),FALSE),IF(VLOOKUP($E43,'Table Output'!$A$2:$E$99999,5,FALSE)="Clay",VLOOKUP(S$37,BoundParameters_HiddenSheetCLAY!$B$3:$E$50,MATCH(VLOOKUP($I43,$I$5:$AJ$35,MATCH(VLOOKUP(S$37,$BH$3:$BI$50,2,FALSE),$I$4:$AJ$4,0),FALSE),BoundParameters_HiddenSheetCLAY!$B$1:$E$1,0),FALSE))),'Control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Loc_69_Clay_2</v>
      </c>
      <c r="I44" s="7">
        <f t="shared" si="4"/>
        <v>7</v>
      </c>
      <c r="J44" s="44">
        <f>IF($I44="","",IF(J$37="","",IF('Control Panel'!J44="",IF(VLOOKUP($E44,'Table Output'!$A$2:$E$99999,5,FALSE)="Sand",VLOOKUP(J$37,BoundParameters_HiddenSheetSAND!$B$3:$E$50,MATCH(VLOOKUP($I44,$I$5:$AJ$29,MATCH(VLOOKUP(J$37,$BH$3:$BI$50,2,FALSE),$I$4:$AJ$4,0),FALSE),BoundParameters_HiddenSheetCLAY!$B$1:$E$1,0),FALSE),IF(VLOOKUP($E44,'Table Output'!$A$2:$E$99999,5,FALSE)="Clay",VLOOKUP(J$37,BoundParameters_HiddenSheetCLAY!$B$3:$E$50,MATCH(VLOOKUP($I44,$I$5:$AJ$35,MATCH(VLOOKUP(J$37,$BH$3:$BI$50,2,FALSE),$I$4:$AJ$4,0),FALSE),BoundParameters_HiddenSheetCLAY!$B$1:$E$1,0),FALSE))),'Control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Output'!$A$2:$E$99999,5,FALSE)="Sand",VLOOKUP(K$37,BoundParameters_HiddenSheetSAND!$B$3:$E$50,MATCH(VLOOKUP($I44,$I$5:$AJ$29,MATCH(VLOOKUP(K$37,$BH$3:$BI$50,2,FALSE),$I$4:$AJ$4,0),FALSE),BoundParameters_HiddenSheetCLAY!$B$1:$E$1,0),FALSE),IF(VLOOKUP($E44,'Table Output'!$A$2:$E$99999,5,FALSE)="Clay",VLOOKUP(K$37,BoundParameters_HiddenSheetCLAY!$B$3:$E$50,MATCH(VLOOKUP($I44,$I$5:$AJ$35,MATCH(VLOOKUP(K$37,$BH$3:$BI$50,2,FALSE),$I$4:$AJ$4,0),FALSE),BoundParameters_HiddenSheetCLAY!$B$1:$E$1,0),FALSE))),'Control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Output'!$A$2:$E$99999,5,FALSE)="Sand",VLOOKUP(L$37,BoundParameters_HiddenSheetSAND!$B$3:$E$50,MATCH(VLOOKUP($I44,$I$5:$AJ$29,MATCH(VLOOKUP(L$37,$BH$3:$BI$50,2,FALSE),$I$4:$AJ$4,0),FALSE),BoundParameters_HiddenSheetCLAY!$B$1:$E$1,0),FALSE),IF(VLOOKUP($E44,'Table Output'!$A$2:$E$99999,5,FALSE)="Clay",VLOOKUP(L$37,BoundParameters_HiddenSheetCLAY!$B$3:$E$50,MATCH(VLOOKUP($I44,$I$5:$AJ$35,MATCH(VLOOKUP(L$37,$BH$3:$BI$50,2,FALSE),$I$4:$AJ$4,0),FALSE),BoundParameters_HiddenSheetCLAY!$B$1:$E$1,0),FALSE))),'Control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Output'!$A$2:$E$99999,5,FALSE)="Sand",VLOOKUP(M$37,BoundParameters_HiddenSheetSAND!$B$3:$E$50,MATCH(VLOOKUP($I44,$I$5:$AJ$29,MATCH(VLOOKUP(M$37,$BH$3:$BI$50,2,FALSE),$I$4:$AJ$4,0),FALSE),BoundParameters_HiddenSheetCLAY!$B$1:$E$1,0),FALSE),IF(VLOOKUP($E44,'Table Output'!$A$2:$E$99999,5,FALSE)="Clay",VLOOKUP(M$37,BoundParameters_HiddenSheetCLAY!$B$3:$E$50,MATCH(VLOOKUP($I44,$I$5:$AJ$35,MATCH(VLOOKUP(M$37,$BH$3:$BI$50,2,FALSE),$I$4:$AJ$4,0),FALSE),BoundParameters_HiddenSheetCLAY!$B$1:$E$1,0),FALSE))),'Control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Output'!$A$2:$E$99999,5,FALSE)="Sand",VLOOKUP(N$37,BoundParameters_HiddenSheetSAND!$B$3:$E$50,MATCH(VLOOKUP($I44,$I$5:$AJ$29,MATCH(VLOOKUP(N$37,$BH$3:$BI$50,2,FALSE),$I$4:$AJ$4,0),FALSE),BoundParameters_HiddenSheetCLAY!$B$1:$E$1,0),FALSE),IF(VLOOKUP($E44,'Table Output'!$A$2:$E$99999,5,FALSE)="Clay",VLOOKUP(N$37,BoundParameters_HiddenSheetCLAY!$B$3:$E$50,MATCH(VLOOKUP($I44,$I$5:$AJ$35,MATCH(VLOOKUP(N$37,$BH$3:$BI$50,2,FALSE),$I$4:$AJ$4,0),FALSE),BoundParameters_HiddenSheetCLAY!$B$1:$E$1,0),FALSE))),'Control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Output'!$A$2:$E$99999,5,FALSE)="Sand",VLOOKUP(O$37,BoundParameters_HiddenSheetSAND!$B$3:$E$50,MATCH(VLOOKUP($I44,$I$5:$AJ$29,MATCH(VLOOKUP(O$37,$BH$3:$BI$50,2,FALSE),$I$4:$AJ$4,0),FALSE),BoundParameters_HiddenSheetCLAY!$B$1:$E$1,0),FALSE),IF(VLOOKUP($E44,'Table Output'!$A$2:$E$99999,5,FALSE)="Clay",VLOOKUP(O$37,BoundParameters_HiddenSheetCLAY!$B$3:$E$50,MATCH(VLOOKUP($I44,$I$5:$AJ$35,MATCH(VLOOKUP(O$37,$BH$3:$BI$50,2,FALSE),$I$4:$AJ$4,0),FALSE),BoundParameters_HiddenSheetCLAY!$B$1:$E$1,0),FALSE))),'Control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Output'!$A$2:$E$99999,5,FALSE)="Sand",VLOOKUP(P$37,BoundParameters_HiddenSheetSAND!$B$3:$E$50,MATCH(VLOOKUP($I44,$I$5:$AJ$29,MATCH(VLOOKUP(P$37,$BH$3:$BI$50,2,FALSE),$I$4:$AJ$4,0),FALSE),BoundParameters_HiddenSheetCLAY!$B$1:$E$1,0),FALSE),IF(VLOOKUP($E44,'Table Output'!$A$2:$E$99999,5,FALSE)="Clay",VLOOKUP(P$37,BoundParameters_HiddenSheetCLAY!$B$3:$E$50,MATCH(VLOOKUP($I44,$I$5:$AJ$35,MATCH(VLOOKUP(P$37,$BH$3:$BI$50,2,FALSE),$I$4:$AJ$4,0),FALSE),BoundParameters_HiddenSheetCLAY!$B$1:$E$1,0),FALSE))),'Control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Output'!$A$2:$E$99999,5,FALSE)="Sand",VLOOKUP(Q$37,BoundParameters_HiddenSheetSAND!$B$3:$E$50,MATCH(VLOOKUP($I44,$I$5:$AJ$29,MATCH(VLOOKUP(Q$37,$BH$3:$BI$50,2,FALSE),$I$4:$AJ$4,0),FALSE),BoundParameters_HiddenSheetCLAY!$B$1:$E$1,0),FALSE),IF(VLOOKUP($E44,'Table Output'!$A$2:$E$99999,5,FALSE)="Clay",VLOOKUP(Q$37,BoundParameters_HiddenSheetCLAY!$B$3:$E$50,MATCH(VLOOKUP($I44,$I$5:$AJ$35,MATCH(VLOOKUP(Q$37,$BH$3:$BI$50,2,FALSE),$I$4:$AJ$4,0),FALSE),BoundParameters_HiddenSheetCLAY!$B$1:$E$1,0),FALSE))),'Control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Output'!$A$2:$E$99999,5,FALSE)="Sand",VLOOKUP(R$37,BoundParameters_HiddenSheetSAND!$B$3:$E$50,MATCH(VLOOKUP($I44,$I$5:$AJ$29,MATCH(VLOOKUP(R$37,$BH$3:$BI$50,2,FALSE),$I$4:$AJ$4,0),FALSE),BoundParameters_HiddenSheetCLAY!$B$1:$E$1,0),FALSE),IF(VLOOKUP($E44,'Table Output'!$A$2:$E$99999,5,FALSE)="Clay",VLOOKUP(R$37,BoundParameters_HiddenSheetCLAY!$B$3:$E$50,MATCH(VLOOKUP($I44,$I$5:$AJ$35,MATCH(VLOOKUP(R$37,$BH$3:$BI$50,2,FALSE),$I$4:$AJ$4,0),FALSE),BoundParameters_HiddenSheetCLAY!$B$1:$E$1,0),FALSE))),'Control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Output'!$A$2:$E$99999,5,FALSE)="Sand",VLOOKUP(S$37,BoundParameters_HiddenSheetSAND!$B$3:$E$50,MATCH(VLOOKUP($I44,$I$5:$AJ$29,MATCH(VLOOKUP(S$37,$BH$3:$BI$50,2,FALSE),$I$4:$AJ$4,0),FALSE),BoundParameters_HiddenSheetCLAY!$B$1:$E$1,0),FALSE),IF(VLOOKUP($E44,'Table Output'!$A$2:$E$99999,5,FALSE)="Clay",VLOOKUP(S$37,BoundParameters_HiddenSheetCLAY!$B$3:$E$50,MATCH(VLOOKUP($I44,$I$5:$AJ$35,MATCH(VLOOKUP(S$37,$BH$3:$BI$50,2,FALSE),$I$4:$AJ$4,0),FALSE),BoundParameters_HiddenSheetCLAY!$B$1:$E$1,0),FALSE))),'Control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Loc_69_Clay_3</v>
      </c>
      <c r="I45" s="7">
        <f t="shared" si="4"/>
        <v>8</v>
      </c>
      <c r="J45" s="44">
        <f>IF($I45="","",IF(J$37="","",IF('Control Panel'!J45="",IF(VLOOKUP($E45,'Table Output'!$A$2:$E$99999,5,FALSE)="Sand",VLOOKUP(J$37,BoundParameters_HiddenSheetSAND!$B$3:$E$50,MATCH(VLOOKUP($I45,$I$5:$AJ$29,MATCH(VLOOKUP(J$37,$BH$3:$BI$50,2,FALSE),$I$4:$AJ$4,0),FALSE),BoundParameters_HiddenSheetCLAY!$B$1:$E$1,0),FALSE),IF(VLOOKUP($E45,'Table Output'!$A$2:$E$99999,5,FALSE)="Clay",VLOOKUP(J$37,BoundParameters_HiddenSheetCLAY!$B$3:$E$50,MATCH(VLOOKUP($I45,$I$5:$AJ$35,MATCH(VLOOKUP(J$37,$BH$3:$BI$50,2,FALSE),$I$4:$AJ$4,0),FALSE),BoundParameters_HiddenSheetCLAY!$B$1:$E$1,0),FALSE))),'Control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Output'!$A$2:$E$99999,5,FALSE)="Sand",VLOOKUP(K$37,BoundParameters_HiddenSheetSAND!$B$3:$E$50,MATCH(VLOOKUP($I45,$I$5:$AJ$29,MATCH(VLOOKUP(K$37,$BH$3:$BI$50,2,FALSE),$I$4:$AJ$4,0),FALSE),BoundParameters_HiddenSheetCLAY!$B$1:$E$1,0),FALSE),IF(VLOOKUP($E45,'Table Output'!$A$2:$E$99999,5,FALSE)="Clay",VLOOKUP(K$37,BoundParameters_HiddenSheetCLAY!$B$3:$E$50,MATCH(VLOOKUP($I45,$I$5:$AJ$35,MATCH(VLOOKUP(K$37,$BH$3:$BI$50,2,FALSE),$I$4:$AJ$4,0),FALSE),BoundParameters_HiddenSheetCLAY!$B$1:$E$1,0),FALSE))),'Control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Output'!$A$2:$E$99999,5,FALSE)="Sand",VLOOKUP(L$37,BoundParameters_HiddenSheetSAND!$B$3:$E$50,MATCH(VLOOKUP($I45,$I$5:$AJ$29,MATCH(VLOOKUP(L$37,$BH$3:$BI$50,2,FALSE),$I$4:$AJ$4,0),FALSE),BoundParameters_HiddenSheetCLAY!$B$1:$E$1,0),FALSE),IF(VLOOKUP($E45,'Table Output'!$A$2:$E$99999,5,FALSE)="Clay",VLOOKUP(L$37,BoundParameters_HiddenSheetCLAY!$B$3:$E$50,MATCH(VLOOKUP($I45,$I$5:$AJ$35,MATCH(VLOOKUP(L$37,$BH$3:$BI$50,2,FALSE),$I$4:$AJ$4,0),FALSE),BoundParameters_HiddenSheetCLAY!$B$1:$E$1,0),FALSE))),'Control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Output'!$A$2:$E$99999,5,FALSE)="Sand",VLOOKUP(M$37,BoundParameters_HiddenSheetSAND!$B$3:$E$50,MATCH(VLOOKUP($I45,$I$5:$AJ$29,MATCH(VLOOKUP(M$37,$BH$3:$BI$50,2,FALSE),$I$4:$AJ$4,0),FALSE),BoundParameters_HiddenSheetCLAY!$B$1:$E$1,0),FALSE),IF(VLOOKUP($E45,'Table Output'!$A$2:$E$99999,5,FALSE)="Clay",VLOOKUP(M$37,BoundParameters_HiddenSheetCLAY!$B$3:$E$50,MATCH(VLOOKUP($I45,$I$5:$AJ$35,MATCH(VLOOKUP(M$37,$BH$3:$BI$50,2,FALSE),$I$4:$AJ$4,0),FALSE),BoundParameters_HiddenSheetCLAY!$B$1:$E$1,0),FALSE))),'Control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Output'!$A$2:$E$99999,5,FALSE)="Sand",VLOOKUP(N$37,BoundParameters_HiddenSheetSAND!$B$3:$E$50,MATCH(VLOOKUP($I45,$I$5:$AJ$29,MATCH(VLOOKUP(N$37,$BH$3:$BI$50,2,FALSE),$I$4:$AJ$4,0),FALSE),BoundParameters_HiddenSheetCLAY!$B$1:$E$1,0),FALSE),IF(VLOOKUP($E45,'Table Output'!$A$2:$E$99999,5,FALSE)="Clay",VLOOKUP(N$37,BoundParameters_HiddenSheetCLAY!$B$3:$E$50,MATCH(VLOOKUP($I45,$I$5:$AJ$35,MATCH(VLOOKUP(N$37,$BH$3:$BI$50,2,FALSE),$I$4:$AJ$4,0),FALSE),BoundParameters_HiddenSheetCLAY!$B$1:$E$1,0),FALSE))),'Control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Output'!$A$2:$E$99999,5,FALSE)="Sand",VLOOKUP(O$37,BoundParameters_HiddenSheetSAND!$B$3:$E$50,MATCH(VLOOKUP($I45,$I$5:$AJ$29,MATCH(VLOOKUP(O$37,$BH$3:$BI$50,2,FALSE),$I$4:$AJ$4,0),FALSE),BoundParameters_HiddenSheetCLAY!$B$1:$E$1,0),FALSE),IF(VLOOKUP($E45,'Table Output'!$A$2:$E$99999,5,FALSE)="Clay",VLOOKUP(O$37,BoundParameters_HiddenSheetCLAY!$B$3:$E$50,MATCH(VLOOKUP($I45,$I$5:$AJ$35,MATCH(VLOOKUP(O$37,$BH$3:$BI$50,2,FALSE),$I$4:$AJ$4,0),FALSE),BoundParameters_HiddenSheetCLAY!$B$1:$E$1,0),FALSE))),'Control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Output'!$A$2:$E$99999,5,FALSE)="Sand",VLOOKUP(P$37,BoundParameters_HiddenSheetSAND!$B$3:$E$50,MATCH(VLOOKUP($I45,$I$5:$AJ$29,MATCH(VLOOKUP(P$37,$BH$3:$BI$50,2,FALSE),$I$4:$AJ$4,0),FALSE),BoundParameters_HiddenSheetCLAY!$B$1:$E$1,0),FALSE),IF(VLOOKUP($E45,'Table Output'!$A$2:$E$99999,5,FALSE)="Clay",VLOOKUP(P$37,BoundParameters_HiddenSheetCLAY!$B$3:$E$50,MATCH(VLOOKUP($I45,$I$5:$AJ$35,MATCH(VLOOKUP(P$37,$BH$3:$BI$50,2,FALSE),$I$4:$AJ$4,0),FALSE),BoundParameters_HiddenSheetCLAY!$B$1:$E$1,0),FALSE))),'Control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Output'!$A$2:$E$99999,5,FALSE)="Sand",VLOOKUP(Q$37,BoundParameters_HiddenSheetSAND!$B$3:$E$50,MATCH(VLOOKUP($I45,$I$5:$AJ$29,MATCH(VLOOKUP(Q$37,$BH$3:$BI$50,2,FALSE),$I$4:$AJ$4,0),FALSE),BoundParameters_HiddenSheetCLAY!$B$1:$E$1,0),FALSE),IF(VLOOKUP($E45,'Table Output'!$A$2:$E$99999,5,FALSE)="Clay",VLOOKUP(Q$37,BoundParameters_HiddenSheetCLAY!$B$3:$E$50,MATCH(VLOOKUP($I45,$I$5:$AJ$35,MATCH(VLOOKUP(Q$37,$BH$3:$BI$50,2,FALSE),$I$4:$AJ$4,0),FALSE),BoundParameters_HiddenSheetCLAY!$B$1:$E$1,0),FALSE))),'Control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Output'!$A$2:$E$99999,5,FALSE)="Sand",VLOOKUP(R$37,BoundParameters_HiddenSheetSAND!$B$3:$E$50,MATCH(VLOOKUP($I45,$I$5:$AJ$29,MATCH(VLOOKUP(R$37,$BH$3:$BI$50,2,FALSE),$I$4:$AJ$4,0),FALSE),BoundParameters_HiddenSheetCLAY!$B$1:$E$1,0),FALSE),IF(VLOOKUP($E45,'Table Output'!$A$2:$E$99999,5,FALSE)="Clay",VLOOKUP(R$37,BoundParameters_HiddenSheetCLAY!$B$3:$E$50,MATCH(VLOOKUP($I45,$I$5:$AJ$35,MATCH(VLOOKUP(R$37,$BH$3:$BI$50,2,FALSE),$I$4:$AJ$4,0),FALSE),BoundParameters_HiddenSheetCLAY!$B$1:$E$1,0),FALSE))),'Control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Output'!$A$2:$E$99999,5,FALSE)="Sand",VLOOKUP(S$37,BoundParameters_HiddenSheetSAND!$B$3:$E$50,MATCH(VLOOKUP($I45,$I$5:$AJ$29,MATCH(VLOOKUP(S$37,$BH$3:$BI$50,2,FALSE),$I$4:$AJ$4,0),FALSE),BoundParameters_HiddenSheetCLAY!$B$1:$E$1,0),FALSE),IF(VLOOKUP($E45,'Table Output'!$A$2:$E$99999,5,FALSE)="Clay",VLOOKUP(S$37,BoundParameters_HiddenSheetCLAY!$B$3:$E$50,MATCH(VLOOKUP($I45,$I$5:$AJ$35,MATCH(VLOOKUP(S$37,$BH$3:$BI$50,2,FALSE),$I$4:$AJ$4,0),FALSE),BoundParameters_HiddenSheetCLAY!$B$1:$E$1,0),FALSE))),'Control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Loc_69_Clay_4</v>
      </c>
      <c r="I46" s="7">
        <f t="shared" si="4"/>
        <v>9</v>
      </c>
      <c r="J46" s="44" t="e">
        <f>IF($I46="","",IF(J$37="","",IF('Control Panel'!J46="",IF(VLOOKUP($E46,'Table Output'!$A$2:$E$99999,5,FALSE)="Sand",VLOOKUP(J$37,BoundParameters_HiddenSheetSAND!$B$3:$E$50,MATCH(VLOOKUP($I46,$I$5:$AJ$29,MATCH(VLOOKUP(J$37,$BH$3:$BI$50,2,FALSE),$I$4:$AJ$4,0),FALSE),BoundParameters_HiddenSheetCLAY!$B$1:$E$1,0),FALSE),IF(VLOOKUP($E46,'Table Output'!$A$2:$E$99999,5,FALSE)="Clay",VLOOKUP(J$37,BoundParameters_HiddenSheetCLAY!$B$3:$E$50,MATCH(VLOOKUP($I46,$I$5:$AJ$35,MATCH(VLOOKUP(J$37,$BH$3:$BI$50,2,FALSE),$I$4:$AJ$4,0),FALSE),BoundParameters_HiddenSheetCLAY!$B$1:$E$1,0),FALSE))),'Control Panel'!J46)))</f>
        <v>#N/A</v>
      </c>
      <c r="K46" s="44" t="e">
        <f>IF($I46="","",IF(K$37="","",IF('Control Panel'!K46="",IF(VLOOKUP($E46,'Table Output'!$A$2:$E$99999,5,FALSE)="Sand",VLOOKUP(K$37,BoundParameters_HiddenSheetSAND!$B$3:$E$50,MATCH(VLOOKUP($I46,$I$5:$AJ$29,MATCH(VLOOKUP(K$37,$BH$3:$BI$50,2,FALSE),$I$4:$AJ$4,0),FALSE),BoundParameters_HiddenSheetCLAY!$B$1:$E$1,0),FALSE),IF(VLOOKUP($E46,'Table Output'!$A$2:$E$99999,5,FALSE)="Clay",VLOOKUP(K$37,BoundParameters_HiddenSheetCLAY!$B$3:$E$50,MATCH(VLOOKUP($I46,$I$5:$AJ$35,MATCH(VLOOKUP(K$37,$BH$3:$BI$50,2,FALSE),$I$4:$AJ$4,0),FALSE),BoundParameters_HiddenSheetCLAY!$B$1:$E$1,0),FALSE))),'Control Panel'!K46)))</f>
        <v>#N/A</v>
      </c>
      <c r="L46" s="44" t="e">
        <f>IF($I46="","",IF(L$37="","",IF('Control Panel'!L46="",IF(VLOOKUP($E46,'Table Output'!$A$2:$E$99999,5,FALSE)="Sand",VLOOKUP(L$37,BoundParameters_HiddenSheetSAND!$B$3:$E$50,MATCH(VLOOKUP($I46,$I$5:$AJ$29,MATCH(VLOOKUP(L$37,$BH$3:$BI$50,2,FALSE),$I$4:$AJ$4,0),FALSE),BoundParameters_HiddenSheetCLAY!$B$1:$E$1,0),FALSE),IF(VLOOKUP($E46,'Table Output'!$A$2:$E$99999,5,FALSE)="Clay",VLOOKUP(L$37,BoundParameters_HiddenSheetCLAY!$B$3:$E$50,MATCH(VLOOKUP($I46,$I$5:$AJ$35,MATCH(VLOOKUP(L$37,$BH$3:$BI$50,2,FALSE),$I$4:$AJ$4,0),FALSE),BoundParameters_HiddenSheetCLAY!$B$1:$E$1,0),FALSE))),'Control Panel'!L46)))</f>
        <v>#N/A</v>
      </c>
      <c r="M46" s="44" t="e">
        <f>IF($I46="","",IF(M$37="","",IF('Control Panel'!M46="",IF(VLOOKUP($E46,'Table Output'!$A$2:$E$99999,5,FALSE)="Sand",VLOOKUP(M$37,BoundParameters_HiddenSheetSAND!$B$3:$E$50,MATCH(VLOOKUP($I46,$I$5:$AJ$29,MATCH(VLOOKUP(M$37,$BH$3:$BI$50,2,FALSE),$I$4:$AJ$4,0),FALSE),BoundParameters_HiddenSheetCLAY!$B$1:$E$1,0),FALSE),IF(VLOOKUP($E46,'Table Output'!$A$2:$E$99999,5,FALSE)="Clay",VLOOKUP(M$37,BoundParameters_HiddenSheetCLAY!$B$3:$E$50,MATCH(VLOOKUP($I46,$I$5:$AJ$35,MATCH(VLOOKUP(M$37,$BH$3:$BI$50,2,FALSE),$I$4:$AJ$4,0),FALSE),BoundParameters_HiddenSheetCLAY!$B$1:$E$1,0),FALSE))),'Control Panel'!M46)))</f>
        <v>#N/A</v>
      </c>
      <c r="N46" s="44" t="e">
        <f>IF($I46="","",IF(N$37="","",IF('Control Panel'!N46="",IF(VLOOKUP($E46,'Table Output'!$A$2:$E$99999,5,FALSE)="Sand",VLOOKUP(N$37,BoundParameters_HiddenSheetSAND!$B$3:$E$50,MATCH(VLOOKUP($I46,$I$5:$AJ$29,MATCH(VLOOKUP(N$37,$BH$3:$BI$50,2,FALSE),$I$4:$AJ$4,0),FALSE),BoundParameters_HiddenSheetCLAY!$B$1:$E$1,0),FALSE),IF(VLOOKUP($E46,'Table Output'!$A$2:$E$99999,5,FALSE)="Clay",VLOOKUP(N$37,BoundParameters_HiddenSheetCLAY!$B$3:$E$50,MATCH(VLOOKUP($I46,$I$5:$AJ$35,MATCH(VLOOKUP(N$37,$BH$3:$BI$50,2,FALSE),$I$4:$AJ$4,0),FALSE),BoundParameters_HiddenSheetCLAY!$B$1:$E$1,0),FALSE))),'Control Panel'!N46)))</f>
        <v>#N/A</v>
      </c>
      <c r="O46" s="44" t="str">
        <f>IF($I46="","",IF(O$37="","",IF('Control Panel'!O46="",IF(VLOOKUP($E46,'Table Output'!$A$2:$E$99999,5,FALSE)="Sand",VLOOKUP(O$37,BoundParameters_HiddenSheetSAND!$B$3:$E$50,MATCH(VLOOKUP($I46,$I$5:$AJ$29,MATCH(VLOOKUP(O$37,$BH$3:$BI$50,2,FALSE),$I$4:$AJ$4,0),FALSE),BoundParameters_HiddenSheetCLAY!$B$1:$E$1,0),FALSE),IF(VLOOKUP($E46,'Table Output'!$A$2:$E$99999,5,FALSE)="Clay",VLOOKUP(O$37,BoundParameters_HiddenSheetCLAY!$B$3:$E$50,MATCH(VLOOKUP($I46,$I$5:$AJ$35,MATCH(VLOOKUP(O$37,$BH$3:$BI$50,2,FALSE),$I$4:$AJ$4,0),FALSE),BoundParameters_HiddenSheetCLAY!$B$1:$E$1,0),FALSE))),'Control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Output'!$A$2:$E$99999,5,FALSE)="Sand",VLOOKUP(P$37,BoundParameters_HiddenSheetSAND!$B$3:$E$50,MATCH(VLOOKUP($I46,$I$5:$AJ$29,MATCH(VLOOKUP(P$37,$BH$3:$BI$50,2,FALSE),$I$4:$AJ$4,0),FALSE),BoundParameters_HiddenSheetCLAY!$B$1:$E$1,0),FALSE),IF(VLOOKUP($E46,'Table Output'!$A$2:$E$99999,5,FALSE)="Clay",VLOOKUP(P$37,BoundParameters_HiddenSheetCLAY!$B$3:$E$50,MATCH(VLOOKUP($I46,$I$5:$AJ$35,MATCH(VLOOKUP(P$37,$BH$3:$BI$50,2,FALSE),$I$4:$AJ$4,0),FALSE),BoundParameters_HiddenSheetCLAY!$B$1:$E$1,0),FALSE))),'Control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Output'!$A$2:$E$99999,5,FALSE)="Sand",VLOOKUP(Q$37,BoundParameters_HiddenSheetSAND!$B$3:$E$50,MATCH(VLOOKUP($I46,$I$5:$AJ$29,MATCH(VLOOKUP(Q$37,$BH$3:$BI$50,2,FALSE),$I$4:$AJ$4,0),FALSE),BoundParameters_HiddenSheetCLAY!$B$1:$E$1,0),FALSE),IF(VLOOKUP($E46,'Table Output'!$A$2:$E$99999,5,FALSE)="Clay",VLOOKUP(Q$37,BoundParameters_HiddenSheetCLAY!$B$3:$E$50,MATCH(VLOOKUP($I46,$I$5:$AJ$35,MATCH(VLOOKUP(Q$37,$BH$3:$BI$50,2,FALSE),$I$4:$AJ$4,0),FALSE),BoundParameters_HiddenSheetCLAY!$B$1:$E$1,0),FALSE))),'Control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Output'!$A$2:$E$99999,5,FALSE)="Sand",VLOOKUP(R$37,BoundParameters_HiddenSheetSAND!$B$3:$E$50,MATCH(VLOOKUP($I46,$I$5:$AJ$29,MATCH(VLOOKUP(R$37,$BH$3:$BI$50,2,FALSE),$I$4:$AJ$4,0),FALSE),BoundParameters_HiddenSheetCLAY!$B$1:$E$1,0),FALSE),IF(VLOOKUP($E46,'Table Output'!$A$2:$E$99999,5,FALSE)="Clay",VLOOKUP(R$37,BoundParameters_HiddenSheetCLAY!$B$3:$E$50,MATCH(VLOOKUP($I46,$I$5:$AJ$35,MATCH(VLOOKUP(R$37,$BH$3:$BI$50,2,FALSE),$I$4:$AJ$4,0),FALSE),BoundParameters_HiddenSheetCLAY!$B$1:$E$1,0),FALSE))),'Control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Output'!$A$2:$E$99999,5,FALSE)="Sand",VLOOKUP(S$37,BoundParameters_HiddenSheetSAND!$B$3:$E$50,MATCH(VLOOKUP($I46,$I$5:$AJ$29,MATCH(VLOOKUP(S$37,$BH$3:$BI$50,2,FALSE),$I$4:$AJ$4,0),FALSE),BoundParameters_HiddenSheetCLAY!$B$1:$E$1,0),FALSE),IF(VLOOKUP($E46,'Table Output'!$A$2:$E$99999,5,FALSE)="Clay",VLOOKUP(S$37,BoundParameters_HiddenSheetCLAY!$B$3:$E$50,MATCH(VLOOKUP($I46,$I$5:$AJ$35,MATCH(VLOOKUP(S$37,$BH$3:$BI$50,2,FALSE),$I$4:$AJ$4,0),FALSE),BoundParameters_HiddenSheetCLAY!$B$1:$E$1,0),FALSE))),'Control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Loc_69_Clay_5</v>
      </c>
      <c r="I47" s="7">
        <f t="shared" si="4"/>
        <v>10</v>
      </c>
      <c r="J47" s="44" t="e">
        <f>IF($I47="","",IF(J$37="","",IF('Control Panel'!J47="",IF(VLOOKUP($E47,'Table Output'!$A$2:$E$99999,5,FALSE)="Sand",VLOOKUP(J$37,BoundParameters_HiddenSheetSAND!$B$3:$E$50,MATCH(VLOOKUP($I47,$I$5:$AJ$29,MATCH(VLOOKUP(J$37,$BH$3:$BI$50,2,FALSE),$I$4:$AJ$4,0),FALSE),BoundParameters_HiddenSheetCLAY!$B$1:$E$1,0),FALSE),IF(VLOOKUP($E47,'Table Output'!$A$2:$E$99999,5,FALSE)="Clay",VLOOKUP(J$37,BoundParameters_HiddenSheetCLAY!$B$3:$E$50,MATCH(VLOOKUP($I47,$I$5:$AJ$35,MATCH(VLOOKUP(J$37,$BH$3:$BI$50,2,FALSE),$I$4:$AJ$4,0),FALSE),BoundParameters_HiddenSheetCLAY!$B$1:$E$1,0),FALSE))),'Control Panel'!J47)))</f>
        <v>#N/A</v>
      </c>
      <c r="K47" s="44" t="e">
        <f>IF($I47="","",IF(K$37="","",IF('Control Panel'!K47="",IF(VLOOKUP($E47,'Table Output'!$A$2:$E$99999,5,FALSE)="Sand",VLOOKUP(K$37,BoundParameters_HiddenSheetSAND!$B$3:$E$50,MATCH(VLOOKUP($I47,$I$5:$AJ$29,MATCH(VLOOKUP(K$37,$BH$3:$BI$50,2,FALSE),$I$4:$AJ$4,0),FALSE),BoundParameters_HiddenSheetCLAY!$B$1:$E$1,0),FALSE),IF(VLOOKUP($E47,'Table Output'!$A$2:$E$99999,5,FALSE)="Clay",VLOOKUP(K$37,BoundParameters_HiddenSheetCLAY!$B$3:$E$50,MATCH(VLOOKUP($I47,$I$5:$AJ$35,MATCH(VLOOKUP(K$37,$BH$3:$BI$50,2,FALSE),$I$4:$AJ$4,0),FALSE),BoundParameters_HiddenSheetCLAY!$B$1:$E$1,0),FALSE))),'Control Panel'!K47)))</f>
        <v>#N/A</v>
      </c>
      <c r="L47" s="44" t="e">
        <f>IF($I47="","",IF(L$37="","",IF('Control Panel'!L47="",IF(VLOOKUP($E47,'Table Output'!$A$2:$E$99999,5,FALSE)="Sand",VLOOKUP(L$37,BoundParameters_HiddenSheetSAND!$B$3:$E$50,MATCH(VLOOKUP($I47,$I$5:$AJ$29,MATCH(VLOOKUP(L$37,$BH$3:$BI$50,2,FALSE),$I$4:$AJ$4,0),FALSE),BoundParameters_HiddenSheetCLAY!$B$1:$E$1,0),FALSE),IF(VLOOKUP($E47,'Table Output'!$A$2:$E$99999,5,FALSE)="Clay",VLOOKUP(L$37,BoundParameters_HiddenSheetCLAY!$B$3:$E$50,MATCH(VLOOKUP($I47,$I$5:$AJ$35,MATCH(VLOOKUP(L$37,$BH$3:$BI$50,2,FALSE),$I$4:$AJ$4,0),FALSE),BoundParameters_HiddenSheetCLAY!$B$1:$E$1,0),FALSE))),'Control Panel'!L47)))</f>
        <v>#N/A</v>
      </c>
      <c r="M47" s="44" t="e">
        <f>IF($I47="","",IF(M$37="","",IF('Control Panel'!M47="",IF(VLOOKUP($E47,'Table Output'!$A$2:$E$99999,5,FALSE)="Sand",VLOOKUP(M$37,BoundParameters_HiddenSheetSAND!$B$3:$E$50,MATCH(VLOOKUP($I47,$I$5:$AJ$29,MATCH(VLOOKUP(M$37,$BH$3:$BI$50,2,FALSE),$I$4:$AJ$4,0),FALSE),BoundParameters_HiddenSheetCLAY!$B$1:$E$1,0),FALSE),IF(VLOOKUP($E47,'Table Output'!$A$2:$E$99999,5,FALSE)="Clay",VLOOKUP(M$37,BoundParameters_HiddenSheetCLAY!$B$3:$E$50,MATCH(VLOOKUP($I47,$I$5:$AJ$35,MATCH(VLOOKUP(M$37,$BH$3:$BI$50,2,FALSE),$I$4:$AJ$4,0),FALSE),BoundParameters_HiddenSheetCLAY!$B$1:$E$1,0),FALSE))),'Control Panel'!M47)))</f>
        <v>#N/A</v>
      </c>
      <c r="N47" s="44" t="e">
        <f>IF($I47="","",IF(N$37="","",IF('Control Panel'!N47="",IF(VLOOKUP($E47,'Table Output'!$A$2:$E$99999,5,FALSE)="Sand",VLOOKUP(N$37,BoundParameters_HiddenSheetSAND!$B$3:$E$50,MATCH(VLOOKUP($I47,$I$5:$AJ$29,MATCH(VLOOKUP(N$37,$BH$3:$BI$50,2,FALSE),$I$4:$AJ$4,0),FALSE),BoundParameters_HiddenSheetCLAY!$B$1:$E$1,0),FALSE),IF(VLOOKUP($E47,'Table Output'!$A$2:$E$99999,5,FALSE)="Clay",VLOOKUP(N$37,BoundParameters_HiddenSheetCLAY!$B$3:$E$50,MATCH(VLOOKUP($I47,$I$5:$AJ$35,MATCH(VLOOKUP(N$37,$BH$3:$BI$50,2,FALSE),$I$4:$AJ$4,0),FALSE),BoundParameters_HiddenSheetCLAY!$B$1:$E$1,0),FALSE))),'Control Panel'!N47)))</f>
        <v>#N/A</v>
      </c>
      <c r="O47" s="44" t="str">
        <f>IF($I47="","",IF(O$37="","",IF('Control Panel'!O47="",IF(VLOOKUP($E47,'Table Output'!$A$2:$E$99999,5,FALSE)="Sand",VLOOKUP(O$37,BoundParameters_HiddenSheetSAND!$B$3:$E$50,MATCH(VLOOKUP($I47,$I$5:$AJ$29,MATCH(VLOOKUP(O$37,$BH$3:$BI$50,2,FALSE),$I$4:$AJ$4,0),FALSE),BoundParameters_HiddenSheetCLAY!$B$1:$E$1,0),FALSE),IF(VLOOKUP($E47,'Table Output'!$A$2:$E$99999,5,FALSE)="Clay",VLOOKUP(O$37,BoundParameters_HiddenSheetCLAY!$B$3:$E$50,MATCH(VLOOKUP($I47,$I$5:$AJ$35,MATCH(VLOOKUP(O$37,$BH$3:$BI$50,2,FALSE),$I$4:$AJ$4,0),FALSE),BoundParameters_HiddenSheetCLAY!$B$1:$E$1,0),FALSE))),'Control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Output'!$A$2:$E$99999,5,FALSE)="Sand",VLOOKUP(P$37,BoundParameters_HiddenSheetSAND!$B$3:$E$50,MATCH(VLOOKUP($I47,$I$5:$AJ$29,MATCH(VLOOKUP(P$37,$BH$3:$BI$50,2,FALSE),$I$4:$AJ$4,0),FALSE),BoundParameters_HiddenSheetCLAY!$B$1:$E$1,0),FALSE),IF(VLOOKUP($E47,'Table Output'!$A$2:$E$99999,5,FALSE)="Clay",VLOOKUP(P$37,BoundParameters_HiddenSheetCLAY!$B$3:$E$50,MATCH(VLOOKUP($I47,$I$5:$AJ$35,MATCH(VLOOKUP(P$37,$BH$3:$BI$50,2,FALSE),$I$4:$AJ$4,0),FALSE),BoundParameters_HiddenSheetCLAY!$B$1:$E$1,0),FALSE))),'Control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Output'!$A$2:$E$99999,5,FALSE)="Sand",VLOOKUP(Q$37,BoundParameters_HiddenSheetSAND!$B$3:$E$50,MATCH(VLOOKUP($I47,$I$5:$AJ$29,MATCH(VLOOKUP(Q$37,$BH$3:$BI$50,2,FALSE),$I$4:$AJ$4,0),FALSE),BoundParameters_HiddenSheetCLAY!$B$1:$E$1,0),FALSE),IF(VLOOKUP($E47,'Table Output'!$A$2:$E$99999,5,FALSE)="Clay",VLOOKUP(Q$37,BoundParameters_HiddenSheetCLAY!$B$3:$E$50,MATCH(VLOOKUP($I47,$I$5:$AJ$35,MATCH(VLOOKUP(Q$37,$BH$3:$BI$50,2,FALSE),$I$4:$AJ$4,0),FALSE),BoundParameters_HiddenSheetCLAY!$B$1:$E$1,0),FALSE))),'Control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Output'!$A$2:$E$99999,5,FALSE)="Sand",VLOOKUP(R$37,BoundParameters_HiddenSheetSAND!$B$3:$E$50,MATCH(VLOOKUP($I47,$I$5:$AJ$29,MATCH(VLOOKUP(R$37,$BH$3:$BI$50,2,FALSE),$I$4:$AJ$4,0),FALSE),BoundParameters_HiddenSheetCLAY!$B$1:$E$1,0),FALSE),IF(VLOOKUP($E47,'Table Output'!$A$2:$E$99999,5,FALSE)="Clay",VLOOKUP(R$37,BoundParameters_HiddenSheetCLAY!$B$3:$E$50,MATCH(VLOOKUP($I47,$I$5:$AJ$35,MATCH(VLOOKUP(R$37,$BH$3:$BI$50,2,FALSE),$I$4:$AJ$4,0),FALSE),BoundParameters_HiddenSheetCLAY!$B$1:$E$1,0),FALSE))),'Control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Output'!$A$2:$E$99999,5,FALSE)="Sand",VLOOKUP(S$37,BoundParameters_HiddenSheetSAND!$B$3:$E$50,MATCH(VLOOKUP($I47,$I$5:$AJ$29,MATCH(VLOOKUP(S$37,$BH$3:$BI$50,2,FALSE),$I$4:$AJ$4,0),FALSE),BoundParameters_HiddenSheetCLAY!$B$1:$E$1,0),FALSE),IF(VLOOKUP($E47,'Table Output'!$A$2:$E$99999,5,FALSE)="Clay",VLOOKUP(S$37,BoundParameters_HiddenSheetCLAY!$B$3:$E$50,MATCH(VLOOKUP($I47,$I$5:$AJ$35,MATCH(VLOOKUP(S$37,$BH$3:$BI$50,2,FALSE),$I$4:$AJ$4,0),FALSE),BoundParameters_HiddenSheetCLAY!$B$1:$E$1,0),FALSE))),'Control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Loc_69_Sand_6</v>
      </c>
      <c r="I48" s="7">
        <f t="shared" si="4"/>
        <v>11</v>
      </c>
      <c r="J48" s="44" t="e">
        <f>IF($I48="","",IF(J$37="","",IF('Control Panel'!J48="",IF(VLOOKUP($E48,'Table Output'!$A$2:$E$99999,5,FALSE)="Sand",VLOOKUP(J$37,BoundParameters_HiddenSheetSAND!$B$3:$E$50,MATCH(VLOOKUP($I48,$I$5:$AJ$29,MATCH(VLOOKUP(J$37,$BH$3:$BI$50,2,FALSE),$I$4:$AJ$4,0),FALSE),BoundParameters_HiddenSheetCLAY!$B$1:$E$1,0),FALSE),IF(VLOOKUP($E48,'Table Output'!$A$2:$E$99999,5,FALSE)="Clay",VLOOKUP(J$37,BoundParameters_HiddenSheetCLAY!$B$3:$E$50,MATCH(VLOOKUP($I48,$I$5:$AJ$35,MATCH(VLOOKUP(J$37,$BH$3:$BI$50,2,FALSE),$I$4:$AJ$4,0),FALSE),BoundParameters_HiddenSheetCLAY!$B$1:$E$1,0),FALSE))),'Control Panel'!J48)))</f>
        <v>#N/A</v>
      </c>
      <c r="K48" s="44" t="e">
        <f>IF($I48="","",IF(K$37="","",IF('Control Panel'!K48="",IF(VLOOKUP($E48,'Table Output'!$A$2:$E$99999,5,FALSE)="Sand",VLOOKUP(K$37,BoundParameters_HiddenSheetSAND!$B$3:$E$50,MATCH(VLOOKUP($I48,$I$5:$AJ$29,MATCH(VLOOKUP(K$37,$BH$3:$BI$50,2,FALSE),$I$4:$AJ$4,0),FALSE),BoundParameters_HiddenSheetCLAY!$B$1:$E$1,0),FALSE),IF(VLOOKUP($E48,'Table Output'!$A$2:$E$99999,5,FALSE)="Clay",VLOOKUP(K$37,BoundParameters_HiddenSheetCLAY!$B$3:$E$50,MATCH(VLOOKUP($I48,$I$5:$AJ$35,MATCH(VLOOKUP(K$37,$BH$3:$BI$50,2,FALSE),$I$4:$AJ$4,0),FALSE),BoundParameters_HiddenSheetCLAY!$B$1:$E$1,0),FALSE))),'Control Panel'!K48)))</f>
        <v>#N/A</v>
      </c>
      <c r="L48" s="44" t="e">
        <f>IF($I48="","",IF(L$37="","",IF('Control Panel'!L48="",IF(VLOOKUP($E48,'Table Output'!$A$2:$E$99999,5,FALSE)="Sand",VLOOKUP(L$37,BoundParameters_HiddenSheetSAND!$B$3:$E$50,MATCH(VLOOKUP($I48,$I$5:$AJ$29,MATCH(VLOOKUP(L$37,$BH$3:$BI$50,2,FALSE),$I$4:$AJ$4,0),FALSE),BoundParameters_HiddenSheetCLAY!$B$1:$E$1,0),FALSE),IF(VLOOKUP($E48,'Table Output'!$A$2:$E$99999,5,FALSE)="Clay",VLOOKUP(L$37,BoundParameters_HiddenSheetCLAY!$B$3:$E$50,MATCH(VLOOKUP($I48,$I$5:$AJ$35,MATCH(VLOOKUP(L$37,$BH$3:$BI$50,2,FALSE),$I$4:$AJ$4,0),FALSE),BoundParameters_HiddenSheetCLAY!$B$1:$E$1,0),FALSE))),'Control Panel'!L48)))</f>
        <v>#N/A</v>
      </c>
      <c r="M48" s="44" t="e">
        <f>IF($I48="","",IF(M$37="","",IF('Control Panel'!M48="",IF(VLOOKUP($E48,'Table Output'!$A$2:$E$99999,5,FALSE)="Sand",VLOOKUP(M$37,BoundParameters_HiddenSheetSAND!$B$3:$E$50,MATCH(VLOOKUP($I48,$I$5:$AJ$29,MATCH(VLOOKUP(M$37,$BH$3:$BI$50,2,FALSE),$I$4:$AJ$4,0),FALSE),BoundParameters_HiddenSheetCLAY!$B$1:$E$1,0),FALSE),IF(VLOOKUP($E48,'Table Output'!$A$2:$E$99999,5,FALSE)="Clay",VLOOKUP(M$37,BoundParameters_HiddenSheetCLAY!$B$3:$E$50,MATCH(VLOOKUP($I48,$I$5:$AJ$35,MATCH(VLOOKUP(M$37,$BH$3:$BI$50,2,FALSE),$I$4:$AJ$4,0),FALSE),BoundParameters_HiddenSheetCLAY!$B$1:$E$1,0),FALSE))),'Control Panel'!M48)))</f>
        <v>#N/A</v>
      </c>
      <c r="N48" s="44" t="e">
        <f>IF($I48="","",IF(N$37="","",IF('Control Panel'!N48="",IF(VLOOKUP($E48,'Table Output'!$A$2:$E$99999,5,FALSE)="Sand",VLOOKUP(N$37,BoundParameters_HiddenSheetSAND!$B$3:$E$50,MATCH(VLOOKUP($I48,$I$5:$AJ$29,MATCH(VLOOKUP(N$37,$BH$3:$BI$50,2,FALSE),$I$4:$AJ$4,0),FALSE),BoundParameters_HiddenSheetCLAY!$B$1:$E$1,0),FALSE),IF(VLOOKUP($E48,'Table Output'!$A$2:$E$99999,5,FALSE)="Clay",VLOOKUP(N$37,BoundParameters_HiddenSheetCLAY!$B$3:$E$50,MATCH(VLOOKUP($I48,$I$5:$AJ$35,MATCH(VLOOKUP(N$37,$BH$3:$BI$50,2,FALSE),$I$4:$AJ$4,0),FALSE),BoundParameters_HiddenSheetCLAY!$B$1:$E$1,0),FALSE))),'Control Panel'!N48)))</f>
        <v>#N/A</v>
      </c>
      <c r="O48" s="44" t="str">
        <f>IF($I48="","",IF(O$37="","",IF('Control Panel'!O48="",IF(VLOOKUP($E48,'Table Output'!$A$2:$E$99999,5,FALSE)="Sand",VLOOKUP(O$37,BoundParameters_HiddenSheetSAND!$B$3:$E$50,MATCH(VLOOKUP($I48,$I$5:$AJ$29,MATCH(VLOOKUP(O$37,$BH$3:$BI$50,2,FALSE),$I$4:$AJ$4,0),FALSE),BoundParameters_HiddenSheetCLAY!$B$1:$E$1,0),FALSE),IF(VLOOKUP($E48,'Table Output'!$A$2:$E$99999,5,FALSE)="Clay",VLOOKUP(O$37,BoundParameters_HiddenSheetCLAY!$B$3:$E$50,MATCH(VLOOKUP($I48,$I$5:$AJ$35,MATCH(VLOOKUP(O$37,$BH$3:$BI$50,2,FALSE),$I$4:$AJ$4,0),FALSE),BoundParameters_HiddenSheetCLAY!$B$1:$E$1,0),FALSE))),'Control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Output'!$A$2:$E$99999,5,FALSE)="Sand",VLOOKUP(P$37,BoundParameters_HiddenSheetSAND!$B$3:$E$50,MATCH(VLOOKUP($I48,$I$5:$AJ$29,MATCH(VLOOKUP(P$37,$BH$3:$BI$50,2,FALSE),$I$4:$AJ$4,0),FALSE),BoundParameters_HiddenSheetCLAY!$B$1:$E$1,0),FALSE),IF(VLOOKUP($E48,'Table Output'!$A$2:$E$99999,5,FALSE)="Clay",VLOOKUP(P$37,BoundParameters_HiddenSheetCLAY!$B$3:$E$50,MATCH(VLOOKUP($I48,$I$5:$AJ$35,MATCH(VLOOKUP(P$37,$BH$3:$BI$50,2,FALSE),$I$4:$AJ$4,0),FALSE),BoundParameters_HiddenSheetCLAY!$B$1:$E$1,0),FALSE))),'Control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Output'!$A$2:$E$99999,5,FALSE)="Sand",VLOOKUP(Q$37,BoundParameters_HiddenSheetSAND!$B$3:$E$50,MATCH(VLOOKUP($I48,$I$5:$AJ$29,MATCH(VLOOKUP(Q$37,$BH$3:$BI$50,2,FALSE),$I$4:$AJ$4,0),FALSE),BoundParameters_HiddenSheetCLAY!$B$1:$E$1,0),FALSE),IF(VLOOKUP($E48,'Table Output'!$A$2:$E$99999,5,FALSE)="Clay",VLOOKUP(Q$37,BoundParameters_HiddenSheetCLAY!$B$3:$E$50,MATCH(VLOOKUP($I48,$I$5:$AJ$35,MATCH(VLOOKUP(Q$37,$BH$3:$BI$50,2,FALSE),$I$4:$AJ$4,0),FALSE),BoundParameters_HiddenSheetCLAY!$B$1:$E$1,0),FALSE))),'Control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Output'!$A$2:$E$99999,5,FALSE)="Sand",VLOOKUP(R$37,BoundParameters_HiddenSheetSAND!$B$3:$E$50,MATCH(VLOOKUP($I48,$I$5:$AJ$29,MATCH(VLOOKUP(R$37,$BH$3:$BI$50,2,FALSE),$I$4:$AJ$4,0),FALSE),BoundParameters_HiddenSheetCLAY!$B$1:$E$1,0),FALSE),IF(VLOOKUP($E48,'Table Output'!$A$2:$E$99999,5,FALSE)="Clay",VLOOKUP(R$37,BoundParameters_HiddenSheetCLAY!$B$3:$E$50,MATCH(VLOOKUP($I48,$I$5:$AJ$35,MATCH(VLOOKUP(R$37,$BH$3:$BI$50,2,FALSE),$I$4:$AJ$4,0),FALSE),BoundParameters_HiddenSheetCLAY!$B$1:$E$1,0),FALSE))),'Control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Output'!$A$2:$E$99999,5,FALSE)="Sand",VLOOKUP(S$37,BoundParameters_HiddenSheetSAND!$B$3:$E$50,MATCH(VLOOKUP($I48,$I$5:$AJ$29,MATCH(VLOOKUP(S$37,$BH$3:$BI$50,2,FALSE),$I$4:$AJ$4,0),FALSE),BoundParameters_HiddenSheetCLAY!$B$1:$E$1,0),FALSE),IF(VLOOKUP($E48,'Table Output'!$A$2:$E$99999,5,FALSE)="Clay",VLOOKUP(S$37,BoundParameters_HiddenSheetCLAY!$B$3:$E$50,MATCH(VLOOKUP($I48,$I$5:$AJ$35,MATCH(VLOOKUP(S$37,$BH$3:$BI$50,2,FALSE),$I$4:$AJ$4,0),FALSE),BoundParameters_HiddenSheetCLAY!$B$1:$E$1,0),FALSE))),'Control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>Loc_69_Sand_7</v>
      </c>
      <c r="I49" s="7">
        <f t="shared" si="4"/>
        <v>12</v>
      </c>
      <c r="J49" s="44" t="e">
        <f>IF($I49="","",IF(J$37="","",IF('Control Panel'!J49="",IF(VLOOKUP($E49,'Table Output'!$A$2:$E$99999,5,FALSE)="Sand",VLOOKUP(J$37,BoundParameters_HiddenSheetSAND!$B$3:$E$50,MATCH(VLOOKUP($I49,$I$5:$AJ$29,MATCH(VLOOKUP(J$37,$BH$3:$BI$50,2,FALSE),$I$4:$AJ$4,0),FALSE),BoundParameters_HiddenSheetCLAY!$B$1:$E$1,0),FALSE),IF(VLOOKUP($E49,'Table Output'!$A$2:$E$99999,5,FALSE)="Clay",VLOOKUP(J$37,BoundParameters_HiddenSheetCLAY!$B$3:$E$50,MATCH(VLOOKUP($I49,$I$5:$AJ$35,MATCH(VLOOKUP(J$37,$BH$3:$BI$50,2,FALSE),$I$4:$AJ$4,0),FALSE),BoundParameters_HiddenSheetCLAY!$B$1:$E$1,0),FALSE))),'Control Panel'!J49)))</f>
        <v>#N/A</v>
      </c>
      <c r="K49" s="44" t="e">
        <f>IF($I49="","",IF(K$37="","",IF('Control Panel'!K49="",IF(VLOOKUP($E49,'Table Output'!$A$2:$E$99999,5,FALSE)="Sand",VLOOKUP(K$37,BoundParameters_HiddenSheetSAND!$B$3:$E$50,MATCH(VLOOKUP($I49,$I$5:$AJ$29,MATCH(VLOOKUP(K$37,$BH$3:$BI$50,2,FALSE),$I$4:$AJ$4,0),FALSE),BoundParameters_HiddenSheetCLAY!$B$1:$E$1,0),FALSE),IF(VLOOKUP($E49,'Table Output'!$A$2:$E$99999,5,FALSE)="Clay",VLOOKUP(K$37,BoundParameters_HiddenSheetCLAY!$B$3:$E$50,MATCH(VLOOKUP($I49,$I$5:$AJ$35,MATCH(VLOOKUP(K$37,$BH$3:$BI$50,2,FALSE),$I$4:$AJ$4,0),FALSE),BoundParameters_HiddenSheetCLAY!$B$1:$E$1,0),FALSE))),'Control Panel'!K49)))</f>
        <v>#N/A</v>
      </c>
      <c r="L49" s="44" t="e">
        <f>IF($I49="","",IF(L$37="","",IF('Control Panel'!L49="",IF(VLOOKUP($E49,'Table Output'!$A$2:$E$99999,5,FALSE)="Sand",VLOOKUP(L$37,BoundParameters_HiddenSheetSAND!$B$3:$E$50,MATCH(VLOOKUP($I49,$I$5:$AJ$29,MATCH(VLOOKUP(L$37,$BH$3:$BI$50,2,FALSE),$I$4:$AJ$4,0),FALSE),BoundParameters_HiddenSheetCLAY!$B$1:$E$1,0),FALSE),IF(VLOOKUP($E49,'Table Output'!$A$2:$E$99999,5,FALSE)="Clay",VLOOKUP(L$37,BoundParameters_HiddenSheetCLAY!$B$3:$E$50,MATCH(VLOOKUP($I49,$I$5:$AJ$35,MATCH(VLOOKUP(L$37,$BH$3:$BI$50,2,FALSE),$I$4:$AJ$4,0),FALSE),BoundParameters_HiddenSheetCLAY!$B$1:$E$1,0),FALSE))),'Control Panel'!L49)))</f>
        <v>#N/A</v>
      </c>
      <c r="M49" s="44" t="e">
        <f>IF($I49="","",IF(M$37="","",IF('Control Panel'!M49="",IF(VLOOKUP($E49,'Table Output'!$A$2:$E$99999,5,FALSE)="Sand",VLOOKUP(M$37,BoundParameters_HiddenSheetSAND!$B$3:$E$50,MATCH(VLOOKUP($I49,$I$5:$AJ$29,MATCH(VLOOKUP(M$37,$BH$3:$BI$50,2,FALSE),$I$4:$AJ$4,0),FALSE),BoundParameters_HiddenSheetCLAY!$B$1:$E$1,0),FALSE),IF(VLOOKUP($E49,'Table Output'!$A$2:$E$99999,5,FALSE)="Clay",VLOOKUP(M$37,BoundParameters_HiddenSheetCLAY!$B$3:$E$50,MATCH(VLOOKUP($I49,$I$5:$AJ$35,MATCH(VLOOKUP(M$37,$BH$3:$BI$50,2,FALSE),$I$4:$AJ$4,0),FALSE),BoundParameters_HiddenSheetCLAY!$B$1:$E$1,0),FALSE))),'Control Panel'!M49)))</f>
        <v>#N/A</v>
      </c>
      <c r="N49" s="44" t="e">
        <f>IF($I49="","",IF(N$37="","",IF('Control Panel'!N49="",IF(VLOOKUP($E49,'Table Output'!$A$2:$E$99999,5,FALSE)="Sand",VLOOKUP(N$37,BoundParameters_HiddenSheetSAND!$B$3:$E$50,MATCH(VLOOKUP($I49,$I$5:$AJ$29,MATCH(VLOOKUP(N$37,$BH$3:$BI$50,2,FALSE),$I$4:$AJ$4,0),FALSE),BoundParameters_HiddenSheetCLAY!$B$1:$E$1,0),FALSE),IF(VLOOKUP($E49,'Table Output'!$A$2:$E$99999,5,FALSE)="Clay",VLOOKUP(N$37,BoundParameters_HiddenSheetCLAY!$B$3:$E$50,MATCH(VLOOKUP($I49,$I$5:$AJ$35,MATCH(VLOOKUP(N$37,$BH$3:$BI$50,2,FALSE),$I$4:$AJ$4,0),FALSE),BoundParameters_HiddenSheetCLAY!$B$1:$E$1,0),FALSE))),'Control Panel'!N49)))</f>
        <v>#N/A</v>
      </c>
      <c r="O49" s="44" t="str">
        <f>IF($I49="","",IF(O$37="","",IF('Control Panel'!O49="",IF(VLOOKUP($E49,'Table Output'!$A$2:$E$99999,5,FALSE)="Sand",VLOOKUP(O$37,BoundParameters_HiddenSheetSAND!$B$3:$E$50,MATCH(VLOOKUP($I49,$I$5:$AJ$29,MATCH(VLOOKUP(O$37,$BH$3:$BI$50,2,FALSE),$I$4:$AJ$4,0),FALSE),BoundParameters_HiddenSheetCLAY!$B$1:$E$1,0),FALSE),IF(VLOOKUP($E49,'Table Output'!$A$2:$E$99999,5,FALSE)="Clay",VLOOKUP(O$37,BoundParameters_HiddenSheetCLAY!$B$3:$E$50,MATCH(VLOOKUP($I49,$I$5:$AJ$35,MATCH(VLOOKUP(O$37,$BH$3:$BI$50,2,FALSE),$I$4:$AJ$4,0),FALSE),BoundParameters_HiddenSheetCLAY!$B$1:$E$1,0),FALSE))),'Control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Output'!$A$2:$E$99999,5,FALSE)="Sand",VLOOKUP(P$37,BoundParameters_HiddenSheetSAND!$B$3:$E$50,MATCH(VLOOKUP($I49,$I$5:$AJ$29,MATCH(VLOOKUP(P$37,$BH$3:$BI$50,2,FALSE),$I$4:$AJ$4,0),FALSE),BoundParameters_HiddenSheetCLAY!$B$1:$E$1,0),FALSE),IF(VLOOKUP($E49,'Table Output'!$A$2:$E$99999,5,FALSE)="Clay",VLOOKUP(P$37,BoundParameters_HiddenSheetCLAY!$B$3:$E$50,MATCH(VLOOKUP($I49,$I$5:$AJ$35,MATCH(VLOOKUP(P$37,$BH$3:$BI$50,2,FALSE),$I$4:$AJ$4,0),FALSE),BoundParameters_HiddenSheetCLAY!$B$1:$E$1,0),FALSE))),'Control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Output'!$A$2:$E$99999,5,FALSE)="Sand",VLOOKUP(Q$37,BoundParameters_HiddenSheetSAND!$B$3:$E$50,MATCH(VLOOKUP($I49,$I$5:$AJ$29,MATCH(VLOOKUP(Q$37,$BH$3:$BI$50,2,FALSE),$I$4:$AJ$4,0),FALSE),BoundParameters_HiddenSheetCLAY!$B$1:$E$1,0),FALSE),IF(VLOOKUP($E49,'Table Output'!$A$2:$E$99999,5,FALSE)="Clay",VLOOKUP(Q$37,BoundParameters_HiddenSheetCLAY!$B$3:$E$50,MATCH(VLOOKUP($I49,$I$5:$AJ$35,MATCH(VLOOKUP(Q$37,$BH$3:$BI$50,2,FALSE),$I$4:$AJ$4,0),FALSE),BoundParameters_HiddenSheetCLAY!$B$1:$E$1,0),FALSE))),'Control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Output'!$A$2:$E$99999,5,FALSE)="Sand",VLOOKUP(R$37,BoundParameters_HiddenSheetSAND!$B$3:$E$50,MATCH(VLOOKUP($I49,$I$5:$AJ$29,MATCH(VLOOKUP(R$37,$BH$3:$BI$50,2,FALSE),$I$4:$AJ$4,0),FALSE),BoundParameters_HiddenSheetCLAY!$B$1:$E$1,0),FALSE),IF(VLOOKUP($E49,'Table Output'!$A$2:$E$99999,5,FALSE)="Clay",VLOOKUP(R$37,BoundParameters_HiddenSheetCLAY!$B$3:$E$50,MATCH(VLOOKUP($I49,$I$5:$AJ$35,MATCH(VLOOKUP(R$37,$BH$3:$BI$50,2,FALSE),$I$4:$AJ$4,0),FALSE),BoundParameters_HiddenSheetCLAY!$B$1:$E$1,0),FALSE))),'Control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Output'!$A$2:$E$99999,5,FALSE)="Sand",VLOOKUP(S$37,BoundParameters_HiddenSheetSAND!$B$3:$E$50,MATCH(VLOOKUP($I49,$I$5:$AJ$29,MATCH(VLOOKUP(S$37,$BH$3:$BI$50,2,FALSE),$I$4:$AJ$4,0),FALSE),BoundParameters_HiddenSheetCLAY!$B$1:$E$1,0),FALSE),IF(VLOOKUP($E49,'Table Output'!$A$2:$E$99999,5,FALSE)="Clay",VLOOKUP(S$37,BoundParameters_HiddenSheetCLAY!$B$3:$E$50,MATCH(VLOOKUP($I49,$I$5:$AJ$35,MATCH(VLOOKUP(S$37,$BH$3:$BI$50,2,FALSE),$I$4:$AJ$4,0),FALSE),BoundParameters_HiddenSheetCLAY!$B$1:$E$1,0),FALSE))),'Control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Output'!$A$2:$E$99999,5,FALSE)="Sand",VLOOKUP(J$37,BoundParameters_HiddenSheetSAND!$B$3:$E$50,MATCH(VLOOKUP($I50,$I$5:$AJ$29,MATCH(VLOOKUP(J$37,$BH$3:$BI$50,2,FALSE),$I$4:$AJ$4,0),FALSE),BoundParameters_HiddenSheetCLAY!$B$1:$E$1,0),FALSE),IF(VLOOKUP($E50,'Table Output'!$A$2:$E$99999,5,FALSE)="Clay",VLOOKUP(J$37,BoundParameters_HiddenSheetCLAY!$B$3:$E$50,MATCH(VLOOKUP($I50,$I$5:$AJ$35,MATCH(VLOOKUP(J$37,$BH$3:$BI$50,2,FALSE),$I$4:$AJ$4,0),FALSE),BoundParameters_HiddenSheetCLAY!$B$1:$E$1,0),FALSE))),'Control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Output'!$A$2:$E$99999,5,FALSE)="Sand",VLOOKUP(K$37,BoundParameters_HiddenSheetSAND!$B$3:$E$50,MATCH(VLOOKUP($I50,$I$5:$AJ$29,MATCH(VLOOKUP(K$37,$BH$3:$BI$50,2,FALSE),$I$4:$AJ$4,0),FALSE),BoundParameters_HiddenSheetCLAY!$B$1:$E$1,0),FALSE),IF(VLOOKUP($E50,'Table Output'!$A$2:$E$99999,5,FALSE)="Clay",VLOOKUP(K$37,BoundParameters_HiddenSheetCLAY!$B$3:$E$50,MATCH(VLOOKUP($I50,$I$5:$AJ$35,MATCH(VLOOKUP(K$37,$BH$3:$BI$50,2,FALSE),$I$4:$AJ$4,0),FALSE),BoundParameters_HiddenSheetCLAY!$B$1:$E$1,0),FALSE))),'Control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Output'!$A$2:$E$99999,5,FALSE)="Sand",VLOOKUP(L$37,BoundParameters_HiddenSheetSAND!$B$3:$E$50,MATCH(VLOOKUP($I50,$I$5:$AJ$29,MATCH(VLOOKUP(L$37,$BH$3:$BI$50,2,FALSE),$I$4:$AJ$4,0),FALSE),BoundParameters_HiddenSheetCLAY!$B$1:$E$1,0),FALSE),IF(VLOOKUP($E50,'Table Output'!$A$2:$E$99999,5,FALSE)="Clay",VLOOKUP(L$37,BoundParameters_HiddenSheetCLAY!$B$3:$E$50,MATCH(VLOOKUP($I50,$I$5:$AJ$35,MATCH(VLOOKUP(L$37,$BH$3:$BI$50,2,FALSE),$I$4:$AJ$4,0),FALSE),BoundParameters_HiddenSheetCLAY!$B$1:$E$1,0),FALSE))),'Control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Output'!$A$2:$E$99999,5,FALSE)="Sand",VLOOKUP(M$37,BoundParameters_HiddenSheetSAND!$B$3:$E$50,MATCH(VLOOKUP($I50,$I$5:$AJ$29,MATCH(VLOOKUP(M$37,$BH$3:$BI$50,2,FALSE),$I$4:$AJ$4,0),FALSE),BoundParameters_HiddenSheetCLAY!$B$1:$E$1,0),FALSE),IF(VLOOKUP($E50,'Table Output'!$A$2:$E$99999,5,FALSE)="Clay",VLOOKUP(M$37,BoundParameters_HiddenSheetCLAY!$B$3:$E$50,MATCH(VLOOKUP($I50,$I$5:$AJ$35,MATCH(VLOOKUP(M$37,$BH$3:$BI$50,2,FALSE),$I$4:$AJ$4,0),FALSE),BoundParameters_HiddenSheetCLAY!$B$1:$E$1,0),FALSE))),'Control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Output'!$A$2:$E$99999,5,FALSE)="Sand",VLOOKUP(N$37,BoundParameters_HiddenSheetSAND!$B$3:$E$50,MATCH(VLOOKUP($I50,$I$5:$AJ$29,MATCH(VLOOKUP(N$37,$BH$3:$BI$50,2,FALSE),$I$4:$AJ$4,0),FALSE),BoundParameters_HiddenSheetCLAY!$B$1:$E$1,0),FALSE),IF(VLOOKUP($E50,'Table Output'!$A$2:$E$99999,5,FALSE)="Clay",VLOOKUP(N$37,BoundParameters_HiddenSheetCLAY!$B$3:$E$50,MATCH(VLOOKUP($I50,$I$5:$AJ$35,MATCH(VLOOKUP(N$37,$BH$3:$BI$50,2,FALSE),$I$4:$AJ$4,0),FALSE),BoundParameters_HiddenSheetCLAY!$B$1:$E$1,0),FALSE))),'Control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Output'!$A$2:$E$99999,5,FALSE)="Sand",VLOOKUP(O$37,BoundParameters_HiddenSheetSAND!$B$3:$E$50,MATCH(VLOOKUP($I50,$I$5:$AJ$29,MATCH(VLOOKUP(O$37,$BH$3:$BI$50,2,FALSE),$I$4:$AJ$4,0),FALSE),BoundParameters_HiddenSheetCLAY!$B$1:$E$1,0),FALSE),IF(VLOOKUP($E50,'Table Output'!$A$2:$E$99999,5,FALSE)="Clay",VLOOKUP(O$37,BoundParameters_HiddenSheetCLAY!$B$3:$E$50,MATCH(VLOOKUP($I50,$I$5:$AJ$35,MATCH(VLOOKUP(O$37,$BH$3:$BI$50,2,FALSE),$I$4:$AJ$4,0),FALSE),BoundParameters_HiddenSheetCLAY!$B$1:$E$1,0),FALSE))),'Control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Output'!$A$2:$E$99999,5,FALSE)="Sand",VLOOKUP(P$37,BoundParameters_HiddenSheetSAND!$B$3:$E$50,MATCH(VLOOKUP($I50,$I$5:$AJ$29,MATCH(VLOOKUP(P$37,$BH$3:$BI$50,2,FALSE),$I$4:$AJ$4,0),FALSE),BoundParameters_HiddenSheetCLAY!$B$1:$E$1,0),FALSE),IF(VLOOKUP($E50,'Table Output'!$A$2:$E$99999,5,FALSE)="Clay",VLOOKUP(P$37,BoundParameters_HiddenSheetCLAY!$B$3:$E$50,MATCH(VLOOKUP($I50,$I$5:$AJ$35,MATCH(VLOOKUP(P$37,$BH$3:$BI$50,2,FALSE),$I$4:$AJ$4,0),FALSE),BoundParameters_HiddenSheetCLAY!$B$1:$E$1,0),FALSE))),'Control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Output'!$A$2:$E$99999,5,FALSE)="Sand",VLOOKUP(Q$37,BoundParameters_HiddenSheetSAND!$B$3:$E$50,MATCH(VLOOKUP($I50,$I$5:$AJ$29,MATCH(VLOOKUP(Q$37,$BH$3:$BI$50,2,FALSE),$I$4:$AJ$4,0),FALSE),BoundParameters_HiddenSheetCLAY!$B$1:$E$1,0),FALSE),IF(VLOOKUP($E50,'Table Output'!$A$2:$E$99999,5,FALSE)="Clay",VLOOKUP(Q$37,BoundParameters_HiddenSheetCLAY!$B$3:$E$50,MATCH(VLOOKUP($I50,$I$5:$AJ$35,MATCH(VLOOKUP(Q$37,$BH$3:$BI$50,2,FALSE),$I$4:$AJ$4,0),FALSE),BoundParameters_HiddenSheetCLAY!$B$1:$E$1,0),FALSE))),'Control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Output'!$A$2:$E$99999,5,FALSE)="Sand",VLOOKUP(R$37,BoundParameters_HiddenSheetSAND!$B$3:$E$50,MATCH(VLOOKUP($I50,$I$5:$AJ$29,MATCH(VLOOKUP(R$37,$BH$3:$BI$50,2,FALSE),$I$4:$AJ$4,0),FALSE),BoundParameters_HiddenSheetCLAY!$B$1:$E$1,0),FALSE),IF(VLOOKUP($E50,'Table Output'!$A$2:$E$99999,5,FALSE)="Clay",VLOOKUP(R$37,BoundParameters_HiddenSheetCLAY!$B$3:$E$50,MATCH(VLOOKUP($I50,$I$5:$AJ$35,MATCH(VLOOKUP(R$37,$BH$3:$BI$50,2,FALSE),$I$4:$AJ$4,0),FALSE),BoundParameters_HiddenSheetCLAY!$B$1:$E$1,0),FALSE))),'Control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Output'!$A$2:$E$99999,5,FALSE)="Sand",VLOOKUP(S$37,BoundParameters_HiddenSheetSAND!$B$3:$E$50,MATCH(VLOOKUP($I50,$I$5:$AJ$29,MATCH(VLOOKUP(S$37,$BH$3:$BI$50,2,FALSE),$I$4:$AJ$4,0),FALSE),BoundParameters_HiddenSheetCLAY!$B$1:$E$1,0),FALSE),IF(VLOOKUP($E50,'Table Output'!$A$2:$E$99999,5,FALSE)="Clay",VLOOKUP(S$37,BoundParameters_HiddenSheetCLAY!$B$3:$E$50,MATCH(VLOOKUP($I50,$I$5:$AJ$35,MATCH(VLOOKUP(S$37,$BH$3:$BI$50,2,FALSE),$I$4:$AJ$4,0),FALSE),BoundParameters_HiddenSheetCLAY!$B$1:$E$1,0),FALSE))),'Control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Output'!$A$2:$E$99999,5,FALSE)="Sand",VLOOKUP(J$37,BoundParameters_HiddenSheetSAND!$B$3:$E$50,MATCH(VLOOKUP($I51,$I$5:$AJ$29,MATCH(VLOOKUP(J$37,$BH$3:$BI$50,2,FALSE),$I$4:$AJ$4,0),FALSE),BoundParameters_HiddenSheetCLAY!$B$1:$E$1,0),FALSE),IF(VLOOKUP($E51,'Table Output'!$A$2:$E$99999,5,FALSE)="Clay",VLOOKUP(J$37,BoundParameters_HiddenSheetCLAY!$B$3:$E$50,MATCH(VLOOKUP($I51,$I$5:$AJ$35,MATCH(VLOOKUP(J$37,$BH$3:$BI$50,2,FALSE),$I$4:$AJ$4,0),FALSE),BoundParameters_HiddenSheetCLAY!$B$1:$E$1,0),FALSE))),'Control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Output'!$A$2:$E$99999,5,FALSE)="Sand",VLOOKUP(K$37,BoundParameters_HiddenSheetSAND!$B$3:$E$50,MATCH(VLOOKUP($I51,$I$5:$AJ$29,MATCH(VLOOKUP(K$37,$BH$3:$BI$50,2,FALSE),$I$4:$AJ$4,0),FALSE),BoundParameters_HiddenSheetCLAY!$B$1:$E$1,0),FALSE),IF(VLOOKUP($E51,'Table Output'!$A$2:$E$99999,5,FALSE)="Clay",VLOOKUP(K$37,BoundParameters_HiddenSheetCLAY!$B$3:$E$50,MATCH(VLOOKUP($I51,$I$5:$AJ$35,MATCH(VLOOKUP(K$37,$BH$3:$BI$50,2,FALSE),$I$4:$AJ$4,0),FALSE),BoundParameters_HiddenSheetCLAY!$B$1:$E$1,0),FALSE))),'Control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Output'!$A$2:$E$99999,5,FALSE)="Sand",VLOOKUP(L$37,BoundParameters_HiddenSheetSAND!$B$3:$E$50,MATCH(VLOOKUP($I51,$I$5:$AJ$29,MATCH(VLOOKUP(L$37,$BH$3:$BI$50,2,FALSE),$I$4:$AJ$4,0),FALSE),BoundParameters_HiddenSheetCLAY!$B$1:$E$1,0),FALSE),IF(VLOOKUP($E51,'Table Output'!$A$2:$E$99999,5,FALSE)="Clay",VLOOKUP(L$37,BoundParameters_HiddenSheetCLAY!$B$3:$E$50,MATCH(VLOOKUP($I51,$I$5:$AJ$35,MATCH(VLOOKUP(L$37,$BH$3:$BI$50,2,FALSE),$I$4:$AJ$4,0),FALSE),BoundParameters_HiddenSheetCLAY!$B$1:$E$1,0),FALSE))),'Control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Output'!$A$2:$E$99999,5,FALSE)="Sand",VLOOKUP(M$37,BoundParameters_HiddenSheetSAND!$B$3:$E$50,MATCH(VLOOKUP($I51,$I$5:$AJ$29,MATCH(VLOOKUP(M$37,$BH$3:$BI$50,2,FALSE),$I$4:$AJ$4,0),FALSE),BoundParameters_HiddenSheetCLAY!$B$1:$E$1,0),FALSE),IF(VLOOKUP($E51,'Table Output'!$A$2:$E$99999,5,FALSE)="Clay",VLOOKUP(M$37,BoundParameters_HiddenSheetCLAY!$B$3:$E$50,MATCH(VLOOKUP($I51,$I$5:$AJ$35,MATCH(VLOOKUP(M$37,$BH$3:$BI$50,2,FALSE),$I$4:$AJ$4,0),FALSE),BoundParameters_HiddenSheetCLAY!$B$1:$E$1,0),FALSE))),'Control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Output'!$A$2:$E$99999,5,FALSE)="Sand",VLOOKUP(N$37,BoundParameters_HiddenSheetSAND!$B$3:$E$50,MATCH(VLOOKUP($I51,$I$5:$AJ$29,MATCH(VLOOKUP(N$37,$BH$3:$BI$50,2,FALSE),$I$4:$AJ$4,0),FALSE),BoundParameters_HiddenSheetCLAY!$B$1:$E$1,0),FALSE),IF(VLOOKUP($E51,'Table Output'!$A$2:$E$99999,5,FALSE)="Clay",VLOOKUP(N$37,BoundParameters_HiddenSheetCLAY!$B$3:$E$50,MATCH(VLOOKUP($I51,$I$5:$AJ$35,MATCH(VLOOKUP(N$37,$BH$3:$BI$50,2,FALSE),$I$4:$AJ$4,0),FALSE),BoundParameters_HiddenSheetCLAY!$B$1:$E$1,0),FALSE))),'Control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Output'!$A$2:$E$99999,5,FALSE)="Sand",VLOOKUP(O$37,BoundParameters_HiddenSheetSAND!$B$3:$E$50,MATCH(VLOOKUP($I51,$I$5:$AJ$29,MATCH(VLOOKUP(O$37,$BH$3:$BI$50,2,FALSE),$I$4:$AJ$4,0),FALSE),BoundParameters_HiddenSheetCLAY!$B$1:$E$1,0),FALSE),IF(VLOOKUP($E51,'Table Output'!$A$2:$E$99999,5,FALSE)="Clay",VLOOKUP(O$37,BoundParameters_HiddenSheetCLAY!$B$3:$E$50,MATCH(VLOOKUP($I51,$I$5:$AJ$35,MATCH(VLOOKUP(O$37,$BH$3:$BI$50,2,FALSE),$I$4:$AJ$4,0),FALSE),BoundParameters_HiddenSheetCLAY!$B$1:$E$1,0),FALSE))),'Control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Output'!$A$2:$E$99999,5,FALSE)="Sand",VLOOKUP(P$37,BoundParameters_HiddenSheetSAND!$B$3:$E$50,MATCH(VLOOKUP($I51,$I$5:$AJ$29,MATCH(VLOOKUP(P$37,$BH$3:$BI$50,2,FALSE),$I$4:$AJ$4,0),FALSE),BoundParameters_HiddenSheetCLAY!$B$1:$E$1,0),FALSE),IF(VLOOKUP($E51,'Table Output'!$A$2:$E$99999,5,FALSE)="Clay",VLOOKUP(P$37,BoundParameters_HiddenSheetCLAY!$B$3:$E$50,MATCH(VLOOKUP($I51,$I$5:$AJ$35,MATCH(VLOOKUP(P$37,$BH$3:$BI$50,2,FALSE),$I$4:$AJ$4,0),FALSE),BoundParameters_HiddenSheetCLAY!$B$1:$E$1,0),FALSE))),'Control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Output'!$A$2:$E$99999,5,FALSE)="Sand",VLOOKUP(Q$37,BoundParameters_HiddenSheetSAND!$B$3:$E$50,MATCH(VLOOKUP($I51,$I$5:$AJ$29,MATCH(VLOOKUP(Q$37,$BH$3:$BI$50,2,FALSE),$I$4:$AJ$4,0),FALSE),BoundParameters_HiddenSheetCLAY!$B$1:$E$1,0),FALSE),IF(VLOOKUP($E51,'Table Output'!$A$2:$E$99999,5,FALSE)="Clay",VLOOKUP(Q$37,BoundParameters_HiddenSheetCLAY!$B$3:$E$50,MATCH(VLOOKUP($I51,$I$5:$AJ$35,MATCH(VLOOKUP(Q$37,$BH$3:$BI$50,2,FALSE),$I$4:$AJ$4,0),FALSE),BoundParameters_HiddenSheetCLAY!$B$1:$E$1,0),FALSE))),'Control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Output'!$A$2:$E$99999,5,FALSE)="Sand",VLOOKUP(R$37,BoundParameters_HiddenSheetSAND!$B$3:$E$50,MATCH(VLOOKUP($I51,$I$5:$AJ$29,MATCH(VLOOKUP(R$37,$BH$3:$BI$50,2,FALSE),$I$4:$AJ$4,0),FALSE),BoundParameters_HiddenSheetCLAY!$B$1:$E$1,0),FALSE),IF(VLOOKUP($E51,'Table Output'!$A$2:$E$99999,5,FALSE)="Clay",VLOOKUP(R$37,BoundParameters_HiddenSheetCLAY!$B$3:$E$50,MATCH(VLOOKUP($I51,$I$5:$AJ$35,MATCH(VLOOKUP(R$37,$BH$3:$BI$50,2,FALSE),$I$4:$AJ$4,0),FALSE),BoundParameters_HiddenSheetCLAY!$B$1:$E$1,0),FALSE))),'Control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Output'!$A$2:$E$99999,5,FALSE)="Sand",VLOOKUP(S$37,BoundParameters_HiddenSheetSAND!$B$3:$E$50,MATCH(VLOOKUP($I51,$I$5:$AJ$29,MATCH(VLOOKUP(S$37,$BH$3:$BI$50,2,FALSE),$I$4:$AJ$4,0),FALSE),BoundParameters_HiddenSheetCLAY!$B$1:$E$1,0),FALSE),IF(VLOOKUP($E51,'Table Output'!$A$2:$E$99999,5,FALSE)="Clay",VLOOKUP(S$37,BoundParameters_HiddenSheetCLAY!$B$3:$E$50,MATCH(VLOOKUP($I51,$I$5:$AJ$35,MATCH(VLOOKUP(S$37,$BH$3:$BI$50,2,FALSE),$I$4:$AJ$4,0),FALSE),BoundParameters_HiddenSheetCLAY!$B$1:$E$1,0),FALSE))),'Control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Output'!$A$2:$E$99999,5,FALSE)="Sand",VLOOKUP(J$37,BoundParameters_HiddenSheetSAND!$B$3:$E$50,MATCH(VLOOKUP($I52,$I$5:$AJ$29,MATCH(VLOOKUP(J$37,$BH$3:$BI$50,2,FALSE),$I$4:$AJ$4,0),FALSE),BoundParameters_HiddenSheetCLAY!$B$1:$E$1,0),FALSE),IF(VLOOKUP($E52,'Table Output'!$A$2:$E$99999,5,FALSE)="Clay",VLOOKUP(J$37,BoundParameters_HiddenSheetCLAY!$B$3:$E$50,MATCH(VLOOKUP($I52,$I$5:$AJ$35,MATCH(VLOOKUP(J$37,$BH$3:$BI$50,2,FALSE),$I$4:$AJ$4,0),FALSE),BoundParameters_HiddenSheetCLAY!$B$1:$E$1,0),FALSE))),'Control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Output'!$A$2:$E$99999,5,FALSE)="Sand",VLOOKUP(K$37,BoundParameters_HiddenSheetSAND!$B$3:$E$50,MATCH(VLOOKUP($I52,$I$5:$AJ$29,MATCH(VLOOKUP(K$37,$BH$3:$BI$50,2,FALSE),$I$4:$AJ$4,0),FALSE),BoundParameters_HiddenSheetCLAY!$B$1:$E$1,0),FALSE),IF(VLOOKUP($E52,'Table Output'!$A$2:$E$99999,5,FALSE)="Clay",VLOOKUP(K$37,BoundParameters_HiddenSheetCLAY!$B$3:$E$50,MATCH(VLOOKUP($I52,$I$5:$AJ$35,MATCH(VLOOKUP(K$37,$BH$3:$BI$50,2,FALSE),$I$4:$AJ$4,0),FALSE),BoundParameters_HiddenSheetCLAY!$B$1:$E$1,0),FALSE))),'Control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Output'!$A$2:$E$99999,5,FALSE)="Sand",VLOOKUP(L$37,BoundParameters_HiddenSheetSAND!$B$3:$E$50,MATCH(VLOOKUP($I52,$I$5:$AJ$29,MATCH(VLOOKUP(L$37,$BH$3:$BI$50,2,FALSE),$I$4:$AJ$4,0),FALSE),BoundParameters_HiddenSheetCLAY!$B$1:$E$1,0),FALSE),IF(VLOOKUP($E52,'Table Output'!$A$2:$E$99999,5,FALSE)="Clay",VLOOKUP(L$37,BoundParameters_HiddenSheetCLAY!$B$3:$E$50,MATCH(VLOOKUP($I52,$I$5:$AJ$35,MATCH(VLOOKUP(L$37,$BH$3:$BI$50,2,FALSE),$I$4:$AJ$4,0),FALSE),BoundParameters_HiddenSheetCLAY!$B$1:$E$1,0),FALSE))),'Control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Output'!$A$2:$E$99999,5,FALSE)="Sand",VLOOKUP(M$37,BoundParameters_HiddenSheetSAND!$B$3:$E$50,MATCH(VLOOKUP($I52,$I$5:$AJ$29,MATCH(VLOOKUP(M$37,$BH$3:$BI$50,2,FALSE),$I$4:$AJ$4,0),FALSE),BoundParameters_HiddenSheetCLAY!$B$1:$E$1,0),FALSE),IF(VLOOKUP($E52,'Table Output'!$A$2:$E$99999,5,FALSE)="Clay",VLOOKUP(M$37,BoundParameters_HiddenSheetCLAY!$B$3:$E$50,MATCH(VLOOKUP($I52,$I$5:$AJ$35,MATCH(VLOOKUP(M$37,$BH$3:$BI$50,2,FALSE),$I$4:$AJ$4,0),FALSE),BoundParameters_HiddenSheetCLAY!$B$1:$E$1,0),FALSE))),'Control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Output'!$A$2:$E$99999,5,FALSE)="Sand",VLOOKUP(N$37,BoundParameters_HiddenSheetSAND!$B$3:$E$50,MATCH(VLOOKUP($I52,$I$5:$AJ$29,MATCH(VLOOKUP(N$37,$BH$3:$BI$50,2,FALSE),$I$4:$AJ$4,0),FALSE),BoundParameters_HiddenSheetCLAY!$B$1:$E$1,0),FALSE),IF(VLOOKUP($E52,'Table Output'!$A$2:$E$99999,5,FALSE)="Clay",VLOOKUP(N$37,BoundParameters_HiddenSheetCLAY!$B$3:$E$50,MATCH(VLOOKUP($I52,$I$5:$AJ$35,MATCH(VLOOKUP(N$37,$BH$3:$BI$50,2,FALSE),$I$4:$AJ$4,0),FALSE),BoundParameters_HiddenSheetCLAY!$B$1:$E$1,0),FALSE))),'Control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Output'!$A$2:$E$99999,5,FALSE)="Sand",VLOOKUP(O$37,BoundParameters_HiddenSheetSAND!$B$3:$E$50,MATCH(VLOOKUP($I52,$I$5:$AJ$29,MATCH(VLOOKUP(O$37,$BH$3:$BI$50,2,FALSE),$I$4:$AJ$4,0),FALSE),BoundParameters_HiddenSheetCLAY!$B$1:$E$1,0),FALSE),IF(VLOOKUP($E52,'Table Output'!$A$2:$E$99999,5,FALSE)="Clay",VLOOKUP(O$37,BoundParameters_HiddenSheetCLAY!$B$3:$E$50,MATCH(VLOOKUP($I52,$I$5:$AJ$35,MATCH(VLOOKUP(O$37,$BH$3:$BI$50,2,FALSE),$I$4:$AJ$4,0),FALSE),BoundParameters_HiddenSheetCLAY!$B$1:$E$1,0),FALSE))),'Control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Output'!$A$2:$E$99999,5,FALSE)="Sand",VLOOKUP(P$37,BoundParameters_HiddenSheetSAND!$B$3:$E$50,MATCH(VLOOKUP($I52,$I$5:$AJ$29,MATCH(VLOOKUP(P$37,$BH$3:$BI$50,2,FALSE),$I$4:$AJ$4,0),FALSE),BoundParameters_HiddenSheetCLAY!$B$1:$E$1,0),FALSE),IF(VLOOKUP($E52,'Table Output'!$A$2:$E$99999,5,FALSE)="Clay",VLOOKUP(P$37,BoundParameters_HiddenSheetCLAY!$B$3:$E$50,MATCH(VLOOKUP($I52,$I$5:$AJ$35,MATCH(VLOOKUP(P$37,$BH$3:$BI$50,2,FALSE),$I$4:$AJ$4,0),FALSE),BoundParameters_HiddenSheetCLAY!$B$1:$E$1,0),FALSE))),'Control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Output'!$A$2:$E$99999,5,FALSE)="Sand",VLOOKUP(Q$37,BoundParameters_HiddenSheetSAND!$B$3:$E$50,MATCH(VLOOKUP($I52,$I$5:$AJ$29,MATCH(VLOOKUP(Q$37,$BH$3:$BI$50,2,FALSE),$I$4:$AJ$4,0),FALSE),BoundParameters_HiddenSheetCLAY!$B$1:$E$1,0),FALSE),IF(VLOOKUP($E52,'Table Output'!$A$2:$E$99999,5,FALSE)="Clay",VLOOKUP(Q$37,BoundParameters_HiddenSheetCLAY!$B$3:$E$50,MATCH(VLOOKUP($I52,$I$5:$AJ$35,MATCH(VLOOKUP(Q$37,$BH$3:$BI$50,2,FALSE),$I$4:$AJ$4,0),FALSE),BoundParameters_HiddenSheetCLAY!$B$1:$E$1,0),FALSE))),'Control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Output'!$A$2:$E$99999,5,FALSE)="Sand",VLOOKUP(R$37,BoundParameters_HiddenSheetSAND!$B$3:$E$50,MATCH(VLOOKUP($I52,$I$5:$AJ$29,MATCH(VLOOKUP(R$37,$BH$3:$BI$50,2,FALSE),$I$4:$AJ$4,0),FALSE),BoundParameters_HiddenSheetCLAY!$B$1:$E$1,0),FALSE),IF(VLOOKUP($E52,'Table Output'!$A$2:$E$99999,5,FALSE)="Clay",VLOOKUP(R$37,BoundParameters_HiddenSheetCLAY!$B$3:$E$50,MATCH(VLOOKUP($I52,$I$5:$AJ$35,MATCH(VLOOKUP(R$37,$BH$3:$BI$50,2,FALSE),$I$4:$AJ$4,0),FALSE),BoundParameters_HiddenSheetCLAY!$B$1:$E$1,0),FALSE))),'Control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Output'!$A$2:$E$99999,5,FALSE)="Sand",VLOOKUP(S$37,BoundParameters_HiddenSheetSAND!$B$3:$E$50,MATCH(VLOOKUP($I52,$I$5:$AJ$29,MATCH(VLOOKUP(S$37,$BH$3:$BI$50,2,FALSE),$I$4:$AJ$4,0),FALSE),BoundParameters_HiddenSheetCLAY!$B$1:$E$1,0),FALSE),IF(VLOOKUP($E52,'Table Output'!$A$2:$E$99999,5,FALSE)="Clay",VLOOKUP(S$37,BoundParameters_HiddenSheetCLAY!$B$3:$E$50,MATCH(VLOOKUP($I52,$I$5:$AJ$35,MATCH(VLOOKUP(S$37,$BH$3:$BI$50,2,FALSE),$I$4:$AJ$4,0),FALSE),BoundParameters_HiddenSheetCLAY!$B$1:$E$1,0),FALSE))),'Control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1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Output'!$A$2:$E$99999,5,FALSE)="Sand",VLOOKUP(J$37,BoundParameters_HiddenSheetSAND!$B$3:$E$50,MATCH(VLOOKUP($I53,$I$5:$AJ$29,MATCH(VLOOKUP(J$37,$BH$3:$BI$50,2,FALSE),$I$4:$AJ$4,0),FALSE),BoundParameters_HiddenSheetCLAY!$B$1:$E$1,0),FALSE),IF(VLOOKUP($E53,'Table Output'!$A$2:$E$99999,5,FALSE)="Clay",VLOOKUP(J$37,BoundParameters_HiddenSheetCLAY!$B$3:$E$50,MATCH(VLOOKUP($I53,$I$5:$AJ$35,MATCH(VLOOKUP(J$37,$BH$3:$BI$50,2,FALSE),$I$4:$AJ$4,0),FALSE),BoundParameters_HiddenSheetCLAY!$B$1:$E$1,0),FALSE))),'Control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Output'!$A$2:$E$99999,5,FALSE)="Sand",VLOOKUP(K$37,BoundParameters_HiddenSheetSAND!$B$3:$E$50,MATCH(VLOOKUP($I53,$I$5:$AJ$29,MATCH(VLOOKUP(K$37,$BH$3:$BI$50,2,FALSE),$I$4:$AJ$4,0),FALSE),BoundParameters_HiddenSheetCLAY!$B$1:$E$1,0),FALSE),IF(VLOOKUP($E53,'Table Output'!$A$2:$E$99999,5,FALSE)="Clay",VLOOKUP(K$37,BoundParameters_HiddenSheetCLAY!$B$3:$E$50,MATCH(VLOOKUP($I53,$I$5:$AJ$35,MATCH(VLOOKUP(K$37,$BH$3:$BI$50,2,FALSE),$I$4:$AJ$4,0),FALSE),BoundParameters_HiddenSheetCLAY!$B$1:$E$1,0),FALSE))),'Control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Output'!$A$2:$E$99999,5,FALSE)="Sand",VLOOKUP(L$37,BoundParameters_HiddenSheetSAND!$B$3:$E$50,MATCH(VLOOKUP($I53,$I$5:$AJ$29,MATCH(VLOOKUP(L$37,$BH$3:$BI$50,2,FALSE),$I$4:$AJ$4,0),FALSE),BoundParameters_HiddenSheetCLAY!$B$1:$E$1,0),FALSE),IF(VLOOKUP($E53,'Table Output'!$A$2:$E$99999,5,FALSE)="Clay",VLOOKUP(L$37,BoundParameters_HiddenSheetCLAY!$B$3:$E$50,MATCH(VLOOKUP($I53,$I$5:$AJ$35,MATCH(VLOOKUP(L$37,$BH$3:$BI$50,2,FALSE),$I$4:$AJ$4,0),FALSE),BoundParameters_HiddenSheetCLAY!$B$1:$E$1,0),FALSE))),'Control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Output'!$A$2:$E$99999,5,FALSE)="Sand",VLOOKUP(M$37,BoundParameters_HiddenSheetSAND!$B$3:$E$50,MATCH(VLOOKUP($I53,$I$5:$AJ$29,MATCH(VLOOKUP(M$37,$BH$3:$BI$50,2,FALSE),$I$4:$AJ$4,0),FALSE),BoundParameters_HiddenSheetCLAY!$B$1:$E$1,0),FALSE),IF(VLOOKUP($E53,'Table Output'!$A$2:$E$99999,5,FALSE)="Clay",VLOOKUP(M$37,BoundParameters_HiddenSheetCLAY!$B$3:$E$50,MATCH(VLOOKUP($I53,$I$5:$AJ$35,MATCH(VLOOKUP(M$37,$BH$3:$BI$50,2,FALSE),$I$4:$AJ$4,0),FALSE),BoundParameters_HiddenSheetCLAY!$B$1:$E$1,0),FALSE))),'Control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Output'!$A$2:$E$99999,5,FALSE)="Sand",VLOOKUP(N$37,BoundParameters_HiddenSheetSAND!$B$3:$E$50,MATCH(VLOOKUP($I53,$I$5:$AJ$29,MATCH(VLOOKUP(N$37,$BH$3:$BI$50,2,FALSE),$I$4:$AJ$4,0),FALSE),BoundParameters_HiddenSheetCLAY!$B$1:$E$1,0),FALSE),IF(VLOOKUP($E53,'Table Output'!$A$2:$E$99999,5,FALSE)="Clay",VLOOKUP(N$37,BoundParameters_HiddenSheetCLAY!$B$3:$E$50,MATCH(VLOOKUP($I53,$I$5:$AJ$35,MATCH(VLOOKUP(N$37,$BH$3:$BI$50,2,FALSE),$I$4:$AJ$4,0),FALSE),BoundParameters_HiddenSheetCLAY!$B$1:$E$1,0),FALSE))),'Control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Output'!$A$2:$E$99999,5,FALSE)="Sand",VLOOKUP(O$37,BoundParameters_HiddenSheetSAND!$B$3:$E$50,MATCH(VLOOKUP($I53,$I$5:$AJ$29,MATCH(VLOOKUP(O$37,$BH$3:$BI$50,2,FALSE),$I$4:$AJ$4,0),FALSE),BoundParameters_HiddenSheetCLAY!$B$1:$E$1,0),FALSE),IF(VLOOKUP($E53,'Table Output'!$A$2:$E$99999,5,FALSE)="Clay",VLOOKUP(O$37,BoundParameters_HiddenSheetCLAY!$B$3:$E$50,MATCH(VLOOKUP($I53,$I$5:$AJ$35,MATCH(VLOOKUP(O$37,$BH$3:$BI$50,2,FALSE),$I$4:$AJ$4,0),FALSE),BoundParameters_HiddenSheetCLAY!$B$1:$E$1,0),FALSE))),'Control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Output'!$A$2:$E$99999,5,FALSE)="Sand",VLOOKUP(P$37,BoundParameters_HiddenSheetSAND!$B$3:$E$50,MATCH(VLOOKUP($I53,$I$5:$AJ$29,MATCH(VLOOKUP(P$37,$BH$3:$BI$50,2,FALSE),$I$4:$AJ$4,0),FALSE),BoundParameters_HiddenSheetCLAY!$B$1:$E$1,0),FALSE),IF(VLOOKUP($E53,'Table Output'!$A$2:$E$99999,5,FALSE)="Clay",VLOOKUP(P$37,BoundParameters_HiddenSheetCLAY!$B$3:$E$50,MATCH(VLOOKUP($I53,$I$5:$AJ$35,MATCH(VLOOKUP(P$37,$BH$3:$BI$50,2,FALSE),$I$4:$AJ$4,0),FALSE),BoundParameters_HiddenSheetCLAY!$B$1:$E$1,0),FALSE))),'Control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Output'!$A$2:$E$99999,5,FALSE)="Sand",VLOOKUP(Q$37,BoundParameters_HiddenSheetSAND!$B$3:$E$50,MATCH(VLOOKUP($I53,$I$5:$AJ$29,MATCH(VLOOKUP(Q$37,$BH$3:$BI$50,2,FALSE),$I$4:$AJ$4,0),FALSE),BoundParameters_HiddenSheetCLAY!$B$1:$E$1,0),FALSE),IF(VLOOKUP($E53,'Table Output'!$A$2:$E$99999,5,FALSE)="Clay",VLOOKUP(Q$37,BoundParameters_HiddenSheetCLAY!$B$3:$E$50,MATCH(VLOOKUP($I53,$I$5:$AJ$35,MATCH(VLOOKUP(Q$37,$BH$3:$BI$50,2,FALSE),$I$4:$AJ$4,0),FALSE),BoundParameters_HiddenSheetCLAY!$B$1:$E$1,0),FALSE))),'Control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Output'!$A$2:$E$99999,5,FALSE)="Sand",VLOOKUP(R$37,BoundParameters_HiddenSheetSAND!$B$3:$E$50,MATCH(VLOOKUP($I53,$I$5:$AJ$29,MATCH(VLOOKUP(R$37,$BH$3:$BI$50,2,FALSE),$I$4:$AJ$4,0),FALSE),BoundParameters_HiddenSheetCLAY!$B$1:$E$1,0),FALSE),IF(VLOOKUP($E53,'Table Output'!$A$2:$E$99999,5,FALSE)="Clay",VLOOKUP(R$37,BoundParameters_HiddenSheetCLAY!$B$3:$E$50,MATCH(VLOOKUP($I53,$I$5:$AJ$35,MATCH(VLOOKUP(R$37,$BH$3:$BI$50,2,FALSE),$I$4:$AJ$4,0),FALSE),BoundParameters_HiddenSheetCLAY!$B$1:$E$1,0),FALSE))),'Control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Output'!$A$2:$E$99999,5,FALSE)="Sand",VLOOKUP(S$37,BoundParameters_HiddenSheetSAND!$B$3:$E$50,MATCH(VLOOKUP($I53,$I$5:$AJ$29,MATCH(VLOOKUP(S$37,$BH$3:$BI$50,2,FALSE),$I$4:$AJ$4,0),FALSE),BoundParameters_HiddenSheetCLAY!$B$1:$E$1,0),FALSE),IF(VLOOKUP($E53,'Table Output'!$A$2:$E$99999,5,FALSE)="Clay",VLOOKUP(S$37,BoundParameters_HiddenSheetCLAY!$B$3:$E$50,MATCH(VLOOKUP($I53,$I$5:$AJ$35,MATCH(VLOOKUP(S$37,$BH$3:$BI$50,2,FALSE),$I$4:$AJ$4,0),FALSE),BoundParameters_HiddenSheetCLAY!$B$1:$E$1,0),FALSE))),'Control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Output'!$A$2:$E$99999,5,FALSE)="Sand",VLOOKUP(J$37,BoundParameters_HiddenSheetSAND!$B$3:$E$50,MATCH(VLOOKUP($I54,$I$5:$AJ$29,MATCH(VLOOKUP(J$37,$BH$3:$BI$50,2,FALSE),$I$4:$AJ$4,0),FALSE),BoundParameters_HiddenSheetCLAY!$B$1:$E$1,0),FALSE),IF(VLOOKUP($E54,'Table Output'!$A$2:$E$99999,5,FALSE)="Clay",VLOOKUP(J$37,BoundParameters_HiddenSheetCLAY!$B$3:$E$50,MATCH(VLOOKUP($I54,$I$5:$AJ$35,MATCH(VLOOKUP(J$37,$BH$3:$BI$50,2,FALSE),$I$4:$AJ$4,0),FALSE),BoundParameters_HiddenSheetCLAY!$B$1:$E$1,0),FALSE))),'Control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Output'!$A$2:$E$99999,5,FALSE)="Sand",VLOOKUP(K$37,BoundParameters_HiddenSheetSAND!$B$3:$E$50,MATCH(VLOOKUP($I54,$I$5:$AJ$29,MATCH(VLOOKUP(K$37,$BH$3:$BI$50,2,FALSE),$I$4:$AJ$4,0),FALSE),BoundParameters_HiddenSheetCLAY!$B$1:$E$1,0),FALSE),IF(VLOOKUP($E54,'Table Output'!$A$2:$E$99999,5,FALSE)="Clay",VLOOKUP(K$37,BoundParameters_HiddenSheetCLAY!$B$3:$E$50,MATCH(VLOOKUP($I54,$I$5:$AJ$35,MATCH(VLOOKUP(K$37,$BH$3:$BI$50,2,FALSE),$I$4:$AJ$4,0),FALSE),BoundParameters_HiddenSheetCLAY!$B$1:$E$1,0),FALSE))),'Control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Output'!$A$2:$E$99999,5,FALSE)="Sand",VLOOKUP(L$37,BoundParameters_HiddenSheetSAND!$B$3:$E$50,MATCH(VLOOKUP($I54,$I$5:$AJ$29,MATCH(VLOOKUP(L$37,$BH$3:$BI$50,2,FALSE),$I$4:$AJ$4,0),FALSE),BoundParameters_HiddenSheetCLAY!$B$1:$E$1,0),FALSE),IF(VLOOKUP($E54,'Table Output'!$A$2:$E$99999,5,FALSE)="Clay",VLOOKUP(L$37,BoundParameters_HiddenSheetCLAY!$B$3:$E$50,MATCH(VLOOKUP($I54,$I$5:$AJ$35,MATCH(VLOOKUP(L$37,$BH$3:$BI$50,2,FALSE),$I$4:$AJ$4,0),FALSE),BoundParameters_HiddenSheetCLAY!$B$1:$E$1,0),FALSE))),'Control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Output'!$A$2:$E$99999,5,FALSE)="Sand",VLOOKUP(M$37,BoundParameters_HiddenSheetSAND!$B$3:$E$50,MATCH(VLOOKUP($I54,$I$5:$AJ$29,MATCH(VLOOKUP(M$37,$BH$3:$BI$50,2,FALSE),$I$4:$AJ$4,0),FALSE),BoundParameters_HiddenSheetCLAY!$B$1:$E$1,0),FALSE),IF(VLOOKUP($E54,'Table Output'!$A$2:$E$99999,5,FALSE)="Clay",VLOOKUP(M$37,BoundParameters_HiddenSheetCLAY!$B$3:$E$50,MATCH(VLOOKUP($I54,$I$5:$AJ$35,MATCH(VLOOKUP(M$37,$BH$3:$BI$50,2,FALSE),$I$4:$AJ$4,0),FALSE),BoundParameters_HiddenSheetCLAY!$B$1:$E$1,0),FALSE))),'Control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Output'!$A$2:$E$99999,5,FALSE)="Sand",VLOOKUP(N$37,BoundParameters_HiddenSheetSAND!$B$3:$E$50,MATCH(VLOOKUP($I54,$I$5:$AJ$29,MATCH(VLOOKUP(N$37,$BH$3:$BI$50,2,FALSE),$I$4:$AJ$4,0),FALSE),BoundParameters_HiddenSheetCLAY!$B$1:$E$1,0),FALSE),IF(VLOOKUP($E54,'Table Output'!$A$2:$E$99999,5,FALSE)="Clay",VLOOKUP(N$37,BoundParameters_HiddenSheetCLAY!$B$3:$E$50,MATCH(VLOOKUP($I54,$I$5:$AJ$35,MATCH(VLOOKUP(N$37,$BH$3:$BI$50,2,FALSE),$I$4:$AJ$4,0),FALSE),BoundParameters_HiddenSheetCLAY!$B$1:$E$1,0),FALSE))),'Control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Output'!$A$2:$E$99999,5,FALSE)="Sand",VLOOKUP(O$37,BoundParameters_HiddenSheetSAND!$B$3:$E$50,MATCH(VLOOKUP($I54,$I$5:$AJ$29,MATCH(VLOOKUP(O$37,$BH$3:$BI$50,2,FALSE),$I$4:$AJ$4,0),FALSE),BoundParameters_HiddenSheetCLAY!$B$1:$E$1,0),FALSE),IF(VLOOKUP($E54,'Table Output'!$A$2:$E$99999,5,FALSE)="Clay",VLOOKUP(O$37,BoundParameters_HiddenSheetCLAY!$B$3:$E$50,MATCH(VLOOKUP($I54,$I$5:$AJ$35,MATCH(VLOOKUP(O$37,$BH$3:$BI$50,2,FALSE),$I$4:$AJ$4,0),FALSE),BoundParameters_HiddenSheetCLAY!$B$1:$E$1,0),FALSE))),'Control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Output'!$A$2:$E$99999,5,FALSE)="Sand",VLOOKUP(P$37,BoundParameters_HiddenSheetSAND!$B$3:$E$50,MATCH(VLOOKUP($I54,$I$5:$AJ$29,MATCH(VLOOKUP(P$37,$BH$3:$BI$50,2,FALSE),$I$4:$AJ$4,0),FALSE),BoundParameters_HiddenSheetCLAY!$B$1:$E$1,0),FALSE),IF(VLOOKUP($E54,'Table Output'!$A$2:$E$99999,5,FALSE)="Clay",VLOOKUP(P$37,BoundParameters_HiddenSheetCLAY!$B$3:$E$50,MATCH(VLOOKUP($I54,$I$5:$AJ$35,MATCH(VLOOKUP(P$37,$BH$3:$BI$50,2,FALSE),$I$4:$AJ$4,0),FALSE),BoundParameters_HiddenSheetCLAY!$B$1:$E$1,0),FALSE))),'Control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Output'!$A$2:$E$99999,5,FALSE)="Sand",VLOOKUP(Q$37,BoundParameters_HiddenSheetSAND!$B$3:$E$50,MATCH(VLOOKUP($I54,$I$5:$AJ$29,MATCH(VLOOKUP(Q$37,$BH$3:$BI$50,2,FALSE),$I$4:$AJ$4,0),FALSE),BoundParameters_HiddenSheetCLAY!$B$1:$E$1,0),FALSE),IF(VLOOKUP($E54,'Table Output'!$A$2:$E$99999,5,FALSE)="Clay",VLOOKUP(Q$37,BoundParameters_HiddenSheetCLAY!$B$3:$E$50,MATCH(VLOOKUP($I54,$I$5:$AJ$35,MATCH(VLOOKUP(Q$37,$BH$3:$BI$50,2,FALSE),$I$4:$AJ$4,0),FALSE),BoundParameters_HiddenSheetCLAY!$B$1:$E$1,0),FALSE))),'Control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Output'!$A$2:$E$99999,5,FALSE)="Sand",VLOOKUP(R$37,BoundParameters_HiddenSheetSAND!$B$3:$E$50,MATCH(VLOOKUP($I54,$I$5:$AJ$29,MATCH(VLOOKUP(R$37,$BH$3:$BI$50,2,FALSE),$I$4:$AJ$4,0),FALSE),BoundParameters_HiddenSheetCLAY!$B$1:$E$1,0),FALSE),IF(VLOOKUP($E54,'Table Output'!$A$2:$E$99999,5,FALSE)="Clay",VLOOKUP(R$37,BoundParameters_HiddenSheetCLAY!$B$3:$E$50,MATCH(VLOOKUP($I54,$I$5:$AJ$35,MATCH(VLOOKUP(R$37,$BH$3:$BI$50,2,FALSE),$I$4:$AJ$4,0),FALSE),BoundParameters_HiddenSheetCLAY!$B$1:$E$1,0),FALSE))),'Control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Output'!$A$2:$E$99999,5,FALSE)="Sand",VLOOKUP(S$37,BoundParameters_HiddenSheetSAND!$B$3:$E$50,MATCH(VLOOKUP($I54,$I$5:$AJ$29,MATCH(VLOOKUP(S$37,$BH$3:$BI$50,2,FALSE),$I$4:$AJ$4,0),FALSE),BoundParameters_HiddenSheetCLAY!$B$1:$E$1,0),FALSE),IF(VLOOKUP($E54,'Table Output'!$A$2:$E$99999,5,FALSE)="Clay",VLOOKUP(S$37,BoundParameters_HiddenSheetCLAY!$B$3:$E$50,MATCH(VLOOKUP($I54,$I$5:$AJ$35,MATCH(VLOOKUP(S$37,$BH$3:$BI$50,2,FALSE),$I$4:$AJ$4,0),FALSE),BoundParameters_HiddenSheetCLAY!$B$1:$E$1,0),FALSE))),'Control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Output'!$A$2:$E$99999,5,FALSE)="Sand",VLOOKUP(J$37,BoundParameters_HiddenSheetSAND!$B$3:$E$50,MATCH(VLOOKUP($I55,$I$5:$AJ$29,MATCH(VLOOKUP(J$37,$BH$3:$BI$50,2,FALSE),$I$4:$AJ$4,0),FALSE),BoundParameters_HiddenSheetCLAY!$B$1:$E$1,0),FALSE),IF(VLOOKUP($E55,'Table Output'!$A$2:$E$99999,5,FALSE)="Clay",VLOOKUP(J$37,BoundParameters_HiddenSheetCLAY!$B$3:$E$50,MATCH(VLOOKUP($I55,$I$5:$AJ$35,MATCH(VLOOKUP(J$37,$BH$3:$BI$50,2,FALSE),$I$4:$AJ$4,0),FALSE),BoundParameters_HiddenSheetCLAY!$B$1:$E$1,0),FALSE))),'Control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Output'!$A$2:$E$99999,5,FALSE)="Sand",VLOOKUP(K$37,BoundParameters_HiddenSheetSAND!$B$3:$E$50,MATCH(VLOOKUP($I55,$I$5:$AJ$29,MATCH(VLOOKUP(K$37,$BH$3:$BI$50,2,FALSE),$I$4:$AJ$4,0),FALSE),BoundParameters_HiddenSheetCLAY!$B$1:$E$1,0),FALSE),IF(VLOOKUP($E55,'Table Output'!$A$2:$E$99999,5,FALSE)="Clay",VLOOKUP(K$37,BoundParameters_HiddenSheetCLAY!$B$3:$E$50,MATCH(VLOOKUP($I55,$I$5:$AJ$35,MATCH(VLOOKUP(K$37,$BH$3:$BI$50,2,FALSE),$I$4:$AJ$4,0),FALSE),BoundParameters_HiddenSheetCLAY!$B$1:$E$1,0),FALSE))),'Control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Output'!$A$2:$E$99999,5,FALSE)="Sand",VLOOKUP(L$37,BoundParameters_HiddenSheetSAND!$B$3:$E$50,MATCH(VLOOKUP($I55,$I$5:$AJ$29,MATCH(VLOOKUP(L$37,$BH$3:$BI$50,2,FALSE),$I$4:$AJ$4,0),FALSE),BoundParameters_HiddenSheetCLAY!$B$1:$E$1,0),FALSE),IF(VLOOKUP($E55,'Table Output'!$A$2:$E$99999,5,FALSE)="Clay",VLOOKUP(L$37,BoundParameters_HiddenSheetCLAY!$B$3:$E$50,MATCH(VLOOKUP($I55,$I$5:$AJ$35,MATCH(VLOOKUP(L$37,$BH$3:$BI$50,2,FALSE),$I$4:$AJ$4,0),FALSE),BoundParameters_HiddenSheetCLAY!$B$1:$E$1,0),FALSE))),'Control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Output'!$A$2:$E$99999,5,FALSE)="Sand",VLOOKUP(M$37,BoundParameters_HiddenSheetSAND!$B$3:$E$50,MATCH(VLOOKUP($I55,$I$5:$AJ$29,MATCH(VLOOKUP(M$37,$BH$3:$BI$50,2,FALSE),$I$4:$AJ$4,0),FALSE),BoundParameters_HiddenSheetCLAY!$B$1:$E$1,0),FALSE),IF(VLOOKUP($E55,'Table Output'!$A$2:$E$99999,5,FALSE)="Clay",VLOOKUP(M$37,BoundParameters_HiddenSheetCLAY!$B$3:$E$50,MATCH(VLOOKUP($I55,$I$5:$AJ$35,MATCH(VLOOKUP(M$37,$BH$3:$BI$50,2,FALSE),$I$4:$AJ$4,0),FALSE),BoundParameters_HiddenSheetCLAY!$B$1:$E$1,0),FALSE))),'Control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Output'!$A$2:$E$99999,5,FALSE)="Sand",VLOOKUP(N$37,BoundParameters_HiddenSheetSAND!$B$3:$E$50,MATCH(VLOOKUP($I55,$I$5:$AJ$29,MATCH(VLOOKUP(N$37,$BH$3:$BI$50,2,FALSE),$I$4:$AJ$4,0),FALSE),BoundParameters_HiddenSheetCLAY!$B$1:$E$1,0),FALSE),IF(VLOOKUP($E55,'Table Output'!$A$2:$E$99999,5,FALSE)="Clay",VLOOKUP(N$37,BoundParameters_HiddenSheetCLAY!$B$3:$E$50,MATCH(VLOOKUP($I55,$I$5:$AJ$35,MATCH(VLOOKUP(N$37,$BH$3:$BI$50,2,FALSE),$I$4:$AJ$4,0),FALSE),BoundParameters_HiddenSheetCLAY!$B$1:$E$1,0),FALSE))),'Control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Output'!$A$2:$E$99999,5,FALSE)="Sand",VLOOKUP(O$37,BoundParameters_HiddenSheetSAND!$B$3:$E$50,MATCH(VLOOKUP($I55,$I$5:$AJ$29,MATCH(VLOOKUP(O$37,$BH$3:$BI$50,2,FALSE),$I$4:$AJ$4,0),FALSE),BoundParameters_HiddenSheetCLAY!$B$1:$E$1,0),FALSE),IF(VLOOKUP($E55,'Table Output'!$A$2:$E$99999,5,FALSE)="Clay",VLOOKUP(O$37,BoundParameters_HiddenSheetCLAY!$B$3:$E$50,MATCH(VLOOKUP($I55,$I$5:$AJ$35,MATCH(VLOOKUP(O$37,$BH$3:$BI$50,2,FALSE),$I$4:$AJ$4,0),FALSE),BoundParameters_HiddenSheetCLAY!$B$1:$E$1,0),FALSE))),'Control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Output'!$A$2:$E$99999,5,FALSE)="Sand",VLOOKUP(P$37,BoundParameters_HiddenSheetSAND!$B$3:$E$50,MATCH(VLOOKUP($I55,$I$5:$AJ$29,MATCH(VLOOKUP(P$37,$BH$3:$BI$50,2,FALSE),$I$4:$AJ$4,0),FALSE),BoundParameters_HiddenSheetCLAY!$B$1:$E$1,0),FALSE),IF(VLOOKUP($E55,'Table Output'!$A$2:$E$99999,5,FALSE)="Clay",VLOOKUP(P$37,BoundParameters_HiddenSheetCLAY!$B$3:$E$50,MATCH(VLOOKUP($I55,$I$5:$AJ$35,MATCH(VLOOKUP(P$37,$BH$3:$BI$50,2,FALSE),$I$4:$AJ$4,0),FALSE),BoundParameters_HiddenSheetCLAY!$B$1:$E$1,0),FALSE))),'Control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Output'!$A$2:$E$99999,5,FALSE)="Sand",VLOOKUP(Q$37,BoundParameters_HiddenSheetSAND!$B$3:$E$50,MATCH(VLOOKUP($I55,$I$5:$AJ$29,MATCH(VLOOKUP(Q$37,$BH$3:$BI$50,2,FALSE),$I$4:$AJ$4,0),FALSE),BoundParameters_HiddenSheetCLAY!$B$1:$E$1,0),FALSE),IF(VLOOKUP($E55,'Table Output'!$A$2:$E$99999,5,FALSE)="Clay",VLOOKUP(Q$37,BoundParameters_HiddenSheetCLAY!$B$3:$E$50,MATCH(VLOOKUP($I55,$I$5:$AJ$35,MATCH(VLOOKUP(Q$37,$BH$3:$BI$50,2,FALSE),$I$4:$AJ$4,0),FALSE),BoundParameters_HiddenSheetCLAY!$B$1:$E$1,0),FALSE))),'Control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Output'!$A$2:$E$99999,5,FALSE)="Sand",VLOOKUP(R$37,BoundParameters_HiddenSheetSAND!$B$3:$E$50,MATCH(VLOOKUP($I55,$I$5:$AJ$29,MATCH(VLOOKUP(R$37,$BH$3:$BI$50,2,FALSE),$I$4:$AJ$4,0),FALSE),BoundParameters_HiddenSheetCLAY!$B$1:$E$1,0),FALSE),IF(VLOOKUP($E55,'Table Output'!$A$2:$E$99999,5,FALSE)="Clay",VLOOKUP(R$37,BoundParameters_HiddenSheetCLAY!$B$3:$E$50,MATCH(VLOOKUP($I55,$I$5:$AJ$35,MATCH(VLOOKUP(R$37,$BH$3:$BI$50,2,FALSE),$I$4:$AJ$4,0),FALSE),BoundParameters_HiddenSheetCLAY!$B$1:$E$1,0),FALSE))),'Control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Output'!$A$2:$E$99999,5,FALSE)="Sand",VLOOKUP(S$37,BoundParameters_HiddenSheetSAND!$B$3:$E$50,MATCH(VLOOKUP($I55,$I$5:$AJ$29,MATCH(VLOOKUP(S$37,$BH$3:$BI$50,2,FALSE),$I$4:$AJ$4,0),FALSE),BoundParameters_HiddenSheetCLAY!$B$1:$E$1,0),FALSE),IF(VLOOKUP($E55,'Table Output'!$A$2:$E$99999,5,FALSE)="Clay",VLOOKUP(S$37,BoundParameters_HiddenSheetCLAY!$B$3:$E$50,MATCH(VLOOKUP($I55,$I$5:$AJ$35,MATCH(VLOOKUP(S$37,$BH$3:$BI$50,2,FALSE),$I$4:$AJ$4,0),FALSE),BoundParameters_HiddenSheetCLAY!$B$1:$E$1,0),FALSE))),'Control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Output'!$A$2:$E$99999,5,FALSE)="Sand",VLOOKUP(J$37,BoundParameters_HiddenSheetSAND!$B$3:$E$50,MATCH(VLOOKUP($I56,$I$5:$AJ$29,MATCH(VLOOKUP(J$37,$BH$3:$BI$50,2,FALSE),$I$4:$AJ$4,0),FALSE),BoundParameters_HiddenSheetCLAY!$B$1:$E$1,0),FALSE),IF(VLOOKUP($E56,'Table Output'!$A$2:$E$99999,5,FALSE)="Clay",VLOOKUP(J$37,BoundParameters_HiddenSheetCLAY!$B$3:$E$50,MATCH(VLOOKUP($I56,$I$5:$AJ$35,MATCH(VLOOKUP(J$37,$BH$3:$BI$50,2,FALSE),$I$4:$AJ$4,0),FALSE),BoundParameters_HiddenSheetCLAY!$B$1:$E$1,0),FALSE))),'Control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Output'!$A$2:$E$99999,5,FALSE)="Sand",VLOOKUP(K$37,BoundParameters_HiddenSheetSAND!$B$3:$E$50,MATCH(VLOOKUP($I56,$I$5:$AJ$29,MATCH(VLOOKUP(K$37,$BH$3:$BI$50,2,FALSE),$I$4:$AJ$4,0),FALSE),BoundParameters_HiddenSheetCLAY!$B$1:$E$1,0),FALSE),IF(VLOOKUP($E56,'Table Output'!$A$2:$E$99999,5,FALSE)="Clay",VLOOKUP(K$37,BoundParameters_HiddenSheetCLAY!$B$3:$E$50,MATCH(VLOOKUP($I56,$I$5:$AJ$35,MATCH(VLOOKUP(K$37,$BH$3:$BI$50,2,FALSE),$I$4:$AJ$4,0),FALSE),BoundParameters_HiddenSheetCLAY!$B$1:$E$1,0),FALSE))),'Control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Output'!$A$2:$E$99999,5,FALSE)="Sand",VLOOKUP(L$37,BoundParameters_HiddenSheetSAND!$B$3:$E$50,MATCH(VLOOKUP($I56,$I$5:$AJ$29,MATCH(VLOOKUP(L$37,$BH$3:$BI$50,2,FALSE),$I$4:$AJ$4,0),FALSE),BoundParameters_HiddenSheetCLAY!$B$1:$E$1,0),FALSE),IF(VLOOKUP($E56,'Table Output'!$A$2:$E$99999,5,FALSE)="Clay",VLOOKUP(L$37,BoundParameters_HiddenSheetCLAY!$B$3:$E$50,MATCH(VLOOKUP($I56,$I$5:$AJ$35,MATCH(VLOOKUP(L$37,$BH$3:$BI$50,2,FALSE),$I$4:$AJ$4,0),FALSE),BoundParameters_HiddenSheetCLAY!$B$1:$E$1,0),FALSE))),'Control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Output'!$A$2:$E$99999,5,FALSE)="Sand",VLOOKUP(M$37,BoundParameters_HiddenSheetSAND!$B$3:$E$50,MATCH(VLOOKUP($I56,$I$5:$AJ$29,MATCH(VLOOKUP(M$37,$BH$3:$BI$50,2,FALSE),$I$4:$AJ$4,0),FALSE),BoundParameters_HiddenSheetCLAY!$B$1:$E$1,0),FALSE),IF(VLOOKUP($E56,'Table Output'!$A$2:$E$99999,5,FALSE)="Clay",VLOOKUP(M$37,BoundParameters_HiddenSheetCLAY!$B$3:$E$50,MATCH(VLOOKUP($I56,$I$5:$AJ$35,MATCH(VLOOKUP(M$37,$BH$3:$BI$50,2,FALSE),$I$4:$AJ$4,0),FALSE),BoundParameters_HiddenSheetCLAY!$B$1:$E$1,0),FALSE))),'Control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Output'!$A$2:$E$99999,5,FALSE)="Sand",VLOOKUP(N$37,BoundParameters_HiddenSheetSAND!$B$3:$E$50,MATCH(VLOOKUP($I56,$I$5:$AJ$29,MATCH(VLOOKUP(N$37,$BH$3:$BI$50,2,FALSE),$I$4:$AJ$4,0),FALSE),BoundParameters_HiddenSheetCLAY!$B$1:$E$1,0),FALSE),IF(VLOOKUP($E56,'Table Output'!$A$2:$E$99999,5,FALSE)="Clay",VLOOKUP(N$37,BoundParameters_HiddenSheetCLAY!$B$3:$E$50,MATCH(VLOOKUP($I56,$I$5:$AJ$35,MATCH(VLOOKUP(N$37,$BH$3:$BI$50,2,FALSE),$I$4:$AJ$4,0),FALSE),BoundParameters_HiddenSheetCLAY!$B$1:$E$1,0),FALSE))),'Control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Output'!$A$2:$E$99999,5,FALSE)="Sand",VLOOKUP(O$37,BoundParameters_HiddenSheetSAND!$B$3:$E$50,MATCH(VLOOKUP($I56,$I$5:$AJ$29,MATCH(VLOOKUP(O$37,$BH$3:$BI$50,2,FALSE),$I$4:$AJ$4,0),FALSE),BoundParameters_HiddenSheetCLAY!$B$1:$E$1,0),FALSE),IF(VLOOKUP($E56,'Table Output'!$A$2:$E$99999,5,FALSE)="Clay",VLOOKUP(O$37,BoundParameters_HiddenSheetCLAY!$B$3:$E$50,MATCH(VLOOKUP($I56,$I$5:$AJ$35,MATCH(VLOOKUP(O$37,$BH$3:$BI$50,2,FALSE),$I$4:$AJ$4,0),FALSE),BoundParameters_HiddenSheetCLAY!$B$1:$E$1,0),FALSE))),'Control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Output'!$A$2:$E$99999,5,FALSE)="Sand",VLOOKUP(P$37,BoundParameters_HiddenSheetSAND!$B$3:$E$50,MATCH(VLOOKUP($I56,$I$5:$AJ$29,MATCH(VLOOKUP(P$37,$BH$3:$BI$50,2,FALSE),$I$4:$AJ$4,0),FALSE),BoundParameters_HiddenSheetCLAY!$B$1:$E$1,0),FALSE),IF(VLOOKUP($E56,'Table Output'!$A$2:$E$99999,5,FALSE)="Clay",VLOOKUP(P$37,BoundParameters_HiddenSheetCLAY!$B$3:$E$50,MATCH(VLOOKUP($I56,$I$5:$AJ$35,MATCH(VLOOKUP(P$37,$BH$3:$BI$50,2,FALSE),$I$4:$AJ$4,0),FALSE),BoundParameters_HiddenSheetCLAY!$B$1:$E$1,0),FALSE))),'Control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Output'!$A$2:$E$99999,5,FALSE)="Sand",VLOOKUP(Q$37,BoundParameters_HiddenSheetSAND!$B$3:$E$50,MATCH(VLOOKUP($I56,$I$5:$AJ$29,MATCH(VLOOKUP(Q$37,$BH$3:$BI$50,2,FALSE),$I$4:$AJ$4,0),FALSE),BoundParameters_HiddenSheetCLAY!$B$1:$E$1,0),FALSE),IF(VLOOKUP($E56,'Table Output'!$A$2:$E$99999,5,FALSE)="Clay",VLOOKUP(Q$37,BoundParameters_HiddenSheetCLAY!$B$3:$E$50,MATCH(VLOOKUP($I56,$I$5:$AJ$35,MATCH(VLOOKUP(Q$37,$BH$3:$BI$50,2,FALSE),$I$4:$AJ$4,0),FALSE),BoundParameters_HiddenSheetCLAY!$B$1:$E$1,0),FALSE))),'Control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Output'!$A$2:$E$99999,5,FALSE)="Sand",VLOOKUP(R$37,BoundParameters_HiddenSheetSAND!$B$3:$E$50,MATCH(VLOOKUP($I56,$I$5:$AJ$29,MATCH(VLOOKUP(R$37,$BH$3:$BI$50,2,FALSE),$I$4:$AJ$4,0),FALSE),BoundParameters_HiddenSheetCLAY!$B$1:$E$1,0),FALSE),IF(VLOOKUP($E56,'Table Output'!$A$2:$E$99999,5,FALSE)="Clay",VLOOKUP(R$37,BoundParameters_HiddenSheetCLAY!$B$3:$E$50,MATCH(VLOOKUP($I56,$I$5:$AJ$35,MATCH(VLOOKUP(R$37,$BH$3:$BI$50,2,FALSE),$I$4:$AJ$4,0),FALSE),BoundParameters_HiddenSheetCLAY!$B$1:$E$1,0),FALSE))),'Control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Output'!$A$2:$E$99999,5,FALSE)="Sand",VLOOKUP(S$37,BoundParameters_HiddenSheetSAND!$B$3:$E$50,MATCH(VLOOKUP($I56,$I$5:$AJ$29,MATCH(VLOOKUP(S$37,$BH$3:$BI$50,2,FALSE),$I$4:$AJ$4,0),FALSE),BoundParameters_HiddenSheetCLAY!$B$1:$E$1,0),FALSE),IF(VLOOKUP($E56,'Table Output'!$A$2:$E$99999,5,FALSE)="Clay",VLOOKUP(S$37,BoundParameters_HiddenSheetCLAY!$B$3:$E$50,MATCH(VLOOKUP($I56,$I$5:$AJ$35,MATCH(VLOOKUP(S$37,$BH$3:$BI$50,2,FALSE),$I$4:$AJ$4,0),FALSE),BoundParameters_HiddenSheetCLAY!$B$1:$E$1,0),FALSE))),'Control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Output'!$A$2:$E$99999,5,FALSE)="Sand",VLOOKUP(J$37,BoundParameters_HiddenSheetSAND!$B$3:$E$50,MATCH(VLOOKUP($I57,$I$5:$AJ$29,MATCH(VLOOKUP(J$37,$BH$3:$BI$50,2,FALSE),$I$4:$AJ$4,0),FALSE),BoundParameters_HiddenSheetCLAY!$B$1:$E$1,0),FALSE),IF(VLOOKUP($E57,'Table Output'!$A$2:$E$99999,5,FALSE)="Clay",VLOOKUP(J$37,BoundParameters_HiddenSheetCLAY!$B$3:$E$50,MATCH(VLOOKUP($I57,$I$5:$AJ$35,MATCH(VLOOKUP(J$37,$BH$3:$BI$50,2,FALSE),$I$4:$AJ$4,0),FALSE),BoundParameters_HiddenSheetCLAY!$B$1:$E$1,0),FALSE))),'Control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Output'!$A$2:$E$99999,5,FALSE)="Sand",VLOOKUP(K$37,BoundParameters_HiddenSheetSAND!$B$3:$E$50,MATCH(VLOOKUP($I57,$I$5:$AJ$29,MATCH(VLOOKUP(K$37,$BH$3:$BI$50,2,FALSE),$I$4:$AJ$4,0),FALSE),BoundParameters_HiddenSheetCLAY!$B$1:$E$1,0),FALSE),IF(VLOOKUP($E57,'Table Output'!$A$2:$E$99999,5,FALSE)="Clay",VLOOKUP(K$37,BoundParameters_HiddenSheetCLAY!$B$3:$E$50,MATCH(VLOOKUP($I57,$I$5:$AJ$35,MATCH(VLOOKUP(K$37,$BH$3:$BI$50,2,FALSE),$I$4:$AJ$4,0),FALSE),BoundParameters_HiddenSheetCLAY!$B$1:$E$1,0),FALSE))),'Control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Output'!$A$2:$E$99999,5,FALSE)="Sand",VLOOKUP(L$37,BoundParameters_HiddenSheetSAND!$B$3:$E$50,MATCH(VLOOKUP($I57,$I$5:$AJ$29,MATCH(VLOOKUP(L$37,$BH$3:$BI$50,2,FALSE),$I$4:$AJ$4,0),FALSE),BoundParameters_HiddenSheetCLAY!$B$1:$E$1,0),FALSE),IF(VLOOKUP($E57,'Table Output'!$A$2:$E$99999,5,FALSE)="Clay",VLOOKUP(L$37,BoundParameters_HiddenSheetCLAY!$B$3:$E$50,MATCH(VLOOKUP($I57,$I$5:$AJ$35,MATCH(VLOOKUP(L$37,$BH$3:$BI$50,2,FALSE),$I$4:$AJ$4,0),FALSE),BoundParameters_HiddenSheetCLAY!$B$1:$E$1,0),FALSE))),'Control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Output'!$A$2:$E$99999,5,FALSE)="Sand",VLOOKUP(M$37,BoundParameters_HiddenSheetSAND!$B$3:$E$50,MATCH(VLOOKUP($I57,$I$5:$AJ$29,MATCH(VLOOKUP(M$37,$BH$3:$BI$50,2,FALSE),$I$4:$AJ$4,0),FALSE),BoundParameters_HiddenSheetCLAY!$B$1:$E$1,0),FALSE),IF(VLOOKUP($E57,'Table Output'!$A$2:$E$99999,5,FALSE)="Clay",VLOOKUP(M$37,BoundParameters_HiddenSheetCLAY!$B$3:$E$50,MATCH(VLOOKUP($I57,$I$5:$AJ$35,MATCH(VLOOKUP(M$37,$BH$3:$BI$50,2,FALSE),$I$4:$AJ$4,0),FALSE),BoundParameters_HiddenSheetCLAY!$B$1:$E$1,0),FALSE))),'Control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Output'!$A$2:$E$99999,5,FALSE)="Sand",VLOOKUP(N$37,BoundParameters_HiddenSheetSAND!$B$3:$E$50,MATCH(VLOOKUP($I57,$I$5:$AJ$29,MATCH(VLOOKUP(N$37,$BH$3:$BI$50,2,FALSE),$I$4:$AJ$4,0),FALSE),BoundParameters_HiddenSheetCLAY!$B$1:$E$1,0),FALSE),IF(VLOOKUP($E57,'Table Output'!$A$2:$E$99999,5,FALSE)="Clay",VLOOKUP(N$37,BoundParameters_HiddenSheetCLAY!$B$3:$E$50,MATCH(VLOOKUP($I57,$I$5:$AJ$35,MATCH(VLOOKUP(N$37,$BH$3:$BI$50,2,FALSE),$I$4:$AJ$4,0),FALSE),BoundParameters_HiddenSheetCLAY!$B$1:$E$1,0),FALSE))),'Control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Output'!$A$2:$E$99999,5,FALSE)="Sand",VLOOKUP(O$37,BoundParameters_HiddenSheetSAND!$B$3:$E$50,MATCH(VLOOKUP($I57,$I$5:$AJ$29,MATCH(VLOOKUP(O$37,$BH$3:$BI$50,2,FALSE),$I$4:$AJ$4,0),FALSE),BoundParameters_HiddenSheetCLAY!$B$1:$E$1,0),FALSE),IF(VLOOKUP($E57,'Table Output'!$A$2:$E$99999,5,FALSE)="Clay",VLOOKUP(O$37,BoundParameters_HiddenSheetCLAY!$B$3:$E$50,MATCH(VLOOKUP($I57,$I$5:$AJ$35,MATCH(VLOOKUP(O$37,$BH$3:$BI$50,2,FALSE),$I$4:$AJ$4,0),FALSE),BoundParameters_HiddenSheetCLAY!$B$1:$E$1,0),FALSE))),'Control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Output'!$A$2:$E$99999,5,FALSE)="Sand",VLOOKUP(P$37,BoundParameters_HiddenSheetSAND!$B$3:$E$50,MATCH(VLOOKUP($I57,$I$5:$AJ$29,MATCH(VLOOKUP(P$37,$BH$3:$BI$50,2,FALSE),$I$4:$AJ$4,0),FALSE),BoundParameters_HiddenSheetCLAY!$B$1:$E$1,0),FALSE),IF(VLOOKUP($E57,'Table Output'!$A$2:$E$99999,5,FALSE)="Clay",VLOOKUP(P$37,BoundParameters_HiddenSheetCLAY!$B$3:$E$50,MATCH(VLOOKUP($I57,$I$5:$AJ$35,MATCH(VLOOKUP(P$37,$BH$3:$BI$50,2,FALSE),$I$4:$AJ$4,0),FALSE),BoundParameters_HiddenSheetCLAY!$B$1:$E$1,0),FALSE))),'Control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Output'!$A$2:$E$99999,5,FALSE)="Sand",VLOOKUP(Q$37,BoundParameters_HiddenSheetSAND!$B$3:$E$50,MATCH(VLOOKUP($I57,$I$5:$AJ$29,MATCH(VLOOKUP(Q$37,$BH$3:$BI$50,2,FALSE),$I$4:$AJ$4,0),FALSE),BoundParameters_HiddenSheetCLAY!$B$1:$E$1,0),FALSE),IF(VLOOKUP($E57,'Table Output'!$A$2:$E$99999,5,FALSE)="Clay",VLOOKUP(Q$37,BoundParameters_HiddenSheetCLAY!$B$3:$E$50,MATCH(VLOOKUP($I57,$I$5:$AJ$35,MATCH(VLOOKUP(Q$37,$BH$3:$BI$50,2,FALSE),$I$4:$AJ$4,0),FALSE),BoundParameters_HiddenSheetCLAY!$B$1:$E$1,0),FALSE))),'Control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Output'!$A$2:$E$99999,5,FALSE)="Sand",VLOOKUP(R$37,BoundParameters_HiddenSheetSAND!$B$3:$E$50,MATCH(VLOOKUP($I57,$I$5:$AJ$29,MATCH(VLOOKUP(R$37,$BH$3:$BI$50,2,FALSE),$I$4:$AJ$4,0),FALSE),BoundParameters_HiddenSheetCLAY!$B$1:$E$1,0),FALSE),IF(VLOOKUP($E57,'Table Output'!$A$2:$E$99999,5,FALSE)="Clay",VLOOKUP(R$37,BoundParameters_HiddenSheetCLAY!$B$3:$E$50,MATCH(VLOOKUP($I57,$I$5:$AJ$35,MATCH(VLOOKUP(R$37,$BH$3:$BI$50,2,FALSE),$I$4:$AJ$4,0),FALSE),BoundParameters_HiddenSheetCLAY!$B$1:$E$1,0),FALSE))),'Control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Output'!$A$2:$E$99999,5,FALSE)="Sand",VLOOKUP(S$37,BoundParameters_HiddenSheetSAND!$B$3:$E$50,MATCH(VLOOKUP($I57,$I$5:$AJ$29,MATCH(VLOOKUP(S$37,$BH$3:$BI$50,2,FALSE),$I$4:$AJ$4,0),FALSE),BoundParameters_HiddenSheetCLAY!$B$1:$E$1,0),FALSE),IF(VLOOKUP($E57,'Table Output'!$A$2:$E$99999,5,FALSE)="Clay",VLOOKUP(S$37,BoundParameters_HiddenSheetCLAY!$B$3:$E$50,MATCH(VLOOKUP($I57,$I$5:$AJ$35,MATCH(VLOOKUP(S$37,$BH$3:$BI$50,2,FALSE),$I$4:$AJ$4,0),FALSE),BoundParameters_HiddenSheetCLAY!$B$1:$E$1,0),FALSE))),'Control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Output'!$A$2:$E$99999,5,FALSE)="Sand",VLOOKUP(J$37,BoundParameters_HiddenSheetSAND!$B$3:$E$50,MATCH(VLOOKUP($I58,$I$5:$AJ$29,MATCH(VLOOKUP(J$37,$BH$3:$BI$50,2,FALSE),$I$4:$AJ$4,0),FALSE),BoundParameters_HiddenSheetCLAY!$B$1:$E$1,0),FALSE),IF(VLOOKUP($E58,'Table Output'!$A$2:$E$99999,5,FALSE)="Clay",VLOOKUP(J$37,BoundParameters_HiddenSheetCLAY!$B$3:$E$50,MATCH(VLOOKUP($I58,$I$5:$AJ$35,MATCH(VLOOKUP(J$37,$BH$3:$BI$50,2,FALSE),$I$4:$AJ$4,0),FALSE),BoundParameters_HiddenSheetCLAY!$B$1:$E$1,0),FALSE))),'Control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Output'!$A$2:$E$99999,5,FALSE)="Sand",VLOOKUP(K$37,BoundParameters_HiddenSheetSAND!$B$3:$E$50,MATCH(VLOOKUP($I58,$I$5:$AJ$29,MATCH(VLOOKUP(K$37,$BH$3:$BI$50,2,FALSE),$I$4:$AJ$4,0),FALSE),BoundParameters_HiddenSheetCLAY!$B$1:$E$1,0),FALSE),IF(VLOOKUP($E58,'Table Output'!$A$2:$E$99999,5,FALSE)="Clay",VLOOKUP(K$37,BoundParameters_HiddenSheetCLAY!$B$3:$E$50,MATCH(VLOOKUP($I58,$I$5:$AJ$35,MATCH(VLOOKUP(K$37,$BH$3:$BI$50,2,FALSE),$I$4:$AJ$4,0),FALSE),BoundParameters_HiddenSheetCLAY!$B$1:$E$1,0),FALSE))),'Control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Output'!$A$2:$E$99999,5,FALSE)="Sand",VLOOKUP(L$37,BoundParameters_HiddenSheetSAND!$B$3:$E$50,MATCH(VLOOKUP($I58,$I$5:$AJ$29,MATCH(VLOOKUP(L$37,$BH$3:$BI$50,2,FALSE),$I$4:$AJ$4,0),FALSE),BoundParameters_HiddenSheetCLAY!$B$1:$E$1,0),FALSE),IF(VLOOKUP($E58,'Table Output'!$A$2:$E$99999,5,FALSE)="Clay",VLOOKUP(L$37,BoundParameters_HiddenSheetCLAY!$B$3:$E$50,MATCH(VLOOKUP($I58,$I$5:$AJ$35,MATCH(VLOOKUP(L$37,$BH$3:$BI$50,2,FALSE),$I$4:$AJ$4,0),FALSE),BoundParameters_HiddenSheetCLAY!$B$1:$E$1,0),FALSE))),'Control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Output'!$A$2:$E$99999,5,FALSE)="Sand",VLOOKUP(M$37,BoundParameters_HiddenSheetSAND!$B$3:$E$50,MATCH(VLOOKUP($I58,$I$5:$AJ$29,MATCH(VLOOKUP(M$37,$BH$3:$BI$50,2,FALSE),$I$4:$AJ$4,0),FALSE),BoundParameters_HiddenSheetCLAY!$B$1:$E$1,0),FALSE),IF(VLOOKUP($E58,'Table Output'!$A$2:$E$99999,5,FALSE)="Clay",VLOOKUP(M$37,BoundParameters_HiddenSheetCLAY!$B$3:$E$50,MATCH(VLOOKUP($I58,$I$5:$AJ$35,MATCH(VLOOKUP(M$37,$BH$3:$BI$50,2,FALSE),$I$4:$AJ$4,0),FALSE),BoundParameters_HiddenSheetCLAY!$B$1:$E$1,0),FALSE))),'Control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Output'!$A$2:$E$99999,5,FALSE)="Sand",VLOOKUP(N$37,BoundParameters_HiddenSheetSAND!$B$3:$E$50,MATCH(VLOOKUP($I58,$I$5:$AJ$29,MATCH(VLOOKUP(N$37,$BH$3:$BI$50,2,FALSE),$I$4:$AJ$4,0),FALSE),BoundParameters_HiddenSheetCLAY!$B$1:$E$1,0),FALSE),IF(VLOOKUP($E58,'Table Output'!$A$2:$E$99999,5,FALSE)="Clay",VLOOKUP(N$37,BoundParameters_HiddenSheetCLAY!$B$3:$E$50,MATCH(VLOOKUP($I58,$I$5:$AJ$35,MATCH(VLOOKUP(N$37,$BH$3:$BI$50,2,FALSE),$I$4:$AJ$4,0),FALSE),BoundParameters_HiddenSheetCLAY!$B$1:$E$1,0),FALSE))),'Control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Output'!$A$2:$E$99999,5,FALSE)="Sand",VLOOKUP(O$37,BoundParameters_HiddenSheetSAND!$B$3:$E$50,MATCH(VLOOKUP($I58,$I$5:$AJ$29,MATCH(VLOOKUP(O$37,$BH$3:$BI$50,2,FALSE),$I$4:$AJ$4,0),FALSE),BoundParameters_HiddenSheetCLAY!$B$1:$E$1,0),FALSE),IF(VLOOKUP($E58,'Table Output'!$A$2:$E$99999,5,FALSE)="Clay",VLOOKUP(O$37,BoundParameters_HiddenSheetCLAY!$B$3:$E$50,MATCH(VLOOKUP($I58,$I$5:$AJ$35,MATCH(VLOOKUP(O$37,$BH$3:$BI$50,2,FALSE),$I$4:$AJ$4,0),FALSE),BoundParameters_HiddenSheetCLAY!$B$1:$E$1,0),FALSE))),'Control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Output'!$A$2:$E$99999,5,FALSE)="Sand",VLOOKUP(P$37,BoundParameters_HiddenSheetSAND!$B$3:$E$50,MATCH(VLOOKUP($I58,$I$5:$AJ$29,MATCH(VLOOKUP(P$37,$BH$3:$BI$50,2,FALSE),$I$4:$AJ$4,0),FALSE),BoundParameters_HiddenSheetCLAY!$B$1:$E$1,0),FALSE),IF(VLOOKUP($E58,'Table Output'!$A$2:$E$99999,5,FALSE)="Clay",VLOOKUP(P$37,BoundParameters_HiddenSheetCLAY!$B$3:$E$50,MATCH(VLOOKUP($I58,$I$5:$AJ$35,MATCH(VLOOKUP(P$37,$BH$3:$BI$50,2,FALSE),$I$4:$AJ$4,0),FALSE),BoundParameters_HiddenSheetCLAY!$B$1:$E$1,0),FALSE))),'Control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Output'!$A$2:$E$99999,5,FALSE)="Sand",VLOOKUP(Q$37,BoundParameters_HiddenSheetSAND!$B$3:$E$50,MATCH(VLOOKUP($I58,$I$5:$AJ$29,MATCH(VLOOKUP(Q$37,$BH$3:$BI$50,2,FALSE),$I$4:$AJ$4,0),FALSE),BoundParameters_HiddenSheetCLAY!$B$1:$E$1,0),FALSE),IF(VLOOKUP($E58,'Table Output'!$A$2:$E$99999,5,FALSE)="Clay",VLOOKUP(Q$37,BoundParameters_HiddenSheetCLAY!$B$3:$E$50,MATCH(VLOOKUP($I58,$I$5:$AJ$35,MATCH(VLOOKUP(Q$37,$BH$3:$BI$50,2,FALSE),$I$4:$AJ$4,0),FALSE),BoundParameters_HiddenSheetCLAY!$B$1:$E$1,0),FALSE))),'Control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Output'!$A$2:$E$99999,5,FALSE)="Sand",VLOOKUP(R$37,BoundParameters_HiddenSheetSAND!$B$3:$E$50,MATCH(VLOOKUP($I58,$I$5:$AJ$29,MATCH(VLOOKUP(R$37,$BH$3:$BI$50,2,FALSE),$I$4:$AJ$4,0),FALSE),BoundParameters_HiddenSheetCLAY!$B$1:$E$1,0),FALSE),IF(VLOOKUP($E58,'Table Output'!$A$2:$E$99999,5,FALSE)="Clay",VLOOKUP(R$37,BoundParameters_HiddenSheetCLAY!$B$3:$E$50,MATCH(VLOOKUP($I58,$I$5:$AJ$35,MATCH(VLOOKUP(R$37,$BH$3:$BI$50,2,FALSE),$I$4:$AJ$4,0),FALSE),BoundParameters_HiddenSheetCLAY!$B$1:$E$1,0),FALSE))),'Control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Output'!$A$2:$E$99999,5,FALSE)="Sand",VLOOKUP(S$37,BoundParameters_HiddenSheetSAND!$B$3:$E$50,MATCH(VLOOKUP($I58,$I$5:$AJ$29,MATCH(VLOOKUP(S$37,$BH$3:$BI$50,2,FALSE),$I$4:$AJ$4,0),FALSE),BoundParameters_HiddenSheetCLAY!$B$1:$E$1,0),FALSE),IF(VLOOKUP($E58,'Table Output'!$A$2:$E$99999,5,FALSE)="Clay",VLOOKUP(S$37,BoundParameters_HiddenSheetCLAY!$B$3:$E$50,MATCH(VLOOKUP($I58,$I$5:$AJ$35,MATCH(VLOOKUP(S$37,$BH$3:$BI$50,2,FALSE),$I$4:$AJ$4,0),FALSE),BoundParameters_HiddenSheetCLAY!$B$1:$E$1,0),FALSE))),'Control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Output'!$A$2:$E$99999,5,FALSE)="Sand",VLOOKUP(J$37,BoundParameters_HiddenSheetSAND!$B$3:$E$50,MATCH(VLOOKUP($I59,$I$5:$AJ$29,MATCH(VLOOKUP(J$37,$BH$3:$BI$50,2,FALSE),$I$4:$AJ$4,0),FALSE),BoundParameters_HiddenSheetCLAY!$B$1:$E$1,0),FALSE),IF(VLOOKUP($E59,'Table Output'!$A$2:$E$99999,5,FALSE)="Clay",VLOOKUP(J$37,BoundParameters_HiddenSheetCLAY!$B$3:$E$50,MATCH(VLOOKUP($I59,$I$5:$AJ$35,MATCH(VLOOKUP(J$37,$BH$3:$BI$50,2,FALSE),$I$4:$AJ$4,0),FALSE),BoundParameters_HiddenSheetCLAY!$B$1:$E$1,0),FALSE))),'Control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Output'!$A$2:$E$99999,5,FALSE)="Sand",VLOOKUP(K$37,BoundParameters_HiddenSheetSAND!$B$3:$E$50,MATCH(VLOOKUP($I59,$I$5:$AJ$29,MATCH(VLOOKUP(K$37,$BH$3:$BI$50,2,FALSE),$I$4:$AJ$4,0),FALSE),BoundParameters_HiddenSheetCLAY!$B$1:$E$1,0),FALSE),IF(VLOOKUP($E59,'Table Output'!$A$2:$E$99999,5,FALSE)="Clay",VLOOKUP(K$37,BoundParameters_HiddenSheetCLAY!$B$3:$E$50,MATCH(VLOOKUP($I59,$I$5:$AJ$35,MATCH(VLOOKUP(K$37,$BH$3:$BI$50,2,FALSE),$I$4:$AJ$4,0),FALSE),BoundParameters_HiddenSheetCLAY!$B$1:$E$1,0),FALSE))),'Control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Output'!$A$2:$E$99999,5,FALSE)="Sand",VLOOKUP(L$37,BoundParameters_HiddenSheetSAND!$B$3:$E$50,MATCH(VLOOKUP($I59,$I$5:$AJ$29,MATCH(VLOOKUP(L$37,$BH$3:$BI$50,2,FALSE),$I$4:$AJ$4,0),FALSE),BoundParameters_HiddenSheetCLAY!$B$1:$E$1,0),FALSE),IF(VLOOKUP($E59,'Table Output'!$A$2:$E$99999,5,FALSE)="Clay",VLOOKUP(L$37,BoundParameters_HiddenSheetCLAY!$B$3:$E$50,MATCH(VLOOKUP($I59,$I$5:$AJ$35,MATCH(VLOOKUP(L$37,$BH$3:$BI$50,2,FALSE),$I$4:$AJ$4,0),FALSE),BoundParameters_HiddenSheetCLAY!$B$1:$E$1,0),FALSE))),'Control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Output'!$A$2:$E$99999,5,FALSE)="Sand",VLOOKUP(M$37,BoundParameters_HiddenSheetSAND!$B$3:$E$50,MATCH(VLOOKUP($I59,$I$5:$AJ$29,MATCH(VLOOKUP(M$37,$BH$3:$BI$50,2,FALSE),$I$4:$AJ$4,0),FALSE),BoundParameters_HiddenSheetCLAY!$B$1:$E$1,0),FALSE),IF(VLOOKUP($E59,'Table Output'!$A$2:$E$99999,5,FALSE)="Clay",VLOOKUP(M$37,BoundParameters_HiddenSheetCLAY!$B$3:$E$50,MATCH(VLOOKUP($I59,$I$5:$AJ$35,MATCH(VLOOKUP(M$37,$BH$3:$BI$50,2,FALSE),$I$4:$AJ$4,0),FALSE),BoundParameters_HiddenSheetCLAY!$B$1:$E$1,0),FALSE))),'Control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Output'!$A$2:$E$99999,5,FALSE)="Sand",VLOOKUP(N$37,BoundParameters_HiddenSheetSAND!$B$3:$E$50,MATCH(VLOOKUP($I59,$I$5:$AJ$29,MATCH(VLOOKUP(N$37,$BH$3:$BI$50,2,FALSE),$I$4:$AJ$4,0),FALSE),BoundParameters_HiddenSheetCLAY!$B$1:$E$1,0),FALSE),IF(VLOOKUP($E59,'Table Output'!$A$2:$E$99999,5,FALSE)="Clay",VLOOKUP(N$37,BoundParameters_HiddenSheetCLAY!$B$3:$E$50,MATCH(VLOOKUP($I59,$I$5:$AJ$35,MATCH(VLOOKUP(N$37,$BH$3:$BI$50,2,FALSE),$I$4:$AJ$4,0),FALSE),BoundParameters_HiddenSheetCLAY!$B$1:$E$1,0),FALSE))),'Control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Output'!$A$2:$E$99999,5,FALSE)="Sand",VLOOKUP(O$37,BoundParameters_HiddenSheetSAND!$B$3:$E$50,MATCH(VLOOKUP($I59,$I$5:$AJ$29,MATCH(VLOOKUP(O$37,$BH$3:$BI$50,2,FALSE),$I$4:$AJ$4,0),FALSE),BoundParameters_HiddenSheetCLAY!$B$1:$E$1,0),FALSE),IF(VLOOKUP($E59,'Table Output'!$A$2:$E$99999,5,FALSE)="Clay",VLOOKUP(O$37,BoundParameters_HiddenSheetCLAY!$B$3:$E$50,MATCH(VLOOKUP($I59,$I$5:$AJ$35,MATCH(VLOOKUP(O$37,$BH$3:$BI$50,2,FALSE),$I$4:$AJ$4,0),FALSE),BoundParameters_HiddenSheetCLAY!$B$1:$E$1,0),FALSE))),'Control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Output'!$A$2:$E$99999,5,FALSE)="Sand",VLOOKUP(P$37,BoundParameters_HiddenSheetSAND!$B$3:$E$50,MATCH(VLOOKUP($I59,$I$5:$AJ$29,MATCH(VLOOKUP(P$37,$BH$3:$BI$50,2,FALSE),$I$4:$AJ$4,0),FALSE),BoundParameters_HiddenSheetCLAY!$B$1:$E$1,0),FALSE),IF(VLOOKUP($E59,'Table Output'!$A$2:$E$99999,5,FALSE)="Clay",VLOOKUP(P$37,BoundParameters_HiddenSheetCLAY!$B$3:$E$50,MATCH(VLOOKUP($I59,$I$5:$AJ$35,MATCH(VLOOKUP(P$37,$BH$3:$BI$50,2,FALSE),$I$4:$AJ$4,0),FALSE),BoundParameters_HiddenSheetCLAY!$B$1:$E$1,0),FALSE))),'Control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Output'!$A$2:$E$99999,5,FALSE)="Sand",VLOOKUP(Q$37,BoundParameters_HiddenSheetSAND!$B$3:$E$50,MATCH(VLOOKUP($I59,$I$5:$AJ$29,MATCH(VLOOKUP(Q$37,$BH$3:$BI$50,2,FALSE),$I$4:$AJ$4,0),FALSE),BoundParameters_HiddenSheetCLAY!$B$1:$E$1,0),FALSE),IF(VLOOKUP($E59,'Table Output'!$A$2:$E$99999,5,FALSE)="Clay",VLOOKUP(Q$37,BoundParameters_HiddenSheetCLAY!$B$3:$E$50,MATCH(VLOOKUP($I59,$I$5:$AJ$35,MATCH(VLOOKUP(Q$37,$BH$3:$BI$50,2,FALSE),$I$4:$AJ$4,0),FALSE),BoundParameters_HiddenSheetCLAY!$B$1:$E$1,0),FALSE))),'Control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Output'!$A$2:$E$99999,5,FALSE)="Sand",VLOOKUP(R$37,BoundParameters_HiddenSheetSAND!$B$3:$E$50,MATCH(VLOOKUP($I59,$I$5:$AJ$29,MATCH(VLOOKUP(R$37,$BH$3:$BI$50,2,FALSE),$I$4:$AJ$4,0),FALSE),BoundParameters_HiddenSheetCLAY!$B$1:$E$1,0),FALSE),IF(VLOOKUP($E59,'Table Output'!$A$2:$E$99999,5,FALSE)="Clay",VLOOKUP(R$37,BoundParameters_HiddenSheetCLAY!$B$3:$E$50,MATCH(VLOOKUP($I59,$I$5:$AJ$35,MATCH(VLOOKUP(R$37,$BH$3:$BI$50,2,FALSE),$I$4:$AJ$4,0),FALSE),BoundParameters_HiddenSheetCLAY!$B$1:$E$1,0),FALSE))),'Control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Output'!$A$2:$E$99999,5,FALSE)="Sand",VLOOKUP(S$37,BoundParameters_HiddenSheetSAND!$B$3:$E$50,MATCH(VLOOKUP($I59,$I$5:$AJ$29,MATCH(VLOOKUP(S$37,$BH$3:$BI$50,2,FALSE),$I$4:$AJ$4,0),FALSE),BoundParameters_HiddenSheetCLAY!$B$1:$E$1,0),FALSE),IF(VLOOKUP($E59,'Table Output'!$A$2:$E$99999,5,FALSE)="Clay",VLOOKUP(S$37,BoundParameters_HiddenSheetCLAY!$B$3:$E$50,MATCH(VLOOKUP($I59,$I$5:$AJ$35,MATCH(VLOOKUP(S$37,$BH$3:$BI$50,2,FALSE),$I$4:$AJ$4,0),FALSE),BoundParameters_HiddenSheetCLAY!$B$1:$E$1,0),FALSE))),'Control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Output'!$A$2:$E$99999,5,FALSE)="Sand",VLOOKUP(J$37,BoundParameters_HiddenSheetSAND!$B$3:$E$50,MATCH(VLOOKUP($I60,$I$5:$AJ$29,MATCH(VLOOKUP(J$37,$BH$3:$BI$50,2,FALSE),$I$4:$AJ$4,0),FALSE),BoundParameters_HiddenSheetCLAY!$B$1:$E$1,0),FALSE),IF(VLOOKUP($E60,'Table Output'!$A$2:$E$99999,5,FALSE)="Clay",VLOOKUP(J$37,BoundParameters_HiddenSheetCLAY!$B$3:$E$50,MATCH(VLOOKUP($I60,$I$5:$AJ$35,MATCH(VLOOKUP(J$37,$BH$3:$BI$50,2,FALSE),$I$4:$AJ$4,0),FALSE),BoundParameters_HiddenSheetCLAY!$B$1:$E$1,0),FALSE))),'Control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Output'!$A$2:$E$99999,5,FALSE)="Sand",VLOOKUP(K$37,BoundParameters_HiddenSheetSAND!$B$3:$E$50,MATCH(VLOOKUP($I60,$I$5:$AJ$29,MATCH(VLOOKUP(K$37,$BH$3:$BI$50,2,FALSE),$I$4:$AJ$4,0),FALSE),BoundParameters_HiddenSheetCLAY!$B$1:$E$1,0),FALSE),IF(VLOOKUP($E60,'Table Output'!$A$2:$E$99999,5,FALSE)="Clay",VLOOKUP(K$37,BoundParameters_HiddenSheetCLAY!$B$3:$E$50,MATCH(VLOOKUP($I60,$I$5:$AJ$35,MATCH(VLOOKUP(K$37,$BH$3:$BI$50,2,FALSE),$I$4:$AJ$4,0),FALSE),BoundParameters_HiddenSheetCLAY!$B$1:$E$1,0),FALSE))),'Control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Output'!$A$2:$E$99999,5,FALSE)="Sand",VLOOKUP(L$37,BoundParameters_HiddenSheetSAND!$B$3:$E$50,MATCH(VLOOKUP($I60,$I$5:$AJ$29,MATCH(VLOOKUP(L$37,$BH$3:$BI$50,2,FALSE),$I$4:$AJ$4,0),FALSE),BoundParameters_HiddenSheetCLAY!$B$1:$E$1,0),FALSE),IF(VLOOKUP($E60,'Table Output'!$A$2:$E$99999,5,FALSE)="Clay",VLOOKUP(L$37,BoundParameters_HiddenSheetCLAY!$B$3:$E$50,MATCH(VLOOKUP($I60,$I$5:$AJ$35,MATCH(VLOOKUP(L$37,$BH$3:$BI$50,2,FALSE),$I$4:$AJ$4,0),FALSE),BoundParameters_HiddenSheetCLAY!$B$1:$E$1,0),FALSE))),'Control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Output'!$A$2:$E$99999,5,FALSE)="Sand",VLOOKUP(M$37,BoundParameters_HiddenSheetSAND!$B$3:$E$50,MATCH(VLOOKUP($I60,$I$5:$AJ$29,MATCH(VLOOKUP(M$37,$BH$3:$BI$50,2,FALSE),$I$4:$AJ$4,0),FALSE),BoundParameters_HiddenSheetCLAY!$B$1:$E$1,0),FALSE),IF(VLOOKUP($E60,'Table Output'!$A$2:$E$99999,5,FALSE)="Clay",VLOOKUP(M$37,BoundParameters_HiddenSheetCLAY!$B$3:$E$50,MATCH(VLOOKUP($I60,$I$5:$AJ$35,MATCH(VLOOKUP(M$37,$BH$3:$BI$50,2,FALSE),$I$4:$AJ$4,0),FALSE),BoundParameters_HiddenSheetCLAY!$B$1:$E$1,0),FALSE))),'Control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Output'!$A$2:$E$99999,5,FALSE)="Sand",VLOOKUP(N$37,BoundParameters_HiddenSheetSAND!$B$3:$E$50,MATCH(VLOOKUP($I60,$I$5:$AJ$29,MATCH(VLOOKUP(N$37,$BH$3:$BI$50,2,FALSE),$I$4:$AJ$4,0),FALSE),BoundParameters_HiddenSheetCLAY!$B$1:$E$1,0),FALSE),IF(VLOOKUP($E60,'Table Output'!$A$2:$E$99999,5,FALSE)="Clay",VLOOKUP(N$37,BoundParameters_HiddenSheetCLAY!$B$3:$E$50,MATCH(VLOOKUP($I60,$I$5:$AJ$35,MATCH(VLOOKUP(N$37,$BH$3:$BI$50,2,FALSE),$I$4:$AJ$4,0),FALSE),BoundParameters_HiddenSheetCLAY!$B$1:$E$1,0),FALSE))),'Control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Output'!$A$2:$E$99999,5,FALSE)="Sand",VLOOKUP(O$37,BoundParameters_HiddenSheetSAND!$B$3:$E$50,MATCH(VLOOKUP($I60,$I$5:$AJ$29,MATCH(VLOOKUP(O$37,$BH$3:$BI$50,2,FALSE),$I$4:$AJ$4,0),FALSE),BoundParameters_HiddenSheetCLAY!$B$1:$E$1,0),FALSE),IF(VLOOKUP($E60,'Table Output'!$A$2:$E$99999,5,FALSE)="Clay",VLOOKUP(O$37,BoundParameters_HiddenSheetCLAY!$B$3:$E$50,MATCH(VLOOKUP($I60,$I$5:$AJ$35,MATCH(VLOOKUP(O$37,$BH$3:$BI$50,2,FALSE),$I$4:$AJ$4,0),FALSE),BoundParameters_HiddenSheetCLAY!$B$1:$E$1,0),FALSE))),'Control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Output'!$A$2:$E$99999,5,FALSE)="Sand",VLOOKUP(P$37,BoundParameters_HiddenSheetSAND!$B$3:$E$50,MATCH(VLOOKUP($I60,$I$5:$AJ$29,MATCH(VLOOKUP(P$37,$BH$3:$BI$50,2,FALSE),$I$4:$AJ$4,0),FALSE),BoundParameters_HiddenSheetCLAY!$B$1:$E$1,0),FALSE),IF(VLOOKUP($E60,'Table Output'!$A$2:$E$99999,5,FALSE)="Clay",VLOOKUP(P$37,BoundParameters_HiddenSheetCLAY!$B$3:$E$50,MATCH(VLOOKUP($I60,$I$5:$AJ$35,MATCH(VLOOKUP(P$37,$BH$3:$BI$50,2,FALSE),$I$4:$AJ$4,0),FALSE),BoundParameters_HiddenSheetCLAY!$B$1:$E$1,0),FALSE))),'Control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Output'!$A$2:$E$99999,5,FALSE)="Sand",VLOOKUP(Q$37,BoundParameters_HiddenSheetSAND!$B$3:$E$50,MATCH(VLOOKUP($I60,$I$5:$AJ$29,MATCH(VLOOKUP(Q$37,$BH$3:$BI$50,2,FALSE),$I$4:$AJ$4,0),FALSE),BoundParameters_HiddenSheetCLAY!$B$1:$E$1,0),FALSE),IF(VLOOKUP($E60,'Table Output'!$A$2:$E$99999,5,FALSE)="Clay",VLOOKUP(Q$37,BoundParameters_HiddenSheetCLAY!$B$3:$E$50,MATCH(VLOOKUP($I60,$I$5:$AJ$35,MATCH(VLOOKUP(Q$37,$BH$3:$BI$50,2,FALSE),$I$4:$AJ$4,0),FALSE),BoundParameters_HiddenSheetCLAY!$B$1:$E$1,0),FALSE))),'Control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Output'!$A$2:$E$99999,5,FALSE)="Sand",VLOOKUP(R$37,BoundParameters_HiddenSheetSAND!$B$3:$E$50,MATCH(VLOOKUP($I60,$I$5:$AJ$29,MATCH(VLOOKUP(R$37,$BH$3:$BI$50,2,FALSE),$I$4:$AJ$4,0),FALSE),BoundParameters_HiddenSheetCLAY!$B$1:$E$1,0),FALSE),IF(VLOOKUP($E60,'Table Output'!$A$2:$E$99999,5,FALSE)="Clay",VLOOKUP(R$37,BoundParameters_HiddenSheetCLAY!$B$3:$E$50,MATCH(VLOOKUP($I60,$I$5:$AJ$35,MATCH(VLOOKUP(R$37,$BH$3:$BI$50,2,FALSE),$I$4:$AJ$4,0),FALSE),BoundParameters_HiddenSheetCLAY!$B$1:$E$1,0),FALSE))),'Control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Output'!$A$2:$E$99999,5,FALSE)="Sand",VLOOKUP(S$37,BoundParameters_HiddenSheetSAND!$B$3:$E$50,MATCH(VLOOKUP($I60,$I$5:$AJ$29,MATCH(VLOOKUP(S$37,$BH$3:$BI$50,2,FALSE),$I$4:$AJ$4,0),FALSE),BoundParameters_HiddenSheetCLAY!$B$1:$E$1,0),FALSE),IF(VLOOKUP($E60,'Table Output'!$A$2:$E$99999,5,FALSE)="Clay",VLOOKUP(S$37,BoundParameters_HiddenSheetCLAY!$B$3:$E$50,MATCH(VLOOKUP($I60,$I$5:$AJ$35,MATCH(VLOOKUP(S$37,$BH$3:$BI$50,2,FALSE),$I$4:$AJ$4,0),FALSE),BoundParameters_HiddenSheetCLAY!$B$1:$E$1,0),FALSE))),'Control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Output'!$A$2:$E$99999,5,FALSE)="Sand",VLOOKUP(J$37,BoundParameters_HiddenSheetSAND!$B$3:$E$50,MATCH(VLOOKUP($I61,$I$5:$AJ$29,MATCH(VLOOKUP(J$37,$BH$3:$BI$50,2,FALSE),$I$4:$AJ$4,0),FALSE),BoundParameters_HiddenSheetCLAY!$B$1:$E$1,0),FALSE),IF(VLOOKUP($E61,'Table Output'!$A$2:$E$99999,5,FALSE)="Clay",VLOOKUP(J$37,BoundParameters_HiddenSheetCLAY!$B$3:$E$50,MATCH(VLOOKUP($I61,$I$5:$AJ$35,MATCH(VLOOKUP(J$37,$BH$3:$BI$50,2,FALSE),$I$4:$AJ$4,0),FALSE),BoundParameters_HiddenSheetCLAY!$B$1:$E$1,0),FALSE))),'Control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Output'!$A$2:$E$99999,5,FALSE)="Sand",VLOOKUP(K$37,BoundParameters_HiddenSheetSAND!$B$3:$E$50,MATCH(VLOOKUP($I61,$I$5:$AJ$29,MATCH(VLOOKUP(K$37,$BH$3:$BI$50,2,FALSE),$I$4:$AJ$4,0),FALSE),BoundParameters_HiddenSheetCLAY!$B$1:$E$1,0),FALSE),IF(VLOOKUP($E61,'Table Output'!$A$2:$E$99999,5,FALSE)="Clay",VLOOKUP(K$37,BoundParameters_HiddenSheetCLAY!$B$3:$E$50,MATCH(VLOOKUP($I61,$I$5:$AJ$35,MATCH(VLOOKUP(K$37,$BH$3:$BI$50,2,FALSE),$I$4:$AJ$4,0),FALSE),BoundParameters_HiddenSheetCLAY!$B$1:$E$1,0),FALSE))),'Control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Output'!$A$2:$E$99999,5,FALSE)="Sand",VLOOKUP(L$37,BoundParameters_HiddenSheetSAND!$B$3:$E$50,MATCH(VLOOKUP($I61,$I$5:$AJ$29,MATCH(VLOOKUP(L$37,$BH$3:$BI$50,2,FALSE),$I$4:$AJ$4,0),FALSE),BoundParameters_HiddenSheetCLAY!$B$1:$E$1,0),FALSE),IF(VLOOKUP($E61,'Table Output'!$A$2:$E$99999,5,FALSE)="Clay",VLOOKUP(L$37,BoundParameters_HiddenSheetCLAY!$B$3:$E$50,MATCH(VLOOKUP($I61,$I$5:$AJ$35,MATCH(VLOOKUP(L$37,$BH$3:$BI$50,2,FALSE),$I$4:$AJ$4,0),FALSE),BoundParameters_HiddenSheetCLAY!$B$1:$E$1,0),FALSE))),'Control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Output'!$A$2:$E$99999,5,FALSE)="Sand",VLOOKUP(M$37,BoundParameters_HiddenSheetSAND!$B$3:$E$50,MATCH(VLOOKUP($I61,$I$5:$AJ$29,MATCH(VLOOKUP(M$37,$BH$3:$BI$50,2,FALSE),$I$4:$AJ$4,0),FALSE),BoundParameters_HiddenSheetCLAY!$B$1:$E$1,0),FALSE),IF(VLOOKUP($E61,'Table Output'!$A$2:$E$99999,5,FALSE)="Clay",VLOOKUP(M$37,BoundParameters_HiddenSheetCLAY!$B$3:$E$50,MATCH(VLOOKUP($I61,$I$5:$AJ$35,MATCH(VLOOKUP(M$37,$BH$3:$BI$50,2,FALSE),$I$4:$AJ$4,0),FALSE),BoundParameters_HiddenSheetCLAY!$B$1:$E$1,0),FALSE))),'Control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Output'!$A$2:$E$99999,5,FALSE)="Sand",VLOOKUP(N$37,BoundParameters_HiddenSheetSAND!$B$3:$E$50,MATCH(VLOOKUP($I61,$I$5:$AJ$29,MATCH(VLOOKUP(N$37,$BH$3:$BI$50,2,FALSE),$I$4:$AJ$4,0),FALSE),BoundParameters_HiddenSheetCLAY!$B$1:$E$1,0),FALSE),IF(VLOOKUP($E61,'Table Output'!$A$2:$E$99999,5,FALSE)="Clay",VLOOKUP(N$37,BoundParameters_HiddenSheetCLAY!$B$3:$E$50,MATCH(VLOOKUP($I61,$I$5:$AJ$35,MATCH(VLOOKUP(N$37,$BH$3:$BI$50,2,FALSE),$I$4:$AJ$4,0),FALSE),BoundParameters_HiddenSheetCLAY!$B$1:$E$1,0),FALSE))),'Control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Output'!$A$2:$E$99999,5,FALSE)="Sand",VLOOKUP(O$37,BoundParameters_HiddenSheetSAND!$B$3:$E$50,MATCH(VLOOKUP($I61,$I$5:$AJ$29,MATCH(VLOOKUP(O$37,$BH$3:$BI$50,2,FALSE),$I$4:$AJ$4,0),FALSE),BoundParameters_HiddenSheetCLAY!$B$1:$E$1,0),FALSE),IF(VLOOKUP($E61,'Table Output'!$A$2:$E$99999,5,FALSE)="Clay",VLOOKUP(O$37,BoundParameters_HiddenSheetCLAY!$B$3:$E$50,MATCH(VLOOKUP($I61,$I$5:$AJ$35,MATCH(VLOOKUP(O$37,$BH$3:$BI$50,2,FALSE),$I$4:$AJ$4,0),FALSE),BoundParameters_HiddenSheetCLAY!$B$1:$E$1,0),FALSE))),'Control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Output'!$A$2:$E$99999,5,FALSE)="Sand",VLOOKUP(P$37,BoundParameters_HiddenSheetSAND!$B$3:$E$50,MATCH(VLOOKUP($I61,$I$5:$AJ$29,MATCH(VLOOKUP(P$37,$BH$3:$BI$50,2,FALSE),$I$4:$AJ$4,0),FALSE),BoundParameters_HiddenSheetCLAY!$B$1:$E$1,0),FALSE),IF(VLOOKUP($E61,'Table Output'!$A$2:$E$99999,5,FALSE)="Clay",VLOOKUP(P$37,BoundParameters_HiddenSheetCLAY!$B$3:$E$50,MATCH(VLOOKUP($I61,$I$5:$AJ$35,MATCH(VLOOKUP(P$37,$BH$3:$BI$50,2,FALSE),$I$4:$AJ$4,0),FALSE),BoundParameters_HiddenSheetCLAY!$B$1:$E$1,0),FALSE))),'Control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Output'!$A$2:$E$99999,5,FALSE)="Sand",VLOOKUP(Q$37,BoundParameters_HiddenSheetSAND!$B$3:$E$50,MATCH(VLOOKUP($I61,$I$5:$AJ$29,MATCH(VLOOKUP(Q$37,$BH$3:$BI$50,2,FALSE),$I$4:$AJ$4,0),FALSE),BoundParameters_HiddenSheetCLAY!$B$1:$E$1,0),FALSE),IF(VLOOKUP($E61,'Table Output'!$A$2:$E$99999,5,FALSE)="Clay",VLOOKUP(Q$37,BoundParameters_HiddenSheetCLAY!$B$3:$E$50,MATCH(VLOOKUP($I61,$I$5:$AJ$35,MATCH(VLOOKUP(Q$37,$BH$3:$BI$50,2,FALSE),$I$4:$AJ$4,0),FALSE),BoundParameters_HiddenSheetCLAY!$B$1:$E$1,0),FALSE))),'Control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Output'!$A$2:$E$99999,5,FALSE)="Sand",VLOOKUP(R$37,BoundParameters_HiddenSheetSAND!$B$3:$E$50,MATCH(VLOOKUP($I61,$I$5:$AJ$29,MATCH(VLOOKUP(R$37,$BH$3:$BI$50,2,FALSE),$I$4:$AJ$4,0),FALSE),BoundParameters_HiddenSheetCLAY!$B$1:$E$1,0),FALSE),IF(VLOOKUP($E61,'Table Output'!$A$2:$E$99999,5,FALSE)="Clay",VLOOKUP(R$37,BoundParameters_HiddenSheetCLAY!$B$3:$E$50,MATCH(VLOOKUP($I61,$I$5:$AJ$35,MATCH(VLOOKUP(R$37,$BH$3:$BI$50,2,FALSE),$I$4:$AJ$4,0),FALSE),BoundParameters_HiddenSheetCLAY!$B$1:$E$1,0),FALSE))),'Control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Output'!$A$2:$E$99999,5,FALSE)="Sand",VLOOKUP(S$37,BoundParameters_HiddenSheetSAND!$B$3:$E$50,MATCH(VLOOKUP($I61,$I$5:$AJ$29,MATCH(VLOOKUP(S$37,$BH$3:$BI$50,2,FALSE),$I$4:$AJ$4,0),FALSE),BoundParameters_HiddenSheetCLAY!$B$1:$E$1,0),FALSE),IF(VLOOKUP($E61,'Table Output'!$A$2:$E$99999,5,FALSE)="Clay",VLOOKUP(S$37,BoundParameters_HiddenSheetCLAY!$B$3:$E$50,MATCH(VLOOKUP($I61,$I$5:$AJ$35,MATCH(VLOOKUP(S$37,$BH$3:$BI$50,2,FALSE),$I$4:$AJ$4,0),FALSE),BoundParameters_HiddenSheetCLAY!$B$1:$E$1,0),FALSE))),'Control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Output'!$A$2:$E$99999,5,FALSE)="Sand",VLOOKUP(J$37,BoundParameters_HiddenSheetSAND!$B$3:$E$50,MATCH(VLOOKUP($I62,$I$5:$AJ$29,MATCH(VLOOKUP(J$37,$BH$3:$BI$50,2,FALSE),$I$4:$AJ$4,0),FALSE),BoundParameters_HiddenSheetCLAY!$B$1:$E$1,0),FALSE),IF(VLOOKUP($E62,'Table Output'!$A$2:$E$99999,5,FALSE)="Clay",VLOOKUP(J$37,BoundParameters_HiddenSheetCLAY!$B$3:$E$50,MATCH(VLOOKUP($I62,$I$5:$AJ$35,MATCH(VLOOKUP(J$37,$BH$3:$BI$50,2,FALSE),$I$4:$AJ$4,0),FALSE),BoundParameters_HiddenSheetCLAY!$B$1:$E$1,0),FALSE))),'Control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Output'!$A$2:$E$99999,5,FALSE)="Sand",VLOOKUP(K$37,BoundParameters_HiddenSheetSAND!$B$3:$E$50,MATCH(VLOOKUP($I62,$I$5:$AJ$29,MATCH(VLOOKUP(K$37,$BH$3:$BI$50,2,FALSE),$I$4:$AJ$4,0),FALSE),BoundParameters_HiddenSheetCLAY!$B$1:$E$1,0),FALSE),IF(VLOOKUP($E62,'Table Output'!$A$2:$E$99999,5,FALSE)="Clay",VLOOKUP(K$37,BoundParameters_HiddenSheetCLAY!$B$3:$E$50,MATCH(VLOOKUP($I62,$I$5:$AJ$35,MATCH(VLOOKUP(K$37,$BH$3:$BI$50,2,FALSE),$I$4:$AJ$4,0),FALSE),BoundParameters_HiddenSheetCLAY!$B$1:$E$1,0),FALSE))),'Control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Output'!$A$2:$E$99999,5,FALSE)="Sand",VLOOKUP(L$37,BoundParameters_HiddenSheetSAND!$B$3:$E$50,MATCH(VLOOKUP($I62,$I$5:$AJ$29,MATCH(VLOOKUP(L$37,$BH$3:$BI$50,2,FALSE),$I$4:$AJ$4,0),FALSE),BoundParameters_HiddenSheetCLAY!$B$1:$E$1,0),FALSE),IF(VLOOKUP($E62,'Table Output'!$A$2:$E$99999,5,FALSE)="Clay",VLOOKUP(L$37,BoundParameters_HiddenSheetCLAY!$B$3:$E$50,MATCH(VLOOKUP($I62,$I$5:$AJ$35,MATCH(VLOOKUP(L$37,$BH$3:$BI$50,2,FALSE),$I$4:$AJ$4,0),FALSE),BoundParameters_HiddenSheetCLAY!$B$1:$E$1,0),FALSE))),'Control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Output'!$A$2:$E$99999,5,FALSE)="Sand",VLOOKUP(M$37,BoundParameters_HiddenSheetSAND!$B$3:$E$50,MATCH(VLOOKUP($I62,$I$5:$AJ$29,MATCH(VLOOKUP(M$37,$BH$3:$BI$50,2,FALSE),$I$4:$AJ$4,0),FALSE),BoundParameters_HiddenSheetCLAY!$B$1:$E$1,0),FALSE),IF(VLOOKUP($E62,'Table Output'!$A$2:$E$99999,5,FALSE)="Clay",VLOOKUP(M$37,BoundParameters_HiddenSheetCLAY!$B$3:$E$50,MATCH(VLOOKUP($I62,$I$5:$AJ$35,MATCH(VLOOKUP(M$37,$BH$3:$BI$50,2,FALSE),$I$4:$AJ$4,0),FALSE),BoundParameters_HiddenSheetCLAY!$B$1:$E$1,0),FALSE))),'Control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Output'!$A$2:$E$99999,5,FALSE)="Sand",VLOOKUP(N$37,BoundParameters_HiddenSheetSAND!$B$3:$E$50,MATCH(VLOOKUP($I62,$I$5:$AJ$29,MATCH(VLOOKUP(N$37,$BH$3:$BI$50,2,FALSE),$I$4:$AJ$4,0),FALSE),BoundParameters_HiddenSheetCLAY!$B$1:$E$1,0),FALSE),IF(VLOOKUP($E62,'Table Output'!$A$2:$E$99999,5,FALSE)="Clay",VLOOKUP(N$37,BoundParameters_HiddenSheetCLAY!$B$3:$E$50,MATCH(VLOOKUP($I62,$I$5:$AJ$35,MATCH(VLOOKUP(N$37,$BH$3:$BI$50,2,FALSE),$I$4:$AJ$4,0),FALSE),BoundParameters_HiddenSheetCLAY!$B$1:$E$1,0),FALSE))),'Control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Output'!$A$2:$E$99999,5,FALSE)="Sand",VLOOKUP(O$37,BoundParameters_HiddenSheetSAND!$B$3:$E$50,MATCH(VLOOKUP($I62,$I$5:$AJ$29,MATCH(VLOOKUP(O$37,$BH$3:$BI$50,2,FALSE),$I$4:$AJ$4,0),FALSE),BoundParameters_HiddenSheetCLAY!$B$1:$E$1,0),FALSE),IF(VLOOKUP($E62,'Table Output'!$A$2:$E$99999,5,FALSE)="Clay",VLOOKUP(O$37,BoundParameters_HiddenSheetCLAY!$B$3:$E$50,MATCH(VLOOKUP($I62,$I$5:$AJ$35,MATCH(VLOOKUP(O$37,$BH$3:$BI$50,2,FALSE),$I$4:$AJ$4,0),FALSE),BoundParameters_HiddenSheetCLAY!$B$1:$E$1,0),FALSE))),'Control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Output'!$A$2:$E$99999,5,FALSE)="Sand",VLOOKUP(P$37,BoundParameters_HiddenSheetSAND!$B$3:$E$50,MATCH(VLOOKUP($I62,$I$5:$AJ$29,MATCH(VLOOKUP(P$37,$BH$3:$BI$50,2,FALSE),$I$4:$AJ$4,0),FALSE),BoundParameters_HiddenSheetCLAY!$B$1:$E$1,0),FALSE),IF(VLOOKUP($E62,'Table Output'!$A$2:$E$99999,5,FALSE)="Clay",VLOOKUP(P$37,BoundParameters_HiddenSheetCLAY!$B$3:$E$50,MATCH(VLOOKUP($I62,$I$5:$AJ$35,MATCH(VLOOKUP(P$37,$BH$3:$BI$50,2,FALSE),$I$4:$AJ$4,0),FALSE),BoundParameters_HiddenSheetCLAY!$B$1:$E$1,0),FALSE))),'Control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Output'!$A$2:$E$99999,5,FALSE)="Sand",VLOOKUP(Q$37,BoundParameters_HiddenSheetSAND!$B$3:$E$50,MATCH(VLOOKUP($I62,$I$5:$AJ$29,MATCH(VLOOKUP(Q$37,$BH$3:$BI$50,2,FALSE),$I$4:$AJ$4,0),FALSE),BoundParameters_HiddenSheetCLAY!$B$1:$E$1,0),FALSE),IF(VLOOKUP($E62,'Table Output'!$A$2:$E$99999,5,FALSE)="Clay",VLOOKUP(Q$37,BoundParameters_HiddenSheetCLAY!$B$3:$E$50,MATCH(VLOOKUP($I62,$I$5:$AJ$35,MATCH(VLOOKUP(Q$37,$BH$3:$BI$50,2,FALSE),$I$4:$AJ$4,0),FALSE),BoundParameters_HiddenSheetCLAY!$B$1:$E$1,0),FALSE))),'Control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Output'!$A$2:$E$99999,5,FALSE)="Sand",VLOOKUP(R$37,BoundParameters_HiddenSheetSAND!$B$3:$E$50,MATCH(VLOOKUP($I62,$I$5:$AJ$29,MATCH(VLOOKUP(R$37,$BH$3:$BI$50,2,FALSE),$I$4:$AJ$4,0),FALSE),BoundParameters_HiddenSheetCLAY!$B$1:$E$1,0),FALSE),IF(VLOOKUP($E62,'Table Output'!$A$2:$E$99999,5,FALSE)="Clay",VLOOKUP(R$37,BoundParameters_HiddenSheetCLAY!$B$3:$E$50,MATCH(VLOOKUP($I62,$I$5:$AJ$35,MATCH(VLOOKUP(R$37,$BH$3:$BI$50,2,FALSE),$I$4:$AJ$4,0),FALSE),BoundParameters_HiddenSheetCLAY!$B$1:$E$1,0),FALSE))),'Control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Output'!$A$2:$E$99999,5,FALSE)="Sand",VLOOKUP(S$37,BoundParameters_HiddenSheetSAND!$B$3:$E$50,MATCH(VLOOKUP($I62,$I$5:$AJ$29,MATCH(VLOOKUP(S$37,$BH$3:$BI$50,2,FALSE),$I$4:$AJ$4,0),FALSE),BoundParameters_HiddenSheetCLAY!$B$1:$E$1,0),FALSE),IF(VLOOKUP($E62,'Table Output'!$A$2:$E$99999,5,FALSE)="Clay",VLOOKUP(S$37,BoundParameters_HiddenSheetCLAY!$B$3:$E$50,MATCH(VLOOKUP($I62,$I$5:$AJ$35,MATCH(VLOOKUP(S$37,$BH$3:$BI$50,2,FALSE),$I$4:$AJ$4,0),FALSE),BoundParameters_HiddenSheetCLAY!$B$1:$E$1,0),FALSE))),'Control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Output'!$A$2:$E$99999,5,FALSE)="Sand",VLOOKUP(J$37,BoundParameters_HiddenSheetSAND!$B$3:$E$50,MATCH(VLOOKUP($I63,$I$5:$AJ$29,MATCH(VLOOKUP(J$37,$BH$3:$BI$50,2,FALSE),$I$4:$AJ$4,0),FALSE),BoundParameters_HiddenSheetCLAY!$B$1:$E$1,0),FALSE),IF(VLOOKUP($E63,'Table Output'!$A$2:$E$99999,5,FALSE)="Clay",VLOOKUP(J$37,BoundParameters_HiddenSheetCLAY!$B$3:$E$50,MATCH(VLOOKUP($I63,$I$5:$AJ$35,MATCH(VLOOKUP(J$37,$BH$3:$BI$50,2,FALSE),$I$4:$AJ$4,0),FALSE),BoundParameters_HiddenSheetCLAY!$B$1:$E$1,0),FALSE))),'Control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Output'!$A$2:$E$99999,5,FALSE)="Sand",VLOOKUP(K$37,BoundParameters_HiddenSheetSAND!$B$3:$E$50,MATCH(VLOOKUP($I63,$I$5:$AJ$29,MATCH(VLOOKUP(K$37,$BH$3:$BI$50,2,FALSE),$I$4:$AJ$4,0),FALSE),BoundParameters_HiddenSheetCLAY!$B$1:$E$1,0),FALSE),IF(VLOOKUP($E63,'Table Output'!$A$2:$E$99999,5,FALSE)="Clay",VLOOKUP(K$37,BoundParameters_HiddenSheetCLAY!$B$3:$E$50,MATCH(VLOOKUP($I63,$I$5:$AJ$35,MATCH(VLOOKUP(K$37,$BH$3:$BI$50,2,FALSE),$I$4:$AJ$4,0),FALSE),BoundParameters_HiddenSheetCLAY!$B$1:$E$1,0),FALSE))),'Control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Output'!$A$2:$E$99999,5,FALSE)="Sand",VLOOKUP(L$37,BoundParameters_HiddenSheetSAND!$B$3:$E$50,MATCH(VLOOKUP($I63,$I$5:$AJ$29,MATCH(VLOOKUP(L$37,$BH$3:$BI$50,2,FALSE),$I$4:$AJ$4,0),FALSE),BoundParameters_HiddenSheetCLAY!$B$1:$E$1,0),FALSE),IF(VLOOKUP($E63,'Table Output'!$A$2:$E$99999,5,FALSE)="Clay",VLOOKUP(L$37,BoundParameters_HiddenSheetCLAY!$B$3:$E$50,MATCH(VLOOKUP($I63,$I$5:$AJ$35,MATCH(VLOOKUP(L$37,$BH$3:$BI$50,2,FALSE),$I$4:$AJ$4,0),FALSE),BoundParameters_HiddenSheetCLAY!$B$1:$E$1,0),FALSE))),'Control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Output'!$A$2:$E$99999,5,FALSE)="Sand",VLOOKUP(M$37,BoundParameters_HiddenSheetSAND!$B$3:$E$50,MATCH(VLOOKUP($I63,$I$5:$AJ$29,MATCH(VLOOKUP(M$37,$BH$3:$BI$50,2,FALSE),$I$4:$AJ$4,0),FALSE),BoundParameters_HiddenSheetCLAY!$B$1:$E$1,0),FALSE),IF(VLOOKUP($E63,'Table Output'!$A$2:$E$99999,5,FALSE)="Clay",VLOOKUP(M$37,BoundParameters_HiddenSheetCLAY!$B$3:$E$50,MATCH(VLOOKUP($I63,$I$5:$AJ$35,MATCH(VLOOKUP(M$37,$BH$3:$BI$50,2,FALSE),$I$4:$AJ$4,0),FALSE),BoundParameters_HiddenSheetCLAY!$B$1:$E$1,0),FALSE))),'Control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Output'!$A$2:$E$99999,5,FALSE)="Sand",VLOOKUP(N$37,BoundParameters_HiddenSheetSAND!$B$3:$E$50,MATCH(VLOOKUP($I63,$I$5:$AJ$29,MATCH(VLOOKUP(N$37,$BH$3:$BI$50,2,FALSE),$I$4:$AJ$4,0),FALSE),BoundParameters_HiddenSheetCLAY!$B$1:$E$1,0),FALSE),IF(VLOOKUP($E63,'Table Output'!$A$2:$E$99999,5,FALSE)="Clay",VLOOKUP(N$37,BoundParameters_HiddenSheetCLAY!$B$3:$E$50,MATCH(VLOOKUP($I63,$I$5:$AJ$35,MATCH(VLOOKUP(N$37,$BH$3:$BI$50,2,FALSE),$I$4:$AJ$4,0),FALSE),BoundParameters_HiddenSheetCLAY!$B$1:$E$1,0),FALSE))),'Control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Output'!$A$2:$E$99999,5,FALSE)="Sand",VLOOKUP(O$37,BoundParameters_HiddenSheetSAND!$B$3:$E$50,MATCH(VLOOKUP($I63,$I$5:$AJ$29,MATCH(VLOOKUP(O$37,$BH$3:$BI$50,2,FALSE),$I$4:$AJ$4,0),FALSE),BoundParameters_HiddenSheetCLAY!$B$1:$E$1,0),FALSE),IF(VLOOKUP($E63,'Table Output'!$A$2:$E$99999,5,FALSE)="Clay",VLOOKUP(O$37,BoundParameters_HiddenSheetCLAY!$B$3:$E$50,MATCH(VLOOKUP($I63,$I$5:$AJ$35,MATCH(VLOOKUP(O$37,$BH$3:$BI$50,2,FALSE),$I$4:$AJ$4,0),FALSE),BoundParameters_HiddenSheetCLAY!$B$1:$E$1,0),FALSE))),'Control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Output'!$A$2:$E$99999,5,FALSE)="Sand",VLOOKUP(P$37,BoundParameters_HiddenSheetSAND!$B$3:$E$50,MATCH(VLOOKUP($I63,$I$5:$AJ$29,MATCH(VLOOKUP(P$37,$BH$3:$BI$50,2,FALSE),$I$4:$AJ$4,0),FALSE),BoundParameters_HiddenSheetCLAY!$B$1:$E$1,0),FALSE),IF(VLOOKUP($E63,'Table Output'!$A$2:$E$99999,5,FALSE)="Clay",VLOOKUP(P$37,BoundParameters_HiddenSheetCLAY!$B$3:$E$50,MATCH(VLOOKUP($I63,$I$5:$AJ$35,MATCH(VLOOKUP(P$37,$BH$3:$BI$50,2,FALSE),$I$4:$AJ$4,0),FALSE),BoundParameters_HiddenSheetCLAY!$B$1:$E$1,0),FALSE))),'Control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Output'!$A$2:$E$99999,5,FALSE)="Sand",VLOOKUP(Q$37,BoundParameters_HiddenSheetSAND!$B$3:$E$50,MATCH(VLOOKUP($I63,$I$5:$AJ$29,MATCH(VLOOKUP(Q$37,$BH$3:$BI$50,2,FALSE),$I$4:$AJ$4,0),FALSE),BoundParameters_HiddenSheetCLAY!$B$1:$E$1,0),FALSE),IF(VLOOKUP($E63,'Table Output'!$A$2:$E$99999,5,FALSE)="Clay",VLOOKUP(Q$37,BoundParameters_HiddenSheetCLAY!$B$3:$E$50,MATCH(VLOOKUP($I63,$I$5:$AJ$35,MATCH(VLOOKUP(Q$37,$BH$3:$BI$50,2,FALSE),$I$4:$AJ$4,0),FALSE),BoundParameters_HiddenSheetCLAY!$B$1:$E$1,0),FALSE))),'Control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Output'!$A$2:$E$99999,5,FALSE)="Sand",VLOOKUP(R$37,BoundParameters_HiddenSheetSAND!$B$3:$E$50,MATCH(VLOOKUP($I63,$I$5:$AJ$29,MATCH(VLOOKUP(R$37,$BH$3:$BI$50,2,FALSE),$I$4:$AJ$4,0),FALSE),BoundParameters_HiddenSheetCLAY!$B$1:$E$1,0),FALSE),IF(VLOOKUP($E63,'Table Output'!$A$2:$E$99999,5,FALSE)="Clay",VLOOKUP(R$37,BoundParameters_HiddenSheetCLAY!$B$3:$E$50,MATCH(VLOOKUP($I63,$I$5:$AJ$35,MATCH(VLOOKUP(R$37,$BH$3:$BI$50,2,FALSE),$I$4:$AJ$4,0),FALSE),BoundParameters_HiddenSheetCLAY!$B$1:$E$1,0),FALSE))),'Control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Output'!$A$2:$E$99999,5,FALSE)="Sand",VLOOKUP(S$37,BoundParameters_HiddenSheetSAND!$B$3:$E$50,MATCH(VLOOKUP($I63,$I$5:$AJ$29,MATCH(VLOOKUP(S$37,$BH$3:$BI$50,2,FALSE),$I$4:$AJ$4,0),FALSE),BoundParameters_HiddenSheetCLAY!$B$1:$E$1,0),FALSE),IF(VLOOKUP($E63,'Table Output'!$A$2:$E$99999,5,FALSE)="Clay",VLOOKUP(S$37,BoundParameters_HiddenSheetCLAY!$B$3:$E$50,MATCH(VLOOKUP($I63,$I$5:$AJ$35,MATCH(VLOOKUP(S$37,$BH$3:$BI$50,2,FALSE),$I$4:$AJ$4,0),FALSE),BoundParameters_HiddenSheetCLAY!$B$1:$E$1,0),FALSE))),'Control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Output'!$A$2:$E$99999,5,FALSE)="Sand",VLOOKUP(J$37,BoundParameters_HiddenSheetSAND!$B$3:$E$50,MATCH(VLOOKUP($I64,$I$5:$AJ$29,MATCH(VLOOKUP(J$37,$BH$3:$BI$50,2,FALSE),$I$4:$AJ$4,0),FALSE),BoundParameters_HiddenSheetCLAY!$B$1:$E$1,0),FALSE),IF(VLOOKUP($E64,'Table Output'!$A$2:$E$99999,5,FALSE)="Clay",VLOOKUP(J$37,BoundParameters_HiddenSheetCLAY!$B$3:$E$50,MATCH(VLOOKUP($I64,$I$5:$AJ$35,MATCH(VLOOKUP(J$37,$BH$3:$BI$50,2,FALSE),$I$4:$AJ$4,0),FALSE),BoundParameters_HiddenSheetCLAY!$B$1:$E$1,0),FALSE))),'Control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Output'!$A$2:$E$99999,5,FALSE)="Sand",VLOOKUP(K$37,BoundParameters_HiddenSheetSAND!$B$3:$E$50,MATCH(VLOOKUP($I64,$I$5:$AJ$29,MATCH(VLOOKUP(K$37,$BH$3:$BI$50,2,FALSE),$I$4:$AJ$4,0),FALSE),BoundParameters_HiddenSheetCLAY!$B$1:$E$1,0),FALSE),IF(VLOOKUP($E64,'Table Output'!$A$2:$E$99999,5,FALSE)="Clay",VLOOKUP(K$37,BoundParameters_HiddenSheetCLAY!$B$3:$E$50,MATCH(VLOOKUP($I64,$I$5:$AJ$35,MATCH(VLOOKUP(K$37,$BH$3:$BI$50,2,FALSE),$I$4:$AJ$4,0),FALSE),BoundParameters_HiddenSheetCLAY!$B$1:$E$1,0),FALSE))),'Control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Output'!$A$2:$E$99999,5,FALSE)="Sand",VLOOKUP(L$37,BoundParameters_HiddenSheetSAND!$B$3:$E$50,MATCH(VLOOKUP($I64,$I$5:$AJ$29,MATCH(VLOOKUP(L$37,$BH$3:$BI$50,2,FALSE),$I$4:$AJ$4,0),FALSE),BoundParameters_HiddenSheetCLAY!$B$1:$E$1,0),FALSE),IF(VLOOKUP($E64,'Table Output'!$A$2:$E$99999,5,FALSE)="Clay",VLOOKUP(L$37,BoundParameters_HiddenSheetCLAY!$B$3:$E$50,MATCH(VLOOKUP($I64,$I$5:$AJ$35,MATCH(VLOOKUP(L$37,$BH$3:$BI$50,2,FALSE),$I$4:$AJ$4,0),FALSE),BoundParameters_HiddenSheetCLAY!$B$1:$E$1,0),FALSE))),'Control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Output'!$A$2:$E$99999,5,FALSE)="Sand",VLOOKUP(M$37,BoundParameters_HiddenSheetSAND!$B$3:$E$50,MATCH(VLOOKUP($I64,$I$5:$AJ$29,MATCH(VLOOKUP(M$37,$BH$3:$BI$50,2,FALSE),$I$4:$AJ$4,0),FALSE),BoundParameters_HiddenSheetCLAY!$B$1:$E$1,0),FALSE),IF(VLOOKUP($E64,'Table Output'!$A$2:$E$99999,5,FALSE)="Clay",VLOOKUP(M$37,BoundParameters_HiddenSheetCLAY!$B$3:$E$50,MATCH(VLOOKUP($I64,$I$5:$AJ$35,MATCH(VLOOKUP(M$37,$BH$3:$BI$50,2,FALSE),$I$4:$AJ$4,0),FALSE),BoundParameters_HiddenSheetCLAY!$B$1:$E$1,0),FALSE))),'Control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Output'!$A$2:$E$99999,5,FALSE)="Sand",VLOOKUP(N$37,BoundParameters_HiddenSheetSAND!$B$3:$E$50,MATCH(VLOOKUP($I64,$I$5:$AJ$29,MATCH(VLOOKUP(N$37,$BH$3:$BI$50,2,FALSE),$I$4:$AJ$4,0),FALSE),BoundParameters_HiddenSheetCLAY!$B$1:$E$1,0),FALSE),IF(VLOOKUP($E64,'Table Output'!$A$2:$E$99999,5,FALSE)="Clay",VLOOKUP(N$37,BoundParameters_HiddenSheetCLAY!$B$3:$E$50,MATCH(VLOOKUP($I64,$I$5:$AJ$35,MATCH(VLOOKUP(N$37,$BH$3:$BI$50,2,FALSE),$I$4:$AJ$4,0),FALSE),BoundParameters_HiddenSheetCLAY!$B$1:$E$1,0),FALSE))),'Control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Output'!$A$2:$E$99999,5,FALSE)="Sand",VLOOKUP(O$37,BoundParameters_HiddenSheetSAND!$B$3:$E$50,MATCH(VLOOKUP($I64,$I$5:$AJ$29,MATCH(VLOOKUP(O$37,$BH$3:$BI$50,2,FALSE),$I$4:$AJ$4,0),FALSE),BoundParameters_HiddenSheetCLAY!$B$1:$E$1,0),FALSE),IF(VLOOKUP($E64,'Table Output'!$A$2:$E$99999,5,FALSE)="Clay",VLOOKUP(O$37,BoundParameters_HiddenSheetCLAY!$B$3:$E$50,MATCH(VLOOKUP($I64,$I$5:$AJ$35,MATCH(VLOOKUP(O$37,$BH$3:$BI$50,2,FALSE),$I$4:$AJ$4,0),FALSE),BoundParameters_HiddenSheetCLAY!$B$1:$E$1,0),FALSE))),'Control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Output'!$A$2:$E$99999,5,FALSE)="Sand",VLOOKUP(P$37,BoundParameters_HiddenSheetSAND!$B$3:$E$50,MATCH(VLOOKUP($I64,$I$5:$AJ$29,MATCH(VLOOKUP(P$37,$BH$3:$BI$50,2,FALSE),$I$4:$AJ$4,0),FALSE),BoundParameters_HiddenSheetCLAY!$B$1:$E$1,0),FALSE),IF(VLOOKUP($E64,'Table Output'!$A$2:$E$99999,5,FALSE)="Clay",VLOOKUP(P$37,BoundParameters_HiddenSheetCLAY!$B$3:$E$50,MATCH(VLOOKUP($I64,$I$5:$AJ$35,MATCH(VLOOKUP(P$37,$BH$3:$BI$50,2,FALSE),$I$4:$AJ$4,0),FALSE),BoundParameters_HiddenSheetCLAY!$B$1:$E$1,0),FALSE))),'Control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Output'!$A$2:$E$99999,5,FALSE)="Sand",VLOOKUP(Q$37,BoundParameters_HiddenSheetSAND!$B$3:$E$50,MATCH(VLOOKUP($I64,$I$5:$AJ$29,MATCH(VLOOKUP(Q$37,$BH$3:$BI$50,2,FALSE),$I$4:$AJ$4,0),FALSE),BoundParameters_HiddenSheetCLAY!$B$1:$E$1,0),FALSE),IF(VLOOKUP($E64,'Table Output'!$A$2:$E$99999,5,FALSE)="Clay",VLOOKUP(Q$37,BoundParameters_HiddenSheetCLAY!$B$3:$E$50,MATCH(VLOOKUP($I64,$I$5:$AJ$35,MATCH(VLOOKUP(Q$37,$BH$3:$BI$50,2,FALSE),$I$4:$AJ$4,0),FALSE),BoundParameters_HiddenSheetCLAY!$B$1:$E$1,0),FALSE))),'Control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Output'!$A$2:$E$99999,5,FALSE)="Sand",VLOOKUP(R$37,BoundParameters_HiddenSheetSAND!$B$3:$E$50,MATCH(VLOOKUP($I64,$I$5:$AJ$29,MATCH(VLOOKUP(R$37,$BH$3:$BI$50,2,FALSE),$I$4:$AJ$4,0),FALSE),BoundParameters_HiddenSheetCLAY!$B$1:$E$1,0),FALSE),IF(VLOOKUP($E64,'Table Output'!$A$2:$E$99999,5,FALSE)="Clay",VLOOKUP(R$37,BoundParameters_HiddenSheetCLAY!$B$3:$E$50,MATCH(VLOOKUP($I64,$I$5:$AJ$35,MATCH(VLOOKUP(R$37,$BH$3:$BI$50,2,FALSE),$I$4:$AJ$4,0),FALSE),BoundParameters_HiddenSheetCLAY!$B$1:$E$1,0),FALSE))),'Control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Output'!$A$2:$E$99999,5,FALSE)="Sand",VLOOKUP(S$37,BoundParameters_HiddenSheetSAND!$B$3:$E$50,MATCH(VLOOKUP($I64,$I$5:$AJ$29,MATCH(VLOOKUP(S$37,$BH$3:$BI$50,2,FALSE),$I$4:$AJ$4,0),FALSE),BoundParameters_HiddenSheetCLAY!$B$1:$E$1,0),FALSE),IF(VLOOKUP($E64,'Table Output'!$A$2:$E$99999,5,FALSE)="Clay",VLOOKUP(S$37,BoundParameters_HiddenSheetCLAY!$B$3:$E$50,MATCH(VLOOKUP($I64,$I$5:$AJ$35,MATCH(VLOOKUP(S$37,$BH$3:$BI$50,2,FALSE),$I$4:$AJ$4,0),FALSE),BoundParameters_HiddenSheetCLAY!$B$1:$E$1,0),FALSE))),'Control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Output'!$A$2:$E$99999,5,FALSE)="Sand",VLOOKUP(J$37,BoundParameters_HiddenSheetSAND!$B$3:$E$50,MATCH(VLOOKUP($I65,$I$5:$AJ$29,MATCH(VLOOKUP(J$37,$BH$3:$BI$50,2,FALSE),$I$4:$AJ$4,0),FALSE),BoundParameters_HiddenSheetCLAY!$B$1:$E$1,0),FALSE),IF(VLOOKUP($E65,'Table Output'!$A$2:$E$99999,5,FALSE)="Clay",VLOOKUP(J$37,BoundParameters_HiddenSheetCLAY!$B$3:$E$50,MATCH(VLOOKUP($I65,$I$5:$AJ$35,MATCH(VLOOKUP(J$37,$BH$3:$BI$50,2,FALSE),$I$4:$AJ$4,0),FALSE),BoundParameters_HiddenSheetCLAY!$B$1:$E$1,0),FALSE))),'Control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Output'!$A$2:$E$99999,5,FALSE)="Sand",VLOOKUP(K$37,BoundParameters_HiddenSheetSAND!$B$3:$E$50,MATCH(VLOOKUP($I65,$I$5:$AJ$29,MATCH(VLOOKUP(K$37,$BH$3:$BI$50,2,FALSE),$I$4:$AJ$4,0),FALSE),BoundParameters_HiddenSheetCLAY!$B$1:$E$1,0),FALSE),IF(VLOOKUP($E65,'Table Output'!$A$2:$E$99999,5,FALSE)="Clay",VLOOKUP(K$37,BoundParameters_HiddenSheetCLAY!$B$3:$E$50,MATCH(VLOOKUP($I65,$I$5:$AJ$35,MATCH(VLOOKUP(K$37,$BH$3:$BI$50,2,FALSE),$I$4:$AJ$4,0),FALSE),BoundParameters_HiddenSheetCLAY!$B$1:$E$1,0),FALSE))),'Control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Output'!$A$2:$E$99999,5,FALSE)="Sand",VLOOKUP(L$37,BoundParameters_HiddenSheetSAND!$B$3:$E$50,MATCH(VLOOKUP($I65,$I$5:$AJ$29,MATCH(VLOOKUP(L$37,$BH$3:$BI$50,2,FALSE),$I$4:$AJ$4,0),FALSE),BoundParameters_HiddenSheetCLAY!$B$1:$E$1,0),FALSE),IF(VLOOKUP($E65,'Table Output'!$A$2:$E$99999,5,FALSE)="Clay",VLOOKUP(L$37,BoundParameters_HiddenSheetCLAY!$B$3:$E$50,MATCH(VLOOKUP($I65,$I$5:$AJ$35,MATCH(VLOOKUP(L$37,$BH$3:$BI$50,2,FALSE),$I$4:$AJ$4,0),FALSE),BoundParameters_HiddenSheetCLAY!$B$1:$E$1,0),FALSE))),'Control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Output'!$A$2:$E$99999,5,FALSE)="Sand",VLOOKUP(M$37,BoundParameters_HiddenSheetSAND!$B$3:$E$50,MATCH(VLOOKUP($I65,$I$5:$AJ$29,MATCH(VLOOKUP(M$37,$BH$3:$BI$50,2,FALSE),$I$4:$AJ$4,0),FALSE),BoundParameters_HiddenSheetCLAY!$B$1:$E$1,0),FALSE),IF(VLOOKUP($E65,'Table Output'!$A$2:$E$99999,5,FALSE)="Clay",VLOOKUP(M$37,BoundParameters_HiddenSheetCLAY!$B$3:$E$50,MATCH(VLOOKUP($I65,$I$5:$AJ$35,MATCH(VLOOKUP(M$37,$BH$3:$BI$50,2,FALSE),$I$4:$AJ$4,0),FALSE),BoundParameters_HiddenSheetCLAY!$B$1:$E$1,0),FALSE))),'Control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Output'!$A$2:$E$99999,5,FALSE)="Sand",VLOOKUP(N$37,BoundParameters_HiddenSheetSAND!$B$3:$E$50,MATCH(VLOOKUP($I65,$I$5:$AJ$29,MATCH(VLOOKUP(N$37,$BH$3:$BI$50,2,FALSE),$I$4:$AJ$4,0),FALSE),BoundParameters_HiddenSheetCLAY!$B$1:$E$1,0),FALSE),IF(VLOOKUP($E65,'Table Output'!$A$2:$E$99999,5,FALSE)="Clay",VLOOKUP(N$37,BoundParameters_HiddenSheetCLAY!$B$3:$E$50,MATCH(VLOOKUP($I65,$I$5:$AJ$35,MATCH(VLOOKUP(N$37,$BH$3:$BI$50,2,FALSE),$I$4:$AJ$4,0),FALSE),BoundParameters_HiddenSheetCLAY!$B$1:$E$1,0),FALSE))),'Control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Output'!$A$2:$E$99999,5,FALSE)="Sand",VLOOKUP(O$37,BoundParameters_HiddenSheetSAND!$B$3:$E$50,MATCH(VLOOKUP($I65,$I$5:$AJ$29,MATCH(VLOOKUP(O$37,$BH$3:$BI$50,2,FALSE),$I$4:$AJ$4,0),FALSE),BoundParameters_HiddenSheetCLAY!$B$1:$E$1,0),FALSE),IF(VLOOKUP($E65,'Table Output'!$A$2:$E$99999,5,FALSE)="Clay",VLOOKUP(O$37,BoundParameters_HiddenSheetCLAY!$B$3:$E$50,MATCH(VLOOKUP($I65,$I$5:$AJ$35,MATCH(VLOOKUP(O$37,$BH$3:$BI$50,2,FALSE),$I$4:$AJ$4,0),FALSE),BoundParameters_HiddenSheetCLAY!$B$1:$E$1,0),FALSE))),'Control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Output'!$A$2:$E$99999,5,FALSE)="Sand",VLOOKUP(P$37,BoundParameters_HiddenSheetSAND!$B$3:$E$50,MATCH(VLOOKUP($I65,$I$5:$AJ$29,MATCH(VLOOKUP(P$37,$BH$3:$BI$50,2,FALSE),$I$4:$AJ$4,0),FALSE),BoundParameters_HiddenSheetCLAY!$B$1:$E$1,0),FALSE),IF(VLOOKUP($E65,'Table Output'!$A$2:$E$99999,5,FALSE)="Clay",VLOOKUP(P$37,BoundParameters_HiddenSheetCLAY!$B$3:$E$50,MATCH(VLOOKUP($I65,$I$5:$AJ$35,MATCH(VLOOKUP(P$37,$BH$3:$BI$50,2,FALSE),$I$4:$AJ$4,0),FALSE),BoundParameters_HiddenSheetCLAY!$B$1:$E$1,0),FALSE))),'Control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Output'!$A$2:$E$99999,5,FALSE)="Sand",VLOOKUP(Q$37,BoundParameters_HiddenSheetSAND!$B$3:$E$50,MATCH(VLOOKUP($I65,$I$5:$AJ$29,MATCH(VLOOKUP(Q$37,$BH$3:$BI$50,2,FALSE),$I$4:$AJ$4,0),FALSE),BoundParameters_HiddenSheetCLAY!$B$1:$E$1,0),FALSE),IF(VLOOKUP($E65,'Table Output'!$A$2:$E$99999,5,FALSE)="Clay",VLOOKUP(Q$37,BoundParameters_HiddenSheetCLAY!$B$3:$E$50,MATCH(VLOOKUP($I65,$I$5:$AJ$35,MATCH(VLOOKUP(Q$37,$BH$3:$BI$50,2,FALSE),$I$4:$AJ$4,0),FALSE),BoundParameters_HiddenSheetCLAY!$B$1:$E$1,0),FALSE))),'Control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Output'!$A$2:$E$99999,5,FALSE)="Sand",VLOOKUP(R$37,BoundParameters_HiddenSheetSAND!$B$3:$E$50,MATCH(VLOOKUP($I65,$I$5:$AJ$29,MATCH(VLOOKUP(R$37,$BH$3:$BI$50,2,FALSE),$I$4:$AJ$4,0),FALSE),BoundParameters_HiddenSheetCLAY!$B$1:$E$1,0),FALSE),IF(VLOOKUP($E65,'Table Output'!$A$2:$E$99999,5,FALSE)="Clay",VLOOKUP(R$37,BoundParameters_HiddenSheetCLAY!$B$3:$E$50,MATCH(VLOOKUP($I65,$I$5:$AJ$35,MATCH(VLOOKUP(R$37,$BH$3:$BI$50,2,FALSE),$I$4:$AJ$4,0),FALSE),BoundParameters_HiddenSheetCLAY!$B$1:$E$1,0),FALSE))),'Control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Output'!$A$2:$E$99999,5,FALSE)="Sand",VLOOKUP(S$37,BoundParameters_HiddenSheetSAND!$B$3:$E$50,MATCH(VLOOKUP($I65,$I$5:$AJ$29,MATCH(VLOOKUP(S$37,$BH$3:$BI$50,2,FALSE),$I$4:$AJ$4,0),FALSE),BoundParameters_HiddenSheetCLAY!$B$1:$E$1,0),FALSE),IF(VLOOKUP($E65,'Table Output'!$A$2:$E$99999,5,FALSE)="Clay",VLOOKUP(S$37,BoundParameters_HiddenSheetCLAY!$B$3:$E$50,MATCH(VLOOKUP($I65,$I$5:$AJ$35,MATCH(VLOOKUP(S$37,$BH$3:$BI$50,2,FALSE),$I$4:$AJ$4,0),FALSE),BoundParameters_HiddenSheetCLAY!$B$1:$E$1,0),FALSE))),'Control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Output'!$A$2:$E$99999,5,FALSE)="Sand",VLOOKUP(J$37,BoundParameters_HiddenSheetSAND!$B$3:$E$50,MATCH(VLOOKUP($I66,$I$5:$AJ$29,MATCH(VLOOKUP(J$37,$BH$3:$BI$50,2,FALSE),$I$4:$AJ$4,0),FALSE),BoundParameters_HiddenSheetCLAY!$B$1:$E$1,0),FALSE),IF(VLOOKUP($E66,'Table Output'!$A$2:$E$99999,5,FALSE)="Clay",VLOOKUP(J$37,BoundParameters_HiddenSheetCLAY!$B$3:$E$50,MATCH(VLOOKUP($I66,$I$5:$AJ$35,MATCH(VLOOKUP(J$37,$BH$3:$BI$50,2,FALSE),$I$4:$AJ$4,0),FALSE),BoundParameters_HiddenSheetCLAY!$B$1:$E$1,0),FALSE))),'Control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Output'!$A$2:$E$99999,5,FALSE)="Sand",VLOOKUP(K$37,BoundParameters_HiddenSheetSAND!$B$3:$E$50,MATCH(VLOOKUP($I66,$I$5:$AJ$29,MATCH(VLOOKUP(K$37,$BH$3:$BI$50,2,FALSE),$I$4:$AJ$4,0),FALSE),BoundParameters_HiddenSheetCLAY!$B$1:$E$1,0),FALSE),IF(VLOOKUP($E66,'Table Output'!$A$2:$E$99999,5,FALSE)="Clay",VLOOKUP(K$37,BoundParameters_HiddenSheetCLAY!$B$3:$E$50,MATCH(VLOOKUP($I66,$I$5:$AJ$35,MATCH(VLOOKUP(K$37,$BH$3:$BI$50,2,FALSE),$I$4:$AJ$4,0),FALSE),BoundParameters_HiddenSheetCLAY!$B$1:$E$1,0),FALSE))),'Control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Output'!$A$2:$E$99999,5,FALSE)="Sand",VLOOKUP(L$37,BoundParameters_HiddenSheetSAND!$B$3:$E$50,MATCH(VLOOKUP($I66,$I$5:$AJ$29,MATCH(VLOOKUP(L$37,$BH$3:$BI$50,2,FALSE),$I$4:$AJ$4,0),FALSE),BoundParameters_HiddenSheetCLAY!$B$1:$E$1,0),FALSE),IF(VLOOKUP($E66,'Table Output'!$A$2:$E$99999,5,FALSE)="Clay",VLOOKUP(L$37,BoundParameters_HiddenSheetCLAY!$B$3:$E$50,MATCH(VLOOKUP($I66,$I$5:$AJ$35,MATCH(VLOOKUP(L$37,$BH$3:$BI$50,2,FALSE),$I$4:$AJ$4,0),FALSE),BoundParameters_HiddenSheetCLAY!$B$1:$E$1,0),FALSE))),'Control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Output'!$A$2:$E$99999,5,FALSE)="Sand",VLOOKUP(M$37,BoundParameters_HiddenSheetSAND!$B$3:$E$50,MATCH(VLOOKUP($I66,$I$5:$AJ$29,MATCH(VLOOKUP(M$37,$BH$3:$BI$50,2,FALSE),$I$4:$AJ$4,0),FALSE),BoundParameters_HiddenSheetCLAY!$B$1:$E$1,0),FALSE),IF(VLOOKUP($E66,'Table Output'!$A$2:$E$99999,5,FALSE)="Clay",VLOOKUP(M$37,BoundParameters_HiddenSheetCLAY!$B$3:$E$50,MATCH(VLOOKUP($I66,$I$5:$AJ$35,MATCH(VLOOKUP(M$37,$BH$3:$BI$50,2,FALSE),$I$4:$AJ$4,0),FALSE),BoundParameters_HiddenSheetCLAY!$B$1:$E$1,0),FALSE))),'Control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Output'!$A$2:$E$99999,5,FALSE)="Sand",VLOOKUP(N$37,BoundParameters_HiddenSheetSAND!$B$3:$E$50,MATCH(VLOOKUP($I66,$I$5:$AJ$29,MATCH(VLOOKUP(N$37,$BH$3:$BI$50,2,FALSE),$I$4:$AJ$4,0),FALSE),BoundParameters_HiddenSheetCLAY!$B$1:$E$1,0),FALSE),IF(VLOOKUP($E66,'Table Output'!$A$2:$E$99999,5,FALSE)="Clay",VLOOKUP(N$37,BoundParameters_HiddenSheetCLAY!$B$3:$E$50,MATCH(VLOOKUP($I66,$I$5:$AJ$35,MATCH(VLOOKUP(N$37,$BH$3:$BI$50,2,FALSE),$I$4:$AJ$4,0),FALSE),BoundParameters_HiddenSheetCLAY!$B$1:$E$1,0),FALSE))),'Control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Output'!$A$2:$E$99999,5,FALSE)="Sand",VLOOKUP(O$37,BoundParameters_HiddenSheetSAND!$B$3:$E$50,MATCH(VLOOKUP($I66,$I$5:$AJ$29,MATCH(VLOOKUP(O$37,$BH$3:$BI$50,2,FALSE),$I$4:$AJ$4,0),FALSE),BoundParameters_HiddenSheetCLAY!$B$1:$E$1,0),FALSE),IF(VLOOKUP($E66,'Table Output'!$A$2:$E$99999,5,FALSE)="Clay",VLOOKUP(O$37,BoundParameters_HiddenSheetCLAY!$B$3:$E$50,MATCH(VLOOKUP($I66,$I$5:$AJ$35,MATCH(VLOOKUP(O$37,$BH$3:$BI$50,2,FALSE),$I$4:$AJ$4,0),FALSE),BoundParameters_HiddenSheetCLAY!$B$1:$E$1,0),FALSE))),'Control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Output'!$A$2:$E$99999,5,FALSE)="Sand",VLOOKUP(P$37,BoundParameters_HiddenSheetSAND!$B$3:$E$50,MATCH(VLOOKUP($I66,$I$5:$AJ$29,MATCH(VLOOKUP(P$37,$BH$3:$BI$50,2,FALSE),$I$4:$AJ$4,0),FALSE),BoundParameters_HiddenSheetCLAY!$B$1:$E$1,0),FALSE),IF(VLOOKUP($E66,'Table Output'!$A$2:$E$99999,5,FALSE)="Clay",VLOOKUP(P$37,BoundParameters_HiddenSheetCLAY!$B$3:$E$50,MATCH(VLOOKUP($I66,$I$5:$AJ$35,MATCH(VLOOKUP(P$37,$BH$3:$BI$50,2,FALSE),$I$4:$AJ$4,0),FALSE),BoundParameters_HiddenSheetCLAY!$B$1:$E$1,0),FALSE))),'Control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Output'!$A$2:$E$99999,5,FALSE)="Sand",VLOOKUP(Q$37,BoundParameters_HiddenSheetSAND!$B$3:$E$50,MATCH(VLOOKUP($I66,$I$5:$AJ$29,MATCH(VLOOKUP(Q$37,$BH$3:$BI$50,2,FALSE),$I$4:$AJ$4,0),FALSE),BoundParameters_HiddenSheetCLAY!$B$1:$E$1,0),FALSE),IF(VLOOKUP($E66,'Table Output'!$A$2:$E$99999,5,FALSE)="Clay",VLOOKUP(Q$37,BoundParameters_HiddenSheetCLAY!$B$3:$E$50,MATCH(VLOOKUP($I66,$I$5:$AJ$35,MATCH(VLOOKUP(Q$37,$BH$3:$BI$50,2,FALSE),$I$4:$AJ$4,0),FALSE),BoundParameters_HiddenSheetCLAY!$B$1:$E$1,0),FALSE))),'Control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Output'!$A$2:$E$99999,5,FALSE)="Sand",VLOOKUP(R$37,BoundParameters_HiddenSheetSAND!$B$3:$E$50,MATCH(VLOOKUP($I66,$I$5:$AJ$29,MATCH(VLOOKUP(R$37,$BH$3:$BI$50,2,FALSE),$I$4:$AJ$4,0),FALSE),BoundParameters_HiddenSheetCLAY!$B$1:$E$1,0),FALSE),IF(VLOOKUP($E66,'Table Output'!$A$2:$E$99999,5,FALSE)="Clay",VLOOKUP(R$37,BoundParameters_HiddenSheetCLAY!$B$3:$E$50,MATCH(VLOOKUP($I66,$I$5:$AJ$35,MATCH(VLOOKUP(R$37,$BH$3:$BI$50,2,FALSE),$I$4:$AJ$4,0),FALSE),BoundParameters_HiddenSheetCLAY!$B$1:$E$1,0),FALSE))),'Control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Output'!$A$2:$E$99999,5,FALSE)="Sand",VLOOKUP(S$37,BoundParameters_HiddenSheetSAND!$B$3:$E$50,MATCH(VLOOKUP($I66,$I$5:$AJ$29,MATCH(VLOOKUP(S$37,$BH$3:$BI$50,2,FALSE),$I$4:$AJ$4,0),FALSE),BoundParameters_HiddenSheetCLAY!$B$1:$E$1,0),FALSE),IF(VLOOKUP($E66,'Table Output'!$A$2:$E$99999,5,FALSE)="Clay",VLOOKUP(S$37,BoundParameters_HiddenSheetCLAY!$B$3:$E$50,MATCH(VLOOKUP($I66,$I$5:$AJ$35,MATCH(VLOOKUP(S$37,$BH$3:$BI$50,2,FALSE),$I$4:$AJ$4,0),FALSE),BoundParameters_HiddenSheetCLAY!$B$1:$E$1,0),FALSE))),'Control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Output'!$A$2:$E$99999,5,FALSE)="Sand",VLOOKUP(J$37,BoundParameters_HiddenSheetSAND!$B$3:$E$50,MATCH(VLOOKUP($I67,$I$5:$AJ$29,MATCH(VLOOKUP(J$37,$BH$3:$BI$50,2,FALSE),$I$4:$AJ$4,0),FALSE),BoundParameters_HiddenSheetCLAY!$B$1:$E$1,0),FALSE),IF(VLOOKUP($E67,'Table Output'!$A$2:$E$99999,5,FALSE)="Clay",VLOOKUP(J$37,BoundParameters_HiddenSheetCLAY!$B$3:$E$50,MATCH(VLOOKUP($I67,$I$5:$AJ$35,MATCH(VLOOKUP(J$37,$BH$3:$BI$50,2,FALSE),$I$4:$AJ$4,0),FALSE),BoundParameters_HiddenSheetCLAY!$B$1:$E$1,0),FALSE))),'Control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Output'!$A$2:$E$99999,5,FALSE)="Sand",VLOOKUP(K$37,BoundParameters_HiddenSheetSAND!$B$3:$E$50,MATCH(VLOOKUP($I67,$I$5:$AJ$29,MATCH(VLOOKUP(K$37,$BH$3:$BI$50,2,FALSE),$I$4:$AJ$4,0),FALSE),BoundParameters_HiddenSheetCLAY!$B$1:$E$1,0),FALSE),IF(VLOOKUP($E67,'Table Output'!$A$2:$E$99999,5,FALSE)="Clay",VLOOKUP(K$37,BoundParameters_HiddenSheetCLAY!$B$3:$E$50,MATCH(VLOOKUP($I67,$I$5:$AJ$35,MATCH(VLOOKUP(K$37,$BH$3:$BI$50,2,FALSE),$I$4:$AJ$4,0),FALSE),BoundParameters_HiddenSheetCLAY!$B$1:$E$1,0),FALSE))),'Control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Output'!$A$2:$E$99999,5,FALSE)="Sand",VLOOKUP(L$37,BoundParameters_HiddenSheetSAND!$B$3:$E$50,MATCH(VLOOKUP($I67,$I$5:$AJ$29,MATCH(VLOOKUP(L$37,$BH$3:$BI$50,2,FALSE),$I$4:$AJ$4,0),FALSE),BoundParameters_HiddenSheetCLAY!$B$1:$E$1,0),FALSE),IF(VLOOKUP($E67,'Table Output'!$A$2:$E$99999,5,FALSE)="Clay",VLOOKUP(L$37,BoundParameters_HiddenSheetCLAY!$B$3:$E$50,MATCH(VLOOKUP($I67,$I$5:$AJ$35,MATCH(VLOOKUP(L$37,$BH$3:$BI$50,2,FALSE),$I$4:$AJ$4,0),FALSE),BoundParameters_HiddenSheetCLAY!$B$1:$E$1,0),FALSE))),'Control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Output'!$A$2:$E$99999,5,FALSE)="Sand",VLOOKUP(M$37,BoundParameters_HiddenSheetSAND!$B$3:$E$50,MATCH(VLOOKUP($I67,$I$5:$AJ$29,MATCH(VLOOKUP(M$37,$BH$3:$BI$50,2,FALSE),$I$4:$AJ$4,0),FALSE),BoundParameters_HiddenSheetCLAY!$B$1:$E$1,0),FALSE),IF(VLOOKUP($E67,'Table Output'!$A$2:$E$99999,5,FALSE)="Clay",VLOOKUP(M$37,BoundParameters_HiddenSheetCLAY!$B$3:$E$50,MATCH(VLOOKUP($I67,$I$5:$AJ$35,MATCH(VLOOKUP(M$37,$BH$3:$BI$50,2,FALSE),$I$4:$AJ$4,0),FALSE),BoundParameters_HiddenSheetCLAY!$B$1:$E$1,0),FALSE))),'Control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Output'!$A$2:$E$99999,5,FALSE)="Sand",VLOOKUP(N$37,BoundParameters_HiddenSheetSAND!$B$3:$E$50,MATCH(VLOOKUP($I67,$I$5:$AJ$29,MATCH(VLOOKUP(N$37,$BH$3:$BI$50,2,FALSE),$I$4:$AJ$4,0),FALSE),BoundParameters_HiddenSheetCLAY!$B$1:$E$1,0),FALSE),IF(VLOOKUP($E67,'Table Output'!$A$2:$E$99999,5,FALSE)="Clay",VLOOKUP(N$37,BoundParameters_HiddenSheetCLAY!$B$3:$E$50,MATCH(VLOOKUP($I67,$I$5:$AJ$35,MATCH(VLOOKUP(N$37,$BH$3:$BI$50,2,FALSE),$I$4:$AJ$4,0),FALSE),BoundParameters_HiddenSheetCLAY!$B$1:$E$1,0),FALSE))),'Control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Output'!$A$2:$E$99999,5,FALSE)="Sand",VLOOKUP(O$37,BoundParameters_HiddenSheetSAND!$B$3:$E$50,MATCH(VLOOKUP($I67,$I$5:$AJ$29,MATCH(VLOOKUP(O$37,$BH$3:$BI$50,2,FALSE),$I$4:$AJ$4,0),FALSE),BoundParameters_HiddenSheetCLAY!$B$1:$E$1,0),FALSE),IF(VLOOKUP($E67,'Table Output'!$A$2:$E$99999,5,FALSE)="Clay",VLOOKUP(O$37,BoundParameters_HiddenSheetCLAY!$B$3:$E$50,MATCH(VLOOKUP($I67,$I$5:$AJ$35,MATCH(VLOOKUP(O$37,$BH$3:$BI$50,2,FALSE),$I$4:$AJ$4,0),FALSE),BoundParameters_HiddenSheetCLAY!$B$1:$E$1,0),FALSE))),'Control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Output'!$A$2:$E$99999,5,FALSE)="Sand",VLOOKUP(P$37,BoundParameters_HiddenSheetSAND!$B$3:$E$50,MATCH(VLOOKUP($I67,$I$5:$AJ$29,MATCH(VLOOKUP(P$37,$BH$3:$BI$50,2,FALSE),$I$4:$AJ$4,0),FALSE),BoundParameters_HiddenSheetCLAY!$B$1:$E$1,0),FALSE),IF(VLOOKUP($E67,'Table Output'!$A$2:$E$99999,5,FALSE)="Clay",VLOOKUP(P$37,BoundParameters_HiddenSheetCLAY!$B$3:$E$50,MATCH(VLOOKUP($I67,$I$5:$AJ$35,MATCH(VLOOKUP(P$37,$BH$3:$BI$50,2,FALSE),$I$4:$AJ$4,0),FALSE),BoundParameters_HiddenSheetCLAY!$B$1:$E$1,0),FALSE))),'Control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Output'!$A$2:$E$99999,5,FALSE)="Sand",VLOOKUP(Q$37,BoundParameters_HiddenSheetSAND!$B$3:$E$50,MATCH(VLOOKUP($I67,$I$5:$AJ$29,MATCH(VLOOKUP(Q$37,$BH$3:$BI$50,2,FALSE),$I$4:$AJ$4,0),FALSE),BoundParameters_HiddenSheetCLAY!$B$1:$E$1,0),FALSE),IF(VLOOKUP($E67,'Table Output'!$A$2:$E$99999,5,FALSE)="Clay",VLOOKUP(Q$37,BoundParameters_HiddenSheetCLAY!$B$3:$E$50,MATCH(VLOOKUP($I67,$I$5:$AJ$35,MATCH(VLOOKUP(Q$37,$BH$3:$BI$50,2,FALSE),$I$4:$AJ$4,0),FALSE),BoundParameters_HiddenSheetCLAY!$B$1:$E$1,0),FALSE))),'Control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Output'!$A$2:$E$99999,5,FALSE)="Sand",VLOOKUP(R$37,BoundParameters_HiddenSheetSAND!$B$3:$E$50,MATCH(VLOOKUP($I67,$I$5:$AJ$29,MATCH(VLOOKUP(R$37,$BH$3:$BI$50,2,FALSE),$I$4:$AJ$4,0),FALSE),BoundParameters_HiddenSheetCLAY!$B$1:$E$1,0),FALSE),IF(VLOOKUP($E67,'Table Output'!$A$2:$E$99999,5,FALSE)="Clay",VLOOKUP(R$37,BoundParameters_HiddenSheetCLAY!$B$3:$E$50,MATCH(VLOOKUP($I67,$I$5:$AJ$35,MATCH(VLOOKUP(R$37,$BH$3:$BI$50,2,FALSE),$I$4:$AJ$4,0),FALSE),BoundParameters_HiddenSheetCLAY!$B$1:$E$1,0),FALSE))),'Control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Output'!$A$2:$E$99999,5,FALSE)="Sand",VLOOKUP(S$37,BoundParameters_HiddenSheetSAND!$B$3:$E$50,MATCH(VLOOKUP($I67,$I$5:$AJ$29,MATCH(VLOOKUP(S$37,$BH$3:$BI$50,2,FALSE),$I$4:$AJ$4,0),FALSE),BoundParameters_HiddenSheetCLAY!$B$1:$E$1,0),FALSE),IF(VLOOKUP($E67,'Table Output'!$A$2:$E$99999,5,FALSE)="Clay",VLOOKUP(S$37,BoundParameters_HiddenSheetCLAY!$B$3:$E$50,MATCH(VLOOKUP($I67,$I$5:$AJ$35,MATCH(VLOOKUP(S$37,$BH$3:$BI$50,2,FALSE),$I$4:$AJ$4,0),FALSE),BoundParameters_HiddenSheetCLAY!$B$1:$E$1,0),FALSE))),'Control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Output'!$A$2:$E$99999,5,FALSE)="Sand",VLOOKUP(J$37,BoundParameters_HiddenSheetSAND!$B$3:$E$50,MATCH(VLOOKUP($I68,$I$5:$AJ$29,MATCH(VLOOKUP(J$37,$BH$3:$BI$50,2,FALSE),$I$4:$AJ$4,0),FALSE),BoundParameters_HiddenSheetCLAY!$B$1:$E$1,0),FALSE),IF(VLOOKUP($E68,'Table Output'!$A$2:$E$99999,5,FALSE)="Clay",VLOOKUP(J$37,BoundParameters_HiddenSheetCLAY!$B$3:$E$50,MATCH(VLOOKUP($I68,$I$5:$AJ$35,MATCH(VLOOKUP(J$37,$BH$3:$BI$50,2,FALSE),$I$4:$AJ$4,0),FALSE),BoundParameters_HiddenSheetCLAY!$B$1:$E$1,0),FALSE))),'Control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Output'!$A$2:$E$99999,5,FALSE)="Sand",VLOOKUP(K$37,BoundParameters_HiddenSheetSAND!$B$3:$E$50,MATCH(VLOOKUP($I68,$I$5:$AJ$29,MATCH(VLOOKUP(K$37,$BH$3:$BI$50,2,FALSE),$I$4:$AJ$4,0),FALSE),BoundParameters_HiddenSheetCLAY!$B$1:$E$1,0),FALSE),IF(VLOOKUP($E68,'Table Output'!$A$2:$E$99999,5,FALSE)="Clay",VLOOKUP(K$37,BoundParameters_HiddenSheetCLAY!$B$3:$E$50,MATCH(VLOOKUP($I68,$I$5:$AJ$35,MATCH(VLOOKUP(K$37,$BH$3:$BI$50,2,FALSE),$I$4:$AJ$4,0),FALSE),BoundParameters_HiddenSheetCLAY!$B$1:$E$1,0),FALSE))),'Control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Output'!$A$2:$E$99999,5,FALSE)="Sand",VLOOKUP(L$37,BoundParameters_HiddenSheetSAND!$B$3:$E$50,MATCH(VLOOKUP($I68,$I$5:$AJ$29,MATCH(VLOOKUP(L$37,$BH$3:$BI$50,2,FALSE),$I$4:$AJ$4,0),FALSE),BoundParameters_HiddenSheetCLAY!$B$1:$E$1,0),FALSE),IF(VLOOKUP($E68,'Table Output'!$A$2:$E$99999,5,FALSE)="Clay",VLOOKUP(L$37,BoundParameters_HiddenSheetCLAY!$B$3:$E$50,MATCH(VLOOKUP($I68,$I$5:$AJ$35,MATCH(VLOOKUP(L$37,$BH$3:$BI$50,2,FALSE),$I$4:$AJ$4,0),FALSE),BoundParameters_HiddenSheetCLAY!$B$1:$E$1,0),FALSE))),'Control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Output'!$A$2:$E$99999,5,FALSE)="Sand",VLOOKUP(M$37,BoundParameters_HiddenSheetSAND!$B$3:$E$50,MATCH(VLOOKUP($I68,$I$5:$AJ$29,MATCH(VLOOKUP(M$37,$BH$3:$BI$50,2,FALSE),$I$4:$AJ$4,0),FALSE),BoundParameters_HiddenSheetCLAY!$B$1:$E$1,0),FALSE),IF(VLOOKUP($E68,'Table Output'!$A$2:$E$99999,5,FALSE)="Clay",VLOOKUP(M$37,BoundParameters_HiddenSheetCLAY!$B$3:$E$50,MATCH(VLOOKUP($I68,$I$5:$AJ$35,MATCH(VLOOKUP(M$37,$BH$3:$BI$50,2,FALSE),$I$4:$AJ$4,0),FALSE),BoundParameters_HiddenSheetCLAY!$B$1:$E$1,0),FALSE))),'Control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Output'!$A$2:$E$99999,5,FALSE)="Sand",VLOOKUP(N$37,BoundParameters_HiddenSheetSAND!$B$3:$E$50,MATCH(VLOOKUP($I68,$I$5:$AJ$29,MATCH(VLOOKUP(N$37,$BH$3:$BI$50,2,FALSE),$I$4:$AJ$4,0),FALSE),BoundParameters_HiddenSheetCLAY!$B$1:$E$1,0),FALSE),IF(VLOOKUP($E68,'Table Output'!$A$2:$E$99999,5,FALSE)="Clay",VLOOKUP(N$37,BoundParameters_HiddenSheetCLAY!$B$3:$E$50,MATCH(VLOOKUP($I68,$I$5:$AJ$35,MATCH(VLOOKUP(N$37,$BH$3:$BI$50,2,FALSE),$I$4:$AJ$4,0),FALSE),BoundParameters_HiddenSheetCLAY!$B$1:$E$1,0),FALSE))),'Control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Output'!$A$2:$E$99999,5,FALSE)="Sand",VLOOKUP(O$37,BoundParameters_HiddenSheetSAND!$B$3:$E$50,MATCH(VLOOKUP($I68,$I$5:$AJ$29,MATCH(VLOOKUP(O$37,$BH$3:$BI$50,2,FALSE),$I$4:$AJ$4,0),FALSE),BoundParameters_HiddenSheetCLAY!$B$1:$E$1,0),FALSE),IF(VLOOKUP($E68,'Table Output'!$A$2:$E$99999,5,FALSE)="Clay",VLOOKUP(O$37,BoundParameters_HiddenSheetCLAY!$B$3:$E$50,MATCH(VLOOKUP($I68,$I$5:$AJ$35,MATCH(VLOOKUP(O$37,$BH$3:$BI$50,2,FALSE),$I$4:$AJ$4,0),FALSE),BoundParameters_HiddenSheetCLAY!$B$1:$E$1,0),FALSE))),'Control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Output'!$A$2:$E$99999,5,FALSE)="Sand",VLOOKUP(P$37,BoundParameters_HiddenSheetSAND!$B$3:$E$50,MATCH(VLOOKUP($I68,$I$5:$AJ$29,MATCH(VLOOKUP(P$37,$BH$3:$BI$50,2,FALSE),$I$4:$AJ$4,0),FALSE),BoundParameters_HiddenSheetCLAY!$B$1:$E$1,0),FALSE),IF(VLOOKUP($E68,'Table Output'!$A$2:$E$99999,5,FALSE)="Clay",VLOOKUP(P$37,BoundParameters_HiddenSheetCLAY!$B$3:$E$50,MATCH(VLOOKUP($I68,$I$5:$AJ$35,MATCH(VLOOKUP(P$37,$BH$3:$BI$50,2,FALSE),$I$4:$AJ$4,0),FALSE),BoundParameters_HiddenSheetCLAY!$B$1:$E$1,0),FALSE))),'Control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Output'!$A$2:$E$99999,5,FALSE)="Sand",VLOOKUP(Q$37,BoundParameters_HiddenSheetSAND!$B$3:$E$50,MATCH(VLOOKUP($I68,$I$5:$AJ$29,MATCH(VLOOKUP(Q$37,$BH$3:$BI$50,2,FALSE),$I$4:$AJ$4,0),FALSE),BoundParameters_HiddenSheetCLAY!$B$1:$E$1,0),FALSE),IF(VLOOKUP($E68,'Table Output'!$A$2:$E$99999,5,FALSE)="Clay",VLOOKUP(Q$37,BoundParameters_HiddenSheetCLAY!$B$3:$E$50,MATCH(VLOOKUP($I68,$I$5:$AJ$35,MATCH(VLOOKUP(Q$37,$BH$3:$BI$50,2,FALSE),$I$4:$AJ$4,0),FALSE),BoundParameters_HiddenSheetCLAY!$B$1:$E$1,0),FALSE))),'Control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Output'!$A$2:$E$99999,5,FALSE)="Sand",VLOOKUP(R$37,BoundParameters_HiddenSheetSAND!$B$3:$E$50,MATCH(VLOOKUP($I68,$I$5:$AJ$29,MATCH(VLOOKUP(R$37,$BH$3:$BI$50,2,FALSE),$I$4:$AJ$4,0),FALSE),BoundParameters_HiddenSheetCLAY!$B$1:$E$1,0),FALSE),IF(VLOOKUP($E68,'Table Output'!$A$2:$E$99999,5,FALSE)="Clay",VLOOKUP(R$37,BoundParameters_HiddenSheetCLAY!$B$3:$E$50,MATCH(VLOOKUP($I68,$I$5:$AJ$35,MATCH(VLOOKUP(R$37,$BH$3:$BI$50,2,FALSE),$I$4:$AJ$4,0),FALSE),BoundParameters_HiddenSheetCLAY!$B$1:$E$1,0),FALSE))),'Control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Output'!$A$2:$E$99999,5,FALSE)="Sand",VLOOKUP(S$37,BoundParameters_HiddenSheetSAND!$B$3:$E$50,MATCH(VLOOKUP($I68,$I$5:$AJ$29,MATCH(VLOOKUP(S$37,$BH$3:$BI$50,2,FALSE),$I$4:$AJ$4,0),FALSE),BoundParameters_HiddenSheetCLAY!$B$1:$E$1,0),FALSE),IF(VLOOKUP($E68,'Table Output'!$A$2:$E$99999,5,FALSE)="Clay",VLOOKUP(S$37,BoundParameters_HiddenSheetCLAY!$B$3:$E$50,MATCH(VLOOKUP($I68,$I$5:$AJ$35,MATCH(VLOOKUP(S$37,$BH$3:$BI$50,2,FALSE),$I$4:$AJ$4,0),FALSE),BoundParameters_HiddenSheetCLAY!$B$1:$E$1,0),FALSE))),'Control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13" t="s">
        <v>178</v>
      </c>
      <c r="J71" s="114"/>
      <c r="K71" s="114"/>
      <c r="L71" s="114"/>
      <c r="M71" s="114"/>
      <c r="N71" s="114"/>
      <c r="O71" s="114"/>
      <c r="P71" s="114"/>
      <c r="Q71" s="114"/>
      <c r="R71" s="114"/>
      <c r="S71" s="115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Loc_69_Clay_1</v>
      </c>
      <c r="I73" s="7">
        <f>I38</f>
        <v>1</v>
      </c>
      <c r="J73" s="44">
        <f>IF($I73="","",IF(J$37="","",IF('Control Panel'!J73="",IF(VLOOKUP($E38,'Table Output'!$A$2:$E$99999,5,FALSE)="Sand",VLOOKUP(J$37,BoundParameters_HiddenSheetSAND!$I$3:$L$50,MATCH(VLOOKUP($I73,$I$5:$AJ$34,MATCH(VLOOKUP(J$37,$BH$3:$BI$50,2,FALSE),$I$4:$AJ$4,0),FALSE),BoundParameters_HiddenSheetCLAY!$I$1:$L$1,0),FALSE),IF(VLOOKUP($E38,'Table Output'!$A$2:$E$9999,5,FALSE)="Clay",VLOOKUP(J$37,BoundParameters_HiddenSheetCLAY!$I$3:$L$50,MATCH(VLOOKUP($I73,$I$5:$AJ$34,MATCH(VLOOKUP(J$37,$BH$3:$BI$50,2,FALSE),$I$4:$AJ$4,0),FALSE),BoundParameters_HiddenSheetCLAY!$I$1:$L$1,0),FALSE))),'Control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Output'!$A$2:$E$99999,5,FALSE)="Sand",VLOOKUP(K$37,BoundParameters_HiddenSheetSAND!$I$3:$L$50,MATCH(VLOOKUP($I73,$I$5:$AJ$34,MATCH(VLOOKUP(K$37,$BH$3:$BI$50,2,FALSE),$I$4:$AJ$4,0),FALSE),BoundParameters_HiddenSheetCLAY!$I$1:$L$1,0),FALSE),IF(VLOOKUP($E38,'Table Output'!$A$2:$E$9999,5,FALSE)="Clay",VLOOKUP(K$37,BoundParameters_HiddenSheetCLAY!$I$3:$L$50,MATCH(VLOOKUP($I73,$I$5:$AJ$34,MATCH(VLOOKUP(K$37,$BH$3:$BI$50,2,FALSE),$I$4:$AJ$4,0),FALSE),BoundParameters_HiddenSheetCLAY!$I$1:$L$1,0),FALSE))),'Control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Output'!$A$2:$E$99999,5,FALSE)="Sand",VLOOKUP(L$37,BoundParameters_HiddenSheetSAND!$I$3:$L$50,MATCH(VLOOKUP($I73,$I$5:$AJ$34,MATCH(VLOOKUP(L$37,$BH$3:$BI$50,2,FALSE),$I$4:$AJ$4,0),FALSE),BoundParameters_HiddenSheetCLAY!$I$1:$L$1,0),FALSE),IF(VLOOKUP($E38,'Table Output'!$A$2:$E$9999,5,FALSE)="Clay",VLOOKUP(L$37,BoundParameters_HiddenSheetCLAY!$I$3:$L$50,MATCH(VLOOKUP($I73,$I$5:$AJ$34,MATCH(VLOOKUP(L$37,$BH$3:$BI$50,2,FALSE),$I$4:$AJ$4,0),FALSE),BoundParameters_HiddenSheetCLAY!$I$1:$L$1,0),FALSE))),'Control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Output'!$A$2:$E$99999,5,FALSE)="Sand",VLOOKUP(M$37,BoundParameters_HiddenSheetSAND!$I$3:$L$50,MATCH(VLOOKUP($I73,$I$5:$AJ$34,MATCH(VLOOKUP(M$37,$BH$3:$BI$50,2,FALSE),$I$4:$AJ$4,0),FALSE),BoundParameters_HiddenSheetCLAY!$I$1:$L$1,0),FALSE),IF(VLOOKUP($E38,'Table Output'!$A$2:$E$9999,5,FALSE)="Clay",VLOOKUP(M$37,BoundParameters_HiddenSheetCLAY!$I$3:$L$50,MATCH(VLOOKUP($I73,$I$5:$AJ$34,MATCH(VLOOKUP(M$37,$BH$3:$BI$50,2,FALSE),$I$4:$AJ$4,0),FALSE),BoundParameters_HiddenSheetCLAY!$I$1:$L$1,0),FALSE))),'Control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Output'!$A$2:$E$99999,5,FALSE)="Sand",VLOOKUP(N$37,BoundParameters_HiddenSheetSAND!$I$3:$L$50,MATCH(VLOOKUP($I73,$I$5:$AJ$34,MATCH(VLOOKUP(N$37,$BH$3:$BI$50,2,FALSE),$I$4:$AJ$4,0),FALSE),BoundParameters_HiddenSheetCLAY!$I$1:$L$1,0),FALSE),IF(VLOOKUP($E38,'Table Output'!$A$2:$E$9999,5,FALSE)="Clay",VLOOKUP(N$37,BoundParameters_HiddenSheetCLAY!$I$3:$L$50,MATCH(VLOOKUP($I73,$I$5:$AJ$34,MATCH(VLOOKUP(N$37,$BH$3:$BI$50,2,FALSE),$I$4:$AJ$4,0),FALSE),BoundParameters_HiddenSheetCLAY!$I$1:$L$1,0),FALSE))),'Control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Output'!$A$2:$E$99999,5,FALSE)="Sand",VLOOKUP(O$37,BoundParameters_HiddenSheetSAND!$I$3:$L$50,MATCH(VLOOKUP($I73,$I$5:$AJ$34,MATCH(VLOOKUP(O$37,$BH$3:$BI$50,2,FALSE),$I$4:$AJ$4,0),FALSE),BoundParameters_HiddenSheetCLAY!$I$1:$L$1,0),FALSE),IF(VLOOKUP($E38,'Table Output'!$A$2:$E$9999,5,FALSE)="Clay",VLOOKUP(O$37,BoundParameters_HiddenSheetCLAY!$I$3:$L$50,MATCH(VLOOKUP($I73,$I$5:$AJ$34,MATCH(VLOOKUP(O$37,$BH$3:$BI$50,2,FALSE),$I$4:$AJ$4,0),FALSE),BoundParameters_HiddenSheetCLAY!$I$1:$L$1,0),FALSE))),'Control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Output'!$A$2:$E$99999,5,FALSE)="Sand",VLOOKUP(P$37,BoundParameters_HiddenSheetSAND!$I$3:$L$50,MATCH(VLOOKUP($I73,$I$5:$AJ$34,MATCH(VLOOKUP(P$37,$BH$3:$BI$50,2,FALSE),$I$4:$AJ$4,0),FALSE),BoundParameters_HiddenSheetCLAY!$I$1:$L$1,0),FALSE),IF(VLOOKUP($E38,'Table Output'!$A$2:$E$9999,5,FALSE)="Clay",VLOOKUP(P$37,BoundParameters_HiddenSheetCLAY!$I$3:$L$50,MATCH(VLOOKUP($I73,$I$5:$AJ$34,MATCH(VLOOKUP(P$37,$BH$3:$BI$50,2,FALSE),$I$4:$AJ$4,0),FALSE),BoundParameters_HiddenSheetCLAY!$I$1:$L$1,0),FALSE))),'Control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Output'!$A$2:$E$99999,5,FALSE)="Sand",VLOOKUP(Q$37,BoundParameters_HiddenSheetSAND!$I$3:$L$50,MATCH(VLOOKUP($I73,$I$5:$AJ$34,MATCH(VLOOKUP(Q$37,$BH$3:$BI$50,2,FALSE),$I$4:$AJ$4,0),FALSE),BoundParameters_HiddenSheetCLAY!$I$1:$L$1,0),FALSE),IF(VLOOKUP($E38,'Table Output'!$A$2:$E$9999,5,FALSE)="Clay",VLOOKUP(Q$37,BoundParameters_HiddenSheetCLAY!$I$3:$L$50,MATCH(VLOOKUP($I73,$I$5:$AJ$34,MATCH(VLOOKUP(Q$37,$BH$3:$BI$50,2,FALSE),$I$4:$AJ$4,0),FALSE),BoundParameters_HiddenSheetCLAY!$I$1:$L$1,0),FALSE))),'Control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Output'!$A$2:$E$99999,5,FALSE)="Sand",VLOOKUP(R$37,BoundParameters_HiddenSheetSAND!$I$3:$L$50,MATCH(VLOOKUP($I73,$I$5:$AJ$34,MATCH(VLOOKUP(R$37,$BH$3:$BI$50,2,FALSE),$I$4:$AJ$4,0),FALSE),BoundParameters_HiddenSheetCLAY!$I$1:$L$1,0),FALSE),IF(VLOOKUP($E38,'Table Output'!$A$2:$E$9999,5,FALSE)="Clay",VLOOKUP(R$37,BoundParameters_HiddenSheetCLAY!$I$3:$L$50,MATCH(VLOOKUP($I73,$I$5:$AJ$34,MATCH(VLOOKUP(R$37,$BH$3:$BI$50,2,FALSE),$I$4:$AJ$4,0),FALSE),BoundParameters_HiddenSheetCLAY!$I$1:$L$1,0),FALSE))),'Control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Output'!$A$2:$E$99999,5,FALSE)="Sand",VLOOKUP(S$37,BoundParameters_HiddenSheetSAND!$I$3:$L$50,MATCH(VLOOKUP($I73,$I$5:$AJ$34,MATCH(VLOOKUP(S$37,$BH$3:$BI$50,2,FALSE),$I$4:$AJ$4,0),FALSE),BoundParameters_HiddenSheetCLAY!$I$1:$L$1,0),FALSE),IF(VLOOKUP($E38,'Table Output'!$A$2:$E$9999,5,FALSE)="Clay",VLOOKUP(S$37,BoundParameters_HiddenSheetCLAY!$I$3:$L$50,MATCH(VLOOKUP($I73,$I$5:$AJ$34,MATCH(VLOOKUP(S$37,$BH$3:$BI$50,2,FALSE),$I$4:$AJ$4,0),FALSE),BoundParameters_HiddenSheetCLAY!$I$1:$L$1,0),FALSE))),'Control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Loc_69_Sand_1</v>
      </c>
      <c r="I74" s="7">
        <f t="shared" si="7"/>
        <v>2</v>
      </c>
      <c r="J74" s="44">
        <f>IF($I74="","",IF(J$37="","",IF('Control Panel'!J74="",IF(VLOOKUP($E39,'Table Output'!$A$2:$E$99999,5,FALSE)="Sand",VLOOKUP(J$37,BoundParameters_HiddenSheetSAND!$I$3:$L$50,MATCH(VLOOKUP($I74,$I$5:$AJ$34,MATCH(VLOOKUP(J$37,$BH$3:$BI$50,2,FALSE),$I$4:$AJ$4,0),FALSE),BoundParameters_HiddenSheetCLAY!$I$1:$L$1,0),FALSE),IF(VLOOKUP($E39,'Table Output'!$A$2:$E$9999,5,FALSE)="Clay",VLOOKUP(J$37,BoundParameters_HiddenSheetCLAY!$I$3:$L$50,MATCH(VLOOKUP($I74,$I$5:$AJ$34,MATCH(VLOOKUP(J$37,$BH$3:$BI$50,2,FALSE),$I$4:$AJ$4,0),FALSE),BoundParameters_HiddenSheetCLAY!$I$1:$L$1,0),FALSE))),'Control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Output'!$A$2:$E$99999,5,FALSE)="Sand",VLOOKUP(K$37,BoundParameters_HiddenSheetSAND!$I$3:$L$50,MATCH(VLOOKUP($I74,$I$5:$AJ$34,MATCH(VLOOKUP(K$37,$BH$3:$BI$50,2,FALSE),$I$4:$AJ$4,0),FALSE),BoundParameters_HiddenSheetCLAY!$I$1:$L$1,0),FALSE),IF(VLOOKUP($E39,'Table Output'!$A$2:$E$9999,5,FALSE)="Clay",VLOOKUP(K$37,BoundParameters_HiddenSheetCLAY!$I$3:$L$50,MATCH(VLOOKUP($I74,$I$5:$AJ$34,MATCH(VLOOKUP(K$37,$BH$3:$BI$50,2,FALSE),$I$4:$AJ$4,0),FALSE),BoundParameters_HiddenSheetCLAY!$I$1:$L$1,0),FALSE))),'Control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Output'!$A$2:$E$99999,5,FALSE)="Sand",VLOOKUP(L$37,BoundParameters_HiddenSheetSAND!$I$3:$L$50,MATCH(VLOOKUP($I74,$I$5:$AJ$34,MATCH(VLOOKUP(L$37,$BH$3:$BI$50,2,FALSE),$I$4:$AJ$4,0),FALSE),BoundParameters_HiddenSheetCLAY!$I$1:$L$1,0),FALSE),IF(VLOOKUP($E39,'Table Output'!$A$2:$E$9999,5,FALSE)="Clay",VLOOKUP(L$37,BoundParameters_HiddenSheetCLAY!$I$3:$L$50,MATCH(VLOOKUP($I74,$I$5:$AJ$34,MATCH(VLOOKUP(L$37,$BH$3:$BI$50,2,FALSE),$I$4:$AJ$4,0),FALSE),BoundParameters_HiddenSheetCLAY!$I$1:$L$1,0),FALSE))),'Control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Output'!$A$2:$E$99999,5,FALSE)="Sand",VLOOKUP(M$37,BoundParameters_HiddenSheetSAND!$I$3:$L$50,MATCH(VLOOKUP($I74,$I$5:$AJ$34,MATCH(VLOOKUP(M$37,$BH$3:$BI$50,2,FALSE),$I$4:$AJ$4,0),FALSE),BoundParameters_HiddenSheetCLAY!$I$1:$L$1,0),FALSE),IF(VLOOKUP($E39,'Table Output'!$A$2:$E$9999,5,FALSE)="Clay",VLOOKUP(M$37,BoundParameters_HiddenSheetCLAY!$I$3:$L$50,MATCH(VLOOKUP($I74,$I$5:$AJ$34,MATCH(VLOOKUP(M$37,$BH$3:$BI$50,2,FALSE),$I$4:$AJ$4,0),FALSE),BoundParameters_HiddenSheetCLAY!$I$1:$L$1,0),FALSE))),'Control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Output'!$A$2:$E$99999,5,FALSE)="Sand",VLOOKUP(N$37,BoundParameters_HiddenSheetSAND!$I$3:$L$50,MATCH(VLOOKUP($I74,$I$5:$AJ$34,MATCH(VLOOKUP(N$37,$BH$3:$BI$50,2,FALSE),$I$4:$AJ$4,0),FALSE),BoundParameters_HiddenSheetCLAY!$I$1:$L$1,0),FALSE),IF(VLOOKUP($E39,'Table Output'!$A$2:$E$9999,5,FALSE)="Clay",VLOOKUP(N$37,BoundParameters_HiddenSheetCLAY!$I$3:$L$50,MATCH(VLOOKUP($I74,$I$5:$AJ$34,MATCH(VLOOKUP(N$37,$BH$3:$BI$50,2,FALSE),$I$4:$AJ$4,0),FALSE),BoundParameters_HiddenSheetCLAY!$I$1:$L$1,0),FALSE))),'Control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Output'!$A$2:$E$99999,5,FALSE)="Sand",VLOOKUP(O$37,BoundParameters_HiddenSheetSAND!$I$3:$L$50,MATCH(VLOOKUP($I74,$I$5:$AJ$34,MATCH(VLOOKUP(O$37,$BH$3:$BI$50,2,FALSE),$I$4:$AJ$4,0),FALSE),BoundParameters_HiddenSheetCLAY!$I$1:$L$1,0),FALSE),IF(VLOOKUP($E39,'Table Output'!$A$2:$E$9999,5,FALSE)="Clay",VLOOKUP(O$37,BoundParameters_HiddenSheetCLAY!$I$3:$L$50,MATCH(VLOOKUP($I74,$I$5:$AJ$34,MATCH(VLOOKUP(O$37,$BH$3:$BI$50,2,FALSE),$I$4:$AJ$4,0),FALSE),BoundParameters_HiddenSheetCLAY!$I$1:$L$1,0),FALSE))),'Control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Output'!$A$2:$E$99999,5,FALSE)="Sand",VLOOKUP(P$37,BoundParameters_HiddenSheetSAND!$I$3:$L$50,MATCH(VLOOKUP($I74,$I$5:$AJ$34,MATCH(VLOOKUP(P$37,$BH$3:$BI$50,2,FALSE),$I$4:$AJ$4,0),FALSE),BoundParameters_HiddenSheetCLAY!$I$1:$L$1,0),FALSE),IF(VLOOKUP($E39,'Table Output'!$A$2:$E$9999,5,FALSE)="Clay",VLOOKUP(P$37,BoundParameters_HiddenSheetCLAY!$I$3:$L$50,MATCH(VLOOKUP($I74,$I$5:$AJ$34,MATCH(VLOOKUP(P$37,$BH$3:$BI$50,2,FALSE),$I$4:$AJ$4,0),FALSE),BoundParameters_HiddenSheetCLAY!$I$1:$L$1,0),FALSE))),'Control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Output'!$A$2:$E$99999,5,FALSE)="Sand",VLOOKUP(Q$37,BoundParameters_HiddenSheetSAND!$I$3:$L$50,MATCH(VLOOKUP($I74,$I$5:$AJ$34,MATCH(VLOOKUP(Q$37,$BH$3:$BI$50,2,FALSE),$I$4:$AJ$4,0),FALSE),BoundParameters_HiddenSheetCLAY!$I$1:$L$1,0),FALSE),IF(VLOOKUP($E39,'Table Output'!$A$2:$E$9999,5,FALSE)="Clay",VLOOKUP(Q$37,BoundParameters_HiddenSheetCLAY!$I$3:$L$50,MATCH(VLOOKUP($I74,$I$5:$AJ$34,MATCH(VLOOKUP(Q$37,$BH$3:$BI$50,2,FALSE),$I$4:$AJ$4,0),FALSE),BoundParameters_HiddenSheetCLAY!$I$1:$L$1,0),FALSE))),'Control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Output'!$A$2:$E$99999,5,FALSE)="Sand",VLOOKUP(R$37,BoundParameters_HiddenSheetSAND!$I$3:$L$50,MATCH(VLOOKUP($I74,$I$5:$AJ$34,MATCH(VLOOKUP(R$37,$BH$3:$BI$50,2,FALSE),$I$4:$AJ$4,0),FALSE),BoundParameters_HiddenSheetCLAY!$I$1:$L$1,0),FALSE),IF(VLOOKUP($E39,'Table Output'!$A$2:$E$9999,5,FALSE)="Clay",VLOOKUP(R$37,BoundParameters_HiddenSheetCLAY!$I$3:$L$50,MATCH(VLOOKUP($I74,$I$5:$AJ$34,MATCH(VLOOKUP(R$37,$BH$3:$BI$50,2,FALSE),$I$4:$AJ$4,0),FALSE),BoundParameters_HiddenSheetCLAY!$I$1:$L$1,0),FALSE))),'Control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Output'!$A$2:$E$99999,5,FALSE)="Sand",VLOOKUP(S$37,BoundParameters_HiddenSheetSAND!$I$3:$L$50,MATCH(VLOOKUP($I74,$I$5:$AJ$34,MATCH(VLOOKUP(S$37,$BH$3:$BI$50,2,FALSE),$I$4:$AJ$4,0),FALSE),BoundParameters_HiddenSheetCLAY!$I$1:$L$1,0),FALSE),IF(VLOOKUP($E39,'Table Output'!$A$2:$E$9999,5,FALSE)="Clay",VLOOKUP(S$37,BoundParameters_HiddenSheetCLAY!$I$3:$L$50,MATCH(VLOOKUP($I74,$I$5:$AJ$34,MATCH(VLOOKUP(S$37,$BH$3:$BI$50,2,FALSE),$I$4:$AJ$4,0),FALSE),BoundParameters_HiddenSheetCLAY!$I$1:$L$1,0),FALSE))),'Control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Loc_69_Sand_2</v>
      </c>
      <c r="I75" s="7">
        <f t="shared" si="7"/>
        <v>3</v>
      </c>
      <c r="J75" s="44">
        <f>IF($I75="","",IF(J$37="","",IF('Control Panel'!J75="",IF(VLOOKUP($E40,'Table Output'!$A$2:$E$99999,5,FALSE)="Sand",VLOOKUP(J$37,BoundParameters_HiddenSheetSAND!$I$3:$L$50,MATCH(VLOOKUP($I75,$I$5:$AJ$34,MATCH(VLOOKUP(J$37,$BH$3:$BI$50,2,FALSE),$I$4:$AJ$4,0),FALSE),BoundParameters_HiddenSheetCLAY!$I$1:$L$1,0),FALSE),IF(VLOOKUP($E40,'Table Output'!$A$2:$E$9999,5,FALSE)="Clay",VLOOKUP(J$37,BoundParameters_HiddenSheetCLAY!$I$3:$L$50,MATCH(VLOOKUP($I75,$I$5:$AJ$34,MATCH(VLOOKUP(J$37,$BH$3:$BI$50,2,FALSE),$I$4:$AJ$4,0),FALSE),BoundParameters_HiddenSheetCLAY!$I$1:$L$1,0),FALSE))),'Control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Output'!$A$2:$E$99999,5,FALSE)="Sand",VLOOKUP(K$37,BoundParameters_HiddenSheetSAND!$I$3:$L$50,MATCH(VLOOKUP($I75,$I$5:$AJ$34,MATCH(VLOOKUP(K$37,$BH$3:$BI$50,2,FALSE),$I$4:$AJ$4,0),FALSE),BoundParameters_HiddenSheetCLAY!$I$1:$L$1,0),FALSE),IF(VLOOKUP($E40,'Table Output'!$A$2:$E$9999,5,FALSE)="Clay",VLOOKUP(K$37,BoundParameters_HiddenSheetCLAY!$I$3:$L$50,MATCH(VLOOKUP($I75,$I$5:$AJ$34,MATCH(VLOOKUP(K$37,$BH$3:$BI$50,2,FALSE),$I$4:$AJ$4,0),FALSE),BoundParameters_HiddenSheetCLAY!$I$1:$L$1,0),FALSE))),'Control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Output'!$A$2:$E$99999,5,FALSE)="Sand",VLOOKUP(L$37,BoundParameters_HiddenSheetSAND!$I$3:$L$50,MATCH(VLOOKUP($I75,$I$5:$AJ$34,MATCH(VLOOKUP(L$37,$BH$3:$BI$50,2,FALSE),$I$4:$AJ$4,0),FALSE),BoundParameters_HiddenSheetCLAY!$I$1:$L$1,0),FALSE),IF(VLOOKUP($E40,'Table Output'!$A$2:$E$9999,5,FALSE)="Clay",VLOOKUP(L$37,BoundParameters_HiddenSheetCLAY!$I$3:$L$50,MATCH(VLOOKUP($I75,$I$5:$AJ$34,MATCH(VLOOKUP(L$37,$BH$3:$BI$50,2,FALSE),$I$4:$AJ$4,0),FALSE),BoundParameters_HiddenSheetCLAY!$I$1:$L$1,0),FALSE))),'Control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Output'!$A$2:$E$99999,5,FALSE)="Sand",VLOOKUP(M$37,BoundParameters_HiddenSheetSAND!$I$3:$L$50,MATCH(VLOOKUP($I75,$I$5:$AJ$34,MATCH(VLOOKUP(M$37,$BH$3:$BI$50,2,FALSE),$I$4:$AJ$4,0),FALSE),BoundParameters_HiddenSheetCLAY!$I$1:$L$1,0),FALSE),IF(VLOOKUP($E40,'Table Output'!$A$2:$E$9999,5,FALSE)="Clay",VLOOKUP(M$37,BoundParameters_HiddenSheetCLAY!$I$3:$L$50,MATCH(VLOOKUP($I75,$I$5:$AJ$34,MATCH(VLOOKUP(M$37,$BH$3:$BI$50,2,FALSE),$I$4:$AJ$4,0),FALSE),BoundParameters_HiddenSheetCLAY!$I$1:$L$1,0),FALSE))),'Control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Output'!$A$2:$E$99999,5,FALSE)="Sand",VLOOKUP(N$37,BoundParameters_HiddenSheetSAND!$I$3:$L$50,MATCH(VLOOKUP($I75,$I$5:$AJ$34,MATCH(VLOOKUP(N$37,$BH$3:$BI$50,2,FALSE),$I$4:$AJ$4,0),FALSE),BoundParameters_HiddenSheetCLAY!$I$1:$L$1,0),FALSE),IF(VLOOKUP($E40,'Table Output'!$A$2:$E$9999,5,FALSE)="Clay",VLOOKUP(N$37,BoundParameters_HiddenSheetCLAY!$I$3:$L$50,MATCH(VLOOKUP($I75,$I$5:$AJ$34,MATCH(VLOOKUP(N$37,$BH$3:$BI$50,2,FALSE),$I$4:$AJ$4,0),FALSE),BoundParameters_HiddenSheetCLAY!$I$1:$L$1,0),FALSE))),'Control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Output'!$A$2:$E$99999,5,FALSE)="Sand",VLOOKUP(O$37,BoundParameters_HiddenSheetSAND!$I$3:$L$50,MATCH(VLOOKUP($I75,$I$5:$AJ$34,MATCH(VLOOKUP(O$37,$BH$3:$BI$50,2,FALSE),$I$4:$AJ$4,0),FALSE),BoundParameters_HiddenSheetCLAY!$I$1:$L$1,0),FALSE),IF(VLOOKUP($E40,'Table Output'!$A$2:$E$9999,5,FALSE)="Clay",VLOOKUP(O$37,BoundParameters_HiddenSheetCLAY!$I$3:$L$50,MATCH(VLOOKUP($I75,$I$5:$AJ$34,MATCH(VLOOKUP(O$37,$BH$3:$BI$50,2,FALSE),$I$4:$AJ$4,0),FALSE),BoundParameters_HiddenSheetCLAY!$I$1:$L$1,0),FALSE))),'Control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Output'!$A$2:$E$99999,5,FALSE)="Sand",VLOOKUP(P$37,BoundParameters_HiddenSheetSAND!$I$3:$L$50,MATCH(VLOOKUP($I75,$I$5:$AJ$34,MATCH(VLOOKUP(P$37,$BH$3:$BI$50,2,FALSE),$I$4:$AJ$4,0),FALSE),BoundParameters_HiddenSheetCLAY!$I$1:$L$1,0),FALSE),IF(VLOOKUP($E40,'Table Output'!$A$2:$E$9999,5,FALSE)="Clay",VLOOKUP(P$37,BoundParameters_HiddenSheetCLAY!$I$3:$L$50,MATCH(VLOOKUP($I75,$I$5:$AJ$34,MATCH(VLOOKUP(P$37,$BH$3:$BI$50,2,FALSE),$I$4:$AJ$4,0),FALSE),BoundParameters_HiddenSheetCLAY!$I$1:$L$1,0),FALSE))),'Control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Output'!$A$2:$E$99999,5,FALSE)="Sand",VLOOKUP(Q$37,BoundParameters_HiddenSheetSAND!$I$3:$L$50,MATCH(VLOOKUP($I75,$I$5:$AJ$34,MATCH(VLOOKUP(Q$37,$BH$3:$BI$50,2,FALSE),$I$4:$AJ$4,0),FALSE),BoundParameters_HiddenSheetCLAY!$I$1:$L$1,0),FALSE),IF(VLOOKUP($E40,'Table Output'!$A$2:$E$9999,5,FALSE)="Clay",VLOOKUP(Q$37,BoundParameters_HiddenSheetCLAY!$I$3:$L$50,MATCH(VLOOKUP($I75,$I$5:$AJ$34,MATCH(VLOOKUP(Q$37,$BH$3:$BI$50,2,FALSE),$I$4:$AJ$4,0),FALSE),BoundParameters_HiddenSheetCLAY!$I$1:$L$1,0),FALSE))),'Control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Output'!$A$2:$E$99999,5,FALSE)="Sand",VLOOKUP(R$37,BoundParameters_HiddenSheetSAND!$I$3:$L$50,MATCH(VLOOKUP($I75,$I$5:$AJ$34,MATCH(VLOOKUP(R$37,$BH$3:$BI$50,2,FALSE),$I$4:$AJ$4,0),FALSE),BoundParameters_HiddenSheetCLAY!$I$1:$L$1,0),FALSE),IF(VLOOKUP($E40,'Table Output'!$A$2:$E$9999,5,FALSE)="Clay",VLOOKUP(R$37,BoundParameters_HiddenSheetCLAY!$I$3:$L$50,MATCH(VLOOKUP($I75,$I$5:$AJ$34,MATCH(VLOOKUP(R$37,$BH$3:$BI$50,2,FALSE),$I$4:$AJ$4,0),FALSE),BoundParameters_HiddenSheetCLAY!$I$1:$L$1,0),FALSE))),'Control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Output'!$A$2:$E$99999,5,FALSE)="Sand",VLOOKUP(S$37,BoundParameters_HiddenSheetSAND!$I$3:$L$50,MATCH(VLOOKUP($I75,$I$5:$AJ$34,MATCH(VLOOKUP(S$37,$BH$3:$BI$50,2,FALSE),$I$4:$AJ$4,0),FALSE),BoundParameters_HiddenSheetCLAY!$I$1:$L$1,0),FALSE),IF(VLOOKUP($E40,'Table Output'!$A$2:$E$9999,5,FALSE)="Clay",VLOOKUP(S$37,BoundParameters_HiddenSheetCLAY!$I$3:$L$50,MATCH(VLOOKUP($I75,$I$5:$AJ$34,MATCH(VLOOKUP(S$37,$BH$3:$BI$50,2,FALSE),$I$4:$AJ$4,0),FALSE),BoundParameters_HiddenSheetCLAY!$I$1:$L$1,0),FALSE))),'Control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Loc_69_Sand_3</v>
      </c>
      <c r="I76" s="7">
        <f t="shared" si="7"/>
        <v>4</v>
      </c>
      <c r="J76" s="44">
        <f>IF($I76="","",IF(J$37="","",IF('Control Panel'!J76="",IF(VLOOKUP($E41,'Table Output'!$A$2:$E$99999,5,FALSE)="Sand",VLOOKUP(J$37,BoundParameters_HiddenSheetSAND!$I$3:$L$50,MATCH(VLOOKUP($I76,$I$5:$AJ$34,MATCH(VLOOKUP(J$37,$BH$3:$BI$50,2,FALSE),$I$4:$AJ$4,0),FALSE),BoundParameters_HiddenSheetCLAY!$I$1:$L$1,0),FALSE),IF(VLOOKUP($E41,'Table Output'!$A$2:$E$9999,5,FALSE)="Clay",VLOOKUP(J$37,BoundParameters_HiddenSheetCLAY!$I$3:$L$50,MATCH(VLOOKUP($I76,$I$5:$AJ$34,MATCH(VLOOKUP(J$37,$BH$3:$BI$50,2,FALSE),$I$4:$AJ$4,0),FALSE),BoundParameters_HiddenSheetCLAY!$I$1:$L$1,0),FALSE))),'Control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Output'!$A$2:$E$99999,5,FALSE)="Sand",VLOOKUP(K$37,BoundParameters_HiddenSheetSAND!$I$3:$L$50,MATCH(VLOOKUP($I76,$I$5:$AJ$34,MATCH(VLOOKUP(K$37,$BH$3:$BI$50,2,FALSE),$I$4:$AJ$4,0),FALSE),BoundParameters_HiddenSheetCLAY!$I$1:$L$1,0),FALSE),IF(VLOOKUP($E41,'Table Output'!$A$2:$E$9999,5,FALSE)="Clay",VLOOKUP(K$37,BoundParameters_HiddenSheetCLAY!$I$3:$L$50,MATCH(VLOOKUP($I76,$I$5:$AJ$34,MATCH(VLOOKUP(K$37,$BH$3:$BI$50,2,FALSE),$I$4:$AJ$4,0),FALSE),BoundParameters_HiddenSheetCLAY!$I$1:$L$1,0),FALSE))),'Control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Output'!$A$2:$E$99999,5,FALSE)="Sand",VLOOKUP(L$37,BoundParameters_HiddenSheetSAND!$I$3:$L$50,MATCH(VLOOKUP($I76,$I$5:$AJ$34,MATCH(VLOOKUP(L$37,$BH$3:$BI$50,2,FALSE),$I$4:$AJ$4,0),FALSE),BoundParameters_HiddenSheetCLAY!$I$1:$L$1,0),FALSE),IF(VLOOKUP($E41,'Table Output'!$A$2:$E$9999,5,FALSE)="Clay",VLOOKUP(L$37,BoundParameters_HiddenSheetCLAY!$I$3:$L$50,MATCH(VLOOKUP($I76,$I$5:$AJ$34,MATCH(VLOOKUP(L$37,$BH$3:$BI$50,2,FALSE),$I$4:$AJ$4,0),FALSE),BoundParameters_HiddenSheetCLAY!$I$1:$L$1,0),FALSE))),'Control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Output'!$A$2:$E$99999,5,FALSE)="Sand",VLOOKUP(M$37,BoundParameters_HiddenSheetSAND!$I$3:$L$50,MATCH(VLOOKUP($I76,$I$5:$AJ$34,MATCH(VLOOKUP(M$37,$BH$3:$BI$50,2,FALSE),$I$4:$AJ$4,0),FALSE),BoundParameters_HiddenSheetCLAY!$I$1:$L$1,0),FALSE),IF(VLOOKUP($E41,'Table Output'!$A$2:$E$9999,5,FALSE)="Clay",VLOOKUP(M$37,BoundParameters_HiddenSheetCLAY!$I$3:$L$50,MATCH(VLOOKUP($I76,$I$5:$AJ$34,MATCH(VLOOKUP(M$37,$BH$3:$BI$50,2,FALSE),$I$4:$AJ$4,0),FALSE),BoundParameters_HiddenSheetCLAY!$I$1:$L$1,0),FALSE))),'Control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Output'!$A$2:$E$99999,5,FALSE)="Sand",VLOOKUP(N$37,BoundParameters_HiddenSheetSAND!$I$3:$L$50,MATCH(VLOOKUP($I76,$I$5:$AJ$34,MATCH(VLOOKUP(N$37,$BH$3:$BI$50,2,FALSE),$I$4:$AJ$4,0),FALSE),BoundParameters_HiddenSheetCLAY!$I$1:$L$1,0),FALSE),IF(VLOOKUP($E41,'Table Output'!$A$2:$E$9999,5,FALSE)="Clay",VLOOKUP(N$37,BoundParameters_HiddenSheetCLAY!$I$3:$L$50,MATCH(VLOOKUP($I76,$I$5:$AJ$34,MATCH(VLOOKUP(N$37,$BH$3:$BI$50,2,FALSE),$I$4:$AJ$4,0),FALSE),BoundParameters_HiddenSheetCLAY!$I$1:$L$1,0),FALSE))),'Control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Output'!$A$2:$E$99999,5,FALSE)="Sand",VLOOKUP(O$37,BoundParameters_HiddenSheetSAND!$I$3:$L$50,MATCH(VLOOKUP($I76,$I$5:$AJ$34,MATCH(VLOOKUP(O$37,$BH$3:$BI$50,2,FALSE),$I$4:$AJ$4,0),FALSE),BoundParameters_HiddenSheetCLAY!$I$1:$L$1,0),FALSE),IF(VLOOKUP($E41,'Table Output'!$A$2:$E$9999,5,FALSE)="Clay",VLOOKUP(O$37,BoundParameters_HiddenSheetCLAY!$I$3:$L$50,MATCH(VLOOKUP($I76,$I$5:$AJ$34,MATCH(VLOOKUP(O$37,$BH$3:$BI$50,2,FALSE),$I$4:$AJ$4,0),FALSE),BoundParameters_HiddenSheetCLAY!$I$1:$L$1,0),FALSE))),'Control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Output'!$A$2:$E$99999,5,FALSE)="Sand",VLOOKUP(P$37,BoundParameters_HiddenSheetSAND!$I$3:$L$50,MATCH(VLOOKUP($I76,$I$5:$AJ$34,MATCH(VLOOKUP(P$37,$BH$3:$BI$50,2,FALSE),$I$4:$AJ$4,0),FALSE),BoundParameters_HiddenSheetCLAY!$I$1:$L$1,0),FALSE),IF(VLOOKUP($E41,'Table Output'!$A$2:$E$9999,5,FALSE)="Clay",VLOOKUP(P$37,BoundParameters_HiddenSheetCLAY!$I$3:$L$50,MATCH(VLOOKUP($I76,$I$5:$AJ$34,MATCH(VLOOKUP(P$37,$BH$3:$BI$50,2,FALSE),$I$4:$AJ$4,0),FALSE),BoundParameters_HiddenSheetCLAY!$I$1:$L$1,0),FALSE))),'Control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Output'!$A$2:$E$99999,5,FALSE)="Sand",VLOOKUP(Q$37,BoundParameters_HiddenSheetSAND!$I$3:$L$50,MATCH(VLOOKUP($I76,$I$5:$AJ$34,MATCH(VLOOKUP(Q$37,$BH$3:$BI$50,2,FALSE),$I$4:$AJ$4,0),FALSE),BoundParameters_HiddenSheetCLAY!$I$1:$L$1,0),FALSE),IF(VLOOKUP($E41,'Table Output'!$A$2:$E$9999,5,FALSE)="Clay",VLOOKUP(Q$37,BoundParameters_HiddenSheetCLAY!$I$3:$L$50,MATCH(VLOOKUP($I76,$I$5:$AJ$34,MATCH(VLOOKUP(Q$37,$BH$3:$BI$50,2,FALSE),$I$4:$AJ$4,0),FALSE),BoundParameters_HiddenSheetCLAY!$I$1:$L$1,0),FALSE))),'Control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Output'!$A$2:$E$99999,5,FALSE)="Sand",VLOOKUP(R$37,BoundParameters_HiddenSheetSAND!$I$3:$L$50,MATCH(VLOOKUP($I76,$I$5:$AJ$34,MATCH(VLOOKUP(R$37,$BH$3:$BI$50,2,FALSE),$I$4:$AJ$4,0),FALSE),BoundParameters_HiddenSheetCLAY!$I$1:$L$1,0),FALSE),IF(VLOOKUP($E41,'Table Output'!$A$2:$E$9999,5,FALSE)="Clay",VLOOKUP(R$37,BoundParameters_HiddenSheetCLAY!$I$3:$L$50,MATCH(VLOOKUP($I76,$I$5:$AJ$34,MATCH(VLOOKUP(R$37,$BH$3:$BI$50,2,FALSE),$I$4:$AJ$4,0),FALSE),BoundParameters_HiddenSheetCLAY!$I$1:$L$1,0),FALSE))),'Control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Output'!$A$2:$E$99999,5,FALSE)="Sand",VLOOKUP(S$37,BoundParameters_HiddenSheetSAND!$I$3:$L$50,MATCH(VLOOKUP($I76,$I$5:$AJ$34,MATCH(VLOOKUP(S$37,$BH$3:$BI$50,2,FALSE),$I$4:$AJ$4,0),FALSE),BoundParameters_HiddenSheetCLAY!$I$1:$L$1,0),FALSE),IF(VLOOKUP($E41,'Table Output'!$A$2:$E$9999,5,FALSE)="Clay",VLOOKUP(S$37,BoundParameters_HiddenSheetCLAY!$I$3:$L$50,MATCH(VLOOKUP($I76,$I$5:$AJ$34,MATCH(VLOOKUP(S$37,$BH$3:$BI$50,2,FALSE),$I$4:$AJ$4,0),FALSE),BoundParameters_HiddenSheetCLAY!$I$1:$L$1,0),FALSE))),'Control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Loc_69_Sand_4</v>
      </c>
      <c r="I77" s="7">
        <f t="shared" si="7"/>
        <v>5</v>
      </c>
      <c r="J77" s="44">
        <f>IF($I77="","",IF(J$37="","",IF('Control Panel'!J77="",IF(VLOOKUP($E42,'Table Output'!$A$2:$E$99999,5,FALSE)="Sand",VLOOKUP(J$37,BoundParameters_HiddenSheetSAND!$I$3:$L$50,MATCH(VLOOKUP($I77,$I$5:$AJ$34,MATCH(VLOOKUP(J$37,$BH$3:$BI$50,2,FALSE),$I$4:$AJ$4,0),FALSE),BoundParameters_HiddenSheetCLAY!$I$1:$L$1,0),FALSE),IF(VLOOKUP($E42,'Table Output'!$A$2:$E$9999,5,FALSE)="Clay",VLOOKUP(J$37,BoundParameters_HiddenSheetCLAY!$I$3:$L$50,MATCH(VLOOKUP($I77,$I$5:$AJ$34,MATCH(VLOOKUP(J$37,$BH$3:$BI$50,2,FALSE),$I$4:$AJ$4,0),FALSE),BoundParameters_HiddenSheetCLAY!$I$1:$L$1,0),FALSE))),'Control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Output'!$A$2:$E$99999,5,FALSE)="Sand",VLOOKUP(K$37,BoundParameters_HiddenSheetSAND!$I$3:$L$50,MATCH(VLOOKUP($I77,$I$5:$AJ$34,MATCH(VLOOKUP(K$37,$BH$3:$BI$50,2,FALSE),$I$4:$AJ$4,0),FALSE),BoundParameters_HiddenSheetCLAY!$I$1:$L$1,0),FALSE),IF(VLOOKUP($E42,'Table Output'!$A$2:$E$9999,5,FALSE)="Clay",VLOOKUP(K$37,BoundParameters_HiddenSheetCLAY!$I$3:$L$50,MATCH(VLOOKUP($I77,$I$5:$AJ$34,MATCH(VLOOKUP(K$37,$BH$3:$BI$50,2,FALSE),$I$4:$AJ$4,0),FALSE),BoundParameters_HiddenSheetCLAY!$I$1:$L$1,0),FALSE))),'Control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Output'!$A$2:$E$99999,5,FALSE)="Sand",VLOOKUP(L$37,BoundParameters_HiddenSheetSAND!$I$3:$L$50,MATCH(VLOOKUP($I77,$I$5:$AJ$34,MATCH(VLOOKUP(L$37,$BH$3:$BI$50,2,FALSE),$I$4:$AJ$4,0),FALSE),BoundParameters_HiddenSheetCLAY!$I$1:$L$1,0),FALSE),IF(VLOOKUP($E42,'Table Output'!$A$2:$E$9999,5,FALSE)="Clay",VLOOKUP(L$37,BoundParameters_HiddenSheetCLAY!$I$3:$L$50,MATCH(VLOOKUP($I77,$I$5:$AJ$34,MATCH(VLOOKUP(L$37,$BH$3:$BI$50,2,FALSE),$I$4:$AJ$4,0),FALSE),BoundParameters_HiddenSheetCLAY!$I$1:$L$1,0),FALSE))),'Control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Output'!$A$2:$E$99999,5,FALSE)="Sand",VLOOKUP(M$37,BoundParameters_HiddenSheetSAND!$I$3:$L$50,MATCH(VLOOKUP($I77,$I$5:$AJ$34,MATCH(VLOOKUP(M$37,$BH$3:$BI$50,2,FALSE),$I$4:$AJ$4,0),FALSE),BoundParameters_HiddenSheetCLAY!$I$1:$L$1,0),FALSE),IF(VLOOKUP($E42,'Table Output'!$A$2:$E$9999,5,FALSE)="Clay",VLOOKUP(M$37,BoundParameters_HiddenSheetCLAY!$I$3:$L$50,MATCH(VLOOKUP($I77,$I$5:$AJ$34,MATCH(VLOOKUP(M$37,$BH$3:$BI$50,2,FALSE),$I$4:$AJ$4,0),FALSE),BoundParameters_HiddenSheetCLAY!$I$1:$L$1,0),FALSE))),'Control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Output'!$A$2:$E$99999,5,FALSE)="Sand",VLOOKUP(N$37,BoundParameters_HiddenSheetSAND!$I$3:$L$50,MATCH(VLOOKUP($I77,$I$5:$AJ$34,MATCH(VLOOKUP(N$37,$BH$3:$BI$50,2,FALSE),$I$4:$AJ$4,0),FALSE),BoundParameters_HiddenSheetCLAY!$I$1:$L$1,0),FALSE),IF(VLOOKUP($E42,'Table Output'!$A$2:$E$9999,5,FALSE)="Clay",VLOOKUP(N$37,BoundParameters_HiddenSheetCLAY!$I$3:$L$50,MATCH(VLOOKUP($I77,$I$5:$AJ$34,MATCH(VLOOKUP(N$37,$BH$3:$BI$50,2,FALSE),$I$4:$AJ$4,0),FALSE),BoundParameters_HiddenSheetCLAY!$I$1:$L$1,0),FALSE))),'Control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Output'!$A$2:$E$99999,5,FALSE)="Sand",VLOOKUP(O$37,BoundParameters_HiddenSheetSAND!$I$3:$L$50,MATCH(VLOOKUP($I77,$I$5:$AJ$34,MATCH(VLOOKUP(O$37,$BH$3:$BI$50,2,FALSE),$I$4:$AJ$4,0),FALSE),BoundParameters_HiddenSheetCLAY!$I$1:$L$1,0),FALSE),IF(VLOOKUP($E42,'Table Output'!$A$2:$E$9999,5,FALSE)="Clay",VLOOKUP(O$37,BoundParameters_HiddenSheetCLAY!$I$3:$L$50,MATCH(VLOOKUP($I77,$I$5:$AJ$34,MATCH(VLOOKUP(O$37,$BH$3:$BI$50,2,FALSE),$I$4:$AJ$4,0),FALSE),BoundParameters_HiddenSheetCLAY!$I$1:$L$1,0),FALSE))),'Control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Output'!$A$2:$E$99999,5,FALSE)="Sand",VLOOKUP(P$37,BoundParameters_HiddenSheetSAND!$I$3:$L$50,MATCH(VLOOKUP($I77,$I$5:$AJ$34,MATCH(VLOOKUP(P$37,$BH$3:$BI$50,2,FALSE),$I$4:$AJ$4,0),FALSE),BoundParameters_HiddenSheetCLAY!$I$1:$L$1,0),FALSE),IF(VLOOKUP($E42,'Table Output'!$A$2:$E$9999,5,FALSE)="Clay",VLOOKUP(P$37,BoundParameters_HiddenSheetCLAY!$I$3:$L$50,MATCH(VLOOKUP($I77,$I$5:$AJ$34,MATCH(VLOOKUP(P$37,$BH$3:$BI$50,2,FALSE),$I$4:$AJ$4,0),FALSE),BoundParameters_HiddenSheetCLAY!$I$1:$L$1,0),FALSE))),'Control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Output'!$A$2:$E$99999,5,FALSE)="Sand",VLOOKUP(Q$37,BoundParameters_HiddenSheetSAND!$I$3:$L$50,MATCH(VLOOKUP($I77,$I$5:$AJ$34,MATCH(VLOOKUP(Q$37,$BH$3:$BI$50,2,FALSE),$I$4:$AJ$4,0),FALSE),BoundParameters_HiddenSheetCLAY!$I$1:$L$1,0),FALSE),IF(VLOOKUP($E42,'Table Output'!$A$2:$E$9999,5,FALSE)="Clay",VLOOKUP(Q$37,BoundParameters_HiddenSheetCLAY!$I$3:$L$50,MATCH(VLOOKUP($I77,$I$5:$AJ$34,MATCH(VLOOKUP(Q$37,$BH$3:$BI$50,2,FALSE),$I$4:$AJ$4,0),FALSE),BoundParameters_HiddenSheetCLAY!$I$1:$L$1,0),FALSE))),'Control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Output'!$A$2:$E$99999,5,FALSE)="Sand",VLOOKUP(R$37,BoundParameters_HiddenSheetSAND!$I$3:$L$50,MATCH(VLOOKUP($I77,$I$5:$AJ$34,MATCH(VLOOKUP(R$37,$BH$3:$BI$50,2,FALSE),$I$4:$AJ$4,0),FALSE),BoundParameters_HiddenSheetCLAY!$I$1:$L$1,0),FALSE),IF(VLOOKUP($E42,'Table Output'!$A$2:$E$9999,5,FALSE)="Clay",VLOOKUP(R$37,BoundParameters_HiddenSheetCLAY!$I$3:$L$50,MATCH(VLOOKUP($I77,$I$5:$AJ$34,MATCH(VLOOKUP(R$37,$BH$3:$BI$50,2,FALSE),$I$4:$AJ$4,0),FALSE),BoundParameters_HiddenSheetCLAY!$I$1:$L$1,0),FALSE))),'Control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Output'!$A$2:$E$99999,5,FALSE)="Sand",VLOOKUP(S$37,BoundParameters_HiddenSheetSAND!$I$3:$L$50,MATCH(VLOOKUP($I77,$I$5:$AJ$34,MATCH(VLOOKUP(S$37,$BH$3:$BI$50,2,FALSE),$I$4:$AJ$4,0),FALSE),BoundParameters_HiddenSheetCLAY!$I$1:$L$1,0),FALSE),IF(VLOOKUP($E42,'Table Output'!$A$2:$E$9999,5,FALSE)="Clay",VLOOKUP(S$37,BoundParameters_HiddenSheetCLAY!$I$3:$L$50,MATCH(VLOOKUP($I77,$I$5:$AJ$34,MATCH(VLOOKUP(S$37,$BH$3:$BI$50,2,FALSE),$I$4:$AJ$4,0),FALSE),BoundParameters_HiddenSheetCLAY!$I$1:$L$1,0),FALSE))),'Control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Loc_69_Sand_5</v>
      </c>
      <c r="I78" s="7">
        <f t="shared" si="7"/>
        <v>6</v>
      </c>
      <c r="J78" s="44">
        <f>IF($I78="","",IF(J$37="","",IF('Control Panel'!J78="",IF(VLOOKUP($E43,'Table Output'!$A$2:$E$99999,5,FALSE)="Sand",VLOOKUP(J$37,BoundParameters_HiddenSheetSAND!$I$3:$L$50,MATCH(VLOOKUP($I78,$I$5:$AJ$34,MATCH(VLOOKUP(J$37,$BH$3:$BI$50,2,FALSE),$I$4:$AJ$4,0),FALSE),BoundParameters_HiddenSheetCLAY!$I$1:$L$1,0),FALSE),IF(VLOOKUP($E43,'Table Output'!$A$2:$E$9999,5,FALSE)="Clay",VLOOKUP(J$37,BoundParameters_HiddenSheetCLAY!$I$3:$L$50,MATCH(VLOOKUP($I78,$I$5:$AJ$34,MATCH(VLOOKUP(J$37,$BH$3:$BI$50,2,FALSE),$I$4:$AJ$4,0),FALSE),BoundParameters_HiddenSheetCLAY!$I$1:$L$1,0),FALSE))),'Control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Output'!$A$2:$E$99999,5,FALSE)="Sand",VLOOKUP(K$37,BoundParameters_HiddenSheetSAND!$I$3:$L$50,MATCH(VLOOKUP($I78,$I$5:$AJ$34,MATCH(VLOOKUP(K$37,$BH$3:$BI$50,2,FALSE),$I$4:$AJ$4,0),FALSE),BoundParameters_HiddenSheetCLAY!$I$1:$L$1,0),FALSE),IF(VLOOKUP($E43,'Table Output'!$A$2:$E$9999,5,FALSE)="Clay",VLOOKUP(K$37,BoundParameters_HiddenSheetCLAY!$I$3:$L$50,MATCH(VLOOKUP($I78,$I$5:$AJ$34,MATCH(VLOOKUP(K$37,$BH$3:$BI$50,2,FALSE),$I$4:$AJ$4,0),FALSE),BoundParameters_HiddenSheetCLAY!$I$1:$L$1,0),FALSE))),'Control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Output'!$A$2:$E$99999,5,FALSE)="Sand",VLOOKUP(L$37,BoundParameters_HiddenSheetSAND!$I$3:$L$50,MATCH(VLOOKUP($I78,$I$5:$AJ$34,MATCH(VLOOKUP(L$37,$BH$3:$BI$50,2,FALSE),$I$4:$AJ$4,0),FALSE),BoundParameters_HiddenSheetCLAY!$I$1:$L$1,0),FALSE),IF(VLOOKUP($E43,'Table Output'!$A$2:$E$9999,5,FALSE)="Clay",VLOOKUP(L$37,BoundParameters_HiddenSheetCLAY!$I$3:$L$50,MATCH(VLOOKUP($I78,$I$5:$AJ$34,MATCH(VLOOKUP(L$37,$BH$3:$BI$50,2,FALSE),$I$4:$AJ$4,0),FALSE),BoundParameters_HiddenSheetCLAY!$I$1:$L$1,0),FALSE))),'Control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Output'!$A$2:$E$99999,5,FALSE)="Sand",VLOOKUP(M$37,BoundParameters_HiddenSheetSAND!$I$3:$L$50,MATCH(VLOOKUP($I78,$I$5:$AJ$34,MATCH(VLOOKUP(M$37,$BH$3:$BI$50,2,FALSE),$I$4:$AJ$4,0),FALSE),BoundParameters_HiddenSheetCLAY!$I$1:$L$1,0),FALSE),IF(VLOOKUP($E43,'Table Output'!$A$2:$E$9999,5,FALSE)="Clay",VLOOKUP(M$37,BoundParameters_HiddenSheetCLAY!$I$3:$L$50,MATCH(VLOOKUP($I78,$I$5:$AJ$34,MATCH(VLOOKUP(M$37,$BH$3:$BI$50,2,FALSE),$I$4:$AJ$4,0),FALSE),BoundParameters_HiddenSheetCLAY!$I$1:$L$1,0),FALSE))),'Control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Output'!$A$2:$E$99999,5,FALSE)="Sand",VLOOKUP(N$37,BoundParameters_HiddenSheetSAND!$I$3:$L$50,MATCH(VLOOKUP($I78,$I$5:$AJ$34,MATCH(VLOOKUP(N$37,$BH$3:$BI$50,2,FALSE),$I$4:$AJ$4,0),FALSE),BoundParameters_HiddenSheetCLAY!$I$1:$L$1,0),FALSE),IF(VLOOKUP($E43,'Table Output'!$A$2:$E$9999,5,FALSE)="Clay",VLOOKUP(N$37,BoundParameters_HiddenSheetCLAY!$I$3:$L$50,MATCH(VLOOKUP($I78,$I$5:$AJ$34,MATCH(VLOOKUP(N$37,$BH$3:$BI$50,2,FALSE),$I$4:$AJ$4,0),FALSE),BoundParameters_HiddenSheetCLAY!$I$1:$L$1,0),FALSE))),'Control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Output'!$A$2:$E$99999,5,FALSE)="Sand",VLOOKUP(O$37,BoundParameters_HiddenSheetSAND!$I$3:$L$50,MATCH(VLOOKUP($I78,$I$5:$AJ$34,MATCH(VLOOKUP(O$37,$BH$3:$BI$50,2,FALSE),$I$4:$AJ$4,0),FALSE),BoundParameters_HiddenSheetCLAY!$I$1:$L$1,0),FALSE),IF(VLOOKUP($E43,'Table Output'!$A$2:$E$9999,5,FALSE)="Clay",VLOOKUP(O$37,BoundParameters_HiddenSheetCLAY!$I$3:$L$50,MATCH(VLOOKUP($I78,$I$5:$AJ$34,MATCH(VLOOKUP(O$37,$BH$3:$BI$50,2,FALSE),$I$4:$AJ$4,0),FALSE),BoundParameters_HiddenSheetCLAY!$I$1:$L$1,0),FALSE))),'Control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Output'!$A$2:$E$99999,5,FALSE)="Sand",VLOOKUP(P$37,BoundParameters_HiddenSheetSAND!$I$3:$L$50,MATCH(VLOOKUP($I78,$I$5:$AJ$34,MATCH(VLOOKUP(P$37,$BH$3:$BI$50,2,FALSE),$I$4:$AJ$4,0),FALSE),BoundParameters_HiddenSheetCLAY!$I$1:$L$1,0),FALSE),IF(VLOOKUP($E43,'Table Output'!$A$2:$E$9999,5,FALSE)="Clay",VLOOKUP(P$37,BoundParameters_HiddenSheetCLAY!$I$3:$L$50,MATCH(VLOOKUP($I78,$I$5:$AJ$34,MATCH(VLOOKUP(P$37,$BH$3:$BI$50,2,FALSE),$I$4:$AJ$4,0),FALSE),BoundParameters_HiddenSheetCLAY!$I$1:$L$1,0),FALSE))),'Control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Output'!$A$2:$E$99999,5,FALSE)="Sand",VLOOKUP(Q$37,BoundParameters_HiddenSheetSAND!$I$3:$L$50,MATCH(VLOOKUP($I78,$I$5:$AJ$34,MATCH(VLOOKUP(Q$37,$BH$3:$BI$50,2,FALSE),$I$4:$AJ$4,0),FALSE),BoundParameters_HiddenSheetCLAY!$I$1:$L$1,0),FALSE),IF(VLOOKUP($E43,'Table Output'!$A$2:$E$9999,5,FALSE)="Clay",VLOOKUP(Q$37,BoundParameters_HiddenSheetCLAY!$I$3:$L$50,MATCH(VLOOKUP($I78,$I$5:$AJ$34,MATCH(VLOOKUP(Q$37,$BH$3:$BI$50,2,FALSE),$I$4:$AJ$4,0),FALSE),BoundParameters_HiddenSheetCLAY!$I$1:$L$1,0),FALSE))),'Control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Output'!$A$2:$E$99999,5,FALSE)="Sand",VLOOKUP(R$37,BoundParameters_HiddenSheetSAND!$I$3:$L$50,MATCH(VLOOKUP($I78,$I$5:$AJ$34,MATCH(VLOOKUP(R$37,$BH$3:$BI$50,2,FALSE),$I$4:$AJ$4,0),FALSE),BoundParameters_HiddenSheetCLAY!$I$1:$L$1,0),FALSE),IF(VLOOKUP($E43,'Table Output'!$A$2:$E$9999,5,FALSE)="Clay",VLOOKUP(R$37,BoundParameters_HiddenSheetCLAY!$I$3:$L$50,MATCH(VLOOKUP($I78,$I$5:$AJ$34,MATCH(VLOOKUP(R$37,$BH$3:$BI$50,2,FALSE),$I$4:$AJ$4,0),FALSE),BoundParameters_HiddenSheetCLAY!$I$1:$L$1,0),FALSE))),'Control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Output'!$A$2:$E$99999,5,FALSE)="Sand",VLOOKUP(S$37,BoundParameters_HiddenSheetSAND!$I$3:$L$50,MATCH(VLOOKUP($I78,$I$5:$AJ$34,MATCH(VLOOKUP(S$37,$BH$3:$BI$50,2,FALSE),$I$4:$AJ$4,0),FALSE),BoundParameters_HiddenSheetCLAY!$I$1:$L$1,0),FALSE),IF(VLOOKUP($E43,'Table Output'!$A$2:$E$9999,5,FALSE)="Clay",VLOOKUP(S$37,BoundParameters_HiddenSheetCLAY!$I$3:$L$50,MATCH(VLOOKUP($I78,$I$5:$AJ$34,MATCH(VLOOKUP(S$37,$BH$3:$BI$50,2,FALSE),$I$4:$AJ$4,0),FALSE),BoundParameters_HiddenSheetCLAY!$I$1:$L$1,0),FALSE))),'Control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Loc_69_Clay_2</v>
      </c>
      <c r="I79" s="7">
        <f t="shared" si="7"/>
        <v>7</v>
      </c>
      <c r="J79" s="44">
        <f>IF($I79="","",IF(J$37="","",IF('Control Panel'!J79="",IF(VLOOKUP($E44,'Table Output'!$A$2:$E$99999,5,FALSE)="Sand",VLOOKUP(J$37,BoundParameters_HiddenSheetSAND!$I$3:$L$50,MATCH(VLOOKUP($I79,$I$5:$AJ$34,MATCH(VLOOKUP(J$37,$BH$3:$BI$50,2,FALSE),$I$4:$AJ$4,0),FALSE),BoundParameters_HiddenSheetCLAY!$I$1:$L$1,0),FALSE),IF(VLOOKUP($E44,'Table Output'!$A$2:$E$9999,5,FALSE)="Clay",VLOOKUP(J$37,BoundParameters_HiddenSheetCLAY!$I$3:$L$50,MATCH(VLOOKUP($I79,$I$5:$AJ$34,MATCH(VLOOKUP(J$37,$BH$3:$BI$50,2,FALSE),$I$4:$AJ$4,0),FALSE),BoundParameters_HiddenSheetCLAY!$I$1:$L$1,0),FALSE))),'Control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Output'!$A$2:$E$99999,5,FALSE)="Sand",VLOOKUP(K$37,BoundParameters_HiddenSheetSAND!$I$3:$L$50,MATCH(VLOOKUP($I79,$I$5:$AJ$34,MATCH(VLOOKUP(K$37,$BH$3:$BI$50,2,FALSE),$I$4:$AJ$4,0),FALSE),BoundParameters_HiddenSheetCLAY!$I$1:$L$1,0),FALSE),IF(VLOOKUP($E44,'Table Output'!$A$2:$E$9999,5,FALSE)="Clay",VLOOKUP(K$37,BoundParameters_HiddenSheetCLAY!$I$3:$L$50,MATCH(VLOOKUP($I79,$I$5:$AJ$34,MATCH(VLOOKUP(K$37,$BH$3:$BI$50,2,FALSE),$I$4:$AJ$4,0),FALSE),BoundParameters_HiddenSheetCLAY!$I$1:$L$1,0),FALSE))),'Control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Output'!$A$2:$E$99999,5,FALSE)="Sand",VLOOKUP(L$37,BoundParameters_HiddenSheetSAND!$I$3:$L$50,MATCH(VLOOKUP($I79,$I$5:$AJ$34,MATCH(VLOOKUP(L$37,$BH$3:$BI$50,2,FALSE),$I$4:$AJ$4,0),FALSE),BoundParameters_HiddenSheetCLAY!$I$1:$L$1,0),FALSE),IF(VLOOKUP($E44,'Table Output'!$A$2:$E$9999,5,FALSE)="Clay",VLOOKUP(L$37,BoundParameters_HiddenSheetCLAY!$I$3:$L$50,MATCH(VLOOKUP($I79,$I$5:$AJ$34,MATCH(VLOOKUP(L$37,$BH$3:$BI$50,2,FALSE),$I$4:$AJ$4,0),FALSE),BoundParameters_HiddenSheetCLAY!$I$1:$L$1,0),FALSE))),'Control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Output'!$A$2:$E$99999,5,FALSE)="Sand",VLOOKUP(M$37,BoundParameters_HiddenSheetSAND!$I$3:$L$50,MATCH(VLOOKUP($I79,$I$5:$AJ$34,MATCH(VLOOKUP(M$37,$BH$3:$BI$50,2,FALSE),$I$4:$AJ$4,0),FALSE),BoundParameters_HiddenSheetCLAY!$I$1:$L$1,0),FALSE),IF(VLOOKUP($E44,'Table Output'!$A$2:$E$9999,5,FALSE)="Clay",VLOOKUP(M$37,BoundParameters_HiddenSheetCLAY!$I$3:$L$50,MATCH(VLOOKUP($I79,$I$5:$AJ$34,MATCH(VLOOKUP(M$37,$BH$3:$BI$50,2,FALSE),$I$4:$AJ$4,0),FALSE),BoundParameters_HiddenSheetCLAY!$I$1:$L$1,0),FALSE))),'Control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Output'!$A$2:$E$99999,5,FALSE)="Sand",VLOOKUP(N$37,BoundParameters_HiddenSheetSAND!$I$3:$L$50,MATCH(VLOOKUP($I79,$I$5:$AJ$34,MATCH(VLOOKUP(N$37,$BH$3:$BI$50,2,FALSE),$I$4:$AJ$4,0),FALSE),BoundParameters_HiddenSheetCLAY!$I$1:$L$1,0),FALSE),IF(VLOOKUP($E44,'Table Output'!$A$2:$E$9999,5,FALSE)="Clay",VLOOKUP(N$37,BoundParameters_HiddenSheetCLAY!$I$3:$L$50,MATCH(VLOOKUP($I79,$I$5:$AJ$34,MATCH(VLOOKUP(N$37,$BH$3:$BI$50,2,FALSE),$I$4:$AJ$4,0),FALSE),BoundParameters_HiddenSheetCLAY!$I$1:$L$1,0),FALSE))),'Control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Output'!$A$2:$E$99999,5,FALSE)="Sand",VLOOKUP(O$37,BoundParameters_HiddenSheetSAND!$I$3:$L$50,MATCH(VLOOKUP($I79,$I$5:$AJ$34,MATCH(VLOOKUP(O$37,$BH$3:$BI$50,2,FALSE),$I$4:$AJ$4,0),FALSE),BoundParameters_HiddenSheetCLAY!$I$1:$L$1,0),FALSE),IF(VLOOKUP($E44,'Table Output'!$A$2:$E$9999,5,FALSE)="Clay",VLOOKUP(O$37,BoundParameters_HiddenSheetCLAY!$I$3:$L$50,MATCH(VLOOKUP($I79,$I$5:$AJ$34,MATCH(VLOOKUP(O$37,$BH$3:$BI$50,2,FALSE),$I$4:$AJ$4,0),FALSE),BoundParameters_HiddenSheetCLAY!$I$1:$L$1,0),FALSE))),'Control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Output'!$A$2:$E$99999,5,FALSE)="Sand",VLOOKUP(P$37,BoundParameters_HiddenSheetSAND!$I$3:$L$50,MATCH(VLOOKUP($I79,$I$5:$AJ$34,MATCH(VLOOKUP(P$37,$BH$3:$BI$50,2,FALSE),$I$4:$AJ$4,0),FALSE),BoundParameters_HiddenSheetCLAY!$I$1:$L$1,0),FALSE),IF(VLOOKUP($E44,'Table Output'!$A$2:$E$9999,5,FALSE)="Clay",VLOOKUP(P$37,BoundParameters_HiddenSheetCLAY!$I$3:$L$50,MATCH(VLOOKUP($I79,$I$5:$AJ$34,MATCH(VLOOKUP(P$37,$BH$3:$BI$50,2,FALSE),$I$4:$AJ$4,0),FALSE),BoundParameters_HiddenSheetCLAY!$I$1:$L$1,0),FALSE))),'Control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Output'!$A$2:$E$99999,5,FALSE)="Sand",VLOOKUP(Q$37,BoundParameters_HiddenSheetSAND!$I$3:$L$50,MATCH(VLOOKUP($I79,$I$5:$AJ$34,MATCH(VLOOKUP(Q$37,$BH$3:$BI$50,2,FALSE),$I$4:$AJ$4,0),FALSE),BoundParameters_HiddenSheetCLAY!$I$1:$L$1,0),FALSE),IF(VLOOKUP($E44,'Table Output'!$A$2:$E$9999,5,FALSE)="Clay",VLOOKUP(Q$37,BoundParameters_HiddenSheetCLAY!$I$3:$L$50,MATCH(VLOOKUP($I79,$I$5:$AJ$34,MATCH(VLOOKUP(Q$37,$BH$3:$BI$50,2,FALSE),$I$4:$AJ$4,0),FALSE),BoundParameters_HiddenSheetCLAY!$I$1:$L$1,0),FALSE))),'Control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Output'!$A$2:$E$99999,5,FALSE)="Sand",VLOOKUP(R$37,BoundParameters_HiddenSheetSAND!$I$3:$L$50,MATCH(VLOOKUP($I79,$I$5:$AJ$34,MATCH(VLOOKUP(R$37,$BH$3:$BI$50,2,FALSE),$I$4:$AJ$4,0),FALSE),BoundParameters_HiddenSheetCLAY!$I$1:$L$1,0),FALSE),IF(VLOOKUP($E44,'Table Output'!$A$2:$E$9999,5,FALSE)="Clay",VLOOKUP(R$37,BoundParameters_HiddenSheetCLAY!$I$3:$L$50,MATCH(VLOOKUP($I79,$I$5:$AJ$34,MATCH(VLOOKUP(R$37,$BH$3:$BI$50,2,FALSE),$I$4:$AJ$4,0),FALSE),BoundParameters_HiddenSheetCLAY!$I$1:$L$1,0),FALSE))),'Control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Output'!$A$2:$E$99999,5,FALSE)="Sand",VLOOKUP(S$37,BoundParameters_HiddenSheetSAND!$I$3:$L$50,MATCH(VLOOKUP($I79,$I$5:$AJ$34,MATCH(VLOOKUP(S$37,$BH$3:$BI$50,2,FALSE),$I$4:$AJ$4,0),FALSE),BoundParameters_HiddenSheetCLAY!$I$1:$L$1,0),FALSE),IF(VLOOKUP($E44,'Table Output'!$A$2:$E$9999,5,FALSE)="Clay",VLOOKUP(S$37,BoundParameters_HiddenSheetCLAY!$I$3:$L$50,MATCH(VLOOKUP($I79,$I$5:$AJ$34,MATCH(VLOOKUP(S$37,$BH$3:$BI$50,2,FALSE),$I$4:$AJ$4,0),FALSE),BoundParameters_HiddenSheetCLAY!$I$1:$L$1,0),FALSE))),'Control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Loc_69_Clay_3</v>
      </c>
      <c r="I80" s="7">
        <f t="shared" si="7"/>
        <v>8</v>
      </c>
      <c r="J80" s="44">
        <f>IF($I80="","",IF(J$37="","",IF('Control Panel'!J80="",IF(VLOOKUP($E45,'Table Output'!$A$2:$E$99999,5,FALSE)="Sand",VLOOKUP(J$37,BoundParameters_HiddenSheetSAND!$I$3:$L$50,MATCH(VLOOKUP($I80,$I$5:$AJ$34,MATCH(VLOOKUP(J$37,$BH$3:$BI$50,2,FALSE),$I$4:$AJ$4,0),FALSE),BoundParameters_HiddenSheetCLAY!$I$1:$L$1,0),FALSE),IF(VLOOKUP($E45,'Table Output'!$A$2:$E$9999,5,FALSE)="Clay",VLOOKUP(J$37,BoundParameters_HiddenSheetCLAY!$I$3:$L$50,MATCH(VLOOKUP($I80,$I$5:$AJ$34,MATCH(VLOOKUP(J$37,$BH$3:$BI$50,2,FALSE),$I$4:$AJ$4,0),FALSE),BoundParameters_HiddenSheetCLAY!$I$1:$L$1,0),FALSE))),'Control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Output'!$A$2:$E$99999,5,FALSE)="Sand",VLOOKUP(K$37,BoundParameters_HiddenSheetSAND!$I$3:$L$50,MATCH(VLOOKUP($I80,$I$5:$AJ$34,MATCH(VLOOKUP(K$37,$BH$3:$BI$50,2,FALSE),$I$4:$AJ$4,0),FALSE),BoundParameters_HiddenSheetCLAY!$I$1:$L$1,0),FALSE),IF(VLOOKUP($E45,'Table Output'!$A$2:$E$9999,5,FALSE)="Clay",VLOOKUP(K$37,BoundParameters_HiddenSheetCLAY!$I$3:$L$50,MATCH(VLOOKUP($I80,$I$5:$AJ$34,MATCH(VLOOKUP(K$37,$BH$3:$BI$50,2,FALSE),$I$4:$AJ$4,0),FALSE),BoundParameters_HiddenSheetCLAY!$I$1:$L$1,0),FALSE))),'Control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Output'!$A$2:$E$99999,5,FALSE)="Sand",VLOOKUP(L$37,BoundParameters_HiddenSheetSAND!$I$3:$L$50,MATCH(VLOOKUP($I80,$I$5:$AJ$34,MATCH(VLOOKUP(L$37,$BH$3:$BI$50,2,FALSE),$I$4:$AJ$4,0),FALSE),BoundParameters_HiddenSheetCLAY!$I$1:$L$1,0),FALSE),IF(VLOOKUP($E45,'Table Output'!$A$2:$E$9999,5,FALSE)="Clay",VLOOKUP(L$37,BoundParameters_HiddenSheetCLAY!$I$3:$L$50,MATCH(VLOOKUP($I80,$I$5:$AJ$34,MATCH(VLOOKUP(L$37,$BH$3:$BI$50,2,FALSE),$I$4:$AJ$4,0),FALSE),BoundParameters_HiddenSheetCLAY!$I$1:$L$1,0),FALSE))),'Control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Output'!$A$2:$E$99999,5,FALSE)="Sand",VLOOKUP(M$37,BoundParameters_HiddenSheetSAND!$I$3:$L$50,MATCH(VLOOKUP($I80,$I$5:$AJ$34,MATCH(VLOOKUP(M$37,$BH$3:$BI$50,2,FALSE),$I$4:$AJ$4,0),FALSE),BoundParameters_HiddenSheetCLAY!$I$1:$L$1,0),FALSE),IF(VLOOKUP($E45,'Table Output'!$A$2:$E$9999,5,FALSE)="Clay",VLOOKUP(M$37,BoundParameters_HiddenSheetCLAY!$I$3:$L$50,MATCH(VLOOKUP($I80,$I$5:$AJ$34,MATCH(VLOOKUP(M$37,$BH$3:$BI$50,2,FALSE),$I$4:$AJ$4,0),FALSE),BoundParameters_HiddenSheetCLAY!$I$1:$L$1,0),FALSE))),'Control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Output'!$A$2:$E$99999,5,FALSE)="Sand",VLOOKUP(N$37,BoundParameters_HiddenSheetSAND!$I$3:$L$50,MATCH(VLOOKUP($I80,$I$5:$AJ$34,MATCH(VLOOKUP(N$37,$BH$3:$BI$50,2,FALSE),$I$4:$AJ$4,0),FALSE),BoundParameters_HiddenSheetCLAY!$I$1:$L$1,0),FALSE),IF(VLOOKUP($E45,'Table Output'!$A$2:$E$9999,5,FALSE)="Clay",VLOOKUP(N$37,BoundParameters_HiddenSheetCLAY!$I$3:$L$50,MATCH(VLOOKUP($I80,$I$5:$AJ$34,MATCH(VLOOKUP(N$37,$BH$3:$BI$50,2,FALSE),$I$4:$AJ$4,0),FALSE),BoundParameters_HiddenSheetCLAY!$I$1:$L$1,0),FALSE))),'Control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Output'!$A$2:$E$99999,5,FALSE)="Sand",VLOOKUP(O$37,BoundParameters_HiddenSheetSAND!$I$3:$L$50,MATCH(VLOOKUP($I80,$I$5:$AJ$34,MATCH(VLOOKUP(O$37,$BH$3:$BI$50,2,FALSE),$I$4:$AJ$4,0),FALSE),BoundParameters_HiddenSheetCLAY!$I$1:$L$1,0),FALSE),IF(VLOOKUP($E45,'Table Output'!$A$2:$E$9999,5,FALSE)="Clay",VLOOKUP(O$37,BoundParameters_HiddenSheetCLAY!$I$3:$L$50,MATCH(VLOOKUP($I80,$I$5:$AJ$34,MATCH(VLOOKUP(O$37,$BH$3:$BI$50,2,FALSE),$I$4:$AJ$4,0),FALSE),BoundParameters_HiddenSheetCLAY!$I$1:$L$1,0),FALSE))),'Control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Output'!$A$2:$E$99999,5,FALSE)="Sand",VLOOKUP(P$37,BoundParameters_HiddenSheetSAND!$I$3:$L$50,MATCH(VLOOKUP($I80,$I$5:$AJ$34,MATCH(VLOOKUP(P$37,$BH$3:$BI$50,2,FALSE),$I$4:$AJ$4,0),FALSE),BoundParameters_HiddenSheetCLAY!$I$1:$L$1,0),FALSE),IF(VLOOKUP($E45,'Table Output'!$A$2:$E$9999,5,FALSE)="Clay",VLOOKUP(P$37,BoundParameters_HiddenSheetCLAY!$I$3:$L$50,MATCH(VLOOKUP($I80,$I$5:$AJ$34,MATCH(VLOOKUP(P$37,$BH$3:$BI$50,2,FALSE),$I$4:$AJ$4,0),FALSE),BoundParameters_HiddenSheetCLAY!$I$1:$L$1,0),FALSE))),'Control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Output'!$A$2:$E$99999,5,FALSE)="Sand",VLOOKUP(Q$37,BoundParameters_HiddenSheetSAND!$I$3:$L$50,MATCH(VLOOKUP($I80,$I$5:$AJ$34,MATCH(VLOOKUP(Q$37,$BH$3:$BI$50,2,FALSE),$I$4:$AJ$4,0),FALSE),BoundParameters_HiddenSheetCLAY!$I$1:$L$1,0),FALSE),IF(VLOOKUP($E45,'Table Output'!$A$2:$E$9999,5,FALSE)="Clay",VLOOKUP(Q$37,BoundParameters_HiddenSheetCLAY!$I$3:$L$50,MATCH(VLOOKUP($I80,$I$5:$AJ$34,MATCH(VLOOKUP(Q$37,$BH$3:$BI$50,2,FALSE),$I$4:$AJ$4,0),FALSE),BoundParameters_HiddenSheetCLAY!$I$1:$L$1,0),FALSE))),'Control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Output'!$A$2:$E$99999,5,FALSE)="Sand",VLOOKUP(R$37,BoundParameters_HiddenSheetSAND!$I$3:$L$50,MATCH(VLOOKUP($I80,$I$5:$AJ$34,MATCH(VLOOKUP(R$37,$BH$3:$BI$50,2,FALSE),$I$4:$AJ$4,0),FALSE),BoundParameters_HiddenSheetCLAY!$I$1:$L$1,0),FALSE),IF(VLOOKUP($E45,'Table Output'!$A$2:$E$9999,5,FALSE)="Clay",VLOOKUP(R$37,BoundParameters_HiddenSheetCLAY!$I$3:$L$50,MATCH(VLOOKUP($I80,$I$5:$AJ$34,MATCH(VLOOKUP(R$37,$BH$3:$BI$50,2,FALSE),$I$4:$AJ$4,0),FALSE),BoundParameters_HiddenSheetCLAY!$I$1:$L$1,0),FALSE))),'Control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Output'!$A$2:$E$99999,5,FALSE)="Sand",VLOOKUP(S$37,BoundParameters_HiddenSheetSAND!$I$3:$L$50,MATCH(VLOOKUP($I80,$I$5:$AJ$34,MATCH(VLOOKUP(S$37,$BH$3:$BI$50,2,FALSE),$I$4:$AJ$4,0),FALSE),BoundParameters_HiddenSheetCLAY!$I$1:$L$1,0),FALSE),IF(VLOOKUP($E45,'Table Output'!$A$2:$E$9999,5,FALSE)="Clay",VLOOKUP(S$37,BoundParameters_HiddenSheetCLAY!$I$3:$L$50,MATCH(VLOOKUP($I80,$I$5:$AJ$34,MATCH(VLOOKUP(S$37,$BH$3:$BI$50,2,FALSE),$I$4:$AJ$4,0),FALSE),BoundParameters_HiddenSheetCLAY!$I$1:$L$1,0),FALSE))),'Control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Loc_69_Clay_4</v>
      </c>
      <c r="I81" s="7">
        <f t="shared" si="7"/>
        <v>9</v>
      </c>
      <c r="J81" s="44" t="e">
        <f>IF($I81="","",IF(J$37="","",IF('Control Panel'!J81="",IF(VLOOKUP($E46,'Table Output'!$A$2:$E$99999,5,FALSE)="Sand",VLOOKUP(J$37,BoundParameters_HiddenSheetSAND!$I$3:$L$50,MATCH(VLOOKUP($I81,$I$5:$AJ$34,MATCH(VLOOKUP(J$37,$BH$3:$BI$50,2,FALSE),$I$4:$AJ$4,0),FALSE),BoundParameters_HiddenSheetCLAY!$I$1:$L$1,0),FALSE),IF(VLOOKUP($E46,'Table Output'!$A$2:$E$9999,5,FALSE)="Clay",VLOOKUP(J$37,BoundParameters_HiddenSheetCLAY!$I$3:$L$50,MATCH(VLOOKUP($I81,$I$5:$AJ$34,MATCH(VLOOKUP(J$37,$BH$3:$BI$50,2,FALSE),$I$4:$AJ$4,0),FALSE),BoundParameters_HiddenSheetCLAY!$I$1:$L$1,0),FALSE))),'Control Panel'!J81)))</f>
        <v>#N/A</v>
      </c>
      <c r="K81" s="44" t="e">
        <f>IF($I81="","",IF(K$37="","",IF('Control Panel'!K81="",IF(VLOOKUP($E46,'Table Output'!$A$2:$E$99999,5,FALSE)="Sand",VLOOKUP(K$37,BoundParameters_HiddenSheetSAND!$I$3:$L$50,MATCH(VLOOKUP($I81,$I$5:$AJ$34,MATCH(VLOOKUP(K$37,$BH$3:$BI$50,2,FALSE),$I$4:$AJ$4,0),FALSE),BoundParameters_HiddenSheetCLAY!$I$1:$L$1,0),FALSE),IF(VLOOKUP($E46,'Table Output'!$A$2:$E$9999,5,FALSE)="Clay",VLOOKUP(K$37,BoundParameters_HiddenSheetCLAY!$I$3:$L$50,MATCH(VLOOKUP($I81,$I$5:$AJ$34,MATCH(VLOOKUP(K$37,$BH$3:$BI$50,2,FALSE),$I$4:$AJ$4,0),FALSE),BoundParameters_HiddenSheetCLAY!$I$1:$L$1,0),FALSE))),'Control Panel'!K81)))</f>
        <v>#N/A</v>
      </c>
      <c r="L81" s="44" t="e">
        <f>IF($I81="","",IF(L$37="","",IF('Control Panel'!L81="",IF(VLOOKUP($E46,'Table Output'!$A$2:$E$99999,5,FALSE)="Sand",VLOOKUP(L$37,BoundParameters_HiddenSheetSAND!$I$3:$L$50,MATCH(VLOOKUP($I81,$I$5:$AJ$34,MATCH(VLOOKUP(L$37,$BH$3:$BI$50,2,FALSE),$I$4:$AJ$4,0),FALSE),BoundParameters_HiddenSheetCLAY!$I$1:$L$1,0),FALSE),IF(VLOOKUP($E46,'Table Output'!$A$2:$E$9999,5,FALSE)="Clay",VLOOKUP(L$37,BoundParameters_HiddenSheetCLAY!$I$3:$L$50,MATCH(VLOOKUP($I81,$I$5:$AJ$34,MATCH(VLOOKUP(L$37,$BH$3:$BI$50,2,FALSE),$I$4:$AJ$4,0),FALSE),BoundParameters_HiddenSheetCLAY!$I$1:$L$1,0),FALSE))),'Control Panel'!L81)))</f>
        <v>#N/A</v>
      </c>
      <c r="M81" s="44" t="e">
        <f>IF($I81="","",IF(M$37="","",IF('Control Panel'!M81="",IF(VLOOKUP($E46,'Table Output'!$A$2:$E$99999,5,FALSE)="Sand",VLOOKUP(M$37,BoundParameters_HiddenSheetSAND!$I$3:$L$50,MATCH(VLOOKUP($I81,$I$5:$AJ$34,MATCH(VLOOKUP(M$37,$BH$3:$BI$50,2,FALSE),$I$4:$AJ$4,0),FALSE),BoundParameters_HiddenSheetCLAY!$I$1:$L$1,0),FALSE),IF(VLOOKUP($E46,'Table Output'!$A$2:$E$9999,5,FALSE)="Clay",VLOOKUP(M$37,BoundParameters_HiddenSheetCLAY!$I$3:$L$50,MATCH(VLOOKUP($I81,$I$5:$AJ$34,MATCH(VLOOKUP(M$37,$BH$3:$BI$50,2,FALSE),$I$4:$AJ$4,0),FALSE),BoundParameters_HiddenSheetCLAY!$I$1:$L$1,0),FALSE))),'Control Panel'!M81)))</f>
        <v>#N/A</v>
      </c>
      <c r="N81" s="44" t="e">
        <f>IF($I81="","",IF(N$37="","",IF('Control Panel'!N81="",IF(VLOOKUP($E46,'Table Output'!$A$2:$E$99999,5,FALSE)="Sand",VLOOKUP(N$37,BoundParameters_HiddenSheetSAND!$I$3:$L$50,MATCH(VLOOKUP($I81,$I$5:$AJ$34,MATCH(VLOOKUP(N$37,$BH$3:$BI$50,2,FALSE),$I$4:$AJ$4,0),FALSE),BoundParameters_HiddenSheetCLAY!$I$1:$L$1,0),FALSE),IF(VLOOKUP($E46,'Table Output'!$A$2:$E$9999,5,FALSE)="Clay",VLOOKUP(N$37,BoundParameters_HiddenSheetCLAY!$I$3:$L$50,MATCH(VLOOKUP($I81,$I$5:$AJ$34,MATCH(VLOOKUP(N$37,$BH$3:$BI$50,2,FALSE),$I$4:$AJ$4,0),FALSE),BoundParameters_HiddenSheetCLAY!$I$1:$L$1,0),FALSE))),'Control Panel'!N81)))</f>
        <v>#N/A</v>
      </c>
      <c r="O81" s="44" t="str">
        <f>IF($I81="","",IF(O$37="","",IF('Control Panel'!O81="",IF(VLOOKUP($E46,'Table Output'!$A$2:$E$99999,5,FALSE)="Sand",VLOOKUP(O$37,BoundParameters_HiddenSheetSAND!$I$3:$L$50,MATCH(VLOOKUP($I81,$I$5:$AJ$34,MATCH(VLOOKUP(O$37,$BH$3:$BI$50,2,FALSE),$I$4:$AJ$4,0),FALSE),BoundParameters_HiddenSheetCLAY!$I$1:$L$1,0),FALSE),IF(VLOOKUP($E46,'Table Output'!$A$2:$E$9999,5,FALSE)="Clay",VLOOKUP(O$37,BoundParameters_HiddenSheetCLAY!$I$3:$L$50,MATCH(VLOOKUP($I81,$I$5:$AJ$34,MATCH(VLOOKUP(O$37,$BH$3:$BI$50,2,FALSE),$I$4:$AJ$4,0),FALSE),BoundParameters_HiddenSheetCLAY!$I$1:$L$1,0),FALSE))),'Control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Output'!$A$2:$E$99999,5,FALSE)="Sand",VLOOKUP(P$37,BoundParameters_HiddenSheetSAND!$I$3:$L$50,MATCH(VLOOKUP($I81,$I$5:$AJ$34,MATCH(VLOOKUP(P$37,$BH$3:$BI$50,2,FALSE),$I$4:$AJ$4,0),FALSE),BoundParameters_HiddenSheetCLAY!$I$1:$L$1,0),FALSE),IF(VLOOKUP($E46,'Table Output'!$A$2:$E$9999,5,FALSE)="Clay",VLOOKUP(P$37,BoundParameters_HiddenSheetCLAY!$I$3:$L$50,MATCH(VLOOKUP($I81,$I$5:$AJ$34,MATCH(VLOOKUP(P$37,$BH$3:$BI$50,2,FALSE),$I$4:$AJ$4,0),FALSE),BoundParameters_HiddenSheetCLAY!$I$1:$L$1,0),FALSE))),'Control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Output'!$A$2:$E$99999,5,FALSE)="Sand",VLOOKUP(Q$37,BoundParameters_HiddenSheetSAND!$I$3:$L$50,MATCH(VLOOKUP($I81,$I$5:$AJ$34,MATCH(VLOOKUP(Q$37,$BH$3:$BI$50,2,FALSE),$I$4:$AJ$4,0),FALSE),BoundParameters_HiddenSheetCLAY!$I$1:$L$1,0),FALSE),IF(VLOOKUP($E46,'Table Output'!$A$2:$E$9999,5,FALSE)="Clay",VLOOKUP(Q$37,BoundParameters_HiddenSheetCLAY!$I$3:$L$50,MATCH(VLOOKUP($I81,$I$5:$AJ$34,MATCH(VLOOKUP(Q$37,$BH$3:$BI$50,2,FALSE),$I$4:$AJ$4,0),FALSE),BoundParameters_HiddenSheetCLAY!$I$1:$L$1,0),FALSE))),'Control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Output'!$A$2:$E$99999,5,FALSE)="Sand",VLOOKUP(R$37,BoundParameters_HiddenSheetSAND!$I$3:$L$50,MATCH(VLOOKUP($I81,$I$5:$AJ$34,MATCH(VLOOKUP(R$37,$BH$3:$BI$50,2,FALSE),$I$4:$AJ$4,0),FALSE),BoundParameters_HiddenSheetCLAY!$I$1:$L$1,0),FALSE),IF(VLOOKUP($E46,'Table Output'!$A$2:$E$9999,5,FALSE)="Clay",VLOOKUP(R$37,BoundParameters_HiddenSheetCLAY!$I$3:$L$50,MATCH(VLOOKUP($I81,$I$5:$AJ$34,MATCH(VLOOKUP(R$37,$BH$3:$BI$50,2,FALSE),$I$4:$AJ$4,0),FALSE),BoundParameters_HiddenSheetCLAY!$I$1:$L$1,0),FALSE))),'Control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Output'!$A$2:$E$99999,5,FALSE)="Sand",VLOOKUP(S$37,BoundParameters_HiddenSheetSAND!$I$3:$L$50,MATCH(VLOOKUP($I81,$I$5:$AJ$34,MATCH(VLOOKUP(S$37,$BH$3:$BI$50,2,FALSE),$I$4:$AJ$4,0),FALSE),BoundParameters_HiddenSheetCLAY!$I$1:$L$1,0),FALSE),IF(VLOOKUP($E46,'Table Output'!$A$2:$E$9999,5,FALSE)="Clay",VLOOKUP(S$37,BoundParameters_HiddenSheetCLAY!$I$3:$L$50,MATCH(VLOOKUP($I81,$I$5:$AJ$34,MATCH(VLOOKUP(S$37,$BH$3:$BI$50,2,FALSE),$I$4:$AJ$4,0),FALSE),BoundParameters_HiddenSheetCLAY!$I$1:$L$1,0),FALSE))),'Control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Loc_69_Clay_5</v>
      </c>
      <c r="I82" s="7">
        <f t="shared" si="7"/>
        <v>10</v>
      </c>
      <c r="J82" s="44" t="e">
        <f>IF($I82="","",IF(J$37="","",IF('Control Panel'!J82="",IF(VLOOKUP($E47,'Table Output'!$A$2:$E$99999,5,FALSE)="Sand",VLOOKUP(J$37,BoundParameters_HiddenSheetSAND!$I$3:$L$50,MATCH(VLOOKUP($I82,$I$5:$AJ$34,MATCH(VLOOKUP(J$37,$BH$3:$BI$50,2,FALSE),$I$4:$AJ$4,0),FALSE),BoundParameters_HiddenSheetCLAY!$I$1:$L$1,0),FALSE),IF(VLOOKUP($E47,'Table Output'!$A$2:$E$9999,5,FALSE)="Clay",VLOOKUP(J$37,BoundParameters_HiddenSheetCLAY!$I$3:$L$50,MATCH(VLOOKUP($I82,$I$5:$AJ$34,MATCH(VLOOKUP(J$37,$BH$3:$BI$50,2,FALSE),$I$4:$AJ$4,0),FALSE),BoundParameters_HiddenSheetCLAY!$I$1:$L$1,0),FALSE))),'Control Panel'!J82)))</f>
        <v>#N/A</v>
      </c>
      <c r="K82" s="44" t="e">
        <f>IF($I82="","",IF(K$37="","",IF('Control Panel'!K82="",IF(VLOOKUP($E47,'Table Output'!$A$2:$E$99999,5,FALSE)="Sand",VLOOKUP(K$37,BoundParameters_HiddenSheetSAND!$I$3:$L$50,MATCH(VLOOKUP($I82,$I$5:$AJ$34,MATCH(VLOOKUP(K$37,$BH$3:$BI$50,2,FALSE),$I$4:$AJ$4,0),FALSE),BoundParameters_HiddenSheetCLAY!$I$1:$L$1,0),FALSE),IF(VLOOKUP($E47,'Table Output'!$A$2:$E$9999,5,FALSE)="Clay",VLOOKUP(K$37,BoundParameters_HiddenSheetCLAY!$I$3:$L$50,MATCH(VLOOKUP($I82,$I$5:$AJ$34,MATCH(VLOOKUP(K$37,$BH$3:$BI$50,2,FALSE),$I$4:$AJ$4,0),FALSE),BoundParameters_HiddenSheetCLAY!$I$1:$L$1,0),FALSE))),'Control Panel'!K82)))</f>
        <v>#N/A</v>
      </c>
      <c r="L82" s="44" t="e">
        <f>IF($I82="","",IF(L$37="","",IF('Control Panel'!L82="",IF(VLOOKUP($E47,'Table Output'!$A$2:$E$99999,5,FALSE)="Sand",VLOOKUP(L$37,BoundParameters_HiddenSheetSAND!$I$3:$L$50,MATCH(VLOOKUP($I82,$I$5:$AJ$34,MATCH(VLOOKUP(L$37,$BH$3:$BI$50,2,FALSE),$I$4:$AJ$4,0),FALSE),BoundParameters_HiddenSheetCLAY!$I$1:$L$1,0),FALSE),IF(VLOOKUP($E47,'Table Output'!$A$2:$E$9999,5,FALSE)="Clay",VLOOKUP(L$37,BoundParameters_HiddenSheetCLAY!$I$3:$L$50,MATCH(VLOOKUP($I82,$I$5:$AJ$34,MATCH(VLOOKUP(L$37,$BH$3:$BI$50,2,FALSE),$I$4:$AJ$4,0),FALSE),BoundParameters_HiddenSheetCLAY!$I$1:$L$1,0),FALSE))),'Control Panel'!L82)))</f>
        <v>#N/A</v>
      </c>
      <c r="M82" s="44" t="e">
        <f>IF($I82="","",IF(M$37="","",IF('Control Panel'!M82="",IF(VLOOKUP($E47,'Table Output'!$A$2:$E$99999,5,FALSE)="Sand",VLOOKUP(M$37,BoundParameters_HiddenSheetSAND!$I$3:$L$50,MATCH(VLOOKUP($I82,$I$5:$AJ$34,MATCH(VLOOKUP(M$37,$BH$3:$BI$50,2,FALSE),$I$4:$AJ$4,0),FALSE),BoundParameters_HiddenSheetCLAY!$I$1:$L$1,0),FALSE),IF(VLOOKUP($E47,'Table Output'!$A$2:$E$9999,5,FALSE)="Clay",VLOOKUP(M$37,BoundParameters_HiddenSheetCLAY!$I$3:$L$50,MATCH(VLOOKUP($I82,$I$5:$AJ$34,MATCH(VLOOKUP(M$37,$BH$3:$BI$50,2,FALSE),$I$4:$AJ$4,0),FALSE),BoundParameters_HiddenSheetCLAY!$I$1:$L$1,0),FALSE))),'Control Panel'!M82)))</f>
        <v>#N/A</v>
      </c>
      <c r="N82" s="44" t="e">
        <f>IF($I82="","",IF(N$37="","",IF('Control Panel'!N82="",IF(VLOOKUP($E47,'Table Output'!$A$2:$E$99999,5,FALSE)="Sand",VLOOKUP(N$37,BoundParameters_HiddenSheetSAND!$I$3:$L$50,MATCH(VLOOKUP($I82,$I$5:$AJ$34,MATCH(VLOOKUP(N$37,$BH$3:$BI$50,2,FALSE),$I$4:$AJ$4,0),FALSE),BoundParameters_HiddenSheetCLAY!$I$1:$L$1,0),FALSE),IF(VLOOKUP($E47,'Table Output'!$A$2:$E$9999,5,FALSE)="Clay",VLOOKUP(N$37,BoundParameters_HiddenSheetCLAY!$I$3:$L$50,MATCH(VLOOKUP($I82,$I$5:$AJ$34,MATCH(VLOOKUP(N$37,$BH$3:$BI$50,2,FALSE),$I$4:$AJ$4,0),FALSE),BoundParameters_HiddenSheetCLAY!$I$1:$L$1,0),FALSE))),'Control Panel'!N82)))</f>
        <v>#N/A</v>
      </c>
      <c r="O82" s="44" t="str">
        <f>IF($I82="","",IF(O$37="","",IF('Control Panel'!O82="",IF(VLOOKUP($E47,'Table Output'!$A$2:$E$99999,5,FALSE)="Sand",VLOOKUP(O$37,BoundParameters_HiddenSheetSAND!$I$3:$L$50,MATCH(VLOOKUP($I82,$I$5:$AJ$34,MATCH(VLOOKUP(O$37,$BH$3:$BI$50,2,FALSE),$I$4:$AJ$4,0),FALSE),BoundParameters_HiddenSheetCLAY!$I$1:$L$1,0),FALSE),IF(VLOOKUP($E47,'Table Output'!$A$2:$E$9999,5,FALSE)="Clay",VLOOKUP(O$37,BoundParameters_HiddenSheetCLAY!$I$3:$L$50,MATCH(VLOOKUP($I82,$I$5:$AJ$34,MATCH(VLOOKUP(O$37,$BH$3:$BI$50,2,FALSE),$I$4:$AJ$4,0),FALSE),BoundParameters_HiddenSheetCLAY!$I$1:$L$1,0),FALSE))),'Control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Output'!$A$2:$E$99999,5,FALSE)="Sand",VLOOKUP(P$37,BoundParameters_HiddenSheetSAND!$I$3:$L$50,MATCH(VLOOKUP($I82,$I$5:$AJ$34,MATCH(VLOOKUP(P$37,$BH$3:$BI$50,2,FALSE),$I$4:$AJ$4,0),FALSE),BoundParameters_HiddenSheetCLAY!$I$1:$L$1,0),FALSE),IF(VLOOKUP($E47,'Table Output'!$A$2:$E$9999,5,FALSE)="Clay",VLOOKUP(P$37,BoundParameters_HiddenSheetCLAY!$I$3:$L$50,MATCH(VLOOKUP($I82,$I$5:$AJ$34,MATCH(VLOOKUP(P$37,$BH$3:$BI$50,2,FALSE),$I$4:$AJ$4,0),FALSE),BoundParameters_HiddenSheetCLAY!$I$1:$L$1,0),FALSE))),'Control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Output'!$A$2:$E$99999,5,FALSE)="Sand",VLOOKUP(Q$37,BoundParameters_HiddenSheetSAND!$I$3:$L$50,MATCH(VLOOKUP($I82,$I$5:$AJ$34,MATCH(VLOOKUP(Q$37,$BH$3:$BI$50,2,FALSE),$I$4:$AJ$4,0),FALSE),BoundParameters_HiddenSheetCLAY!$I$1:$L$1,0),FALSE),IF(VLOOKUP($E47,'Table Output'!$A$2:$E$9999,5,FALSE)="Clay",VLOOKUP(Q$37,BoundParameters_HiddenSheetCLAY!$I$3:$L$50,MATCH(VLOOKUP($I82,$I$5:$AJ$34,MATCH(VLOOKUP(Q$37,$BH$3:$BI$50,2,FALSE),$I$4:$AJ$4,0),FALSE),BoundParameters_HiddenSheetCLAY!$I$1:$L$1,0),FALSE))),'Control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Output'!$A$2:$E$99999,5,FALSE)="Sand",VLOOKUP(R$37,BoundParameters_HiddenSheetSAND!$I$3:$L$50,MATCH(VLOOKUP($I82,$I$5:$AJ$34,MATCH(VLOOKUP(R$37,$BH$3:$BI$50,2,FALSE),$I$4:$AJ$4,0),FALSE),BoundParameters_HiddenSheetCLAY!$I$1:$L$1,0),FALSE),IF(VLOOKUP($E47,'Table Output'!$A$2:$E$9999,5,FALSE)="Clay",VLOOKUP(R$37,BoundParameters_HiddenSheetCLAY!$I$3:$L$50,MATCH(VLOOKUP($I82,$I$5:$AJ$34,MATCH(VLOOKUP(R$37,$BH$3:$BI$50,2,FALSE),$I$4:$AJ$4,0),FALSE),BoundParameters_HiddenSheetCLAY!$I$1:$L$1,0),FALSE))),'Control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Output'!$A$2:$E$99999,5,FALSE)="Sand",VLOOKUP(S$37,BoundParameters_HiddenSheetSAND!$I$3:$L$50,MATCH(VLOOKUP($I82,$I$5:$AJ$34,MATCH(VLOOKUP(S$37,$BH$3:$BI$50,2,FALSE),$I$4:$AJ$4,0),FALSE),BoundParameters_HiddenSheetCLAY!$I$1:$L$1,0),FALSE),IF(VLOOKUP($E47,'Table Output'!$A$2:$E$9999,5,FALSE)="Clay",VLOOKUP(S$37,BoundParameters_HiddenSheetCLAY!$I$3:$L$50,MATCH(VLOOKUP($I82,$I$5:$AJ$34,MATCH(VLOOKUP(S$37,$BH$3:$BI$50,2,FALSE),$I$4:$AJ$4,0),FALSE),BoundParameters_HiddenSheetCLAY!$I$1:$L$1,0),FALSE))),'Control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Loc_69_Sand_6</v>
      </c>
      <c r="I83" s="7">
        <f t="shared" si="7"/>
        <v>11</v>
      </c>
      <c r="J83" s="44" t="e">
        <f>IF($I83="","",IF(J$37="","",IF('Control Panel'!J83="",IF(VLOOKUP($E48,'Table Output'!$A$2:$E$99999,5,FALSE)="Sand",VLOOKUP(J$37,BoundParameters_HiddenSheetSAND!$I$3:$L$50,MATCH(VLOOKUP($I83,$I$5:$AJ$34,MATCH(VLOOKUP(J$37,$BH$3:$BI$50,2,FALSE),$I$4:$AJ$4,0),FALSE),BoundParameters_HiddenSheetCLAY!$I$1:$L$1,0),FALSE),IF(VLOOKUP($E48,'Table Output'!$A$2:$E$9999,5,FALSE)="Clay",VLOOKUP(J$37,BoundParameters_HiddenSheetCLAY!$I$3:$L$50,MATCH(VLOOKUP($I83,$I$5:$AJ$34,MATCH(VLOOKUP(J$37,$BH$3:$BI$50,2,FALSE),$I$4:$AJ$4,0),FALSE),BoundParameters_HiddenSheetCLAY!$I$1:$L$1,0),FALSE))),'Control Panel'!J83)))</f>
        <v>#N/A</v>
      </c>
      <c r="K83" s="44" t="e">
        <f>IF($I83="","",IF(K$37="","",IF('Control Panel'!K83="",IF(VLOOKUP($E48,'Table Output'!$A$2:$E$99999,5,FALSE)="Sand",VLOOKUP(K$37,BoundParameters_HiddenSheetSAND!$I$3:$L$50,MATCH(VLOOKUP($I83,$I$5:$AJ$34,MATCH(VLOOKUP(K$37,$BH$3:$BI$50,2,FALSE),$I$4:$AJ$4,0),FALSE),BoundParameters_HiddenSheetCLAY!$I$1:$L$1,0),FALSE),IF(VLOOKUP($E48,'Table Output'!$A$2:$E$9999,5,FALSE)="Clay",VLOOKUP(K$37,BoundParameters_HiddenSheetCLAY!$I$3:$L$50,MATCH(VLOOKUP($I83,$I$5:$AJ$34,MATCH(VLOOKUP(K$37,$BH$3:$BI$50,2,FALSE),$I$4:$AJ$4,0),FALSE),BoundParameters_HiddenSheetCLAY!$I$1:$L$1,0),FALSE))),'Control Panel'!K83)))</f>
        <v>#N/A</v>
      </c>
      <c r="L83" s="44" t="e">
        <f>IF($I83="","",IF(L$37="","",IF('Control Panel'!L83="",IF(VLOOKUP($E48,'Table Output'!$A$2:$E$99999,5,FALSE)="Sand",VLOOKUP(L$37,BoundParameters_HiddenSheetSAND!$I$3:$L$50,MATCH(VLOOKUP($I83,$I$5:$AJ$34,MATCH(VLOOKUP(L$37,$BH$3:$BI$50,2,FALSE),$I$4:$AJ$4,0),FALSE),BoundParameters_HiddenSheetCLAY!$I$1:$L$1,0),FALSE),IF(VLOOKUP($E48,'Table Output'!$A$2:$E$9999,5,FALSE)="Clay",VLOOKUP(L$37,BoundParameters_HiddenSheetCLAY!$I$3:$L$50,MATCH(VLOOKUP($I83,$I$5:$AJ$34,MATCH(VLOOKUP(L$37,$BH$3:$BI$50,2,FALSE),$I$4:$AJ$4,0),FALSE),BoundParameters_HiddenSheetCLAY!$I$1:$L$1,0),FALSE))),'Control Panel'!L83)))</f>
        <v>#N/A</v>
      </c>
      <c r="M83" s="44" t="e">
        <f>IF($I83="","",IF(M$37="","",IF('Control Panel'!M83="",IF(VLOOKUP($E48,'Table Output'!$A$2:$E$99999,5,FALSE)="Sand",VLOOKUP(M$37,BoundParameters_HiddenSheetSAND!$I$3:$L$50,MATCH(VLOOKUP($I83,$I$5:$AJ$34,MATCH(VLOOKUP(M$37,$BH$3:$BI$50,2,FALSE),$I$4:$AJ$4,0),FALSE),BoundParameters_HiddenSheetCLAY!$I$1:$L$1,0),FALSE),IF(VLOOKUP($E48,'Table Output'!$A$2:$E$9999,5,FALSE)="Clay",VLOOKUP(M$37,BoundParameters_HiddenSheetCLAY!$I$3:$L$50,MATCH(VLOOKUP($I83,$I$5:$AJ$34,MATCH(VLOOKUP(M$37,$BH$3:$BI$50,2,FALSE),$I$4:$AJ$4,0),FALSE),BoundParameters_HiddenSheetCLAY!$I$1:$L$1,0),FALSE))),'Control Panel'!M83)))</f>
        <v>#N/A</v>
      </c>
      <c r="N83" s="44" t="e">
        <f>IF($I83="","",IF(N$37="","",IF('Control Panel'!N83="",IF(VLOOKUP($E48,'Table Output'!$A$2:$E$99999,5,FALSE)="Sand",VLOOKUP(N$37,BoundParameters_HiddenSheetSAND!$I$3:$L$50,MATCH(VLOOKUP($I83,$I$5:$AJ$34,MATCH(VLOOKUP(N$37,$BH$3:$BI$50,2,FALSE),$I$4:$AJ$4,0),FALSE),BoundParameters_HiddenSheetCLAY!$I$1:$L$1,0),FALSE),IF(VLOOKUP($E48,'Table Output'!$A$2:$E$9999,5,FALSE)="Clay",VLOOKUP(N$37,BoundParameters_HiddenSheetCLAY!$I$3:$L$50,MATCH(VLOOKUP($I83,$I$5:$AJ$34,MATCH(VLOOKUP(N$37,$BH$3:$BI$50,2,FALSE),$I$4:$AJ$4,0),FALSE),BoundParameters_HiddenSheetCLAY!$I$1:$L$1,0),FALSE))),'Control Panel'!N83)))</f>
        <v>#N/A</v>
      </c>
      <c r="O83" s="44" t="str">
        <f>IF($I83="","",IF(O$37="","",IF('Control Panel'!O83="",IF(VLOOKUP($E48,'Table Output'!$A$2:$E$99999,5,FALSE)="Sand",VLOOKUP(O$37,BoundParameters_HiddenSheetSAND!$I$3:$L$50,MATCH(VLOOKUP($I83,$I$5:$AJ$34,MATCH(VLOOKUP(O$37,$BH$3:$BI$50,2,FALSE),$I$4:$AJ$4,0),FALSE),BoundParameters_HiddenSheetCLAY!$I$1:$L$1,0),FALSE),IF(VLOOKUP($E48,'Table Output'!$A$2:$E$9999,5,FALSE)="Clay",VLOOKUP(O$37,BoundParameters_HiddenSheetCLAY!$I$3:$L$50,MATCH(VLOOKUP($I83,$I$5:$AJ$34,MATCH(VLOOKUP(O$37,$BH$3:$BI$50,2,FALSE),$I$4:$AJ$4,0),FALSE),BoundParameters_HiddenSheetCLAY!$I$1:$L$1,0),FALSE))),'Control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Output'!$A$2:$E$99999,5,FALSE)="Sand",VLOOKUP(P$37,BoundParameters_HiddenSheetSAND!$I$3:$L$50,MATCH(VLOOKUP($I83,$I$5:$AJ$34,MATCH(VLOOKUP(P$37,$BH$3:$BI$50,2,FALSE),$I$4:$AJ$4,0),FALSE),BoundParameters_HiddenSheetCLAY!$I$1:$L$1,0),FALSE),IF(VLOOKUP($E48,'Table Output'!$A$2:$E$9999,5,FALSE)="Clay",VLOOKUP(P$37,BoundParameters_HiddenSheetCLAY!$I$3:$L$50,MATCH(VLOOKUP($I83,$I$5:$AJ$34,MATCH(VLOOKUP(P$37,$BH$3:$BI$50,2,FALSE),$I$4:$AJ$4,0),FALSE),BoundParameters_HiddenSheetCLAY!$I$1:$L$1,0),FALSE))),'Control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Output'!$A$2:$E$99999,5,FALSE)="Sand",VLOOKUP(Q$37,BoundParameters_HiddenSheetSAND!$I$3:$L$50,MATCH(VLOOKUP($I83,$I$5:$AJ$34,MATCH(VLOOKUP(Q$37,$BH$3:$BI$50,2,FALSE),$I$4:$AJ$4,0),FALSE),BoundParameters_HiddenSheetCLAY!$I$1:$L$1,0),FALSE),IF(VLOOKUP($E48,'Table Output'!$A$2:$E$9999,5,FALSE)="Clay",VLOOKUP(Q$37,BoundParameters_HiddenSheetCLAY!$I$3:$L$50,MATCH(VLOOKUP($I83,$I$5:$AJ$34,MATCH(VLOOKUP(Q$37,$BH$3:$BI$50,2,FALSE),$I$4:$AJ$4,0),FALSE),BoundParameters_HiddenSheetCLAY!$I$1:$L$1,0),FALSE))),'Control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Output'!$A$2:$E$99999,5,FALSE)="Sand",VLOOKUP(R$37,BoundParameters_HiddenSheetSAND!$I$3:$L$50,MATCH(VLOOKUP($I83,$I$5:$AJ$34,MATCH(VLOOKUP(R$37,$BH$3:$BI$50,2,FALSE),$I$4:$AJ$4,0),FALSE),BoundParameters_HiddenSheetCLAY!$I$1:$L$1,0),FALSE),IF(VLOOKUP($E48,'Table Output'!$A$2:$E$9999,5,FALSE)="Clay",VLOOKUP(R$37,BoundParameters_HiddenSheetCLAY!$I$3:$L$50,MATCH(VLOOKUP($I83,$I$5:$AJ$34,MATCH(VLOOKUP(R$37,$BH$3:$BI$50,2,FALSE),$I$4:$AJ$4,0),FALSE),BoundParameters_HiddenSheetCLAY!$I$1:$L$1,0),FALSE))),'Control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Output'!$A$2:$E$99999,5,FALSE)="Sand",VLOOKUP(S$37,BoundParameters_HiddenSheetSAND!$I$3:$L$50,MATCH(VLOOKUP($I83,$I$5:$AJ$34,MATCH(VLOOKUP(S$37,$BH$3:$BI$50,2,FALSE),$I$4:$AJ$4,0),FALSE),BoundParameters_HiddenSheetCLAY!$I$1:$L$1,0),FALSE),IF(VLOOKUP($E48,'Table Output'!$A$2:$E$9999,5,FALSE)="Clay",VLOOKUP(S$37,BoundParameters_HiddenSheetCLAY!$I$3:$L$50,MATCH(VLOOKUP($I83,$I$5:$AJ$34,MATCH(VLOOKUP(S$37,$BH$3:$BI$50,2,FALSE),$I$4:$AJ$4,0),FALSE),BoundParameters_HiddenSheetCLAY!$I$1:$L$1,0),FALSE))),'Control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>Loc_69_Sand_7</v>
      </c>
      <c r="I84" s="7">
        <f t="shared" si="7"/>
        <v>12</v>
      </c>
      <c r="J84" s="44" t="e">
        <f>IF($I84="","",IF(J$37="","",IF('Control Panel'!J84="",IF(VLOOKUP($E49,'Table Output'!$A$2:$E$99999,5,FALSE)="Sand",VLOOKUP(J$37,BoundParameters_HiddenSheetSAND!$I$3:$L$50,MATCH(VLOOKUP($I84,$I$5:$AJ$34,MATCH(VLOOKUP(J$37,$BH$3:$BI$50,2,FALSE),$I$4:$AJ$4,0),FALSE),BoundParameters_HiddenSheetCLAY!$I$1:$L$1,0),FALSE),IF(VLOOKUP($E49,'Table Output'!$A$2:$E$9999,5,FALSE)="Clay",VLOOKUP(J$37,BoundParameters_HiddenSheetCLAY!$I$3:$L$50,MATCH(VLOOKUP($I84,$I$5:$AJ$34,MATCH(VLOOKUP(J$37,$BH$3:$BI$50,2,FALSE),$I$4:$AJ$4,0),FALSE),BoundParameters_HiddenSheetCLAY!$I$1:$L$1,0),FALSE))),'Control Panel'!J84)))</f>
        <v>#N/A</v>
      </c>
      <c r="K84" s="44" t="e">
        <f>IF($I84="","",IF(K$37="","",IF('Control Panel'!K84="",IF(VLOOKUP($E49,'Table Output'!$A$2:$E$99999,5,FALSE)="Sand",VLOOKUP(K$37,BoundParameters_HiddenSheetSAND!$I$3:$L$50,MATCH(VLOOKUP($I84,$I$5:$AJ$34,MATCH(VLOOKUP(K$37,$BH$3:$BI$50,2,FALSE),$I$4:$AJ$4,0),FALSE),BoundParameters_HiddenSheetCLAY!$I$1:$L$1,0),FALSE),IF(VLOOKUP($E49,'Table Output'!$A$2:$E$9999,5,FALSE)="Clay",VLOOKUP(K$37,BoundParameters_HiddenSheetCLAY!$I$3:$L$50,MATCH(VLOOKUP($I84,$I$5:$AJ$34,MATCH(VLOOKUP(K$37,$BH$3:$BI$50,2,FALSE),$I$4:$AJ$4,0),FALSE),BoundParameters_HiddenSheetCLAY!$I$1:$L$1,0),FALSE))),'Control Panel'!K84)))</f>
        <v>#N/A</v>
      </c>
      <c r="L84" s="44" t="e">
        <f>IF($I84="","",IF(L$37="","",IF('Control Panel'!L84="",IF(VLOOKUP($E49,'Table Output'!$A$2:$E$99999,5,FALSE)="Sand",VLOOKUP(L$37,BoundParameters_HiddenSheetSAND!$I$3:$L$50,MATCH(VLOOKUP($I84,$I$5:$AJ$34,MATCH(VLOOKUP(L$37,$BH$3:$BI$50,2,FALSE),$I$4:$AJ$4,0),FALSE),BoundParameters_HiddenSheetCLAY!$I$1:$L$1,0),FALSE),IF(VLOOKUP($E49,'Table Output'!$A$2:$E$9999,5,FALSE)="Clay",VLOOKUP(L$37,BoundParameters_HiddenSheetCLAY!$I$3:$L$50,MATCH(VLOOKUP($I84,$I$5:$AJ$34,MATCH(VLOOKUP(L$37,$BH$3:$BI$50,2,FALSE),$I$4:$AJ$4,0),FALSE),BoundParameters_HiddenSheetCLAY!$I$1:$L$1,0),FALSE))),'Control Panel'!L84)))</f>
        <v>#N/A</v>
      </c>
      <c r="M84" s="44" t="e">
        <f>IF($I84="","",IF(M$37="","",IF('Control Panel'!M84="",IF(VLOOKUP($E49,'Table Output'!$A$2:$E$99999,5,FALSE)="Sand",VLOOKUP(M$37,BoundParameters_HiddenSheetSAND!$I$3:$L$50,MATCH(VLOOKUP($I84,$I$5:$AJ$34,MATCH(VLOOKUP(M$37,$BH$3:$BI$50,2,FALSE),$I$4:$AJ$4,0),FALSE),BoundParameters_HiddenSheetCLAY!$I$1:$L$1,0),FALSE),IF(VLOOKUP($E49,'Table Output'!$A$2:$E$9999,5,FALSE)="Clay",VLOOKUP(M$37,BoundParameters_HiddenSheetCLAY!$I$3:$L$50,MATCH(VLOOKUP($I84,$I$5:$AJ$34,MATCH(VLOOKUP(M$37,$BH$3:$BI$50,2,FALSE),$I$4:$AJ$4,0),FALSE),BoundParameters_HiddenSheetCLAY!$I$1:$L$1,0),FALSE))),'Control Panel'!M84)))</f>
        <v>#N/A</v>
      </c>
      <c r="N84" s="44" t="e">
        <f>IF($I84="","",IF(N$37="","",IF('Control Panel'!N84="",IF(VLOOKUP($E49,'Table Output'!$A$2:$E$99999,5,FALSE)="Sand",VLOOKUP(N$37,BoundParameters_HiddenSheetSAND!$I$3:$L$50,MATCH(VLOOKUP($I84,$I$5:$AJ$34,MATCH(VLOOKUP(N$37,$BH$3:$BI$50,2,FALSE),$I$4:$AJ$4,0),FALSE),BoundParameters_HiddenSheetCLAY!$I$1:$L$1,0),FALSE),IF(VLOOKUP($E49,'Table Output'!$A$2:$E$9999,5,FALSE)="Clay",VLOOKUP(N$37,BoundParameters_HiddenSheetCLAY!$I$3:$L$50,MATCH(VLOOKUP($I84,$I$5:$AJ$34,MATCH(VLOOKUP(N$37,$BH$3:$BI$50,2,FALSE),$I$4:$AJ$4,0),FALSE),BoundParameters_HiddenSheetCLAY!$I$1:$L$1,0),FALSE))),'Control Panel'!N84)))</f>
        <v>#N/A</v>
      </c>
      <c r="O84" s="44" t="str">
        <f>IF($I84="","",IF(O$37="","",IF('Control Panel'!O84="",IF(VLOOKUP($E49,'Table Output'!$A$2:$E$99999,5,FALSE)="Sand",VLOOKUP(O$37,BoundParameters_HiddenSheetSAND!$I$3:$L$50,MATCH(VLOOKUP($I84,$I$5:$AJ$34,MATCH(VLOOKUP(O$37,$BH$3:$BI$50,2,FALSE),$I$4:$AJ$4,0),FALSE),BoundParameters_HiddenSheetCLAY!$I$1:$L$1,0),FALSE),IF(VLOOKUP($E49,'Table Output'!$A$2:$E$9999,5,FALSE)="Clay",VLOOKUP(O$37,BoundParameters_HiddenSheetCLAY!$I$3:$L$50,MATCH(VLOOKUP($I84,$I$5:$AJ$34,MATCH(VLOOKUP(O$37,$BH$3:$BI$50,2,FALSE),$I$4:$AJ$4,0),FALSE),BoundParameters_HiddenSheetCLAY!$I$1:$L$1,0),FALSE))),'Control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Output'!$A$2:$E$99999,5,FALSE)="Sand",VLOOKUP(P$37,BoundParameters_HiddenSheetSAND!$I$3:$L$50,MATCH(VLOOKUP($I84,$I$5:$AJ$34,MATCH(VLOOKUP(P$37,$BH$3:$BI$50,2,FALSE),$I$4:$AJ$4,0),FALSE),BoundParameters_HiddenSheetCLAY!$I$1:$L$1,0),FALSE),IF(VLOOKUP($E49,'Table Output'!$A$2:$E$9999,5,FALSE)="Clay",VLOOKUP(P$37,BoundParameters_HiddenSheetCLAY!$I$3:$L$50,MATCH(VLOOKUP($I84,$I$5:$AJ$34,MATCH(VLOOKUP(P$37,$BH$3:$BI$50,2,FALSE),$I$4:$AJ$4,0),FALSE),BoundParameters_HiddenSheetCLAY!$I$1:$L$1,0),FALSE))),'Control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Output'!$A$2:$E$99999,5,FALSE)="Sand",VLOOKUP(Q$37,BoundParameters_HiddenSheetSAND!$I$3:$L$50,MATCH(VLOOKUP($I84,$I$5:$AJ$34,MATCH(VLOOKUP(Q$37,$BH$3:$BI$50,2,FALSE),$I$4:$AJ$4,0),FALSE),BoundParameters_HiddenSheetCLAY!$I$1:$L$1,0),FALSE),IF(VLOOKUP($E49,'Table Output'!$A$2:$E$9999,5,FALSE)="Clay",VLOOKUP(Q$37,BoundParameters_HiddenSheetCLAY!$I$3:$L$50,MATCH(VLOOKUP($I84,$I$5:$AJ$34,MATCH(VLOOKUP(Q$37,$BH$3:$BI$50,2,FALSE),$I$4:$AJ$4,0),FALSE),BoundParameters_HiddenSheetCLAY!$I$1:$L$1,0),FALSE))),'Control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Output'!$A$2:$E$99999,5,FALSE)="Sand",VLOOKUP(R$37,BoundParameters_HiddenSheetSAND!$I$3:$L$50,MATCH(VLOOKUP($I84,$I$5:$AJ$34,MATCH(VLOOKUP(R$37,$BH$3:$BI$50,2,FALSE),$I$4:$AJ$4,0),FALSE),BoundParameters_HiddenSheetCLAY!$I$1:$L$1,0),FALSE),IF(VLOOKUP($E49,'Table Output'!$A$2:$E$9999,5,FALSE)="Clay",VLOOKUP(R$37,BoundParameters_HiddenSheetCLAY!$I$3:$L$50,MATCH(VLOOKUP($I84,$I$5:$AJ$34,MATCH(VLOOKUP(R$37,$BH$3:$BI$50,2,FALSE),$I$4:$AJ$4,0),FALSE),BoundParameters_HiddenSheetCLAY!$I$1:$L$1,0),FALSE))),'Control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Output'!$A$2:$E$99999,5,FALSE)="Sand",VLOOKUP(S$37,BoundParameters_HiddenSheetSAND!$I$3:$L$50,MATCH(VLOOKUP($I84,$I$5:$AJ$34,MATCH(VLOOKUP(S$37,$BH$3:$BI$50,2,FALSE),$I$4:$AJ$4,0),FALSE),BoundParameters_HiddenSheetCLAY!$I$1:$L$1,0),FALSE),IF(VLOOKUP($E49,'Table Output'!$A$2:$E$9999,5,FALSE)="Clay",VLOOKUP(S$37,BoundParameters_HiddenSheetCLAY!$I$3:$L$50,MATCH(VLOOKUP($I84,$I$5:$AJ$34,MATCH(VLOOKUP(S$37,$BH$3:$BI$50,2,FALSE),$I$4:$AJ$4,0),FALSE),BoundParameters_HiddenSheetCLAY!$I$1:$L$1,0),FALSE))),'Control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Output'!$A$2:$E$99999,5,FALSE)="Sand",VLOOKUP(J$37,BoundParameters_HiddenSheetSAND!$I$3:$L$50,MATCH(VLOOKUP($I85,$I$5:$AJ$34,MATCH(VLOOKUP(J$37,$BH$3:$BI$50,2,FALSE),$I$4:$AJ$4,0),FALSE),BoundParameters_HiddenSheetCLAY!$I$1:$L$1,0),FALSE),IF(VLOOKUP($E50,'Table Output'!$A$2:$E$9999,5,FALSE)="Clay",VLOOKUP(J$37,BoundParameters_HiddenSheetCLAY!$I$3:$L$50,MATCH(VLOOKUP($I85,$I$5:$AJ$34,MATCH(VLOOKUP(J$37,$BH$3:$BI$50,2,FALSE),$I$4:$AJ$4,0),FALSE),BoundParameters_HiddenSheetCLAY!$I$1:$L$1,0),FALSE))),'Control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Output'!$A$2:$E$99999,5,FALSE)="Sand",VLOOKUP(K$37,BoundParameters_HiddenSheetSAND!$I$3:$L$50,MATCH(VLOOKUP($I85,$I$5:$AJ$34,MATCH(VLOOKUP(K$37,$BH$3:$BI$50,2,FALSE),$I$4:$AJ$4,0),FALSE),BoundParameters_HiddenSheetCLAY!$I$1:$L$1,0),FALSE),IF(VLOOKUP($E50,'Table Output'!$A$2:$E$9999,5,FALSE)="Clay",VLOOKUP(K$37,BoundParameters_HiddenSheetCLAY!$I$3:$L$50,MATCH(VLOOKUP($I85,$I$5:$AJ$34,MATCH(VLOOKUP(K$37,$BH$3:$BI$50,2,FALSE),$I$4:$AJ$4,0),FALSE),BoundParameters_HiddenSheetCLAY!$I$1:$L$1,0),FALSE))),'Control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Output'!$A$2:$E$99999,5,FALSE)="Sand",VLOOKUP(L$37,BoundParameters_HiddenSheetSAND!$I$3:$L$50,MATCH(VLOOKUP($I85,$I$5:$AJ$34,MATCH(VLOOKUP(L$37,$BH$3:$BI$50,2,FALSE),$I$4:$AJ$4,0),FALSE),BoundParameters_HiddenSheetCLAY!$I$1:$L$1,0),FALSE),IF(VLOOKUP($E50,'Table Output'!$A$2:$E$9999,5,FALSE)="Clay",VLOOKUP(L$37,BoundParameters_HiddenSheetCLAY!$I$3:$L$50,MATCH(VLOOKUP($I85,$I$5:$AJ$34,MATCH(VLOOKUP(L$37,$BH$3:$BI$50,2,FALSE),$I$4:$AJ$4,0),FALSE),BoundParameters_HiddenSheetCLAY!$I$1:$L$1,0),FALSE))),'Control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Output'!$A$2:$E$99999,5,FALSE)="Sand",VLOOKUP(M$37,BoundParameters_HiddenSheetSAND!$I$3:$L$50,MATCH(VLOOKUP($I85,$I$5:$AJ$34,MATCH(VLOOKUP(M$37,$BH$3:$BI$50,2,FALSE),$I$4:$AJ$4,0),FALSE),BoundParameters_HiddenSheetCLAY!$I$1:$L$1,0),FALSE),IF(VLOOKUP($E50,'Table Output'!$A$2:$E$9999,5,FALSE)="Clay",VLOOKUP(M$37,BoundParameters_HiddenSheetCLAY!$I$3:$L$50,MATCH(VLOOKUP($I85,$I$5:$AJ$34,MATCH(VLOOKUP(M$37,$BH$3:$BI$50,2,FALSE),$I$4:$AJ$4,0),FALSE),BoundParameters_HiddenSheetCLAY!$I$1:$L$1,0),FALSE))),'Control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Output'!$A$2:$E$99999,5,FALSE)="Sand",VLOOKUP(N$37,BoundParameters_HiddenSheetSAND!$I$3:$L$50,MATCH(VLOOKUP($I85,$I$5:$AJ$34,MATCH(VLOOKUP(N$37,$BH$3:$BI$50,2,FALSE),$I$4:$AJ$4,0),FALSE),BoundParameters_HiddenSheetCLAY!$I$1:$L$1,0),FALSE),IF(VLOOKUP($E50,'Table Output'!$A$2:$E$9999,5,FALSE)="Clay",VLOOKUP(N$37,BoundParameters_HiddenSheetCLAY!$I$3:$L$50,MATCH(VLOOKUP($I85,$I$5:$AJ$34,MATCH(VLOOKUP(N$37,$BH$3:$BI$50,2,FALSE),$I$4:$AJ$4,0),FALSE),BoundParameters_HiddenSheetCLAY!$I$1:$L$1,0),FALSE))),'Control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Output'!$A$2:$E$99999,5,FALSE)="Sand",VLOOKUP(O$37,BoundParameters_HiddenSheetSAND!$I$3:$L$50,MATCH(VLOOKUP($I85,$I$5:$AJ$34,MATCH(VLOOKUP(O$37,$BH$3:$BI$50,2,FALSE),$I$4:$AJ$4,0),FALSE),BoundParameters_HiddenSheetCLAY!$I$1:$L$1,0),FALSE),IF(VLOOKUP($E50,'Table Output'!$A$2:$E$9999,5,FALSE)="Clay",VLOOKUP(O$37,BoundParameters_HiddenSheetCLAY!$I$3:$L$50,MATCH(VLOOKUP($I85,$I$5:$AJ$34,MATCH(VLOOKUP(O$37,$BH$3:$BI$50,2,FALSE),$I$4:$AJ$4,0),FALSE),BoundParameters_HiddenSheetCLAY!$I$1:$L$1,0),FALSE))),'Control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Output'!$A$2:$E$99999,5,FALSE)="Sand",VLOOKUP(P$37,BoundParameters_HiddenSheetSAND!$I$3:$L$50,MATCH(VLOOKUP($I85,$I$5:$AJ$34,MATCH(VLOOKUP(P$37,$BH$3:$BI$50,2,FALSE),$I$4:$AJ$4,0),FALSE),BoundParameters_HiddenSheetCLAY!$I$1:$L$1,0),FALSE),IF(VLOOKUP($E50,'Table Output'!$A$2:$E$9999,5,FALSE)="Clay",VLOOKUP(P$37,BoundParameters_HiddenSheetCLAY!$I$3:$L$50,MATCH(VLOOKUP($I85,$I$5:$AJ$34,MATCH(VLOOKUP(P$37,$BH$3:$BI$50,2,FALSE),$I$4:$AJ$4,0),FALSE),BoundParameters_HiddenSheetCLAY!$I$1:$L$1,0),FALSE))),'Control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Output'!$A$2:$E$99999,5,FALSE)="Sand",VLOOKUP(Q$37,BoundParameters_HiddenSheetSAND!$I$3:$L$50,MATCH(VLOOKUP($I85,$I$5:$AJ$34,MATCH(VLOOKUP(Q$37,$BH$3:$BI$50,2,FALSE),$I$4:$AJ$4,0),FALSE),BoundParameters_HiddenSheetCLAY!$I$1:$L$1,0),FALSE),IF(VLOOKUP($E50,'Table Output'!$A$2:$E$9999,5,FALSE)="Clay",VLOOKUP(Q$37,BoundParameters_HiddenSheetCLAY!$I$3:$L$50,MATCH(VLOOKUP($I85,$I$5:$AJ$34,MATCH(VLOOKUP(Q$37,$BH$3:$BI$50,2,FALSE),$I$4:$AJ$4,0),FALSE),BoundParameters_HiddenSheetCLAY!$I$1:$L$1,0),FALSE))),'Control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Output'!$A$2:$E$99999,5,FALSE)="Sand",VLOOKUP(R$37,BoundParameters_HiddenSheetSAND!$I$3:$L$50,MATCH(VLOOKUP($I85,$I$5:$AJ$34,MATCH(VLOOKUP(R$37,$BH$3:$BI$50,2,FALSE),$I$4:$AJ$4,0),FALSE),BoundParameters_HiddenSheetCLAY!$I$1:$L$1,0),FALSE),IF(VLOOKUP($E50,'Table Output'!$A$2:$E$9999,5,FALSE)="Clay",VLOOKUP(R$37,BoundParameters_HiddenSheetCLAY!$I$3:$L$50,MATCH(VLOOKUP($I85,$I$5:$AJ$34,MATCH(VLOOKUP(R$37,$BH$3:$BI$50,2,FALSE),$I$4:$AJ$4,0),FALSE),BoundParameters_HiddenSheetCLAY!$I$1:$L$1,0),FALSE))),'Control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Output'!$A$2:$E$99999,5,FALSE)="Sand",VLOOKUP(S$37,BoundParameters_HiddenSheetSAND!$I$3:$L$50,MATCH(VLOOKUP($I85,$I$5:$AJ$34,MATCH(VLOOKUP(S$37,$BH$3:$BI$50,2,FALSE),$I$4:$AJ$4,0),FALSE),BoundParameters_HiddenSheetCLAY!$I$1:$L$1,0),FALSE),IF(VLOOKUP($E50,'Table Output'!$A$2:$E$9999,5,FALSE)="Clay",VLOOKUP(S$37,BoundParameters_HiddenSheetCLAY!$I$3:$L$50,MATCH(VLOOKUP($I85,$I$5:$AJ$34,MATCH(VLOOKUP(S$37,$BH$3:$BI$50,2,FALSE),$I$4:$AJ$4,0),FALSE),BoundParameters_HiddenSheetCLAY!$I$1:$L$1,0),FALSE))),'Control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Output'!$A$2:$E$99999,5,FALSE)="Sand",VLOOKUP(J$37,BoundParameters_HiddenSheetSAND!$I$3:$L$50,MATCH(VLOOKUP($I86,$I$5:$AJ$34,MATCH(VLOOKUP(J$37,$BH$3:$BI$50,2,FALSE),$I$4:$AJ$4,0),FALSE),BoundParameters_HiddenSheetCLAY!$I$1:$L$1,0),FALSE),IF(VLOOKUP($E51,'Table Output'!$A$2:$E$9999,5,FALSE)="Clay",VLOOKUP(J$37,BoundParameters_HiddenSheetCLAY!$I$3:$L$50,MATCH(VLOOKUP($I86,$I$5:$AJ$34,MATCH(VLOOKUP(J$37,$BH$3:$BI$50,2,FALSE),$I$4:$AJ$4,0),FALSE),BoundParameters_HiddenSheetCLAY!$I$1:$L$1,0),FALSE))),'Control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Output'!$A$2:$E$99999,5,FALSE)="Sand",VLOOKUP(K$37,BoundParameters_HiddenSheetSAND!$I$3:$L$50,MATCH(VLOOKUP($I86,$I$5:$AJ$34,MATCH(VLOOKUP(K$37,$BH$3:$BI$50,2,FALSE),$I$4:$AJ$4,0),FALSE),BoundParameters_HiddenSheetCLAY!$I$1:$L$1,0),FALSE),IF(VLOOKUP($E51,'Table Output'!$A$2:$E$9999,5,FALSE)="Clay",VLOOKUP(K$37,BoundParameters_HiddenSheetCLAY!$I$3:$L$50,MATCH(VLOOKUP($I86,$I$5:$AJ$34,MATCH(VLOOKUP(K$37,$BH$3:$BI$50,2,FALSE),$I$4:$AJ$4,0),FALSE),BoundParameters_HiddenSheetCLAY!$I$1:$L$1,0),FALSE))),'Control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Output'!$A$2:$E$99999,5,FALSE)="Sand",VLOOKUP(L$37,BoundParameters_HiddenSheetSAND!$I$3:$L$50,MATCH(VLOOKUP($I86,$I$5:$AJ$34,MATCH(VLOOKUP(L$37,$BH$3:$BI$50,2,FALSE),$I$4:$AJ$4,0),FALSE),BoundParameters_HiddenSheetCLAY!$I$1:$L$1,0),FALSE),IF(VLOOKUP($E51,'Table Output'!$A$2:$E$9999,5,FALSE)="Clay",VLOOKUP(L$37,BoundParameters_HiddenSheetCLAY!$I$3:$L$50,MATCH(VLOOKUP($I86,$I$5:$AJ$34,MATCH(VLOOKUP(L$37,$BH$3:$BI$50,2,FALSE),$I$4:$AJ$4,0),FALSE),BoundParameters_HiddenSheetCLAY!$I$1:$L$1,0),FALSE))),'Control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Output'!$A$2:$E$99999,5,FALSE)="Sand",VLOOKUP(M$37,BoundParameters_HiddenSheetSAND!$I$3:$L$50,MATCH(VLOOKUP($I86,$I$5:$AJ$34,MATCH(VLOOKUP(M$37,$BH$3:$BI$50,2,FALSE),$I$4:$AJ$4,0),FALSE),BoundParameters_HiddenSheetCLAY!$I$1:$L$1,0),FALSE),IF(VLOOKUP($E51,'Table Output'!$A$2:$E$9999,5,FALSE)="Clay",VLOOKUP(M$37,BoundParameters_HiddenSheetCLAY!$I$3:$L$50,MATCH(VLOOKUP($I86,$I$5:$AJ$34,MATCH(VLOOKUP(M$37,$BH$3:$BI$50,2,FALSE),$I$4:$AJ$4,0),FALSE),BoundParameters_HiddenSheetCLAY!$I$1:$L$1,0),FALSE))),'Control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Output'!$A$2:$E$99999,5,FALSE)="Sand",VLOOKUP(N$37,BoundParameters_HiddenSheetSAND!$I$3:$L$50,MATCH(VLOOKUP($I86,$I$5:$AJ$34,MATCH(VLOOKUP(N$37,$BH$3:$BI$50,2,FALSE),$I$4:$AJ$4,0),FALSE),BoundParameters_HiddenSheetCLAY!$I$1:$L$1,0),FALSE),IF(VLOOKUP($E51,'Table Output'!$A$2:$E$9999,5,FALSE)="Clay",VLOOKUP(N$37,BoundParameters_HiddenSheetCLAY!$I$3:$L$50,MATCH(VLOOKUP($I86,$I$5:$AJ$34,MATCH(VLOOKUP(N$37,$BH$3:$BI$50,2,FALSE),$I$4:$AJ$4,0),FALSE),BoundParameters_HiddenSheetCLAY!$I$1:$L$1,0),FALSE))),'Control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Output'!$A$2:$E$99999,5,FALSE)="Sand",VLOOKUP(O$37,BoundParameters_HiddenSheetSAND!$I$3:$L$50,MATCH(VLOOKUP($I86,$I$5:$AJ$34,MATCH(VLOOKUP(O$37,$BH$3:$BI$50,2,FALSE),$I$4:$AJ$4,0),FALSE),BoundParameters_HiddenSheetCLAY!$I$1:$L$1,0),FALSE),IF(VLOOKUP($E51,'Table Output'!$A$2:$E$9999,5,FALSE)="Clay",VLOOKUP(O$37,BoundParameters_HiddenSheetCLAY!$I$3:$L$50,MATCH(VLOOKUP($I86,$I$5:$AJ$34,MATCH(VLOOKUP(O$37,$BH$3:$BI$50,2,FALSE),$I$4:$AJ$4,0),FALSE),BoundParameters_HiddenSheetCLAY!$I$1:$L$1,0),FALSE))),'Control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Output'!$A$2:$E$99999,5,FALSE)="Sand",VLOOKUP(P$37,BoundParameters_HiddenSheetSAND!$I$3:$L$50,MATCH(VLOOKUP($I86,$I$5:$AJ$34,MATCH(VLOOKUP(P$37,$BH$3:$BI$50,2,FALSE),$I$4:$AJ$4,0),FALSE),BoundParameters_HiddenSheetCLAY!$I$1:$L$1,0),FALSE),IF(VLOOKUP($E51,'Table Output'!$A$2:$E$9999,5,FALSE)="Clay",VLOOKUP(P$37,BoundParameters_HiddenSheetCLAY!$I$3:$L$50,MATCH(VLOOKUP($I86,$I$5:$AJ$34,MATCH(VLOOKUP(P$37,$BH$3:$BI$50,2,FALSE),$I$4:$AJ$4,0),FALSE),BoundParameters_HiddenSheetCLAY!$I$1:$L$1,0),FALSE))),'Control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Output'!$A$2:$E$99999,5,FALSE)="Sand",VLOOKUP(Q$37,BoundParameters_HiddenSheetSAND!$I$3:$L$50,MATCH(VLOOKUP($I86,$I$5:$AJ$34,MATCH(VLOOKUP(Q$37,$BH$3:$BI$50,2,FALSE),$I$4:$AJ$4,0),FALSE),BoundParameters_HiddenSheetCLAY!$I$1:$L$1,0),FALSE),IF(VLOOKUP($E51,'Table Output'!$A$2:$E$9999,5,FALSE)="Clay",VLOOKUP(Q$37,BoundParameters_HiddenSheetCLAY!$I$3:$L$50,MATCH(VLOOKUP($I86,$I$5:$AJ$34,MATCH(VLOOKUP(Q$37,$BH$3:$BI$50,2,FALSE),$I$4:$AJ$4,0),FALSE),BoundParameters_HiddenSheetCLAY!$I$1:$L$1,0),FALSE))),'Control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Output'!$A$2:$E$99999,5,FALSE)="Sand",VLOOKUP(R$37,BoundParameters_HiddenSheetSAND!$I$3:$L$50,MATCH(VLOOKUP($I86,$I$5:$AJ$34,MATCH(VLOOKUP(R$37,$BH$3:$BI$50,2,FALSE),$I$4:$AJ$4,0),FALSE),BoundParameters_HiddenSheetCLAY!$I$1:$L$1,0),FALSE),IF(VLOOKUP($E51,'Table Output'!$A$2:$E$9999,5,FALSE)="Clay",VLOOKUP(R$37,BoundParameters_HiddenSheetCLAY!$I$3:$L$50,MATCH(VLOOKUP($I86,$I$5:$AJ$34,MATCH(VLOOKUP(R$37,$BH$3:$BI$50,2,FALSE),$I$4:$AJ$4,0),FALSE),BoundParameters_HiddenSheetCLAY!$I$1:$L$1,0),FALSE))),'Control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Output'!$A$2:$E$99999,5,FALSE)="Sand",VLOOKUP(S$37,BoundParameters_HiddenSheetSAND!$I$3:$L$50,MATCH(VLOOKUP($I86,$I$5:$AJ$34,MATCH(VLOOKUP(S$37,$BH$3:$BI$50,2,FALSE),$I$4:$AJ$4,0),FALSE),BoundParameters_HiddenSheetCLAY!$I$1:$L$1,0),FALSE),IF(VLOOKUP($E51,'Table Output'!$A$2:$E$9999,5,FALSE)="Clay",VLOOKUP(S$37,BoundParameters_HiddenSheetCLAY!$I$3:$L$50,MATCH(VLOOKUP($I86,$I$5:$AJ$34,MATCH(VLOOKUP(S$37,$BH$3:$BI$50,2,FALSE),$I$4:$AJ$4,0),FALSE),BoundParameters_HiddenSheetCLAY!$I$1:$L$1,0),FALSE))),'Control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Output'!$A$2:$E$99999,5,FALSE)="Sand",VLOOKUP(J$37,BoundParameters_HiddenSheetSAND!$I$3:$L$50,MATCH(VLOOKUP($I87,$I$5:$AJ$34,MATCH(VLOOKUP(J$37,$BH$3:$BI$50,2,FALSE),$I$4:$AJ$4,0),FALSE),BoundParameters_HiddenSheetCLAY!$I$1:$L$1,0),FALSE),IF(VLOOKUP($E52,'Table Output'!$A$2:$E$9999,5,FALSE)="Clay",VLOOKUP(J$37,BoundParameters_HiddenSheetCLAY!$I$3:$L$50,MATCH(VLOOKUP($I87,$I$5:$AJ$34,MATCH(VLOOKUP(J$37,$BH$3:$BI$50,2,FALSE),$I$4:$AJ$4,0),FALSE),BoundParameters_HiddenSheetCLAY!$I$1:$L$1,0),FALSE))),'Control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Output'!$A$2:$E$99999,5,FALSE)="Sand",VLOOKUP(K$37,BoundParameters_HiddenSheetSAND!$I$3:$L$50,MATCH(VLOOKUP($I87,$I$5:$AJ$34,MATCH(VLOOKUP(K$37,$BH$3:$BI$50,2,FALSE),$I$4:$AJ$4,0),FALSE),BoundParameters_HiddenSheetCLAY!$I$1:$L$1,0),FALSE),IF(VLOOKUP($E52,'Table Output'!$A$2:$E$9999,5,FALSE)="Clay",VLOOKUP(K$37,BoundParameters_HiddenSheetCLAY!$I$3:$L$50,MATCH(VLOOKUP($I87,$I$5:$AJ$34,MATCH(VLOOKUP(K$37,$BH$3:$BI$50,2,FALSE),$I$4:$AJ$4,0),FALSE),BoundParameters_HiddenSheetCLAY!$I$1:$L$1,0),FALSE))),'Control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Output'!$A$2:$E$99999,5,FALSE)="Sand",VLOOKUP(L$37,BoundParameters_HiddenSheetSAND!$I$3:$L$50,MATCH(VLOOKUP($I87,$I$5:$AJ$34,MATCH(VLOOKUP(L$37,$BH$3:$BI$50,2,FALSE),$I$4:$AJ$4,0),FALSE),BoundParameters_HiddenSheetCLAY!$I$1:$L$1,0),FALSE),IF(VLOOKUP($E52,'Table Output'!$A$2:$E$9999,5,FALSE)="Clay",VLOOKUP(L$37,BoundParameters_HiddenSheetCLAY!$I$3:$L$50,MATCH(VLOOKUP($I87,$I$5:$AJ$34,MATCH(VLOOKUP(L$37,$BH$3:$BI$50,2,FALSE),$I$4:$AJ$4,0),FALSE),BoundParameters_HiddenSheetCLAY!$I$1:$L$1,0),FALSE))),'Control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Output'!$A$2:$E$99999,5,FALSE)="Sand",VLOOKUP(M$37,BoundParameters_HiddenSheetSAND!$I$3:$L$50,MATCH(VLOOKUP($I87,$I$5:$AJ$34,MATCH(VLOOKUP(M$37,$BH$3:$BI$50,2,FALSE),$I$4:$AJ$4,0),FALSE),BoundParameters_HiddenSheetCLAY!$I$1:$L$1,0),FALSE),IF(VLOOKUP($E52,'Table Output'!$A$2:$E$9999,5,FALSE)="Clay",VLOOKUP(M$37,BoundParameters_HiddenSheetCLAY!$I$3:$L$50,MATCH(VLOOKUP($I87,$I$5:$AJ$34,MATCH(VLOOKUP(M$37,$BH$3:$BI$50,2,FALSE),$I$4:$AJ$4,0),FALSE),BoundParameters_HiddenSheetCLAY!$I$1:$L$1,0),FALSE))),'Control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Output'!$A$2:$E$99999,5,FALSE)="Sand",VLOOKUP(N$37,BoundParameters_HiddenSheetSAND!$I$3:$L$50,MATCH(VLOOKUP($I87,$I$5:$AJ$34,MATCH(VLOOKUP(N$37,$BH$3:$BI$50,2,FALSE),$I$4:$AJ$4,0),FALSE),BoundParameters_HiddenSheetCLAY!$I$1:$L$1,0),FALSE),IF(VLOOKUP($E52,'Table Output'!$A$2:$E$9999,5,FALSE)="Clay",VLOOKUP(N$37,BoundParameters_HiddenSheetCLAY!$I$3:$L$50,MATCH(VLOOKUP($I87,$I$5:$AJ$34,MATCH(VLOOKUP(N$37,$BH$3:$BI$50,2,FALSE),$I$4:$AJ$4,0),FALSE),BoundParameters_HiddenSheetCLAY!$I$1:$L$1,0),FALSE))),'Control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Output'!$A$2:$E$99999,5,FALSE)="Sand",VLOOKUP(O$37,BoundParameters_HiddenSheetSAND!$I$3:$L$50,MATCH(VLOOKUP($I87,$I$5:$AJ$34,MATCH(VLOOKUP(O$37,$BH$3:$BI$50,2,FALSE),$I$4:$AJ$4,0),FALSE),BoundParameters_HiddenSheetCLAY!$I$1:$L$1,0),FALSE),IF(VLOOKUP($E52,'Table Output'!$A$2:$E$9999,5,FALSE)="Clay",VLOOKUP(O$37,BoundParameters_HiddenSheetCLAY!$I$3:$L$50,MATCH(VLOOKUP($I87,$I$5:$AJ$34,MATCH(VLOOKUP(O$37,$BH$3:$BI$50,2,FALSE),$I$4:$AJ$4,0),FALSE),BoundParameters_HiddenSheetCLAY!$I$1:$L$1,0),FALSE))),'Control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Output'!$A$2:$E$99999,5,FALSE)="Sand",VLOOKUP(P$37,BoundParameters_HiddenSheetSAND!$I$3:$L$50,MATCH(VLOOKUP($I87,$I$5:$AJ$34,MATCH(VLOOKUP(P$37,$BH$3:$BI$50,2,FALSE),$I$4:$AJ$4,0),FALSE),BoundParameters_HiddenSheetCLAY!$I$1:$L$1,0),FALSE),IF(VLOOKUP($E52,'Table Output'!$A$2:$E$9999,5,FALSE)="Clay",VLOOKUP(P$37,BoundParameters_HiddenSheetCLAY!$I$3:$L$50,MATCH(VLOOKUP($I87,$I$5:$AJ$34,MATCH(VLOOKUP(P$37,$BH$3:$BI$50,2,FALSE),$I$4:$AJ$4,0),FALSE),BoundParameters_HiddenSheetCLAY!$I$1:$L$1,0),FALSE))),'Control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Output'!$A$2:$E$99999,5,FALSE)="Sand",VLOOKUP(Q$37,BoundParameters_HiddenSheetSAND!$I$3:$L$50,MATCH(VLOOKUP($I87,$I$5:$AJ$34,MATCH(VLOOKUP(Q$37,$BH$3:$BI$50,2,FALSE),$I$4:$AJ$4,0),FALSE),BoundParameters_HiddenSheetCLAY!$I$1:$L$1,0),FALSE),IF(VLOOKUP($E52,'Table Output'!$A$2:$E$9999,5,FALSE)="Clay",VLOOKUP(Q$37,BoundParameters_HiddenSheetCLAY!$I$3:$L$50,MATCH(VLOOKUP($I87,$I$5:$AJ$34,MATCH(VLOOKUP(Q$37,$BH$3:$BI$50,2,FALSE),$I$4:$AJ$4,0),FALSE),BoundParameters_HiddenSheetCLAY!$I$1:$L$1,0),FALSE))),'Control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Output'!$A$2:$E$99999,5,FALSE)="Sand",VLOOKUP(R$37,BoundParameters_HiddenSheetSAND!$I$3:$L$50,MATCH(VLOOKUP($I87,$I$5:$AJ$34,MATCH(VLOOKUP(R$37,$BH$3:$BI$50,2,FALSE),$I$4:$AJ$4,0),FALSE),BoundParameters_HiddenSheetCLAY!$I$1:$L$1,0),FALSE),IF(VLOOKUP($E52,'Table Output'!$A$2:$E$9999,5,FALSE)="Clay",VLOOKUP(R$37,BoundParameters_HiddenSheetCLAY!$I$3:$L$50,MATCH(VLOOKUP($I87,$I$5:$AJ$34,MATCH(VLOOKUP(R$37,$BH$3:$BI$50,2,FALSE),$I$4:$AJ$4,0),FALSE),BoundParameters_HiddenSheetCLAY!$I$1:$L$1,0),FALSE))),'Control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Output'!$A$2:$E$99999,5,FALSE)="Sand",VLOOKUP(S$37,BoundParameters_HiddenSheetSAND!$I$3:$L$50,MATCH(VLOOKUP($I87,$I$5:$AJ$34,MATCH(VLOOKUP(S$37,$BH$3:$BI$50,2,FALSE),$I$4:$AJ$4,0),FALSE),BoundParameters_HiddenSheetCLAY!$I$1:$L$1,0),FALSE),IF(VLOOKUP($E52,'Table Output'!$A$2:$E$9999,5,FALSE)="Clay",VLOOKUP(S$37,BoundParameters_HiddenSheetCLAY!$I$3:$L$50,MATCH(VLOOKUP($I87,$I$5:$AJ$34,MATCH(VLOOKUP(S$37,$BH$3:$BI$50,2,FALSE),$I$4:$AJ$4,0),FALSE),BoundParameters_HiddenSheetCLAY!$I$1:$L$1,0),FALSE))),'Control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Output'!$A$2:$E$99999,5,FALSE)="Sand",VLOOKUP(J$37,BoundParameters_HiddenSheetSAND!$I$3:$L$50,MATCH(VLOOKUP($I88,$I$5:$AJ$34,MATCH(VLOOKUP(J$37,$BH$3:$BI$50,2,FALSE),$I$4:$AJ$4,0),FALSE),BoundParameters_HiddenSheetCLAY!$I$1:$L$1,0),FALSE),IF(VLOOKUP($E53,'Table Output'!$A$2:$E$9999,5,FALSE)="Clay",VLOOKUP(J$37,BoundParameters_HiddenSheetCLAY!$I$3:$L$50,MATCH(VLOOKUP($I88,$I$5:$AJ$34,MATCH(VLOOKUP(J$37,$BH$3:$BI$50,2,FALSE),$I$4:$AJ$4,0),FALSE),BoundParameters_HiddenSheetCLAY!$I$1:$L$1,0),FALSE))),'Control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Output'!$A$2:$E$99999,5,FALSE)="Sand",VLOOKUP(K$37,BoundParameters_HiddenSheetSAND!$I$3:$L$50,MATCH(VLOOKUP($I88,$I$5:$AJ$34,MATCH(VLOOKUP(K$37,$BH$3:$BI$50,2,FALSE),$I$4:$AJ$4,0),FALSE),BoundParameters_HiddenSheetCLAY!$I$1:$L$1,0),FALSE),IF(VLOOKUP($E53,'Table Output'!$A$2:$E$9999,5,FALSE)="Clay",VLOOKUP(K$37,BoundParameters_HiddenSheetCLAY!$I$3:$L$50,MATCH(VLOOKUP($I88,$I$5:$AJ$34,MATCH(VLOOKUP(K$37,$BH$3:$BI$50,2,FALSE),$I$4:$AJ$4,0),FALSE),BoundParameters_HiddenSheetCLAY!$I$1:$L$1,0),FALSE))),'Control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Output'!$A$2:$E$99999,5,FALSE)="Sand",VLOOKUP(L$37,BoundParameters_HiddenSheetSAND!$I$3:$L$50,MATCH(VLOOKUP($I88,$I$5:$AJ$34,MATCH(VLOOKUP(L$37,$BH$3:$BI$50,2,FALSE),$I$4:$AJ$4,0),FALSE),BoundParameters_HiddenSheetCLAY!$I$1:$L$1,0),FALSE),IF(VLOOKUP($E53,'Table Output'!$A$2:$E$9999,5,FALSE)="Clay",VLOOKUP(L$37,BoundParameters_HiddenSheetCLAY!$I$3:$L$50,MATCH(VLOOKUP($I88,$I$5:$AJ$34,MATCH(VLOOKUP(L$37,$BH$3:$BI$50,2,FALSE),$I$4:$AJ$4,0),FALSE),BoundParameters_HiddenSheetCLAY!$I$1:$L$1,0),FALSE))),'Control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Output'!$A$2:$E$99999,5,FALSE)="Sand",VLOOKUP(M$37,BoundParameters_HiddenSheetSAND!$I$3:$L$50,MATCH(VLOOKUP($I88,$I$5:$AJ$34,MATCH(VLOOKUP(M$37,$BH$3:$BI$50,2,FALSE),$I$4:$AJ$4,0),FALSE),BoundParameters_HiddenSheetCLAY!$I$1:$L$1,0),FALSE),IF(VLOOKUP($E53,'Table Output'!$A$2:$E$9999,5,FALSE)="Clay",VLOOKUP(M$37,BoundParameters_HiddenSheetCLAY!$I$3:$L$50,MATCH(VLOOKUP($I88,$I$5:$AJ$34,MATCH(VLOOKUP(M$37,$BH$3:$BI$50,2,FALSE),$I$4:$AJ$4,0),FALSE),BoundParameters_HiddenSheetCLAY!$I$1:$L$1,0),FALSE))),'Control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Output'!$A$2:$E$99999,5,FALSE)="Sand",VLOOKUP(N$37,BoundParameters_HiddenSheetSAND!$I$3:$L$50,MATCH(VLOOKUP($I88,$I$5:$AJ$34,MATCH(VLOOKUP(N$37,$BH$3:$BI$50,2,FALSE),$I$4:$AJ$4,0),FALSE),BoundParameters_HiddenSheetCLAY!$I$1:$L$1,0),FALSE),IF(VLOOKUP($E53,'Table Output'!$A$2:$E$9999,5,FALSE)="Clay",VLOOKUP(N$37,BoundParameters_HiddenSheetCLAY!$I$3:$L$50,MATCH(VLOOKUP($I88,$I$5:$AJ$34,MATCH(VLOOKUP(N$37,$BH$3:$BI$50,2,FALSE),$I$4:$AJ$4,0),FALSE),BoundParameters_HiddenSheetCLAY!$I$1:$L$1,0),FALSE))),'Control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Output'!$A$2:$E$99999,5,FALSE)="Sand",VLOOKUP(O$37,BoundParameters_HiddenSheetSAND!$I$3:$L$50,MATCH(VLOOKUP($I88,$I$5:$AJ$34,MATCH(VLOOKUP(O$37,$BH$3:$BI$50,2,FALSE),$I$4:$AJ$4,0),FALSE),BoundParameters_HiddenSheetCLAY!$I$1:$L$1,0),FALSE),IF(VLOOKUP($E53,'Table Output'!$A$2:$E$9999,5,FALSE)="Clay",VLOOKUP(O$37,BoundParameters_HiddenSheetCLAY!$I$3:$L$50,MATCH(VLOOKUP($I88,$I$5:$AJ$34,MATCH(VLOOKUP(O$37,$BH$3:$BI$50,2,FALSE),$I$4:$AJ$4,0),FALSE),BoundParameters_HiddenSheetCLAY!$I$1:$L$1,0),FALSE))),'Control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Output'!$A$2:$E$99999,5,FALSE)="Sand",VLOOKUP(P$37,BoundParameters_HiddenSheetSAND!$I$3:$L$50,MATCH(VLOOKUP($I88,$I$5:$AJ$34,MATCH(VLOOKUP(P$37,$BH$3:$BI$50,2,FALSE),$I$4:$AJ$4,0),FALSE),BoundParameters_HiddenSheetCLAY!$I$1:$L$1,0),FALSE),IF(VLOOKUP($E53,'Table Output'!$A$2:$E$9999,5,FALSE)="Clay",VLOOKUP(P$37,BoundParameters_HiddenSheetCLAY!$I$3:$L$50,MATCH(VLOOKUP($I88,$I$5:$AJ$34,MATCH(VLOOKUP(P$37,$BH$3:$BI$50,2,FALSE),$I$4:$AJ$4,0),FALSE),BoundParameters_HiddenSheetCLAY!$I$1:$L$1,0),FALSE))),'Control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Output'!$A$2:$E$99999,5,FALSE)="Sand",VLOOKUP(Q$37,BoundParameters_HiddenSheetSAND!$I$3:$L$50,MATCH(VLOOKUP($I88,$I$5:$AJ$34,MATCH(VLOOKUP(Q$37,$BH$3:$BI$50,2,FALSE),$I$4:$AJ$4,0),FALSE),BoundParameters_HiddenSheetCLAY!$I$1:$L$1,0),FALSE),IF(VLOOKUP($E53,'Table Output'!$A$2:$E$9999,5,FALSE)="Clay",VLOOKUP(Q$37,BoundParameters_HiddenSheetCLAY!$I$3:$L$50,MATCH(VLOOKUP($I88,$I$5:$AJ$34,MATCH(VLOOKUP(Q$37,$BH$3:$BI$50,2,FALSE),$I$4:$AJ$4,0),FALSE),BoundParameters_HiddenSheetCLAY!$I$1:$L$1,0),FALSE))),'Control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Output'!$A$2:$E$99999,5,FALSE)="Sand",VLOOKUP(R$37,BoundParameters_HiddenSheetSAND!$I$3:$L$50,MATCH(VLOOKUP($I88,$I$5:$AJ$34,MATCH(VLOOKUP(R$37,$BH$3:$BI$50,2,FALSE),$I$4:$AJ$4,0),FALSE),BoundParameters_HiddenSheetCLAY!$I$1:$L$1,0),FALSE),IF(VLOOKUP($E53,'Table Output'!$A$2:$E$9999,5,FALSE)="Clay",VLOOKUP(R$37,BoundParameters_HiddenSheetCLAY!$I$3:$L$50,MATCH(VLOOKUP($I88,$I$5:$AJ$34,MATCH(VLOOKUP(R$37,$BH$3:$BI$50,2,FALSE),$I$4:$AJ$4,0),FALSE),BoundParameters_HiddenSheetCLAY!$I$1:$L$1,0),FALSE))),'Control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Output'!$A$2:$E$99999,5,FALSE)="Sand",VLOOKUP(S$37,BoundParameters_HiddenSheetSAND!$I$3:$L$50,MATCH(VLOOKUP($I88,$I$5:$AJ$34,MATCH(VLOOKUP(S$37,$BH$3:$BI$50,2,FALSE),$I$4:$AJ$4,0),FALSE),BoundParameters_HiddenSheetCLAY!$I$1:$L$1,0),FALSE),IF(VLOOKUP($E53,'Table Output'!$A$2:$E$9999,5,FALSE)="Clay",VLOOKUP(S$37,BoundParameters_HiddenSheetCLAY!$I$3:$L$50,MATCH(VLOOKUP($I88,$I$5:$AJ$34,MATCH(VLOOKUP(S$37,$BH$3:$BI$50,2,FALSE),$I$4:$AJ$4,0),FALSE),BoundParameters_HiddenSheetCLAY!$I$1:$L$1,0),FALSE))),'Control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Output'!$A$2:$E$99999,5,FALSE)="Sand",VLOOKUP(J$37,BoundParameters_HiddenSheetSAND!$I$3:$L$50,MATCH(VLOOKUP($I89,$I$5:$AJ$34,MATCH(VLOOKUP(J$37,$BH$3:$BI$50,2,FALSE),$I$4:$AJ$4,0),FALSE),BoundParameters_HiddenSheetCLAY!$I$1:$L$1,0),FALSE),IF(VLOOKUP($E54,'Table Output'!$A$2:$E$9999,5,FALSE)="Clay",VLOOKUP(J$37,BoundParameters_HiddenSheetCLAY!$I$3:$L$50,MATCH(VLOOKUP($I89,$I$5:$AJ$34,MATCH(VLOOKUP(J$37,$BH$3:$BI$50,2,FALSE),$I$4:$AJ$4,0),FALSE),BoundParameters_HiddenSheetCLAY!$I$1:$L$1,0),FALSE))),'Control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Output'!$A$2:$E$99999,5,FALSE)="Sand",VLOOKUP(K$37,BoundParameters_HiddenSheetSAND!$I$3:$L$50,MATCH(VLOOKUP($I89,$I$5:$AJ$34,MATCH(VLOOKUP(K$37,$BH$3:$BI$50,2,FALSE),$I$4:$AJ$4,0),FALSE),BoundParameters_HiddenSheetCLAY!$I$1:$L$1,0),FALSE),IF(VLOOKUP($E54,'Table Output'!$A$2:$E$9999,5,FALSE)="Clay",VLOOKUP(K$37,BoundParameters_HiddenSheetCLAY!$I$3:$L$50,MATCH(VLOOKUP($I89,$I$5:$AJ$34,MATCH(VLOOKUP(K$37,$BH$3:$BI$50,2,FALSE),$I$4:$AJ$4,0),FALSE),BoundParameters_HiddenSheetCLAY!$I$1:$L$1,0),FALSE))),'Control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Output'!$A$2:$E$99999,5,FALSE)="Sand",VLOOKUP(L$37,BoundParameters_HiddenSheetSAND!$I$3:$L$50,MATCH(VLOOKUP($I89,$I$5:$AJ$34,MATCH(VLOOKUP(L$37,$BH$3:$BI$50,2,FALSE),$I$4:$AJ$4,0),FALSE),BoundParameters_HiddenSheetCLAY!$I$1:$L$1,0),FALSE),IF(VLOOKUP($E54,'Table Output'!$A$2:$E$9999,5,FALSE)="Clay",VLOOKUP(L$37,BoundParameters_HiddenSheetCLAY!$I$3:$L$50,MATCH(VLOOKUP($I89,$I$5:$AJ$34,MATCH(VLOOKUP(L$37,$BH$3:$BI$50,2,FALSE),$I$4:$AJ$4,0),FALSE),BoundParameters_HiddenSheetCLAY!$I$1:$L$1,0),FALSE))),'Control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Output'!$A$2:$E$99999,5,FALSE)="Sand",VLOOKUP(M$37,BoundParameters_HiddenSheetSAND!$I$3:$L$50,MATCH(VLOOKUP($I89,$I$5:$AJ$34,MATCH(VLOOKUP(M$37,$BH$3:$BI$50,2,FALSE),$I$4:$AJ$4,0),FALSE),BoundParameters_HiddenSheetCLAY!$I$1:$L$1,0),FALSE),IF(VLOOKUP($E54,'Table Output'!$A$2:$E$9999,5,FALSE)="Clay",VLOOKUP(M$37,BoundParameters_HiddenSheetCLAY!$I$3:$L$50,MATCH(VLOOKUP($I89,$I$5:$AJ$34,MATCH(VLOOKUP(M$37,$BH$3:$BI$50,2,FALSE),$I$4:$AJ$4,0),FALSE),BoundParameters_HiddenSheetCLAY!$I$1:$L$1,0),FALSE))),'Control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Output'!$A$2:$E$99999,5,FALSE)="Sand",VLOOKUP(N$37,BoundParameters_HiddenSheetSAND!$I$3:$L$50,MATCH(VLOOKUP($I89,$I$5:$AJ$34,MATCH(VLOOKUP(N$37,$BH$3:$BI$50,2,FALSE),$I$4:$AJ$4,0),FALSE),BoundParameters_HiddenSheetCLAY!$I$1:$L$1,0),FALSE),IF(VLOOKUP($E54,'Table Output'!$A$2:$E$9999,5,FALSE)="Clay",VLOOKUP(N$37,BoundParameters_HiddenSheetCLAY!$I$3:$L$50,MATCH(VLOOKUP($I89,$I$5:$AJ$34,MATCH(VLOOKUP(N$37,$BH$3:$BI$50,2,FALSE),$I$4:$AJ$4,0),FALSE),BoundParameters_HiddenSheetCLAY!$I$1:$L$1,0),FALSE))),'Control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Output'!$A$2:$E$99999,5,FALSE)="Sand",VLOOKUP(O$37,BoundParameters_HiddenSheetSAND!$I$3:$L$50,MATCH(VLOOKUP($I89,$I$5:$AJ$34,MATCH(VLOOKUP(O$37,$BH$3:$BI$50,2,FALSE),$I$4:$AJ$4,0),FALSE),BoundParameters_HiddenSheetCLAY!$I$1:$L$1,0),FALSE),IF(VLOOKUP($E54,'Table Output'!$A$2:$E$9999,5,FALSE)="Clay",VLOOKUP(O$37,BoundParameters_HiddenSheetCLAY!$I$3:$L$50,MATCH(VLOOKUP($I89,$I$5:$AJ$34,MATCH(VLOOKUP(O$37,$BH$3:$BI$50,2,FALSE),$I$4:$AJ$4,0),FALSE),BoundParameters_HiddenSheetCLAY!$I$1:$L$1,0),FALSE))),'Control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Output'!$A$2:$E$99999,5,FALSE)="Sand",VLOOKUP(P$37,BoundParameters_HiddenSheetSAND!$I$3:$L$50,MATCH(VLOOKUP($I89,$I$5:$AJ$34,MATCH(VLOOKUP(P$37,$BH$3:$BI$50,2,FALSE),$I$4:$AJ$4,0),FALSE),BoundParameters_HiddenSheetCLAY!$I$1:$L$1,0),FALSE),IF(VLOOKUP($E54,'Table Output'!$A$2:$E$9999,5,FALSE)="Clay",VLOOKUP(P$37,BoundParameters_HiddenSheetCLAY!$I$3:$L$50,MATCH(VLOOKUP($I89,$I$5:$AJ$34,MATCH(VLOOKUP(P$37,$BH$3:$BI$50,2,FALSE),$I$4:$AJ$4,0),FALSE),BoundParameters_HiddenSheetCLAY!$I$1:$L$1,0),FALSE))),'Control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Output'!$A$2:$E$99999,5,FALSE)="Sand",VLOOKUP(Q$37,BoundParameters_HiddenSheetSAND!$I$3:$L$50,MATCH(VLOOKUP($I89,$I$5:$AJ$34,MATCH(VLOOKUP(Q$37,$BH$3:$BI$50,2,FALSE),$I$4:$AJ$4,0),FALSE),BoundParameters_HiddenSheetCLAY!$I$1:$L$1,0),FALSE),IF(VLOOKUP($E54,'Table Output'!$A$2:$E$9999,5,FALSE)="Clay",VLOOKUP(Q$37,BoundParameters_HiddenSheetCLAY!$I$3:$L$50,MATCH(VLOOKUP($I89,$I$5:$AJ$34,MATCH(VLOOKUP(Q$37,$BH$3:$BI$50,2,FALSE),$I$4:$AJ$4,0),FALSE),BoundParameters_HiddenSheetCLAY!$I$1:$L$1,0),FALSE))),'Control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Output'!$A$2:$E$99999,5,FALSE)="Sand",VLOOKUP(R$37,BoundParameters_HiddenSheetSAND!$I$3:$L$50,MATCH(VLOOKUP($I89,$I$5:$AJ$34,MATCH(VLOOKUP(R$37,$BH$3:$BI$50,2,FALSE),$I$4:$AJ$4,0),FALSE),BoundParameters_HiddenSheetCLAY!$I$1:$L$1,0),FALSE),IF(VLOOKUP($E54,'Table Output'!$A$2:$E$9999,5,FALSE)="Clay",VLOOKUP(R$37,BoundParameters_HiddenSheetCLAY!$I$3:$L$50,MATCH(VLOOKUP($I89,$I$5:$AJ$34,MATCH(VLOOKUP(R$37,$BH$3:$BI$50,2,FALSE),$I$4:$AJ$4,0),FALSE),BoundParameters_HiddenSheetCLAY!$I$1:$L$1,0),FALSE))),'Control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Output'!$A$2:$E$99999,5,FALSE)="Sand",VLOOKUP(S$37,BoundParameters_HiddenSheetSAND!$I$3:$L$50,MATCH(VLOOKUP($I89,$I$5:$AJ$34,MATCH(VLOOKUP(S$37,$BH$3:$BI$50,2,FALSE),$I$4:$AJ$4,0),FALSE),BoundParameters_HiddenSheetCLAY!$I$1:$L$1,0),FALSE),IF(VLOOKUP($E54,'Table Output'!$A$2:$E$9999,5,FALSE)="Clay",VLOOKUP(S$37,BoundParameters_HiddenSheetCLAY!$I$3:$L$50,MATCH(VLOOKUP($I89,$I$5:$AJ$34,MATCH(VLOOKUP(S$37,$BH$3:$BI$50,2,FALSE),$I$4:$AJ$4,0),FALSE),BoundParameters_HiddenSheetCLAY!$I$1:$L$1,0),FALSE))),'Control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Output'!$A$2:$E$99999,5,FALSE)="Sand",VLOOKUP(J$37,BoundParameters_HiddenSheetSAND!$I$3:$L$50,MATCH(VLOOKUP($I90,$I$5:$AJ$34,MATCH(VLOOKUP(J$37,$BH$3:$BI$50,2,FALSE),$I$4:$AJ$4,0),FALSE),BoundParameters_HiddenSheetCLAY!$I$1:$L$1,0),FALSE),IF(VLOOKUP($E55,'Table Output'!$A$2:$E$9999,5,FALSE)="Clay",VLOOKUP(J$37,BoundParameters_HiddenSheetCLAY!$I$3:$L$50,MATCH(VLOOKUP($I90,$I$5:$AJ$34,MATCH(VLOOKUP(J$37,$BH$3:$BI$50,2,FALSE),$I$4:$AJ$4,0),FALSE),BoundParameters_HiddenSheetCLAY!$I$1:$L$1,0),FALSE))),'Control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Output'!$A$2:$E$99999,5,FALSE)="Sand",VLOOKUP(K$37,BoundParameters_HiddenSheetSAND!$I$3:$L$50,MATCH(VLOOKUP($I90,$I$5:$AJ$34,MATCH(VLOOKUP(K$37,$BH$3:$BI$50,2,FALSE),$I$4:$AJ$4,0),FALSE),BoundParameters_HiddenSheetCLAY!$I$1:$L$1,0),FALSE),IF(VLOOKUP($E55,'Table Output'!$A$2:$E$9999,5,FALSE)="Clay",VLOOKUP(K$37,BoundParameters_HiddenSheetCLAY!$I$3:$L$50,MATCH(VLOOKUP($I90,$I$5:$AJ$34,MATCH(VLOOKUP(K$37,$BH$3:$BI$50,2,FALSE),$I$4:$AJ$4,0),FALSE),BoundParameters_HiddenSheetCLAY!$I$1:$L$1,0),FALSE))),'Control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Output'!$A$2:$E$99999,5,FALSE)="Sand",VLOOKUP(L$37,BoundParameters_HiddenSheetSAND!$I$3:$L$50,MATCH(VLOOKUP($I90,$I$5:$AJ$34,MATCH(VLOOKUP(L$37,$BH$3:$BI$50,2,FALSE),$I$4:$AJ$4,0),FALSE),BoundParameters_HiddenSheetCLAY!$I$1:$L$1,0),FALSE),IF(VLOOKUP($E55,'Table Output'!$A$2:$E$9999,5,FALSE)="Clay",VLOOKUP(L$37,BoundParameters_HiddenSheetCLAY!$I$3:$L$50,MATCH(VLOOKUP($I90,$I$5:$AJ$34,MATCH(VLOOKUP(L$37,$BH$3:$BI$50,2,FALSE),$I$4:$AJ$4,0),FALSE),BoundParameters_HiddenSheetCLAY!$I$1:$L$1,0),FALSE))),'Control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Output'!$A$2:$E$99999,5,FALSE)="Sand",VLOOKUP(M$37,BoundParameters_HiddenSheetSAND!$I$3:$L$50,MATCH(VLOOKUP($I90,$I$5:$AJ$34,MATCH(VLOOKUP(M$37,$BH$3:$BI$50,2,FALSE),$I$4:$AJ$4,0),FALSE),BoundParameters_HiddenSheetCLAY!$I$1:$L$1,0),FALSE),IF(VLOOKUP($E55,'Table Output'!$A$2:$E$9999,5,FALSE)="Clay",VLOOKUP(M$37,BoundParameters_HiddenSheetCLAY!$I$3:$L$50,MATCH(VLOOKUP($I90,$I$5:$AJ$34,MATCH(VLOOKUP(M$37,$BH$3:$BI$50,2,FALSE),$I$4:$AJ$4,0),FALSE),BoundParameters_HiddenSheetCLAY!$I$1:$L$1,0),FALSE))),'Control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Output'!$A$2:$E$99999,5,FALSE)="Sand",VLOOKUP(N$37,BoundParameters_HiddenSheetSAND!$I$3:$L$50,MATCH(VLOOKUP($I90,$I$5:$AJ$34,MATCH(VLOOKUP(N$37,$BH$3:$BI$50,2,FALSE),$I$4:$AJ$4,0),FALSE),BoundParameters_HiddenSheetCLAY!$I$1:$L$1,0),FALSE),IF(VLOOKUP($E55,'Table Output'!$A$2:$E$9999,5,FALSE)="Clay",VLOOKUP(N$37,BoundParameters_HiddenSheetCLAY!$I$3:$L$50,MATCH(VLOOKUP($I90,$I$5:$AJ$34,MATCH(VLOOKUP(N$37,$BH$3:$BI$50,2,FALSE),$I$4:$AJ$4,0),FALSE),BoundParameters_HiddenSheetCLAY!$I$1:$L$1,0),FALSE))),'Control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Output'!$A$2:$E$99999,5,FALSE)="Sand",VLOOKUP(O$37,BoundParameters_HiddenSheetSAND!$I$3:$L$50,MATCH(VLOOKUP($I90,$I$5:$AJ$34,MATCH(VLOOKUP(O$37,$BH$3:$BI$50,2,FALSE),$I$4:$AJ$4,0),FALSE),BoundParameters_HiddenSheetCLAY!$I$1:$L$1,0),FALSE),IF(VLOOKUP($E55,'Table Output'!$A$2:$E$9999,5,FALSE)="Clay",VLOOKUP(O$37,BoundParameters_HiddenSheetCLAY!$I$3:$L$50,MATCH(VLOOKUP($I90,$I$5:$AJ$34,MATCH(VLOOKUP(O$37,$BH$3:$BI$50,2,FALSE),$I$4:$AJ$4,0),FALSE),BoundParameters_HiddenSheetCLAY!$I$1:$L$1,0),FALSE))),'Control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Output'!$A$2:$E$99999,5,FALSE)="Sand",VLOOKUP(P$37,BoundParameters_HiddenSheetSAND!$I$3:$L$50,MATCH(VLOOKUP($I90,$I$5:$AJ$34,MATCH(VLOOKUP(P$37,$BH$3:$BI$50,2,FALSE),$I$4:$AJ$4,0),FALSE),BoundParameters_HiddenSheetCLAY!$I$1:$L$1,0),FALSE),IF(VLOOKUP($E55,'Table Output'!$A$2:$E$9999,5,FALSE)="Clay",VLOOKUP(P$37,BoundParameters_HiddenSheetCLAY!$I$3:$L$50,MATCH(VLOOKUP($I90,$I$5:$AJ$34,MATCH(VLOOKUP(P$37,$BH$3:$BI$50,2,FALSE),$I$4:$AJ$4,0),FALSE),BoundParameters_HiddenSheetCLAY!$I$1:$L$1,0),FALSE))),'Control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Output'!$A$2:$E$99999,5,FALSE)="Sand",VLOOKUP(Q$37,BoundParameters_HiddenSheetSAND!$I$3:$L$50,MATCH(VLOOKUP($I90,$I$5:$AJ$34,MATCH(VLOOKUP(Q$37,$BH$3:$BI$50,2,FALSE),$I$4:$AJ$4,0),FALSE),BoundParameters_HiddenSheetCLAY!$I$1:$L$1,0),FALSE),IF(VLOOKUP($E55,'Table Output'!$A$2:$E$9999,5,FALSE)="Clay",VLOOKUP(Q$37,BoundParameters_HiddenSheetCLAY!$I$3:$L$50,MATCH(VLOOKUP($I90,$I$5:$AJ$34,MATCH(VLOOKUP(Q$37,$BH$3:$BI$50,2,FALSE),$I$4:$AJ$4,0),FALSE),BoundParameters_HiddenSheetCLAY!$I$1:$L$1,0),FALSE))),'Control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Output'!$A$2:$E$99999,5,FALSE)="Sand",VLOOKUP(R$37,BoundParameters_HiddenSheetSAND!$I$3:$L$50,MATCH(VLOOKUP($I90,$I$5:$AJ$34,MATCH(VLOOKUP(R$37,$BH$3:$BI$50,2,FALSE),$I$4:$AJ$4,0),FALSE),BoundParameters_HiddenSheetCLAY!$I$1:$L$1,0),FALSE),IF(VLOOKUP($E55,'Table Output'!$A$2:$E$9999,5,FALSE)="Clay",VLOOKUP(R$37,BoundParameters_HiddenSheetCLAY!$I$3:$L$50,MATCH(VLOOKUP($I90,$I$5:$AJ$34,MATCH(VLOOKUP(R$37,$BH$3:$BI$50,2,FALSE),$I$4:$AJ$4,0),FALSE),BoundParameters_HiddenSheetCLAY!$I$1:$L$1,0),FALSE))),'Control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Output'!$A$2:$E$99999,5,FALSE)="Sand",VLOOKUP(S$37,BoundParameters_HiddenSheetSAND!$I$3:$L$50,MATCH(VLOOKUP($I90,$I$5:$AJ$34,MATCH(VLOOKUP(S$37,$BH$3:$BI$50,2,FALSE),$I$4:$AJ$4,0),FALSE),BoundParameters_HiddenSheetCLAY!$I$1:$L$1,0),FALSE),IF(VLOOKUP($E55,'Table Output'!$A$2:$E$9999,5,FALSE)="Clay",VLOOKUP(S$37,BoundParameters_HiddenSheetCLAY!$I$3:$L$50,MATCH(VLOOKUP($I90,$I$5:$AJ$34,MATCH(VLOOKUP(S$37,$BH$3:$BI$50,2,FALSE),$I$4:$AJ$4,0),FALSE),BoundParameters_HiddenSheetCLAY!$I$1:$L$1,0),FALSE))),'Control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Output'!$A$2:$E$99999,5,FALSE)="Sand",VLOOKUP(J$37,BoundParameters_HiddenSheetSAND!$I$3:$L$50,MATCH(VLOOKUP($I91,$I$5:$AJ$34,MATCH(VLOOKUP(J$37,$BH$3:$BI$50,2,FALSE),$I$4:$AJ$4,0),FALSE),BoundParameters_HiddenSheetCLAY!$I$1:$L$1,0),FALSE),IF(VLOOKUP($E56,'Table Output'!$A$2:$E$9999,5,FALSE)="Clay",VLOOKUP(J$37,BoundParameters_HiddenSheetCLAY!$I$3:$L$50,MATCH(VLOOKUP($I91,$I$5:$AJ$34,MATCH(VLOOKUP(J$37,$BH$3:$BI$50,2,FALSE),$I$4:$AJ$4,0),FALSE),BoundParameters_HiddenSheetCLAY!$I$1:$L$1,0),FALSE))),'Control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Output'!$A$2:$E$99999,5,FALSE)="Sand",VLOOKUP(K$37,BoundParameters_HiddenSheetSAND!$I$3:$L$50,MATCH(VLOOKUP($I91,$I$5:$AJ$34,MATCH(VLOOKUP(K$37,$BH$3:$BI$50,2,FALSE),$I$4:$AJ$4,0),FALSE),BoundParameters_HiddenSheetCLAY!$I$1:$L$1,0),FALSE),IF(VLOOKUP($E56,'Table Output'!$A$2:$E$9999,5,FALSE)="Clay",VLOOKUP(K$37,BoundParameters_HiddenSheetCLAY!$I$3:$L$50,MATCH(VLOOKUP($I91,$I$5:$AJ$34,MATCH(VLOOKUP(K$37,$BH$3:$BI$50,2,FALSE),$I$4:$AJ$4,0),FALSE),BoundParameters_HiddenSheetCLAY!$I$1:$L$1,0),FALSE))),'Control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Output'!$A$2:$E$99999,5,FALSE)="Sand",VLOOKUP(L$37,BoundParameters_HiddenSheetSAND!$I$3:$L$50,MATCH(VLOOKUP($I91,$I$5:$AJ$34,MATCH(VLOOKUP(L$37,$BH$3:$BI$50,2,FALSE),$I$4:$AJ$4,0),FALSE),BoundParameters_HiddenSheetCLAY!$I$1:$L$1,0),FALSE),IF(VLOOKUP($E56,'Table Output'!$A$2:$E$9999,5,FALSE)="Clay",VLOOKUP(L$37,BoundParameters_HiddenSheetCLAY!$I$3:$L$50,MATCH(VLOOKUP($I91,$I$5:$AJ$34,MATCH(VLOOKUP(L$37,$BH$3:$BI$50,2,FALSE),$I$4:$AJ$4,0),FALSE),BoundParameters_HiddenSheetCLAY!$I$1:$L$1,0),FALSE))),'Control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Output'!$A$2:$E$99999,5,FALSE)="Sand",VLOOKUP(M$37,BoundParameters_HiddenSheetSAND!$I$3:$L$50,MATCH(VLOOKUP($I91,$I$5:$AJ$34,MATCH(VLOOKUP(M$37,$BH$3:$BI$50,2,FALSE),$I$4:$AJ$4,0),FALSE),BoundParameters_HiddenSheetCLAY!$I$1:$L$1,0),FALSE),IF(VLOOKUP($E56,'Table Output'!$A$2:$E$9999,5,FALSE)="Clay",VLOOKUP(M$37,BoundParameters_HiddenSheetCLAY!$I$3:$L$50,MATCH(VLOOKUP($I91,$I$5:$AJ$34,MATCH(VLOOKUP(M$37,$BH$3:$BI$50,2,FALSE),$I$4:$AJ$4,0),FALSE),BoundParameters_HiddenSheetCLAY!$I$1:$L$1,0),FALSE))),'Control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Output'!$A$2:$E$99999,5,FALSE)="Sand",VLOOKUP(N$37,BoundParameters_HiddenSheetSAND!$I$3:$L$50,MATCH(VLOOKUP($I91,$I$5:$AJ$34,MATCH(VLOOKUP(N$37,$BH$3:$BI$50,2,FALSE),$I$4:$AJ$4,0),FALSE),BoundParameters_HiddenSheetCLAY!$I$1:$L$1,0),FALSE),IF(VLOOKUP($E56,'Table Output'!$A$2:$E$9999,5,FALSE)="Clay",VLOOKUP(N$37,BoundParameters_HiddenSheetCLAY!$I$3:$L$50,MATCH(VLOOKUP($I91,$I$5:$AJ$34,MATCH(VLOOKUP(N$37,$BH$3:$BI$50,2,FALSE),$I$4:$AJ$4,0),FALSE),BoundParameters_HiddenSheetCLAY!$I$1:$L$1,0),FALSE))),'Control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Output'!$A$2:$E$99999,5,FALSE)="Sand",VLOOKUP(O$37,BoundParameters_HiddenSheetSAND!$I$3:$L$50,MATCH(VLOOKUP($I91,$I$5:$AJ$34,MATCH(VLOOKUP(O$37,$BH$3:$BI$50,2,FALSE),$I$4:$AJ$4,0),FALSE),BoundParameters_HiddenSheetCLAY!$I$1:$L$1,0),FALSE),IF(VLOOKUP($E56,'Table Output'!$A$2:$E$9999,5,FALSE)="Clay",VLOOKUP(O$37,BoundParameters_HiddenSheetCLAY!$I$3:$L$50,MATCH(VLOOKUP($I91,$I$5:$AJ$34,MATCH(VLOOKUP(O$37,$BH$3:$BI$50,2,FALSE),$I$4:$AJ$4,0),FALSE),BoundParameters_HiddenSheetCLAY!$I$1:$L$1,0),FALSE))),'Control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Output'!$A$2:$E$99999,5,FALSE)="Sand",VLOOKUP(P$37,BoundParameters_HiddenSheetSAND!$I$3:$L$50,MATCH(VLOOKUP($I91,$I$5:$AJ$34,MATCH(VLOOKUP(P$37,$BH$3:$BI$50,2,FALSE),$I$4:$AJ$4,0),FALSE),BoundParameters_HiddenSheetCLAY!$I$1:$L$1,0),FALSE),IF(VLOOKUP($E56,'Table Output'!$A$2:$E$9999,5,FALSE)="Clay",VLOOKUP(P$37,BoundParameters_HiddenSheetCLAY!$I$3:$L$50,MATCH(VLOOKUP($I91,$I$5:$AJ$34,MATCH(VLOOKUP(P$37,$BH$3:$BI$50,2,FALSE),$I$4:$AJ$4,0),FALSE),BoundParameters_HiddenSheetCLAY!$I$1:$L$1,0),FALSE))),'Control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Output'!$A$2:$E$99999,5,FALSE)="Sand",VLOOKUP(Q$37,BoundParameters_HiddenSheetSAND!$I$3:$L$50,MATCH(VLOOKUP($I91,$I$5:$AJ$34,MATCH(VLOOKUP(Q$37,$BH$3:$BI$50,2,FALSE),$I$4:$AJ$4,0),FALSE),BoundParameters_HiddenSheetCLAY!$I$1:$L$1,0),FALSE),IF(VLOOKUP($E56,'Table Output'!$A$2:$E$9999,5,FALSE)="Clay",VLOOKUP(Q$37,BoundParameters_HiddenSheetCLAY!$I$3:$L$50,MATCH(VLOOKUP($I91,$I$5:$AJ$34,MATCH(VLOOKUP(Q$37,$BH$3:$BI$50,2,FALSE),$I$4:$AJ$4,0),FALSE),BoundParameters_HiddenSheetCLAY!$I$1:$L$1,0),FALSE))),'Control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Output'!$A$2:$E$99999,5,FALSE)="Sand",VLOOKUP(R$37,BoundParameters_HiddenSheetSAND!$I$3:$L$50,MATCH(VLOOKUP($I91,$I$5:$AJ$34,MATCH(VLOOKUP(R$37,$BH$3:$BI$50,2,FALSE),$I$4:$AJ$4,0),FALSE),BoundParameters_HiddenSheetCLAY!$I$1:$L$1,0),FALSE),IF(VLOOKUP($E56,'Table Output'!$A$2:$E$9999,5,FALSE)="Clay",VLOOKUP(R$37,BoundParameters_HiddenSheetCLAY!$I$3:$L$50,MATCH(VLOOKUP($I91,$I$5:$AJ$34,MATCH(VLOOKUP(R$37,$BH$3:$BI$50,2,FALSE),$I$4:$AJ$4,0),FALSE),BoundParameters_HiddenSheetCLAY!$I$1:$L$1,0),FALSE))),'Control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Output'!$A$2:$E$99999,5,FALSE)="Sand",VLOOKUP(S$37,BoundParameters_HiddenSheetSAND!$I$3:$L$50,MATCH(VLOOKUP($I91,$I$5:$AJ$34,MATCH(VLOOKUP(S$37,$BH$3:$BI$50,2,FALSE),$I$4:$AJ$4,0),FALSE),BoundParameters_HiddenSheetCLAY!$I$1:$L$1,0),FALSE),IF(VLOOKUP($E56,'Table Output'!$A$2:$E$9999,5,FALSE)="Clay",VLOOKUP(S$37,BoundParameters_HiddenSheetCLAY!$I$3:$L$50,MATCH(VLOOKUP($I91,$I$5:$AJ$34,MATCH(VLOOKUP(S$37,$BH$3:$BI$50,2,FALSE),$I$4:$AJ$4,0),FALSE),BoundParameters_HiddenSheetCLAY!$I$1:$L$1,0),FALSE))),'Control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Output'!$A$2:$E$99999,5,FALSE)="Sand",VLOOKUP(J$37,BoundParameters_HiddenSheetSAND!$I$3:$L$50,MATCH(VLOOKUP($I92,$I$5:$AJ$34,MATCH(VLOOKUP(J$37,$BH$3:$BI$50,2,FALSE),$I$4:$AJ$4,0),FALSE),BoundParameters_HiddenSheetCLAY!$I$1:$L$1,0),FALSE),IF(VLOOKUP($E57,'Table Output'!$A$2:$E$9999,5,FALSE)="Clay",VLOOKUP(J$37,BoundParameters_HiddenSheetCLAY!$I$3:$L$50,MATCH(VLOOKUP($I92,$I$5:$AJ$34,MATCH(VLOOKUP(J$37,$BH$3:$BI$50,2,FALSE),$I$4:$AJ$4,0),FALSE),BoundParameters_HiddenSheetCLAY!$I$1:$L$1,0),FALSE))),'Control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Output'!$A$2:$E$99999,5,FALSE)="Sand",VLOOKUP(K$37,BoundParameters_HiddenSheetSAND!$I$3:$L$50,MATCH(VLOOKUP($I92,$I$5:$AJ$34,MATCH(VLOOKUP(K$37,$BH$3:$BI$50,2,FALSE),$I$4:$AJ$4,0),FALSE),BoundParameters_HiddenSheetCLAY!$I$1:$L$1,0),FALSE),IF(VLOOKUP($E57,'Table Output'!$A$2:$E$9999,5,FALSE)="Clay",VLOOKUP(K$37,BoundParameters_HiddenSheetCLAY!$I$3:$L$50,MATCH(VLOOKUP($I92,$I$5:$AJ$34,MATCH(VLOOKUP(K$37,$BH$3:$BI$50,2,FALSE),$I$4:$AJ$4,0),FALSE),BoundParameters_HiddenSheetCLAY!$I$1:$L$1,0),FALSE))),'Control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Output'!$A$2:$E$99999,5,FALSE)="Sand",VLOOKUP(L$37,BoundParameters_HiddenSheetSAND!$I$3:$L$50,MATCH(VLOOKUP($I92,$I$5:$AJ$34,MATCH(VLOOKUP(L$37,$BH$3:$BI$50,2,FALSE),$I$4:$AJ$4,0),FALSE),BoundParameters_HiddenSheetCLAY!$I$1:$L$1,0),FALSE),IF(VLOOKUP($E57,'Table Output'!$A$2:$E$9999,5,FALSE)="Clay",VLOOKUP(L$37,BoundParameters_HiddenSheetCLAY!$I$3:$L$50,MATCH(VLOOKUP($I92,$I$5:$AJ$34,MATCH(VLOOKUP(L$37,$BH$3:$BI$50,2,FALSE),$I$4:$AJ$4,0),FALSE),BoundParameters_HiddenSheetCLAY!$I$1:$L$1,0),FALSE))),'Control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Output'!$A$2:$E$99999,5,FALSE)="Sand",VLOOKUP(M$37,BoundParameters_HiddenSheetSAND!$I$3:$L$50,MATCH(VLOOKUP($I92,$I$5:$AJ$34,MATCH(VLOOKUP(M$37,$BH$3:$BI$50,2,FALSE),$I$4:$AJ$4,0),FALSE),BoundParameters_HiddenSheetCLAY!$I$1:$L$1,0),FALSE),IF(VLOOKUP($E57,'Table Output'!$A$2:$E$9999,5,FALSE)="Clay",VLOOKUP(M$37,BoundParameters_HiddenSheetCLAY!$I$3:$L$50,MATCH(VLOOKUP($I92,$I$5:$AJ$34,MATCH(VLOOKUP(M$37,$BH$3:$BI$50,2,FALSE),$I$4:$AJ$4,0),FALSE),BoundParameters_HiddenSheetCLAY!$I$1:$L$1,0),FALSE))),'Control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Output'!$A$2:$E$99999,5,FALSE)="Sand",VLOOKUP(N$37,BoundParameters_HiddenSheetSAND!$I$3:$L$50,MATCH(VLOOKUP($I92,$I$5:$AJ$34,MATCH(VLOOKUP(N$37,$BH$3:$BI$50,2,FALSE),$I$4:$AJ$4,0),FALSE),BoundParameters_HiddenSheetCLAY!$I$1:$L$1,0),FALSE),IF(VLOOKUP($E57,'Table Output'!$A$2:$E$9999,5,FALSE)="Clay",VLOOKUP(N$37,BoundParameters_HiddenSheetCLAY!$I$3:$L$50,MATCH(VLOOKUP($I92,$I$5:$AJ$34,MATCH(VLOOKUP(N$37,$BH$3:$BI$50,2,FALSE),$I$4:$AJ$4,0),FALSE),BoundParameters_HiddenSheetCLAY!$I$1:$L$1,0),FALSE))),'Control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Output'!$A$2:$E$99999,5,FALSE)="Sand",VLOOKUP(O$37,BoundParameters_HiddenSheetSAND!$I$3:$L$50,MATCH(VLOOKUP($I92,$I$5:$AJ$34,MATCH(VLOOKUP(O$37,$BH$3:$BI$50,2,FALSE),$I$4:$AJ$4,0),FALSE),BoundParameters_HiddenSheetCLAY!$I$1:$L$1,0),FALSE),IF(VLOOKUP($E57,'Table Output'!$A$2:$E$9999,5,FALSE)="Clay",VLOOKUP(O$37,BoundParameters_HiddenSheetCLAY!$I$3:$L$50,MATCH(VLOOKUP($I92,$I$5:$AJ$34,MATCH(VLOOKUP(O$37,$BH$3:$BI$50,2,FALSE),$I$4:$AJ$4,0),FALSE),BoundParameters_HiddenSheetCLAY!$I$1:$L$1,0),FALSE))),'Control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Output'!$A$2:$E$99999,5,FALSE)="Sand",VLOOKUP(P$37,BoundParameters_HiddenSheetSAND!$I$3:$L$50,MATCH(VLOOKUP($I92,$I$5:$AJ$34,MATCH(VLOOKUP(P$37,$BH$3:$BI$50,2,FALSE),$I$4:$AJ$4,0),FALSE),BoundParameters_HiddenSheetCLAY!$I$1:$L$1,0),FALSE),IF(VLOOKUP($E57,'Table Output'!$A$2:$E$9999,5,FALSE)="Clay",VLOOKUP(P$37,BoundParameters_HiddenSheetCLAY!$I$3:$L$50,MATCH(VLOOKUP($I92,$I$5:$AJ$34,MATCH(VLOOKUP(P$37,$BH$3:$BI$50,2,FALSE),$I$4:$AJ$4,0),FALSE),BoundParameters_HiddenSheetCLAY!$I$1:$L$1,0),FALSE))),'Control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Output'!$A$2:$E$99999,5,FALSE)="Sand",VLOOKUP(Q$37,BoundParameters_HiddenSheetSAND!$I$3:$L$50,MATCH(VLOOKUP($I92,$I$5:$AJ$34,MATCH(VLOOKUP(Q$37,$BH$3:$BI$50,2,FALSE),$I$4:$AJ$4,0),FALSE),BoundParameters_HiddenSheetCLAY!$I$1:$L$1,0),FALSE),IF(VLOOKUP($E57,'Table Output'!$A$2:$E$9999,5,FALSE)="Clay",VLOOKUP(Q$37,BoundParameters_HiddenSheetCLAY!$I$3:$L$50,MATCH(VLOOKUP($I92,$I$5:$AJ$34,MATCH(VLOOKUP(Q$37,$BH$3:$BI$50,2,FALSE),$I$4:$AJ$4,0),FALSE),BoundParameters_HiddenSheetCLAY!$I$1:$L$1,0),FALSE))),'Control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Output'!$A$2:$E$99999,5,FALSE)="Sand",VLOOKUP(R$37,BoundParameters_HiddenSheetSAND!$I$3:$L$50,MATCH(VLOOKUP($I92,$I$5:$AJ$34,MATCH(VLOOKUP(R$37,$BH$3:$BI$50,2,FALSE),$I$4:$AJ$4,0),FALSE),BoundParameters_HiddenSheetCLAY!$I$1:$L$1,0),FALSE),IF(VLOOKUP($E57,'Table Output'!$A$2:$E$9999,5,FALSE)="Clay",VLOOKUP(R$37,BoundParameters_HiddenSheetCLAY!$I$3:$L$50,MATCH(VLOOKUP($I92,$I$5:$AJ$34,MATCH(VLOOKUP(R$37,$BH$3:$BI$50,2,FALSE),$I$4:$AJ$4,0),FALSE),BoundParameters_HiddenSheetCLAY!$I$1:$L$1,0),FALSE))),'Control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Output'!$A$2:$E$99999,5,FALSE)="Sand",VLOOKUP(S$37,BoundParameters_HiddenSheetSAND!$I$3:$L$50,MATCH(VLOOKUP($I92,$I$5:$AJ$34,MATCH(VLOOKUP(S$37,$BH$3:$BI$50,2,FALSE),$I$4:$AJ$4,0),FALSE),BoundParameters_HiddenSheetCLAY!$I$1:$L$1,0),FALSE),IF(VLOOKUP($E57,'Table Output'!$A$2:$E$9999,5,FALSE)="Clay",VLOOKUP(S$37,BoundParameters_HiddenSheetCLAY!$I$3:$L$50,MATCH(VLOOKUP($I92,$I$5:$AJ$34,MATCH(VLOOKUP(S$37,$BH$3:$BI$50,2,FALSE),$I$4:$AJ$4,0),FALSE),BoundParameters_HiddenSheetCLAY!$I$1:$L$1,0),FALSE))),'Control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Output'!$A$2:$E$99999,5,FALSE)="Sand",VLOOKUP(J$37,BoundParameters_HiddenSheetSAND!$I$3:$L$50,MATCH(VLOOKUP($I93,$I$5:$AJ$34,MATCH(VLOOKUP(J$37,$BH$3:$BI$50,2,FALSE),$I$4:$AJ$4,0),FALSE),BoundParameters_HiddenSheetCLAY!$I$1:$L$1,0),FALSE),IF(VLOOKUP($E58,'Table Output'!$A$2:$E$9999,5,FALSE)="Clay",VLOOKUP(J$37,BoundParameters_HiddenSheetCLAY!$I$3:$L$50,MATCH(VLOOKUP($I93,$I$5:$AJ$34,MATCH(VLOOKUP(J$37,$BH$3:$BI$50,2,FALSE),$I$4:$AJ$4,0),FALSE),BoundParameters_HiddenSheetCLAY!$I$1:$L$1,0),FALSE))),'Control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Output'!$A$2:$E$99999,5,FALSE)="Sand",VLOOKUP(K$37,BoundParameters_HiddenSheetSAND!$I$3:$L$50,MATCH(VLOOKUP($I93,$I$5:$AJ$34,MATCH(VLOOKUP(K$37,$BH$3:$BI$50,2,FALSE),$I$4:$AJ$4,0),FALSE),BoundParameters_HiddenSheetCLAY!$I$1:$L$1,0),FALSE),IF(VLOOKUP($E58,'Table Output'!$A$2:$E$9999,5,FALSE)="Clay",VLOOKUP(K$37,BoundParameters_HiddenSheetCLAY!$I$3:$L$50,MATCH(VLOOKUP($I93,$I$5:$AJ$34,MATCH(VLOOKUP(K$37,$BH$3:$BI$50,2,FALSE),$I$4:$AJ$4,0),FALSE),BoundParameters_HiddenSheetCLAY!$I$1:$L$1,0),FALSE))),'Control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Output'!$A$2:$E$99999,5,FALSE)="Sand",VLOOKUP(L$37,BoundParameters_HiddenSheetSAND!$I$3:$L$50,MATCH(VLOOKUP($I93,$I$5:$AJ$34,MATCH(VLOOKUP(L$37,$BH$3:$BI$50,2,FALSE),$I$4:$AJ$4,0),FALSE),BoundParameters_HiddenSheetCLAY!$I$1:$L$1,0),FALSE),IF(VLOOKUP($E58,'Table Output'!$A$2:$E$9999,5,FALSE)="Clay",VLOOKUP(L$37,BoundParameters_HiddenSheetCLAY!$I$3:$L$50,MATCH(VLOOKUP($I93,$I$5:$AJ$34,MATCH(VLOOKUP(L$37,$BH$3:$BI$50,2,FALSE),$I$4:$AJ$4,0),FALSE),BoundParameters_HiddenSheetCLAY!$I$1:$L$1,0),FALSE))),'Control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Output'!$A$2:$E$99999,5,FALSE)="Sand",VLOOKUP(M$37,BoundParameters_HiddenSheetSAND!$I$3:$L$50,MATCH(VLOOKUP($I93,$I$5:$AJ$34,MATCH(VLOOKUP(M$37,$BH$3:$BI$50,2,FALSE),$I$4:$AJ$4,0),FALSE),BoundParameters_HiddenSheetCLAY!$I$1:$L$1,0),FALSE),IF(VLOOKUP($E58,'Table Output'!$A$2:$E$9999,5,FALSE)="Clay",VLOOKUP(M$37,BoundParameters_HiddenSheetCLAY!$I$3:$L$50,MATCH(VLOOKUP($I93,$I$5:$AJ$34,MATCH(VLOOKUP(M$37,$BH$3:$BI$50,2,FALSE),$I$4:$AJ$4,0),FALSE),BoundParameters_HiddenSheetCLAY!$I$1:$L$1,0),FALSE))),'Control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Output'!$A$2:$E$99999,5,FALSE)="Sand",VLOOKUP(N$37,BoundParameters_HiddenSheetSAND!$I$3:$L$50,MATCH(VLOOKUP($I93,$I$5:$AJ$34,MATCH(VLOOKUP(N$37,$BH$3:$BI$50,2,FALSE),$I$4:$AJ$4,0),FALSE),BoundParameters_HiddenSheetCLAY!$I$1:$L$1,0),FALSE),IF(VLOOKUP($E58,'Table Output'!$A$2:$E$9999,5,FALSE)="Clay",VLOOKUP(N$37,BoundParameters_HiddenSheetCLAY!$I$3:$L$50,MATCH(VLOOKUP($I93,$I$5:$AJ$34,MATCH(VLOOKUP(N$37,$BH$3:$BI$50,2,FALSE),$I$4:$AJ$4,0),FALSE),BoundParameters_HiddenSheetCLAY!$I$1:$L$1,0),FALSE))),'Control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Output'!$A$2:$E$99999,5,FALSE)="Sand",VLOOKUP(O$37,BoundParameters_HiddenSheetSAND!$I$3:$L$50,MATCH(VLOOKUP($I93,$I$5:$AJ$34,MATCH(VLOOKUP(O$37,$BH$3:$BI$50,2,FALSE),$I$4:$AJ$4,0),FALSE),BoundParameters_HiddenSheetCLAY!$I$1:$L$1,0),FALSE),IF(VLOOKUP($E58,'Table Output'!$A$2:$E$9999,5,FALSE)="Clay",VLOOKUP(O$37,BoundParameters_HiddenSheetCLAY!$I$3:$L$50,MATCH(VLOOKUP($I93,$I$5:$AJ$34,MATCH(VLOOKUP(O$37,$BH$3:$BI$50,2,FALSE),$I$4:$AJ$4,0),FALSE),BoundParameters_HiddenSheetCLAY!$I$1:$L$1,0),FALSE))),'Control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Output'!$A$2:$E$99999,5,FALSE)="Sand",VLOOKUP(P$37,BoundParameters_HiddenSheetSAND!$I$3:$L$50,MATCH(VLOOKUP($I93,$I$5:$AJ$34,MATCH(VLOOKUP(P$37,$BH$3:$BI$50,2,FALSE),$I$4:$AJ$4,0),FALSE),BoundParameters_HiddenSheetCLAY!$I$1:$L$1,0),FALSE),IF(VLOOKUP($E58,'Table Output'!$A$2:$E$9999,5,FALSE)="Clay",VLOOKUP(P$37,BoundParameters_HiddenSheetCLAY!$I$3:$L$50,MATCH(VLOOKUP($I93,$I$5:$AJ$34,MATCH(VLOOKUP(P$37,$BH$3:$BI$50,2,FALSE),$I$4:$AJ$4,0),FALSE),BoundParameters_HiddenSheetCLAY!$I$1:$L$1,0),FALSE))),'Control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Output'!$A$2:$E$99999,5,FALSE)="Sand",VLOOKUP(Q$37,BoundParameters_HiddenSheetSAND!$I$3:$L$50,MATCH(VLOOKUP($I93,$I$5:$AJ$34,MATCH(VLOOKUP(Q$37,$BH$3:$BI$50,2,FALSE),$I$4:$AJ$4,0),FALSE),BoundParameters_HiddenSheetCLAY!$I$1:$L$1,0),FALSE),IF(VLOOKUP($E58,'Table Output'!$A$2:$E$9999,5,FALSE)="Clay",VLOOKUP(Q$37,BoundParameters_HiddenSheetCLAY!$I$3:$L$50,MATCH(VLOOKUP($I93,$I$5:$AJ$34,MATCH(VLOOKUP(Q$37,$BH$3:$BI$50,2,FALSE),$I$4:$AJ$4,0),FALSE),BoundParameters_HiddenSheetCLAY!$I$1:$L$1,0),FALSE))),'Control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Output'!$A$2:$E$99999,5,FALSE)="Sand",VLOOKUP(R$37,BoundParameters_HiddenSheetSAND!$I$3:$L$50,MATCH(VLOOKUP($I93,$I$5:$AJ$34,MATCH(VLOOKUP(R$37,$BH$3:$BI$50,2,FALSE),$I$4:$AJ$4,0),FALSE),BoundParameters_HiddenSheetCLAY!$I$1:$L$1,0),FALSE),IF(VLOOKUP($E58,'Table Output'!$A$2:$E$9999,5,FALSE)="Clay",VLOOKUP(R$37,BoundParameters_HiddenSheetCLAY!$I$3:$L$50,MATCH(VLOOKUP($I93,$I$5:$AJ$34,MATCH(VLOOKUP(R$37,$BH$3:$BI$50,2,FALSE),$I$4:$AJ$4,0),FALSE),BoundParameters_HiddenSheetCLAY!$I$1:$L$1,0),FALSE))),'Control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Output'!$A$2:$E$99999,5,FALSE)="Sand",VLOOKUP(S$37,BoundParameters_HiddenSheetSAND!$I$3:$L$50,MATCH(VLOOKUP($I93,$I$5:$AJ$34,MATCH(VLOOKUP(S$37,$BH$3:$BI$50,2,FALSE),$I$4:$AJ$4,0),FALSE),BoundParameters_HiddenSheetCLAY!$I$1:$L$1,0),FALSE),IF(VLOOKUP($E58,'Table Output'!$A$2:$E$9999,5,FALSE)="Clay",VLOOKUP(S$37,BoundParameters_HiddenSheetCLAY!$I$3:$L$50,MATCH(VLOOKUP($I93,$I$5:$AJ$34,MATCH(VLOOKUP(S$37,$BH$3:$BI$50,2,FALSE),$I$4:$AJ$4,0),FALSE),BoundParameters_HiddenSheetCLAY!$I$1:$L$1,0),FALSE))),'Control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Output'!$A$2:$E$99999,5,FALSE)="Sand",VLOOKUP(J$37,BoundParameters_HiddenSheetSAND!$I$3:$L$50,MATCH(VLOOKUP($I94,$I$5:$AJ$34,MATCH(VLOOKUP(J$37,$BH$3:$BI$50,2,FALSE),$I$4:$AJ$4,0),FALSE),BoundParameters_HiddenSheetCLAY!$I$1:$L$1,0),FALSE),IF(VLOOKUP($E59,'Table Output'!$A$2:$E$9999,5,FALSE)="Clay",VLOOKUP(J$37,BoundParameters_HiddenSheetCLAY!$I$3:$L$50,MATCH(VLOOKUP($I94,$I$5:$AJ$34,MATCH(VLOOKUP(J$37,$BH$3:$BI$50,2,FALSE),$I$4:$AJ$4,0),FALSE),BoundParameters_HiddenSheetCLAY!$I$1:$L$1,0),FALSE))),'Control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Output'!$A$2:$E$99999,5,FALSE)="Sand",VLOOKUP(K$37,BoundParameters_HiddenSheetSAND!$I$3:$L$50,MATCH(VLOOKUP($I94,$I$5:$AJ$34,MATCH(VLOOKUP(K$37,$BH$3:$BI$50,2,FALSE),$I$4:$AJ$4,0),FALSE),BoundParameters_HiddenSheetCLAY!$I$1:$L$1,0),FALSE),IF(VLOOKUP($E59,'Table Output'!$A$2:$E$9999,5,FALSE)="Clay",VLOOKUP(K$37,BoundParameters_HiddenSheetCLAY!$I$3:$L$50,MATCH(VLOOKUP($I94,$I$5:$AJ$34,MATCH(VLOOKUP(K$37,$BH$3:$BI$50,2,FALSE),$I$4:$AJ$4,0),FALSE),BoundParameters_HiddenSheetCLAY!$I$1:$L$1,0),FALSE))),'Control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Output'!$A$2:$E$99999,5,FALSE)="Sand",VLOOKUP(L$37,BoundParameters_HiddenSheetSAND!$I$3:$L$50,MATCH(VLOOKUP($I94,$I$5:$AJ$34,MATCH(VLOOKUP(L$37,$BH$3:$BI$50,2,FALSE),$I$4:$AJ$4,0),FALSE),BoundParameters_HiddenSheetCLAY!$I$1:$L$1,0),FALSE),IF(VLOOKUP($E59,'Table Output'!$A$2:$E$9999,5,FALSE)="Clay",VLOOKUP(L$37,BoundParameters_HiddenSheetCLAY!$I$3:$L$50,MATCH(VLOOKUP($I94,$I$5:$AJ$34,MATCH(VLOOKUP(L$37,$BH$3:$BI$50,2,FALSE),$I$4:$AJ$4,0),FALSE),BoundParameters_HiddenSheetCLAY!$I$1:$L$1,0),FALSE))),'Control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Output'!$A$2:$E$99999,5,FALSE)="Sand",VLOOKUP(M$37,BoundParameters_HiddenSheetSAND!$I$3:$L$50,MATCH(VLOOKUP($I94,$I$5:$AJ$34,MATCH(VLOOKUP(M$37,$BH$3:$BI$50,2,FALSE),$I$4:$AJ$4,0),FALSE),BoundParameters_HiddenSheetCLAY!$I$1:$L$1,0),FALSE),IF(VLOOKUP($E59,'Table Output'!$A$2:$E$9999,5,FALSE)="Clay",VLOOKUP(M$37,BoundParameters_HiddenSheetCLAY!$I$3:$L$50,MATCH(VLOOKUP($I94,$I$5:$AJ$34,MATCH(VLOOKUP(M$37,$BH$3:$BI$50,2,FALSE),$I$4:$AJ$4,0),FALSE),BoundParameters_HiddenSheetCLAY!$I$1:$L$1,0),FALSE))),'Control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Output'!$A$2:$E$99999,5,FALSE)="Sand",VLOOKUP(N$37,BoundParameters_HiddenSheetSAND!$I$3:$L$50,MATCH(VLOOKUP($I94,$I$5:$AJ$34,MATCH(VLOOKUP(N$37,$BH$3:$BI$50,2,FALSE),$I$4:$AJ$4,0),FALSE),BoundParameters_HiddenSheetCLAY!$I$1:$L$1,0),FALSE),IF(VLOOKUP($E59,'Table Output'!$A$2:$E$9999,5,FALSE)="Clay",VLOOKUP(N$37,BoundParameters_HiddenSheetCLAY!$I$3:$L$50,MATCH(VLOOKUP($I94,$I$5:$AJ$34,MATCH(VLOOKUP(N$37,$BH$3:$BI$50,2,FALSE),$I$4:$AJ$4,0),FALSE),BoundParameters_HiddenSheetCLAY!$I$1:$L$1,0),FALSE))),'Control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Output'!$A$2:$E$99999,5,FALSE)="Sand",VLOOKUP(O$37,BoundParameters_HiddenSheetSAND!$I$3:$L$50,MATCH(VLOOKUP($I94,$I$5:$AJ$34,MATCH(VLOOKUP(O$37,$BH$3:$BI$50,2,FALSE),$I$4:$AJ$4,0),FALSE),BoundParameters_HiddenSheetCLAY!$I$1:$L$1,0),FALSE),IF(VLOOKUP($E59,'Table Output'!$A$2:$E$9999,5,FALSE)="Clay",VLOOKUP(O$37,BoundParameters_HiddenSheetCLAY!$I$3:$L$50,MATCH(VLOOKUP($I94,$I$5:$AJ$34,MATCH(VLOOKUP(O$37,$BH$3:$BI$50,2,FALSE),$I$4:$AJ$4,0),FALSE),BoundParameters_HiddenSheetCLAY!$I$1:$L$1,0),FALSE))),'Control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Output'!$A$2:$E$99999,5,FALSE)="Sand",VLOOKUP(P$37,BoundParameters_HiddenSheetSAND!$I$3:$L$50,MATCH(VLOOKUP($I94,$I$5:$AJ$34,MATCH(VLOOKUP(P$37,$BH$3:$BI$50,2,FALSE),$I$4:$AJ$4,0),FALSE),BoundParameters_HiddenSheetCLAY!$I$1:$L$1,0),FALSE),IF(VLOOKUP($E59,'Table Output'!$A$2:$E$9999,5,FALSE)="Clay",VLOOKUP(P$37,BoundParameters_HiddenSheetCLAY!$I$3:$L$50,MATCH(VLOOKUP($I94,$I$5:$AJ$34,MATCH(VLOOKUP(P$37,$BH$3:$BI$50,2,FALSE),$I$4:$AJ$4,0),FALSE),BoundParameters_HiddenSheetCLAY!$I$1:$L$1,0),FALSE))),'Control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Output'!$A$2:$E$99999,5,FALSE)="Sand",VLOOKUP(Q$37,BoundParameters_HiddenSheetSAND!$I$3:$L$50,MATCH(VLOOKUP($I94,$I$5:$AJ$34,MATCH(VLOOKUP(Q$37,$BH$3:$BI$50,2,FALSE),$I$4:$AJ$4,0),FALSE),BoundParameters_HiddenSheetCLAY!$I$1:$L$1,0),FALSE),IF(VLOOKUP($E59,'Table Output'!$A$2:$E$9999,5,FALSE)="Clay",VLOOKUP(Q$37,BoundParameters_HiddenSheetCLAY!$I$3:$L$50,MATCH(VLOOKUP($I94,$I$5:$AJ$34,MATCH(VLOOKUP(Q$37,$BH$3:$BI$50,2,FALSE),$I$4:$AJ$4,0),FALSE),BoundParameters_HiddenSheetCLAY!$I$1:$L$1,0),FALSE))),'Control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Output'!$A$2:$E$99999,5,FALSE)="Sand",VLOOKUP(R$37,BoundParameters_HiddenSheetSAND!$I$3:$L$50,MATCH(VLOOKUP($I94,$I$5:$AJ$34,MATCH(VLOOKUP(R$37,$BH$3:$BI$50,2,FALSE),$I$4:$AJ$4,0),FALSE),BoundParameters_HiddenSheetCLAY!$I$1:$L$1,0),FALSE),IF(VLOOKUP($E59,'Table Output'!$A$2:$E$9999,5,FALSE)="Clay",VLOOKUP(R$37,BoundParameters_HiddenSheetCLAY!$I$3:$L$50,MATCH(VLOOKUP($I94,$I$5:$AJ$34,MATCH(VLOOKUP(R$37,$BH$3:$BI$50,2,FALSE),$I$4:$AJ$4,0),FALSE),BoundParameters_HiddenSheetCLAY!$I$1:$L$1,0),FALSE))),'Control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Output'!$A$2:$E$99999,5,FALSE)="Sand",VLOOKUP(S$37,BoundParameters_HiddenSheetSAND!$I$3:$L$50,MATCH(VLOOKUP($I94,$I$5:$AJ$34,MATCH(VLOOKUP(S$37,$BH$3:$BI$50,2,FALSE),$I$4:$AJ$4,0),FALSE),BoundParameters_HiddenSheetCLAY!$I$1:$L$1,0),FALSE),IF(VLOOKUP($E59,'Table Output'!$A$2:$E$9999,5,FALSE)="Clay",VLOOKUP(S$37,BoundParameters_HiddenSheetCLAY!$I$3:$L$50,MATCH(VLOOKUP($I94,$I$5:$AJ$34,MATCH(VLOOKUP(S$37,$BH$3:$BI$50,2,FALSE),$I$4:$AJ$4,0),FALSE),BoundParameters_HiddenSheetCLAY!$I$1:$L$1,0),FALSE))),'Control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Output'!$A$2:$E$99999,5,FALSE)="Sand",VLOOKUP(J$37,BoundParameters_HiddenSheetSAND!$I$3:$L$50,MATCH(VLOOKUP($I95,$I$5:$AJ$34,MATCH(VLOOKUP(J$37,$BH$3:$BI$50,2,FALSE),$I$4:$AJ$4,0),FALSE),BoundParameters_HiddenSheetCLAY!$I$1:$L$1,0),FALSE),IF(VLOOKUP($E60,'Table Output'!$A$2:$E$9999,5,FALSE)="Clay",VLOOKUP(J$37,BoundParameters_HiddenSheetCLAY!$I$3:$L$50,MATCH(VLOOKUP($I95,$I$5:$AJ$34,MATCH(VLOOKUP(J$37,$BH$3:$BI$50,2,FALSE),$I$4:$AJ$4,0),FALSE),BoundParameters_HiddenSheetCLAY!$I$1:$L$1,0),FALSE))),'Control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Output'!$A$2:$E$99999,5,FALSE)="Sand",VLOOKUP(K$37,BoundParameters_HiddenSheetSAND!$I$3:$L$50,MATCH(VLOOKUP($I95,$I$5:$AJ$34,MATCH(VLOOKUP(K$37,$BH$3:$BI$50,2,FALSE),$I$4:$AJ$4,0),FALSE),BoundParameters_HiddenSheetCLAY!$I$1:$L$1,0),FALSE),IF(VLOOKUP($E60,'Table Output'!$A$2:$E$9999,5,FALSE)="Clay",VLOOKUP(K$37,BoundParameters_HiddenSheetCLAY!$I$3:$L$50,MATCH(VLOOKUP($I95,$I$5:$AJ$34,MATCH(VLOOKUP(K$37,$BH$3:$BI$50,2,FALSE),$I$4:$AJ$4,0),FALSE),BoundParameters_HiddenSheetCLAY!$I$1:$L$1,0),FALSE))),'Control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Output'!$A$2:$E$99999,5,FALSE)="Sand",VLOOKUP(L$37,BoundParameters_HiddenSheetSAND!$I$3:$L$50,MATCH(VLOOKUP($I95,$I$5:$AJ$34,MATCH(VLOOKUP(L$37,$BH$3:$BI$50,2,FALSE),$I$4:$AJ$4,0),FALSE),BoundParameters_HiddenSheetCLAY!$I$1:$L$1,0),FALSE),IF(VLOOKUP($E60,'Table Output'!$A$2:$E$9999,5,FALSE)="Clay",VLOOKUP(L$37,BoundParameters_HiddenSheetCLAY!$I$3:$L$50,MATCH(VLOOKUP($I95,$I$5:$AJ$34,MATCH(VLOOKUP(L$37,$BH$3:$BI$50,2,FALSE),$I$4:$AJ$4,0),FALSE),BoundParameters_HiddenSheetCLAY!$I$1:$L$1,0),FALSE))),'Control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Output'!$A$2:$E$99999,5,FALSE)="Sand",VLOOKUP(M$37,BoundParameters_HiddenSheetSAND!$I$3:$L$50,MATCH(VLOOKUP($I95,$I$5:$AJ$34,MATCH(VLOOKUP(M$37,$BH$3:$BI$50,2,FALSE),$I$4:$AJ$4,0),FALSE),BoundParameters_HiddenSheetCLAY!$I$1:$L$1,0),FALSE),IF(VLOOKUP($E60,'Table Output'!$A$2:$E$9999,5,FALSE)="Clay",VLOOKUP(M$37,BoundParameters_HiddenSheetCLAY!$I$3:$L$50,MATCH(VLOOKUP($I95,$I$5:$AJ$34,MATCH(VLOOKUP(M$37,$BH$3:$BI$50,2,FALSE),$I$4:$AJ$4,0),FALSE),BoundParameters_HiddenSheetCLAY!$I$1:$L$1,0),FALSE))),'Control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Output'!$A$2:$E$99999,5,FALSE)="Sand",VLOOKUP(N$37,BoundParameters_HiddenSheetSAND!$I$3:$L$50,MATCH(VLOOKUP($I95,$I$5:$AJ$34,MATCH(VLOOKUP(N$37,$BH$3:$BI$50,2,FALSE),$I$4:$AJ$4,0),FALSE),BoundParameters_HiddenSheetCLAY!$I$1:$L$1,0),FALSE),IF(VLOOKUP($E60,'Table Output'!$A$2:$E$9999,5,FALSE)="Clay",VLOOKUP(N$37,BoundParameters_HiddenSheetCLAY!$I$3:$L$50,MATCH(VLOOKUP($I95,$I$5:$AJ$34,MATCH(VLOOKUP(N$37,$BH$3:$BI$50,2,FALSE),$I$4:$AJ$4,0),FALSE),BoundParameters_HiddenSheetCLAY!$I$1:$L$1,0),FALSE))),'Control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Output'!$A$2:$E$99999,5,FALSE)="Sand",VLOOKUP(O$37,BoundParameters_HiddenSheetSAND!$I$3:$L$50,MATCH(VLOOKUP($I95,$I$5:$AJ$34,MATCH(VLOOKUP(O$37,$BH$3:$BI$50,2,FALSE),$I$4:$AJ$4,0),FALSE),BoundParameters_HiddenSheetCLAY!$I$1:$L$1,0),FALSE),IF(VLOOKUP($E60,'Table Output'!$A$2:$E$9999,5,FALSE)="Clay",VLOOKUP(O$37,BoundParameters_HiddenSheetCLAY!$I$3:$L$50,MATCH(VLOOKUP($I95,$I$5:$AJ$34,MATCH(VLOOKUP(O$37,$BH$3:$BI$50,2,FALSE),$I$4:$AJ$4,0),FALSE),BoundParameters_HiddenSheetCLAY!$I$1:$L$1,0),FALSE))),'Control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Output'!$A$2:$E$99999,5,FALSE)="Sand",VLOOKUP(P$37,BoundParameters_HiddenSheetSAND!$I$3:$L$50,MATCH(VLOOKUP($I95,$I$5:$AJ$34,MATCH(VLOOKUP(P$37,$BH$3:$BI$50,2,FALSE),$I$4:$AJ$4,0),FALSE),BoundParameters_HiddenSheetCLAY!$I$1:$L$1,0),FALSE),IF(VLOOKUP($E60,'Table Output'!$A$2:$E$9999,5,FALSE)="Clay",VLOOKUP(P$37,BoundParameters_HiddenSheetCLAY!$I$3:$L$50,MATCH(VLOOKUP($I95,$I$5:$AJ$34,MATCH(VLOOKUP(P$37,$BH$3:$BI$50,2,FALSE),$I$4:$AJ$4,0),FALSE),BoundParameters_HiddenSheetCLAY!$I$1:$L$1,0),FALSE))),'Control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Output'!$A$2:$E$99999,5,FALSE)="Sand",VLOOKUP(Q$37,BoundParameters_HiddenSheetSAND!$I$3:$L$50,MATCH(VLOOKUP($I95,$I$5:$AJ$34,MATCH(VLOOKUP(Q$37,$BH$3:$BI$50,2,FALSE),$I$4:$AJ$4,0),FALSE),BoundParameters_HiddenSheetCLAY!$I$1:$L$1,0),FALSE),IF(VLOOKUP($E60,'Table Output'!$A$2:$E$9999,5,FALSE)="Clay",VLOOKUP(Q$37,BoundParameters_HiddenSheetCLAY!$I$3:$L$50,MATCH(VLOOKUP($I95,$I$5:$AJ$34,MATCH(VLOOKUP(Q$37,$BH$3:$BI$50,2,FALSE),$I$4:$AJ$4,0),FALSE),BoundParameters_HiddenSheetCLAY!$I$1:$L$1,0),FALSE))),'Control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Output'!$A$2:$E$99999,5,FALSE)="Sand",VLOOKUP(R$37,BoundParameters_HiddenSheetSAND!$I$3:$L$50,MATCH(VLOOKUP($I95,$I$5:$AJ$34,MATCH(VLOOKUP(R$37,$BH$3:$BI$50,2,FALSE),$I$4:$AJ$4,0),FALSE),BoundParameters_HiddenSheetCLAY!$I$1:$L$1,0),FALSE),IF(VLOOKUP($E60,'Table Output'!$A$2:$E$9999,5,FALSE)="Clay",VLOOKUP(R$37,BoundParameters_HiddenSheetCLAY!$I$3:$L$50,MATCH(VLOOKUP($I95,$I$5:$AJ$34,MATCH(VLOOKUP(R$37,$BH$3:$BI$50,2,FALSE),$I$4:$AJ$4,0),FALSE),BoundParameters_HiddenSheetCLAY!$I$1:$L$1,0),FALSE))),'Control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Output'!$A$2:$E$99999,5,FALSE)="Sand",VLOOKUP(S$37,BoundParameters_HiddenSheetSAND!$I$3:$L$50,MATCH(VLOOKUP($I95,$I$5:$AJ$34,MATCH(VLOOKUP(S$37,$BH$3:$BI$50,2,FALSE),$I$4:$AJ$4,0),FALSE),BoundParameters_HiddenSheetCLAY!$I$1:$L$1,0),FALSE),IF(VLOOKUP($E60,'Table Output'!$A$2:$E$9999,5,FALSE)="Clay",VLOOKUP(S$37,BoundParameters_HiddenSheetCLAY!$I$3:$L$50,MATCH(VLOOKUP($I95,$I$5:$AJ$34,MATCH(VLOOKUP(S$37,$BH$3:$BI$50,2,FALSE),$I$4:$AJ$4,0),FALSE),BoundParameters_HiddenSheetCLAY!$I$1:$L$1,0),FALSE))),'Control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Output'!$A$2:$E$99999,5,FALSE)="Sand",VLOOKUP(J$37,BoundParameters_HiddenSheetSAND!$I$3:$L$50,MATCH(VLOOKUP($I96,$I$5:$AJ$34,MATCH(VLOOKUP(J$37,$BH$3:$BI$50,2,FALSE),$I$4:$AJ$4,0),FALSE),BoundParameters_HiddenSheetCLAY!$I$1:$L$1,0),FALSE),IF(VLOOKUP($E61,'Table Output'!$A$2:$E$9999,5,FALSE)="Clay",VLOOKUP(J$37,BoundParameters_HiddenSheetCLAY!$I$3:$L$50,MATCH(VLOOKUP($I96,$I$5:$AJ$34,MATCH(VLOOKUP(J$37,$BH$3:$BI$50,2,FALSE),$I$4:$AJ$4,0),FALSE),BoundParameters_HiddenSheetCLAY!$I$1:$L$1,0),FALSE))),'Control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Output'!$A$2:$E$99999,5,FALSE)="Sand",VLOOKUP(K$37,BoundParameters_HiddenSheetSAND!$I$3:$L$50,MATCH(VLOOKUP($I96,$I$5:$AJ$34,MATCH(VLOOKUP(K$37,$BH$3:$BI$50,2,FALSE),$I$4:$AJ$4,0),FALSE),BoundParameters_HiddenSheetCLAY!$I$1:$L$1,0),FALSE),IF(VLOOKUP($E61,'Table Output'!$A$2:$E$9999,5,FALSE)="Clay",VLOOKUP(K$37,BoundParameters_HiddenSheetCLAY!$I$3:$L$50,MATCH(VLOOKUP($I96,$I$5:$AJ$34,MATCH(VLOOKUP(K$37,$BH$3:$BI$50,2,FALSE),$I$4:$AJ$4,0),FALSE),BoundParameters_HiddenSheetCLAY!$I$1:$L$1,0),FALSE))),'Control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Output'!$A$2:$E$99999,5,FALSE)="Sand",VLOOKUP(L$37,BoundParameters_HiddenSheetSAND!$I$3:$L$50,MATCH(VLOOKUP($I96,$I$5:$AJ$34,MATCH(VLOOKUP(L$37,$BH$3:$BI$50,2,FALSE),$I$4:$AJ$4,0),FALSE),BoundParameters_HiddenSheetCLAY!$I$1:$L$1,0),FALSE),IF(VLOOKUP($E61,'Table Output'!$A$2:$E$9999,5,FALSE)="Clay",VLOOKUP(L$37,BoundParameters_HiddenSheetCLAY!$I$3:$L$50,MATCH(VLOOKUP($I96,$I$5:$AJ$34,MATCH(VLOOKUP(L$37,$BH$3:$BI$50,2,FALSE),$I$4:$AJ$4,0),FALSE),BoundParameters_HiddenSheetCLAY!$I$1:$L$1,0),FALSE))),'Control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Output'!$A$2:$E$99999,5,FALSE)="Sand",VLOOKUP(M$37,BoundParameters_HiddenSheetSAND!$I$3:$L$50,MATCH(VLOOKUP($I96,$I$5:$AJ$34,MATCH(VLOOKUP(M$37,$BH$3:$BI$50,2,FALSE),$I$4:$AJ$4,0),FALSE),BoundParameters_HiddenSheetCLAY!$I$1:$L$1,0),FALSE),IF(VLOOKUP($E61,'Table Output'!$A$2:$E$9999,5,FALSE)="Clay",VLOOKUP(M$37,BoundParameters_HiddenSheetCLAY!$I$3:$L$50,MATCH(VLOOKUP($I96,$I$5:$AJ$34,MATCH(VLOOKUP(M$37,$BH$3:$BI$50,2,FALSE),$I$4:$AJ$4,0),FALSE),BoundParameters_HiddenSheetCLAY!$I$1:$L$1,0),FALSE))),'Control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Output'!$A$2:$E$99999,5,FALSE)="Sand",VLOOKUP(N$37,BoundParameters_HiddenSheetSAND!$I$3:$L$50,MATCH(VLOOKUP($I96,$I$5:$AJ$34,MATCH(VLOOKUP(N$37,$BH$3:$BI$50,2,FALSE),$I$4:$AJ$4,0),FALSE),BoundParameters_HiddenSheetCLAY!$I$1:$L$1,0),FALSE),IF(VLOOKUP($E61,'Table Output'!$A$2:$E$9999,5,FALSE)="Clay",VLOOKUP(N$37,BoundParameters_HiddenSheetCLAY!$I$3:$L$50,MATCH(VLOOKUP($I96,$I$5:$AJ$34,MATCH(VLOOKUP(N$37,$BH$3:$BI$50,2,FALSE),$I$4:$AJ$4,0),FALSE),BoundParameters_HiddenSheetCLAY!$I$1:$L$1,0),FALSE))),'Control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Output'!$A$2:$E$99999,5,FALSE)="Sand",VLOOKUP(O$37,BoundParameters_HiddenSheetSAND!$I$3:$L$50,MATCH(VLOOKUP($I96,$I$5:$AJ$34,MATCH(VLOOKUP(O$37,$BH$3:$BI$50,2,FALSE),$I$4:$AJ$4,0),FALSE),BoundParameters_HiddenSheetCLAY!$I$1:$L$1,0),FALSE),IF(VLOOKUP($E61,'Table Output'!$A$2:$E$9999,5,FALSE)="Clay",VLOOKUP(O$37,BoundParameters_HiddenSheetCLAY!$I$3:$L$50,MATCH(VLOOKUP($I96,$I$5:$AJ$34,MATCH(VLOOKUP(O$37,$BH$3:$BI$50,2,FALSE),$I$4:$AJ$4,0),FALSE),BoundParameters_HiddenSheetCLAY!$I$1:$L$1,0),FALSE))),'Control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Output'!$A$2:$E$99999,5,FALSE)="Sand",VLOOKUP(P$37,BoundParameters_HiddenSheetSAND!$I$3:$L$50,MATCH(VLOOKUP($I96,$I$5:$AJ$34,MATCH(VLOOKUP(P$37,$BH$3:$BI$50,2,FALSE),$I$4:$AJ$4,0),FALSE),BoundParameters_HiddenSheetCLAY!$I$1:$L$1,0),FALSE),IF(VLOOKUP($E61,'Table Output'!$A$2:$E$9999,5,FALSE)="Clay",VLOOKUP(P$37,BoundParameters_HiddenSheetCLAY!$I$3:$L$50,MATCH(VLOOKUP($I96,$I$5:$AJ$34,MATCH(VLOOKUP(P$37,$BH$3:$BI$50,2,FALSE),$I$4:$AJ$4,0),FALSE),BoundParameters_HiddenSheetCLAY!$I$1:$L$1,0),FALSE))),'Control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Output'!$A$2:$E$99999,5,FALSE)="Sand",VLOOKUP(Q$37,BoundParameters_HiddenSheetSAND!$I$3:$L$50,MATCH(VLOOKUP($I96,$I$5:$AJ$34,MATCH(VLOOKUP(Q$37,$BH$3:$BI$50,2,FALSE),$I$4:$AJ$4,0),FALSE),BoundParameters_HiddenSheetCLAY!$I$1:$L$1,0),FALSE),IF(VLOOKUP($E61,'Table Output'!$A$2:$E$9999,5,FALSE)="Clay",VLOOKUP(Q$37,BoundParameters_HiddenSheetCLAY!$I$3:$L$50,MATCH(VLOOKUP($I96,$I$5:$AJ$34,MATCH(VLOOKUP(Q$37,$BH$3:$BI$50,2,FALSE),$I$4:$AJ$4,0),FALSE),BoundParameters_HiddenSheetCLAY!$I$1:$L$1,0),FALSE))),'Control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Output'!$A$2:$E$99999,5,FALSE)="Sand",VLOOKUP(R$37,BoundParameters_HiddenSheetSAND!$I$3:$L$50,MATCH(VLOOKUP($I96,$I$5:$AJ$34,MATCH(VLOOKUP(R$37,$BH$3:$BI$50,2,FALSE),$I$4:$AJ$4,0),FALSE),BoundParameters_HiddenSheetCLAY!$I$1:$L$1,0),FALSE),IF(VLOOKUP($E61,'Table Output'!$A$2:$E$9999,5,FALSE)="Clay",VLOOKUP(R$37,BoundParameters_HiddenSheetCLAY!$I$3:$L$50,MATCH(VLOOKUP($I96,$I$5:$AJ$34,MATCH(VLOOKUP(R$37,$BH$3:$BI$50,2,FALSE),$I$4:$AJ$4,0),FALSE),BoundParameters_HiddenSheetCLAY!$I$1:$L$1,0),FALSE))),'Control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Output'!$A$2:$E$99999,5,FALSE)="Sand",VLOOKUP(S$37,BoundParameters_HiddenSheetSAND!$I$3:$L$50,MATCH(VLOOKUP($I96,$I$5:$AJ$34,MATCH(VLOOKUP(S$37,$BH$3:$BI$50,2,FALSE),$I$4:$AJ$4,0),FALSE),BoundParameters_HiddenSheetCLAY!$I$1:$L$1,0),FALSE),IF(VLOOKUP($E61,'Table Output'!$A$2:$E$9999,5,FALSE)="Clay",VLOOKUP(S$37,BoundParameters_HiddenSheetCLAY!$I$3:$L$50,MATCH(VLOOKUP($I96,$I$5:$AJ$34,MATCH(VLOOKUP(S$37,$BH$3:$BI$50,2,FALSE),$I$4:$AJ$4,0),FALSE),BoundParameters_HiddenSheetCLAY!$I$1:$L$1,0),FALSE))),'Control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Output'!$A$2:$E$99999,5,FALSE)="Sand",VLOOKUP(J$37,BoundParameters_HiddenSheetSAND!$I$3:$L$50,MATCH(VLOOKUP($I97,$I$5:$AJ$34,MATCH(VLOOKUP(J$37,$BH$3:$BI$50,2,FALSE),$I$4:$AJ$4,0),FALSE),BoundParameters_HiddenSheetCLAY!$I$1:$L$1,0),FALSE),IF(VLOOKUP($E62,'Table Output'!$A$2:$E$9999,5,FALSE)="Clay",VLOOKUP(J$37,BoundParameters_HiddenSheetCLAY!$I$3:$L$50,MATCH(VLOOKUP($I97,$I$5:$AJ$34,MATCH(VLOOKUP(J$37,$BH$3:$BI$50,2,FALSE),$I$4:$AJ$4,0),FALSE),BoundParameters_HiddenSheetCLAY!$I$1:$L$1,0),FALSE))),'Control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Output'!$A$2:$E$99999,5,FALSE)="Sand",VLOOKUP(K$37,BoundParameters_HiddenSheetSAND!$I$3:$L$50,MATCH(VLOOKUP($I97,$I$5:$AJ$34,MATCH(VLOOKUP(K$37,$BH$3:$BI$50,2,FALSE),$I$4:$AJ$4,0),FALSE),BoundParameters_HiddenSheetCLAY!$I$1:$L$1,0),FALSE),IF(VLOOKUP($E62,'Table Output'!$A$2:$E$9999,5,FALSE)="Clay",VLOOKUP(K$37,BoundParameters_HiddenSheetCLAY!$I$3:$L$50,MATCH(VLOOKUP($I97,$I$5:$AJ$34,MATCH(VLOOKUP(K$37,$BH$3:$BI$50,2,FALSE),$I$4:$AJ$4,0),FALSE),BoundParameters_HiddenSheetCLAY!$I$1:$L$1,0),FALSE))),'Control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Output'!$A$2:$E$99999,5,FALSE)="Sand",VLOOKUP(L$37,BoundParameters_HiddenSheetSAND!$I$3:$L$50,MATCH(VLOOKUP($I97,$I$5:$AJ$34,MATCH(VLOOKUP(L$37,$BH$3:$BI$50,2,FALSE),$I$4:$AJ$4,0),FALSE),BoundParameters_HiddenSheetCLAY!$I$1:$L$1,0),FALSE),IF(VLOOKUP($E62,'Table Output'!$A$2:$E$9999,5,FALSE)="Clay",VLOOKUP(L$37,BoundParameters_HiddenSheetCLAY!$I$3:$L$50,MATCH(VLOOKUP($I97,$I$5:$AJ$34,MATCH(VLOOKUP(L$37,$BH$3:$BI$50,2,FALSE),$I$4:$AJ$4,0),FALSE),BoundParameters_HiddenSheetCLAY!$I$1:$L$1,0),FALSE))),'Control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Output'!$A$2:$E$99999,5,FALSE)="Sand",VLOOKUP(M$37,BoundParameters_HiddenSheetSAND!$I$3:$L$50,MATCH(VLOOKUP($I97,$I$5:$AJ$34,MATCH(VLOOKUP(M$37,$BH$3:$BI$50,2,FALSE),$I$4:$AJ$4,0),FALSE),BoundParameters_HiddenSheetCLAY!$I$1:$L$1,0),FALSE),IF(VLOOKUP($E62,'Table Output'!$A$2:$E$9999,5,FALSE)="Clay",VLOOKUP(M$37,BoundParameters_HiddenSheetCLAY!$I$3:$L$50,MATCH(VLOOKUP($I97,$I$5:$AJ$34,MATCH(VLOOKUP(M$37,$BH$3:$BI$50,2,FALSE),$I$4:$AJ$4,0),FALSE),BoundParameters_HiddenSheetCLAY!$I$1:$L$1,0),FALSE))),'Control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Output'!$A$2:$E$99999,5,FALSE)="Sand",VLOOKUP(N$37,BoundParameters_HiddenSheetSAND!$I$3:$L$50,MATCH(VLOOKUP($I97,$I$5:$AJ$34,MATCH(VLOOKUP(N$37,$BH$3:$BI$50,2,FALSE),$I$4:$AJ$4,0),FALSE),BoundParameters_HiddenSheetCLAY!$I$1:$L$1,0),FALSE),IF(VLOOKUP($E62,'Table Output'!$A$2:$E$9999,5,FALSE)="Clay",VLOOKUP(N$37,BoundParameters_HiddenSheetCLAY!$I$3:$L$50,MATCH(VLOOKUP($I97,$I$5:$AJ$34,MATCH(VLOOKUP(N$37,$BH$3:$BI$50,2,FALSE),$I$4:$AJ$4,0),FALSE),BoundParameters_HiddenSheetCLAY!$I$1:$L$1,0),FALSE))),'Control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Output'!$A$2:$E$99999,5,FALSE)="Sand",VLOOKUP(O$37,BoundParameters_HiddenSheetSAND!$I$3:$L$50,MATCH(VLOOKUP($I97,$I$5:$AJ$34,MATCH(VLOOKUP(O$37,$BH$3:$BI$50,2,FALSE),$I$4:$AJ$4,0),FALSE),BoundParameters_HiddenSheetCLAY!$I$1:$L$1,0),FALSE),IF(VLOOKUP($E62,'Table Output'!$A$2:$E$9999,5,FALSE)="Clay",VLOOKUP(O$37,BoundParameters_HiddenSheetCLAY!$I$3:$L$50,MATCH(VLOOKUP($I97,$I$5:$AJ$34,MATCH(VLOOKUP(O$37,$BH$3:$BI$50,2,FALSE),$I$4:$AJ$4,0),FALSE),BoundParameters_HiddenSheetCLAY!$I$1:$L$1,0),FALSE))),'Control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Output'!$A$2:$E$99999,5,FALSE)="Sand",VLOOKUP(P$37,BoundParameters_HiddenSheetSAND!$I$3:$L$50,MATCH(VLOOKUP($I97,$I$5:$AJ$34,MATCH(VLOOKUP(P$37,$BH$3:$BI$50,2,FALSE),$I$4:$AJ$4,0),FALSE),BoundParameters_HiddenSheetCLAY!$I$1:$L$1,0),FALSE),IF(VLOOKUP($E62,'Table Output'!$A$2:$E$9999,5,FALSE)="Clay",VLOOKUP(P$37,BoundParameters_HiddenSheetCLAY!$I$3:$L$50,MATCH(VLOOKUP($I97,$I$5:$AJ$34,MATCH(VLOOKUP(P$37,$BH$3:$BI$50,2,FALSE),$I$4:$AJ$4,0),FALSE),BoundParameters_HiddenSheetCLAY!$I$1:$L$1,0),FALSE))),'Control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Output'!$A$2:$E$99999,5,FALSE)="Sand",VLOOKUP(Q$37,BoundParameters_HiddenSheetSAND!$I$3:$L$50,MATCH(VLOOKUP($I97,$I$5:$AJ$34,MATCH(VLOOKUP(Q$37,$BH$3:$BI$50,2,FALSE),$I$4:$AJ$4,0),FALSE),BoundParameters_HiddenSheetCLAY!$I$1:$L$1,0),FALSE),IF(VLOOKUP($E62,'Table Output'!$A$2:$E$9999,5,FALSE)="Clay",VLOOKUP(Q$37,BoundParameters_HiddenSheetCLAY!$I$3:$L$50,MATCH(VLOOKUP($I97,$I$5:$AJ$34,MATCH(VLOOKUP(Q$37,$BH$3:$BI$50,2,FALSE),$I$4:$AJ$4,0),FALSE),BoundParameters_HiddenSheetCLAY!$I$1:$L$1,0),FALSE))),'Control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Output'!$A$2:$E$99999,5,FALSE)="Sand",VLOOKUP(R$37,BoundParameters_HiddenSheetSAND!$I$3:$L$50,MATCH(VLOOKUP($I97,$I$5:$AJ$34,MATCH(VLOOKUP(R$37,$BH$3:$BI$50,2,FALSE),$I$4:$AJ$4,0),FALSE),BoundParameters_HiddenSheetCLAY!$I$1:$L$1,0),FALSE),IF(VLOOKUP($E62,'Table Output'!$A$2:$E$9999,5,FALSE)="Clay",VLOOKUP(R$37,BoundParameters_HiddenSheetCLAY!$I$3:$L$50,MATCH(VLOOKUP($I97,$I$5:$AJ$34,MATCH(VLOOKUP(R$37,$BH$3:$BI$50,2,FALSE),$I$4:$AJ$4,0),FALSE),BoundParameters_HiddenSheetCLAY!$I$1:$L$1,0),FALSE))),'Control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Output'!$A$2:$E$99999,5,FALSE)="Sand",VLOOKUP(S$37,BoundParameters_HiddenSheetSAND!$I$3:$L$50,MATCH(VLOOKUP($I97,$I$5:$AJ$34,MATCH(VLOOKUP(S$37,$BH$3:$BI$50,2,FALSE),$I$4:$AJ$4,0),FALSE),BoundParameters_HiddenSheetCLAY!$I$1:$L$1,0),FALSE),IF(VLOOKUP($E62,'Table Output'!$A$2:$E$9999,5,FALSE)="Clay",VLOOKUP(S$37,BoundParameters_HiddenSheetCLAY!$I$3:$L$50,MATCH(VLOOKUP($I97,$I$5:$AJ$34,MATCH(VLOOKUP(S$37,$BH$3:$BI$50,2,FALSE),$I$4:$AJ$4,0),FALSE),BoundParameters_HiddenSheetCLAY!$I$1:$L$1,0),FALSE))),'Control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Output'!$A$2:$E$99999,5,FALSE)="Sand",VLOOKUP(J$37,BoundParameters_HiddenSheetSAND!$I$3:$L$50,MATCH(VLOOKUP($I98,$I$5:$AJ$34,MATCH(VLOOKUP(J$37,$BH$3:$BI$50,2,FALSE),$I$4:$AJ$4,0),FALSE),BoundParameters_HiddenSheetCLAY!$I$1:$L$1,0),FALSE),IF(VLOOKUP($E63,'Table Output'!$A$2:$E$9999,5,FALSE)="Clay",VLOOKUP(J$37,BoundParameters_HiddenSheetCLAY!$I$3:$L$50,MATCH(VLOOKUP($I98,$I$5:$AJ$34,MATCH(VLOOKUP(J$37,$BH$3:$BI$50,2,FALSE),$I$4:$AJ$4,0),FALSE),BoundParameters_HiddenSheetCLAY!$I$1:$L$1,0),FALSE))),'Control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Output'!$A$2:$E$99999,5,FALSE)="Sand",VLOOKUP(K$37,BoundParameters_HiddenSheetSAND!$I$3:$L$50,MATCH(VLOOKUP($I98,$I$5:$AJ$34,MATCH(VLOOKUP(K$37,$BH$3:$BI$50,2,FALSE),$I$4:$AJ$4,0),FALSE),BoundParameters_HiddenSheetCLAY!$I$1:$L$1,0),FALSE),IF(VLOOKUP($E63,'Table Output'!$A$2:$E$9999,5,FALSE)="Clay",VLOOKUP(K$37,BoundParameters_HiddenSheetCLAY!$I$3:$L$50,MATCH(VLOOKUP($I98,$I$5:$AJ$34,MATCH(VLOOKUP(K$37,$BH$3:$BI$50,2,FALSE),$I$4:$AJ$4,0),FALSE),BoundParameters_HiddenSheetCLAY!$I$1:$L$1,0),FALSE))),'Control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Output'!$A$2:$E$99999,5,FALSE)="Sand",VLOOKUP(L$37,BoundParameters_HiddenSheetSAND!$I$3:$L$50,MATCH(VLOOKUP($I98,$I$5:$AJ$34,MATCH(VLOOKUP(L$37,$BH$3:$BI$50,2,FALSE),$I$4:$AJ$4,0),FALSE),BoundParameters_HiddenSheetCLAY!$I$1:$L$1,0),FALSE),IF(VLOOKUP($E63,'Table Output'!$A$2:$E$9999,5,FALSE)="Clay",VLOOKUP(L$37,BoundParameters_HiddenSheetCLAY!$I$3:$L$50,MATCH(VLOOKUP($I98,$I$5:$AJ$34,MATCH(VLOOKUP(L$37,$BH$3:$BI$50,2,FALSE),$I$4:$AJ$4,0),FALSE),BoundParameters_HiddenSheetCLAY!$I$1:$L$1,0),FALSE))),'Control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Output'!$A$2:$E$99999,5,FALSE)="Sand",VLOOKUP(M$37,BoundParameters_HiddenSheetSAND!$I$3:$L$50,MATCH(VLOOKUP($I98,$I$5:$AJ$34,MATCH(VLOOKUP(M$37,$BH$3:$BI$50,2,FALSE),$I$4:$AJ$4,0),FALSE),BoundParameters_HiddenSheetCLAY!$I$1:$L$1,0),FALSE),IF(VLOOKUP($E63,'Table Output'!$A$2:$E$9999,5,FALSE)="Clay",VLOOKUP(M$37,BoundParameters_HiddenSheetCLAY!$I$3:$L$50,MATCH(VLOOKUP($I98,$I$5:$AJ$34,MATCH(VLOOKUP(M$37,$BH$3:$BI$50,2,FALSE),$I$4:$AJ$4,0),FALSE),BoundParameters_HiddenSheetCLAY!$I$1:$L$1,0),FALSE))),'Control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Output'!$A$2:$E$99999,5,FALSE)="Sand",VLOOKUP(N$37,BoundParameters_HiddenSheetSAND!$I$3:$L$50,MATCH(VLOOKUP($I98,$I$5:$AJ$34,MATCH(VLOOKUP(N$37,$BH$3:$BI$50,2,FALSE),$I$4:$AJ$4,0),FALSE),BoundParameters_HiddenSheetCLAY!$I$1:$L$1,0),FALSE),IF(VLOOKUP($E63,'Table Output'!$A$2:$E$9999,5,FALSE)="Clay",VLOOKUP(N$37,BoundParameters_HiddenSheetCLAY!$I$3:$L$50,MATCH(VLOOKUP($I98,$I$5:$AJ$34,MATCH(VLOOKUP(N$37,$BH$3:$BI$50,2,FALSE),$I$4:$AJ$4,0),FALSE),BoundParameters_HiddenSheetCLAY!$I$1:$L$1,0),FALSE))),'Control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Output'!$A$2:$E$99999,5,FALSE)="Sand",VLOOKUP(O$37,BoundParameters_HiddenSheetSAND!$I$3:$L$50,MATCH(VLOOKUP($I98,$I$5:$AJ$34,MATCH(VLOOKUP(O$37,$BH$3:$BI$50,2,FALSE),$I$4:$AJ$4,0),FALSE),BoundParameters_HiddenSheetCLAY!$I$1:$L$1,0),FALSE),IF(VLOOKUP($E63,'Table Output'!$A$2:$E$9999,5,FALSE)="Clay",VLOOKUP(O$37,BoundParameters_HiddenSheetCLAY!$I$3:$L$50,MATCH(VLOOKUP($I98,$I$5:$AJ$34,MATCH(VLOOKUP(O$37,$BH$3:$BI$50,2,FALSE),$I$4:$AJ$4,0),FALSE),BoundParameters_HiddenSheetCLAY!$I$1:$L$1,0),FALSE))),'Control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Output'!$A$2:$E$99999,5,FALSE)="Sand",VLOOKUP(P$37,BoundParameters_HiddenSheetSAND!$I$3:$L$50,MATCH(VLOOKUP($I98,$I$5:$AJ$34,MATCH(VLOOKUP(P$37,$BH$3:$BI$50,2,FALSE),$I$4:$AJ$4,0),FALSE),BoundParameters_HiddenSheetCLAY!$I$1:$L$1,0),FALSE),IF(VLOOKUP($E63,'Table Output'!$A$2:$E$9999,5,FALSE)="Clay",VLOOKUP(P$37,BoundParameters_HiddenSheetCLAY!$I$3:$L$50,MATCH(VLOOKUP($I98,$I$5:$AJ$34,MATCH(VLOOKUP(P$37,$BH$3:$BI$50,2,FALSE),$I$4:$AJ$4,0),FALSE),BoundParameters_HiddenSheetCLAY!$I$1:$L$1,0),FALSE))),'Control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Output'!$A$2:$E$99999,5,FALSE)="Sand",VLOOKUP(Q$37,BoundParameters_HiddenSheetSAND!$I$3:$L$50,MATCH(VLOOKUP($I98,$I$5:$AJ$34,MATCH(VLOOKUP(Q$37,$BH$3:$BI$50,2,FALSE),$I$4:$AJ$4,0),FALSE),BoundParameters_HiddenSheetCLAY!$I$1:$L$1,0),FALSE),IF(VLOOKUP($E63,'Table Output'!$A$2:$E$9999,5,FALSE)="Clay",VLOOKUP(Q$37,BoundParameters_HiddenSheetCLAY!$I$3:$L$50,MATCH(VLOOKUP($I98,$I$5:$AJ$34,MATCH(VLOOKUP(Q$37,$BH$3:$BI$50,2,FALSE),$I$4:$AJ$4,0),FALSE),BoundParameters_HiddenSheetCLAY!$I$1:$L$1,0),FALSE))),'Control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Output'!$A$2:$E$99999,5,FALSE)="Sand",VLOOKUP(R$37,BoundParameters_HiddenSheetSAND!$I$3:$L$50,MATCH(VLOOKUP($I98,$I$5:$AJ$34,MATCH(VLOOKUP(R$37,$BH$3:$BI$50,2,FALSE),$I$4:$AJ$4,0),FALSE),BoundParameters_HiddenSheetCLAY!$I$1:$L$1,0),FALSE),IF(VLOOKUP($E63,'Table Output'!$A$2:$E$9999,5,FALSE)="Clay",VLOOKUP(R$37,BoundParameters_HiddenSheetCLAY!$I$3:$L$50,MATCH(VLOOKUP($I98,$I$5:$AJ$34,MATCH(VLOOKUP(R$37,$BH$3:$BI$50,2,FALSE),$I$4:$AJ$4,0),FALSE),BoundParameters_HiddenSheetCLAY!$I$1:$L$1,0),FALSE))),'Control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Output'!$A$2:$E$99999,5,FALSE)="Sand",VLOOKUP(S$37,BoundParameters_HiddenSheetSAND!$I$3:$L$50,MATCH(VLOOKUP($I98,$I$5:$AJ$34,MATCH(VLOOKUP(S$37,$BH$3:$BI$50,2,FALSE),$I$4:$AJ$4,0),FALSE),BoundParameters_HiddenSheetCLAY!$I$1:$L$1,0),FALSE),IF(VLOOKUP($E63,'Table Output'!$A$2:$E$9999,5,FALSE)="Clay",VLOOKUP(S$37,BoundParameters_HiddenSheetCLAY!$I$3:$L$50,MATCH(VLOOKUP($I98,$I$5:$AJ$34,MATCH(VLOOKUP(S$37,$BH$3:$BI$50,2,FALSE),$I$4:$AJ$4,0),FALSE),BoundParameters_HiddenSheetCLAY!$I$1:$L$1,0),FALSE))),'Control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Output'!$A$2:$E$99999,5,FALSE)="Sand",VLOOKUP(J$37,BoundParameters_HiddenSheetSAND!$I$3:$L$50,MATCH(VLOOKUP($I99,$I$5:$AJ$34,MATCH(VLOOKUP(J$37,$BH$3:$BI$50,2,FALSE),$I$4:$AJ$4,0),FALSE),BoundParameters_HiddenSheetCLAY!$I$1:$L$1,0),FALSE),IF(VLOOKUP($E64,'Table Output'!$A$2:$E$9999,5,FALSE)="Clay",VLOOKUP(J$37,BoundParameters_HiddenSheetCLAY!$I$3:$L$50,MATCH(VLOOKUP($I99,$I$5:$AJ$34,MATCH(VLOOKUP(J$37,$BH$3:$BI$50,2,FALSE),$I$4:$AJ$4,0),FALSE),BoundParameters_HiddenSheetCLAY!$I$1:$L$1,0),FALSE))),'Control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Output'!$A$2:$E$99999,5,FALSE)="Sand",VLOOKUP(K$37,BoundParameters_HiddenSheetSAND!$I$3:$L$50,MATCH(VLOOKUP($I99,$I$5:$AJ$34,MATCH(VLOOKUP(K$37,$BH$3:$BI$50,2,FALSE),$I$4:$AJ$4,0),FALSE),BoundParameters_HiddenSheetCLAY!$I$1:$L$1,0),FALSE),IF(VLOOKUP($E64,'Table Output'!$A$2:$E$9999,5,FALSE)="Clay",VLOOKUP(K$37,BoundParameters_HiddenSheetCLAY!$I$3:$L$50,MATCH(VLOOKUP($I99,$I$5:$AJ$34,MATCH(VLOOKUP(K$37,$BH$3:$BI$50,2,FALSE),$I$4:$AJ$4,0),FALSE),BoundParameters_HiddenSheetCLAY!$I$1:$L$1,0),FALSE))),'Control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Output'!$A$2:$E$99999,5,FALSE)="Sand",VLOOKUP(L$37,BoundParameters_HiddenSheetSAND!$I$3:$L$50,MATCH(VLOOKUP($I99,$I$5:$AJ$34,MATCH(VLOOKUP(L$37,$BH$3:$BI$50,2,FALSE),$I$4:$AJ$4,0),FALSE),BoundParameters_HiddenSheetCLAY!$I$1:$L$1,0),FALSE),IF(VLOOKUP($E64,'Table Output'!$A$2:$E$9999,5,FALSE)="Clay",VLOOKUP(L$37,BoundParameters_HiddenSheetCLAY!$I$3:$L$50,MATCH(VLOOKUP($I99,$I$5:$AJ$34,MATCH(VLOOKUP(L$37,$BH$3:$BI$50,2,FALSE),$I$4:$AJ$4,0),FALSE),BoundParameters_HiddenSheetCLAY!$I$1:$L$1,0),FALSE))),'Control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Output'!$A$2:$E$99999,5,FALSE)="Sand",VLOOKUP(M$37,BoundParameters_HiddenSheetSAND!$I$3:$L$50,MATCH(VLOOKUP($I99,$I$5:$AJ$34,MATCH(VLOOKUP(M$37,$BH$3:$BI$50,2,FALSE),$I$4:$AJ$4,0),FALSE),BoundParameters_HiddenSheetCLAY!$I$1:$L$1,0),FALSE),IF(VLOOKUP($E64,'Table Output'!$A$2:$E$9999,5,FALSE)="Clay",VLOOKUP(M$37,BoundParameters_HiddenSheetCLAY!$I$3:$L$50,MATCH(VLOOKUP($I99,$I$5:$AJ$34,MATCH(VLOOKUP(M$37,$BH$3:$BI$50,2,FALSE),$I$4:$AJ$4,0),FALSE),BoundParameters_HiddenSheetCLAY!$I$1:$L$1,0),FALSE))),'Control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Output'!$A$2:$E$99999,5,FALSE)="Sand",VLOOKUP(N$37,BoundParameters_HiddenSheetSAND!$I$3:$L$50,MATCH(VLOOKUP($I99,$I$5:$AJ$34,MATCH(VLOOKUP(N$37,$BH$3:$BI$50,2,FALSE),$I$4:$AJ$4,0),FALSE),BoundParameters_HiddenSheetCLAY!$I$1:$L$1,0),FALSE),IF(VLOOKUP($E64,'Table Output'!$A$2:$E$9999,5,FALSE)="Clay",VLOOKUP(N$37,BoundParameters_HiddenSheetCLAY!$I$3:$L$50,MATCH(VLOOKUP($I99,$I$5:$AJ$34,MATCH(VLOOKUP(N$37,$BH$3:$BI$50,2,FALSE),$I$4:$AJ$4,0),FALSE),BoundParameters_HiddenSheetCLAY!$I$1:$L$1,0),FALSE))),'Control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Output'!$A$2:$E$99999,5,FALSE)="Sand",VLOOKUP(O$37,BoundParameters_HiddenSheetSAND!$I$3:$L$50,MATCH(VLOOKUP($I99,$I$5:$AJ$34,MATCH(VLOOKUP(O$37,$BH$3:$BI$50,2,FALSE),$I$4:$AJ$4,0),FALSE),BoundParameters_HiddenSheetCLAY!$I$1:$L$1,0),FALSE),IF(VLOOKUP($E64,'Table Output'!$A$2:$E$9999,5,FALSE)="Clay",VLOOKUP(O$37,BoundParameters_HiddenSheetCLAY!$I$3:$L$50,MATCH(VLOOKUP($I99,$I$5:$AJ$34,MATCH(VLOOKUP(O$37,$BH$3:$BI$50,2,FALSE),$I$4:$AJ$4,0),FALSE),BoundParameters_HiddenSheetCLAY!$I$1:$L$1,0),FALSE))),'Control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Output'!$A$2:$E$99999,5,FALSE)="Sand",VLOOKUP(P$37,BoundParameters_HiddenSheetSAND!$I$3:$L$50,MATCH(VLOOKUP($I99,$I$5:$AJ$34,MATCH(VLOOKUP(P$37,$BH$3:$BI$50,2,FALSE),$I$4:$AJ$4,0),FALSE),BoundParameters_HiddenSheetCLAY!$I$1:$L$1,0),FALSE),IF(VLOOKUP($E64,'Table Output'!$A$2:$E$9999,5,FALSE)="Clay",VLOOKUP(P$37,BoundParameters_HiddenSheetCLAY!$I$3:$L$50,MATCH(VLOOKUP($I99,$I$5:$AJ$34,MATCH(VLOOKUP(P$37,$BH$3:$BI$50,2,FALSE),$I$4:$AJ$4,0),FALSE),BoundParameters_HiddenSheetCLAY!$I$1:$L$1,0),FALSE))),'Control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Output'!$A$2:$E$99999,5,FALSE)="Sand",VLOOKUP(Q$37,BoundParameters_HiddenSheetSAND!$I$3:$L$50,MATCH(VLOOKUP($I99,$I$5:$AJ$34,MATCH(VLOOKUP(Q$37,$BH$3:$BI$50,2,FALSE),$I$4:$AJ$4,0),FALSE),BoundParameters_HiddenSheetCLAY!$I$1:$L$1,0),FALSE),IF(VLOOKUP($E64,'Table Output'!$A$2:$E$9999,5,FALSE)="Clay",VLOOKUP(Q$37,BoundParameters_HiddenSheetCLAY!$I$3:$L$50,MATCH(VLOOKUP($I99,$I$5:$AJ$34,MATCH(VLOOKUP(Q$37,$BH$3:$BI$50,2,FALSE),$I$4:$AJ$4,0),FALSE),BoundParameters_HiddenSheetCLAY!$I$1:$L$1,0),FALSE))),'Control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Output'!$A$2:$E$99999,5,FALSE)="Sand",VLOOKUP(R$37,BoundParameters_HiddenSheetSAND!$I$3:$L$50,MATCH(VLOOKUP($I99,$I$5:$AJ$34,MATCH(VLOOKUP(R$37,$BH$3:$BI$50,2,FALSE),$I$4:$AJ$4,0),FALSE),BoundParameters_HiddenSheetCLAY!$I$1:$L$1,0),FALSE),IF(VLOOKUP($E64,'Table Output'!$A$2:$E$9999,5,FALSE)="Clay",VLOOKUP(R$37,BoundParameters_HiddenSheetCLAY!$I$3:$L$50,MATCH(VLOOKUP($I99,$I$5:$AJ$34,MATCH(VLOOKUP(R$37,$BH$3:$BI$50,2,FALSE),$I$4:$AJ$4,0),FALSE),BoundParameters_HiddenSheetCLAY!$I$1:$L$1,0),FALSE))),'Control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Output'!$A$2:$E$99999,5,FALSE)="Sand",VLOOKUP(S$37,BoundParameters_HiddenSheetSAND!$I$3:$L$50,MATCH(VLOOKUP($I99,$I$5:$AJ$34,MATCH(VLOOKUP(S$37,$BH$3:$BI$50,2,FALSE),$I$4:$AJ$4,0),FALSE),BoundParameters_HiddenSheetCLAY!$I$1:$L$1,0),FALSE),IF(VLOOKUP($E64,'Table Output'!$A$2:$E$9999,5,FALSE)="Clay",VLOOKUP(S$37,BoundParameters_HiddenSheetCLAY!$I$3:$L$50,MATCH(VLOOKUP($I99,$I$5:$AJ$34,MATCH(VLOOKUP(S$37,$BH$3:$BI$50,2,FALSE),$I$4:$AJ$4,0),FALSE),BoundParameters_HiddenSheetCLAY!$I$1:$L$1,0),FALSE))),'Control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Output'!$A$2:$E$99999,5,FALSE)="Sand",VLOOKUP(J$37,BoundParameters_HiddenSheetSAND!$I$3:$L$50,MATCH(VLOOKUP($I100,$I$5:$AJ$34,MATCH(VLOOKUP(J$37,$BH$3:$BI$50,2,FALSE),$I$4:$AJ$4,0),FALSE),BoundParameters_HiddenSheetCLAY!$I$1:$L$1,0),FALSE),IF(VLOOKUP($E65,'Table Output'!$A$2:$E$9999,5,FALSE)="Clay",VLOOKUP(J$37,BoundParameters_HiddenSheetCLAY!$I$3:$L$50,MATCH(VLOOKUP($I100,$I$5:$AJ$34,MATCH(VLOOKUP(J$37,$BH$3:$BI$50,2,FALSE),$I$4:$AJ$4,0),FALSE),BoundParameters_HiddenSheetCLAY!$I$1:$L$1,0),FALSE))),'Control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Output'!$A$2:$E$99999,5,FALSE)="Sand",VLOOKUP(K$37,BoundParameters_HiddenSheetSAND!$I$3:$L$50,MATCH(VLOOKUP($I100,$I$5:$AJ$34,MATCH(VLOOKUP(K$37,$BH$3:$BI$50,2,FALSE),$I$4:$AJ$4,0),FALSE),BoundParameters_HiddenSheetCLAY!$I$1:$L$1,0),FALSE),IF(VLOOKUP($E65,'Table Output'!$A$2:$E$9999,5,FALSE)="Clay",VLOOKUP(K$37,BoundParameters_HiddenSheetCLAY!$I$3:$L$50,MATCH(VLOOKUP($I100,$I$5:$AJ$34,MATCH(VLOOKUP(K$37,$BH$3:$BI$50,2,FALSE),$I$4:$AJ$4,0),FALSE),BoundParameters_HiddenSheetCLAY!$I$1:$L$1,0),FALSE))),'Control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Output'!$A$2:$E$99999,5,FALSE)="Sand",VLOOKUP(L$37,BoundParameters_HiddenSheetSAND!$I$3:$L$50,MATCH(VLOOKUP($I100,$I$5:$AJ$34,MATCH(VLOOKUP(L$37,$BH$3:$BI$50,2,FALSE),$I$4:$AJ$4,0),FALSE),BoundParameters_HiddenSheetCLAY!$I$1:$L$1,0),FALSE),IF(VLOOKUP($E65,'Table Output'!$A$2:$E$9999,5,FALSE)="Clay",VLOOKUP(L$37,BoundParameters_HiddenSheetCLAY!$I$3:$L$50,MATCH(VLOOKUP($I100,$I$5:$AJ$34,MATCH(VLOOKUP(L$37,$BH$3:$BI$50,2,FALSE),$I$4:$AJ$4,0),FALSE),BoundParameters_HiddenSheetCLAY!$I$1:$L$1,0),FALSE))),'Control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Output'!$A$2:$E$99999,5,FALSE)="Sand",VLOOKUP(M$37,BoundParameters_HiddenSheetSAND!$I$3:$L$50,MATCH(VLOOKUP($I100,$I$5:$AJ$34,MATCH(VLOOKUP(M$37,$BH$3:$BI$50,2,FALSE),$I$4:$AJ$4,0),FALSE),BoundParameters_HiddenSheetCLAY!$I$1:$L$1,0),FALSE),IF(VLOOKUP($E65,'Table Output'!$A$2:$E$9999,5,FALSE)="Clay",VLOOKUP(M$37,BoundParameters_HiddenSheetCLAY!$I$3:$L$50,MATCH(VLOOKUP($I100,$I$5:$AJ$34,MATCH(VLOOKUP(M$37,$BH$3:$BI$50,2,FALSE),$I$4:$AJ$4,0),FALSE),BoundParameters_HiddenSheetCLAY!$I$1:$L$1,0),FALSE))),'Control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Output'!$A$2:$E$99999,5,FALSE)="Sand",VLOOKUP(N$37,BoundParameters_HiddenSheetSAND!$I$3:$L$50,MATCH(VLOOKUP($I100,$I$5:$AJ$34,MATCH(VLOOKUP(N$37,$BH$3:$BI$50,2,FALSE),$I$4:$AJ$4,0),FALSE),BoundParameters_HiddenSheetCLAY!$I$1:$L$1,0),FALSE),IF(VLOOKUP($E65,'Table Output'!$A$2:$E$9999,5,FALSE)="Clay",VLOOKUP(N$37,BoundParameters_HiddenSheetCLAY!$I$3:$L$50,MATCH(VLOOKUP($I100,$I$5:$AJ$34,MATCH(VLOOKUP(N$37,$BH$3:$BI$50,2,FALSE),$I$4:$AJ$4,0),FALSE),BoundParameters_HiddenSheetCLAY!$I$1:$L$1,0),FALSE))),'Control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Output'!$A$2:$E$99999,5,FALSE)="Sand",VLOOKUP(O$37,BoundParameters_HiddenSheetSAND!$I$3:$L$50,MATCH(VLOOKUP($I100,$I$5:$AJ$34,MATCH(VLOOKUP(O$37,$BH$3:$BI$50,2,FALSE),$I$4:$AJ$4,0),FALSE),BoundParameters_HiddenSheetCLAY!$I$1:$L$1,0),FALSE),IF(VLOOKUP($E65,'Table Output'!$A$2:$E$9999,5,FALSE)="Clay",VLOOKUP(O$37,BoundParameters_HiddenSheetCLAY!$I$3:$L$50,MATCH(VLOOKUP($I100,$I$5:$AJ$34,MATCH(VLOOKUP(O$37,$BH$3:$BI$50,2,FALSE),$I$4:$AJ$4,0),FALSE),BoundParameters_HiddenSheetCLAY!$I$1:$L$1,0),FALSE))),'Control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Output'!$A$2:$E$99999,5,FALSE)="Sand",VLOOKUP(P$37,BoundParameters_HiddenSheetSAND!$I$3:$L$50,MATCH(VLOOKUP($I100,$I$5:$AJ$34,MATCH(VLOOKUP(P$37,$BH$3:$BI$50,2,FALSE),$I$4:$AJ$4,0),FALSE),BoundParameters_HiddenSheetCLAY!$I$1:$L$1,0),FALSE),IF(VLOOKUP($E65,'Table Output'!$A$2:$E$9999,5,FALSE)="Clay",VLOOKUP(P$37,BoundParameters_HiddenSheetCLAY!$I$3:$L$50,MATCH(VLOOKUP($I100,$I$5:$AJ$34,MATCH(VLOOKUP(P$37,$BH$3:$BI$50,2,FALSE),$I$4:$AJ$4,0),FALSE),BoundParameters_HiddenSheetCLAY!$I$1:$L$1,0),FALSE))),'Control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Output'!$A$2:$E$99999,5,FALSE)="Sand",VLOOKUP(Q$37,BoundParameters_HiddenSheetSAND!$I$3:$L$50,MATCH(VLOOKUP($I100,$I$5:$AJ$34,MATCH(VLOOKUP(Q$37,$BH$3:$BI$50,2,FALSE),$I$4:$AJ$4,0),FALSE),BoundParameters_HiddenSheetCLAY!$I$1:$L$1,0),FALSE),IF(VLOOKUP($E65,'Table Output'!$A$2:$E$9999,5,FALSE)="Clay",VLOOKUP(Q$37,BoundParameters_HiddenSheetCLAY!$I$3:$L$50,MATCH(VLOOKUP($I100,$I$5:$AJ$34,MATCH(VLOOKUP(Q$37,$BH$3:$BI$50,2,FALSE),$I$4:$AJ$4,0),FALSE),BoundParameters_HiddenSheetCLAY!$I$1:$L$1,0),FALSE))),'Control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Output'!$A$2:$E$99999,5,FALSE)="Sand",VLOOKUP(R$37,BoundParameters_HiddenSheetSAND!$I$3:$L$50,MATCH(VLOOKUP($I100,$I$5:$AJ$34,MATCH(VLOOKUP(R$37,$BH$3:$BI$50,2,FALSE),$I$4:$AJ$4,0),FALSE),BoundParameters_HiddenSheetCLAY!$I$1:$L$1,0),FALSE),IF(VLOOKUP($E65,'Table Output'!$A$2:$E$9999,5,FALSE)="Clay",VLOOKUP(R$37,BoundParameters_HiddenSheetCLAY!$I$3:$L$50,MATCH(VLOOKUP($I100,$I$5:$AJ$34,MATCH(VLOOKUP(R$37,$BH$3:$BI$50,2,FALSE),$I$4:$AJ$4,0),FALSE),BoundParameters_HiddenSheetCLAY!$I$1:$L$1,0),FALSE))),'Control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Output'!$A$2:$E$99999,5,FALSE)="Sand",VLOOKUP(S$37,BoundParameters_HiddenSheetSAND!$I$3:$L$50,MATCH(VLOOKUP($I100,$I$5:$AJ$34,MATCH(VLOOKUP(S$37,$BH$3:$BI$50,2,FALSE),$I$4:$AJ$4,0),FALSE),BoundParameters_HiddenSheetCLAY!$I$1:$L$1,0),FALSE),IF(VLOOKUP($E65,'Table Output'!$A$2:$E$9999,5,FALSE)="Clay",VLOOKUP(S$37,BoundParameters_HiddenSheetCLAY!$I$3:$L$50,MATCH(VLOOKUP($I100,$I$5:$AJ$34,MATCH(VLOOKUP(S$37,$BH$3:$BI$50,2,FALSE),$I$4:$AJ$4,0),FALSE),BoundParameters_HiddenSheetCLAY!$I$1:$L$1,0),FALSE))),'Control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Output'!$A$2:$E$99999,5,FALSE)="Sand",VLOOKUP(J$37,BoundParameters_HiddenSheetSAND!$I$3:$L$50,MATCH(VLOOKUP($I101,$I$5:$AJ$34,MATCH(VLOOKUP(J$37,$BH$3:$BI$50,2,FALSE),$I$4:$AJ$4,0),FALSE),BoundParameters_HiddenSheetCLAY!$I$1:$L$1,0),FALSE),IF(VLOOKUP($E66,'Table Output'!$A$2:$E$9999,5,FALSE)="Clay",VLOOKUP(J$37,BoundParameters_HiddenSheetCLAY!$I$3:$L$50,MATCH(VLOOKUP($I101,$I$5:$AJ$34,MATCH(VLOOKUP(J$37,$BH$3:$BI$50,2,FALSE),$I$4:$AJ$4,0),FALSE),BoundParameters_HiddenSheetCLAY!$I$1:$L$1,0),FALSE))),'Control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Output'!$A$2:$E$99999,5,FALSE)="Sand",VLOOKUP(K$37,BoundParameters_HiddenSheetSAND!$I$3:$L$50,MATCH(VLOOKUP($I101,$I$5:$AJ$34,MATCH(VLOOKUP(K$37,$BH$3:$BI$50,2,FALSE),$I$4:$AJ$4,0),FALSE),BoundParameters_HiddenSheetCLAY!$I$1:$L$1,0),FALSE),IF(VLOOKUP($E66,'Table Output'!$A$2:$E$9999,5,FALSE)="Clay",VLOOKUP(K$37,BoundParameters_HiddenSheetCLAY!$I$3:$L$50,MATCH(VLOOKUP($I101,$I$5:$AJ$34,MATCH(VLOOKUP(K$37,$BH$3:$BI$50,2,FALSE),$I$4:$AJ$4,0),FALSE),BoundParameters_HiddenSheetCLAY!$I$1:$L$1,0),FALSE))),'Control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Output'!$A$2:$E$99999,5,FALSE)="Sand",VLOOKUP(L$37,BoundParameters_HiddenSheetSAND!$I$3:$L$50,MATCH(VLOOKUP($I101,$I$5:$AJ$34,MATCH(VLOOKUP(L$37,$BH$3:$BI$50,2,FALSE),$I$4:$AJ$4,0),FALSE),BoundParameters_HiddenSheetCLAY!$I$1:$L$1,0),FALSE),IF(VLOOKUP($E66,'Table Output'!$A$2:$E$9999,5,FALSE)="Clay",VLOOKUP(L$37,BoundParameters_HiddenSheetCLAY!$I$3:$L$50,MATCH(VLOOKUP($I101,$I$5:$AJ$34,MATCH(VLOOKUP(L$37,$BH$3:$BI$50,2,FALSE),$I$4:$AJ$4,0),FALSE),BoundParameters_HiddenSheetCLAY!$I$1:$L$1,0),FALSE))),'Control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Output'!$A$2:$E$99999,5,FALSE)="Sand",VLOOKUP(M$37,BoundParameters_HiddenSheetSAND!$I$3:$L$50,MATCH(VLOOKUP($I101,$I$5:$AJ$34,MATCH(VLOOKUP(M$37,$BH$3:$BI$50,2,FALSE),$I$4:$AJ$4,0),FALSE),BoundParameters_HiddenSheetCLAY!$I$1:$L$1,0),FALSE),IF(VLOOKUP($E66,'Table Output'!$A$2:$E$9999,5,FALSE)="Clay",VLOOKUP(M$37,BoundParameters_HiddenSheetCLAY!$I$3:$L$50,MATCH(VLOOKUP($I101,$I$5:$AJ$34,MATCH(VLOOKUP(M$37,$BH$3:$BI$50,2,FALSE),$I$4:$AJ$4,0),FALSE),BoundParameters_HiddenSheetCLAY!$I$1:$L$1,0),FALSE))),'Control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Output'!$A$2:$E$99999,5,FALSE)="Sand",VLOOKUP(N$37,BoundParameters_HiddenSheetSAND!$I$3:$L$50,MATCH(VLOOKUP($I101,$I$5:$AJ$34,MATCH(VLOOKUP(N$37,$BH$3:$BI$50,2,FALSE),$I$4:$AJ$4,0),FALSE),BoundParameters_HiddenSheetCLAY!$I$1:$L$1,0),FALSE),IF(VLOOKUP($E66,'Table Output'!$A$2:$E$9999,5,FALSE)="Clay",VLOOKUP(N$37,BoundParameters_HiddenSheetCLAY!$I$3:$L$50,MATCH(VLOOKUP($I101,$I$5:$AJ$34,MATCH(VLOOKUP(N$37,$BH$3:$BI$50,2,FALSE),$I$4:$AJ$4,0),FALSE),BoundParameters_HiddenSheetCLAY!$I$1:$L$1,0),FALSE))),'Control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Output'!$A$2:$E$99999,5,FALSE)="Sand",VLOOKUP(O$37,BoundParameters_HiddenSheetSAND!$I$3:$L$50,MATCH(VLOOKUP($I101,$I$5:$AJ$34,MATCH(VLOOKUP(O$37,$BH$3:$BI$50,2,FALSE),$I$4:$AJ$4,0),FALSE),BoundParameters_HiddenSheetCLAY!$I$1:$L$1,0),FALSE),IF(VLOOKUP($E66,'Table Output'!$A$2:$E$9999,5,FALSE)="Clay",VLOOKUP(O$37,BoundParameters_HiddenSheetCLAY!$I$3:$L$50,MATCH(VLOOKUP($I101,$I$5:$AJ$34,MATCH(VLOOKUP(O$37,$BH$3:$BI$50,2,FALSE),$I$4:$AJ$4,0),FALSE),BoundParameters_HiddenSheetCLAY!$I$1:$L$1,0),FALSE))),'Control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Output'!$A$2:$E$99999,5,FALSE)="Sand",VLOOKUP(P$37,BoundParameters_HiddenSheetSAND!$I$3:$L$50,MATCH(VLOOKUP($I101,$I$5:$AJ$34,MATCH(VLOOKUP(P$37,$BH$3:$BI$50,2,FALSE),$I$4:$AJ$4,0),FALSE),BoundParameters_HiddenSheetCLAY!$I$1:$L$1,0),FALSE),IF(VLOOKUP($E66,'Table Output'!$A$2:$E$9999,5,FALSE)="Clay",VLOOKUP(P$37,BoundParameters_HiddenSheetCLAY!$I$3:$L$50,MATCH(VLOOKUP($I101,$I$5:$AJ$34,MATCH(VLOOKUP(P$37,$BH$3:$BI$50,2,FALSE),$I$4:$AJ$4,0),FALSE),BoundParameters_HiddenSheetCLAY!$I$1:$L$1,0),FALSE))),'Control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Output'!$A$2:$E$99999,5,FALSE)="Sand",VLOOKUP(Q$37,BoundParameters_HiddenSheetSAND!$I$3:$L$50,MATCH(VLOOKUP($I101,$I$5:$AJ$34,MATCH(VLOOKUP(Q$37,$BH$3:$BI$50,2,FALSE),$I$4:$AJ$4,0),FALSE),BoundParameters_HiddenSheetCLAY!$I$1:$L$1,0),FALSE),IF(VLOOKUP($E66,'Table Output'!$A$2:$E$9999,5,FALSE)="Clay",VLOOKUP(Q$37,BoundParameters_HiddenSheetCLAY!$I$3:$L$50,MATCH(VLOOKUP($I101,$I$5:$AJ$34,MATCH(VLOOKUP(Q$37,$BH$3:$BI$50,2,FALSE),$I$4:$AJ$4,0),FALSE),BoundParameters_HiddenSheetCLAY!$I$1:$L$1,0),FALSE))),'Control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Output'!$A$2:$E$99999,5,FALSE)="Sand",VLOOKUP(R$37,BoundParameters_HiddenSheetSAND!$I$3:$L$50,MATCH(VLOOKUP($I101,$I$5:$AJ$34,MATCH(VLOOKUP(R$37,$BH$3:$BI$50,2,FALSE),$I$4:$AJ$4,0),FALSE),BoundParameters_HiddenSheetCLAY!$I$1:$L$1,0),FALSE),IF(VLOOKUP($E66,'Table Output'!$A$2:$E$9999,5,FALSE)="Clay",VLOOKUP(R$37,BoundParameters_HiddenSheetCLAY!$I$3:$L$50,MATCH(VLOOKUP($I101,$I$5:$AJ$34,MATCH(VLOOKUP(R$37,$BH$3:$BI$50,2,FALSE),$I$4:$AJ$4,0),FALSE),BoundParameters_HiddenSheetCLAY!$I$1:$L$1,0),FALSE))),'Control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Output'!$A$2:$E$99999,5,FALSE)="Sand",VLOOKUP(S$37,BoundParameters_HiddenSheetSAND!$I$3:$L$50,MATCH(VLOOKUP($I101,$I$5:$AJ$34,MATCH(VLOOKUP(S$37,$BH$3:$BI$50,2,FALSE),$I$4:$AJ$4,0),FALSE),BoundParameters_HiddenSheetCLAY!$I$1:$L$1,0),FALSE),IF(VLOOKUP($E66,'Table Output'!$A$2:$E$9999,5,FALSE)="Clay",VLOOKUP(S$37,BoundParameters_HiddenSheetCLAY!$I$3:$L$50,MATCH(VLOOKUP($I101,$I$5:$AJ$34,MATCH(VLOOKUP(S$37,$BH$3:$BI$50,2,FALSE),$I$4:$AJ$4,0),FALSE),BoundParameters_HiddenSheetCLAY!$I$1:$L$1,0),FALSE))),'Control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Output'!$A$2:$E$99999,5,FALSE)="Sand",VLOOKUP(J$37,BoundParameters_HiddenSheetSAND!$I$3:$L$50,MATCH(VLOOKUP($I102,$I$5:$AJ$34,MATCH(VLOOKUP(J$37,$BH$3:$BI$50,2,FALSE),$I$4:$AJ$4,0),FALSE),BoundParameters_HiddenSheetCLAY!$I$1:$L$1,0),FALSE),IF(VLOOKUP($E67,'Table Output'!$A$2:$E$9999,5,FALSE)="Clay",VLOOKUP(J$37,BoundParameters_HiddenSheetCLAY!$I$3:$L$50,MATCH(VLOOKUP($I102,$I$5:$AJ$34,MATCH(VLOOKUP(J$37,$BH$3:$BI$50,2,FALSE),$I$4:$AJ$4,0),FALSE),BoundParameters_HiddenSheetCLAY!$I$1:$L$1,0),FALSE))),'Control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Output'!$A$2:$E$99999,5,FALSE)="Sand",VLOOKUP(K$37,BoundParameters_HiddenSheetSAND!$I$3:$L$50,MATCH(VLOOKUP($I102,$I$5:$AJ$34,MATCH(VLOOKUP(K$37,$BH$3:$BI$50,2,FALSE),$I$4:$AJ$4,0),FALSE),BoundParameters_HiddenSheetCLAY!$I$1:$L$1,0),FALSE),IF(VLOOKUP($E67,'Table Output'!$A$2:$E$9999,5,FALSE)="Clay",VLOOKUP(K$37,BoundParameters_HiddenSheetCLAY!$I$3:$L$50,MATCH(VLOOKUP($I102,$I$5:$AJ$34,MATCH(VLOOKUP(K$37,$BH$3:$BI$50,2,FALSE),$I$4:$AJ$4,0),FALSE),BoundParameters_HiddenSheetCLAY!$I$1:$L$1,0),FALSE))),'Control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Output'!$A$2:$E$99999,5,FALSE)="Sand",VLOOKUP(L$37,BoundParameters_HiddenSheetSAND!$I$3:$L$50,MATCH(VLOOKUP($I102,$I$5:$AJ$34,MATCH(VLOOKUP(L$37,$BH$3:$BI$50,2,FALSE),$I$4:$AJ$4,0),FALSE),BoundParameters_HiddenSheetCLAY!$I$1:$L$1,0),FALSE),IF(VLOOKUP($E67,'Table Output'!$A$2:$E$9999,5,FALSE)="Clay",VLOOKUP(L$37,BoundParameters_HiddenSheetCLAY!$I$3:$L$50,MATCH(VLOOKUP($I102,$I$5:$AJ$34,MATCH(VLOOKUP(L$37,$BH$3:$BI$50,2,FALSE),$I$4:$AJ$4,0),FALSE),BoundParameters_HiddenSheetCLAY!$I$1:$L$1,0),FALSE))),'Control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Output'!$A$2:$E$99999,5,FALSE)="Sand",VLOOKUP(M$37,BoundParameters_HiddenSheetSAND!$I$3:$L$50,MATCH(VLOOKUP($I102,$I$5:$AJ$34,MATCH(VLOOKUP(M$37,$BH$3:$BI$50,2,FALSE),$I$4:$AJ$4,0),FALSE),BoundParameters_HiddenSheetCLAY!$I$1:$L$1,0),FALSE),IF(VLOOKUP($E67,'Table Output'!$A$2:$E$9999,5,FALSE)="Clay",VLOOKUP(M$37,BoundParameters_HiddenSheetCLAY!$I$3:$L$50,MATCH(VLOOKUP($I102,$I$5:$AJ$34,MATCH(VLOOKUP(M$37,$BH$3:$BI$50,2,FALSE),$I$4:$AJ$4,0),FALSE),BoundParameters_HiddenSheetCLAY!$I$1:$L$1,0),FALSE))),'Control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Output'!$A$2:$E$99999,5,FALSE)="Sand",VLOOKUP(N$37,BoundParameters_HiddenSheetSAND!$I$3:$L$50,MATCH(VLOOKUP($I102,$I$5:$AJ$34,MATCH(VLOOKUP(N$37,$BH$3:$BI$50,2,FALSE),$I$4:$AJ$4,0),FALSE),BoundParameters_HiddenSheetCLAY!$I$1:$L$1,0),FALSE),IF(VLOOKUP($E67,'Table Output'!$A$2:$E$9999,5,FALSE)="Clay",VLOOKUP(N$37,BoundParameters_HiddenSheetCLAY!$I$3:$L$50,MATCH(VLOOKUP($I102,$I$5:$AJ$34,MATCH(VLOOKUP(N$37,$BH$3:$BI$50,2,FALSE),$I$4:$AJ$4,0),FALSE),BoundParameters_HiddenSheetCLAY!$I$1:$L$1,0),FALSE))),'Control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Output'!$A$2:$E$99999,5,FALSE)="Sand",VLOOKUP(O$37,BoundParameters_HiddenSheetSAND!$I$3:$L$50,MATCH(VLOOKUP($I102,$I$5:$AJ$34,MATCH(VLOOKUP(O$37,$BH$3:$BI$50,2,FALSE),$I$4:$AJ$4,0),FALSE),BoundParameters_HiddenSheetCLAY!$I$1:$L$1,0),FALSE),IF(VLOOKUP($E67,'Table Output'!$A$2:$E$9999,5,FALSE)="Clay",VLOOKUP(O$37,BoundParameters_HiddenSheetCLAY!$I$3:$L$50,MATCH(VLOOKUP($I102,$I$5:$AJ$34,MATCH(VLOOKUP(O$37,$BH$3:$BI$50,2,FALSE),$I$4:$AJ$4,0),FALSE),BoundParameters_HiddenSheetCLAY!$I$1:$L$1,0),FALSE))),'Control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Output'!$A$2:$E$99999,5,FALSE)="Sand",VLOOKUP(P$37,BoundParameters_HiddenSheetSAND!$I$3:$L$50,MATCH(VLOOKUP($I102,$I$5:$AJ$34,MATCH(VLOOKUP(P$37,$BH$3:$BI$50,2,FALSE),$I$4:$AJ$4,0),FALSE),BoundParameters_HiddenSheetCLAY!$I$1:$L$1,0),FALSE),IF(VLOOKUP($E67,'Table Output'!$A$2:$E$9999,5,FALSE)="Clay",VLOOKUP(P$37,BoundParameters_HiddenSheetCLAY!$I$3:$L$50,MATCH(VLOOKUP($I102,$I$5:$AJ$34,MATCH(VLOOKUP(P$37,$BH$3:$BI$50,2,FALSE),$I$4:$AJ$4,0),FALSE),BoundParameters_HiddenSheetCLAY!$I$1:$L$1,0),FALSE))),'Control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Output'!$A$2:$E$99999,5,FALSE)="Sand",VLOOKUP(Q$37,BoundParameters_HiddenSheetSAND!$I$3:$L$50,MATCH(VLOOKUP($I102,$I$5:$AJ$34,MATCH(VLOOKUP(Q$37,$BH$3:$BI$50,2,FALSE),$I$4:$AJ$4,0),FALSE),BoundParameters_HiddenSheetCLAY!$I$1:$L$1,0),FALSE),IF(VLOOKUP($E67,'Table Output'!$A$2:$E$9999,5,FALSE)="Clay",VLOOKUP(Q$37,BoundParameters_HiddenSheetCLAY!$I$3:$L$50,MATCH(VLOOKUP($I102,$I$5:$AJ$34,MATCH(VLOOKUP(Q$37,$BH$3:$BI$50,2,FALSE),$I$4:$AJ$4,0),FALSE),BoundParameters_HiddenSheetCLAY!$I$1:$L$1,0),FALSE))),'Control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Output'!$A$2:$E$99999,5,FALSE)="Sand",VLOOKUP(R$37,BoundParameters_HiddenSheetSAND!$I$3:$L$50,MATCH(VLOOKUP($I102,$I$5:$AJ$34,MATCH(VLOOKUP(R$37,$BH$3:$BI$50,2,FALSE),$I$4:$AJ$4,0),FALSE),BoundParameters_HiddenSheetCLAY!$I$1:$L$1,0),FALSE),IF(VLOOKUP($E67,'Table Output'!$A$2:$E$9999,5,FALSE)="Clay",VLOOKUP(R$37,BoundParameters_HiddenSheetCLAY!$I$3:$L$50,MATCH(VLOOKUP($I102,$I$5:$AJ$34,MATCH(VLOOKUP(R$37,$BH$3:$BI$50,2,FALSE),$I$4:$AJ$4,0),FALSE),BoundParameters_HiddenSheetCLAY!$I$1:$L$1,0),FALSE))),'Control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Output'!$A$2:$E$99999,5,FALSE)="Sand",VLOOKUP(S$37,BoundParameters_HiddenSheetSAND!$I$3:$L$50,MATCH(VLOOKUP($I102,$I$5:$AJ$34,MATCH(VLOOKUP(S$37,$BH$3:$BI$50,2,FALSE),$I$4:$AJ$4,0),FALSE),BoundParameters_HiddenSheetCLAY!$I$1:$L$1,0),FALSE),IF(VLOOKUP($E67,'Table Output'!$A$2:$E$9999,5,FALSE)="Clay",VLOOKUP(S$37,BoundParameters_HiddenSheetCLAY!$I$3:$L$50,MATCH(VLOOKUP($I102,$I$5:$AJ$34,MATCH(VLOOKUP(S$37,$BH$3:$BI$50,2,FALSE),$I$4:$AJ$4,0),FALSE),BoundParameters_HiddenSheetCLAY!$I$1:$L$1,0),FALSE))),'Control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417</v>
      </c>
      <c r="AP4" t="s">
        <v>416</v>
      </c>
      <c r="AQ4" t="s">
        <v>415</v>
      </c>
      <c r="AR4" t="s">
        <v>414</v>
      </c>
      <c r="AS4" s="103" t="s">
        <v>413</v>
      </c>
    </row>
    <row r="5" spans="1:45" ht="17.25" x14ac:dyDescent="0.25">
      <c r="A5" t="s">
        <v>55</v>
      </c>
      <c r="B5">
        <f ca="1">COUNTIF(A:A,"&gt;0")</f>
        <v>1</v>
      </c>
      <c r="C5" t="s">
        <v>412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410</v>
      </c>
      <c r="AR5" t="s">
        <v>409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407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406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406</v>
      </c>
      <c r="D16"/>
      <c r="E16"/>
      <c r="F16"/>
      <c r="G16"/>
      <c r="H16"/>
      <c r="I16"/>
      <c r="J16">
        <v>11</v>
      </c>
      <c r="K16">
        <v>-65.5</v>
      </c>
      <c r="L16" t="s">
        <v>392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404</v>
      </c>
      <c r="AG37" t="s">
        <v>403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402</v>
      </c>
      <c r="AF38" t="s">
        <v>401</v>
      </c>
      <c r="AG38" t="s">
        <v>400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6" priority="52">
      <formula>$L17="API sand"</formula>
    </cfRule>
  </conditionalFormatting>
  <conditionalFormatting sqref="R29:S36 AB29:AB35 AK17:AL17">
    <cfRule type="expression" dxfId="55" priority="51">
      <formula>$M17="API sand"</formula>
    </cfRule>
  </conditionalFormatting>
  <conditionalFormatting sqref="R29:T36 AB29:AB35 AK17:AL17">
    <cfRule type="expression" dxfId="54" priority="50">
      <formula>$M17="API clay"</formula>
    </cfRule>
  </conditionalFormatting>
  <conditionalFormatting sqref="U29:W36 AA17 AE17:AI17 V17 AM17:AP17 AM29:AP36">
    <cfRule type="expression" dxfId="53" priority="47">
      <formula>$L17="Stiff clay w/o free water"</formula>
    </cfRule>
    <cfRule type="expression" dxfId="52" priority="49">
      <formula>$L17="API clay"</formula>
    </cfRule>
  </conditionalFormatting>
  <conditionalFormatting sqref="U29:Y36 AA17 AE17:AI17 V17 AM17:AP17 AM29:AP36">
    <cfRule type="expression" dxfId="51" priority="48">
      <formula>$L17="Kirsch soft clay"</formula>
    </cfRule>
  </conditionalFormatting>
  <conditionalFormatting sqref="U29:Y36 AA17 AE17:AI17 V17 AM17:AP17 AM29:AP36">
    <cfRule type="expression" dxfId="50" priority="46">
      <formula>$L17="Kirsch stiff clay"</formula>
    </cfRule>
  </conditionalFormatting>
  <conditionalFormatting sqref="T17 AJ17 R17 AB17 Y17:Z17 AM17:AQ17 AM29:AP36">
    <cfRule type="expression" dxfId="49" priority="45">
      <formula>$L17="Kirsch sand"</formula>
    </cfRule>
  </conditionalFormatting>
  <conditionalFormatting sqref="AM17:AP17 AM29:AP36">
    <cfRule type="expression" dxfId="48" priority="44">
      <formula>$L17="Modified Weak rock"</formula>
    </cfRule>
  </conditionalFormatting>
  <conditionalFormatting sqref="U29:V36 AA17 AE17:AI17 V17 AM17:AP17 AM29:AP36">
    <cfRule type="expression" dxfId="47" priority="43">
      <formula>$L17="Reese stiff clay"</formula>
    </cfRule>
  </conditionalFormatting>
  <conditionalFormatting sqref="N30:N36 Q29:Q36">
    <cfRule type="expression" dxfId="46" priority="42">
      <formula>$L29="API sand"</formula>
    </cfRule>
  </conditionalFormatting>
  <conditionalFormatting sqref="N30:N36 AB36 AJ29:AL36 Z29:Z36">
    <cfRule type="expression" dxfId="45" priority="41">
      <formula>$M29="API sand"</formula>
    </cfRule>
  </conditionalFormatting>
  <conditionalFormatting sqref="Z36:AB36 AK29:AL36 N30:N36 Z29:AA35">
    <cfRule type="expression" dxfId="44" priority="40">
      <formula>$M29="API clay"</formula>
    </cfRule>
  </conditionalFormatting>
  <conditionalFormatting sqref="N30:P36 O29:P29">
    <cfRule type="expression" dxfId="43" priority="37">
      <formula>$L29="Stiff clay w/o free water"</formula>
    </cfRule>
    <cfRule type="expression" dxfId="42" priority="39">
      <formula>$L29="API clay"</formula>
    </cfRule>
  </conditionalFormatting>
  <conditionalFormatting sqref="N30:P36 O29:P29">
    <cfRule type="expression" dxfId="41" priority="38">
      <formula>$L29="Kirsch soft clay"</formula>
    </cfRule>
  </conditionalFormatting>
  <conditionalFormatting sqref="N30:P36 O29:P29">
    <cfRule type="expression" dxfId="40" priority="36">
      <formula>$L29="Kirsch stiff clay"</formula>
    </cfRule>
  </conditionalFormatting>
  <conditionalFormatting sqref="N30:N36 Q29:Q36 X29:Y36">
    <cfRule type="expression" dxfId="39" priority="35">
      <formula>$L29="Kirsch sand"</formula>
    </cfRule>
  </conditionalFormatting>
  <conditionalFormatting sqref="N30:N36 AC29:AD36 AI29:AI36">
    <cfRule type="expression" dxfId="38" priority="34">
      <formula>$L29="Modified Weak rock"</formula>
    </cfRule>
  </conditionalFormatting>
  <conditionalFormatting sqref="N30:P36 O29:P29">
    <cfRule type="expression" dxfId="37" priority="33">
      <formula>$L29="Reese stiff clay"</formula>
    </cfRule>
  </conditionalFormatting>
  <conditionalFormatting sqref="AA17 AE17:AI17 V17 AM17:AP17">
    <cfRule type="expression" dxfId="36" priority="32">
      <formula>$L17="PISA clay"</formula>
    </cfRule>
  </conditionalFormatting>
  <conditionalFormatting sqref="AM17:AP17">
    <cfRule type="expression" dxfId="35" priority="31">
      <formula>$L17="PISA sand"</formula>
    </cfRule>
  </conditionalFormatting>
  <conditionalFormatting sqref="AE37:AH37">
    <cfRule type="expression" dxfId="34" priority="53">
      <formula>$L19="Modified Weak rock"</formula>
    </cfRule>
  </conditionalFormatting>
  <conditionalFormatting sqref="Q17 S17 W17">
    <cfRule type="expression" dxfId="33" priority="30">
      <formula>$L17="API sand"</formula>
    </cfRule>
  </conditionalFormatting>
  <conditionalFormatting sqref="O17:P17">
    <cfRule type="expression" dxfId="32" priority="27">
      <formula>$L17="Stiff clay w/o free water"</formula>
    </cfRule>
    <cfRule type="expression" dxfId="31" priority="29">
      <formula>$L17="API clay"</formula>
    </cfRule>
  </conditionalFormatting>
  <conditionalFormatting sqref="O17:P17">
    <cfRule type="expression" dxfId="30" priority="28">
      <formula>$L17="Kirsch soft clay"</formula>
    </cfRule>
  </conditionalFormatting>
  <conditionalFormatting sqref="O17:P17">
    <cfRule type="expression" dxfId="29" priority="26">
      <formula>$L17="Kirsch stiff clay"</formula>
    </cfRule>
  </conditionalFormatting>
  <conditionalFormatting sqref="Q17 S17 W17">
    <cfRule type="expression" dxfId="28" priority="25">
      <formula>$L17="Kirsch sand"</formula>
    </cfRule>
  </conditionalFormatting>
  <conditionalFormatting sqref="O17:P17">
    <cfRule type="expression" dxfId="27" priority="24">
      <formula>$L17="Reese stiff clay"</formula>
    </cfRule>
  </conditionalFormatting>
  <conditionalFormatting sqref="O17:P17">
    <cfRule type="expression" dxfId="26" priority="23">
      <formula>$L17="PISA clay"</formula>
    </cfRule>
  </conditionalFormatting>
  <conditionalFormatting sqref="AD17">
    <cfRule type="expression" dxfId="25" priority="20">
      <formula>$L17="Stiff clay w/o free water"</formula>
    </cfRule>
    <cfRule type="expression" dxfId="24" priority="22">
      <formula>$L17="API clay"</formula>
    </cfRule>
  </conditionalFormatting>
  <conditionalFormatting sqref="AD17">
    <cfRule type="expression" dxfId="23" priority="21">
      <formula>$L17="Kirsch soft clay"</formula>
    </cfRule>
  </conditionalFormatting>
  <conditionalFormatting sqref="AD17">
    <cfRule type="expression" dxfId="22" priority="19">
      <formula>$L17="Kirsch stiff clay"</formula>
    </cfRule>
  </conditionalFormatting>
  <conditionalFormatting sqref="AD17">
    <cfRule type="expression" dxfId="21" priority="18">
      <formula>$L17="Reese stiff clay"</formula>
    </cfRule>
  </conditionalFormatting>
  <conditionalFormatting sqref="AD17">
    <cfRule type="expression" dxfId="20" priority="17">
      <formula>$L17="PISA clay"</formula>
    </cfRule>
  </conditionalFormatting>
  <conditionalFormatting sqref="AC17">
    <cfRule type="expression" dxfId="19" priority="14">
      <formula>$L17="Stiff clay w/o free water"</formula>
    </cfRule>
    <cfRule type="expression" dxfId="18" priority="16">
      <formula>$L17="API clay"</formula>
    </cfRule>
  </conditionalFormatting>
  <conditionalFormatting sqref="AC17">
    <cfRule type="expression" dxfId="17" priority="15">
      <formula>$L17="Kirsch soft clay"</formula>
    </cfRule>
  </conditionalFormatting>
  <conditionalFormatting sqref="AC17">
    <cfRule type="expression" dxfId="16" priority="13">
      <formula>$L17="Kirsch stiff clay"</formula>
    </cfRule>
  </conditionalFormatting>
  <conditionalFormatting sqref="AC17">
    <cfRule type="expression" dxfId="15" priority="12">
      <formula>$L17="Reese stiff clay"</formula>
    </cfRule>
  </conditionalFormatting>
  <conditionalFormatting sqref="AC17">
    <cfRule type="expression" dxfId="14" priority="11">
      <formula>$L17="PISA clay"</formula>
    </cfRule>
  </conditionalFormatting>
  <conditionalFormatting sqref="X17">
    <cfRule type="expression" dxfId="13" priority="10">
      <formula>$L17="API sand"</formula>
    </cfRule>
  </conditionalFormatting>
  <conditionalFormatting sqref="X17">
    <cfRule type="expression" dxfId="12" priority="9">
      <formula>$L17="Kirsch sand"</formula>
    </cfRule>
  </conditionalFormatting>
  <conditionalFormatting sqref="U17">
    <cfRule type="expression" dxfId="11" priority="6">
      <formula>$L17="Stiff clay w/o free water"</formula>
    </cfRule>
    <cfRule type="expression" dxfId="10" priority="8">
      <formula>$L17="API clay"</formula>
    </cfRule>
  </conditionalFormatting>
  <conditionalFormatting sqref="U17">
    <cfRule type="expression" dxfId="9" priority="7">
      <formula>$L17="Kirsch soft clay"</formula>
    </cfRule>
  </conditionalFormatting>
  <conditionalFormatting sqref="U17">
    <cfRule type="expression" dxfId="8" priority="5">
      <formula>$L17="Kirsch stiff clay"</formula>
    </cfRule>
  </conditionalFormatting>
  <conditionalFormatting sqref="U17">
    <cfRule type="expression" dxfId="7" priority="4">
      <formula>$L17="Reese stiff clay"</formula>
    </cfRule>
  </conditionalFormatting>
  <conditionalFormatting sqref="U17">
    <cfRule type="expression" dxfId="6" priority="3">
      <formula>$L17="PISA clay"</formula>
    </cfRule>
  </conditionalFormatting>
  <conditionalFormatting sqref="AR17">
    <cfRule type="expression" dxfId="5" priority="2">
      <formula>$L17="API sand"</formula>
    </cfRule>
  </conditionalFormatting>
  <conditionalFormatting sqref="AR17">
    <cfRule type="expression" dxfId="4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D9" sqref="D9"/>
    </sheetView>
  </sheetViews>
  <sheetFormatPr defaultRowHeight="15" x14ac:dyDescent="0.25"/>
  <sheetData>
    <row r="2" spans="2:4" x14ac:dyDescent="0.25">
      <c r="B2" s="52" t="s">
        <v>120</v>
      </c>
      <c r="C2" s="52" t="s">
        <v>438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435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22"/>
      <c r="B1" s="123"/>
      <c r="C1" s="99">
        <v>0</v>
      </c>
      <c r="D1" s="100">
        <v>1</v>
      </c>
      <c r="E1" s="101">
        <v>2</v>
      </c>
      <c r="F1" s="39"/>
      <c r="H1" s="122"/>
      <c r="I1" s="123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24"/>
      <c r="B2" s="125"/>
      <c r="C2" s="37" t="s">
        <v>75</v>
      </c>
      <c r="D2" s="98" t="s">
        <v>75</v>
      </c>
      <c r="E2" s="97" t="s">
        <v>75</v>
      </c>
      <c r="H2" s="124"/>
      <c r="I2" s="125"/>
      <c r="J2" s="37" t="s">
        <v>76</v>
      </c>
      <c r="K2" s="98" t="s">
        <v>76</v>
      </c>
      <c r="L2" s="97" t="s">
        <v>76</v>
      </c>
    </row>
    <row r="3" spans="1:13" x14ac:dyDescent="0.15">
      <c r="A3" s="126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26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27"/>
      <c r="B4" s="38" t="s">
        <v>137</v>
      </c>
      <c r="C4" s="90">
        <v>-5555</v>
      </c>
      <c r="D4" s="90">
        <v>30</v>
      </c>
      <c r="E4" s="91">
        <v>-5555</v>
      </c>
      <c r="H4" s="127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27"/>
      <c r="B5" s="38" t="s">
        <v>138</v>
      </c>
      <c r="C5" s="90">
        <v>-5555</v>
      </c>
      <c r="D5" s="92">
        <v>-5555</v>
      </c>
      <c r="E5" s="91">
        <v>-5555</v>
      </c>
      <c r="H5" s="127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27"/>
      <c r="B6" s="38" t="s">
        <v>139</v>
      </c>
      <c r="C6" s="90">
        <v>3</v>
      </c>
      <c r="D6" s="90">
        <v>-120</v>
      </c>
      <c r="E6" s="91">
        <v>7.2110000000000003</v>
      </c>
      <c r="H6" s="127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27"/>
      <c r="B7" s="38" t="s">
        <v>85</v>
      </c>
      <c r="C7" s="90">
        <v>-5555</v>
      </c>
      <c r="D7" s="90">
        <v>1</v>
      </c>
      <c r="E7" s="91">
        <v>-11.798</v>
      </c>
      <c r="H7" s="127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27"/>
      <c r="B8" s="38" t="s">
        <v>87</v>
      </c>
      <c r="C8" s="90">
        <v>-5555</v>
      </c>
      <c r="D8" s="92">
        <v>-5555</v>
      </c>
      <c r="E8" s="91">
        <v>-2.44</v>
      </c>
      <c r="H8" s="127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27"/>
      <c r="B9" s="38" t="s">
        <v>86</v>
      </c>
      <c r="C9" s="90">
        <v>0.1</v>
      </c>
      <c r="D9" s="90">
        <v>-35</v>
      </c>
      <c r="E9" s="91">
        <v>-5555</v>
      </c>
      <c r="H9" s="127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27"/>
      <c r="B10" s="38" t="s">
        <v>140</v>
      </c>
      <c r="C10" s="90">
        <v>-5555</v>
      </c>
      <c r="D10" s="90">
        <v>0.2</v>
      </c>
      <c r="E10" s="91">
        <v>-5555</v>
      </c>
      <c r="H10" s="127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27"/>
      <c r="B11" s="38" t="s">
        <v>141</v>
      </c>
      <c r="C11" s="90">
        <v>-5555</v>
      </c>
      <c r="D11" s="92">
        <v>-5555</v>
      </c>
      <c r="E11" s="91">
        <v>-5555</v>
      </c>
      <c r="H11" s="127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27"/>
      <c r="B12" s="38" t="s">
        <v>142</v>
      </c>
      <c r="C12" s="90">
        <v>0</v>
      </c>
      <c r="D12" s="90">
        <v>-1.5</v>
      </c>
      <c r="E12" s="91">
        <v>-5555</v>
      </c>
      <c r="H12" s="127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27"/>
      <c r="B13" s="38" t="s">
        <v>143</v>
      </c>
      <c r="C13" s="90">
        <v>-5555</v>
      </c>
      <c r="D13" s="90">
        <v>0</v>
      </c>
      <c r="E13" s="91">
        <v>-5555</v>
      </c>
      <c r="H13" s="127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28"/>
      <c r="B14" s="93" t="s">
        <v>144</v>
      </c>
      <c r="C14" s="94">
        <v>-5555</v>
      </c>
      <c r="D14" s="95">
        <v>-5555</v>
      </c>
      <c r="E14" s="96">
        <v>-5555</v>
      </c>
      <c r="H14" s="128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29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29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26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26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27"/>
      <c r="B28" s="38" t="s">
        <v>156</v>
      </c>
      <c r="C28" s="90">
        <v>-5555</v>
      </c>
      <c r="D28" s="90">
        <v>0</v>
      </c>
      <c r="E28" s="91">
        <v>-5555</v>
      </c>
      <c r="H28" s="127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27"/>
      <c r="B29" s="38" t="s">
        <v>157</v>
      </c>
      <c r="C29" s="90">
        <v>-5555</v>
      </c>
      <c r="D29" s="92">
        <v>-5555</v>
      </c>
      <c r="E29" s="91">
        <v>-5555</v>
      </c>
      <c r="H29" s="127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27"/>
      <c r="B30" s="38" t="s">
        <v>158</v>
      </c>
      <c r="C30" s="90">
        <v>0.02</v>
      </c>
      <c r="D30" s="90">
        <v>-0.5</v>
      </c>
      <c r="E30" s="91">
        <v>-5555</v>
      </c>
      <c r="H30" s="127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27"/>
      <c r="B31" s="38" t="s">
        <v>159</v>
      </c>
      <c r="C31" s="90">
        <v>-5555</v>
      </c>
      <c r="D31" s="90">
        <v>0.3</v>
      </c>
      <c r="E31" s="91">
        <v>-5555</v>
      </c>
      <c r="H31" s="127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27"/>
      <c r="B32" s="38" t="s">
        <v>160</v>
      </c>
      <c r="C32" s="90">
        <v>-5555</v>
      </c>
      <c r="D32" s="92">
        <v>-5555</v>
      </c>
      <c r="E32" s="91">
        <v>-5555</v>
      </c>
      <c r="H32" s="127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27"/>
      <c r="B33" s="38" t="s">
        <v>161</v>
      </c>
      <c r="C33" s="90">
        <v>1E-3</v>
      </c>
      <c r="D33" s="90">
        <v>-1.5</v>
      </c>
      <c r="E33" s="91">
        <v>-5555</v>
      </c>
      <c r="H33" s="127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27"/>
      <c r="B34" s="38" t="s">
        <v>162</v>
      </c>
      <c r="C34" s="90">
        <v>-5555</v>
      </c>
      <c r="D34" s="90">
        <v>-0.05</v>
      </c>
      <c r="E34" s="91">
        <v>-5555</v>
      </c>
      <c r="H34" s="127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27"/>
      <c r="B35" s="38" t="s">
        <v>163</v>
      </c>
      <c r="C35" s="90">
        <v>-5555</v>
      </c>
      <c r="D35" s="92">
        <v>-5555</v>
      </c>
      <c r="E35" s="91">
        <v>-5555</v>
      </c>
      <c r="H35" s="127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27"/>
      <c r="B36" s="38" t="s">
        <v>164</v>
      </c>
      <c r="C36" s="90">
        <v>0</v>
      </c>
      <c r="D36" s="90">
        <v>-0.3</v>
      </c>
      <c r="E36" s="91">
        <v>-5555</v>
      </c>
      <c r="H36" s="127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27"/>
      <c r="B37" s="38" t="s">
        <v>165</v>
      </c>
      <c r="C37" s="90">
        <v>-5555</v>
      </c>
      <c r="D37" s="90">
        <v>0</v>
      </c>
      <c r="E37" s="91">
        <v>-5555</v>
      </c>
      <c r="H37" s="127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28"/>
      <c r="B38" s="93" t="s">
        <v>166</v>
      </c>
      <c r="C38" s="94">
        <v>-5555</v>
      </c>
      <c r="D38" s="95">
        <v>-5555</v>
      </c>
      <c r="E38" s="96">
        <v>-5555</v>
      </c>
      <c r="H38" s="128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-0.5</v>
      </c>
      <c r="E42" s="91">
        <v>-5555</v>
      </c>
      <c r="H42" s="13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22"/>
      <c r="B1" s="123"/>
      <c r="C1" s="99">
        <v>0</v>
      </c>
      <c r="D1" s="100">
        <v>1</v>
      </c>
      <c r="E1" s="101">
        <v>2</v>
      </c>
      <c r="F1" s="39"/>
      <c r="H1" s="122"/>
      <c r="I1" s="123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24"/>
      <c r="B2" s="125"/>
      <c r="C2" s="37" t="s">
        <v>75</v>
      </c>
      <c r="D2" s="98" t="s">
        <v>75</v>
      </c>
      <c r="E2" s="97" t="s">
        <v>75</v>
      </c>
      <c r="H2" s="124"/>
      <c r="I2" s="125"/>
      <c r="J2" s="37" t="s">
        <v>76</v>
      </c>
      <c r="K2" s="98" t="s">
        <v>76</v>
      </c>
      <c r="L2" s="97" t="s">
        <v>76</v>
      </c>
    </row>
    <row r="3" spans="1:13" x14ac:dyDescent="0.15">
      <c r="A3" s="126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26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27"/>
      <c r="B4" s="38" t="s">
        <v>137</v>
      </c>
      <c r="C4" s="90">
        <v>-5555</v>
      </c>
      <c r="D4" s="90">
        <v>30</v>
      </c>
      <c r="E4" s="91">
        <v>-5555</v>
      </c>
      <c r="H4" s="127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27"/>
      <c r="B5" s="38" t="s">
        <v>138</v>
      </c>
      <c r="C5" s="90">
        <v>-5555</v>
      </c>
      <c r="D5" s="92">
        <v>-5555</v>
      </c>
      <c r="E5" s="91">
        <v>-5555</v>
      </c>
      <c r="H5" s="127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27"/>
      <c r="B6" s="38" t="s">
        <v>139</v>
      </c>
      <c r="C6" s="90">
        <v>3</v>
      </c>
      <c r="D6" s="90">
        <v>0</v>
      </c>
      <c r="E6" s="91">
        <v>7.2110000000000003</v>
      </c>
      <c r="H6" s="127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27"/>
      <c r="B7" s="38" t="s">
        <v>85</v>
      </c>
      <c r="C7" s="90">
        <v>-5555</v>
      </c>
      <c r="D7" s="90">
        <v>3</v>
      </c>
      <c r="E7" s="91">
        <v>-11.798</v>
      </c>
      <c r="H7" s="127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27"/>
      <c r="B8" s="38" t="s">
        <v>87</v>
      </c>
      <c r="C8" s="90">
        <v>-5555</v>
      </c>
      <c r="D8" s="92">
        <v>-5555</v>
      </c>
      <c r="E8" s="91">
        <v>-2.44</v>
      </c>
      <c r="H8" s="127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27"/>
      <c r="B9" s="38" t="s">
        <v>86</v>
      </c>
      <c r="C9" s="90">
        <v>0.1</v>
      </c>
      <c r="D9" s="90">
        <v>-2.4</v>
      </c>
      <c r="E9" s="91">
        <v>-5555</v>
      </c>
      <c r="H9" s="127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27"/>
      <c r="B10" s="38" t="s">
        <v>140</v>
      </c>
      <c r="C10" s="90">
        <v>-5555</v>
      </c>
      <c r="D10" s="90">
        <v>0.5</v>
      </c>
      <c r="E10" s="91">
        <v>-5555</v>
      </c>
      <c r="H10" s="127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27"/>
      <c r="B11" s="38" t="s">
        <v>141</v>
      </c>
      <c r="C11" s="90">
        <v>-5555</v>
      </c>
      <c r="D11" s="92">
        <v>-5555</v>
      </c>
      <c r="E11" s="91">
        <v>-5555</v>
      </c>
      <c r="H11" s="127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27"/>
      <c r="B12" s="38" t="s">
        <v>142</v>
      </c>
      <c r="C12" s="90">
        <v>0</v>
      </c>
      <c r="D12" s="90">
        <v>-1.5</v>
      </c>
      <c r="E12" s="91">
        <v>-5555</v>
      </c>
      <c r="H12" s="127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27"/>
      <c r="B13" s="38" t="s">
        <v>143</v>
      </c>
      <c r="C13" s="90">
        <v>-5555</v>
      </c>
      <c r="D13" s="90">
        <v>0</v>
      </c>
      <c r="E13" s="91">
        <v>-5555</v>
      </c>
      <c r="H13" s="127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28"/>
      <c r="B14" s="93" t="s">
        <v>144</v>
      </c>
      <c r="C14" s="94">
        <v>-5555</v>
      </c>
      <c r="D14" s="95">
        <v>-5555</v>
      </c>
      <c r="E14" s="96">
        <v>-5555</v>
      </c>
      <c r="H14" s="128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29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29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26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26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27"/>
      <c r="B28" s="38" t="s">
        <v>156</v>
      </c>
      <c r="C28" s="90">
        <v>-5555</v>
      </c>
      <c r="D28" s="90">
        <v>0</v>
      </c>
      <c r="E28" s="91">
        <v>-5555</v>
      </c>
      <c r="H28" s="127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27"/>
      <c r="B29" s="38" t="s">
        <v>157</v>
      </c>
      <c r="C29" s="90">
        <v>-5555</v>
      </c>
      <c r="D29" s="92">
        <v>-5555</v>
      </c>
      <c r="E29" s="91">
        <v>-5555</v>
      </c>
      <c r="H29" s="127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27"/>
      <c r="B30" s="38" t="s">
        <v>158</v>
      </c>
      <c r="C30" s="90">
        <v>0.02</v>
      </c>
      <c r="D30" s="90">
        <v>0</v>
      </c>
      <c r="E30" s="91">
        <v>-5555</v>
      </c>
      <c r="H30" s="127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27"/>
      <c r="B31" s="38" t="s">
        <v>159</v>
      </c>
      <c r="C31" s="90">
        <v>-5555</v>
      </c>
      <c r="D31" s="90">
        <v>0.3</v>
      </c>
      <c r="E31" s="91">
        <v>-5555</v>
      </c>
      <c r="H31" s="127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27"/>
      <c r="B32" s="38" t="s">
        <v>160</v>
      </c>
      <c r="C32" s="90">
        <v>-5555</v>
      </c>
      <c r="D32" s="92">
        <v>-5555</v>
      </c>
      <c r="E32" s="91">
        <v>-5555</v>
      </c>
      <c r="H32" s="127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27"/>
      <c r="B33" s="38" t="s">
        <v>161</v>
      </c>
      <c r="C33" s="90">
        <v>1E-3</v>
      </c>
      <c r="D33" s="90">
        <v>-1.5</v>
      </c>
      <c r="E33" s="91">
        <v>-5555</v>
      </c>
      <c r="H33" s="127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27"/>
      <c r="B34" s="38" t="s">
        <v>162</v>
      </c>
      <c r="C34" s="90">
        <v>-5555</v>
      </c>
      <c r="D34" s="90">
        <v>-0.05</v>
      </c>
      <c r="E34" s="91">
        <v>-5555</v>
      </c>
      <c r="H34" s="127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27"/>
      <c r="B35" s="38" t="s">
        <v>163</v>
      </c>
      <c r="C35" s="90">
        <v>-5555</v>
      </c>
      <c r="D35" s="92">
        <v>-5555</v>
      </c>
      <c r="E35" s="91">
        <v>-5555</v>
      </c>
      <c r="H35" s="127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27"/>
      <c r="B36" s="38" t="s">
        <v>164</v>
      </c>
      <c r="C36" s="90">
        <v>0</v>
      </c>
      <c r="D36" s="90">
        <v>-0.3</v>
      </c>
      <c r="E36" s="91">
        <v>-5555</v>
      </c>
      <c r="H36" s="127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27"/>
      <c r="B37" s="38" t="s">
        <v>165</v>
      </c>
      <c r="C37" s="90">
        <v>-5555</v>
      </c>
      <c r="D37" s="90">
        <v>0</v>
      </c>
      <c r="E37" s="91">
        <v>-5555</v>
      </c>
      <c r="H37" s="127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28"/>
      <c r="B38" s="93" t="s">
        <v>166</v>
      </c>
      <c r="C38" s="94">
        <v>-5555</v>
      </c>
      <c r="D38" s="95">
        <v>-5555</v>
      </c>
      <c r="E38" s="96">
        <v>-5555</v>
      </c>
      <c r="H38" s="128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-0.05</v>
      </c>
      <c r="E42" s="91">
        <v>-5555</v>
      </c>
      <c r="H42" s="13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Panel</vt:lpstr>
      <vt:lpstr>DataFilter</vt:lpstr>
      <vt:lpstr>Table Output</vt:lpstr>
      <vt:lpstr>Exchange</vt:lpstr>
      <vt:lpstr>Loc_69L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2021-11-19T11:20:15Z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